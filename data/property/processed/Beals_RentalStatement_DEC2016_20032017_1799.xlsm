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My Documents\Business\Property\Statements\working\testenvironment\"/>
    </mc:Choice>
  </mc:AlternateContent>
  <bookViews>
    <workbookView xWindow="-15" yWindow="-15" windowWidth="28860" windowHeight="4245" activeTab="8"/>
  </bookViews>
  <sheets>
    <sheet name="Rent Statement" sheetId="1" r:id="rId1"/>
    <sheet name="Import" sheetId="31686" r:id="rId2"/>
    <sheet name="Statistics (FIXED-1)" sheetId="31691" r:id="rId3"/>
    <sheet name="Statistics (FIXED-2)" sheetId="31693" r:id="rId4"/>
    <sheet name="Statistics" sheetId="31690" r:id="rId5"/>
    <sheet name="MT" sheetId="31688" r:id="rId6"/>
    <sheet name="IV" sheetId="31689" r:id="rId7"/>
    <sheet name="IV (4040)" sheetId="31692" r:id="rId8"/>
    <sheet name="Beals" sheetId="31687" r:id="rId9"/>
    <sheet name="Managed Properties" sheetId="31681" r:id="rId10"/>
    <sheet name="Tenancies" sheetId="31680" r:id="rId11"/>
    <sheet name="Expense Categories" sheetId="31683" r:id="rId12"/>
    <sheet name="Rent Status" sheetId="31685" r:id="rId13"/>
  </sheets>
  <functionGroups builtInGroupCount="19"/>
  <definedNames>
    <definedName name="_xlnm._FilterDatabase" localSheetId="8" hidden="1">Beals!$A$1:$H$291</definedName>
    <definedName name="_xlnm._FilterDatabase" localSheetId="6" hidden="1">IV!$A$1:$I$1</definedName>
    <definedName name="_xlnm._FilterDatabase" localSheetId="7" hidden="1">'IV (4040)'!$A$1:$I$1</definedName>
    <definedName name="_xlnm._FilterDatabase" localSheetId="5" hidden="1">MT!$A$1:$I$122</definedName>
    <definedName name="_xlnm._FilterDatabase" localSheetId="0" hidden="1">'Rent Statement'!$B$7:$U$62</definedName>
    <definedName name="_xlnm._FilterDatabase" localSheetId="10" hidden="1">Tenancies!$A$1:$L$255</definedName>
    <definedName name="BillListStart" localSheetId="7">#REF!</definedName>
    <definedName name="BillListStart" localSheetId="2">#REF!</definedName>
    <definedName name="BillListStart" localSheetId="3">#REF!</definedName>
    <definedName name="BillListStart">#REF!</definedName>
    <definedName name="BillPropertyList" localSheetId="7">#REF!</definedName>
    <definedName name="BillPropertyList" localSheetId="2">#REF!</definedName>
    <definedName name="BillPropertyList" localSheetId="3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IV!$D$2:$D$500</definedName>
    <definedName name="IV_Amount_4040">'IV (4040)'!$D$2:$D$500</definedName>
    <definedName name="IV_BankRef">IV!$F$2:$F$500</definedName>
    <definedName name="IV_BankRef_4040">'IV (4040)'!$I$2:$I$500</definedName>
    <definedName name="MT_Amount">MT!$D$2:$D$500</definedName>
    <definedName name="MT_BankRef">MT!$F$2:$F$500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62913"/>
</workbook>
</file>

<file path=xl/calcChain.xml><?xml version="1.0" encoding="utf-8"?>
<calcChain xmlns="http://schemas.openxmlformats.org/spreadsheetml/2006/main">
  <c r="N33" i="31690" l="1"/>
  <c r="I10" i="31690"/>
  <c r="F10" i="31690"/>
  <c r="I9" i="31690"/>
  <c r="F9" i="31690"/>
  <c r="C9" i="31690"/>
  <c r="I8" i="31690"/>
  <c r="F8" i="31690"/>
  <c r="C8" i="31690"/>
  <c r="I7" i="31690"/>
  <c r="F7" i="31690"/>
  <c r="C7" i="31690"/>
  <c r="I6" i="31690"/>
  <c r="F6" i="31690"/>
  <c r="C6" i="31690"/>
  <c r="H5" i="31690"/>
  <c r="E5" i="31690"/>
  <c r="B5" i="31690"/>
  <c r="C24" i="31690"/>
  <c r="B24" i="31690"/>
  <c r="C26" i="31690"/>
  <c r="C33" i="31690"/>
  <c r="C25" i="31690"/>
  <c r="E38" i="31690"/>
  <c r="B26" i="31690"/>
  <c r="B25" i="31690"/>
  <c r="F38" i="31690" l="1"/>
  <c r="H12" i="31690"/>
  <c r="E12" i="31690"/>
  <c r="B12" i="31690"/>
  <c r="M63" i="1" l="1"/>
  <c r="P63" i="1" s="1"/>
  <c r="M62" i="1"/>
  <c r="P62" i="1" s="1"/>
  <c r="M61" i="1"/>
  <c r="P61" i="1" s="1"/>
  <c r="M60" i="1"/>
  <c r="P60" i="1" s="1"/>
  <c r="M59" i="1"/>
  <c r="P59" i="1" s="1"/>
  <c r="M58" i="1"/>
  <c r="P58" i="1" s="1"/>
  <c r="M57" i="1"/>
  <c r="P57" i="1" s="1"/>
  <c r="M56" i="1"/>
  <c r="P56" i="1" s="1"/>
  <c r="M55" i="1"/>
  <c r="P55" i="1" s="1"/>
  <c r="M54" i="1"/>
  <c r="P54" i="1" s="1"/>
  <c r="M53" i="1"/>
  <c r="P53" i="1" s="1"/>
  <c r="M52" i="1"/>
  <c r="P52" i="1" s="1"/>
  <c r="M51" i="1"/>
  <c r="P51" i="1" s="1"/>
  <c r="M50" i="1"/>
  <c r="P50" i="1" s="1"/>
  <c r="M49" i="1"/>
  <c r="P49" i="1" s="1"/>
  <c r="M48" i="1"/>
  <c r="P48" i="1" s="1"/>
  <c r="M47" i="1"/>
  <c r="P47" i="1" s="1"/>
  <c r="M46" i="1"/>
  <c r="P46" i="1" s="1"/>
  <c r="M45" i="1"/>
  <c r="P45" i="1" s="1"/>
  <c r="M44" i="1"/>
  <c r="P44" i="1" s="1"/>
  <c r="M43" i="1"/>
  <c r="P43" i="1" s="1"/>
  <c r="M42" i="1"/>
  <c r="P42" i="1" s="1"/>
  <c r="M41" i="1"/>
  <c r="P41" i="1" s="1"/>
  <c r="M40" i="1"/>
  <c r="P40" i="1" s="1"/>
  <c r="M39" i="1"/>
  <c r="P39" i="1" s="1"/>
  <c r="M38" i="1"/>
  <c r="P38" i="1" s="1"/>
  <c r="M37" i="1"/>
  <c r="P37" i="1" s="1"/>
  <c r="M36" i="1"/>
  <c r="P36" i="1" s="1"/>
  <c r="M35" i="1"/>
  <c r="P35" i="1" s="1"/>
  <c r="M34" i="1"/>
  <c r="P34" i="1" s="1"/>
  <c r="M33" i="1"/>
  <c r="P33" i="1" s="1"/>
  <c r="M32" i="1"/>
  <c r="P32" i="1" s="1"/>
  <c r="M31" i="1"/>
  <c r="P31" i="1" s="1"/>
  <c r="M30" i="1"/>
  <c r="P30" i="1" s="1"/>
  <c r="M29" i="1"/>
  <c r="P29" i="1" s="1"/>
  <c r="M28" i="1"/>
  <c r="P28" i="1" s="1"/>
  <c r="M27" i="1"/>
  <c r="P27" i="1" s="1"/>
  <c r="M26" i="1"/>
  <c r="P26" i="1" s="1"/>
  <c r="M25" i="1"/>
  <c r="P25" i="1" s="1"/>
  <c r="M24" i="1"/>
  <c r="P24" i="1" s="1"/>
  <c r="M23" i="1"/>
  <c r="P23" i="1" s="1"/>
  <c r="M22" i="1"/>
  <c r="P22" i="1" s="1"/>
  <c r="M21" i="1"/>
  <c r="P21" i="1" s="1"/>
  <c r="M20" i="1"/>
  <c r="P20" i="1" s="1"/>
  <c r="M19" i="1"/>
  <c r="P19" i="1" s="1"/>
  <c r="M18" i="1"/>
  <c r="P18" i="1" s="1"/>
  <c r="M17" i="1"/>
  <c r="P17" i="1" s="1"/>
  <c r="M16" i="1"/>
  <c r="P16" i="1" s="1"/>
  <c r="M15" i="1"/>
  <c r="P15" i="1" s="1"/>
  <c r="M14" i="1"/>
  <c r="P14" i="1" s="1"/>
  <c r="M13" i="1"/>
  <c r="P13" i="1" s="1"/>
  <c r="M12" i="1"/>
  <c r="P12" i="1" s="1"/>
  <c r="M11" i="1"/>
  <c r="P11" i="1" s="1"/>
  <c r="M10" i="1"/>
  <c r="P10" i="1" s="1"/>
  <c r="M9" i="1"/>
  <c r="P9" i="1" s="1"/>
  <c r="L65" i="1"/>
  <c r="J65" i="1"/>
  <c r="I65" i="1"/>
  <c r="H65" i="1"/>
  <c r="F65" i="1"/>
  <c r="G65" i="1"/>
  <c r="AB219" i="31680"/>
  <c r="AB244" i="31680"/>
  <c r="AB42" i="31680"/>
  <c r="AB39" i="31680"/>
  <c r="AB152" i="31680"/>
  <c r="AB134" i="31680"/>
  <c r="AB27" i="31680"/>
  <c r="AB6" i="31680"/>
  <c r="AB241" i="31680"/>
  <c r="AB73" i="31680"/>
  <c r="AB101" i="31680"/>
  <c r="AB264" i="31680"/>
  <c r="AB200" i="31680"/>
  <c r="AB130" i="31680"/>
  <c r="AB33" i="31680"/>
  <c r="AB207" i="31680"/>
  <c r="AB98" i="31680"/>
  <c r="AB29" i="31680"/>
  <c r="AB56" i="31680"/>
  <c r="AB132" i="31680"/>
  <c r="AB86" i="31680"/>
  <c r="AB268" i="31680"/>
  <c r="AB269" i="31680"/>
  <c r="AB270" i="31680"/>
  <c r="AB208" i="31680"/>
  <c r="AB162" i="31680"/>
  <c r="AB118" i="31680"/>
  <c r="AB271" i="31680"/>
  <c r="AB205" i="31680"/>
  <c r="AB148" i="31680"/>
  <c r="AB211" i="31680"/>
  <c r="AB225" i="31680"/>
  <c r="AB226" i="31680"/>
  <c r="AB240" i="31680"/>
  <c r="AB169" i="31680"/>
  <c r="AB62" i="31680"/>
  <c r="AB30" i="31680"/>
  <c r="AB32" i="31680"/>
  <c r="AB31" i="31680"/>
  <c r="AB107" i="31680"/>
  <c r="AB141" i="31680"/>
  <c r="AB102" i="31680"/>
  <c r="AB242" i="31680"/>
  <c r="AB11" i="31680"/>
  <c r="AB13" i="31680"/>
  <c r="AB120" i="31680"/>
  <c r="AB67" i="31680"/>
  <c r="AB189" i="31680"/>
  <c r="AB157" i="31680"/>
  <c r="AB239" i="31680"/>
  <c r="AB273" i="31680"/>
  <c r="AB156" i="31680"/>
  <c r="AB187" i="31680"/>
  <c r="AB191" i="31680"/>
  <c r="AB150" i="31680"/>
  <c r="AB5" i="31680"/>
  <c r="AB7" i="31680"/>
  <c r="AB172" i="31680"/>
  <c r="AB266" i="31680"/>
  <c r="AB146" i="31680"/>
  <c r="AB72" i="31680"/>
  <c r="AB71" i="31680"/>
  <c r="AB265" i="31680"/>
  <c r="AB192" i="31680"/>
  <c r="AB18" i="31680"/>
  <c r="AB125" i="31680"/>
  <c r="AB236" i="31680"/>
  <c r="AB180" i="31680"/>
  <c r="AB267" i="31680"/>
  <c r="AB229" i="31680"/>
  <c r="AB65" i="31680"/>
  <c r="AB20" i="31680"/>
  <c r="AB170" i="31680"/>
  <c r="AB112" i="31680"/>
  <c r="AB216" i="31680"/>
  <c r="AB184" i="31680"/>
  <c r="AB131" i="31680"/>
  <c r="AB41" i="31680"/>
  <c r="AB139" i="31680"/>
  <c r="AB106" i="31680"/>
  <c r="AB149" i="31680"/>
  <c r="AB22" i="31680"/>
  <c r="AB16" i="31680"/>
  <c r="AB47" i="31680"/>
  <c r="AB140" i="31680"/>
  <c r="AB48" i="31680"/>
  <c r="AB274" i="31680"/>
  <c r="AB209" i="31680"/>
  <c r="AB261" i="31680"/>
  <c r="AB44" i="31680"/>
  <c r="AB45" i="31680"/>
  <c r="AB36" i="31680"/>
  <c r="AB136" i="31680"/>
  <c r="AB168" i="31680"/>
  <c r="AB8" i="31680"/>
  <c r="AB38" i="31680"/>
  <c r="AB17" i="31680"/>
  <c r="AB154" i="31680"/>
  <c r="AB213" i="31680"/>
  <c r="AB43" i="31680"/>
  <c r="AB57" i="31680"/>
  <c r="AB111" i="31680"/>
  <c r="AB15" i="31680"/>
  <c r="AB253" i="31680"/>
  <c r="AB248" i="31680"/>
  <c r="AB212" i="31680"/>
  <c r="AB60" i="31680"/>
  <c r="AB124" i="31680"/>
  <c r="AB232" i="31680"/>
  <c r="AB82" i="31680"/>
  <c r="AB198" i="31680"/>
  <c r="AB53" i="31680"/>
  <c r="AB46" i="31680"/>
  <c r="AB97" i="31680"/>
  <c r="AB138" i="31680"/>
  <c r="AB181" i="31680"/>
  <c r="AB167" i="31680"/>
  <c r="AB174" i="31680"/>
  <c r="AB103" i="31680"/>
  <c r="AB256" i="31680"/>
  <c r="AB257" i="31680"/>
  <c r="AB105" i="31680"/>
  <c r="AB166" i="31680"/>
  <c r="AB218" i="31680"/>
  <c r="AB99" i="31680"/>
  <c r="AB70" i="31680"/>
  <c r="AB204" i="31680"/>
  <c r="AB115" i="31680"/>
  <c r="AB151" i="31680"/>
  <c r="AB153" i="31680"/>
  <c r="AB272" i="31680"/>
  <c r="AB104" i="31680"/>
  <c r="AB203" i="31680"/>
  <c r="AB95" i="31680"/>
  <c r="AB223" i="31680"/>
  <c r="AB77" i="31680"/>
  <c r="AB76" i="31680"/>
  <c r="AB121" i="31680"/>
  <c r="AB233" i="31680"/>
  <c r="AB227" i="31680"/>
  <c r="AB251" i="31680"/>
  <c r="AB250" i="31680"/>
  <c r="AB230" i="31680"/>
  <c r="AB206" i="31680"/>
  <c r="AB113" i="31680"/>
  <c r="AB9" i="31680"/>
  <c r="AB114" i="31680"/>
  <c r="AB75" i="31680"/>
  <c r="AB176" i="31680"/>
  <c r="AB63" i="31680"/>
  <c r="AB175" i="31680"/>
  <c r="AB92" i="31680"/>
  <c r="AB21" i="31680"/>
  <c r="AB108" i="31680"/>
  <c r="AB96" i="31680"/>
  <c r="AB165" i="31680"/>
  <c r="AB52" i="31680"/>
  <c r="AB59" i="31680"/>
  <c r="AB61" i="31680"/>
  <c r="AB224" i="31680"/>
  <c r="AB87" i="31680"/>
  <c r="AB88" i="31680"/>
  <c r="AB171" i="31680"/>
  <c r="AB68" i="31680"/>
  <c r="AB247" i="31680"/>
  <c r="AB89" i="31680"/>
  <c r="AB197" i="31680"/>
  <c r="AB196" i="31680"/>
  <c r="AB210" i="31680"/>
  <c r="AB260" i="31680"/>
  <c r="AB259" i="31680"/>
  <c r="AB215" i="31680"/>
  <c r="AB110" i="31680"/>
  <c r="AB249" i="31680"/>
  <c r="AB147" i="31680"/>
  <c r="AB145" i="31680"/>
  <c r="AB155" i="31680"/>
  <c r="AB4" i="31680"/>
  <c r="AB142" i="31680"/>
  <c r="AB143" i="31680"/>
  <c r="AB144" i="31680"/>
  <c r="AB129" i="31680"/>
  <c r="AB119" i="31680"/>
  <c r="AB185" i="31680"/>
  <c r="AB133" i="31680"/>
  <c r="AB164" i="31680"/>
  <c r="AB194" i="31680"/>
  <c r="AB231" i="31680"/>
  <c r="AB54" i="31680"/>
  <c r="AB81" i="31680"/>
  <c r="AB228" i="31680"/>
  <c r="AB190" i="31680"/>
  <c r="AB84" i="31680"/>
  <c r="AB254" i="31680"/>
  <c r="AB128" i="31680"/>
  <c r="AB255" i="31680"/>
  <c r="AB109" i="31680"/>
  <c r="AB237" i="31680"/>
  <c r="AB238" i="31680"/>
  <c r="AB93" i="31680"/>
  <c r="AB94" i="31680"/>
  <c r="AB173" i="31680"/>
  <c r="AB243" i="31680"/>
  <c r="AB245" i="31680"/>
  <c r="AB91" i="31680"/>
  <c r="AB26" i="31680"/>
  <c r="AB246" i="31680"/>
  <c r="AB188" i="31680"/>
  <c r="AB37" i="31680"/>
  <c r="AB158" i="31680"/>
  <c r="AB234" i="31680"/>
  <c r="AB50" i="31680"/>
  <c r="AB183" i="31680"/>
  <c r="AB182" i="31680"/>
  <c r="AB235" i="31680"/>
  <c r="AB159" i="31680"/>
  <c r="AB161" i="31680"/>
  <c r="AB160" i="31680"/>
  <c r="AB55" i="31680"/>
  <c r="AB14" i="31680"/>
  <c r="AB25" i="31680"/>
  <c r="AB49" i="31680"/>
  <c r="AB258" i="31680"/>
  <c r="AB117" i="31680"/>
  <c r="AB58" i="31680"/>
  <c r="AB199" i="31680"/>
  <c r="AB122" i="31680"/>
  <c r="AB221" i="31680"/>
  <c r="AB201" i="31680"/>
  <c r="AB100" i="31680"/>
  <c r="AB28" i="31680"/>
  <c r="AB83" i="31680"/>
  <c r="AB163" i="31680"/>
  <c r="AB195" i="31680"/>
  <c r="AB19" i="31680"/>
  <c r="AB126" i="31680"/>
  <c r="AB10" i="31680"/>
  <c r="AB34" i="31680"/>
  <c r="AB12" i="31680"/>
  <c r="AB202" i="31680"/>
  <c r="AB74" i="31680"/>
  <c r="AB69" i="31680"/>
  <c r="AB90" i="31680"/>
  <c r="AB137" i="31680"/>
  <c r="AB78" i="31680"/>
  <c r="AB177" i="31680"/>
  <c r="AB40" i="31680"/>
  <c r="AB252" i="31680"/>
  <c r="AB217" i="31680"/>
  <c r="AB220" i="31680"/>
  <c r="AB79" i="31680"/>
  <c r="AB116" i="31680"/>
  <c r="AB178" i="31680"/>
  <c r="AB35" i="31680"/>
  <c r="AB24" i="31680"/>
  <c r="AB179" i="31680"/>
  <c r="AB23" i="31680"/>
  <c r="AB186" i="31680"/>
  <c r="AB127" i="31680"/>
  <c r="AB85" i="31680"/>
  <c r="AB222" i="31680"/>
  <c r="AB66" i="31680"/>
  <c r="AB80" i="31680"/>
  <c r="AB193" i="31680"/>
  <c r="AB64" i="31680"/>
  <c r="AB263" i="31680"/>
  <c r="AB214" i="31680"/>
  <c r="AB262" i="31680"/>
  <c r="AB135" i="31680"/>
  <c r="AB123" i="31680"/>
  <c r="AB51" i="31680"/>
  <c r="AB2" i="31680"/>
  <c r="AB3" i="31680"/>
  <c r="AB275" i="31680"/>
  <c r="AB276" i="31680"/>
  <c r="AB277" i="31680"/>
  <c r="AB278" i="31680"/>
  <c r="AB279" i="31680"/>
  <c r="AB280" i="31680"/>
  <c r="AB281" i="31680"/>
  <c r="AB282" i="31680"/>
  <c r="AB283" i="31680"/>
  <c r="AB284" i="31680"/>
  <c r="AB285" i="31680"/>
  <c r="AB286" i="31680"/>
  <c r="AB287" i="31680"/>
  <c r="AB288" i="31680"/>
  <c r="AB289" i="31680"/>
  <c r="AB290" i="31680"/>
  <c r="AB291" i="31680"/>
  <c r="AB292" i="31680"/>
  <c r="AB293" i="31680"/>
  <c r="AB294" i="31680"/>
  <c r="AB295" i="31680"/>
  <c r="AB296" i="31680"/>
  <c r="AB297" i="31680"/>
  <c r="AB298" i="31680"/>
  <c r="AB299" i="31680"/>
  <c r="AB300" i="31680"/>
  <c r="AB301" i="31680"/>
  <c r="AB302" i="31680"/>
  <c r="AB303" i="31680"/>
  <c r="AB304" i="31680"/>
  <c r="AB305" i="31680"/>
  <c r="AB306" i="31680"/>
  <c r="AB307" i="31680"/>
  <c r="AB308" i="31680"/>
  <c r="AB309" i="31680"/>
  <c r="AB310" i="31680"/>
  <c r="AB311" i="31680"/>
  <c r="AB312" i="31680"/>
  <c r="AB313" i="31680"/>
  <c r="AB314" i="31680"/>
  <c r="AB315" i="31680"/>
  <c r="AB316" i="31680"/>
  <c r="AB317" i="31680"/>
  <c r="AB318" i="31680"/>
  <c r="AB319" i="31680"/>
  <c r="AB320" i="31680"/>
  <c r="AB321" i="31680"/>
  <c r="AB322" i="31680"/>
  <c r="AB323" i="31680"/>
  <c r="AB324" i="31680"/>
  <c r="AB325" i="31680"/>
  <c r="AB326" i="31680"/>
  <c r="AB327" i="31680"/>
  <c r="AB328" i="31680"/>
  <c r="AB329" i="31680"/>
  <c r="AB330" i="31680"/>
  <c r="AB331" i="31680"/>
  <c r="AB332" i="31680"/>
  <c r="AB333" i="31680"/>
  <c r="AB334" i="31680"/>
  <c r="AB335" i="31680"/>
  <c r="AB336" i="31680"/>
  <c r="AB337" i="31680"/>
  <c r="AB338" i="31680"/>
  <c r="AB339" i="31680"/>
  <c r="AB340" i="31680"/>
  <c r="AB341" i="31680"/>
  <c r="AB342" i="31680"/>
  <c r="AB343" i="31680"/>
  <c r="AB344" i="31680"/>
  <c r="AB345" i="31680"/>
  <c r="AB346" i="31680"/>
  <c r="AB347" i="31680"/>
  <c r="AB348" i="31680"/>
  <c r="AB349" i="31680"/>
  <c r="AB350" i="31680"/>
  <c r="AB351" i="31680"/>
  <c r="AB352" i="31680"/>
  <c r="AB353" i="31680"/>
  <c r="AB354" i="31680"/>
  <c r="AB355" i="31680"/>
  <c r="AB356" i="31680"/>
  <c r="AB357" i="31680"/>
  <c r="AB358" i="31680"/>
  <c r="AB359" i="31680"/>
  <c r="AB360" i="31680"/>
  <c r="AB361" i="31680"/>
  <c r="AB362" i="31680"/>
  <c r="AB363" i="31680"/>
  <c r="AB364" i="31680"/>
  <c r="AB365" i="31680"/>
  <c r="AB366" i="31680"/>
  <c r="AB367" i="31680"/>
  <c r="AB368" i="31680"/>
  <c r="AB369" i="31680"/>
  <c r="AB370" i="31680"/>
  <c r="AB371" i="31680"/>
  <c r="AB372" i="31680"/>
  <c r="AB373" i="31680"/>
  <c r="AB374" i="31680"/>
  <c r="AB375" i="31680"/>
  <c r="AB376" i="31680"/>
  <c r="AB377" i="31680"/>
  <c r="AB378" i="31680"/>
  <c r="AB379" i="31680"/>
  <c r="AB380" i="31680"/>
  <c r="AB381" i="31680"/>
  <c r="AB382" i="31680"/>
  <c r="AB383" i="31680"/>
  <c r="AB384" i="31680"/>
  <c r="AB385" i="31680"/>
  <c r="AB386" i="31680"/>
  <c r="AB387" i="31680"/>
  <c r="AB388" i="31680"/>
  <c r="AB389" i="31680"/>
  <c r="AB390" i="31680"/>
  <c r="AB391" i="31680"/>
  <c r="AB392" i="31680"/>
  <c r="AB393" i="31680"/>
  <c r="AB394" i="31680"/>
  <c r="AB395" i="31680"/>
  <c r="AB396" i="31680"/>
  <c r="AB397" i="31680"/>
  <c r="AB398" i="31680"/>
  <c r="AB399" i="31680"/>
  <c r="AB400" i="31680"/>
  <c r="AB401" i="31680"/>
  <c r="AB402" i="31680"/>
  <c r="AB403" i="31680"/>
  <c r="AB404" i="31680"/>
  <c r="AB405" i="31680"/>
  <c r="AB406" i="31680"/>
  <c r="AB407" i="31680"/>
  <c r="AB408" i="31680"/>
  <c r="AB409" i="31680"/>
  <c r="AB410" i="31680"/>
  <c r="AB411" i="31680"/>
  <c r="AB412" i="31680"/>
  <c r="AB413" i="31680"/>
  <c r="AB414" i="31680"/>
  <c r="AB415" i="31680"/>
  <c r="AB416" i="31680"/>
  <c r="AB417" i="31680"/>
  <c r="AB418" i="31680"/>
  <c r="AB419" i="31680"/>
  <c r="AB420" i="31680"/>
  <c r="AB421" i="31680"/>
  <c r="AB422" i="31680"/>
  <c r="AB423" i="31680"/>
  <c r="AB424" i="31680"/>
  <c r="AB425" i="31680"/>
  <c r="AB426" i="31680"/>
  <c r="AB427" i="31680"/>
  <c r="AB428" i="31680"/>
  <c r="AB429" i="31680"/>
  <c r="AB430" i="31680"/>
  <c r="AB431" i="31680"/>
  <c r="AB432" i="31680"/>
  <c r="AB433" i="31680"/>
  <c r="AB434" i="31680"/>
  <c r="AB435" i="31680"/>
  <c r="AB436" i="31680"/>
  <c r="AB437" i="31680"/>
  <c r="AB438" i="31680"/>
  <c r="AB439" i="31680"/>
  <c r="AB440" i="31680"/>
  <c r="AB441" i="31680"/>
  <c r="AB442" i="31680"/>
  <c r="AB443" i="31680"/>
  <c r="AB444" i="31680"/>
  <c r="AB445" i="31680"/>
  <c r="AB446" i="31680"/>
  <c r="AB447" i="31680"/>
  <c r="AB448" i="31680"/>
  <c r="AB449" i="31680"/>
  <c r="AB450" i="31680"/>
  <c r="AB451" i="31680"/>
  <c r="AB452" i="31680"/>
  <c r="AB453" i="31680"/>
  <c r="AB454" i="31680"/>
  <c r="AB455" i="31680"/>
  <c r="AB456" i="31680"/>
  <c r="AB457" i="31680"/>
  <c r="AB458" i="31680"/>
  <c r="AB459" i="31680"/>
  <c r="AB460" i="31680"/>
  <c r="AB461" i="31680"/>
  <c r="AB462" i="31680"/>
  <c r="AB463" i="31680"/>
  <c r="AB464" i="31680"/>
  <c r="AB465" i="31680"/>
  <c r="AB466" i="31680"/>
  <c r="AB467" i="31680"/>
  <c r="AB468" i="31680"/>
  <c r="AB469" i="31680"/>
  <c r="AB470" i="31680"/>
  <c r="AB471" i="31680"/>
  <c r="AB472" i="31680"/>
  <c r="AB473" i="31680"/>
  <c r="AB474" i="31680"/>
  <c r="AB475" i="31680"/>
  <c r="AB476" i="31680"/>
  <c r="AB477" i="31680"/>
  <c r="AB478" i="31680"/>
  <c r="AB479" i="31680"/>
  <c r="AB480" i="31680"/>
  <c r="AB481" i="31680"/>
  <c r="AB482" i="31680"/>
  <c r="AB483" i="31680"/>
  <c r="AB484" i="31680"/>
  <c r="AB485" i="31680"/>
  <c r="AB486" i="31680"/>
  <c r="AB487" i="31680"/>
  <c r="AB488" i="31680"/>
  <c r="AB489" i="31680"/>
  <c r="AB490" i="31680"/>
  <c r="AB491" i="31680"/>
  <c r="AB492" i="31680"/>
  <c r="AB493" i="31680"/>
  <c r="AB494" i="31680"/>
  <c r="AB495" i="31680"/>
  <c r="AB496" i="31680"/>
  <c r="AB497" i="31680"/>
  <c r="AB498" i="31680"/>
  <c r="AB499" i="31680"/>
  <c r="AB500" i="31680"/>
  <c r="AB501" i="31680"/>
  <c r="AB502" i="31680"/>
  <c r="AB503" i="31680"/>
  <c r="AB504" i="31680"/>
  <c r="AB505" i="31680"/>
  <c r="AB506" i="31680"/>
  <c r="AB507" i="31680"/>
  <c r="AB508" i="31680"/>
  <c r="AB509" i="31680"/>
  <c r="B21" i="31690"/>
  <c r="C17" i="31690"/>
  <c r="C34" i="31690"/>
  <c r="B30" i="31690"/>
  <c r="C29" i="31690"/>
  <c r="B31" i="31690"/>
  <c r="C31" i="31690"/>
  <c r="C30" i="31690"/>
  <c r="C22" i="31690"/>
  <c r="C18" i="31690"/>
  <c r="C32" i="31690"/>
  <c r="C21" i="31690"/>
  <c r="B17" i="31690"/>
  <c r="B22" i="31690"/>
  <c r="B29" i="31690"/>
  <c r="B18" i="31690"/>
  <c r="B33" i="31690"/>
  <c r="B34" i="31690"/>
  <c r="B32" i="31690"/>
  <c r="E37" i="31690" l="1"/>
  <c r="F37" i="31690"/>
  <c r="D34" i="31690"/>
  <c r="D32" i="31690"/>
  <c r="D29" i="31690"/>
  <c r="D33" i="31690"/>
  <c r="D30" i="31690"/>
  <c r="D31" i="31690"/>
  <c r="B15" i="31690"/>
  <c r="C15" i="31690"/>
  <c r="M65" i="1"/>
  <c r="P65" i="1"/>
  <c r="O65" i="1"/>
  <c r="C35" i="31690"/>
  <c r="B35" i="31690"/>
  <c r="C19" i="31690"/>
  <c r="B19" i="31690"/>
  <c r="D35" i="31690" l="1"/>
  <c r="E15" i="31690"/>
  <c r="F15" i="31690"/>
  <c r="F26" i="31690" l="1"/>
  <c r="F25" i="31690"/>
  <c r="F24" i="31690"/>
  <c r="E29" i="31690"/>
  <c r="E26" i="31690"/>
  <c r="E25" i="31690"/>
  <c r="E24" i="31690"/>
  <c r="E34" i="31690"/>
  <c r="E32" i="31690"/>
  <c r="E31" i="31690"/>
  <c r="E33" i="31690"/>
  <c r="E30" i="31690"/>
  <c r="F29" i="31690"/>
  <c r="F31" i="31690"/>
  <c r="F32" i="31690"/>
  <c r="F33" i="31690"/>
  <c r="F34" i="31690"/>
  <c r="F30" i="31690"/>
  <c r="E35" i="31690" l="1"/>
  <c r="F35" i="31690"/>
  <c r="E40" i="31690" l="1"/>
  <c r="F40" i="31690"/>
</calcChain>
</file>

<file path=xl/comments1.xml><?xml version="1.0" encoding="utf-8"?>
<comments xmlns="http://schemas.openxmlformats.org/spreadsheetml/2006/main">
  <authors>
    <author>Mat</author>
  </authors>
  <commentList>
    <comment ref="A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 shapeId="0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 shapeId="0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 shapeId="0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 shapeId="0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 shapeId="0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 shapeId="0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 shapeId="0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 shape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 shape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 shapeId="0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<sst xmlns="http://schemas.openxmlformats.org/spreadsheetml/2006/main" count="4608" uniqueCount="1064">
  <si>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</si>
  <si>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</si>
  <si>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</si>
  <si>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</si>
  <si>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</si>
  <si>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</si>
  <si>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</si>
  <si>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</si>
  <si>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</si>
  <si>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</si>
  <si>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</si>
  <si>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</si>
  <si>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</si>
  <si>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</si>
  <si>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</si>
  <si>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</si>
  <si>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</si>
  <si>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</si>
  <si>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</si>
  <si>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</si>
  <si>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</si>
  <si>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</si>
  <si>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</si>
  <si>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</si>
  <si>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</si>
  <si>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</si>
  <si>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</si>
  <si>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</si>
  <si>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</si>
  <si>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</si>
  <si>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</si>
  <si>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</si>
  <si>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</si>
  <si>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</si>
  <si>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</si>
  <si>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</si>
  <si>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</si>
  <si>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</si>
  <si>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</si>
  <si>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</si>
  <si>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</si>
  <si>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</si>
  <si>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</si>
  <si>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</si>
  <si>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</si>
  <si>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</si>
  <si>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</si>
  <si>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</si>
  <si>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</si>
  <si>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</si>
  <si>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</si>
  <si>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</si>
  <si>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</si>
  <si>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</si>
  <si>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</si>
  <si>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</si>
  <si>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</si>
  <si>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</si>
  <si>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</si>
  <si>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</si>
  <si>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</si>
  <si>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</si>
  <si>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</si>
  <si>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</si>
  <si>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</si>
  <si>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</si>
  <si>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</si>
  <si>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</si>
  <si>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</si>
  <si>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</si>
  <si>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</si>
  <si>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</si>
  <si>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</si>
  <si>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</si>
  <si>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</si>
  <si>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</si>
  <si>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</si>
  <si>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</si>
  <si>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</si>
  <si>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</si>
  <si>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</si>
  <si>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</si>
  <si>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</si>
  <si>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</si>
  <si>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</si>
  <si>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</si>
  <si>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</si>
  <si>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</si>
  <si>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</si>
  <si>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</si>
  <si>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</si>
  <si>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</si>
  <si>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</si>
  <si>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</si>
  <si>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</si>
  <si>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</si>
  <si>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</si>
  <si>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</si>
  <si>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</si>
  <si>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</si>
  <si>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</si>
  <si>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</si>
  <si>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</si>
  <si>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</si>
  <si>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</si>
  <si>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</si>
  <si>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</si>
  <si>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</si>
  <si>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</si>
  <si>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</si>
  <si>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</si>
  <si>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</si>
  <si>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</si>
  <si>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</si>
  <si>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</si>
  <si>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</si>
  <si>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</si>
  <si>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</si>
  <si>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</si>
  <si>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</si>
  <si>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</si>
  <si>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</si>
  <si>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</si>
  <si>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</si>
  <si>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</si>
  <si>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</si>
  <si>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</si>
  <si>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</si>
  <si>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</si>
  <si>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</si>
  <si>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</si>
  <si>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</si>
  <si>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</si>
  <si>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</si>
  <si>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</si>
  <si>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</si>
  <si>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</si>
  <si>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</si>
  <si>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</si>
  <si>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</si>
  <si>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</si>
  <si>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</si>
  <si>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</si>
  <si>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</si>
  <si>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</si>
  <si>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</si>
  <si>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</si>
  <si>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</si>
  <si>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</si>
  <si>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</si>
  <si>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</si>
  <si>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</si>
  <si>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</si>
  <si>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</si>
  <si>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</si>
  <si>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</si>
  <si>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</si>
  <si>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</si>
  <si>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</si>
  <si>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</si>
  <si>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</si>
  <si>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</si>
  <si>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</si>
  <si>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</si>
  <si>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</si>
  <si>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</si>
  <si>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</si>
  <si>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</si>
  <si>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</si>
  <si>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</si>
  <si>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</si>
  <si>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</si>
  <si>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</si>
  <si>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</si>
  <si>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</si>
  <si>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</si>
  <si>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</si>
  <si>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</si>
  <si>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</si>
  <si>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</si>
  <si>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</si>
  <si>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</si>
  <si>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</si>
  <si>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</si>
  <si>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</si>
  <si>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</si>
  <si>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</si>
  <si>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</si>
  <si>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</si>
  <si>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</si>
  <si>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</si>
  <si>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</si>
  <si>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</si>
  <si>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</si>
  <si>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</si>
  <si>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</si>
  <si>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</si>
  <si>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</si>
  <si>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</si>
  <si>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</si>
  <si>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</si>
  <si>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</si>
  <si>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</si>
  <si>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</si>
  <si>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</si>
  <si>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</si>
  <si>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</si>
  <si>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Invoice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</si>
  <si>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</si>
  <si>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</si>
  <si>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</si>
  <si>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</si>
  <si>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</si>
  <si>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</si>
  <si>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</si>
  <si>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</si>
  <si>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</si>
  <si>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</si>
  <si>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</si>
  <si>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</si>
  <si>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</si>
  <si>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</si>
  <si>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</si>
  <si>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</si>
  <si>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</si>
  <si>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</si>
  <si>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</si>
  <si>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</si>
  <si>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</si>
  <si>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</si>
  <si>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</si>
  <si>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</si>
  <si>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</si>
  <si>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</si>
  <si>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</si>
  <si>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</si>
  <si>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</si>
  <si>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</si>
  <si>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</si>
  <si>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</si>
  <si>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</si>
  <si>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</si>
  <si>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</si>
  <si>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</si>
  <si>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</si>
  <si>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</si>
  <si>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</si>
  <si>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</si>
  <si>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</si>
  <si>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</si>
  <si>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</si>
  <si>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</si>
  <si>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</si>
  <si>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</si>
  <si>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</si>
  <si>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</si>
  <si>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</si>
  <si>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</si>
  <si>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</si>
  <si>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</si>
  <si>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</si>
  <si>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</si>
  <si>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</si>
  <si>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</si>
  <si>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</si>
  <si>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</si>
  <si>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</si>
  <si>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</si>
  <si>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</si>
  <si>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</si>
  <si>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</si>
  <si>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</si>
  <si>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</si>
  <si>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</si>
  <si>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</si>
  <si>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</si>
  <si>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</si>
  <si>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</si>
  <si>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</si>
  <si>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</si>
  <si>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</si>
  <si>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</si>
  <si>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</si>
  <si>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</si>
  <si>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</si>
  <si>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</si>
  <si>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</si>
  <si>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</si>
  <si>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</si>
  <si>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</si>
  <si>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</si>
  <si>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</si>
  <si>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</si>
  <si>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</si>
  <si>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</si>
  <si>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</si>
  <si>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</si>
  <si>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</si>
  <si>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</si>
  <si>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</si>
  <si>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</si>
  <si>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</si>
  <si>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</si>
  <si>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</si>
  <si>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</si>
  <si>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</si>
  <si>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</si>
  <si>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</si>
  <si>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</si>
  <si>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</si>
  <si>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</si>
  <si>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</si>
  <si>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</si>
  <si>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</si>
  <si>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</si>
  <si>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</si>
  <si>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</si>
  <si>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</si>
  <si>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</si>
  <si>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</si>
  <si>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</si>
  <si>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</si>
  <si>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</si>
  <si>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</si>
  <si>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</si>
  <si>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</si>
  <si>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</si>
  <si>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</si>
  <si>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</si>
  <si>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</si>
  <si>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</si>
  <si>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</si>
  <si>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</si>
  <si>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</si>
  <si>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</si>
  <si>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</si>
  <si>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</si>
  <si>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</si>
  <si>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</si>
  <si>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</si>
  <si>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</si>
  <si>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</si>
  <si>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</si>
  <si>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</si>
  <si>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</si>
  <si>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</si>
  <si>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</si>
  <si>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</si>
  <si>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</si>
  <si>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</si>
  <si>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</si>
  <si>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</si>
  <si>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</si>
  <si>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</si>
  <si>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</si>
  <si>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</si>
  <si>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</si>
  <si>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</si>
  <si>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</si>
  <si>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</si>
  <si>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</si>
  <si>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</si>
  <si>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</si>
  <si>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</si>
  <si>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</si>
  <si>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</si>
  <si>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</si>
  <si>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</si>
  <si>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</si>
  <si>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</si>
  <si>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</si>
  <si>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</si>
  <si>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</si>
  <si>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</si>
  <si>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</si>
  <si>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</si>
  <si>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</si>
  <si>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</si>
  <si>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</si>
  <si>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</si>
  <si>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</si>
  <si>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</si>
  <si>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</si>
  <si>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</si>
  <si>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</si>
  <si>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</si>
  <si>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</si>
  <si>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</si>
  <si>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</si>
  <si>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</si>
  <si>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</si>
  <si>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</si>
  <si>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</si>
  <si>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</si>
  <si>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</si>
  <si>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</si>
  <si>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</si>
  <si>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</si>
  <si>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</si>
  <si>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</si>
  <si>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</si>
  <si>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</si>
  <si>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</si>
  <si>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</si>
  <si>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</si>
  <si>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[OCT] H/B Susp Being Dealt With</t>
  </si>
  <si>
    <t xml:space="preserve">[OCT] Actually Paid in £ 837.68 [SEP] Pls note bill has been taken twice while I was away rectified Oct </t>
  </si>
  <si>
    <t>[OCT] Council are looking to re-house tenant due to illness [MT] This was taken as a positive amount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</si>
  <si>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</si>
  <si>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</si>
  <si>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</si>
  <si>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</si>
  <si>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</si>
  <si>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</si>
  <si>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</si>
  <si>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</si>
  <si>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</si>
  <si>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</si>
  <si>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</si>
  <si>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</si>
  <si>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</si>
  <si>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</si>
  <si>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</si>
  <si>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</si>
  <si>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</si>
  <si>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</si>
  <si>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</si>
  <si>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</si>
  <si>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</si>
  <si>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</si>
  <si>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</si>
  <si>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</si>
  <si>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</si>
  <si>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</si>
  <si>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</si>
  <si>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</si>
  <si>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</si>
  <si>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</si>
  <si>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</si>
  <si>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</si>
  <si>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</si>
  <si>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</si>
  <si>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</si>
  <si>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</si>
  <si>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</si>
  <si>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</si>
  <si>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</si>
  <si>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</si>
  <si>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</si>
  <si>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</si>
  <si>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</si>
  <si>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</si>
  <si>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</si>
  <si>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</si>
  <si>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</si>
  <si>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</si>
  <si>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</si>
  <si>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</si>
  <si>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</si>
  <si>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</si>
  <si>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</si>
  <si>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</si>
  <si>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</si>
  <si>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</si>
  <si>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</si>
  <si>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[NOV] Paying 2/12/16 work has paid late</t>
  </si>
  <si>
    <t>[NOV] 2 months paid - paid 934</t>
  </si>
  <si>
    <t>Paid earlier in month on 11/11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</si>
  <si>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</si>
  <si>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</si>
  <si>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</si>
  <si>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</si>
  <si>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</si>
  <si>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</si>
  <si>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</si>
  <si>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</si>
  <si>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</si>
  <si>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Management Fee at 6% - Flat 1, 321 London Road, Portsmouth</t>
  </si>
  <si>
    <t>Statement</t>
  </si>
  <si>
    <t>F2321LON</t>
  </si>
  <si>
    <t>Management Fee at 6% - Flat 2, 321 London Road, Portsmouth</t>
  </si>
  <si>
    <t>F3321LON</t>
  </si>
  <si>
    <t>Management Fee at 6% - Flat 3, 321 London Road, Portsmouth</t>
  </si>
  <si>
    <t>Supplier</t>
  </si>
  <si>
    <t>F4321LON</t>
  </si>
  <si>
    <t>Management Fee at 6% - Flat 4, 321 London Road, Portsmouth</t>
  </si>
  <si>
    <t>F1169FAW</t>
  </si>
  <si>
    <t>Management Fee at 6% - Flat 1, 169 Fawcett Road, Southsea</t>
  </si>
  <si>
    <t>F2169FAW</t>
  </si>
  <si>
    <t>Management Fee at 6% - Flat 2, 169 Fawcett Road, Southsea</t>
  </si>
  <si>
    <t>F1171FAW</t>
  </si>
  <si>
    <t>Management Fee at 6% - Flat 1, 171 Fawcett Road, Southsea</t>
  </si>
  <si>
    <t>F2171FAW</t>
  </si>
  <si>
    <t>Management Fee at 6% - Flat 2, 171 Fawcett Road, Southsea</t>
  </si>
  <si>
    <t>F3171FAW</t>
  </si>
  <si>
    <t>Management Fee at 6% - Flat 3, 171 Fawcett Road, Southsea</t>
  </si>
  <si>
    <t>Amount payable to Ms Ivana Valentino - Flat 3, 171 Fawcett Road, Southsea</t>
  </si>
  <si>
    <t>F2163FRA</t>
  </si>
  <si>
    <t>Management Fee at 6% - Flat 2, 163 Fratton Road, Portsmouth</t>
  </si>
  <si>
    <t>F3163FRA</t>
  </si>
  <si>
    <t>Management Fee at 6% - Flat 3, 163 Fratton Road, Portsmouth</t>
  </si>
  <si>
    <t>F4163FRA</t>
  </si>
  <si>
    <t>Management Fee at 6% - Flat 4, 163 Fratton Road, Portsmouth</t>
  </si>
  <si>
    <t>SHOP196KIN</t>
  </si>
  <si>
    <t>Management Fee at 6% - Shop, 196 Kingston Road, Portsmouth</t>
  </si>
  <si>
    <t>196AKIN</t>
  </si>
  <si>
    <t>Management Fee at 6% - 196a Kingston Road, Portsmouth</t>
  </si>
  <si>
    <t>196BKIN</t>
  </si>
  <si>
    <t>Management Fee at 6% - 196b Kingston Road, Portsmouth</t>
  </si>
  <si>
    <t>Amount payable to Ms Ivana Valentino - 196b Kingston Road, Portsmouth</t>
  </si>
  <si>
    <t>23BHAM</t>
  </si>
  <si>
    <t>Management Fee at 6% - 23b Hampshire Terrace, Portsmouth</t>
  </si>
  <si>
    <t>23CHAM</t>
  </si>
  <si>
    <t>Management Fee at 6% - 23c Hampshire Terrace, Portsmouth</t>
  </si>
  <si>
    <t>Amount payable to Ms Ivana Valentino - 23c Hampshire Terrace, Portsmouth</t>
  </si>
  <si>
    <t>F58ALH</t>
  </si>
  <si>
    <t>Management Fee at 6% - Flat 5, 8 Alhambra Road, Southsea</t>
  </si>
  <si>
    <t>F68ALH</t>
  </si>
  <si>
    <t>Management Fee at 6% - Flat 6, 8 Alhambra Road, Southsea</t>
  </si>
  <si>
    <t>F78ALH</t>
  </si>
  <si>
    <t>Management Fee at 6% - Flat 7, 8 Alhambra Road, Southsea</t>
  </si>
  <si>
    <t>Amount payable to Ms Ivana Valentino - Flat 7, 8 Alhambra Road, Southsea</t>
  </si>
  <si>
    <t>F88ALH</t>
  </si>
  <si>
    <t>Management Fee at 6% - Flat 8, 8 Alhambra Road, Southsea</t>
  </si>
  <si>
    <t>Amount payable to Ms Ivana Valentino - Flat 8, 8 Alhambra Road, Southsea</t>
  </si>
  <si>
    <t>F1746ALH</t>
  </si>
  <si>
    <t>Management Fee at 6% - Flat 17, 4-6 Alhambra Road, Southsea</t>
  </si>
  <si>
    <t>F1846ALH</t>
  </si>
  <si>
    <t>Management Fee at 6% - Flat 18, 4-6 Alhambra Road, Southsea</t>
  </si>
  <si>
    <t>F1946ALH</t>
  </si>
  <si>
    <t>Management Fee at 6% - Flat 19, 4-6 Alhambra Road, Southsea</t>
  </si>
  <si>
    <t>F2046ALH</t>
  </si>
  <si>
    <t>Management Fee at 6% - Flat 20, 4-6 Alhambra Road, Southsea</t>
  </si>
  <si>
    <t>F2146ALH</t>
  </si>
  <si>
    <t>Management Fee at 6% - Flat 21, 4-6 Alhambra Road, Southsea</t>
  </si>
  <si>
    <t>F2246ALH</t>
  </si>
  <si>
    <t>Management Fee at 6% - Flat 22, 4-6 Alhambra Road, Southsea</t>
  </si>
  <si>
    <t>Amount payable to Ms Ivana Valentino - Flat 22, 4-6 Alhambra Road, Southsea</t>
  </si>
  <si>
    <t>F31214ALH</t>
  </si>
  <si>
    <t>Management Fee at 6% - Flat 3, 12-14 Alhambra Road, Southsea</t>
  </si>
  <si>
    <t>Amount payable to Ms Ivana Valentino - Flat 3, 12-14 Alhambra Road, Southsea</t>
  </si>
  <si>
    <t>F51214ALH</t>
  </si>
  <si>
    <t>Management Fee at 6% - Flat 5, 12-14 Alhambra Road, Southsea</t>
  </si>
  <si>
    <t>Amount payable to Ms Ivana Valentino - Flat 5, 12-14 Alhambra Road, Southsea</t>
  </si>
  <si>
    <t>F71214ALH</t>
  </si>
  <si>
    <t>Management Fee at 6% - Flat 7, 12-14 Alhambra Road, Southsea</t>
  </si>
  <si>
    <t>F101214ALH</t>
  </si>
  <si>
    <t>Management Fee at 6% - Flat 10, 12-14 Alhambra Road, Southsea</t>
  </si>
  <si>
    <t>F111214ALH</t>
  </si>
  <si>
    <t>Management Fee at 6% - Flat 11, 12-14 Alhambra Road, Southsea</t>
  </si>
  <si>
    <t>Amount payable to Ms Ivana Valentino - Flat 11, 12-14 Alhambra Road, Southsea</t>
  </si>
  <si>
    <t>F141214ALH</t>
  </si>
  <si>
    <t>Management Fee at 6% - Flat 14, 12-14 Alhambra Road, Southsea</t>
  </si>
  <si>
    <t>F161214ALH</t>
  </si>
  <si>
    <t>Management Fee at 6% - Flat 16, 12-14 Alhambra Road, Southsea</t>
  </si>
  <si>
    <t>Amount payable to Ms Ivana Valentino - Flat 16, 12-14 Alhambra Road, Southsea</t>
  </si>
  <si>
    <t>F11618ALH</t>
  </si>
  <si>
    <t>Management Fee at 6% - Flat 1, 16-18 Alhambra Road, Southsea</t>
  </si>
  <si>
    <t>F31618ALH</t>
  </si>
  <si>
    <t>Management Fee at 6% - Flat 3, 16-18 Alhambra Road, Southsea</t>
  </si>
  <si>
    <t>Amount payable to Ms Ivana Valentino - Flat 3, 16-18 Alhambra Road, Southsea</t>
  </si>
  <si>
    <t>F61618ALH</t>
  </si>
  <si>
    <t>Management Fee at 6% - Flat 6, 16-18 Alhambra Road, Southsea</t>
  </si>
  <si>
    <t>F71618ALH</t>
  </si>
  <si>
    <t>Management Fee at 6% - Flat 7, 16-18 Alhambra Road, Southsea</t>
  </si>
  <si>
    <t>Amount payable to Ms Ivana Valentino - Flat 7, 16-18 Alhambra Road, Southsea</t>
  </si>
  <si>
    <t>F111618ALH</t>
  </si>
  <si>
    <t>Management Fee at 6% - Flat 11, 16-18 Alhambra Road, Southsea</t>
  </si>
  <si>
    <t>F121618ALH</t>
  </si>
  <si>
    <t>Management Fee at 6% - Flat 12, 16-18 Alhambra Road, Southsea</t>
  </si>
  <si>
    <t>Amount payable to Ms Ivana Valentino - Flat 12, 16-18 Alhambra Road, Southsea</t>
  </si>
  <si>
    <t>F131618ALH</t>
  </si>
  <si>
    <t>Management Fee at 6% - Flat 13, 16-18 Alhambra Road, Southsea</t>
  </si>
  <si>
    <t>F161618ALH</t>
  </si>
  <si>
    <t>Rent for period 30/11/2016 - 29/12/2016 from Miss Michala Mason - Flat 16, 16-18 Alhambra Road, Southsea</t>
  </si>
  <si>
    <t>Management Fee at 6% - Flat 16, 16-18 Alhambra Road, Southsea</t>
  </si>
  <si>
    <t>Amount payable to Ms Ivana Valentino - Flat 16, 16-18 Alhambra Road, Southsea</t>
  </si>
  <si>
    <t>Foreign Id</t>
  </si>
  <si>
    <t>F3169FAW</t>
  </si>
  <si>
    <t>F2346ALH</t>
  </si>
  <si>
    <t>F41214ALH</t>
  </si>
  <si>
    <t>Communal Cleaning for December - FAC Contract Cleaning LTD - Flat 1, 321 London Road, Portsmouth</t>
  </si>
  <si>
    <t>Rent for period 23/11/2016 - 22/12/2016 from Mr David Connor - Flat 1, 321 London Road, Portsmouth</t>
  </si>
  <si>
    <t>Amount payable to Mr Matthew Tucker - Flat 1, 321 London Road, Portsmouth</t>
  </si>
  <si>
    <t>Rent for period 23/12/2016 - 22/01/2017 from Mr David Connor - Flat 1, 321 London Road, Portsmouth</t>
  </si>
  <si>
    <t>Wall Heater Works - JW Electrical Services - Flat 2, 321 London Road, Portsmouth</t>
  </si>
  <si>
    <t>INV001865</t>
  </si>
  <si>
    <t>Rent for period 23/10/2016 - 22/11/2016 from Ms Sharon Briscoe - Flat 2, 321 London Road, Portsmouth</t>
  </si>
  <si>
    <t>Rent for period 23/11/2016 - 22/12/2016 from Ms Sharon Briscoe - Flat 2, 321 London Road, Portsmouth</t>
  </si>
  <si>
    <t>Amount payable to Mr Matthew Tucker - Flat 2, 321 London Road, Portsmouth</t>
  </si>
  <si>
    <t>Rent for period 03/12/2016 - 02/01/2017 from Mr Joshua Brown - Flat 3, 321 London Road, Portsmouth</t>
  </si>
  <si>
    <t>Amount payable to Mr Matthew Tucker - Flat 3, 321 London Road, Portsmouth</t>
  </si>
  <si>
    <t>Rent for period 26/11/2016 - 25/12/2016 from Miss Carol Carrington - Flat 4, 321 London Road, Portsmouth</t>
  </si>
  <si>
    <t>Rent for period 26/12/2016 - 25/01/2017 from Miss Carol Carrington - Flat 4, 321 London Road, Portsmouth</t>
  </si>
  <si>
    <t>Amount payable to Mr Matthew Tucker - Flat 4, 321 London Road, Portsmouth</t>
  </si>
  <si>
    <t>Rent for period 06/11/2016 - 05/12/2016 from Ms Susan Parkinson - Flat 1, 169 Fawcett Road, Southsea</t>
  </si>
  <si>
    <t>Rent for period 06/12/2016 - 05/01/2017 from Ms Susan Parkinson - Flat 1, 169 Fawcett Road, Southsea</t>
  </si>
  <si>
    <t>Amount payable to Mr Matthew Tucker - Flat 1, 169 Fawcett Road, Southsea</t>
  </si>
  <si>
    <t>Landlord gas Safety - new radaitor required for lounge - D B Gas Services - Flat 2, 169 Fawcett Road, Southsea</t>
  </si>
  <si>
    <t>Rent for period 11/11/2016 - 10/12/2016 from Mr Lee Knowles - Flat 2, 169 Fawcett Road, Southsea</t>
  </si>
  <si>
    <t>Rent for period 11/12/2016 - 10/01/2017 from Mr Lee Knowles - Flat 2, 169 Fawcett Road, Southsea</t>
  </si>
  <si>
    <t>Amount payable to Mr Matthew Tucker - Flat 2, 169 Fawcett Road, Southsea</t>
  </si>
  <si>
    <t>Gas Safety Certificate - D B Gas Services - Flat 3, 169 Fawcett Road, Southsea</t>
  </si>
  <si>
    <t>Rent for period 15/11/2016 - 14/12/2016 from Mr Graham Robinson - Flat 3, 169 Fawcett Road, Southsea</t>
  </si>
  <si>
    <t>Management Fee at 6% - Flat 3, 169 Fawcett Road, Southsea</t>
  </si>
  <si>
    <t>Rent for period 15/12/2016 - 14/01/2017 from Mr Graham Robinson - Flat 3, 169 Fawcett Road, Southsea</t>
  </si>
  <si>
    <t>Amount payable to Mr Matthew Tucker - Flat 3, 169 Fawcett Road, Southsea</t>
  </si>
  <si>
    <t>Rent for period 06/12/2016 - 05/01/2017 from Ms Kirstine Aldridge - Flat 1, 171 Fawcett Road, Southsea</t>
  </si>
  <si>
    <t>Amount payable to Ms Ivana Valentino - Flat 1, 171 Fawcett Road, Southsea</t>
  </si>
  <si>
    <t>Rent for period 02/11/2016 - 01/12/2016 from Mr Michael Pedace - Flat 2, 171 Fawcett Road, Southsea</t>
  </si>
  <si>
    <t>Rent for period 02/12/2016 - 01/01/2017 from Mr Michael Pedace - Flat 2, 171 Fawcett Road, Southsea</t>
  </si>
  <si>
    <t>Amount payable to Mr Matthew Tucker - Flat 2, 171 Fawcett Road, Southsea</t>
  </si>
  <si>
    <t>Rent for period 09/12/2016 - 08/01/2017 from Mr Nick Olsen - Flat 3, 171 Fawcett Road, Southsea</t>
  </si>
  <si>
    <t>Communual Key snapped in lock - Underwood Property Maintenance LTD - Flat 2, 163 Fratton Road, Portsmouth</t>
  </si>
  <si>
    <t>Rent for period 15/12/2016 - 14/01/2017 from Mr Peter Grant - Flat 2, 163 Fratton Road, Portsmouth</t>
  </si>
  <si>
    <t>Amount payable to Mr Matthew Tucker - Flat 2, 163 Fratton Road, Portsmouth</t>
  </si>
  <si>
    <t>Water Leak to Flat 2 - Underwood Property Maintenance LTD - Flat 3, 163 Fratton Road, Portsmouth</t>
  </si>
  <si>
    <t>Rent for period 14/11/2016 - 13/12/2016 from Mr Martin Brett - Flat 3, 163 Fratton Road, Portsmouth</t>
  </si>
  <si>
    <t>Rent for period 14/12/2016 - 13/01/2017 from Mr Martin Brett - Flat 3, 163 Fratton Road, Portsmouth</t>
  </si>
  <si>
    <t>Amount payable to Mr Matthew Tucker - Flat 3, 163 Fratton Road, Portsmouth</t>
  </si>
  <si>
    <t>Rent for period 17/12/2016 - 16/01/2017 from Mr Nicholas Wright - Flat 4, 163 Fratton Road, Portsmouth</t>
  </si>
  <si>
    <t>Amount payable to Mr Matthew Tucker - Flat 4, 163 Fratton Road, Portsmouth</t>
  </si>
  <si>
    <t>Rent for period 11/12/2016 - 10/01/2017 from Mr Martin Gliszczynski (SIE-SOF T/A Pol Help) - Shop, 196 Kingston Road, Portsmouth</t>
  </si>
  <si>
    <t>Amount payable to Mr Matthew Tucker - Shop, 196 Kingston Road, Portsmouth</t>
  </si>
  <si>
    <t>Rent for period 01/12/2016 - 31/12/2016 from Ms Joyce Henson - 196a Kingston Road, Portsmouth</t>
  </si>
  <si>
    <t>Amount payable to Mr Matthew Tucker - 196a Kingston Road, Portsmouth</t>
  </si>
  <si>
    <t>Built in oven - Kingston Domestics - 196b Kingston Road, Portsmouth</t>
  </si>
  <si>
    <t>Rent for period 14/12/2016 - 13/01/2017 from Mr John Sharpe - 196b Kingston Road, Portsmouth</t>
  </si>
  <si>
    <t>Reversal - 196b Kingston Road, Portsmouth</t>
  </si>
  <si>
    <t>Rain Water Leak - Baker &amp; Elder - 196b Kingston Road, Portsmouth</t>
  </si>
  <si>
    <t>Supply and Test Flow Switch - D B Gas Services - 23b Hampshire Terrace, Portsmouth</t>
  </si>
  <si>
    <t>Communal Cleaning - Dab Hand Cleaning - 23b Hampshire Terrace, Portsmouth</t>
  </si>
  <si>
    <t>Rent for period 14/12/2016 - 13/01/2017 from Miss Syasya Aristoteies - 23b Hampshire Terrace, Portsmouth</t>
  </si>
  <si>
    <t>Amount payable to Mr Matthew Tucker - 23b Hampshire Terrace, Portsmouth</t>
  </si>
  <si>
    <t>Rent for period 14/12/2016 - 13/01/2017 from Miss Sandra Namataka - 23c Hampshire Terrace, Portsmouth</t>
  </si>
  <si>
    <t>Rent for period 14/12/2016 - 13/01/2017 from Ms Sharon Smith - Flat 5, 8 Alhambra Road, Southsea</t>
  </si>
  <si>
    <t>Amount payable to Mr Matthew Tucker - Flat 5, 8 Alhambra Road, Southsea</t>
  </si>
  <si>
    <t>Rent for period 08/12/2016 - 07/01/2017 from Mr Antony Raymond Hinks - Flat 6, 8 Alhambra Road, Southsea</t>
  </si>
  <si>
    <t>Amount payable to Mr Matthew Tucker - Flat 6, 8 Alhambra Road, Southsea</t>
  </si>
  <si>
    <t>Rent for period 05/12/2016 - 04/01/2017 from Miss Francis Brooker - Flat 7, 8 Alhambra Road, Southsea</t>
  </si>
  <si>
    <t>Rent for period 26/12/2016 - 25/01/2017 from Ms Lisa Pegg - Flat 8, 8 Alhambra Road, Southsea</t>
  </si>
  <si>
    <t>Rent for period 10/12/2016 - 09/01/2017 from Mr Johnathan Hill - Flat 17, 4-6 Alhambra Road, Southsea</t>
  </si>
  <si>
    <t>Amount payable to Mr Matthew Tucker - Flat 17, 4-6 Alhambra Road, Southsea</t>
  </si>
  <si>
    <t>Rent for period 26/11/2016 - 25/12/2016 from Mrs Dionne McLaughlin - Flat 18, 4-6 Alhambra Road, Southsea</t>
  </si>
  <si>
    <t>Amount payable to Mr Matthew Tucker - Flat 18, 4-6 Alhambra Road, Southsea</t>
  </si>
  <si>
    <t>Rent for period 26/12/2016 - 25/01/2017 from Mrs Dionne McLaughlin - Flat 18, 4-6 Alhambra Road, Southsea</t>
  </si>
  <si>
    <t>Rent for period 20/12/2016 - 19/01/2017 from Miss Sinead OBrien - Flat 19, 4-6 Alhambra Road, Southsea</t>
  </si>
  <si>
    <t>Amount payable to Mr Matthew Tucker - Flat 19, 4-6 Alhambra Road, Southsea</t>
  </si>
  <si>
    <t>Rent for period 16/11/2016 - 15/12/2016 from Miss Ausra Baziukiene - Flat 20, 4-6 Alhambra Road, Southsea</t>
  </si>
  <si>
    <t>Amount payable to Mr Matthew Tucker - Flat 20, 4-6 Alhambra Road, Southsea</t>
  </si>
  <si>
    <t>Replaced 3x thermostatic valves - JW Electrical Services - Flat 20, 4-6 Alhambra Road, Southsea</t>
  </si>
  <si>
    <t>Rent for period 16/12/2016 - 15/01/2017 from Miss Ausra Baziukiene - Flat 20, 4-6 Alhambra Road, Southsea</t>
  </si>
  <si>
    <t>Rent for period 30/12/2016 - 29/01/2017 from Mr Benjamin Prior - Flat 21, 4-6 Alhambra Road, Southsea</t>
  </si>
  <si>
    <t>Amount payable to Ms Ivana Valentino - Flat 21, 4-6 Alhambra Road, Southsea</t>
  </si>
  <si>
    <t>Rent for period 06/11/2016 - 05/12/2016 from Ms Sally Taylor - Flat 22, 4-6 Alhambra Road, Southsea</t>
  </si>
  <si>
    <t>Rent for period 06/12/2016 - 05/01/2017 from Ms Sally Taylor - Flat 22, 4-6 Alhambra Road, Southsea</t>
  </si>
  <si>
    <t>Rent for period 10/12/2016 - 09/01/2017 from Ms Stephanie Ryan - Flat 23, 4-6 Alhambra Road, Southsea</t>
  </si>
  <si>
    <t>Management Fee at 6% - Flat 23, 4-6 Alhambra Road, Southsea</t>
  </si>
  <si>
    <t>Amount payable to Ms Ivana Valentino - Flat 23, 4-6 Alhambra Road, Southsea</t>
  </si>
  <si>
    <t>Rent for period 08/12/2016 - 07/01/2017 from Mr Matt Tudor - Flat 3, 12-14 Alhambra Road, Southsea</t>
  </si>
  <si>
    <t>Rent for period 08/12/2016 - 07/01/2017 from Mr John Hopkinson - Flat 4, 12-14 Alhambra Road, Southsea</t>
  </si>
  <si>
    <t>Management Fee at 6% - Flat 4, 12-14 Alhambra Road, Southsea</t>
  </si>
  <si>
    <t>Amount payable to Mr Matthew Tucker - Flat 4, 12-14 Alhambra Road, Southsea</t>
  </si>
  <si>
    <t>Gas Safety Certificate - D B Gas Services - Flat 4, 12-14 Alhambra Road, Southsea</t>
  </si>
  <si>
    <t>Rent for period 23/11/2016 - 22/12/2016 from Mr Michael Valverde - Flat 5, 12-14 Alhambra Road, Southsea</t>
  </si>
  <si>
    <t>Rent for period 23/12/2016 - 22/01/2017 from Mr Michael Valverde - Flat 5, 12-14 Alhambra Road, Southsea</t>
  </si>
  <si>
    <t>Faulty Hob - D B Gas Services - Flat 7, 12-14 Alhambra Road, Southsea</t>
  </si>
  <si>
    <t>Rent for period 14/11/2016 - 13/12/2016 from Mr Aleksandra Raadzevics - Flat 7, 12-14 Alhambra Road, Southsea</t>
  </si>
  <si>
    <t>Rent for period 14/12/2016 - 13/01/2017 from Mr Aleksandra Raadzevics - Flat 7, 12-14 Alhambra Road, Southsea</t>
  </si>
  <si>
    <t>Amount payable to Mr Matthew Tucker - Flat 7, 12-14 Alhambra Road, Southsea</t>
  </si>
  <si>
    <t>Rent for period 20/11/2016 - 19/12/2016 from Mr Andrew England - Flat 10, 12-14 Alhambra Road, Southsea</t>
  </si>
  <si>
    <t>Rent for period 20/12/2016 - 19/01/2017 from Mr Andrew England - Flat 10, 12-14 Alhambra Road, Southsea</t>
  </si>
  <si>
    <t>Amount payable to Mr Matthew Tucker - Flat 10, 12-14 Alhambra Road, Southsea</t>
  </si>
  <si>
    <t>Rent for period 19/11/2016 - 18/12/2016 from Mr Peter Oakwell - Flat 11, 12-14 Alhambra Road, Southsea</t>
  </si>
  <si>
    <t>Rent for period 19/12/2016 - 18/01/2017 from Mr Peter Oakwell - Flat 11, 12-14 Alhambra Road, Southsea</t>
  </si>
  <si>
    <t>Rent for period 06/12/2016 - 05/01/2017 from Mr Paul McIlwraith - Flat 14, 12-14 Alhambra Road, Southsea</t>
  </si>
  <si>
    <t>Amount payable to Mr Matthew Tucker - Flat 14, 12-14 Alhambra Road, Southsea</t>
  </si>
  <si>
    <t>Rent for period 19/11/2016 - 18/12/2016 from Mr Aubrey Milligan - Flat 16, 12-14 Alhambra Road, Southsea</t>
  </si>
  <si>
    <t>Rent for period 19/12/2016 - 18/01/2017 from Mr Aubrey Milligan - Flat 16, 12-14 Alhambra Road, Southsea</t>
  </si>
  <si>
    <t>Rent for period 05/12/2016 - 04/01/2017 from Mr Kit Conrad - Flat 1, 16-18 Alhambra Road, Southsea</t>
  </si>
  <si>
    <t>Amount payable to Mr Matthew Tucker - Flat 1, 16-18 Alhambra Road, Southsea</t>
  </si>
  <si>
    <t>No Hot Water/Heating - D B Gas Services - Flat 1, 16-18 Alhambra Road, Southsea</t>
  </si>
  <si>
    <t>Rent for period 21/11/2016 - 20/12/2016 from Ms Cherub Stark - Flat 3, 16-18 Alhambra Road, Southsea</t>
  </si>
  <si>
    <t>Rent for period 21/12/2016 - 20/01/2017 from Ms Cherub Stark - Flat 3, 16-18 Alhambra Road, Southsea</t>
  </si>
  <si>
    <t>Drippibng Tap - Underwood Property Maintenance LTD - Flat 6, 16-18 Alhambra Road, Southsea</t>
  </si>
  <si>
    <t>Rent for period 12/12/2016 - 11/01/2017 from Mr Peter Taperek - Flat 6, 16-18 Alhambra Road, Southsea</t>
  </si>
  <si>
    <t>Amount payable to Mr Matthew Tucker - Flat 6, 16-18 Alhambra Road, Southsea</t>
  </si>
  <si>
    <t>Rent for period 08/11/2016 - 07/12/2016 from Mr Alan Young - Flat 7, 16-18 Alhambra Road, Southsea</t>
  </si>
  <si>
    <t>Rent for period 08/12/2016 - 07/01/2017 from Mr Alan Young - Flat 7, 16-18 Alhambra Road, Southsea</t>
  </si>
  <si>
    <t>Rent for period 23/11/2016 - 22/12/2016 from Ms Janet Flegg - Flat 11, 16-18 Alhambra Road, Southsea</t>
  </si>
  <si>
    <t>Amount payable to Mr Matthew Tucker - Flat 11, 16-18 Alhambra Road, Southsea</t>
  </si>
  <si>
    <t>Rent for period 23/12/2016 - 22/01/2017 from Ms Janet Flegg - Flat 11, 16-18 Alhambra Road, Southsea</t>
  </si>
  <si>
    <t>Fault on Intercome - Express Electrical - Flat 12, 16-18 Alhambra Road, Southsea</t>
  </si>
  <si>
    <t>Rent for period 19/12/2016 - 18/01/2017 from Mr Jason Passmore - Flat 12, 16-18 Alhambra Road, Southsea</t>
  </si>
  <si>
    <t>Rent for period 03/11/2016 - 02/12/2016 from Mr Andrew Lewis - Flat 13, 16-18 Alhambra Road, Southsea</t>
  </si>
  <si>
    <t>Rent for period 03/12/2016 - 02/01/2017 from Mr Andrew Lewis - Flat 13, 16-18 Alhambra Road, Southsea</t>
  </si>
  <si>
    <t>Amount payable to Mr Matthew Tucker - Flat 13, 16-18 Alhambra Road, Southsea</t>
  </si>
  <si>
    <t>Basin coming away from wall and damaged windows - Baker &amp; Elder - Flat 2, 169 Fawcett Road, Southsea</t>
  </si>
  <si>
    <t>Water Leak - Baker &amp; Elder - Flat 2, 163 Fratton Road, Portsmouth</t>
  </si>
  <si>
    <t>New Latch to front door - Baker &amp; Elder - Flat 3, 163 Fratton Road, Portsmouth</t>
  </si>
  <si>
    <t>Skirting Board to entrance Hall - Baker &amp; Elder - 196a Kingston Road, Portsmouth</t>
  </si>
  <si>
    <t>Rain water leak - Baker &amp; Elder - 196b Kingston Road, Portsmouth</t>
  </si>
  <si>
    <t>Leaking Toilet - Baker &amp; Elder - Flat 5, 8 Alhambra Road, Southsea</t>
  </si>
  <si>
    <t>Spur to Oven - Baker &amp; Elder - Flat 1, 16-18 Alhambra Road, Southsea</t>
  </si>
  <si>
    <t>Repressurise Boiler - Baker &amp; Elder - Flat 7, 16-18 Alhambra Road, Southsea</t>
  </si>
  <si>
    <t>Fault on Door Entry System - Baker &amp; Elder - Flat 16, 16-18 Alhambra Road, Southsea</t>
  </si>
  <si>
    <t>Number</t>
  </si>
  <si>
    <t>Date</t>
  </si>
  <si>
    <t>Account</t>
  </si>
  <si>
    <t>Amount</t>
  </si>
  <si>
    <t>Subcategory</t>
  </si>
  <si>
    <t>Memo</t>
  </si>
  <si>
    <t xml:space="preserve"> </t>
  </si>
  <si>
    <t>20-74-09 60458872</t>
  </si>
  <si>
    <t xml:space="preserve">FT </t>
  </si>
  <si>
    <t xml:space="preserve">205330 30728691       MORTGAGES          FT </t>
  </si>
  <si>
    <t xml:space="preserve">205330 30728691       MOBILE-CHANNEL     FT </t>
  </si>
  <si>
    <t>REPEATPMT</t>
  </si>
  <si>
    <t>MR MATTHEW STUART     205330 30728691    STO</t>
  </si>
  <si>
    <t>4-6 ALHAMBRA RD CS    209254 83672832    STO</t>
  </si>
  <si>
    <t>M TUCKER              MTUCKER            STO</t>
  </si>
  <si>
    <t>16-18 ALHAMBRA RD     209254 13686035    STO</t>
  </si>
  <si>
    <t>12-14 ALHAMBRA RD     209254 23534332    STO</t>
  </si>
  <si>
    <t>M TUCKER              M TUCKER           STO</t>
  </si>
  <si>
    <t>23 HAMPSHIRE TERRA    209254 13676978    STO</t>
  </si>
  <si>
    <t>DIRECTDEBIT</t>
  </si>
  <si>
    <t xml:space="preserve">PLATFORM FUNDING      01050230313307        </t>
  </si>
  <si>
    <t xml:space="preserve">PLATFORM FUNDING      01050229961082        </t>
  </si>
  <si>
    <t xml:space="preserve">EE &amp; T-MOBILE         Q13077400671992205    </t>
  </si>
  <si>
    <t xml:space="preserve">CAPITAL HOME LOANS    CHL00002/907372200    </t>
  </si>
  <si>
    <t xml:space="preserve">CAPITAL HOME LOANS    CHL00002/907371904    </t>
  </si>
  <si>
    <t>BCC</t>
  </si>
  <si>
    <t>TESCO STORE 3539      ON 01 DEC          BCC</t>
  </si>
  <si>
    <t>PAYMENT</t>
  </si>
  <si>
    <t>TESCO STORE 2105      ON 01 DEC          BCC</t>
  </si>
  <si>
    <t xml:space="preserve">205330 30728691    FT </t>
  </si>
  <si>
    <t>MARKS&amp;SPENCER PLC     ON 03 DEC          BCC</t>
  </si>
  <si>
    <t>DIRECTDEP</t>
  </si>
  <si>
    <t>RATESETTER            MT69076058         BGC</t>
  </si>
  <si>
    <t>M TUCKER              M TUCKER           BBP</t>
  </si>
  <si>
    <t>NEW COUNTY SERVICE    ON 04 DEC          BCC</t>
  </si>
  <si>
    <t>FROSTS AT WILLINGT    ON 04 DEC          BCC</t>
  </si>
  <si>
    <t xml:space="preserve">MORTGAGE EXPRESS      2016485130021888      </t>
  </si>
  <si>
    <t xml:space="preserve">MORTGAGE EXPRESS      2016485040021888      </t>
  </si>
  <si>
    <t xml:space="preserve">MORTGAGE EXPRESS      2007545250021888      </t>
  </si>
  <si>
    <t xml:space="preserve">MORTGAGE EXPRESS      2007107760021888      </t>
  </si>
  <si>
    <t xml:space="preserve">MORTGAGE EXPRESS      2007093450021888      </t>
  </si>
  <si>
    <t xml:space="preserve">MORTGAGE EXPRESS      2007093360021888      </t>
  </si>
  <si>
    <t xml:space="preserve">MORTGAGE EXPRESS      2006372640021888      </t>
  </si>
  <si>
    <t xml:space="preserve">MORTGAGE EXPRESS      0019966240021888      </t>
  </si>
  <si>
    <t xml:space="preserve">MORTGAGE EXPRESS      0018724700021888      </t>
  </si>
  <si>
    <t xml:space="preserve">MORTGAGE EXPRESS      0017031550021888      </t>
  </si>
  <si>
    <t xml:space="preserve">MORTGAGE EXPRESS      0016470530021888      </t>
  </si>
  <si>
    <t xml:space="preserve">MORTGAGE EXPRESS      0015866140021888      </t>
  </si>
  <si>
    <t>BEALS ESTATE AGENT    FLAT 3321 LONDON R BGC</t>
  </si>
  <si>
    <t>BEALS ESTATE AGENT    FLAT 204-6 ALHAMBR BGC</t>
  </si>
  <si>
    <t>BEALS ESTATE AGENT    196A KINGSTON ROAD BGC</t>
  </si>
  <si>
    <t>WWW.THEWORKS.CO.UK    ON 06 DEC          BCC</t>
  </si>
  <si>
    <t>BEALS ESTATE AGENT    FLAT 1412-14 ALHAM BGC</t>
  </si>
  <si>
    <t>BOOTS 6407            ON 07 DEC          CLP</t>
  </si>
  <si>
    <t>TOYS R US             ON 07 DEC          BCC</t>
  </si>
  <si>
    <t xml:space="preserve">WWW.SMYTHSTOYS.COM    IRELAND               </t>
  </si>
  <si>
    <t>DECATHLON UK LTD      ON 07 DEC          BCC</t>
  </si>
  <si>
    <t>ARGOS                 ON 07 DEC          BCC</t>
  </si>
  <si>
    <t>THE RANGE             ON 07 DEC          BCC</t>
  </si>
  <si>
    <t xml:space="preserve">BHAM MIDSHIRES        020010556389/35299    </t>
  </si>
  <si>
    <t>BEALS ESTATE AGENT    FLAT 68 ALHAMBRA R BGC</t>
  </si>
  <si>
    <t>BEALS ESTATE AGENT    FLAT 412-14 ALHAMB BGC</t>
  </si>
  <si>
    <t>M&amp;S SIMPLY FOOD       ON 09 DEC          CLP</t>
  </si>
  <si>
    <t>CO-OP GROUP PETROL    ON 10 DEC          CLP</t>
  </si>
  <si>
    <t>CASH</t>
  </si>
  <si>
    <t xml:space="preserve">NAT WEST BANK         SOUTHSEA PALM RD 3    </t>
  </si>
  <si>
    <t>BP MOTO TODDINGTON    ON 09 DEC          BCC</t>
  </si>
  <si>
    <t>NEW COUNTY SERVICE    ON 09 DEC          BCC</t>
  </si>
  <si>
    <t xml:space="preserve">BHAM MIDSHIRES        020009309942/35735    </t>
  </si>
  <si>
    <t xml:space="preserve">BHAM MIDSHIRES        020000389757/37175    </t>
  </si>
  <si>
    <t>SMART AERIALS         M TUCKER 114       BBP</t>
  </si>
  <si>
    <t>BEALS ESTATE AGENT    FLAT 174-6 ALHAMBR BGC</t>
  </si>
  <si>
    <t>ARGOS RETAIL GROUP    ON 13 DEC          BCC</t>
  </si>
  <si>
    <t>BEALS ESTATE AGENT    FLAT 116-18 ALHAMB BGC</t>
  </si>
  <si>
    <t>TESCO STORE 2105      ON 14 DEC          BCC</t>
  </si>
  <si>
    <t>Watch Shop Ltd        ON 14 DEC          BCC</t>
  </si>
  <si>
    <t>WWW.HSAMUEL.CO.UK     ON 13 DEC          BCC</t>
  </si>
  <si>
    <t xml:space="preserve">PLATFORM FUNDING      01050228979115        </t>
  </si>
  <si>
    <t xml:space="preserve">PLATFORM FUNDING      01050228957650        </t>
  </si>
  <si>
    <t>BEALS ESTATE AGENT    SHOP196 KINGSTON R BGC</t>
  </si>
  <si>
    <t>BP BEDFORD EXPRESS    ON 14 DEC          CLP</t>
  </si>
  <si>
    <t xml:space="preserve">BHAM MIDSHIRES        020010557032/41445    </t>
  </si>
  <si>
    <t xml:space="preserve">BHAM MIDSHIRES        020004110676/41435    </t>
  </si>
  <si>
    <t>BEALS ESTATE AGENT    23B HAMPSHIRE TERR BGC</t>
  </si>
  <si>
    <t>BEALS ESTATE AGENT    FLAT 58 ALHAMBRA R BGC</t>
  </si>
  <si>
    <t>BEALS ESTATE AGENT    FLAT 616-18 ALHAMB BGC</t>
  </si>
  <si>
    <t>BP BEDFORD EXPRESS    ON 17 DEC          CLP</t>
  </si>
  <si>
    <t xml:space="preserve">BHAM MIDSHIRES        020003649652/41838    </t>
  </si>
  <si>
    <t>BEALS ESTATE AGENT    FLAT 194-6 ALHAMBR BGC</t>
  </si>
  <si>
    <t>BEALS ESTATE AGENT    FLAT 1169 FAWCETT  BGC</t>
  </si>
  <si>
    <t>BEALS ESTATE AGENT    FLAT 1316-18 ALHAM BGC</t>
  </si>
  <si>
    <t>BEALS ESTATE AGENT    FLAT 1012-14 ALHAM BGC</t>
  </si>
  <si>
    <t>BEALS ESTATE AGENT    FLAT 2171 FAWCETT  BGC</t>
  </si>
  <si>
    <t>BEALS ESTATE AGENT    FLAT 4163 FRATTON  BGC</t>
  </si>
  <si>
    <t>BEALS ESTATE AGENT    FLAT 712-14 ALHAMB BGC</t>
  </si>
  <si>
    <t>BEALS ESTATE AGENT    FLAT 2169 FAWCETT  BGC</t>
  </si>
  <si>
    <t>BEALS ESTATE AGENT    FLAT 3163 FRATTON  BGC</t>
  </si>
  <si>
    <t>BEALS ESTATE AGENT    FLAT 2163 FRATTON  BGC</t>
  </si>
  <si>
    <t>BEALS ESTATE AGENT    FLAT 1116-18 ALHAM BGC</t>
  </si>
  <si>
    <t>BEALS ESTATE AGENT    FLAT 184-6 ALHAMBR BGC</t>
  </si>
  <si>
    <t>BEALS ESTATE AGENT    FLAT 3169 FAWCETT  BGC</t>
  </si>
  <si>
    <t>BEALS ESTATE AGENT    FLAT 1321 LONDON R BGC</t>
  </si>
  <si>
    <t xml:space="preserve">BHAM MIDSHIRES        020007882432/46801    </t>
  </si>
  <si>
    <t>BEALS ESTATE AGENT    FLAT 2321 LONDON R BGC</t>
  </si>
  <si>
    <t>TESCO STORE 2105      ON 22 DEC          BCC</t>
  </si>
  <si>
    <t>BEALS ESTATE AGENT    FLAT 4321 LONDON R BGC</t>
  </si>
  <si>
    <t>NEW COUNTY SERVICE    ON 26 DEC          CLP</t>
  </si>
  <si>
    <t>WINCHESTER S/W COS    ON 27 DEC          CLP</t>
  </si>
  <si>
    <t>TESCO STORE 2547      ON 24 DEC          BCC</t>
  </si>
  <si>
    <t>NEW COUNTY SERVICE    ON 27 DEC          BCC</t>
  </si>
  <si>
    <t>NEW COUNTY SERVICE    ON 24 DEC          BCC</t>
  </si>
  <si>
    <t>NEW COUNTY SERVICE    ON 26 DEC          BCC</t>
  </si>
  <si>
    <t>200574 24DEC 12.25    FLITWICK           ATM</t>
  </si>
  <si>
    <t>G&amp;F VALENTINO         MTUCKER            STO</t>
  </si>
  <si>
    <t>WINCHESTER S/W BK     ON 27 DEC          CLP</t>
  </si>
  <si>
    <t>BHAM MIDSHIRES        020002731371/28015 DDR</t>
  </si>
  <si>
    <t>NEW COUNTY SERVICE    ON 29 DEC          CLP</t>
  </si>
  <si>
    <t>MORTGAGE TRUST        002197389 10198620 DDR</t>
  </si>
  <si>
    <t>MORTGAGE TRUST        002186357 10198620 DDR</t>
  </si>
  <si>
    <t>MORTGAGE TRUST        002186356 10198620 DDR</t>
  </si>
  <si>
    <t>MORTGAGE TRUST        002186317 10198620 DDR</t>
  </si>
  <si>
    <t>20-53-30 30728691</t>
  </si>
  <si>
    <t>STO</t>
  </si>
  <si>
    <t>TUCKER MS     %0 P    205330 30728691    STO</t>
  </si>
  <si>
    <t>BAKER AND ELDER L     MTUCKER-NOV16      BBP</t>
  </si>
  <si>
    <t xml:space="preserve">207409 60458872       MORTGAGES          FT </t>
  </si>
  <si>
    <t xml:space="preserve">207409 60458872       MOBILE-CHANNEL     FT </t>
  </si>
  <si>
    <t>ALHAMBRA ROAD MANA    209254 83672832    STO</t>
  </si>
  <si>
    <t>ALHAMBRA ROAD MANA    209254 13686035    STO</t>
  </si>
  <si>
    <t>ALHAMBRA ROAD MANA    209254 23534332    STO</t>
  </si>
  <si>
    <t>NATIONWIDE            0604/229172770     STO</t>
  </si>
  <si>
    <t>NRAM                  24935234           DDR</t>
  </si>
  <si>
    <t>MORTGAGE EXPRESS      2007093270021884   DDR</t>
  </si>
  <si>
    <t>PLATFORM FUNDING      01050229961090     DDR</t>
  </si>
  <si>
    <t>PLATFORM FUNDING      01050228964703     DDR</t>
  </si>
  <si>
    <t>MORTGAGE EXPRESS      MEC00005/480016104 DDR</t>
  </si>
  <si>
    <t>AMBER HOMELOANS       AHG00001/480441702 DDR</t>
  </si>
  <si>
    <t xml:space="preserve">205330 70074675       MOBILE-CHANNEL     FT </t>
  </si>
  <si>
    <t>BAKER &amp; ELDER LIMI    LONDON F4 321      BGC</t>
  </si>
  <si>
    <t>BAKER &amp; ELDER LIMI    ALHAM F8 8         BGC</t>
  </si>
  <si>
    <t>BAKER &amp; ELDER LIMI    ALHAM F18 4/6      BGC</t>
  </si>
  <si>
    <t>LEGAL &amp; GEN MI C/L    011439921-5        DDR</t>
  </si>
  <si>
    <t xml:space="preserve">207409 60458872    FT </t>
  </si>
  <si>
    <t>KINGSTON UNITY        PL684048A VALENTNO STO</t>
  </si>
  <si>
    <t>MORTGAGE EXPRESS      2016485220021888   DDR</t>
  </si>
  <si>
    <t>SHEPHERDS FS          PN026484A          DDR</t>
  </si>
  <si>
    <t>BEALS ESTATE AGENT    FLAT 78 ALHAMBRA R BGC</t>
  </si>
  <si>
    <t>BHAM MIDSHIRES        020007900597/89565 DDR</t>
  </si>
  <si>
    <t>BEALS ESTATE AGENT    FLAT 312-14 ALHAMB BGC</t>
  </si>
  <si>
    <t>FRIENDS LIFE          014033997          DDR</t>
  </si>
  <si>
    <t>EE &amp; T-MOBILE         Q20664165674854018 DDR</t>
  </si>
  <si>
    <t>BEALS ESTATE AGENT    F234-6 ALHAMBRA RD BGC</t>
  </si>
  <si>
    <t>BEALS ESTATE AGENT    FLAT 3171 FAWCETT  BGC</t>
  </si>
  <si>
    <t>BT GROUP PLC          GB14092007-000027  DDR</t>
  </si>
  <si>
    <t>MORTGAGE EXPRESS      2008784100021898   DDR</t>
  </si>
  <si>
    <t>MORTGAGE EXPRESS      2007664780021898   DDR</t>
  </si>
  <si>
    <t>MORTGAGE EXPRESS      2007545340021898   DDR</t>
  </si>
  <si>
    <t>MORTGAGE EXPRESS      2007544710021898   DDR</t>
  </si>
  <si>
    <t>MORTGAGE EXPRESS      2007107670021898   DDR</t>
  </si>
  <si>
    <t>MORTGAGE EXPRESS      2006332310021898   DDR</t>
  </si>
  <si>
    <t>MORTGAGE EXPRESS      2005787290021898   DDR</t>
  </si>
  <si>
    <t>PLATFORM FUNDING      01050228957685     DDR</t>
  </si>
  <si>
    <t>BEALS ESTATE AGENT    23C HAMPSHIRE TERR BGC</t>
  </si>
  <si>
    <t>OTH</t>
  </si>
  <si>
    <t>PREM NO/PR            HITCHIN            TFR</t>
  </si>
  <si>
    <t>CHQ</t>
  </si>
  <si>
    <t>BEALS ESTATE AGENT    FLAT 234-6 ALHAMBR BGC</t>
  </si>
  <si>
    <t>BEALS ESTATE AGENT    FLAT 224-6 ALHAMBR BGC</t>
  </si>
  <si>
    <t xml:space="preserve">207409 40406538       MOBILE-CHANNEL     FT </t>
  </si>
  <si>
    <t>SKY DIGITAL           00620054164228     DDR</t>
  </si>
  <si>
    <t>BEALS ESTATE AGENT    FLAT 1612-14 ALHAM BGC</t>
  </si>
  <si>
    <t>BEALS ESTATE AGENT    FLAT 1112-14 ALHAM BGC</t>
  </si>
  <si>
    <t>BEALS ESTATE AGENT    FLAT 716-18 ALHAMB BGC</t>
  </si>
  <si>
    <t>BEALS ESTATE AGENT    FLAT 1216-18 ALHAM BGC</t>
  </si>
  <si>
    <t>BEALS ESTATE AGENT    196B KINGSTON ROAD BGC</t>
  </si>
  <si>
    <t>BEALS ESTATE AGENT    FLAT 316-18 ALHAMB BGC</t>
  </si>
  <si>
    <t>BEALS ESTATE AGENT    FLAT 1616-18 ALHAM BGC</t>
  </si>
  <si>
    <t>BEALS ESTATE AGENT    FLAT 512-14 ALHAMB BGC</t>
  </si>
  <si>
    <t>BEALS ESTATE AGENT    FLAT 88 ALHAMBRA R BGC</t>
  </si>
  <si>
    <t>MR MATTHEW STUART     207409 40406538    STO</t>
  </si>
  <si>
    <t>BOOTS REWARDSCHEME    A45028400000736    DDR</t>
  </si>
  <si>
    <t>F VALENTINO           RENT               STO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</si>
  <si>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</si>
  <si>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</si>
  <si>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</si>
  <si>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</si>
  <si>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</si>
  <si>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</si>
  <si>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Shared Costs in 4040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</si>
  <si>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</si>
  <si>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</si>
  <si>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</si>
  <si>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</si>
  <si>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</si>
  <si>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</si>
  <si>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</si>
  <si>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</si>
  <si>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</si>
  <si>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</si>
  <si>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</si>
  <si>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</si>
  <si>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</si>
  <si>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</si>
  <si>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</si>
  <si>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</si>
  <si>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{"*4040*","NEW COUNTY*","TESCO STORE*","BP BEDFORD EXPRESS*"}</t>
  </si>
  <si>
    <t>Ivana Contact Lenses</t>
  </si>
  <si>
    <t>"BOOTS REWARDSCHEME*"</t>
  </si>
  <si>
    <t>Hilltop Loan</t>
  </si>
  <si>
    <t>"G&amp;F VALENTINO*"</t>
  </si>
  <si>
    <t>"F VALENTINO*"</t>
  </si>
  <si>
    <t>MT fixed contribution 1st of month</t>
  </si>
  <si>
    <t>{"*3072*STO"}</t>
  </si>
  <si>
    <t>Net difference to be paid by MT</t>
  </si>
  <si>
    <t>Notes</t>
  </si>
  <si>
    <t>MT paid for all presents and other bits over Christmas</t>
  </si>
  <si>
    <t>Data Import Stats</t>
  </si>
  <si>
    <t>Statement Number</t>
  </si>
  <si>
    <t>Description</t>
  </si>
  <si>
    <t>Import</t>
  </si>
  <si>
    <t>Other Bills</t>
  </si>
  <si>
    <t>Profit</t>
  </si>
  <si>
    <t>BK</t>
  </si>
  <si>
    <t>BK,MT</t>
  </si>
  <si>
    <t>100083</t>
  </si>
  <si>
    <t>EX</t>
  </si>
  <si>
    <t>RT</t>
  </si>
  <si>
    <t>MF</t>
  </si>
  <si>
    <t>PM</t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</si>
  <si>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</si>
  <si>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</si>
  <si>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</si>
  <si>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</si>
  <si>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</si>
  <si>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</si>
  <si>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</si>
  <si>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</si>
  <si>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</si>
  <si>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</si>
  <si>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N Olsen (09/06/2014 - present)</t>
  </si>
  <si>
    <t>Mr Peter Grant (15/08/2016 - present)</t>
  </si>
  <si>
    <t>Martin Brett (14/04/2010 -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</si>
  <si>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</si>
  <si>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</si>
  <si>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</si>
  <si>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</si>
  <si>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Syasya Aristoteies (14/12/2016 - present)</t>
  </si>
  <si>
    <t>Miss Sandra Namataka &amp; Miss Leilah Nakamaanya (01/09/2015 - present)</t>
  </si>
  <si>
    <t>Miss S Smith (14/10/2016 - present)</t>
  </si>
  <si>
    <t>Mr Hinks (08/11/2013 - present)</t>
  </si>
  <si>
    <t>Francis Brooker (05/12/2016 -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</si>
  <si>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</si>
  <si>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</si>
  <si>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</si>
  <si>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</si>
  <si>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</si>
  <si>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Mr Prior (30/03/2016 - present)</t>
  </si>
  <si>
    <t>Ms Sally Taylor (04/06/2014 - present)</t>
  </si>
  <si>
    <t>Ms S Ryan (10/09/2013 - present)</t>
  </si>
  <si>
    <t>Mr Tudor (08/07/2016 - present)</t>
  </si>
  <si>
    <t>Mr Hopkinson (08/01/2016 -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</si>
  <si>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</si>
  <si>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</si>
  <si>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</si>
  <si>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</si>
  <si>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</si>
  <si>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</si>
  <si>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</si>
  <si>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C Stark (21/06/2010 - present)</t>
  </si>
  <si>
    <t>Taperek (11/12/2009 - present)</t>
  </si>
  <si>
    <t>Mr A Young (08/04/2008 - present)</t>
  </si>
  <si>
    <t>J Flegg (23/04/2013 - present)</t>
  </si>
  <si>
    <t>Mr Jason Passmore (19/09/2016 - present)</t>
  </si>
  <si>
    <t>Mr Lewis (03/04/2013 - present)</t>
  </si>
  <si>
    <t>Michala Mason (30/11/2016 -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</si>
  <si>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</si>
  <si>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</si>
  <si>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</si>
  <si>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</si>
  <si>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</si>
  <si>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</si>
  <si>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</si>
  <si>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Type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</si>
  <si>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</si>
  <si>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</si>
  <si>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</si>
  <si>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</si>
  <si>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</si>
  <si>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</si>
  <si>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</si>
  <si>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</si>
  <si>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</si>
  <si>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20-74-09 40406538</t>
  </si>
  <si>
    <t>MCDONALDS             ON 01 DEC          CLP</t>
  </si>
  <si>
    <t>BP BEDFORD EXPRESS    ON 30 NOV          CLP</t>
  </si>
  <si>
    <t>NO LIMITZ             ON 01 DEC          BCC</t>
  </si>
  <si>
    <t>BP BEDFORD EXPRESS    ON 30 NOV          BCC</t>
  </si>
  <si>
    <t>TESCO STORE 2105      ON 02 DEC          CLP</t>
  </si>
  <si>
    <t>BP NEWHAM AVENUE C    ON 01 DEC          CLP</t>
  </si>
  <si>
    <t>TESCO STORE 2547      ON 03 DEC          BCC</t>
  </si>
  <si>
    <t>BP NEWHAM AVENUE C    ON 01 DEC          BCC</t>
  </si>
  <si>
    <t>MARKS&amp;SPENCER PLC     ON 05 DEC          CLP</t>
  </si>
  <si>
    <t>TESCO STORE 2547      ON 05 DEC          CLP</t>
  </si>
  <si>
    <t>BP BEDFORD EXPRESS    ON 04 DEC          CLP</t>
  </si>
  <si>
    <t>TESCO PFS 3943        ON 05 DEC          CLP</t>
  </si>
  <si>
    <t>TESCO STORE 2105      ON 06 DEC          CLP</t>
  </si>
  <si>
    <t>COSTA COFFEE 43035    ON 06 DEC          CLP</t>
  </si>
  <si>
    <t>MARKS&amp;SPENCER PLC     ON 07 DEC          BCC</t>
  </si>
  <si>
    <t>MCDONALDS             ON 08 DEC          CLP</t>
  </si>
  <si>
    <t>TOYS R US             ON 08 DEC          CLP</t>
  </si>
  <si>
    <t>TESCO STORE 2105      ON 09 DEC          CLP</t>
  </si>
  <si>
    <t>TIMPSON LTD           ON 10 DEC          CLP</t>
  </si>
  <si>
    <t>MARKS&amp;SPENCER PLC     ON 09 DEC          CLP</t>
  </si>
  <si>
    <t>FROSTS GARDEN CENT    ON 11 DEC          CLP</t>
  </si>
  <si>
    <t>BOOTS</t>
  </si>
  <si>
    <t>BEDFORD         ON 09 DEC          BCC</t>
  </si>
  <si>
    <t>TESCO STORE 2547      ON 10 DEC          BCC</t>
  </si>
  <si>
    <t>FROSTS GARDEN CENT    ON 11 DEC          BCC</t>
  </si>
  <si>
    <t>BP BEDFORD EXPRESS    ON 08 DEC          BCC</t>
  </si>
  <si>
    <t>MCDONALDS             ON 12 DEC          CLP</t>
  </si>
  <si>
    <t>MERCEDES BENZ B/SH    ON 13 DEC          CPM</t>
  </si>
  <si>
    <t>CO-OP GROUP 310244    ON 13 DEC          BCC</t>
  </si>
  <si>
    <t>TESCO PAY AT PUMP     ON 13 DEC          BCC</t>
  </si>
  <si>
    <t>JEWSON LIMITED        ON 13 DEC          BCC</t>
  </si>
  <si>
    <t>T K MAXX              ON 15 DEC          CLP</t>
  </si>
  <si>
    <t>WILKO BEDFORD INT     ON 15 DEC          CLP</t>
  </si>
  <si>
    <t>WAITROSE              ON 15 DEC          BCC</t>
  </si>
  <si>
    <t xml:space="preserve">MBUK LTD              0376305421 1527202    </t>
  </si>
  <si>
    <t>REFUND</t>
  </si>
  <si>
    <t>BP NEWHAM AVENUE C    ON 17 DEC          CLR</t>
  </si>
  <si>
    <t>SPORTSDIRECT 233      ON 16 DEC          CLP</t>
  </si>
  <si>
    <t>BP NEWHAM AVENUE C    ON 17 DEC          CLP</t>
  </si>
  <si>
    <t>KIDS WORLD            ON 16 DEC          CLP</t>
  </si>
  <si>
    <t>MCDONALDS             ON 16 DEC          CLP</t>
  </si>
  <si>
    <t>TESCO STORE 2547      ON 19 DEC          CLP</t>
  </si>
  <si>
    <t>TESCO STORE 2547      ON 19 DEC          BCC</t>
  </si>
  <si>
    <t>TESCO STORES-2105     ON 20 DEC          CLP</t>
  </si>
  <si>
    <t>TESCO STORE 2105      ON 20 DEC          CLP</t>
  </si>
  <si>
    <t>BOOTS 6407            ON 20 DEC          BCC</t>
  </si>
  <si>
    <t>WWW.APATCHY.CO.UK     ON 20 DEC          BCC</t>
  </si>
  <si>
    <t>LEXUS FINANCIAL SE    000002430877/9     DDR</t>
  </si>
  <si>
    <t>BP BEDFORD EXPRESS    ON 20 DEC          BCC</t>
  </si>
  <si>
    <t>TUCK&amp;VALEN HSE%0 P    207409 40406538    STO</t>
  </si>
  <si>
    <t>MARKS&amp;SPENCER PLC     ON 23 DEC          CLP</t>
  </si>
  <si>
    <t>T K MAXX              ON 24 DEC          CLP</t>
  </si>
  <si>
    <t>TESCO STORE 2547      ON 23 DEC          BCC</t>
  </si>
  <si>
    <t>T K MAXX              ON 24 DEC          BCC</t>
  </si>
  <si>
    <t>RIVER ISLAND 888      ON 23 DEC          BCC</t>
  </si>
  <si>
    <t>CO-OP GROUP 310252    ON 29 DEC          CLP</t>
  </si>
  <si>
    <t>BOOTS 6407            ON 29 DEC          CLP</t>
  </si>
  <si>
    <t>POUNDSTRETCHER 075    ON 29 DEC          BCC</t>
  </si>
  <si>
    <t>TESCO STORES-2105     ON 30 NOV          BCC</t>
  </si>
  <si>
    <t>X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</si>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</sst>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4" x14ac:knownFonts="1">
    <font>
      <sz val="10"/>
      <name val="Arial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i/>
      <sz val="11"/>
      <name val="Calibri"/>
      <family val="2"/>
    </font>
    <font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42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0" fontId="9" fillId="0" borderId="0" xfId="0" applyFont="1" applyProtection="1"/>
    <xf numFmtId="0" fontId="0" fillId="0" borderId="0" xfId="0" applyProtection="1"/>
    <xf numFmtId="0" fontId="5" fillId="0" borderId="0" xfId="0" applyFont="1" applyBorder="1" applyProtection="1"/>
    <xf numFmtId="0" fontId="5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7" fillId="2" borderId="1" xfId="0" applyNumberFormat="1" applyFont="1" applyFill="1" applyBorder="1" applyAlignment="1" applyProtection="1">
      <alignment wrapText="1"/>
    </xf>
    <xf numFmtId="0" fontId="7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7" fillId="0" borderId="0" xfId="0" applyNumberFormat="1" applyFont="1" applyBorder="1" applyProtection="1"/>
    <xf numFmtId="0" fontId="0" fillId="3" borderId="4" xfId="0" applyFill="1" applyBorder="1" applyProtection="1"/>
    <xf numFmtId="0" fontId="7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2" fillId="0" borderId="0" xfId="0" applyFont="1" applyProtection="1"/>
    <xf numFmtId="0" fontId="12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1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2" fillId="3" borderId="9" xfId="0" applyFont="1" applyFill="1" applyBorder="1"/>
    <xf numFmtId="0" fontId="2" fillId="3" borderId="10" xfId="0" applyFont="1" applyFill="1" applyBorder="1"/>
    <xf numFmtId="0" fontId="7" fillId="4" borderId="3" xfId="0" applyNumberFormat="1" applyFont="1" applyFill="1" applyBorder="1" applyAlignment="1" applyProtection="1">
      <alignment wrapText="1"/>
    </xf>
    <xf numFmtId="0" fontId="7" fillId="5" borderId="11" xfId="0" applyNumberFormat="1" applyFont="1" applyFill="1" applyBorder="1" applyAlignment="1" applyProtection="1">
      <alignment vertical="top" wrapText="1"/>
    </xf>
    <xf numFmtId="0" fontId="7" fillId="5" borderId="12" xfId="0" applyNumberFormat="1" applyFont="1" applyFill="1" applyBorder="1" applyAlignment="1" applyProtection="1">
      <alignment horizontal="left" wrapText="1"/>
    </xf>
    <xf numFmtId="0" fontId="7" fillId="5" borderId="13" xfId="0" applyNumberFormat="1" applyFont="1" applyFill="1" applyBorder="1" applyAlignment="1" applyProtection="1">
      <alignment horizontal="left" wrapText="1"/>
    </xf>
    <xf numFmtId="167" fontId="7" fillId="5" borderId="5" xfId="0" applyNumberFormat="1" applyFont="1" applyFill="1" applyBorder="1" applyAlignment="1" applyProtection="1">
      <alignment wrapText="1"/>
    </xf>
    <xf numFmtId="167" fontId="8" fillId="5" borderId="5" xfId="0" applyNumberFormat="1" applyFont="1" applyFill="1" applyBorder="1" applyAlignment="1" applyProtection="1">
      <alignment wrapText="1"/>
    </xf>
    <xf numFmtId="0" fontId="7" fillId="5" borderId="5" xfId="0" applyNumberFormat="1" applyFont="1" applyFill="1" applyBorder="1" applyAlignment="1" applyProtection="1">
      <alignment wrapText="1"/>
    </xf>
    <xf numFmtId="0" fontId="13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6" fillId="5" borderId="9" xfId="0" applyFont="1" applyFill="1" applyBorder="1"/>
    <xf numFmtId="0" fontId="0" fillId="0" borderId="5" xfId="0" applyBorder="1" applyProtection="1"/>
    <xf numFmtId="0" fontId="11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3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4" fillId="0" borderId="0" xfId="0" applyFont="1"/>
    <xf numFmtId="0" fontId="7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4" fillId="5" borderId="6" xfId="0" applyFont="1" applyFill="1" applyBorder="1" applyProtection="1">
      <protection locked="0"/>
    </xf>
    <xf numFmtId="0" fontId="4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2" fillId="6" borderId="0" xfId="0" applyFont="1" applyFill="1"/>
    <xf numFmtId="0" fontId="4" fillId="7" borderId="6" xfId="0" applyFont="1" applyFill="1" applyBorder="1" applyProtection="1">
      <protection locked="0"/>
    </xf>
    <xf numFmtId="1" fontId="1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14" fontId="17" fillId="0" borderId="0" xfId="0" applyNumberFormat="1" applyFont="1"/>
    <xf numFmtId="0" fontId="2" fillId="0" borderId="0" xfId="0" applyFont="1" applyBorder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2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4" fillId="7" borderId="6" xfId="0" applyNumberFormat="1" applyFont="1" applyFill="1" applyBorder="1" applyProtection="1">
      <protection locked="0"/>
    </xf>
    <xf numFmtId="166" fontId="4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3" fillId="7" borderId="6" xfId="0" applyNumberFormat="1" applyFont="1" applyFill="1" applyBorder="1" applyAlignment="1" applyProtection="1">
      <alignment horizontal="center" wrapText="1"/>
    </xf>
    <xf numFmtId="167" fontId="4" fillId="7" borderId="9" xfId="0" applyNumberFormat="1" applyFont="1" applyFill="1" applyBorder="1" applyProtection="1">
      <protection locked="0"/>
    </xf>
    <xf numFmtId="166" fontId="4" fillId="7" borderId="9" xfId="0" applyNumberFormat="1" applyFont="1" applyFill="1" applyBorder="1" applyAlignment="1" applyProtection="1">
      <alignment horizontal="center"/>
      <protection locked="0"/>
    </xf>
    <xf numFmtId="166" fontId="14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4" fillId="7" borderId="7" xfId="0" applyNumberFormat="1" applyFont="1" applyFill="1" applyBorder="1" applyAlignment="1" applyProtection="1">
      <alignment horizontal="center"/>
      <protection locked="0"/>
    </xf>
    <xf numFmtId="167" fontId="4" fillId="7" borderId="14" xfId="0" applyNumberFormat="1" applyFont="1" applyFill="1" applyBorder="1" applyProtection="1">
      <protection locked="0"/>
    </xf>
    <xf numFmtId="166" fontId="4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3" fillId="7" borderId="14" xfId="0" applyNumberFormat="1" applyFont="1" applyFill="1" applyBorder="1" applyAlignment="1" applyProtection="1">
      <alignment horizontal="center" wrapText="1"/>
    </xf>
    <xf numFmtId="168" fontId="6" fillId="7" borderId="5" xfId="0" applyNumberFormat="1" applyFont="1" applyFill="1" applyBorder="1" applyAlignment="1" applyProtection="1">
      <alignment horizontal="left" vertical="center"/>
      <protection locked="0"/>
    </xf>
    <xf numFmtId="167" fontId="4" fillId="7" borderId="9" xfId="0" applyNumberFormat="1" applyFont="1" applyFill="1" applyBorder="1" applyAlignment="1" applyProtection="1">
      <alignment horizontal="center"/>
      <protection locked="0"/>
    </xf>
    <xf numFmtId="167" fontId="4" fillId="7" borderId="9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4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18" fillId="0" borderId="0" xfId="0" applyNumberFormat="1" applyFont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4" fillId="7" borderId="6" xfId="0" applyNumberFormat="1" applyFon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8" borderId="0" xfId="0" applyFill="1"/>
    <xf numFmtId="0" fontId="22" fillId="0" borderId="0" xfId="0" applyFont="1"/>
    <xf numFmtId="14" fontId="0" fillId="0" borderId="0" xfId="0" applyNumberFormat="1"/>
    <xf numFmtId="166" fontId="4" fillId="6" borderId="6" xfId="0" applyNumberFormat="1" applyFont="1" applyFill="1" applyBorder="1" applyAlignment="1" applyProtection="1">
      <alignment horizontal="center"/>
      <protection locked="0"/>
    </xf>
    <xf numFmtId="0" fontId="0" fillId="9" borderId="0" xfId="0" applyFill="1"/>
    <xf numFmtId="14" fontId="0" fillId="0" borderId="0" xfId="0" applyNumberFormat="1" applyFont="1"/>
    <xf numFmtId="14" fontId="4" fillId="0" borderId="0" xfId="0" applyNumberFormat="1" applyFont="1"/>
    <xf numFmtId="14" fontId="11" fillId="0" borderId="0" xfId="0" applyNumberFormat="1" applyFont="1"/>
    <xf numFmtId="0" fontId="4" fillId="0" borderId="0" xfId="0" quotePrefix="1" applyFont="1"/>
    <xf numFmtId="22" fontId="0" fillId="6" borderId="0" xfId="0" applyNumberFormat="1" applyFill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133350</xdr:rowOff>
        </xdr:from>
        <xdr:to>
          <xdr:col>6</xdr:col>
          <xdr:colOff>285750</xdr:colOff>
          <xdr:row>3</xdr:row>
          <xdr:rowOff>104775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9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Redefine Data Ranges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</xdr:row>
          <xdr:rowOff>9525</xdr:rowOff>
        </xdr:from>
        <xdr:to>
          <xdr:col>16</xdr:col>
          <xdr:colOff>85725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A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V65532"/>
  <sheetViews>
    <sheetView showGridLines="0" topLeftCell="A4" zoomScale="70" zoomScaleNormal="70" workbookViewId="0">
      <selection activeCell="N62" sqref="N62"/>
    </sheetView>
  </sheetViews>
  <sheetFormatPr defaultRowHeight="12.75" x14ac:dyDescent="0.2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 x14ac:dyDescent="0.25">
      <c r="A1" s="6" t="s">
        <v>134</v>
      </c>
    </row>
    <row r="3" spans="1:22" ht="15" x14ac:dyDescent="0.2">
      <c r="A3" s="8" t="s">
        <v>31</v>
      </c>
      <c r="B3" s="94">
        <v>42735</v>
      </c>
    </row>
    <row r="4" spans="1:22" ht="14.25" x14ac:dyDescent="0.2">
      <c r="A4" s="9"/>
      <c r="B4" s="9"/>
    </row>
    <row r="5" spans="1:22" ht="14.25" customHeight="1" x14ac:dyDescent="0.2">
      <c r="A5" s="61" t="s">
        <v>923</v>
      </c>
      <c r="B5" s="43"/>
      <c r="C5" s="10"/>
      <c r="D5" s="10"/>
    </row>
    <row r="6" spans="1:22" x14ac:dyDescent="0.2">
      <c r="A6" s="11"/>
      <c r="Q6" s="21"/>
    </row>
    <row r="7" spans="1:22" ht="28.5" x14ac:dyDescent="0.2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926</v>
      </c>
      <c r="M7" s="31" t="s">
        <v>927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399</v>
      </c>
      <c r="T7" s="31" t="s">
        <v>419</v>
      </c>
      <c r="U7" s="31" t="s">
        <v>464</v>
      </c>
      <c r="V7" s="31" t="s">
        <v>20</v>
      </c>
    </row>
    <row r="8" spans="1:22" ht="19.5" customHeight="1" x14ac:dyDescent="0.2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 x14ac:dyDescent="0.2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8" t="str">
        <f>IF(F9-G9-H9-I9-L9&lt;&gt;0, F9-G9-H9-I9-L9,"")</f>
        <v/>
      </c>
      <c r="N9" s="47"/>
      <c r="O9" s="82"/>
      <c r="P9" s="46">
        <f>IFERROR(IF(M9-O9&lt;&gt;0,M9-O9,""),-O9)</f>
        <v>0</v>
      </c>
      <c r="Q9" s="95"/>
      <c r="R9" s="58"/>
      <c r="S9" s="74" t="s">
        <v>197</v>
      </c>
      <c r="T9" s="75"/>
      <c r="U9" s="75"/>
      <c r="V9" s="75">
        <v>2</v>
      </c>
    </row>
    <row r="10" spans="1:22" ht="12.75" customHeight="1" x14ac:dyDescent="0.2">
      <c r="A10" s="29" t="s">
        <v>53</v>
      </c>
      <c r="B10" s="23" t="s">
        <v>935</v>
      </c>
      <c r="C10" s="27" t="s">
        <v>95</v>
      </c>
      <c r="D10" s="81">
        <v>42697</v>
      </c>
      <c r="E10" s="85">
        <v>42757</v>
      </c>
      <c r="F10" s="86">
        <v>884.08</v>
      </c>
      <c r="G10" s="83">
        <v>53.04</v>
      </c>
      <c r="H10" s="83">
        <v>10.61</v>
      </c>
      <c r="I10" s="84">
        <v>25</v>
      </c>
      <c r="J10" s="87">
        <v>795.43</v>
      </c>
      <c r="K10" s="85">
        <v>42724.637499999997</v>
      </c>
      <c r="L10" s="84"/>
      <c r="M10" s="128">
        <f t="shared" ref="M10:M63" si="0">IF(F10-G10-H10-I10-L10&lt;&gt;0, F10-G10-H10-I10-L10,"")</f>
        <v>795.43000000000006</v>
      </c>
      <c r="N10" s="47" t="s">
        <v>6</v>
      </c>
      <c r="O10" s="86">
        <v>141.63</v>
      </c>
      <c r="P10" s="46">
        <f t="shared" ref="P10:P63" si="1">IFERROR(IF(M10-O10&lt;&gt;0,M10-O10,""),-O10)</f>
        <v>653.80000000000007</v>
      </c>
      <c r="Q10" s="96"/>
      <c r="R10" s="47"/>
      <c r="S10" s="74" t="s">
        <v>197</v>
      </c>
      <c r="T10" s="26" t="s">
        <v>410</v>
      </c>
      <c r="U10" s="79" t="s">
        <v>420</v>
      </c>
      <c r="V10" s="79">
        <v>1</v>
      </c>
    </row>
    <row r="11" spans="1:22" ht="12.75" customHeight="1" x14ac:dyDescent="0.2">
      <c r="A11" s="29" t="s">
        <v>54</v>
      </c>
      <c r="B11" s="23" t="s">
        <v>936</v>
      </c>
      <c r="C11" s="27" t="s">
        <v>937</v>
      </c>
      <c r="D11" s="81">
        <v>42666</v>
      </c>
      <c r="E11" s="85">
        <v>42726</v>
      </c>
      <c r="F11" s="86">
        <v>657.53</v>
      </c>
      <c r="G11" s="83">
        <v>39.450000000000003</v>
      </c>
      <c r="H11" s="83">
        <v>7.89</v>
      </c>
      <c r="I11" s="84">
        <v>63</v>
      </c>
      <c r="J11" s="87">
        <v>547.19000000000005</v>
      </c>
      <c r="K11" s="85">
        <v>42727.559027777781</v>
      </c>
      <c r="L11" s="84"/>
      <c r="M11" s="128">
        <f t="shared" si="0"/>
        <v>547.18999999999994</v>
      </c>
      <c r="N11" s="47" t="s">
        <v>6</v>
      </c>
      <c r="O11" s="86">
        <v>130.22999999999999</v>
      </c>
      <c r="P11" s="46">
        <f t="shared" si="1"/>
        <v>416.95999999999992</v>
      </c>
      <c r="Q11" s="96"/>
      <c r="R11" s="47" t="s">
        <v>466</v>
      </c>
      <c r="S11" s="74" t="s">
        <v>197</v>
      </c>
      <c r="T11" s="26" t="s">
        <v>411</v>
      </c>
      <c r="U11" s="26" t="s">
        <v>421</v>
      </c>
      <c r="V11" s="26">
        <v>14</v>
      </c>
    </row>
    <row r="12" spans="1:22" ht="12.75" customHeight="1" x14ac:dyDescent="0.2">
      <c r="A12" s="29" t="s">
        <v>55</v>
      </c>
      <c r="B12" s="23" t="s">
        <v>938</v>
      </c>
      <c r="C12" s="27" t="s">
        <v>95</v>
      </c>
      <c r="D12" s="81">
        <v>42707</v>
      </c>
      <c r="E12" s="85">
        <v>42737</v>
      </c>
      <c r="F12" s="86">
        <v>600</v>
      </c>
      <c r="G12" s="83">
        <v>36</v>
      </c>
      <c r="H12" s="83">
        <v>7.2</v>
      </c>
      <c r="I12" s="84"/>
      <c r="J12" s="87">
        <v>556.79999999999995</v>
      </c>
      <c r="K12" s="85">
        <v>42709.67291666667</v>
      </c>
      <c r="L12" s="84"/>
      <c r="M12" s="128">
        <f t="shared" si="0"/>
        <v>556.79999999999995</v>
      </c>
      <c r="N12" s="47" t="s">
        <v>6</v>
      </c>
      <c r="O12" s="86">
        <v>93.49</v>
      </c>
      <c r="P12" s="46">
        <f t="shared" si="1"/>
        <v>463.30999999999995</v>
      </c>
      <c r="Q12" s="96"/>
      <c r="R12" s="47"/>
      <c r="S12" s="74" t="s">
        <v>197</v>
      </c>
      <c r="T12" s="26" t="s">
        <v>412</v>
      </c>
      <c r="U12" s="26" t="s">
        <v>422</v>
      </c>
      <c r="V12" s="26">
        <v>3</v>
      </c>
    </row>
    <row r="13" spans="1:22" ht="12.75" customHeight="1" x14ac:dyDescent="0.2">
      <c r="A13" s="29" t="s">
        <v>56</v>
      </c>
      <c r="B13" s="23" t="s">
        <v>939</v>
      </c>
      <c r="C13" s="27" t="s">
        <v>95</v>
      </c>
      <c r="D13" s="81">
        <v>42700</v>
      </c>
      <c r="E13" s="85">
        <v>42760</v>
      </c>
      <c r="F13" s="86">
        <v>884.08</v>
      </c>
      <c r="G13" s="83">
        <v>53.04</v>
      </c>
      <c r="H13" s="83">
        <v>10.61</v>
      </c>
      <c r="I13" s="84"/>
      <c r="J13" s="87">
        <v>820.43</v>
      </c>
      <c r="K13" s="85">
        <v>42732.566666666666</v>
      </c>
      <c r="L13" s="84"/>
      <c r="M13" s="128">
        <f t="shared" si="0"/>
        <v>820.43000000000006</v>
      </c>
      <c r="N13" s="47" t="s">
        <v>6</v>
      </c>
      <c r="O13" s="86">
        <v>141.66</v>
      </c>
      <c r="P13" s="46">
        <f t="shared" si="1"/>
        <v>678.7700000000001</v>
      </c>
      <c r="Q13" s="96"/>
      <c r="R13" s="47"/>
      <c r="S13" s="74" t="s">
        <v>197</v>
      </c>
      <c r="T13" s="26" t="s">
        <v>410</v>
      </c>
      <c r="U13" s="79" t="s">
        <v>423</v>
      </c>
      <c r="V13" s="79">
        <v>4</v>
      </c>
    </row>
    <row r="14" spans="1:22" ht="12.75" customHeight="1" x14ac:dyDescent="0.2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8" t="str">
        <f t="shared" si="0"/>
        <v/>
      </c>
      <c r="N14" s="47"/>
      <c r="O14" s="82"/>
      <c r="P14" s="46">
        <f t="shared" si="1"/>
        <v>0</v>
      </c>
      <c r="Q14" s="96"/>
      <c r="R14" s="47"/>
      <c r="S14" s="74" t="s">
        <v>197</v>
      </c>
      <c r="T14" s="26"/>
      <c r="U14" s="26"/>
      <c r="V14" s="26">
        <v>7</v>
      </c>
    </row>
    <row r="15" spans="1:22" ht="12.75" customHeight="1" x14ac:dyDescent="0.2">
      <c r="A15" s="29" t="s">
        <v>57</v>
      </c>
      <c r="B15" s="23" t="s">
        <v>940</v>
      </c>
      <c r="C15" s="27" t="s">
        <v>937</v>
      </c>
      <c r="D15" s="81">
        <v>42680</v>
      </c>
      <c r="E15" s="81">
        <v>42740</v>
      </c>
      <c r="F15" s="86">
        <v>743.32</v>
      </c>
      <c r="G15" s="83">
        <v>44.6</v>
      </c>
      <c r="H15" s="83">
        <v>8.92</v>
      </c>
      <c r="I15" s="84"/>
      <c r="J15" s="87">
        <v>689.8</v>
      </c>
      <c r="K15" s="85">
        <v>42724.637499999997</v>
      </c>
      <c r="L15" s="84"/>
      <c r="M15" s="128">
        <f t="shared" si="0"/>
        <v>689.80000000000007</v>
      </c>
      <c r="N15" s="47" t="s">
        <v>6</v>
      </c>
      <c r="O15" s="86">
        <v>127.6</v>
      </c>
      <c r="P15" s="46">
        <f t="shared" si="1"/>
        <v>562.20000000000005</v>
      </c>
      <c r="Q15" s="96"/>
      <c r="R15" s="47" t="s">
        <v>405</v>
      </c>
      <c r="S15" s="74" t="s">
        <v>197</v>
      </c>
      <c r="T15" s="26" t="s">
        <v>410</v>
      </c>
      <c r="U15" s="79" t="s">
        <v>424</v>
      </c>
      <c r="V15" s="79">
        <v>5</v>
      </c>
    </row>
    <row r="16" spans="1:22" ht="12.75" customHeight="1" x14ac:dyDescent="0.2">
      <c r="A16" s="29" t="s">
        <v>58</v>
      </c>
      <c r="B16" s="23" t="s">
        <v>941</v>
      </c>
      <c r="C16" s="27" t="s">
        <v>95</v>
      </c>
      <c r="D16" s="81">
        <v>42685</v>
      </c>
      <c r="E16" s="85">
        <v>42745</v>
      </c>
      <c r="F16" s="86">
        <v>884.08</v>
      </c>
      <c r="G16" s="83">
        <v>53.04</v>
      </c>
      <c r="H16" s="83">
        <v>10.61</v>
      </c>
      <c r="I16" s="84">
        <v>202</v>
      </c>
      <c r="J16" s="87">
        <v>618.42999999999995</v>
      </c>
      <c r="K16" s="85">
        <v>42724.637499999997</v>
      </c>
      <c r="L16" s="84"/>
      <c r="M16" s="128">
        <f t="shared" si="0"/>
        <v>618.43000000000006</v>
      </c>
      <c r="N16" s="47" t="s">
        <v>6</v>
      </c>
      <c r="O16" s="86">
        <v>93.99</v>
      </c>
      <c r="P16" s="46">
        <f t="shared" si="1"/>
        <v>524.44000000000005</v>
      </c>
      <c r="Q16" s="96"/>
      <c r="R16" s="47"/>
      <c r="S16" s="74" t="s">
        <v>197</v>
      </c>
      <c r="T16" s="26" t="s">
        <v>412</v>
      </c>
      <c r="U16" s="78">
        <v>907372200</v>
      </c>
      <c r="V16" s="99">
        <v>6</v>
      </c>
    </row>
    <row r="17" spans="1:22" ht="12.75" customHeight="1" x14ac:dyDescent="0.2">
      <c r="A17" s="29" t="s">
        <v>59</v>
      </c>
      <c r="B17" s="23" t="s">
        <v>942</v>
      </c>
      <c r="C17" s="27" t="s">
        <v>95</v>
      </c>
      <c r="D17" s="81">
        <v>42689</v>
      </c>
      <c r="E17" s="85">
        <v>42749</v>
      </c>
      <c r="F17" s="86">
        <v>537.94000000000005</v>
      </c>
      <c r="G17" s="83">
        <v>32.28</v>
      </c>
      <c r="H17" s="83">
        <v>6.46</v>
      </c>
      <c r="I17" s="84">
        <v>40</v>
      </c>
      <c r="J17" s="87">
        <v>459.2</v>
      </c>
      <c r="K17" s="85">
        <v>42724.637499999997</v>
      </c>
      <c r="L17" s="84"/>
      <c r="M17" s="128">
        <f t="shared" si="0"/>
        <v>459.2000000000001</v>
      </c>
      <c r="N17" s="47" t="s">
        <v>6</v>
      </c>
      <c r="O17" s="86">
        <v>126.04</v>
      </c>
      <c r="P17" s="46">
        <f t="shared" si="1"/>
        <v>333.16000000000008</v>
      </c>
      <c r="Q17" s="96"/>
      <c r="R17" s="47"/>
      <c r="S17" s="74" t="s">
        <v>197</v>
      </c>
      <c r="T17" s="26" t="s">
        <v>411</v>
      </c>
      <c r="U17" s="26" t="s">
        <v>425</v>
      </c>
      <c r="V17" s="26">
        <v>8</v>
      </c>
    </row>
    <row r="18" spans="1:22" ht="12.75" customHeight="1" x14ac:dyDescent="0.2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8" t="str">
        <f t="shared" si="0"/>
        <v/>
      </c>
      <c r="N18" s="47"/>
      <c r="O18" s="82"/>
      <c r="P18" s="46">
        <f t="shared" si="1"/>
        <v>0</v>
      </c>
      <c r="Q18" s="96"/>
      <c r="R18" s="47"/>
      <c r="S18" s="74" t="s">
        <v>396</v>
      </c>
      <c r="T18" s="26"/>
      <c r="U18" s="26"/>
      <c r="V18" s="26">
        <v>50</v>
      </c>
    </row>
    <row r="19" spans="1:22" ht="12.75" customHeight="1" x14ac:dyDescent="0.2">
      <c r="A19" s="29" t="s">
        <v>186</v>
      </c>
      <c r="B19" s="23" t="s">
        <v>943</v>
      </c>
      <c r="C19" s="27" t="s">
        <v>95</v>
      </c>
      <c r="D19" s="81">
        <v>42710</v>
      </c>
      <c r="E19" s="81">
        <v>42740</v>
      </c>
      <c r="F19" s="86">
        <v>580</v>
      </c>
      <c r="G19" s="83">
        <v>34.799999999999997</v>
      </c>
      <c r="H19" s="83">
        <v>6.96</v>
      </c>
      <c r="I19" s="84"/>
      <c r="J19" s="87">
        <v>538.24</v>
      </c>
      <c r="K19" s="85">
        <v>42711.676388888889</v>
      </c>
      <c r="L19" s="84"/>
      <c r="M19" s="128">
        <f t="shared" si="0"/>
        <v>538.24</v>
      </c>
      <c r="N19" s="47" t="s">
        <v>6</v>
      </c>
      <c r="O19" s="86">
        <v>189.14</v>
      </c>
      <c r="P19" s="46">
        <f t="shared" si="1"/>
        <v>349.1</v>
      </c>
      <c r="Q19" s="96"/>
      <c r="R19" s="47"/>
      <c r="S19" s="74" t="s">
        <v>197</v>
      </c>
      <c r="T19" s="26" t="s">
        <v>410</v>
      </c>
      <c r="U19" s="79" t="s">
        <v>426</v>
      </c>
      <c r="V19" s="79">
        <v>73</v>
      </c>
    </row>
    <row r="20" spans="1:22" ht="12.75" customHeight="1" x14ac:dyDescent="0.2">
      <c r="A20" s="29" t="s">
        <v>187</v>
      </c>
      <c r="B20" s="23" t="s">
        <v>944</v>
      </c>
      <c r="C20" s="27" t="s">
        <v>95</v>
      </c>
      <c r="D20" s="81">
        <v>42676</v>
      </c>
      <c r="E20" s="85">
        <v>42736</v>
      </c>
      <c r="F20" s="86">
        <v>461.52</v>
      </c>
      <c r="G20" s="83">
        <v>27.7</v>
      </c>
      <c r="H20" s="83">
        <v>5.54</v>
      </c>
      <c r="I20" s="84"/>
      <c r="J20" s="87">
        <v>428.28</v>
      </c>
      <c r="K20" s="85">
        <v>42724.637499999997</v>
      </c>
      <c r="L20" s="84"/>
      <c r="M20" s="128">
        <f t="shared" si="0"/>
        <v>428.28</v>
      </c>
      <c r="N20" s="47" t="s">
        <v>6</v>
      </c>
      <c r="O20" s="86">
        <v>167.33</v>
      </c>
      <c r="P20" s="46">
        <f t="shared" si="1"/>
        <v>260.94999999999993</v>
      </c>
      <c r="Q20" s="96"/>
      <c r="R20" s="64"/>
      <c r="S20" s="74" t="s">
        <v>197</v>
      </c>
      <c r="T20" s="26" t="s">
        <v>410</v>
      </c>
      <c r="U20" s="79" t="s">
        <v>427</v>
      </c>
      <c r="V20" s="79">
        <v>74</v>
      </c>
    </row>
    <row r="21" spans="1:22" ht="12.75" customHeight="1" x14ac:dyDescent="0.2">
      <c r="A21" s="29" t="s">
        <v>188</v>
      </c>
      <c r="B21" s="23" t="s">
        <v>945</v>
      </c>
      <c r="C21" s="27" t="s">
        <v>95</v>
      </c>
      <c r="D21" s="81">
        <v>42713</v>
      </c>
      <c r="E21" s="85">
        <v>42743</v>
      </c>
      <c r="F21" s="86">
        <v>500</v>
      </c>
      <c r="G21" s="83">
        <v>30</v>
      </c>
      <c r="H21" s="83">
        <v>6</v>
      </c>
      <c r="I21" s="84"/>
      <c r="J21" s="87">
        <v>464</v>
      </c>
      <c r="K21" s="85">
        <v>42716.636111111111</v>
      </c>
      <c r="L21" s="84"/>
      <c r="M21" s="128">
        <f t="shared" si="0"/>
        <v>464</v>
      </c>
      <c r="N21" s="47" t="s">
        <v>6</v>
      </c>
      <c r="O21" s="86">
        <v>203.37</v>
      </c>
      <c r="P21" s="46">
        <f t="shared" si="1"/>
        <v>260.63</v>
      </c>
      <c r="Q21" s="96"/>
      <c r="R21" s="64"/>
      <c r="S21" s="74" t="s">
        <v>397</v>
      </c>
      <c r="T21" s="26" t="s">
        <v>410</v>
      </c>
      <c r="U21" s="26" t="s">
        <v>428</v>
      </c>
      <c r="V21" s="26">
        <v>75</v>
      </c>
    </row>
    <row r="22" spans="1:22" ht="12.75" customHeight="1" x14ac:dyDescent="0.2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8" t="str">
        <f t="shared" si="0"/>
        <v/>
      </c>
      <c r="N22" s="47"/>
      <c r="O22" s="82"/>
      <c r="P22" s="46">
        <f t="shared" si="1"/>
        <v>0</v>
      </c>
      <c r="Q22" s="96"/>
      <c r="R22" s="47"/>
      <c r="S22" s="74" t="s">
        <v>197</v>
      </c>
      <c r="T22" s="26"/>
      <c r="U22" s="26"/>
      <c r="V22" s="26">
        <v>12</v>
      </c>
    </row>
    <row r="23" spans="1:22" ht="12.75" customHeight="1" x14ac:dyDescent="0.2">
      <c r="A23" s="29" t="s">
        <v>60</v>
      </c>
      <c r="B23" s="23" t="s">
        <v>946</v>
      </c>
      <c r="C23" s="27" t="s">
        <v>95</v>
      </c>
      <c r="D23" s="81">
        <v>42719</v>
      </c>
      <c r="E23" s="85">
        <v>42749</v>
      </c>
      <c r="F23" s="86">
        <v>505</v>
      </c>
      <c r="G23" s="83">
        <v>30.3</v>
      </c>
      <c r="H23" s="83">
        <v>6.06</v>
      </c>
      <c r="I23" s="84">
        <v>276</v>
      </c>
      <c r="J23" s="87">
        <v>192.64</v>
      </c>
      <c r="K23" s="85">
        <v>42724.637499999997</v>
      </c>
      <c r="L23" s="84"/>
      <c r="M23" s="128">
        <f t="shared" si="0"/>
        <v>192.64</v>
      </c>
      <c r="N23" s="47" t="s">
        <v>6</v>
      </c>
      <c r="O23" s="86">
        <v>135.4</v>
      </c>
      <c r="P23" s="46">
        <f t="shared" si="1"/>
        <v>57.239999999999981</v>
      </c>
      <c r="Q23" s="96"/>
      <c r="R23" s="47"/>
      <c r="S23" s="74" t="s">
        <v>197</v>
      </c>
      <c r="T23" s="26" t="s">
        <v>410</v>
      </c>
      <c r="U23" s="79" t="s">
        <v>429</v>
      </c>
      <c r="V23" s="79">
        <v>9</v>
      </c>
    </row>
    <row r="24" spans="1:22" ht="12.75" customHeight="1" x14ac:dyDescent="0.2">
      <c r="A24" s="29" t="s">
        <v>61</v>
      </c>
      <c r="B24" s="23" t="s">
        <v>947</v>
      </c>
      <c r="C24" s="27" t="s">
        <v>95</v>
      </c>
      <c r="D24" s="81">
        <v>42688</v>
      </c>
      <c r="E24" s="85">
        <v>42748</v>
      </c>
      <c r="F24" s="86">
        <v>796.79</v>
      </c>
      <c r="G24" s="83">
        <v>47.82</v>
      </c>
      <c r="H24" s="83">
        <v>9.56</v>
      </c>
      <c r="I24" s="84">
        <v>180</v>
      </c>
      <c r="J24" s="87">
        <v>559.41</v>
      </c>
      <c r="K24" s="85">
        <v>42724.637499999997</v>
      </c>
      <c r="L24" s="84"/>
      <c r="M24" s="128">
        <f t="shared" si="0"/>
        <v>559.41</v>
      </c>
      <c r="N24" s="47" t="s">
        <v>6</v>
      </c>
      <c r="O24" s="86">
        <v>129.29</v>
      </c>
      <c r="P24" s="46">
        <f t="shared" si="1"/>
        <v>430.12</v>
      </c>
      <c r="Q24" s="96"/>
      <c r="R24" s="47"/>
      <c r="S24" s="74" t="s">
        <v>197</v>
      </c>
      <c r="T24" s="26" t="s">
        <v>410</v>
      </c>
      <c r="U24" s="79" t="s">
        <v>430</v>
      </c>
      <c r="V24" s="79">
        <v>10</v>
      </c>
    </row>
    <row r="25" spans="1:22" ht="12.75" customHeight="1" x14ac:dyDescent="0.2">
      <c r="A25" s="29" t="s">
        <v>62</v>
      </c>
      <c r="B25" s="23" t="s">
        <v>948</v>
      </c>
      <c r="C25" s="27" t="s">
        <v>95</v>
      </c>
      <c r="D25" s="81">
        <v>42721</v>
      </c>
      <c r="E25" s="85">
        <v>42751</v>
      </c>
      <c r="F25" s="86">
        <v>393.4</v>
      </c>
      <c r="G25" s="83">
        <v>23.6</v>
      </c>
      <c r="H25" s="83">
        <v>4.72</v>
      </c>
      <c r="I25" s="84"/>
      <c r="J25" s="87">
        <v>365.08</v>
      </c>
      <c r="K25" s="85">
        <v>42724.637499999997</v>
      </c>
      <c r="L25" s="84"/>
      <c r="M25" s="128">
        <f t="shared" si="0"/>
        <v>365.07999999999993</v>
      </c>
      <c r="N25" s="47" t="s">
        <v>6</v>
      </c>
      <c r="O25" s="86">
        <v>116</v>
      </c>
      <c r="P25" s="46">
        <f t="shared" si="1"/>
        <v>249.07999999999993</v>
      </c>
      <c r="Q25" s="96"/>
      <c r="R25" s="60"/>
      <c r="S25" s="74" t="s">
        <v>197</v>
      </c>
      <c r="T25" s="26" t="s">
        <v>411</v>
      </c>
      <c r="U25" s="26" t="s">
        <v>431</v>
      </c>
      <c r="V25" s="26">
        <v>11</v>
      </c>
    </row>
    <row r="26" spans="1:22" ht="12.75" customHeight="1" x14ac:dyDescent="0.2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8" t="str">
        <f t="shared" si="0"/>
        <v/>
      </c>
      <c r="N26" s="47"/>
      <c r="O26" s="82"/>
      <c r="P26" s="46">
        <f t="shared" si="1"/>
        <v>0</v>
      </c>
      <c r="Q26" s="96"/>
      <c r="R26" s="47"/>
      <c r="S26" s="74" t="s">
        <v>396</v>
      </c>
      <c r="T26" s="26"/>
      <c r="U26" s="26"/>
      <c r="V26" s="26">
        <v>15</v>
      </c>
    </row>
    <row r="27" spans="1:22" x14ac:dyDescent="0.2">
      <c r="A27" s="29" t="s">
        <v>63</v>
      </c>
      <c r="B27" s="23" t="s">
        <v>949</v>
      </c>
      <c r="C27" s="27" t="s">
        <v>937</v>
      </c>
      <c r="D27" s="81">
        <v>42715</v>
      </c>
      <c r="E27" s="81">
        <v>42745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42718.672222222223</v>
      </c>
      <c r="L27" s="84"/>
      <c r="M27" s="128">
        <f t="shared" si="0"/>
        <v>324.8</v>
      </c>
      <c r="N27" s="47" t="s">
        <v>6</v>
      </c>
      <c r="O27" s="135">
        <v>140</v>
      </c>
      <c r="P27" s="46">
        <f t="shared" si="1"/>
        <v>184.8</v>
      </c>
      <c r="Q27" s="96"/>
      <c r="R27" s="47"/>
      <c r="S27" s="74" t="s">
        <v>197</v>
      </c>
      <c r="T27" s="26" t="s">
        <v>413</v>
      </c>
      <c r="U27" s="26" t="s">
        <v>432</v>
      </c>
      <c r="V27" s="26">
        <v>17</v>
      </c>
    </row>
    <row r="28" spans="1:22" x14ac:dyDescent="0.2">
      <c r="A28" s="29" t="s">
        <v>64</v>
      </c>
      <c r="B28" s="23" t="s">
        <v>950</v>
      </c>
      <c r="C28" s="27" t="s">
        <v>95</v>
      </c>
      <c r="D28" s="81">
        <v>42705</v>
      </c>
      <c r="E28" s="81">
        <v>42735</v>
      </c>
      <c r="F28" s="82">
        <v>520</v>
      </c>
      <c r="G28" s="83">
        <v>31.2</v>
      </c>
      <c r="H28" s="83">
        <v>6.24</v>
      </c>
      <c r="I28" s="84">
        <v>210</v>
      </c>
      <c r="J28" s="87">
        <v>272.56</v>
      </c>
      <c r="K28" s="85">
        <v>42709.67291666667</v>
      </c>
      <c r="L28" s="84"/>
      <c r="M28" s="128">
        <f t="shared" si="0"/>
        <v>272.56</v>
      </c>
      <c r="N28" s="47" t="s">
        <v>6</v>
      </c>
      <c r="O28" s="82">
        <v>165.12</v>
      </c>
      <c r="P28" s="46">
        <f t="shared" si="1"/>
        <v>107.44</v>
      </c>
      <c r="Q28" s="96"/>
      <c r="R28" s="66"/>
      <c r="S28" s="74" t="s">
        <v>197</v>
      </c>
      <c r="T28" s="26" t="s">
        <v>411</v>
      </c>
      <c r="U28" s="26" t="s">
        <v>433</v>
      </c>
      <c r="V28" s="26">
        <v>44</v>
      </c>
    </row>
    <row r="29" spans="1:22" ht="12.75" customHeight="1" x14ac:dyDescent="0.2">
      <c r="A29" s="29" t="s">
        <v>65</v>
      </c>
      <c r="B29" s="23" t="s">
        <v>951</v>
      </c>
      <c r="C29" s="27" t="s">
        <v>95</v>
      </c>
      <c r="D29" s="81">
        <v>42718</v>
      </c>
      <c r="E29" s="81">
        <v>42748</v>
      </c>
      <c r="F29" s="82">
        <v>625</v>
      </c>
      <c r="G29" s="83">
        <v>37.5</v>
      </c>
      <c r="H29" s="83">
        <v>7.5</v>
      </c>
      <c r="I29" s="84">
        <v>306</v>
      </c>
      <c r="J29" s="87">
        <v>274</v>
      </c>
      <c r="K29" s="85">
        <v>42724.637499999997</v>
      </c>
      <c r="L29" s="84"/>
      <c r="M29" s="128">
        <f t="shared" si="0"/>
        <v>274</v>
      </c>
      <c r="N29" s="60" t="s">
        <v>6</v>
      </c>
      <c r="O29" s="82">
        <v>196.17</v>
      </c>
      <c r="P29" s="46">
        <f t="shared" si="1"/>
        <v>77.830000000000013</v>
      </c>
      <c r="Q29" s="96"/>
      <c r="R29" s="66"/>
      <c r="S29" s="74" t="s">
        <v>397</v>
      </c>
      <c r="T29" s="26" t="s">
        <v>411</v>
      </c>
      <c r="U29" s="26" t="s">
        <v>434</v>
      </c>
      <c r="V29" s="26">
        <v>16</v>
      </c>
    </row>
    <row r="30" spans="1:22" ht="12.75" customHeight="1" x14ac:dyDescent="0.2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8" t="str">
        <f t="shared" si="0"/>
        <v/>
      </c>
      <c r="N30" s="47"/>
      <c r="O30" s="82"/>
      <c r="P30" s="46">
        <f t="shared" si="1"/>
        <v>0</v>
      </c>
      <c r="Q30" s="96"/>
      <c r="R30" s="66"/>
      <c r="S30" s="74" t="s">
        <v>398</v>
      </c>
      <c r="T30" s="26"/>
      <c r="U30" s="26"/>
      <c r="V30" s="26">
        <v>18</v>
      </c>
    </row>
    <row r="31" spans="1:22" ht="12.75" customHeight="1" x14ac:dyDescent="0.2">
      <c r="A31" s="29" t="s">
        <v>99</v>
      </c>
      <c r="B31" s="23" t="s">
        <v>952</v>
      </c>
      <c r="C31" s="27" t="s">
        <v>937</v>
      </c>
      <c r="D31" s="81">
        <v>42718</v>
      </c>
      <c r="E31" s="81">
        <v>42748</v>
      </c>
      <c r="F31" s="82">
        <v>660</v>
      </c>
      <c r="G31" s="83">
        <v>39.6</v>
      </c>
      <c r="H31" s="83">
        <v>7.92</v>
      </c>
      <c r="I31" s="84">
        <v>149.16999999999999</v>
      </c>
      <c r="J31" s="87">
        <v>463.31</v>
      </c>
      <c r="K31" s="85">
        <v>42719.642361111109</v>
      </c>
      <c r="L31" s="84"/>
      <c r="M31" s="128">
        <f t="shared" si="0"/>
        <v>463.31000000000006</v>
      </c>
      <c r="N31" s="47" t="s">
        <v>6</v>
      </c>
      <c r="O31" s="82">
        <v>163.35</v>
      </c>
      <c r="P31" s="46">
        <f t="shared" si="1"/>
        <v>299.96000000000004</v>
      </c>
      <c r="Q31" s="96"/>
      <c r="R31" s="47"/>
      <c r="S31" s="74" t="s">
        <v>197</v>
      </c>
      <c r="T31" s="26" t="s">
        <v>411</v>
      </c>
      <c r="U31" s="26" t="s">
        <v>435</v>
      </c>
      <c r="V31" s="26">
        <v>19</v>
      </c>
    </row>
    <row r="32" spans="1:22" ht="12.75" customHeight="1" x14ac:dyDescent="0.2">
      <c r="A32" s="29" t="s">
        <v>102</v>
      </c>
      <c r="B32" s="23" t="s">
        <v>953</v>
      </c>
      <c r="C32" s="27" t="s">
        <v>95</v>
      </c>
      <c r="D32" s="81">
        <v>42718</v>
      </c>
      <c r="E32" s="81">
        <v>42748</v>
      </c>
      <c r="F32" s="82">
        <v>660</v>
      </c>
      <c r="G32" s="83">
        <v>39.6</v>
      </c>
      <c r="H32" s="83">
        <v>7.92</v>
      </c>
      <c r="I32" s="84"/>
      <c r="J32" s="87">
        <v>612.48</v>
      </c>
      <c r="K32" s="85">
        <v>42718.672222222223</v>
      </c>
      <c r="L32" s="84"/>
      <c r="M32" s="128">
        <f t="shared" si="0"/>
        <v>612.48</v>
      </c>
      <c r="N32" s="47" t="s">
        <v>6</v>
      </c>
      <c r="O32" s="82">
        <v>496.98</v>
      </c>
      <c r="P32" s="46">
        <f t="shared" si="1"/>
        <v>115.5</v>
      </c>
      <c r="Q32" s="85"/>
      <c r="R32" s="47"/>
      <c r="S32" s="74" t="s">
        <v>397</v>
      </c>
      <c r="T32" s="26" t="s">
        <v>414</v>
      </c>
      <c r="U32" s="26" t="s">
        <v>436</v>
      </c>
      <c r="V32" s="26">
        <v>34</v>
      </c>
    </row>
    <row r="33" spans="1:22" ht="12.75" customHeight="1" x14ac:dyDescent="0.2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8" t="str">
        <f t="shared" si="0"/>
        <v/>
      </c>
      <c r="N33" s="59"/>
      <c r="O33" s="82"/>
      <c r="P33" s="46">
        <f t="shared" si="1"/>
        <v>0</v>
      </c>
      <c r="Q33" s="96"/>
      <c r="R33" s="47"/>
      <c r="S33" s="71" t="s">
        <v>400</v>
      </c>
      <c r="T33" s="76"/>
      <c r="U33" s="76"/>
      <c r="V33" s="76">
        <v>20</v>
      </c>
    </row>
    <row r="34" spans="1:22" ht="12.75" customHeight="1" x14ac:dyDescent="0.2">
      <c r="A34" s="29" t="s">
        <v>103</v>
      </c>
      <c r="B34" s="23" t="s">
        <v>954</v>
      </c>
      <c r="C34" s="27" t="s">
        <v>95</v>
      </c>
      <c r="D34" s="81">
        <v>42718</v>
      </c>
      <c r="E34" s="85">
        <v>42748</v>
      </c>
      <c r="F34" s="86">
        <v>505</v>
      </c>
      <c r="G34" s="83">
        <v>30.3</v>
      </c>
      <c r="H34" s="83">
        <v>6.06</v>
      </c>
      <c r="I34" s="84">
        <v>84</v>
      </c>
      <c r="J34" s="87">
        <v>384.64</v>
      </c>
      <c r="K34" s="81">
        <v>42719.642361111109</v>
      </c>
      <c r="L34" s="84"/>
      <c r="M34" s="128">
        <f t="shared" si="0"/>
        <v>384.64</v>
      </c>
      <c r="N34" s="59" t="s">
        <v>6</v>
      </c>
      <c r="O34" s="86">
        <v>180.8</v>
      </c>
      <c r="P34" s="46">
        <f t="shared" si="1"/>
        <v>203.83999999999997</v>
      </c>
      <c r="Q34" s="96"/>
      <c r="R34" s="47"/>
      <c r="S34" s="74" t="s">
        <v>197</v>
      </c>
      <c r="T34" s="26" t="s">
        <v>415</v>
      </c>
      <c r="U34" s="26" t="s">
        <v>437</v>
      </c>
      <c r="V34" s="26">
        <v>31</v>
      </c>
    </row>
    <row r="35" spans="1:22" ht="12.75" customHeight="1" x14ac:dyDescent="0.2">
      <c r="A35" s="29" t="s">
        <v>66</v>
      </c>
      <c r="B35" s="23" t="s">
        <v>955</v>
      </c>
      <c r="C35" s="27" t="s">
        <v>95</v>
      </c>
      <c r="D35" s="81">
        <v>42712</v>
      </c>
      <c r="E35" s="81">
        <v>42742</v>
      </c>
      <c r="F35" s="82">
        <v>500</v>
      </c>
      <c r="G35" s="83">
        <v>30</v>
      </c>
      <c r="H35" s="83">
        <v>6</v>
      </c>
      <c r="I35" s="84"/>
      <c r="J35" s="87">
        <v>464</v>
      </c>
      <c r="K35" s="81">
        <v>42712.65</v>
      </c>
      <c r="L35" s="84"/>
      <c r="M35" s="128">
        <f t="shared" si="0"/>
        <v>464</v>
      </c>
      <c r="N35" s="59" t="s">
        <v>6</v>
      </c>
      <c r="O35" s="82">
        <v>165.91</v>
      </c>
      <c r="P35" s="46">
        <f t="shared" si="1"/>
        <v>298.09000000000003</v>
      </c>
      <c r="Q35" s="96"/>
      <c r="R35" s="60"/>
      <c r="S35" s="74" t="s">
        <v>197</v>
      </c>
      <c r="T35" s="26" t="s">
        <v>416</v>
      </c>
      <c r="U35" s="26" t="s">
        <v>438</v>
      </c>
      <c r="V35" s="26">
        <v>30</v>
      </c>
    </row>
    <row r="36" spans="1:22" ht="12.75" customHeight="1" x14ac:dyDescent="0.2">
      <c r="A36" s="29" t="s">
        <v>105</v>
      </c>
      <c r="B36" s="23" t="s">
        <v>956</v>
      </c>
      <c r="C36" s="27" t="s">
        <v>937</v>
      </c>
      <c r="D36" s="85">
        <v>42709</v>
      </c>
      <c r="E36" s="85">
        <v>42739</v>
      </c>
      <c r="F36" s="86">
        <v>505</v>
      </c>
      <c r="G36" s="83">
        <v>30.3</v>
      </c>
      <c r="H36" s="83">
        <v>6.06</v>
      </c>
      <c r="I36" s="84"/>
      <c r="J36" s="87">
        <v>468.64</v>
      </c>
      <c r="K36" s="85">
        <v>42710.650694444441</v>
      </c>
      <c r="L36" s="84"/>
      <c r="M36" s="128">
        <f t="shared" si="0"/>
        <v>468.64</v>
      </c>
      <c r="N36" s="47" t="s">
        <v>6</v>
      </c>
      <c r="O36" s="86">
        <v>165.91</v>
      </c>
      <c r="P36" s="46">
        <f t="shared" si="1"/>
        <v>302.73</v>
      </c>
      <c r="Q36" s="85"/>
      <c r="R36" s="66"/>
      <c r="S36" s="74" t="s">
        <v>397</v>
      </c>
      <c r="T36" s="26" t="s">
        <v>416</v>
      </c>
      <c r="U36" s="26" t="s">
        <v>439</v>
      </c>
      <c r="V36" s="26">
        <v>33</v>
      </c>
    </row>
    <row r="37" spans="1:22" ht="12.75" customHeight="1" x14ac:dyDescent="0.2">
      <c r="A37" s="29" t="s">
        <v>106</v>
      </c>
      <c r="B37" s="23" t="s">
        <v>957</v>
      </c>
      <c r="C37" s="27" t="s">
        <v>95</v>
      </c>
      <c r="D37" s="85">
        <v>42730</v>
      </c>
      <c r="E37" s="85">
        <v>42760</v>
      </c>
      <c r="F37" s="86">
        <v>466.12</v>
      </c>
      <c r="G37" s="83">
        <v>27.97</v>
      </c>
      <c r="H37" s="83">
        <v>5.59</v>
      </c>
      <c r="I37" s="84"/>
      <c r="J37" s="87">
        <v>432.56</v>
      </c>
      <c r="K37" s="81">
        <v>42732.566666666666</v>
      </c>
      <c r="L37" s="84"/>
      <c r="M37" s="128">
        <f t="shared" si="0"/>
        <v>432.56</v>
      </c>
      <c r="N37" s="59" t="s">
        <v>6</v>
      </c>
      <c r="O37" s="86">
        <v>356.83</v>
      </c>
      <c r="P37" s="46">
        <f t="shared" si="1"/>
        <v>75.730000000000018</v>
      </c>
      <c r="Q37" s="96"/>
      <c r="R37" s="47"/>
      <c r="S37" s="74" t="s">
        <v>397</v>
      </c>
      <c r="T37" s="26" t="s">
        <v>417</v>
      </c>
      <c r="U37" s="26" t="s">
        <v>440</v>
      </c>
      <c r="V37" s="26">
        <v>32</v>
      </c>
    </row>
    <row r="38" spans="1:22" ht="12.75" customHeight="1" x14ac:dyDescent="0.2">
      <c r="A38" s="29" t="s">
        <v>225</v>
      </c>
      <c r="B38" s="23" t="s">
        <v>958</v>
      </c>
      <c r="C38" s="27" t="s">
        <v>95</v>
      </c>
      <c r="D38" s="85">
        <v>42714</v>
      </c>
      <c r="E38" s="85">
        <v>42744</v>
      </c>
      <c r="F38" s="82">
        <v>515</v>
      </c>
      <c r="G38" s="83">
        <v>30.9</v>
      </c>
      <c r="H38" s="83">
        <v>6.18</v>
      </c>
      <c r="I38" s="84"/>
      <c r="J38" s="87">
        <v>477.92</v>
      </c>
      <c r="K38" s="85">
        <v>42716.636111111111</v>
      </c>
      <c r="L38" s="84"/>
      <c r="M38" s="128">
        <f t="shared" si="0"/>
        <v>477.92</v>
      </c>
      <c r="N38" s="47" t="s">
        <v>6</v>
      </c>
      <c r="O38" s="82">
        <v>180.8</v>
      </c>
      <c r="P38" s="46">
        <f t="shared" si="1"/>
        <v>297.12</v>
      </c>
      <c r="Q38" s="96"/>
      <c r="R38" s="47"/>
      <c r="S38" s="74" t="s">
        <v>197</v>
      </c>
      <c r="T38" s="26" t="s">
        <v>415</v>
      </c>
      <c r="U38" s="26" t="s">
        <v>441</v>
      </c>
      <c r="V38" s="26">
        <v>26</v>
      </c>
    </row>
    <row r="39" spans="1:22" ht="12.75" customHeight="1" x14ac:dyDescent="0.2">
      <c r="A39" s="29" t="s">
        <v>227</v>
      </c>
      <c r="B39" s="23" t="s">
        <v>959</v>
      </c>
      <c r="C39" s="27" t="s">
        <v>95</v>
      </c>
      <c r="D39" s="85">
        <v>42700</v>
      </c>
      <c r="E39" s="85">
        <v>42760</v>
      </c>
      <c r="F39" s="82">
        <v>884.08</v>
      </c>
      <c r="G39" s="83">
        <v>53.04</v>
      </c>
      <c r="H39" s="83">
        <v>10.61</v>
      </c>
      <c r="I39" s="84"/>
      <c r="J39" s="87">
        <v>820.43</v>
      </c>
      <c r="K39" s="81">
        <v>42724.637499999997</v>
      </c>
      <c r="L39" s="84"/>
      <c r="M39" s="128">
        <f t="shared" si="0"/>
        <v>820.43000000000006</v>
      </c>
      <c r="N39" s="47" t="s">
        <v>6</v>
      </c>
      <c r="O39" s="82">
        <v>180.8</v>
      </c>
      <c r="P39" s="46">
        <f t="shared" si="1"/>
        <v>639.63000000000011</v>
      </c>
      <c r="Q39" s="96"/>
      <c r="R39" s="47"/>
      <c r="S39" s="74" t="s">
        <v>197</v>
      </c>
      <c r="T39" s="26" t="s">
        <v>415</v>
      </c>
      <c r="U39" s="26" t="s">
        <v>442</v>
      </c>
      <c r="V39" s="26">
        <v>22</v>
      </c>
    </row>
    <row r="40" spans="1:22" ht="12.75" customHeight="1" x14ac:dyDescent="0.2">
      <c r="A40" s="29" t="s">
        <v>228</v>
      </c>
      <c r="B40" s="23" t="s">
        <v>960</v>
      </c>
      <c r="C40" s="27" t="s">
        <v>937</v>
      </c>
      <c r="D40" s="85">
        <v>42724</v>
      </c>
      <c r="E40" s="85">
        <v>42754</v>
      </c>
      <c r="F40" s="86">
        <v>610</v>
      </c>
      <c r="G40" s="83">
        <v>36.6</v>
      </c>
      <c r="H40" s="83">
        <v>7.32</v>
      </c>
      <c r="I40" s="84"/>
      <c r="J40" s="87">
        <v>566.08000000000004</v>
      </c>
      <c r="K40" s="85">
        <v>42724.637499999997</v>
      </c>
      <c r="L40" s="84"/>
      <c r="M40" s="128">
        <f t="shared" si="0"/>
        <v>566.07999999999993</v>
      </c>
      <c r="N40" s="47" t="s">
        <v>6</v>
      </c>
      <c r="O40" s="86">
        <v>197.26</v>
      </c>
      <c r="P40" s="46">
        <f t="shared" si="1"/>
        <v>368.81999999999994</v>
      </c>
      <c r="Q40" s="85"/>
      <c r="R40" s="47"/>
      <c r="S40" s="74" t="s">
        <v>197</v>
      </c>
      <c r="T40" s="26" t="s">
        <v>416</v>
      </c>
      <c r="U40" s="26" t="s">
        <v>443</v>
      </c>
      <c r="V40" s="26">
        <v>21</v>
      </c>
    </row>
    <row r="41" spans="1:22" ht="12.75" customHeight="1" x14ac:dyDescent="0.2">
      <c r="A41" s="29" t="s">
        <v>229</v>
      </c>
      <c r="B41" s="23" t="s">
        <v>961</v>
      </c>
      <c r="C41" s="27" t="s">
        <v>95</v>
      </c>
      <c r="D41" s="81">
        <v>42690</v>
      </c>
      <c r="E41" s="81">
        <v>42750</v>
      </c>
      <c r="F41" s="82">
        <v>1200</v>
      </c>
      <c r="G41" s="83">
        <v>72</v>
      </c>
      <c r="H41" s="83">
        <v>14.4</v>
      </c>
      <c r="I41" s="84">
        <v>171.6</v>
      </c>
      <c r="J41" s="87">
        <v>942</v>
      </c>
      <c r="K41" s="81">
        <v>42709.67291666667</v>
      </c>
      <c r="L41" s="84"/>
      <c r="M41" s="128">
        <f t="shared" si="0"/>
        <v>941.99999999999989</v>
      </c>
      <c r="N41" s="47" t="s">
        <v>6</v>
      </c>
      <c r="O41" s="82">
        <v>195.72</v>
      </c>
      <c r="P41" s="46">
        <f t="shared" si="1"/>
        <v>746.27999999999986</v>
      </c>
      <c r="Q41" s="96"/>
      <c r="R41" s="47" t="s">
        <v>465</v>
      </c>
      <c r="S41" s="74" t="s">
        <v>197</v>
      </c>
      <c r="T41" s="26" t="s">
        <v>416</v>
      </c>
      <c r="U41" s="26" t="s">
        <v>444</v>
      </c>
      <c r="V41" s="26">
        <v>25</v>
      </c>
    </row>
    <row r="42" spans="1:22" ht="12.75" customHeight="1" x14ac:dyDescent="0.2">
      <c r="A42" s="29" t="s">
        <v>107</v>
      </c>
      <c r="B42" s="23" t="s">
        <v>962</v>
      </c>
      <c r="C42" s="27" t="s">
        <v>95</v>
      </c>
      <c r="D42" s="85">
        <v>42734</v>
      </c>
      <c r="E42" s="85">
        <v>42764</v>
      </c>
      <c r="F42" s="86">
        <v>520</v>
      </c>
      <c r="G42" s="83">
        <v>31.2</v>
      </c>
      <c r="H42" s="83">
        <v>6.24</v>
      </c>
      <c r="I42" s="84"/>
      <c r="J42" s="87">
        <v>482.56</v>
      </c>
      <c r="K42" s="85">
        <v>42734.509722222225</v>
      </c>
      <c r="L42" s="84"/>
      <c r="M42" s="128">
        <f t="shared" si="0"/>
        <v>482.56</v>
      </c>
      <c r="N42" s="47" t="s">
        <v>6</v>
      </c>
      <c r="O42" s="86">
        <v>348.23</v>
      </c>
      <c r="P42" s="46">
        <f t="shared" si="1"/>
        <v>134.32999999999998</v>
      </c>
      <c r="Q42" s="85"/>
      <c r="R42" s="64" t="s">
        <v>467</v>
      </c>
      <c r="S42" s="74" t="s">
        <v>397</v>
      </c>
      <c r="T42" s="26" t="s">
        <v>418</v>
      </c>
      <c r="U42" s="26" t="s">
        <v>445</v>
      </c>
      <c r="V42" s="26">
        <v>28</v>
      </c>
    </row>
    <row r="43" spans="1:22" ht="12.75" customHeight="1" x14ac:dyDescent="0.2">
      <c r="A43" s="29" t="s">
        <v>67</v>
      </c>
      <c r="B43" s="23" t="s">
        <v>963</v>
      </c>
      <c r="C43" s="27" t="s">
        <v>95</v>
      </c>
      <c r="D43" s="81">
        <v>42680</v>
      </c>
      <c r="E43" s="81">
        <v>42740</v>
      </c>
      <c r="F43" s="82">
        <v>884.63</v>
      </c>
      <c r="G43" s="83">
        <v>53.08</v>
      </c>
      <c r="H43" s="83">
        <v>10.62</v>
      </c>
      <c r="I43" s="84"/>
      <c r="J43" s="87">
        <v>820.93</v>
      </c>
      <c r="K43" s="81">
        <v>42720.590277777781</v>
      </c>
      <c r="L43" s="84"/>
      <c r="M43" s="128">
        <f t="shared" si="0"/>
        <v>820.93</v>
      </c>
      <c r="N43" s="59" t="s">
        <v>6</v>
      </c>
      <c r="O43" s="82">
        <v>195.72</v>
      </c>
      <c r="P43" s="46">
        <f t="shared" si="1"/>
        <v>625.20999999999992</v>
      </c>
      <c r="Q43" s="96"/>
      <c r="R43" s="47"/>
      <c r="S43" s="74" t="s">
        <v>397</v>
      </c>
      <c r="T43" s="26" t="s">
        <v>416</v>
      </c>
      <c r="U43" s="26" t="s">
        <v>446</v>
      </c>
      <c r="V43" s="26">
        <v>23</v>
      </c>
    </row>
    <row r="44" spans="1:22" ht="12.75" customHeight="1" x14ac:dyDescent="0.2">
      <c r="A44" s="29" t="s">
        <v>109</v>
      </c>
      <c r="B44" s="23" t="s">
        <v>964</v>
      </c>
      <c r="C44" s="40" t="s">
        <v>95</v>
      </c>
      <c r="D44" s="81">
        <v>42714</v>
      </c>
      <c r="E44" s="81">
        <v>42744</v>
      </c>
      <c r="F44" s="82">
        <v>600</v>
      </c>
      <c r="G44" s="88">
        <v>36</v>
      </c>
      <c r="H44" s="83">
        <v>7.2</v>
      </c>
      <c r="I44" s="84"/>
      <c r="J44" s="87">
        <v>556.79999999999995</v>
      </c>
      <c r="K44" s="81">
        <v>42716.635416666664</v>
      </c>
      <c r="L44" s="84"/>
      <c r="M44" s="128">
        <f t="shared" si="0"/>
        <v>556.79999999999995</v>
      </c>
      <c r="N44" s="59" t="s">
        <v>6</v>
      </c>
      <c r="O44" s="82">
        <v>197.32</v>
      </c>
      <c r="P44" s="46">
        <f t="shared" si="1"/>
        <v>359.47999999999996</v>
      </c>
      <c r="Q44" s="96"/>
      <c r="R44" s="47"/>
      <c r="S44" s="74" t="s">
        <v>397</v>
      </c>
      <c r="T44" s="26" t="s">
        <v>416</v>
      </c>
      <c r="U44" s="26" t="s">
        <v>447</v>
      </c>
      <c r="V44" s="26">
        <v>27</v>
      </c>
    </row>
    <row r="45" spans="1:22" ht="12.75" customHeight="1" x14ac:dyDescent="0.2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8" t="str">
        <f t="shared" si="0"/>
        <v/>
      </c>
      <c r="N45" s="47"/>
      <c r="O45" s="82"/>
      <c r="P45" s="46">
        <f t="shared" si="1"/>
        <v>0</v>
      </c>
      <c r="Q45" s="96"/>
      <c r="R45" s="47"/>
      <c r="S45" s="71" t="s">
        <v>400</v>
      </c>
      <c r="T45" s="76"/>
      <c r="U45" s="76"/>
      <c r="V45" s="76">
        <v>51</v>
      </c>
    </row>
    <row r="46" spans="1:22" ht="12.75" customHeight="1" x14ac:dyDescent="0.2">
      <c r="A46" s="29" t="s">
        <v>68</v>
      </c>
      <c r="B46" s="23" t="s">
        <v>965</v>
      </c>
      <c r="C46" s="27" t="s">
        <v>95</v>
      </c>
      <c r="D46" s="81">
        <v>42712</v>
      </c>
      <c r="E46" s="81">
        <v>42742</v>
      </c>
      <c r="F46" s="82">
        <v>505</v>
      </c>
      <c r="G46" s="83">
        <v>30.3</v>
      </c>
      <c r="H46" s="83">
        <v>6.06</v>
      </c>
      <c r="I46" s="84"/>
      <c r="J46" s="87">
        <v>468.64</v>
      </c>
      <c r="K46" s="85">
        <v>42712.65</v>
      </c>
      <c r="L46" s="84"/>
      <c r="M46" s="128">
        <f t="shared" si="0"/>
        <v>468.64</v>
      </c>
      <c r="N46" s="47" t="s">
        <v>6</v>
      </c>
      <c r="O46" s="82">
        <v>165.47</v>
      </c>
      <c r="P46" s="46">
        <f t="shared" si="1"/>
        <v>303.16999999999996</v>
      </c>
      <c r="Q46" s="96"/>
      <c r="R46" s="47" t="s">
        <v>406</v>
      </c>
      <c r="S46" s="74" t="s">
        <v>397</v>
      </c>
      <c r="T46" s="26" t="s">
        <v>410</v>
      </c>
      <c r="U46" s="26" t="s">
        <v>448</v>
      </c>
      <c r="V46" s="26">
        <v>46</v>
      </c>
    </row>
    <row r="47" spans="1:22" ht="12.75" customHeight="1" x14ac:dyDescent="0.2">
      <c r="A47" s="29" t="s">
        <v>69</v>
      </c>
      <c r="B47" s="23" t="s">
        <v>966</v>
      </c>
      <c r="C47" s="27" t="s">
        <v>95</v>
      </c>
      <c r="D47" s="81">
        <v>42712</v>
      </c>
      <c r="E47" s="81">
        <v>42742</v>
      </c>
      <c r="F47" s="82">
        <v>476.85</v>
      </c>
      <c r="G47" s="83">
        <v>28.62</v>
      </c>
      <c r="H47" s="83">
        <v>5.72</v>
      </c>
      <c r="I47" s="84">
        <v>40</v>
      </c>
      <c r="J47" s="87">
        <v>402.51</v>
      </c>
      <c r="K47" s="85">
        <v>42712.65</v>
      </c>
      <c r="L47" s="84"/>
      <c r="M47" s="128">
        <f t="shared" si="0"/>
        <v>402.51</v>
      </c>
      <c r="N47" s="47" t="s">
        <v>6</v>
      </c>
      <c r="O47" s="82">
        <v>61.95</v>
      </c>
      <c r="P47" s="46">
        <f t="shared" si="1"/>
        <v>340.56</v>
      </c>
      <c r="Q47" s="85"/>
      <c r="R47" s="47" t="s">
        <v>407</v>
      </c>
      <c r="S47" s="74" t="s">
        <v>197</v>
      </c>
      <c r="T47" s="26" t="s">
        <v>411</v>
      </c>
      <c r="U47" s="26" t="s">
        <v>449</v>
      </c>
      <c r="V47" s="26">
        <v>52</v>
      </c>
    </row>
    <row r="48" spans="1:22" ht="12.75" customHeight="1" x14ac:dyDescent="0.2">
      <c r="A48" s="29" t="s">
        <v>86</v>
      </c>
      <c r="B48" s="23" t="s">
        <v>967</v>
      </c>
      <c r="C48" s="27" t="s">
        <v>95</v>
      </c>
      <c r="D48" s="81">
        <v>42697</v>
      </c>
      <c r="E48" s="81">
        <v>42757</v>
      </c>
      <c r="F48" s="82">
        <v>867.28</v>
      </c>
      <c r="G48" s="83">
        <v>52.04</v>
      </c>
      <c r="H48" s="83">
        <v>10.41</v>
      </c>
      <c r="I48" s="84"/>
      <c r="J48" s="87">
        <v>804.83</v>
      </c>
      <c r="K48" s="85">
        <v>42727.559027777781</v>
      </c>
      <c r="L48" s="84"/>
      <c r="M48" s="128">
        <f t="shared" si="0"/>
        <v>804.83</v>
      </c>
      <c r="N48" s="47" t="s">
        <v>6</v>
      </c>
      <c r="O48" s="82">
        <v>165.44</v>
      </c>
      <c r="P48" s="46">
        <f t="shared" si="1"/>
        <v>639.3900000000001</v>
      </c>
      <c r="Q48" s="96"/>
      <c r="R48" s="47"/>
      <c r="S48" s="74" t="s">
        <v>397</v>
      </c>
      <c r="T48" s="26" t="s">
        <v>410</v>
      </c>
      <c r="U48" s="26" t="s">
        <v>450</v>
      </c>
      <c r="V48" s="26">
        <v>47</v>
      </c>
    </row>
    <row r="49" spans="1:22" x14ac:dyDescent="0.2">
      <c r="A49" s="29" t="s">
        <v>111</v>
      </c>
      <c r="B49" s="23" t="s">
        <v>968</v>
      </c>
      <c r="C49" s="27" t="s">
        <v>937</v>
      </c>
      <c r="D49" s="85">
        <v>42688</v>
      </c>
      <c r="E49" s="85">
        <v>42748</v>
      </c>
      <c r="F49" s="86">
        <v>884.06</v>
      </c>
      <c r="G49" s="83">
        <v>53.04</v>
      </c>
      <c r="H49" s="83">
        <v>10.61</v>
      </c>
      <c r="I49" s="84">
        <v>85</v>
      </c>
      <c r="J49" s="87">
        <v>735.41</v>
      </c>
      <c r="K49" s="85">
        <v>42724.637499999997</v>
      </c>
      <c r="L49" s="84"/>
      <c r="M49" s="128">
        <f t="shared" si="0"/>
        <v>735.41</v>
      </c>
      <c r="N49" s="47" t="s">
        <v>6</v>
      </c>
      <c r="O49" s="86">
        <v>174.38</v>
      </c>
      <c r="P49" s="46">
        <f t="shared" si="1"/>
        <v>561.03</v>
      </c>
      <c r="Q49" s="96"/>
      <c r="R49" s="47"/>
      <c r="S49" s="74" t="s">
        <v>197</v>
      </c>
      <c r="T49" s="26" t="s">
        <v>415</v>
      </c>
      <c r="U49" s="26" t="s">
        <v>451</v>
      </c>
      <c r="V49" s="26">
        <v>48</v>
      </c>
    </row>
    <row r="50" spans="1:22" ht="12.75" customHeight="1" x14ac:dyDescent="0.2">
      <c r="A50" s="29" t="s">
        <v>232</v>
      </c>
      <c r="B50" s="23" t="s">
        <v>969</v>
      </c>
      <c r="C50" s="27" t="s">
        <v>95</v>
      </c>
      <c r="D50" s="81">
        <v>42693</v>
      </c>
      <c r="E50" s="81">
        <v>42753</v>
      </c>
      <c r="F50" s="82">
        <v>922.56</v>
      </c>
      <c r="G50" s="83">
        <v>55.35</v>
      </c>
      <c r="H50" s="83">
        <v>11.07</v>
      </c>
      <c r="I50" s="84"/>
      <c r="J50" s="87">
        <v>856.14</v>
      </c>
      <c r="K50" s="85">
        <v>42724.637499999997</v>
      </c>
      <c r="L50" s="84"/>
      <c r="M50" s="128">
        <f t="shared" si="0"/>
        <v>856.13999999999987</v>
      </c>
      <c r="N50" s="47" t="s">
        <v>6</v>
      </c>
      <c r="O50" s="82">
        <v>165.44</v>
      </c>
      <c r="P50" s="46">
        <f t="shared" si="1"/>
        <v>690.69999999999982</v>
      </c>
      <c r="Q50" s="96"/>
      <c r="R50" s="47"/>
      <c r="S50" s="74" t="s">
        <v>197</v>
      </c>
      <c r="T50" s="26" t="s">
        <v>410</v>
      </c>
      <c r="U50" s="79" t="s">
        <v>452</v>
      </c>
      <c r="V50" s="79">
        <v>49</v>
      </c>
    </row>
    <row r="51" spans="1:22" ht="12.75" customHeight="1" x14ac:dyDescent="0.2">
      <c r="A51" s="29" t="s">
        <v>70</v>
      </c>
      <c r="B51" s="23" t="s">
        <v>970</v>
      </c>
      <c r="C51" s="27" t="s">
        <v>95</v>
      </c>
      <c r="D51" s="85">
        <v>42694</v>
      </c>
      <c r="E51" s="85">
        <v>42754</v>
      </c>
      <c r="F51" s="82">
        <v>884.07</v>
      </c>
      <c r="G51" s="83">
        <v>53.04</v>
      </c>
      <c r="H51" s="83">
        <v>10.61</v>
      </c>
      <c r="I51" s="84"/>
      <c r="J51" s="87">
        <v>820.42</v>
      </c>
      <c r="K51" s="85">
        <v>42724.637499999997</v>
      </c>
      <c r="L51" s="84"/>
      <c r="M51" s="128">
        <f t="shared" si="0"/>
        <v>820.42000000000007</v>
      </c>
      <c r="N51" s="47" t="s">
        <v>6</v>
      </c>
      <c r="O51" s="82">
        <v>165.45</v>
      </c>
      <c r="P51" s="46">
        <f t="shared" si="1"/>
        <v>654.97</v>
      </c>
      <c r="Q51" s="96"/>
      <c r="R51" s="47"/>
      <c r="S51" s="74" t="s">
        <v>397</v>
      </c>
      <c r="T51" s="26" t="s">
        <v>410</v>
      </c>
      <c r="U51" s="26" t="s">
        <v>453</v>
      </c>
      <c r="V51" s="26">
        <v>53</v>
      </c>
    </row>
    <row r="52" spans="1:22" ht="12.75" customHeight="1" x14ac:dyDescent="0.2">
      <c r="A52" s="29" t="s">
        <v>71</v>
      </c>
      <c r="B52" s="23" t="s">
        <v>971</v>
      </c>
      <c r="C52" s="27" t="s">
        <v>937</v>
      </c>
      <c r="D52" s="81">
        <v>42710</v>
      </c>
      <c r="E52" s="81">
        <v>42740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42710.650694444441</v>
      </c>
      <c r="L52" s="84"/>
      <c r="M52" s="128">
        <f t="shared" si="0"/>
        <v>464</v>
      </c>
      <c r="N52" s="47" t="s">
        <v>6</v>
      </c>
      <c r="O52" s="82">
        <v>208.78</v>
      </c>
      <c r="P52" s="46">
        <f t="shared" si="1"/>
        <v>255.22</v>
      </c>
      <c r="Q52" s="96"/>
      <c r="R52" s="64"/>
      <c r="S52" s="74" t="s">
        <v>197</v>
      </c>
      <c r="T52" s="26" t="s">
        <v>410</v>
      </c>
      <c r="U52" s="79" t="s">
        <v>454</v>
      </c>
      <c r="V52" s="79">
        <v>54</v>
      </c>
    </row>
    <row r="53" spans="1:22" ht="12.75" customHeight="1" x14ac:dyDescent="0.2">
      <c r="A53" s="29" t="s">
        <v>72</v>
      </c>
      <c r="B53" s="23" t="s">
        <v>972</v>
      </c>
      <c r="C53" s="27" t="s">
        <v>95</v>
      </c>
      <c r="D53" s="81">
        <v>42693</v>
      </c>
      <c r="E53" s="81">
        <v>42753</v>
      </c>
      <c r="F53" s="82">
        <v>614.96</v>
      </c>
      <c r="G53" s="83">
        <v>36.9</v>
      </c>
      <c r="H53" s="83">
        <v>7.38</v>
      </c>
      <c r="I53" s="84"/>
      <c r="J53" s="87">
        <v>570.67999999999995</v>
      </c>
      <c r="K53" s="85">
        <v>42724.637499999997</v>
      </c>
      <c r="L53" s="84"/>
      <c r="M53" s="128">
        <f t="shared" si="0"/>
        <v>570.68000000000006</v>
      </c>
      <c r="N53" s="47" t="s">
        <v>6</v>
      </c>
      <c r="O53" s="82">
        <v>171.18</v>
      </c>
      <c r="P53" s="46">
        <f t="shared" si="1"/>
        <v>399.50000000000006</v>
      </c>
      <c r="Q53" s="96"/>
      <c r="R53" s="47"/>
      <c r="S53" s="74" t="s">
        <v>397</v>
      </c>
      <c r="T53" s="26" t="s">
        <v>410</v>
      </c>
      <c r="U53" s="26" t="s">
        <v>455</v>
      </c>
      <c r="V53" s="26">
        <v>55</v>
      </c>
    </row>
    <row r="54" spans="1:22" ht="12.75" customHeight="1" x14ac:dyDescent="0.2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8" t="str">
        <f t="shared" si="0"/>
        <v/>
      </c>
      <c r="N54" s="47"/>
      <c r="O54" s="82"/>
      <c r="P54" s="46">
        <f t="shared" si="1"/>
        <v>0</v>
      </c>
      <c r="Q54" s="96"/>
      <c r="R54" s="47"/>
      <c r="S54" s="71" t="s">
        <v>400</v>
      </c>
      <c r="T54" s="76"/>
      <c r="U54" s="76"/>
      <c r="V54" s="76">
        <v>61</v>
      </c>
    </row>
    <row r="55" spans="1:22" ht="12.75" customHeight="1" x14ac:dyDescent="0.2">
      <c r="A55" s="29" t="s">
        <v>73</v>
      </c>
      <c r="B55" s="23" t="s">
        <v>973</v>
      </c>
      <c r="C55" s="27" t="s">
        <v>95</v>
      </c>
      <c r="D55" s="81">
        <v>42709</v>
      </c>
      <c r="E55" s="81">
        <v>42739</v>
      </c>
      <c r="F55" s="82">
        <v>650</v>
      </c>
      <c r="G55" s="83">
        <v>39</v>
      </c>
      <c r="H55" s="83">
        <v>7.8</v>
      </c>
      <c r="I55" s="84">
        <v>74.25</v>
      </c>
      <c r="J55" s="87">
        <v>528.95000000000005</v>
      </c>
      <c r="K55" s="85">
        <v>42717.627083333333</v>
      </c>
      <c r="L55" s="84"/>
      <c r="M55" s="128">
        <f t="shared" si="0"/>
        <v>528.95000000000005</v>
      </c>
      <c r="N55" s="47" t="s">
        <v>6</v>
      </c>
      <c r="O55" s="82">
        <v>201.41</v>
      </c>
      <c r="P55" s="46">
        <f t="shared" si="1"/>
        <v>327.54000000000008</v>
      </c>
      <c r="Q55" s="96"/>
      <c r="R55" s="47"/>
      <c r="S55" s="74" t="s">
        <v>197</v>
      </c>
      <c r="T55" s="26" t="s">
        <v>410</v>
      </c>
      <c r="U55" s="79" t="s">
        <v>456</v>
      </c>
      <c r="V55" s="79">
        <v>66</v>
      </c>
    </row>
    <row r="56" spans="1:22" ht="12.75" customHeight="1" x14ac:dyDescent="0.2">
      <c r="A56" s="29" t="s">
        <v>112</v>
      </c>
      <c r="B56" s="23" t="s">
        <v>974</v>
      </c>
      <c r="C56" s="27" t="s">
        <v>95</v>
      </c>
      <c r="D56" s="81">
        <v>42695</v>
      </c>
      <c r="E56" s="81">
        <v>42755</v>
      </c>
      <c r="F56" s="82">
        <v>884.09</v>
      </c>
      <c r="G56" s="83">
        <v>53.05</v>
      </c>
      <c r="H56" s="83">
        <v>10.61</v>
      </c>
      <c r="I56" s="84"/>
      <c r="J56" s="87">
        <v>820.43</v>
      </c>
      <c r="K56" s="85">
        <v>42724.637499999997</v>
      </c>
      <c r="L56" s="84"/>
      <c r="M56" s="128">
        <f t="shared" si="0"/>
        <v>820.43000000000006</v>
      </c>
      <c r="N56" s="47" t="s">
        <v>6</v>
      </c>
      <c r="O56" s="82">
        <v>165.45</v>
      </c>
      <c r="P56" s="46">
        <f t="shared" si="1"/>
        <v>654.98</v>
      </c>
      <c r="Q56" s="96"/>
      <c r="R56" s="47"/>
      <c r="S56" s="74" t="s">
        <v>397</v>
      </c>
      <c r="T56" s="26" t="s">
        <v>410</v>
      </c>
      <c r="U56" s="26" t="s">
        <v>457</v>
      </c>
      <c r="V56" s="26">
        <v>67</v>
      </c>
    </row>
    <row r="57" spans="1:22" ht="12.75" customHeight="1" x14ac:dyDescent="0.2">
      <c r="A57" s="29" t="s">
        <v>115</v>
      </c>
      <c r="B57" s="23" t="s">
        <v>975</v>
      </c>
      <c r="C57" s="27" t="s">
        <v>95</v>
      </c>
      <c r="D57" s="81">
        <v>42716</v>
      </c>
      <c r="E57" s="81">
        <v>42746</v>
      </c>
      <c r="F57" s="82">
        <v>500</v>
      </c>
      <c r="G57" s="83">
        <v>30</v>
      </c>
      <c r="H57" s="83">
        <v>6</v>
      </c>
      <c r="I57" s="84">
        <v>72</v>
      </c>
      <c r="J57" s="87">
        <v>392</v>
      </c>
      <c r="K57" s="85">
        <v>42719.642361111109</v>
      </c>
      <c r="L57" s="84"/>
      <c r="M57" s="128">
        <f t="shared" si="0"/>
        <v>392</v>
      </c>
      <c r="N57" s="47" t="s">
        <v>6</v>
      </c>
      <c r="O57" s="82">
        <v>180.37</v>
      </c>
      <c r="P57" s="46">
        <f t="shared" si="1"/>
        <v>211.63</v>
      </c>
      <c r="Q57" s="96"/>
      <c r="R57" s="47"/>
      <c r="S57" s="74" t="s">
        <v>197</v>
      </c>
      <c r="T57" s="26" t="s">
        <v>416</v>
      </c>
      <c r="U57" s="26" t="s">
        <v>458</v>
      </c>
      <c r="V57" s="26">
        <v>63</v>
      </c>
    </row>
    <row r="58" spans="1:22" x14ac:dyDescent="0.2">
      <c r="A58" s="29" t="s">
        <v>117</v>
      </c>
      <c r="B58" s="23" t="s">
        <v>976</v>
      </c>
      <c r="C58" s="27" t="s">
        <v>95</v>
      </c>
      <c r="D58" s="81">
        <v>42682</v>
      </c>
      <c r="E58" s="81">
        <v>42742</v>
      </c>
      <c r="F58" s="82">
        <v>884.08</v>
      </c>
      <c r="G58" s="83">
        <v>53.04</v>
      </c>
      <c r="H58" s="83">
        <v>10.61</v>
      </c>
      <c r="I58" s="84">
        <v>45</v>
      </c>
      <c r="J58" s="87">
        <v>775.43</v>
      </c>
      <c r="K58" s="85">
        <v>42724.637499999997</v>
      </c>
      <c r="L58" s="84"/>
      <c r="M58" s="128">
        <f t="shared" si="0"/>
        <v>775.43000000000006</v>
      </c>
      <c r="N58" s="47" t="s">
        <v>6</v>
      </c>
      <c r="O58" s="82">
        <v>165.41</v>
      </c>
      <c r="P58" s="46">
        <f t="shared" si="1"/>
        <v>610.0200000000001</v>
      </c>
      <c r="Q58" s="96"/>
      <c r="R58" s="47"/>
      <c r="S58" s="74" t="s">
        <v>397</v>
      </c>
      <c r="T58" s="26" t="s">
        <v>410</v>
      </c>
      <c r="U58" s="26" t="s">
        <v>459</v>
      </c>
      <c r="V58" s="26">
        <v>68</v>
      </c>
    </row>
    <row r="59" spans="1:22" ht="12.75" customHeight="1" x14ac:dyDescent="0.2">
      <c r="A59" s="29" t="s">
        <v>74</v>
      </c>
      <c r="B59" s="23" t="s">
        <v>977</v>
      </c>
      <c r="C59" s="27" t="s">
        <v>95</v>
      </c>
      <c r="D59" s="81">
        <v>42697</v>
      </c>
      <c r="E59" s="81">
        <v>42757</v>
      </c>
      <c r="F59" s="82">
        <v>884.08</v>
      </c>
      <c r="G59" s="83">
        <v>53.04</v>
      </c>
      <c r="H59" s="83">
        <v>10.61</v>
      </c>
      <c r="I59" s="84"/>
      <c r="J59" s="87">
        <v>820.43</v>
      </c>
      <c r="K59" s="85">
        <v>42724.637499999997</v>
      </c>
      <c r="L59" s="84"/>
      <c r="M59" s="128">
        <f t="shared" si="0"/>
        <v>820.43000000000006</v>
      </c>
      <c r="N59" s="47" t="s">
        <v>6</v>
      </c>
      <c r="O59" s="82">
        <v>165.54</v>
      </c>
      <c r="P59" s="46">
        <f t="shared" si="1"/>
        <v>654.8900000000001</v>
      </c>
      <c r="Q59" s="96"/>
      <c r="R59" s="47"/>
      <c r="S59" s="74" t="s">
        <v>197</v>
      </c>
      <c r="T59" s="26" t="s">
        <v>410</v>
      </c>
      <c r="U59" s="79" t="s">
        <v>460</v>
      </c>
      <c r="V59" s="79">
        <v>64</v>
      </c>
    </row>
    <row r="60" spans="1:22" ht="12.75" customHeight="1" x14ac:dyDescent="0.2">
      <c r="A60" s="29" t="s">
        <v>118</v>
      </c>
      <c r="B60" s="23" t="s">
        <v>978</v>
      </c>
      <c r="C60" s="27" t="s">
        <v>95</v>
      </c>
      <c r="D60" s="81">
        <v>42723</v>
      </c>
      <c r="E60" s="81">
        <v>42753</v>
      </c>
      <c r="F60" s="82">
        <v>466.12</v>
      </c>
      <c r="G60" s="83">
        <v>27.97</v>
      </c>
      <c r="H60" s="83">
        <v>5.59</v>
      </c>
      <c r="I60" s="84">
        <v>59.4</v>
      </c>
      <c r="J60" s="87">
        <v>373.16</v>
      </c>
      <c r="K60" s="85">
        <v>42724.637499999997</v>
      </c>
      <c r="L60" s="84"/>
      <c r="M60" s="128">
        <f t="shared" si="0"/>
        <v>373.16</v>
      </c>
      <c r="N60" s="47" t="s">
        <v>6</v>
      </c>
      <c r="O60" s="82">
        <v>165.41</v>
      </c>
      <c r="P60" s="46">
        <f t="shared" si="1"/>
        <v>207.75000000000003</v>
      </c>
      <c r="Q60" s="96"/>
      <c r="R60" s="47"/>
      <c r="S60" s="74" t="s">
        <v>397</v>
      </c>
      <c r="T60" s="26" t="s">
        <v>410</v>
      </c>
      <c r="U60" s="26" t="s">
        <v>461</v>
      </c>
      <c r="V60" s="26">
        <v>71</v>
      </c>
    </row>
    <row r="61" spans="1:22" ht="12.75" customHeight="1" x14ac:dyDescent="0.2">
      <c r="A61" s="29" t="s">
        <v>119</v>
      </c>
      <c r="B61" s="23" t="s">
        <v>979</v>
      </c>
      <c r="C61" s="40" t="s">
        <v>95</v>
      </c>
      <c r="D61" s="81">
        <v>42677</v>
      </c>
      <c r="E61" s="81">
        <v>42737</v>
      </c>
      <c r="F61" s="82">
        <v>461.52</v>
      </c>
      <c r="G61" s="83">
        <v>27.69</v>
      </c>
      <c r="H61" s="83">
        <v>5.54</v>
      </c>
      <c r="I61" s="84"/>
      <c r="J61" s="87">
        <v>428.29</v>
      </c>
      <c r="K61" s="85">
        <v>42724.637499999997</v>
      </c>
      <c r="L61" s="84"/>
      <c r="M61" s="128">
        <f t="shared" si="0"/>
        <v>428.28999999999996</v>
      </c>
      <c r="N61" s="47" t="s">
        <v>6</v>
      </c>
      <c r="O61" s="82">
        <v>201.56</v>
      </c>
      <c r="P61" s="46">
        <f t="shared" si="1"/>
        <v>226.72999999999996</v>
      </c>
      <c r="Q61" s="96"/>
      <c r="R61" s="47"/>
      <c r="S61" s="74" t="s">
        <v>197</v>
      </c>
      <c r="T61" s="26" t="s">
        <v>410</v>
      </c>
      <c r="U61" s="79" t="s">
        <v>462</v>
      </c>
      <c r="V61" s="79">
        <v>70</v>
      </c>
    </row>
    <row r="62" spans="1:22" ht="12.75" customHeight="1" x14ac:dyDescent="0.2">
      <c r="A62" s="29" t="s">
        <v>75</v>
      </c>
      <c r="B62" s="23" t="s">
        <v>980</v>
      </c>
      <c r="C62" s="27" t="s">
        <v>937</v>
      </c>
      <c r="D62" s="85">
        <v>42704</v>
      </c>
      <c r="E62" s="81">
        <v>42733</v>
      </c>
      <c r="F62" s="89">
        <v>102.4</v>
      </c>
      <c r="G62" s="83">
        <v>6.14</v>
      </c>
      <c r="H62" s="83">
        <v>1.23</v>
      </c>
      <c r="I62" s="84">
        <v>44</v>
      </c>
      <c r="J62" s="87">
        <v>51.03</v>
      </c>
      <c r="K62" s="85">
        <v>42724.637499999997</v>
      </c>
      <c r="L62" s="84"/>
      <c r="M62" s="128">
        <f t="shared" si="0"/>
        <v>51.03</v>
      </c>
      <c r="N62" s="47" t="s">
        <v>203</v>
      </c>
      <c r="O62" s="89">
        <v>171.18</v>
      </c>
      <c r="P62" s="46">
        <f t="shared" si="1"/>
        <v>-120.15</v>
      </c>
      <c r="Q62" s="96"/>
      <c r="R62" s="47"/>
      <c r="S62" s="74" t="s">
        <v>397</v>
      </c>
      <c r="T62" s="26" t="s">
        <v>410</v>
      </c>
      <c r="U62" s="26" t="s">
        <v>463</v>
      </c>
      <c r="V62" s="26">
        <v>65</v>
      </c>
    </row>
    <row r="63" spans="1:22" ht="12.75" customHeight="1" x14ac:dyDescent="0.2">
      <c r="A63" s="30"/>
      <c r="B63" s="28"/>
      <c r="C63" s="17"/>
      <c r="D63" s="90"/>
      <c r="E63" s="90"/>
      <c r="F63" s="91"/>
      <c r="G63" s="92"/>
      <c r="H63" s="92"/>
      <c r="I63" s="93"/>
      <c r="J63" s="100"/>
      <c r="K63" s="98"/>
      <c r="L63" s="93"/>
      <c r="M63" s="129" t="str">
        <f t="shared" si="0"/>
        <v/>
      </c>
      <c r="N63" s="54"/>
      <c r="O63" s="91"/>
      <c r="P63" s="127">
        <f t="shared" si="1"/>
        <v>0</v>
      </c>
      <c r="Q63" s="97"/>
      <c r="R63" s="54"/>
      <c r="S63" s="77"/>
      <c r="T63" s="39"/>
      <c r="U63" s="39"/>
      <c r="V63" s="39"/>
    </row>
    <row r="64" spans="1:22" x14ac:dyDescent="0.2">
      <c r="F64" s="14"/>
      <c r="G64" s="14"/>
      <c r="H64" s="14"/>
      <c r="I64" s="14"/>
      <c r="J64" s="14"/>
      <c r="O64" s="10"/>
      <c r="P64" s="10"/>
      <c r="R64" s="10"/>
    </row>
    <row r="65" spans="1:18" ht="15" thickBot="1" x14ac:dyDescent="0.25">
      <c r="A65" s="15"/>
      <c r="B65" s="15"/>
      <c r="C65" s="15"/>
      <c r="E65" s="16" t="s">
        <v>19</v>
      </c>
      <c r="F65" s="42">
        <f>SUM(F9:F63)</f>
        <v>28919.640000000007</v>
      </c>
      <c r="G65" s="42">
        <f>SUM(G9:G63)</f>
        <v>1735.1799999999998</v>
      </c>
      <c r="H65" s="42">
        <f>SUM(H9:H63)</f>
        <v>347.05000000000007</v>
      </c>
      <c r="I65" s="42">
        <f>SUM(I9:I63)</f>
        <v>2126.42</v>
      </c>
      <c r="J65" s="42">
        <f>SUM(J9:J63)</f>
        <v>24710.989999999998</v>
      </c>
      <c r="K65" s="41"/>
      <c r="L65" s="42">
        <f>SUM(L9:L63)</f>
        <v>0</v>
      </c>
      <c r="M65" s="42">
        <f>SUM(M9:M63)</f>
        <v>24710.989999999998</v>
      </c>
      <c r="N65" s="41"/>
      <c r="O65" s="42">
        <f>SUM(O9:O63)</f>
        <v>8016.51</v>
      </c>
      <c r="P65" s="42">
        <f>SUM(P9:P63)</f>
        <v>16694.479999999996</v>
      </c>
      <c r="R65" s="41"/>
    </row>
    <row r="66" spans="1:18" ht="13.5" thickTop="1" x14ac:dyDescent="0.2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 x14ac:dyDescent="0.2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 x14ac:dyDescent="0.2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 x14ac:dyDescent="0.2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 x14ac:dyDescent="0.2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 x14ac:dyDescent="0.2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 x14ac:dyDescent="0.2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 x14ac:dyDescent="0.2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 x14ac:dyDescent="0.2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 x14ac:dyDescent="0.2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 x14ac:dyDescent="0.2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 x14ac:dyDescent="0.2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 x14ac:dyDescent="0.2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 x14ac:dyDescent="0.2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 x14ac:dyDescent="0.2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 x14ac:dyDescent="0.2">
      <c r="Q65532" s="20">
        <v>40611</v>
      </c>
    </row>
  </sheetData>
  <autoFilter ref="B7:U62"/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>
      <formula1>IF(B9="",PropertyList,INDEX(PropertyList,MATCH(B9,TenancyList,0)))</formula1>
    </dataValidation>
    <dataValidation type="list" allowBlank="1" showInputMessage="1" showErrorMessage="1" sqref="B9:B63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Q43:Q46 Q37:Q39 Q41 E44:F63 E40:E43 F37:F43 Q33:Q35 E9:F36 Q48:Q63 Q9:Q31">
      <formula1>0</formula1>
    </dataValidation>
    <dataValidation type="date" operator="greaterThanOrEqual" allowBlank="1" showErrorMessage="1" errorTitle="Invaid Date" error="Please enter a date (in format: dd/mm/yyyy)" sqref="Q32 Q40 Q47 E39 Q42 Q36 D9:D63 K9:L63">
      <formula1>1</formula1>
    </dataValidation>
    <dataValidation operator="greaterThanOrEqual" allowBlank="1" showInputMessage="1" showErrorMessage="1" sqref="G9:J63"/>
    <dataValidation type="list" allowBlank="1" showInputMessage="1" showErrorMessage="1" sqref="N9:N63">
      <formula1>PropertyStatusList</formula1>
    </dataValidation>
    <dataValidation type="date" operator="greaterThanOrEqual" allowBlank="1" showInputMessage="1" showErrorMessage="1" sqref="B3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29"/>
  <sheetViews>
    <sheetView zoomScale="85" zoomScaleNormal="85" workbookViewId="0">
      <selection activeCell="F50" sqref="E50:F50"/>
    </sheetView>
  </sheetViews>
  <sheetFormatPr defaultRowHeight="12.75" x14ac:dyDescent="0.2"/>
  <cols>
    <col min="1" max="1" width="20.7109375" bestFit="1" customWidth="1"/>
    <col min="2" max="2" width="10.140625" bestFit="1" customWidth="1"/>
    <col min="3" max="3" width="11.28515625" bestFit="1" customWidth="1"/>
    <col min="4" max="4" width="7.1406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 x14ac:dyDescent="0.2">
      <c r="A1" s="131" t="s">
        <v>922</v>
      </c>
    </row>
    <row r="2" spans="1:15" x14ac:dyDescent="0.2">
      <c r="A2" s="50"/>
      <c r="B2" s="72"/>
      <c r="C2" s="72"/>
      <c r="D2" s="73"/>
      <c r="E2" s="72"/>
      <c r="F2" s="72"/>
      <c r="G2" s="73"/>
      <c r="H2" s="72"/>
      <c r="I2" s="72"/>
    </row>
    <row r="3" spans="1:15" ht="15" x14ac:dyDescent="0.25">
      <c r="A3" s="133" t="s">
        <v>981</v>
      </c>
    </row>
    <row r="4" spans="1:15" x14ac:dyDescent="0.2">
      <c r="A4" t="s">
        <v>982</v>
      </c>
      <c r="B4">
        <v>26</v>
      </c>
    </row>
    <row r="5" spans="1:15" x14ac:dyDescent="0.2">
      <c r="A5" t="s">
        <v>983</v>
      </c>
      <c r="B5">
        <v>94</v>
      </c>
    </row>
    <row r="6" spans="1:15" x14ac:dyDescent="0.2">
      <c r="A6" t="s">
        <v>984</v>
      </c>
      <c r="B6">
        <v>94</v>
      </c>
    </row>
    <row r="7" spans="1:15" x14ac:dyDescent="0.2">
      <c r="A7" t="s">
        <v>985</v>
      </c>
      <c r="B7">
        <v>76</v>
      </c>
    </row>
    <row r="8" spans="1:15" x14ac:dyDescent="0.2">
      <c r="A8" t="s">
        <v>986</v>
      </c>
      <c r="B8">
        <v>0</v>
      </c>
    </row>
    <row r="9" spans="1:15" x14ac:dyDescent="0.2">
      <c r="A9" t="s">
        <v>987</v>
      </c>
      <c r="B9">
        <v>1</v>
      </c>
    </row>
    <row r="10" spans="1:15" x14ac:dyDescent="0.2">
      <c r="A10" s="130"/>
      <c r="B10" s="130"/>
      <c r="C10" s="130"/>
      <c r="D10" s="130"/>
      <c r="E10" s="130"/>
      <c r="F10" s="130"/>
      <c r="G10" s="130"/>
      <c r="H10" s="130"/>
      <c r="I10" s="130"/>
      <c r="J10" s="130"/>
      <c r="K10" s="130"/>
      <c r="L10" s="130"/>
      <c r="M10" s="130"/>
      <c r="N10" s="130"/>
      <c r="O10" s="130"/>
    </row>
    <row r="11" spans="1:15" ht="15" x14ac:dyDescent="0.25">
      <c r="A11" s="133" t="s">
        <v>988</v>
      </c>
      <c r="B11" s="133" t="s">
        <v>707</v>
      </c>
      <c r="C11" s="133" t="s">
        <v>709</v>
      </c>
      <c r="D11" s="133" t="s">
        <v>924</v>
      </c>
    </row>
    <row r="12" spans="1:15" x14ac:dyDescent="0.2">
      <c r="A12" t="s">
        <v>989</v>
      </c>
      <c r="B12" s="134">
        <v>42720.544444444444</v>
      </c>
      <c r="C12">
        <v>-209.33</v>
      </c>
      <c r="D12" t="s">
        <v>681</v>
      </c>
    </row>
    <row r="13" spans="1:15" x14ac:dyDescent="0.2">
      <c r="A13" s="130"/>
      <c r="B13" s="130"/>
      <c r="C13" s="130"/>
      <c r="D13" s="130"/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</row>
    <row r="14" spans="1:15" ht="15" x14ac:dyDescent="0.25">
      <c r="A14" s="133" t="s">
        <v>990</v>
      </c>
    </row>
    <row r="15" spans="1:15" x14ac:dyDescent="0.2">
      <c r="A15" t="s">
        <v>991</v>
      </c>
      <c r="B15" t="s">
        <v>892</v>
      </c>
    </row>
    <row r="16" spans="1:15" x14ac:dyDescent="0.2">
      <c r="A16" t="s">
        <v>992</v>
      </c>
      <c r="B16">
        <v>121</v>
      </c>
    </row>
    <row r="17" spans="1:3" x14ac:dyDescent="0.2">
      <c r="A17" t="s">
        <v>993</v>
      </c>
      <c r="B17">
        <v>121</v>
      </c>
    </row>
    <row r="18" spans="1:3" x14ac:dyDescent="0.2">
      <c r="A18" t="s">
        <v>994</v>
      </c>
      <c r="B18">
        <v>0</v>
      </c>
    </row>
    <row r="19" spans="1:3" x14ac:dyDescent="0.2">
      <c r="A19" t="s">
        <v>995</v>
      </c>
      <c r="B19">
        <v>121</v>
      </c>
      <c r="C19">
        <v>121</v>
      </c>
    </row>
    <row r="20" spans="1:3" x14ac:dyDescent="0.2">
      <c r="A20" t="s">
        <v>996</v>
      </c>
      <c r="B20">
        <v>0</v>
      </c>
      <c r="C20">
        <v>0</v>
      </c>
    </row>
    <row r="21" spans="1:3" x14ac:dyDescent="0.2">
      <c r="A21" t="s">
        <v>997</v>
      </c>
      <c r="B21">
        <v>30</v>
      </c>
      <c r="C21">
        <v>30</v>
      </c>
    </row>
    <row r="23" spans="1:3" x14ac:dyDescent="0.2">
      <c r="A23" t="s">
        <v>991</v>
      </c>
      <c r="B23" t="s">
        <v>893</v>
      </c>
    </row>
    <row r="24" spans="1:3" x14ac:dyDescent="0.2">
      <c r="A24" t="s">
        <v>992</v>
      </c>
      <c r="B24">
        <v>68</v>
      </c>
    </row>
    <row r="25" spans="1:3" x14ac:dyDescent="0.2">
      <c r="A25" t="s">
        <v>993</v>
      </c>
      <c r="B25">
        <v>68</v>
      </c>
    </row>
    <row r="26" spans="1:3" x14ac:dyDescent="0.2">
      <c r="A26" t="s">
        <v>994</v>
      </c>
      <c r="B26">
        <v>0</v>
      </c>
    </row>
    <row r="27" spans="1:3" x14ac:dyDescent="0.2">
      <c r="A27" t="s">
        <v>995</v>
      </c>
      <c r="B27">
        <v>68</v>
      </c>
      <c r="C27">
        <v>68</v>
      </c>
    </row>
    <row r="28" spans="1:3" x14ac:dyDescent="0.2">
      <c r="A28" t="s">
        <v>996</v>
      </c>
      <c r="B28">
        <v>0</v>
      </c>
      <c r="C28">
        <v>0</v>
      </c>
    </row>
    <row r="29" spans="1:3" x14ac:dyDescent="0.2">
      <c r="A29" t="s">
        <v>997</v>
      </c>
      <c r="B29">
        <v>16</v>
      </c>
      <c r="C29">
        <v>16</v>
      </c>
    </row>
  </sheetData>
  <phoneticPr fontId="15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9"/>
  <sheetViews>
    <sheetView topLeftCell="A16" zoomScale="85" zoomScaleNormal="85" workbookViewId="0">
      <selection activeCell="E33" sqref="E33"/>
    </sheetView>
  </sheetViews>
  <sheetFormatPr defaultRowHeight="12.75" x14ac:dyDescent="0.2"/>
  <cols>
    <col min="1" max="1" width="35.85546875" bestFit="1" customWidth="1"/>
    <col min="2" max="2" width="10.28515625" customWidth="1"/>
    <col min="3" max="3" width="11.7109375" bestFit="1" customWidth="1"/>
    <col min="4" max="4" width="8.42578125" bestFit="1" customWidth="1"/>
    <col min="5" max="5" width="10.7109375" customWidth="1"/>
    <col min="6" max="6" width="11.7109375" bestFit="1" customWidth="1"/>
    <col min="7" max="7" width="8" customWidth="1"/>
    <col min="8" max="8" width="10.28515625" customWidth="1"/>
    <col min="9" max="9" width="13.140625" customWidth="1"/>
  </cols>
  <sheetData>
    <row r="1" spans="1:9" ht="15" x14ac:dyDescent="0.25">
      <c r="A1" s="105" t="s">
        <v>891</v>
      </c>
      <c r="B1" s="105"/>
    </row>
    <row r="2" spans="1:9" ht="15" x14ac:dyDescent="0.25">
      <c r="A2" s="105"/>
      <c r="B2" s="105"/>
    </row>
    <row r="3" spans="1:9" x14ac:dyDescent="0.2">
      <c r="E3" t="s">
        <v>401</v>
      </c>
      <c r="H3" t="s">
        <v>402</v>
      </c>
    </row>
    <row r="4" spans="1:9" x14ac:dyDescent="0.2">
      <c r="A4" s="50" t="s">
        <v>219</v>
      </c>
      <c r="B4" s="72" t="s">
        <v>218</v>
      </c>
      <c r="C4" s="72" t="s">
        <v>217</v>
      </c>
      <c r="D4" s="73"/>
      <c r="E4" s="72" t="s">
        <v>218</v>
      </c>
      <c r="F4" s="72" t="s">
        <v>217</v>
      </c>
      <c r="G4" s="73"/>
      <c r="H4" s="72" t="s">
        <v>218</v>
      </c>
      <c r="I4" s="72" t="s">
        <v>217</v>
      </c>
    </row>
    <row r="5" spans="1:9" x14ac:dyDescent="0.2">
      <c r="A5" t="s">
        <v>216</v>
      </c>
      <c r="B5" s="52">
        <v>28919.640000000007</v>
      </c>
      <c r="E5" s="52">
        <v>18950.890000000003</v>
      </c>
      <c r="H5" s="52">
        <v>9968.75</v>
      </c>
    </row>
    <row r="6" spans="1:9" x14ac:dyDescent="0.2">
      <c r="A6" t="s">
        <v>215</v>
      </c>
      <c r="C6" s="55">
        <v>-8016.51</v>
      </c>
      <c r="F6" s="55">
        <v>-4520.9900000000007</v>
      </c>
      <c r="I6" s="55">
        <v>-3495.5199999999991</v>
      </c>
    </row>
    <row r="7" spans="1:9" x14ac:dyDescent="0.2">
      <c r="A7" t="s">
        <v>214</v>
      </c>
      <c r="C7" s="55">
        <v>-1735.1799999999998</v>
      </c>
      <c r="F7" s="55">
        <v>-1137.0500000000002</v>
      </c>
      <c r="I7" s="55">
        <v>-598.13</v>
      </c>
    </row>
    <row r="8" spans="1:9" x14ac:dyDescent="0.2">
      <c r="A8" t="s">
        <v>213</v>
      </c>
      <c r="C8" s="55">
        <v>-347.05000000000007</v>
      </c>
      <c r="F8" s="55">
        <v>-227.42000000000004</v>
      </c>
      <c r="I8" s="55">
        <v>-119.63000000000001</v>
      </c>
    </row>
    <row r="9" spans="1:9" x14ac:dyDescent="0.2">
      <c r="A9" t="s">
        <v>212</v>
      </c>
      <c r="C9" s="55">
        <v>-2126.42</v>
      </c>
      <c r="F9" s="55">
        <v>-1672.02</v>
      </c>
      <c r="I9" s="55">
        <v>-454.4</v>
      </c>
    </row>
    <row r="10" spans="1:9" x14ac:dyDescent="0.2">
      <c r="A10" s="56" t="s">
        <v>403</v>
      </c>
      <c r="C10" s="55"/>
      <c r="F10" s="55">
        <v>0</v>
      </c>
      <c r="I10" s="55">
        <v>0</v>
      </c>
    </row>
    <row r="11" spans="1:9" x14ac:dyDescent="0.2">
      <c r="B11" s="52"/>
    </row>
    <row r="12" spans="1:9" ht="13.5" thickBot="1" x14ac:dyDescent="0.25">
      <c r="A12" t="s">
        <v>211</v>
      </c>
      <c r="B12" s="51">
        <v>16694.480000000007</v>
      </c>
      <c r="D12" s="53"/>
      <c r="E12" s="51">
        <v>11393.410000000002</v>
      </c>
      <c r="H12" s="51">
        <v>5301.0700000000015</v>
      </c>
    </row>
    <row r="13" spans="1:9" ht="15.75" thickTop="1" x14ac:dyDescent="0.25">
      <c r="A13" s="106"/>
      <c r="B13" s="106"/>
      <c r="C13" s="134"/>
      <c r="F13" s="134"/>
    </row>
    <row r="14" spans="1:9" ht="45" x14ac:dyDescent="0.25">
      <c r="A14" s="106"/>
      <c r="B14" s="107" t="s">
        <v>892</v>
      </c>
      <c r="C14" s="107" t="s">
        <v>893</v>
      </c>
      <c r="D14" s="108" t="s">
        <v>894</v>
      </c>
      <c r="E14" s="109" t="s">
        <v>892</v>
      </c>
      <c r="F14" s="110" t="s">
        <v>893</v>
      </c>
    </row>
    <row r="15" spans="1:9" ht="15" x14ac:dyDescent="0.25">
      <c r="A15" s="106" t="s">
        <v>895</v>
      </c>
      <c r="B15" s="103">
        <v>11393.410000000002</v>
      </c>
      <c r="C15" s="103">
        <v>5301.0700000000015</v>
      </c>
      <c r="D15" s="111"/>
      <c r="E15" s="112">
        <v>0.68246570123777439</v>
      </c>
      <c r="F15" s="113">
        <v>0.31753429876222561</v>
      </c>
    </row>
    <row r="16" spans="1:9" ht="15" x14ac:dyDescent="0.25">
      <c r="A16" s="106"/>
      <c r="B16" s="114"/>
      <c r="C16" s="114"/>
      <c r="D16" s="115"/>
      <c r="E16" s="116"/>
      <c r="F16" s="117"/>
    </row>
    <row r="17" spans="1:8" x14ac:dyDescent="0.2">
      <c r="A17" s="102" t="s">
        <v>888</v>
      </c>
      <c r="B17" s="103">
        <v>-4412.0600000000004</v>
      </c>
      <c r="C17" s="103">
        <v>-3495.5200000000004</v>
      </c>
      <c r="D17" s="118"/>
      <c r="E17" s="119"/>
      <c r="F17" s="120"/>
      <c r="H17" t="s">
        <v>889</v>
      </c>
    </row>
    <row r="18" spans="1:8" x14ac:dyDescent="0.2">
      <c r="A18" s="102" t="s">
        <v>25</v>
      </c>
      <c r="B18" s="103">
        <v>12768.570000000003</v>
      </c>
      <c r="C18" s="103">
        <v>7931.85</v>
      </c>
      <c r="D18" s="118"/>
      <c r="E18" s="119"/>
      <c r="F18" s="120"/>
      <c r="H18" t="s">
        <v>890</v>
      </c>
    </row>
    <row r="19" spans="1:8" x14ac:dyDescent="0.2">
      <c r="A19" s="102"/>
      <c r="B19" s="104">
        <v>8356.510000000002</v>
      </c>
      <c r="C19" s="104">
        <v>4436.33</v>
      </c>
      <c r="D19" s="118"/>
      <c r="E19" s="119"/>
      <c r="F19" s="120"/>
    </row>
    <row r="20" spans="1:8" ht="15" x14ac:dyDescent="0.25">
      <c r="A20" s="106"/>
      <c r="B20" s="103"/>
      <c r="C20" s="103"/>
      <c r="D20" s="118"/>
      <c r="E20" s="119"/>
      <c r="F20" s="120"/>
      <c r="H20" s="106"/>
    </row>
    <row r="21" spans="1:8" x14ac:dyDescent="0.2">
      <c r="A21" t="s">
        <v>896</v>
      </c>
      <c r="B21" s="103">
        <v>-550</v>
      </c>
      <c r="C21" s="103">
        <v>-550</v>
      </c>
      <c r="D21" s="118"/>
      <c r="E21" s="119"/>
      <c r="F21" s="120"/>
      <c r="H21" t="s">
        <v>897</v>
      </c>
    </row>
    <row r="22" spans="1:8" x14ac:dyDescent="0.2">
      <c r="A22" s="134" t="s">
        <v>898</v>
      </c>
      <c r="B22" s="103">
        <v>-50</v>
      </c>
      <c r="C22" s="103">
        <v>-50</v>
      </c>
      <c r="D22" s="118"/>
      <c r="E22" s="119"/>
      <c r="F22" s="120"/>
      <c r="H22" s="134" t="s">
        <v>899</v>
      </c>
    </row>
    <row r="23" spans="1:8" x14ac:dyDescent="0.2">
      <c r="A23" t="s">
        <v>900</v>
      </c>
      <c r="B23" s="103">
        <v>0</v>
      </c>
      <c r="C23" s="103">
        <v>-200</v>
      </c>
      <c r="D23" s="118">
        <v>-200</v>
      </c>
      <c r="E23" s="119">
        <v>-136.49314024755489</v>
      </c>
      <c r="F23" s="120">
        <v>-63.506859752445123</v>
      </c>
      <c r="H23" t="s">
        <v>901</v>
      </c>
    </row>
    <row r="24" spans="1:8" x14ac:dyDescent="0.2">
      <c r="A24" s="134" t="s">
        <v>902</v>
      </c>
      <c r="B24" s="103">
        <v>0</v>
      </c>
      <c r="C24" s="103">
        <v>0</v>
      </c>
      <c r="D24" s="118">
        <v>0</v>
      </c>
      <c r="E24" s="119">
        <v>0</v>
      </c>
      <c r="F24" s="120">
        <v>0</v>
      </c>
      <c r="H24" s="134" t="s">
        <v>903</v>
      </c>
    </row>
    <row r="25" spans="1:8" x14ac:dyDescent="0.2">
      <c r="A25" s="134" t="s">
        <v>904</v>
      </c>
      <c r="B25" s="103">
        <v>-66.12</v>
      </c>
      <c r="C25" s="103">
        <v>-164.75</v>
      </c>
      <c r="D25" s="118"/>
      <c r="E25" s="119">
        <v>0</v>
      </c>
      <c r="F25" s="120">
        <v>0</v>
      </c>
      <c r="H25" s="134" t="s">
        <v>905</v>
      </c>
    </row>
    <row r="26" spans="1:8" x14ac:dyDescent="0.2">
      <c r="A26" s="134" t="s">
        <v>906</v>
      </c>
      <c r="B26" s="103">
        <v>0</v>
      </c>
      <c r="C26" s="103">
        <v>-75.63</v>
      </c>
      <c r="D26" s="118">
        <v>-75.63</v>
      </c>
      <c r="E26" s="119">
        <v>-51.614880984612874</v>
      </c>
      <c r="F26" s="120">
        <v>-24.015119015387121</v>
      </c>
      <c r="H26" t="s">
        <v>907</v>
      </c>
    </row>
    <row r="27" spans="1:8" x14ac:dyDescent="0.2">
      <c r="A27" s="134" t="s">
        <v>908</v>
      </c>
      <c r="B27" s="103">
        <v>0</v>
      </c>
      <c r="C27" s="103">
        <v>-101.49000000000001</v>
      </c>
      <c r="D27" s="118">
        <v>-101.49000000000001</v>
      </c>
      <c r="E27" s="119">
        <v>-69.263444018621726</v>
      </c>
      <c r="F27" s="120">
        <v>-32.226555981378283</v>
      </c>
      <c r="H27" t="s">
        <v>909</v>
      </c>
    </row>
    <row r="28" spans="1:8" ht="15" x14ac:dyDescent="0.25">
      <c r="A28" s="134" t="s">
        <v>910</v>
      </c>
      <c r="B28" s="121">
        <v>-929.2700000000001</v>
      </c>
      <c r="C28" s="103">
        <v>-1750</v>
      </c>
      <c r="D28" s="118">
        <v>-820.7299999999999</v>
      </c>
      <c r="E28" s="119">
        <v>-560.12007497687853</v>
      </c>
      <c r="F28" s="120">
        <v>-260.60992502312138</v>
      </c>
      <c r="H28" t="s">
        <v>911</v>
      </c>
    </row>
    <row r="29" spans="1:8" x14ac:dyDescent="0.2">
      <c r="A29" s="134" t="s">
        <v>912</v>
      </c>
      <c r="B29" s="103">
        <v>0</v>
      </c>
      <c r="C29" s="103">
        <v>-33</v>
      </c>
      <c r="D29" s="118"/>
      <c r="E29" s="119">
        <v>0</v>
      </c>
      <c r="F29" s="120">
        <v>0</v>
      </c>
      <c r="H29" s="134" t="s">
        <v>913</v>
      </c>
    </row>
    <row r="30" spans="1:8" x14ac:dyDescent="0.2">
      <c r="A30" s="134" t="s">
        <v>914</v>
      </c>
      <c r="B30" s="103">
        <v>-519.5</v>
      </c>
      <c r="C30" s="103">
        <v>0</v>
      </c>
      <c r="D30" s="118"/>
      <c r="E30" s="119">
        <v>0</v>
      </c>
      <c r="F30" s="120">
        <v>0</v>
      </c>
      <c r="H30" s="134" t="s">
        <v>915</v>
      </c>
    </row>
    <row r="31" spans="1:8" x14ac:dyDescent="0.2">
      <c r="A31" s="134" t="s">
        <v>25</v>
      </c>
      <c r="B31" s="103">
        <v>0</v>
      </c>
      <c r="C31" s="103">
        <v>-400</v>
      </c>
      <c r="D31" s="118">
        <v>-400</v>
      </c>
      <c r="E31" s="119">
        <v>-272.98628049510978</v>
      </c>
      <c r="F31" s="120">
        <v>-127.01371950489025</v>
      </c>
      <c r="H31" s="134" t="s">
        <v>916</v>
      </c>
    </row>
    <row r="32" spans="1:8" x14ac:dyDescent="0.2">
      <c r="B32" s="122">
        <v>-2114.8900000000003</v>
      </c>
      <c r="C32" s="122">
        <v>-3324.87</v>
      </c>
      <c r="D32" s="123">
        <v>-1597.85</v>
      </c>
      <c r="E32" s="124">
        <v>-1090.4778207227778</v>
      </c>
      <c r="F32" s="122">
        <v>-507.37217927722213</v>
      </c>
    </row>
    <row r="33" spans="1:8" x14ac:dyDescent="0.2">
      <c r="E33" s="125"/>
    </row>
    <row r="34" spans="1:8" x14ac:dyDescent="0.2">
      <c r="A34" s="134" t="s">
        <v>917</v>
      </c>
      <c r="E34" s="126">
        <v>-2609.16</v>
      </c>
      <c r="H34" t="s">
        <v>918</v>
      </c>
    </row>
    <row r="35" spans="1:8" x14ac:dyDescent="0.2">
      <c r="E35" s="125"/>
    </row>
    <row r="36" spans="1:8" x14ac:dyDescent="0.2">
      <c r="A36" t="s">
        <v>919</v>
      </c>
      <c r="E36" s="124">
        <v>1518.6821792772221</v>
      </c>
    </row>
    <row r="38" spans="1:8" x14ac:dyDescent="0.2">
      <c r="A38" s="50" t="s">
        <v>920</v>
      </c>
    </row>
    <row r="39" spans="1:8" x14ac:dyDescent="0.2">
      <c r="A39" t="s">
        <v>921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N44"/>
  <sheetViews>
    <sheetView zoomScale="85" zoomScaleNormal="85" workbookViewId="0">
      <selection activeCell="L36" sqref="L36"/>
    </sheetView>
  </sheetViews>
  <sheetFormatPr defaultRowHeight="12.75" x14ac:dyDescent="0.2"/>
  <cols>
    <col min="1" max="1" width="35.85546875" bestFit="1" customWidth="1"/>
    <col min="2" max="2" width="10.28515625" customWidth="1"/>
    <col min="3" max="3" width="11.7109375" bestFit="1" customWidth="1"/>
    <col min="4" max="4" width="8.42578125" bestFit="1" customWidth="1"/>
    <col min="5" max="5" width="10.7109375" customWidth="1"/>
    <col min="6" max="6" width="11.7109375" bestFit="1" customWidth="1"/>
    <col min="7" max="7" width="8" customWidth="1"/>
    <col min="8" max="8" width="10.28515625" customWidth="1"/>
    <col min="9" max="9" width="13.140625" customWidth="1"/>
  </cols>
  <sheetData>
    <row r="1" spans="1:9" ht="15" x14ac:dyDescent="0.25">
      <c r="A1" s="105" t="s">
        <v>891</v>
      </c>
      <c r="B1" s="105"/>
    </row>
    <row r="2" spans="1:9" ht="15" x14ac:dyDescent="0.25">
      <c r="A2" s="105"/>
      <c r="B2" s="105"/>
    </row>
    <row r="3" spans="1:9" x14ac:dyDescent="0.2">
      <c r="E3" t="s">
        <v>401</v>
      </c>
      <c r="H3" t="s">
        <v>402</v>
      </c>
    </row>
    <row r="4" spans="1:9" x14ac:dyDescent="0.2">
      <c r="A4" s="50" t="s">
        <v>219</v>
      </c>
      <c r="B4" s="72" t="s">
        <v>218</v>
      </c>
      <c r="C4" s="72" t="s">
        <v>217</v>
      </c>
      <c r="D4" s="73"/>
      <c r="E4" s="72" t="s">
        <v>218</v>
      </c>
      <c r="F4" s="72" t="s">
        <v>217</v>
      </c>
      <c r="G4" s="73"/>
      <c r="H4" s="72" t="s">
        <v>218</v>
      </c>
      <c r="I4" s="72" t="s">
        <v>217</v>
      </c>
    </row>
    <row r="5" spans="1:9" x14ac:dyDescent="0.2">
      <c r="A5" t="s">
        <v>216</v>
      </c>
      <c r="B5" s="52">
        <v>28919.640000000007</v>
      </c>
      <c r="E5" s="52">
        <v>18950.890000000003</v>
      </c>
      <c r="H5" s="52">
        <v>9968.75</v>
      </c>
    </row>
    <row r="6" spans="1:9" x14ac:dyDescent="0.2">
      <c r="A6" t="s">
        <v>215</v>
      </c>
      <c r="C6" s="55">
        <v>-8016.51</v>
      </c>
      <c r="F6" s="55">
        <v>-4520.9900000000007</v>
      </c>
      <c r="I6" s="55">
        <v>-3495.5199999999991</v>
      </c>
    </row>
    <row r="7" spans="1:9" x14ac:dyDescent="0.2">
      <c r="A7" t="s">
        <v>214</v>
      </c>
      <c r="C7" s="55">
        <v>-1735.1799999999998</v>
      </c>
      <c r="F7" s="55">
        <v>-1137.0500000000002</v>
      </c>
      <c r="I7" s="55">
        <v>-598.13</v>
      </c>
    </row>
    <row r="8" spans="1:9" x14ac:dyDescent="0.2">
      <c r="A8" t="s">
        <v>213</v>
      </c>
      <c r="C8" s="55">
        <v>-347.05000000000007</v>
      </c>
      <c r="F8" s="55">
        <v>-227.42000000000004</v>
      </c>
      <c r="I8" s="55">
        <v>-119.63000000000001</v>
      </c>
    </row>
    <row r="9" spans="1:9" x14ac:dyDescent="0.2">
      <c r="A9" t="s">
        <v>212</v>
      </c>
      <c r="C9" s="55">
        <v>-2126.42</v>
      </c>
      <c r="F9" s="55">
        <v>-1672.02</v>
      </c>
      <c r="I9" s="55">
        <v>-454.4</v>
      </c>
    </row>
    <row r="10" spans="1:9" x14ac:dyDescent="0.2">
      <c r="A10" s="56" t="s">
        <v>403</v>
      </c>
      <c r="C10" s="55"/>
      <c r="F10" s="55">
        <v>0</v>
      </c>
      <c r="I10" s="55">
        <v>0</v>
      </c>
    </row>
    <row r="11" spans="1:9" x14ac:dyDescent="0.2">
      <c r="B11" s="52"/>
    </row>
    <row r="12" spans="1:9" ht="13.5" thickBot="1" x14ac:dyDescent="0.25">
      <c r="A12" t="s">
        <v>211</v>
      </c>
      <c r="B12" s="51">
        <v>16694.480000000007</v>
      </c>
      <c r="D12" s="53"/>
      <c r="E12" s="51">
        <v>11393.410000000002</v>
      </c>
      <c r="H12" s="51">
        <v>5301.0700000000015</v>
      </c>
    </row>
    <row r="13" spans="1:9" ht="15.75" thickTop="1" x14ac:dyDescent="0.25">
      <c r="A13" s="106"/>
      <c r="B13" s="106"/>
      <c r="C13" s="134"/>
      <c r="F13" s="134"/>
    </row>
    <row r="14" spans="1:9" ht="30" x14ac:dyDescent="0.25">
      <c r="A14" s="106"/>
      <c r="B14" s="107" t="s">
        <v>892</v>
      </c>
      <c r="C14" s="107" t="s">
        <v>893</v>
      </c>
      <c r="D14" s="108" t="s">
        <v>1059</v>
      </c>
      <c r="E14" s="109" t="s">
        <v>892</v>
      </c>
      <c r="F14" s="110" t="s">
        <v>893</v>
      </c>
    </row>
    <row r="15" spans="1:9" ht="15" x14ac:dyDescent="0.25">
      <c r="A15" s="106" t="s">
        <v>895</v>
      </c>
      <c r="B15" s="103">
        <v>11393.410000000002</v>
      </c>
      <c r="C15" s="103">
        <v>5301.0700000000015</v>
      </c>
      <c r="D15" s="111"/>
      <c r="E15" s="112">
        <v>0.68246570123777439</v>
      </c>
      <c r="F15" s="113">
        <v>0.31753429876222561</v>
      </c>
    </row>
    <row r="16" spans="1:9" ht="15" x14ac:dyDescent="0.25">
      <c r="A16" s="106"/>
      <c r="B16" s="114"/>
      <c r="C16" s="114"/>
      <c r="D16" s="115"/>
      <c r="E16" s="116"/>
      <c r="F16" s="117"/>
    </row>
    <row r="17" spans="1:8" x14ac:dyDescent="0.2">
      <c r="A17" s="102" t="s">
        <v>888</v>
      </c>
      <c r="B17" s="103">
        <v>-4412.0600000000004</v>
      </c>
      <c r="C17" s="103">
        <v>-3495.5200000000004</v>
      </c>
      <c r="D17" s="118"/>
      <c r="E17" s="119"/>
      <c r="F17" s="120"/>
      <c r="H17" t="s">
        <v>889</v>
      </c>
    </row>
    <row r="18" spans="1:8" x14ac:dyDescent="0.2">
      <c r="A18" s="102" t="s">
        <v>25</v>
      </c>
      <c r="B18" s="103">
        <v>12768.570000000003</v>
      </c>
      <c r="C18" s="103">
        <v>7931.85</v>
      </c>
      <c r="D18" s="118"/>
      <c r="E18" s="119"/>
      <c r="F18" s="120"/>
      <c r="H18" t="s">
        <v>890</v>
      </c>
    </row>
    <row r="19" spans="1:8" x14ac:dyDescent="0.2">
      <c r="A19" s="102"/>
      <c r="B19" s="104">
        <v>8356.510000000002</v>
      </c>
      <c r="C19" s="104">
        <v>4436.33</v>
      </c>
      <c r="D19" s="118"/>
      <c r="E19" s="119"/>
      <c r="F19" s="120"/>
    </row>
    <row r="20" spans="1:8" ht="15" x14ac:dyDescent="0.25">
      <c r="A20" s="106"/>
      <c r="B20" s="103"/>
      <c r="C20" s="103"/>
      <c r="D20" s="118"/>
      <c r="E20" s="119"/>
      <c r="F20" s="120"/>
      <c r="H20" s="106"/>
    </row>
    <row r="21" spans="1:8" x14ac:dyDescent="0.2">
      <c r="A21" t="s">
        <v>896</v>
      </c>
      <c r="B21" s="103">
        <v>-550</v>
      </c>
      <c r="C21" s="103">
        <v>-550</v>
      </c>
      <c r="D21" s="118"/>
      <c r="E21" s="119"/>
      <c r="F21" s="120"/>
      <c r="H21" t="s">
        <v>897</v>
      </c>
    </row>
    <row r="22" spans="1:8" x14ac:dyDescent="0.2">
      <c r="A22" s="134" t="s">
        <v>898</v>
      </c>
      <c r="B22" s="103">
        <v>-50</v>
      </c>
      <c r="C22" s="103">
        <v>-50</v>
      </c>
      <c r="D22" s="118"/>
      <c r="E22" s="119"/>
      <c r="F22" s="120"/>
      <c r="H22" s="134" t="s">
        <v>899</v>
      </c>
    </row>
    <row r="23" spans="1:8" x14ac:dyDescent="0.2">
      <c r="A23" s="134"/>
      <c r="B23" s="103"/>
      <c r="C23" s="103"/>
      <c r="D23" s="118"/>
      <c r="E23" s="119"/>
      <c r="F23" s="120"/>
      <c r="H23" s="134"/>
    </row>
    <row r="24" spans="1:8" x14ac:dyDescent="0.2">
      <c r="A24" s="134" t="s">
        <v>904</v>
      </c>
      <c r="B24" s="103">
        <v>-66.12</v>
      </c>
      <c r="C24" s="103">
        <v>-164.75</v>
      </c>
      <c r="D24" s="118"/>
      <c r="E24" s="119">
        <v>0</v>
      </c>
      <c r="F24" s="120">
        <v>0</v>
      </c>
      <c r="H24" s="134" t="s">
        <v>905</v>
      </c>
    </row>
    <row r="25" spans="1:8" x14ac:dyDescent="0.2">
      <c r="A25" s="134" t="s">
        <v>912</v>
      </c>
      <c r="B25" s="103">
        <v>0</v>
      </c>
      <c r="C25" s="103">
        <v>-33</v>
      </c>
      <c r="D25" s="118"/>
      <c r="E25" s="119">
        <v>0</v>
      </c>
      <c r="F25" s="120">
        <v>0</v>
      </c>
      <c r="H25" s="134" t="s">
        <v>913</v>
      </c>
    </row>
    <row r="26" spans="1:8" x14ac:dyDescent="0.2">
      <c r="A26" s="134" t="s">
        <v>914</v>
      </c>
      <c r="B26" s="103">
        <v>-519.5</v>
      </c>
      <c r="C26" s="103">
        <v>0</v>
      </c>
      <c r="D26" s="118"/>
      <c r="E26" s="119">
        <v>0</v>
      </c>
      <c r="F26" s="120">
        <v>0</v>
      </c>
      <c r="H26" s="134" t="s">
        <v>915</v>
      </c>
    </row>
    <row r="27" spans="1:8" x14ac:dyDescent="0.2">
      <c r="A27" s="134"/>
      <c r="B27" s="103"/>
      <c r="C27" s="103"/>
      <c r="D27" s="118"/>
      <c r="E27" s="119"/>
      <c r="F27" s="120"/>
      <c r="H27" s="134"/>
    </row>
    <row r="28" spans="1:8" x14ac:dyDescent="0.2">
      <c r="A28" s="139" t="s">
        <v>1062</v>
      </c>
      <c r="B28" s="103"/>
      <c r="C28" s="103"/>
      <c r="D28" s="118"/>
      <c r="E28" s="119"/>
      <c r="F28" s="120"/>
      <c r="H28" s="134"/>
    </row>
    <row r="29" spans="1:8" x14ac:dyDescent="0.2">
      <c r="A29" t="s">
        <v>900</v>
      </c>
      <c r="B29" s="103">
        <v>0</v>
      </c>
      <c r="C29" s="103">
        <v>-200</v>
      </c>
      <c r="D29" s="118">
        <v>-200</v>
      </c>
      <c r="E29" s="119">
        <v>-136.49314024755489</v>
      </c>
      <c r="F29" s="120">
        <v>-63.506859752445123</v>
      </c>
      <c r="H29" t="s">
        <v>901</v>
      </c>
    </row>
    <row r="30" spans="1:8" x14ac:dyDescent="0.2">
      <c r="A30" s="134" t="s">
        <v>902</v>
      </c>
      <c r="B30" s="103">
        <v>0</v>
      </c>
      <c r="C30" s="103">
        <v>0</v>
      </c>
      <c r="D30" s="118">
        <v>0</v>
      </c>
      <c r="E30" s="119">
        <v>0</v>
      </c>
      <c r="F30" s="120">
        <v>0</v>
      </c>
      <c r="H30" s="134" t="s">
        <v>903</v>
      </c>
    </row>
    <row r="31" spans="1:8" x14ac:dyDescent="0.2">
      <c r="A31" s="134" t="s">
        <v>906</v>
      </c>
      <c r="B31" s="103">
        <v>0</v>
      </c>
      <c r="C31" s="103">
        <v>-75.63</v>
      </c>
      <c r="D31" s="118">
        <v>-75.63</v>
      </c>
      <c r="E31" s="119">
        <v>-51.614880984612874</v>
      </c>
      <c r="F31" s="120">
        <v>-24.015119015387121</v>
      </c>
      <c r="H31" t="s">
        <v>907</v>
      </c>
    </row>
    <row r="32" spans="1:8" x14ac:dyDescent="0.2">
      <c r="A32" s="134" t="s">
        <v>908</v>
      </c>
      <c r="B32" s="103">
        <v>0</v>
      </c>
      <c r="C32" s="103">
        <v>-101.49000000000001</v>
      </c>
      <c r="D32" s="118">
        <v>-101.49000000000001</v>
      </c>
      <c r="E32" s="119">
        <v>-69.263444018621726</v>
      </c>
      <c r="F32" s="120">
        <v>-32.226555981378283</v>
      </c>
      <c r="H32" t="s">
        <v>909</v>
      </c>
    </row>
    <row r="33" spans="1:14" ht="15" x14ac:dyDescent="0.25">
      <c r="A33" s="134" t="s">
        <v>910</v>
      </c>
      <c r="B33" s="121">
        <v>-929.2700000000001</v>
      </c>
      <c r="C33" s="103">
        <v>-1641.21</v>
      </c>
      <c r="D33" s="118">
        <v>-2570.48</v>
      </c>
      <c r="E33" s="119">
        <v>-1754.2644357176744</v>
      </c>
      <c r="F33" s="120">
        <v>-816.21556428232566</v>
      </c>
      <c r="H33" t="s">
        <v>911</v>
      </c>
      <c r="N33">
        <v>-108.79</v>
      </c>
    </row>
    <row r="34" spans="1:14" x14ac:dyDescent="0.2">
      <c r="A34" s="134" t="s">
        <v>25</v>
      </c>
      <c r="B34" s="103">
        <v>0</v>
      </c>
      <c r="C34" s="103">
        <v>-400</v>
      </c>
      <c r="D34" s="118">
        <v>-400</v>
      </c>
      <c r="E34" s="119">
        <v>-272.98628049510978</v>
      </c>
      <c r="F34" s="120">
        <v>-127.01371950489025</v>
      </c>
      <c r="H34" s="134" t="s">
        <v>916</v>
      </c>
    </row>
    <row r="35" spans="1:14" x14ac:dyDescent="0.2">
      <c r="B35" s="122">
        <v>-2114.89</v>
      </c>
      <c r="C35" s="122">
        <v>-3216.08</v>
      </c>
      <c r="D35" s="123">
        <v>-3347.6</v>
      </c>
      <c r="E35" s="124">
        <v>-2284.6221814635737</v>
      </c>
      <c r="F35" s="122">
        <v>-1062.9778185364264</v>
      </c>
    </row>
    <row r="36" spans="1:14" x14ac:dyDescent="0.2">
      <c r="E36" s="125"/>
    </row>
    <row r="37" spans="1:14" x14ac:dyDescent="0.2">
      <c r="A37" s="137" t="s">
        <v>1060</v>
      </c>
      <c r="E37" s="103">
        <v>-929.2700000000001</v>
      </c>
      <c r="F37" s="103">
        <v>-2418.33</v>
      </c>
      <c r="G37" s="103"/>
    </row>
    <row r="38" spans="1:14" x14ac:dyDescent="0.2">
      <c r="A38" s="138" t="s">
        <v>1061</v>
      </c>
      <c r="E38" s="126">
        <v>-2609.16</v>
      </c>
      <c r="F38" s="103">
        <v>2609.16</v>
      </c>
      <c r="G38" s="103"/>
      <c r="H38" t="s">
        <v>918</v>
      </c>
    </row>
    <row r="39" spans="1:14" x14ac:dyDescent="0.2">
      <c r="E39" s="125"/>
    </row>
    <row r="40" spans="1:14" x14ac:dyDescent="0.2">
      <c r="A40" s="56" t="s">
        <v>919</v>
      </c>
      <c r="E40" s="124">
        <v>1253.8078185364261</v>
      </c>
      <c r="F40" s="124">
        <v>-1253.8078185364263</v>
      </c>
    </row>
    <row r="41" spans="1:14" x14ac:dyDescent="0.2">
      <c r="A41" s="140" t="s">
        <v>1063</v>
      </c>
    </row>
    <row r="42" spans="1:14" x14ac:dyDescent="0.2">
      <c r="A42" s="50"/>
      <c r="E42" s="103"/>
      <c r="F42" s="103"/>
    </row>
    <row r="43" spans="1:14" x14ac:dyDescent="0.2">
      <c r="A43" s="50" t="s">
        <v>920</v>
      </c>
      <c r="E43" s="103"/>
      <c r="F43" s="103"/>
    </row>
    <row r="44" spans="1:14" x14ac:dyDescent="0.2">
      <c r="A44" t="s">
        <v>921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N44"/>
  <sheetViews>
    <sheetView zoomScale="85" zoomScaleNormal="85" workbookViewId="0">
      <selection activeCell="A40" sqref="A40:A41"/>
    </sheetView>
  </sheetViews>
  <sheetFormatPr defaultRowHeight="12.75" x14ac:dyDescent="0.2"/>
  <cols>
    <col min="1" max="1" width="35.85546875" bestFit="1" customWidth="1"/>
    <col min="2" max="2" width="10.28515625" customWidth="1"/>
    <col min="3" max="3" width="11.7109375" bestFit="1" customWidth="1"/>
    <col min="4" max="4" width="8.42578125" bestFit="1" customWidth="1"/>
    <col min="5" max="5" width="10.7109375" customWidth="1"/>
    <col min="6" max="6" width="11.7109375" bestFit="1" customWidth="1"/>
    <col min="7" max="7" width="8" customWidth="1"/>
    <col min="8" max="8" width="10.28515625" customWidth="1"/>
    <col min="9" max="9" width="13.140625" customWidth="1"/>
  </cols>
  <sheetData>
    <row r="1" spans="1:9" ht="15" x14ac:dyDescent="0.25">
      <c r="A1" s="105" t="s">
        <v>891</v>
      </c>
      <c r="B1" s="105"/>
    </row>
    <row r="2" spans="1:9" ht="15" x14ac:dyDescent="0.25">
      <c r="A2" s="105"/>
      <c r="B2" s="105"/>
    </row>
    <row r="3" spans="1:9" x14ac:dyDescent="0.2">
      <c r="E3" t="s">
        <v>401</v>
      </c>
      <c r="H3" t="s">
        <v>402</v>
      </c>
    </row>
    <row r="4" spans="1:9" x14ac:dyDescent="0.2">
      <c r="A4" s="50" t="s">
        <v>219</v>
      </c>
      <c r="B4" s="72" t="s">
        <v>218</v>
      </c>
      <c r="C4" s="72" t="s">
        <v>217</v>
      </c>
      <c r="D4" s="73"/>
      <c r="E4" s="72" t="s">
        <v>218</v>
      </c>
      <c r="F4" s="72" t="s">
        <v>217</v>
      </c>
      <c r="G4" s="73"/>
      <c r="H4" s="72" t="s">
        <v>218</v>
      </c>
      <c r="I4" s="72" t="s">
        <v>217</v>
      </c>
    </row>
    <row r="5" spans="1:9" x14ac:dyDescent="0.2">
      <c r="A5" t="s">
        <v>216</v>
      </c>
      <c r="B5" s="52">
        <f>SUM('Rent Statement'!F10:F63)</f>
        <v>28919.640000000007</v>
      </c>
      <c r="E5" s="52">
        <f>SUMIF('Rent Statement'!S10:S63,"Mathew Tucker", 'Rent Statement'!F10:F63)</f>
        <v>18950.890000000003</v>
      </c>
      <c r="H5" s="52">
        <f>SUMIF('Rent Statement'!S10:S63,"Ivana Valentino", 'Rent Statement'!F10:F63)</f>
        <v>9968.75</v>
      </c>
    </row>
    <row r="6" spans="1:9" x14ac:dyDescent="0.2">
      <c r="A6" t="s">
        <v>215</v>
      </c>
      <c r="C6" s="55">
        <f>-SUM('Rent Statement'!O10:O63)</f>
        <v>-8016.51</v>
      </c>
      <c r="F6" s="55">
        <f>-SUMIF('Rent Statement'!S10:S63,"Mathew Tucker",'Rent Statement'!O10:O63)</f>
        <v>-4520.9900000000007</v>
      </c>
      <c r="I6" s="55">
        <f>-SUMIF('Rent Statement'!S10:S63,"Ivana Valentino",'Rent Statement'!O10:O63)</f>
        <v>-3495.5199999999991</v>
      </c>
    </row>
    <row r="7" spans="1:9" x14ac:dyDescent="0.2">
      <c r="A7" t="s">
        <v>214</v>
      </c>
      <c r="C7" s="55">
        <f>-SUM('Rent Statement'!G10:G63)</f>
        <v>-1735.1799999999998</v>
      </c>
      <c r="F7" s="55">
        <f>-SUMIF('Rent Statement'!S10:S63,"Mathew Tucker",'Rent Statement'!G10:G63)</f>
        <v>-1137.0500000000002</v>
      </c>
      <c r="I7" s="55">
        <f>-SUMIF('Rent Statement'!S10:S63,"Ivana Valentino",'Rent Statement'!G10:G63)</f>
        <v>-598.13</v>
      </c>
    </row>
    <row r="8" spans="1:9" x14ac:dyDescent="0.2">
      <c r="A8" t="s">
        <v>213</v>
      </c>
      <c r="C8" s="55">
        <f>-SUM('Rent Statement'!H10:H63)</f>
        <v>-347.05000000000007</v>
      </c>
      <c r="F8" s="55">
        <f>-SUMIF('Rent Statement'!S10:S63,"Mathew Tucker",'Rent Statement'!H10:H63)</f>
        <v>-227.42000000000004</v>
      </c>
      <c r="I8" s="55">
        <f>-SUMIF('Rent Statement'!S10:S63,"Ivana Valentino",'Rent Statement'!H10:H63)</f>
        <v>-119.63000000000001</v>
      </c>
    </row>
    <row r="9" spans="1:9" x14ac:dyDescent="0.2">
      <c r="A9" t="s">
        <v>212</v>
      </c>
      <c r="C9" s="55">
        <f>-SUM('Rent Statement'!I10:I63)</f>
        <v>-2126.42</v>
      </c>
      <c r="F9" s="55">
        <f>-SUMIF('Rent Statement'!S10:S63,"Mathew Tucker",'Rent Statement'!I10:I63)-SUMIF('Rent Statement'!S10:S63,"Mathew Tucker",'Rent Statement'!L10:L63)</f>
        <v>-1672.02</v>
      </c>
      <c r="I9" s="55">
        <f>-SUMIF('Rent Statement'!S10:S63,"Ivana Valentino",'Rent Statement'!I10:I63)-SUMIF('Rent Statement'!S10:S63,"Ivana Valentino",'Rent Statement'!L10:L63)</f>
        <v>-454.4</v>
      </c>
    </row>
    <row r="10" spans="1:9" x14ac:dyDescent="0.2">
      <c r="A10" s="56" t="s">
        <v>403</v>
      </c>
      <c r="C10" s="55"/>
      <c r="F10" s="55">
        <f>-((SUMIF('Rent Statement'!S10:S63,"Mathew Tucker/Ivana Valentino",'Rent Statement'!I10:I63)/3)*2)-(SUMIF('Rent Statement'!S10:S63,"Lordswood Estates",'Rent Statement'!I10:I63)/2)</f>
        <v>0</v>
      </c>
      <c r="I10" s="55">
        <f>-((SUMIF('Rent Statement'!S10:S63,"Mathew Tucker/Ivana Valentino",'Rent Statement'!I10:I63)/3)*1)-(SUMIF('Rent Statement'!S10:S63,"Lordswood Estates",'Rent Statement'!I10:I63)/2)</f>
        <v>0</v>
      </c>
    </row>
    <row r="11" spans="1:9" x14ac:dyDescent="0.2">
      <c r="B11" s="52"/>
    </row>
    <row r="12" spans="1:9" ht="13.5" thickBot="1" x14ac:dyDescent="0.25">
      <c r="A12" t="s">
        <v>211</v>
      </c>
      <c r="B12" s="51">
        <f>B5+SUM(C6:C9)</f>
        <v>16694.480000000007</v>
      </c>
      <c r="D12" s="53"/>
      <c r="E12" s="51">
        <f>E5+SUM(F6:F10)</f>
        <v>11393.410000000002</v>
      </c>
      <c r="H12" s="51">
        <f>H5+SUM(I6:I10)</f>
        <v>5301.0700000000015</v>
      </c>
    </row>
    <row r="13" spans="1:9" ht="15.75" thickTop="1" x14ac:dyDescent="0.25">
      <c r="A13" s="106"/>
      <c r="B13" s="106"/>
      <c r="C13" s="101"/>
      <c r="F13" s="101"/>
    </row>
    <row r="14" spans="1:9" ht="30" x14ac:dyDescent="0.25">
      <c r="A14" s="106"/>
      <c r="B14" s="107" t="s">
        <v>892</v>
      </c>
      <c r="C14" s="107" t="s">
        <v>893</v>
      </c>
      <c r="D14" s="108" t="s">
        <v>1059</v>
      </c>
      <c r="E14" s="109" t="s">
        <v>892</v>
      </c>
      <c r="F14" s="110" t="s">
        <v>893</v>
      </c>
    </row>
    <row r="15" spans="1:9" ht="15" x14ac:dyDescent="0.25">
      <c r="A15" s="106" t="s">
        <v>895</v>
      </c>
      <c r="B15" s="103">
        <f>E12</f>
        <v>11393.410000000002</v>
      </c>
      <c r="C15" s="103">
        <f>H12</f>
        <v>5301.0700000000015</v>
      </c>
      <c r="D15" s="111"/>
      <c r="E15" s="112">
        <f>IFERROR(B15/($B$15+$C$15),"")</f>
        <v>0.68246570123777439</v>
      </c>
      <c r="F15" s="113">
        <f>IFERROR(C15/($B$15+$C$15),"")</f>
        <v>0.31753429876222561</v>
      </c>
    </row>
    <row r="16" spans="1:9" ht="15" x14ac:dyDescent="0.25">
      <c r="A16" s="106"/>
      <c r="B16" s="114"/>
      <c r="C16" s="114"/>
      <c r="D16" s="115"/>
      <c r="E16" s="116"/>
      <c r="F16" s="117"/>
    </row>
    <row r="17" spans="1:8" x14ac:dyDescent="0.2">
      <c r="A17" s="102" t="s">
        <v>888</v>
      </c>
      <c r="B17" s="103" t="e">
        <f ca="1">_xll.EVAL("SUM(SUMIFS(MT_Amount, MT_BankRef," &amp;$H17&amp; "))")</f>
        <v>#NAME?</v>
      </c>
      <c r="C17" s="103" t="e">
        <f ca="1">_xll.EVAL("SUM(SUMIFS(IV_Amount, IV_BankRef," &amp;$H17&amp; "))")</f>
        <v>#NAME?</v>
      </c>
      <c r="D17" s="118"/>
      <c r="E17" s="119"/>
      <c r="F17" s="120"/>
      <c r="H17" t="s">
        <v>889</v>
      </c>
    </row>
    <row r="18" spans="1:8" x14ac:dyDescent="0.2">
      <c r="A18" s="102" t="s">
        <v>25</v>
      </c>
      <c r="B18" s="103" t="e">
        <f ca="1">_xll.EVAL("SUM(SUMIFS(MT_Amount, MT_BankRef," &amp;$H18&amp; "))")</f>
        <v>#NAME?</v>
      </c>
      <c r="C18" s="103" t="e">
        <f ca="1">_xll.EVAL("SUM(SUMIFS(IV_Amount, IV_BankRef," &amp;$H18&amp; "))")</f>
        <v>#NAME?</v>
      </c>
      <c r="D18" s="118"/>
      <c r="E18" s="119"/>
      <c r="F18" s="120"/>
      <c r="H18" t="s">
        <v>890</v>
      </c>
    </row>
    <row r="19" spans="1:8" x14ac:dyDescent="0.2">
      <c r="A19" s="102"/>
      <c r="B19" s="104" t="e">
        <f ca="1">SUM(B17:B18)</f>
        <v>#NAME?</v>
      </c>
      <c r="C19" s="104" t="e">
        <f ca="1">SUM(C17:C18)</f>
        <v>#NAME?</v>
      </c>
      <c r="D19" s="118"/>
      <c r="E19" s="119"/>
      <c r="F19" s="120"/>
    </row>
    <row r="20" spans="1:8" ht="15" x14ac:dyDescent="0.25">
      <c r="A20" s="106"/>
      <c r="B20" s="103"/>
      <c r="C20" s="103"/>
      <c r="D20" s="118"/>
      <c r="E20" s="119"/>
      <c r="F20" s="120"/>
      <c r="H20" s="106"/>
    </row>
    <row r="21" spans="1:8" x14ac:dyDescent="0.2">
      <c r="A21" t="s">
        <v>896</v>
      </c>
      <c r="B21" s="103" t="e">
        <f t="shared" ref="B21:B34" ca="1" si="0">_xll.EVAL("SUM(SUMIFS(MT_Amount, MT_BankRef," &amp;$H21&amp; "))")</f>
        <v>#NAME?</v>
      </c>
      <c r="C21" s="103" t="e">
        <f t="shared" ref="C21:C34" ca="1" si="1">_xll.EVAL("SUM(SUMIFS(IV_Amount, IV_BankRef," &amp;$H21&amp; "))")</f>
        <v>#NAME?</v>
      </c>
      <c r="D21" s="118"/>
      <c r="E21" s="119"/>
      <c r="F21" s="120"/>
      <c r="H21" t="s">
        <v>897</v>
      </c>
    </row>
    <row r="22" spans="1:8" x14ac:dyDescent="0.2">
      <c r="A22" s="101" t="s">
        <v>898</v>
      </c>
      <c r="B22" s="103" t="e">
        <f t="shared" ca="1" si="0"/>
        <v>#NAME?</v>
      </c>
      <c r="C22" s="103" t="e">
        <f t="shared" ca="1" si="1"/>
        <v>#NAME?</v>
      </c>
      <c r="D22" s="118"/>
      <c r="E22" s="119"/>
      <c r="F22" s="120"/>
      <c r="H22" s="101" t="s">
        <v>899</v>
      </c>
    </row>
    <row r="23" spans="1:8" x14ac:dyDescent="0.2">
      <c r="A23" s="134"/>
      <c r="B23" s="103"/>
      <c r="C23" s="103"/>
      <c r="D23" s="118"/>
      <c r="E23" s="119"/>
      <c r="F23" s="120"/>
      <c r="H23" s="134"/>
    </row>
    <row r="24" spans="1:8" x14ac:dyDescent="0.2">
      <c r="A24" s="134" t="s">
        <v>904</v>
      </c>
      <c r="B24" s="103" t="e">
        <f ca="1">_xll.EVAL("SUM(SUMIFS(MT_Amount, MT_BankRef," &amp;$H24&amp; "))")</f>
        <v>#NAME?</v>
      </c>
      <c r="C24" s="103" t="e">
        <f ca="1">_xll.EVAL("SUM(SUMIFS(IV_Amount, IV_BankRef," &amp;$H24&amp; "))")</f>
        <v>#NAME?</v>
      </c>
      <c r="D24" s="118"/>
      <c r="E24" s="119">
        <f t="shared" ref="E24:F26" si="2">IFERROR(($D24)*E$15,"")</f>
        <v>0</v>
      </c>
      <c r="F24" s="120">
        <f t="shared" si="2"/>
        <v>0</v>
      </c>
      <c r="H24" s="134" t="s">
        <v>905</v>
      </c>
    </row>
    <row r="25" spans="1:8" x14ac:dyDescent="0.2">
      <c r="A25" s="134" t="s">
        <v>912</v>
      </c>
      <c r="B25" s="103" t="e">
        <f ca="1">_xll.EVAL("SUM(SUMIFS(MT_Amount, MT_BankRef," &amp;$H25&amp; "))")</f>
        <v>#NAME?</v>
      </c>
      <c r="C25" s="103" t="e">
        <f ca="1">_xll.EVAL("SUM(SUMIFS(IV_Amount, IV_BankRef," &amp;$H25&amp; "))")</f>
        <v>#NAME?</v>
      </c>
      <c r="D25" s="118"/>
      <c r="E25" s="119">
        <f t="shared" si="2"/>
        <v>0</v>
      </c>
      <c r="F25" s="120">
        <f t="shared" si="2"/>
        <v>0</v>
      </c>
      <c r="H25" s="134" t="s">
        <v>913</v>
      </c>
    </row>
    <row r="26" spans="1:8" x14ac:dyDescent="0.2">
      <c r="A26" s="134" t="s">
        <v>914</v>
      </c>
      <c r="B26" s="103" t="e">
        <f ca="1">_xll.EVAL("SUM(SUMIFS(MT_Amount, MT_BankRef," &amp;$H26&amp; "))")</f>
        <v>#NAME?</v>
      </c>
      <c r="C26" s="103" t="e">
        <f ca="1">_xll.EVAL("SUM(SUMIFS(IV_Amount, IV_BankRef," &amp;$H26&amp; "))")</f>
        <v>#NAME?</v>
      </c>
      <c r="D26" s="118"/>
      <c r="E26" s="119">
        <f t="shared" si="2"/>
        <v>0</v>
      </c>
      <c r="F26" s="120">
        <f t="shared" si="2"/>
        <v>0</v>
      </c>
      <c r="H26" s="134" t="s">
        <v>915</v>
      </c>
    </row>
    <row r="27" spans="1:8" x14ac:dyDescent="0.2">
      <c r="A27" s="134"/>
      <c r="B27" s="103"/>
      <c r="C27" s="103"/>
      <c r="D27" s="118"/>
      <c r="E27" s="119"/>
      <c r="F27" s="120"/>
      <c r="H27" s="134"/>
    </row>
    <row r="28" spans="1:8" x14ac:dyDescent="0.2">
      <c r="A28" s="139" t="s">
        <v>1062</v>
      </c>
      <c r="B28" s="103"/>
      <c r="C28" s="103"/>
      <c r="D28" s="118"/>
      <c r="E28" s="119"/>
      <c r="F28" s="120"/>
      <c r="H28" s="134"/>
    </row>
    <row r="29" spans="1:8" x14ac:dyDescent="0.2">
      <c r="A29" t="s">
        <v>900</v>
      </c>
      <c r="B29" s="103" t="e">
        <f t="shared" ca="1" si="0"/>
        <v>#NAME?</v>
      </c>
      <c r="C29" s="103" t="e">
        <f t="shared" ca="1" si="1"/>
        <v>#NAME?</v>
      </c>
      <c r="D29" s="118" t="e">
        <f t="shared" ref="D29:D34" ca="1" si="3">C29+B29</f>
        <v>#NAME?</v>
      </c>
      <c r="E29" s="119" t="str">
        <f ca="1">IFERROR(($D29)*E$15,"")</f>
        <v/>
      </c>
      <c r="F29" s="120" t="str">
        <f ca="1">IFERROR(($D29)*F$15,"")</f>
        <v/>
      </c>
      <c r="H29" t="s">
        <v>901</v>
      </c>
    </row>
    <row r="30" spans="1:8" x14ac:dyDescent="0.2">
      <c r="A30" s="101" t="s">
        <v>902</v>
      </c>
      <c r="B30" s="103" t="e">
        <f t="shared" ca="1" si="0"/>
        <v>#NAME?</v>
      </c>
      <c r="C30" s="103" t="e">
        <f t="shared" ca="1" si="1"/>
        <v>#NAME?</v>
      </c>
      <c r="D30" s="118" t="e">
        <f t="shared" ca="1" si="3"/>
        <v>#NAME?</v>
      </c>
      <c r="E30" s="119" t="str">
        <f t="shared" ref="E30:F34" ca="1" si="4">IFERROR(($D30)*E$15,"")</f>
        <v/>
      </c>
      <c r="F30" s="120" t="str">
        <f t="shared" ca="1" si="4"/>
        <v/>
      </c>
      <c r="H30" s="101" t="s">
        <v>903</v>
      </c>
    </row>
    <row r="31" spans="1:8" x14ac:dyDescent="0.2">
      <c r="A31" s="101" t="s">
        <v>906</v>
      </c>
      <c r="B31" s="103" t="e">
        <f t="shared" ca="1" si="0"/>
        <v>#NAME?</v>
      </c>
      <c r="C31" s="103" t="e">
        <f t="shared" ca="1" si="1"/>
        <v>#NAME?</v>
      </c>
      <c r="D31" s="118" t="e">
        <f t="shared" ca="1" si="3"/>
        <v>#NAME?</v>
      </c>
      <c r="E31" s="119" t="str">
        <f t="shared" ca="1" si="4"/>
        <v/>
      </c>
      <c r="F31" s="120" t="str">
        <f t="shared" ca="1" si="4"/>
        <v/>
      </c>
      <c r="H31" t="s">
        <v>907</v>
      </c>
    </row>
    <row r="32" spans="1:8" x14ac:dyDescent="0.2">
      <c r="A32" s="101" t="s">
        <v>908</v>
      </c>
      <c r="B32" s="103" t="e">
        <f t="shared" ca="1" si="0"/>
        <v>#NAME?</v>
      </c>
      <c r="C32" s="103" t="e">
        <f t="shared" ca="1" si="1"/>
        <v>#NAME?</v>
      </c>
      <c r="D32" s="118" t="e">
        <f t="shared" ca="1" si="3"/>
        <v>#NAME?</v>
      </c>
      <c r="E32" s="119" t="str">
        <f t="shared" ca="1" si="4"/>
        <v/>
      </c>
      <c r="F32" s="120" t="str">
        <f t="shared" ca="1" si="4"/>
        <v/>
      </c>
      <c r="H32" t="s">
        <v>909</v>
      </c>
    </row>
    <row r="33" spans="1:14" ht="15" x14ac:dyDescent="0.25">
      <c r="A33" s="101" t="s">
        <v>910</v>
      </c>
      <c r="B33" s="121" t="e">
        <f t="shared" ca="1" si="0"/>
        <v>#NAME?</v>
      </c>
      <c r="C33" s="103" t="e">
        <f ca="1">_xll.EVAL("SUM(SUMIFS(IV_Amount, IV_BankRef,"&amp;$H33&amp;"))")-SUMIFS(IV_Amount_4040, IV_BankRef_4040,"=X")</f>
        <v>#NAME?</v>
      </c>
      <c r="D33" s="118" t="e">
        <f t="shared" ca="1" si="3"/>
        <v>#NAME?</v>
      </c>
      <c r="E33" s="119" t="str">
        <f t="shared" ca="1" si="4"/>
        <v/>
      </c>
      <c r="F33" s="120" t="str">
        <f t="shared" ca="1" si="4"/>
        <v/>
      </c>
      <c r="H33" t="s">
        <v>911</v>
      </c>
      <c r="N33">
        <f>SUMIFS(IV_Amount_4040, IV_BankRef_4040,"=X")</f>
        <v>-108.79</v>
      </c>
    </row>
    <row r="34" spans="1:14" x14ac:dyDescent="0.2">
      <c r="A34" s="101" t="s">
        <v>25</v>
      </c>
      <c r="B34" s="103" t="e">
        <f t="shared" ca="1" si="0"/>
        <v>#NAME?</v>
      </c>
      <c r="C34" s="103" t="e">
        <f t="shared" ca="1" si="1"/>
        <v>#NAME?</v>
      </c>
      <c r="D34" s="118" t="e">
        <f t="shared" ca="1" si="3"/>
        <v>#NAME?</v>
      </c>
      <c r="E34" s="119" t="str">
        <f t="shared" ca="1" si="4"/>
        <v/>
      </c>
      <c r="F34" s="120" t="str">
        <f t="shared" ca="1" si="4"/>
        <v/>
      </c>
      <c r="H34" s="101" t="s">
        <v>916</v>
      </c>
    </row>
    <row r="35" spans="1:14" x14ac:dyDescent="0.2">
      <c r="B35" s="122" t="e">
        <f ca="1">SUBTOTAL(9,B21:B34)</f>
        <v>#NAME?</v>
      </c>
      <c r="C35" s="122" t="e">
        <f ca="1">SUBTOTAL(9,C21:C34)</f>
        <v>#NAME?</v>
      </c>
      <c r="D35" s="123" t="e">
        <f ca="1">SUBTOTAL(9,D21:D34)</f>
        <v>#NAME?</v>
      </c>
      <c r="E35" s="124">
        <f ca="1">SUBTOTAL(9,E21:E34)</f>
        <v>0</v>
      </c>
      <c r="F35" s="122">
        <f ca="1">SUBTOTAL(9,F21:F34)</f>
        <v>0</v>
      </c>
    </row>
    <row r="36" spans="1:14" x14ac:dyDescent="0.2">
      <c r="E36" s="125"/>
    </row>
    <row r="37" spans="1:14" x14ac:dyDescent="0.2">
      <c r="A37" s="137" t="s">
        <v>1060</v>
      </c>
      <c r="E37" s="103" t="e">
        <f ca="1">SUM(B29:B34)</f>
        <v>#NAME?</v>
      </c>
      <c r="F37" s="103" t="e">
        <f ca="1">SUM(C29:C34)</f>
        <v>#NAME?</v>
      </c>
      <c r="G37" s="103"/>
    </row>
    <row r="38" spans="1:14" x14ac:dyDescent="0.2">
      <c r="A38" s="138" t="s">
        <v>1061</v>
      </c>
      <c r="E38" s="126" t="e">
        <f ca="1">_xll.EVAL("SUM(SUMIFS(MT_Amount, MT_BankRef," &amp;$H38&amp; "))")</f>
        <v>#NAME?</v>
      </c>
      <c r="F38" s="103" t="e">
        <f ca="1">-E38</f>
        <v>#NAME?</v>
      </c>
      <c r="G38" s="103"/>
      <c r="H38" t="s">
        <v>918</v>
      </c>
    </row>
    <row r="39" spans="1:14" x14ac:dyDescent="0.2">
      <c r="E39" s="125"/>
    </row>
    <row r="40" spans="1:14" x14ac:dyDescent="0.2">
      <c r="A40" t="s">
        <v>919</v>
      </c>
      <c r="E40" s="124" t="e">
        <f ca="1">E35-E37-E38</f>
        <v>#NAME?</v>
      </c>
      <c r="F40" s="124" t="e">
        <f ca="1">F35-F37-F38</f>
        <v>#NAME?</v>
      </c>
    </row>
    <row r="41" spans="1:14" x14ac:dyDescent="0.2">
      <c r="A41" s="140" t="s">
        <v>1063</v>
      </c>
    </row>
    <row r="42" spans="1:14" x14ac:dyDescent="0.2">
      <c r="A42" s="50"/>
      <c r="E42" s="103"/>
      <c r="F42" s="103"/>
    </row>
    <row r="43" spans="1:14" x14ac:dyDescent="0.2">
      <c r="A43" s="50" t="s">
        <v>920</v>
      </c>
      <c r="E43" s="103"/>
      <c r="F43" s="103"/>
    </row>
    <row r="44" spans="1:14" x14ac:dyDescent="0.2">
      <c r="A44" t="s">
        <v>921</v>
      </c>
    </row>
  </sheetData>
  <pageMargins left="0.7" right="0.7" top="0.75" bottom="0.75" header="0.3" footer="0.3"/>
  <ignoredErrors>
    <ignoredError sqref="C33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I123"/>
  <sheetViews>
    <sheetView zoomScale="85" zoomScaleNormal="85" workbookViewId="0">
      <selection activeCell="K111" sqref="K111"/>
    </sheetView>
  </sheetViews>
  <sheetFormatPr defaultRowHeight="12.75" x14ac:dyDescent="0.2"/>
  <cols>
    <col min="2" max="2" width="10.140625" bestFit="1" customWidth="1"/>
    <col min="3" max="3" width="16.85546875" bestFit="1" customWidth="1"/>
    <col min="4" max="4" width="9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9" x14ac:dyDescent="0.2">
      <c r="A1" t="s">
        <v>706</v>
      </c>
      <c r="B1" t="s">
        <v>707</v>
      </c>
      <c r="C1" t="s">
        <v>708</v>
      </c>
      <c r="D1" t="s">
        <v>709</v>
      </c>
      <c r="E1" t="s">
        <v>710</v>
      </c>
      <c r="F1" t="s">
        <v>711</v>
      </c>
      <c r="G1" s="56" t="s">
        <v>24</v>
      </c>
      <c r="H1" s="56" t="s">
        <v>924</v>
      </c>
      <c r="I1" s="56" t="s">
        <v>925</v>
      </c>
    </row>
    <row r="2" spans="1:9" hidden="1" x14ac:dyDescent="0.2">
      <c r="A2" t="s">
        <v>712</v>
      </c>
      <c r="B2" s="101">
        <v>42705</v>
      </c>
      <c r="C2" t="s">
        <v>713</v>
      </c>
      <c r="D2">
        <v>1223.25</v>
      </c>
      <c r="E2" t="s">
        <v>714</v>
      </c>
      <c r="F2" t="s">
        <v>715</v>
      </c>
      <c r="I2" t="s">
        <v>928</v>
      </c>
    </row>
    <row r="3" spans="1:9" hidden="1" x14ac:dyDescent="0.2">
      <c r="A3" t="s">
        <v>712</v>
      </c>
      <c r="B3" s="101">
        <v>42705</v>
      </c>
      <c r="C3" t="s">
        <v>713</v>
      </c>
      <c r="D3">
        <v>170.54</v>
      </c>
      <c r="E3" t="s">
        <v>714</v>
      </c>
      <c r="F3" t="s">
        <v>716</v>
      </c>
      <c r="I3" t="s">
        <v>928</v>
      </c>
    </row>
    <row r="4" spans="1:9" hidden="1" x14ac:dyDescent="0.2">
      <c r="A4" t="s">
        <v>712</v>
      </c>
      <c r="B4" s="101">
        <v>42705</v>
      </c>
      <c r="C4" t="s">
        <v>713</v>
      </c>
      <c r="D4">
        <v>-2609.16</v>
      </c>
      <c r="E4" t="s">
        <v>717</v>
      </c>
      <c r="F4" t="s">
        <v>718</v>
      </c>
      <c r="I4" t="s">
        <v>928</v>
      </c>
    </row>
    <row r="5" spans="1:9" hidden="1" x14ac:dyDescent="0.2">
      <c r="A5" t="s">
        <v>712</v>
      </c>
      <c r="B5" s="101">
        <v>42705</v>
      </c>
      <c r="C5" t="s">
        <v>713</v>
      </c>
      <c r="D5">
        <v>-232.5</v>
      </c>
      <c r="E5" t="s">
        <v>717</v>
      </c>
      <c r="F5" t="s">
        <v>719</v>
      </c>
      <c r="I5" t="s">
        <v>928</v>
      </c>
    </row>
    <row r="6" spans="1:9" hidden="1" x14ac:dyDescent="0.2">
      <c r="A6" t="s">
        <v>712</v>
      </c>
      <c r="B6" s="101">
        <v>42705</v>
      </c>
      <c r="C6" t="s">
        <v>713</v>
      </c>
      <c r="D6">
        <v>-196.79</v>
      </c>
      <c r="E6" t="s">
        <v>717</v>
      </c>
      <c r="F6" t="s">
        <v>720</v>
      </c>
      <c r="I6" t="s">
        <v>928</v>
      </c>
    </row>
    <row r="7" spans="1:9" hidden="1" x14ac:dyDescent="0.2">
      <c r="A7" t="s">
        <v>712</v>
      </c>
      <c r="B7" s="101">
        <v>42705</v>
      </c>
      <c r="C7" t="s">
        <v>713</v>
      </c>
      <c r="D7">
        <v>-160</v>
      </c>
      <c r="E7" t="s">
        <v>717</v>
      </c>
      <c r="F7" t="s">
        <v>721</v>
      </c>
      <c r="I7" t="s">
        <v>928</v>
      </c>
    </row>
    <row r="8" spans="1:9" hidden="1" x14ac:dyDescent="0.2">
      <c r="A8" t="s">
        <v>712</v>
      </c>
      <c r="B8" s="101">
        <v>42705</v>
      </c>
      <c r="C8" t="s">
        <v>713</v>
      </c>
      <c r="D8">
        <v>-157.5</v>
      </c>
      <c r="E8" t="s">
        <v>717</v>
      </c>
      <c r="F8" t="s">
        <v>722</v>
      </c>
      <c r="I8" t="s">
        <v>928</v>
      </c>
    </row>
    <row r="9" spans="1:9" hidden="1" x14ac:dyDescent="0.2">
      <c r="A9" t="s">
        <v>712</v>
      </c>
      <c r="B9" s="101">
        <v>42705</v>
      </c>
      <c r="C9" t="s">
        <v>713</v>
      </c>
      <c r="D9">
        <v>-50</v>
      </c>
      <c r="E9" t="s">
        <v>717</v>
      </c>
      <c r="F9" t="s">
        <v>723</v>
      </c>
      <c r="I9" t="s">
        <v>928</v>
      </c>
    </row>
    <row r="10" spans="1:9" hidden="1" x14ac:dyDescent="0.2">
      <c r="A10" t="s">
        <v>712</v>
      </c>
      <c r="B10" s="101">
        <v>42705</v>
      </c>
      <c r="C10" t="s">
        <v>713</v>
      </c>
      <c r="D10">
        <v>-50</v>
      </c>
      <c r="E10" t="s">
        <v>717</v>
      </c>
      <c r="F10" t="s">
        <v>724</v>
      </c>
      <c r="I10" t="s">
        <v>928</v>
      </c>
    </row>
    <row r="11" spans="1:9" hidden="1" x14ac:dyDescent="0.2">
      <c r="A11" t="s">
        <v>712</v>
      </c>
      <c r="B11" s="101">
        <v>42705</v>
      </c>
      <c r="C11" t="s">
        <v>713</v>
      </c>
      <c r="D11">
        <v>-180.37</v>
      </c>
      <c r="E11" t="s">
        <v>725</v>
      </c>
      <c r="F11" t="s">
        <v>726</v>
      </c>
      <c r="I11" t="s">
        <v>929</v>
      </c>
    </row>
    <row r="12" spans="1:9" hidden="1" x14ac:dyDescent="0.2">
      <c r="A12" t="s">
        <v>712</v>
      </c>
      <c r="B12" s="101">
        <v>42705</v>
      </c>
      <c r="C12" t="s">
        <v>713</v>
      </c>
      <c r="D12">
        <v>-195.72</v>
      </c>
      <c r="E12" t="s">
        <v>725</v>
      </c>
      <c r="F12" t="s">
        <v>727</v>
      </c>
      <c r="I12" t="s">
        <v>929</v>
      </c>
    </row>
    <row r="13" spans="1:9" hidden="1" x14ac:dyDescent="0.2">
      <c r="A13" t="s">
        <v>712</v>
      </c>
      <c r="B13" s="101">
        <v>42705</v>
      </c>
      <c r="C13" t="s">
        <v>713</v>
      </c>
      <c r="D13">
        <v>-66.12</v>
      </c>
      <c r="E13" t="s">
        <v>725</v>
      </c>
      <c r="F13" t="s">
        <v>728</v>
      </c>
      <c r="I13" t="s">
        <v>928</v>
      </c>
    </row>
    <row r="14" spans="1:9" hidden="1" x14ac:dyDescent="0.2">
      <c r="A14" t="s">
        <v>712</v>
      </c>
      <c r="B14" s="101">
        <v>42705</v>
      </c>
      <c r="C14" t="s">
        <v>713</v>
      </c>
      <c r="D14">
        <v>-93.49</v>
      </c>
      <c r="E14" t="s">
        <v>725</v>
      </c>
      <c r="F14" t="s">
        <v>729</v>
      </c>
      <c r="I14" t="s">
        <v>929</v>
      </c>
    </row>
    <row r="15" spans="1:9" hidden="1" x14ac:dyDescent="0.2">
      <c r="A15" t="s">
        <v>712</v>
      </c>
      <c r="B15" s="101">
        <v>42705</v>
      </c>
      <c r="C15" t="s">
        <v>713</v>
      </c>
      <c r="D15">
        <v>-93.99</v>
      </c>
      <c r="E15" t="s">
        <v>725</v>
      </c>
      <c r="F15" t="s">
        <v>730</v>
      </c>
      <c r="I15" t="s">
        <v>929</v>
      </c>
    </row>
    <row r="16" spans="1:9" hidden="1" x14ac:dyDescent="0.2">
      <c r="A16" t="s">
        <v>712</v>
      </c>
      <c r="B16" s="101">
        <v>42706</v>
      </c>
      <c r="C16" t="s">
        <v>713</v>
      </c>
      <c r="D16">
        <v>1000</v>
      </c>
      <c r="E16" t="s">
        <v>714</v>
      </c>
      <c r="F16" t="s">
        <v>716</v>
      </c>
      <c r="I16" t="s">
        <v>928</v>
      </c>
    </row>
    <row r="17" spans="1:9" hidden="1" x14ac:dyDescent="0.2">
      <c r="A17" t="s">
        <v>712</v>
      </c>
      <c r="B17" s="101">
        <v>42706</v>
      </c>
      <c r="C17" t="s">
        <v>713</v>
      </c>
      <c r="D17">
        <v>2</v>
      </c>
      <c r="E17" t="s">
        <v>731</v>
      </c>
      <c r="F17" t="s">
        <v>732</v>
      </c>
      <c r="I17" t="s">
        <v>928</v>
      </c>
    </row>
    <row r="18" spans="1:9" x14ac:dyDescent="0.2">
      <c r="A18" t="s">
        <v>712</v>
      </c>
      <c r="B18" s="101">
        <v>42706</v>
      </c>
      <c r="C18" t="s">
        <v>713</v>
      </c>
      <c r="D18">
        <v>-171.8</v>
      </c>
      <c r="E18" t="s">
        <v>733</v>
      </c>
      <c r="F18" t="s">
        <v>734</v>
      </c>
      <c r="I18" t="s">
        <v>928</v>
      </c>
    </row>
    <row r="19" spans="1:9" hidden="1" x14ac:dyDescent="0.2">
      <c r="A19" t="s">
        <v>712</v>
      </c>
      <c r="B19" s="101">
        <v>42709</v>
      </c>
      <c r="C19" t="s">
        <v>713</v>
      </c>
      <c r="D19">
        <v>23503.73</v>
      </c>
      <c r="E19" t="s">
        <v>714</v>
      </c>
      <c r="F19" t="s">
        <v>735</v>
      </c>
      <c r="I19" t="s">
        <v>928</v>
      </c>
    </row>
    <row r="20" spans="1:9" hidden="1" x14ac:dyDescent="0.2">
      <c r="A20" t="s">
        <v>712</v>
      </c>
      <c r="B20" s="101">
        <v>42709</v>
      </c>
      <c r="C20" t="s">
        <v>713</v>
      </c>
      <c r="D20">
        <v>27.5</v>
      </c>
      <c r="E20" t="s">
        <v>731</v>
      </c>
      <c r="F20" t="s">
        <v>736</v>
      </c>
      <c r="I20" t="s">
        <v>928</v>
      </c>
    </row>
    <row r="21" spans="1:9" hidden="1" x14ac:dyDescent="0.2">
      <c r="A21" t="s">
        <v>712</v>
      </c>
      <c r="B21" s="101">
        <v>42709</v>
      </c>
      <c r="C21" t="s">
        <v>713</v>
      </c>
      <c r="D21">
        <v>4315.68</v>
      </c>
      <c r="E21" t="s">
        <v>737</v>
      </c>
      <c r="F21" t="s">
        <v>738</v>
      </c>
      <c r="I21" t="s">
        <v>928</v>
      </c>
    </row>
    <row r="22" spans="1:9" x14ac:dyDescent="0.2">
      <c r="A22" t="s">
        <v>712</v>
      </c>
      <c r="B22" s="101">
        <v>42709</v>
      </c>
      <c r="C22" t="s">
        <v>713</v>
      </c>
      <c r="D22">
        <v>-15000</v>
      </c>
      <c r="E22" t="s">
        <v>733</v>
      </c>
      <c r="F22" t="s">
        <v>739</v>
      </c>
      <c r="I22" t="s">
        <v>928</v>
      </c>
    </row>
    <row r="23" spans="1:9" x14ac:dyDescent="0.2">
      <c r="A23" t="s">
        <v>712</v>
      </c>
      <c r="B23" s="101">
        <v>42709</v>
      </c>
      <c r="C23" t="s">
        <v>713</v>
      </c>
      <c r="D23">
        <v>-66.209999999999994</v>
      </c>
      <c r="E23" t="s">
        <v>733</v>
      </c>
      <c r="F23" t="s">
        <v>740</v>
      </c>
      <c r="I23" t="s">
        <v>928</v>
      </c>
    </row>
    <row r="24" spans="1:9" x14ac:dyDescent="0.2">
      <c r="A24" t="s">
        <v>712</v>
      </c>
      <c r="B24" s="101">
        <v>42709</v>
      </c>
      <c r="C24" t="s">
        <v>713</v>
      </c>
      <c r="D24">
        <v>-37.42</v>
      </c>
      <c r="E24" t="s">
        <v>733</v>
      </c>
      <c r="F24" t="s">
        <v>741</v>
      </c>
      <c r="I24" t="s">
        <v>928</v>
      </c>
    </row>
    <row r="25" spans="1:9" hidden="1" x14ac:dyDescent="0.2">
      <c r="A25" t="s">
        <v>712</v>
      </c>
      <c r="B25" s="101">
        <v>42709</v>
      </c>
      <c r="C25" t="s">
        <v>713</v>
      </c>
      <c r="D25">
        <v>-167.33</v>
      </c>
      <c r="E25" t="s">
        <v>725</v>
      </c>
      <c r="F25" t="s">
        <v>742</v>
      </c>
      <c r="I25" t="s">
        <v>929</v>
      </c>
    </row>
    <row r="26" spans="1:9" hidden="1" x14ac:dyDescent="0.2">
      <c r="A26" t="s">
        <v>712</v>
      </c>
      <c r="B26" s="101">
        <v>42709</v>
      </c>
      <c r="C26" t="s">
        <v>713</v>
      </c>
      <c r="D26">
        <v>-189.14</v>
      </c>
      <c r="E26" t="s">
        <v>725</v>
      </c>
      <c r="F26" t="s">
        <v>743</v>
      </c>
      <c r="I26" t="s">
        <v>929</v>
      </c>
    </row>
    <row r="27" spans="1:9" hidden="1" x14ac:dyDescent="0.2">
      <c r="A27" t="s">
        <v>712</v>
      </c>
      <c r="B27" s="101">
        <v>42709</v>
      </c>
      <c r="C27" t="s">
        <v>713</v>
      </c>
      <c r="D27">
        <v>-208.78</v>
      </c>
      <c r="E27" t="s">
        <v>725</v>
      </c>
      <c r="F27" t="s">
        <v>744</v>
      </c>
      <c r="I27" t="s">
        <v>929</v>
      </c>
    </row>
    <row r="28" spans="1:9" hidden="1" x14ac:dyDescent="0.2">
      <c r="A28" t="s">
        <v>712</v>
      </c>
      <c r="B28" s="101">
        <v>42709</v>
      </c>
      <c r="C28" t="s">
        <v>713</v>
      </c>
      <c r="D28">
        <v>-201.56</v>
      </c>
      <c r="E28" t="s">
        <v>725</v>
      </c>
      <c r="F28" t="s">
        <v>745</v>
      </c>
      <c r="I28" t="s">
        <v>929</v>
      </c>
    </row>
    <row r="29" spans="1:9" hidden="1" x14ac:dyDescent="0.2">
      <c r="A29" t="s">
        <v>712</v>
      </c>
      <c r="B29" s="101">
        <v>42709</v>
      </c>
      <c r="C29" t="s">
        <v>713</v>
      </c>
      <c r="D29">
        <v>-165.54</v>
      </c>
      <c r="E29" t="s">
        <v>725</v>
      </c>
      <c r="F29" t="s">
        <v>746</v>
      </c>
      <c r="I29" t="s">
        <v>929</v>
      </c>
    </row>
    <row r="30" spans="1:9" hidden="1" x14ac:dyDescent="0.2">
      <c r="A30" t="s">
        <v>712</v>
      </c>
      <c r="B30" s="101">
        <v>42709</v>
      </c>
      <c r="C30" t="s">
        <v>713</v>
      </c>
      <c r="D30">
        <v>-201.41</v>
      </c>
      <c r="E30" t="s">
        <v>725</v>
      </c>
      <c r="F30" t="s">
        <v>747</v>
      </c>
      <c r="I30" t="s">
        <v>929</v>
      </c>
    </row>
    <row r="31" spans="1:9" hidden="1" x14ac:dyDescent="0.2">
      <c r="A31" t="s">
        <v>712</v>
      </c>
      <c r="B31" s="101">
        <v>42709</v>
      </c>
      <c r="C31" t="s">
        <v>713</v>
      </c>
      <c r="D31">
        <v>-165.44</v>
      </c>
      <c r="E31" t="s">
        <v>725</v>
      </c>
      <c r="F31" t="s">
        <v>748</v>
      </c>
      <c r="I31" t="s">
        <v>929</v>
      </c>
    </row>
    <row r="32" spans="1:9" hidden="1" x14ac:dyDescent="0.2">
      <c r="A32" t="s">
        <v>712</v>
      </c>
      <c r="B32" s="101">
        <v>42709</v>
      </c>
      <c r="C32" t="s">
        <v>713</v>
      </c>
      <c r="D32">
        <v>-127.6</v>
      </c>
      <c r="E32" t="s">
        <v>725</v>
      </c>
      <c r="F32" t="s">
        <v>749</v>
      </c>
      <c r="I32" t="s">
        <v>929</v>
      </c>
    </row>
    <row r="33" spans="1:9" hidden="1" x14ac:dyDescent="0.2">
      <c r="A33" t="s">
        <v>712</v>
      </c>
      <c r="B33" s="101">
        <v>42709</v>
      </c>
      <c r="C33" t="s">
        <v>713</v>
      </c>
      <c r="D33">
        <v>-141.63</v>
      </c>
      <c r="E33" t="s">
        <v>725</v>
      </c>
      <c r="F33" t="s">
        <v>750</v>
      </c>
      <c r="I33" t="s">
        <v>929</v>
      </c>
    </row>
    <row r="34" spans="1:9" hidden="1" x14ac:dyDescent="0.2">
      <c r="A34" t="s">
        <v>712</v>
      </c>
      <c r="B34" s="101">
        <v>42709</v>
      </c>
      <c r="C34" t="s">
        <v>713</v>
      </c>
      <c r="D34">
        <v>-141.66</v>
      </c>
      <c r="E34" t="s">
        <v>725</v>
      </c>
      <c r="F34" t="s">
        <v>751</v>
      </c>
      <c r="I34" t="s">
        <v>929</v>
      </c>
    </row>
    <row r="35" spans="1:9" hidden="1" x14ac:dyDescent="0.2">
      <c r="A35" t="s">
        <v>712</v>
      </c>
      <c r="B35" s="101">
        <v>42709</v>
      </c>
      <c r="C35" t="s">
        <v>713</v>
      </c>
      <c r="D35">
        <v>-135.4</v>
      </c>
      <c r="E35" t="s">
        <v>725</v>
      </c>
      <c r="F35" t="s">
        <v>752</v>
      </c>
      <c r="I35" t="s">
        <v>929</v>
      </c>
    </row>
    <row r="36" spans="1:9" hidden="1" x14ac:dyDescent="0.2">
      <c r="A36" t="s">
        <v>712</v>
      </c>
      <c r="B36" s="101">
        <v>42709</v>
      </c>
      <c r="C36" t="s">
        <v>713</v>
      </c>
      <c r="D36">
        <v>-129.29</v>
      </c>
      <c r="E36" t="s">
        <v>725</v>
      </c>
      <c r="F36" t="s">
        <v>753</v>
      </c>
      <c r="I36" t="s">
        <v>929</v>
      </c>
    </row>
    <row r="37" spans="1:9" hidden="1" x14ac:dyDescent="0.2">
      <c r="A37" t="s">
        <v>712</v>
      </c>
      <c r="B37" s="101">
        <v>42711</v>
      </c>
      <c r="C37" t="s">
        <v>713</v>
      </c>
      <c r="D37">
        <v>556.79999999999995</v>
      </c>
      <c r="E37" t="s">
        <v>737</v>
      </c>
      <c r="F37" t="s">
        <v>754</v>
      </c>
      <c r="I37" t="s">
        <v>928</v>
      </c>
    </row>
    <row r="38" spans="1:9" hidden="1" x14ac:dyDescent="0.2">
      <c r="A38" t="s">
        <v>712</v>
      </c>
      <c r="B38" s="101">
        <v>42711</v>
      </c>
      <c r="C38" t="s">
        <v>713</v>
      </c>
      <c r="D38">
        <v>556.79999999999995</v>
      </c>
      <c r="E38" t="s">
        <v>737</v>
      </c>
      <c r="F38" t="s">
        <v>755</v>
      </c>
      <c r="I38" t="s">
        <v>928</v>
      </c>
    </row>
    <row r="39" spans="1:9" hidden="1" x14ac:dyDescent="0.2">
      <c r="A39" t="s">
        <v>712</v>
      </c>
      <c r="B39" s="101">
        <v>42711</v>
      </c>
      <c r="C39" t="s">
        <v>713</v>
      </c>
      <c r="D39">
        <v>272.56</v>
      </c>
      <c r="E39" t="s">
        <v>737</v>
      </c>
      <c r="F39" t="s">
        <v>756</v>
      </c>
      <c r="I39" t="s">
        <v>928</v>
      </c>
    </row>
    <row r="40" spans="1:9" x14ac:dyDescent="0.2">
      <c r="A40" t="s">
        <v>712</v>
      </c>
      <c r="B40" s="101">
        <v>42711</v>
      </c>
      <c r="C40" t="s">
        <v>713</v>
      </c>
      <c r="D40">
        <v>-25</v>
      </c>
      <c r="E40" t="s">
        <v>733</v>
      </c>
      <c r="F40" t="s">
        <v>757</v>
      </c>
      <c r="I40" t="s">
        <v>928</v>
      </c>
    </row>
    <row r="41" spans="1:9" hidden="1" x14ac:dyDescent="0.2">
      <c r="A41" t="s">
        <v>712</v>
      </c>
      <c r="B41" s="101">
        <v>42712</v>
      </c>
      <c r="C41" t="s">
        <v>713</v>
      </c>
      <c r="D41">
        <v>464</v>
      </c>
      <c r="E41" t="s">
        <v>737</v>
      </c>
      <c r="F41" t="s">
        <v>758</v>
      </c>
      <c r="I41" t="s">
        <v>928</v>
      </c>
    </row>
    <row r="42" spans="1:9" x14ac:dyDescent="0.2">
      <c r="A42" t="s">
        <v>712</v>
      </c>
      <c r="B42" s="101">
        <v>42712</v>
      </c>
      <c r="C42" t="s">
        <v>713</v>
      </c>
      <c r="D42">
        <v>-20.65</v>
      </c>
      <c r="E42" t="s">
        <v>733</v>
      </c>
      <c r="F42" t="s">
        <v>759</v>
      </c>
      <c r="I42" t="s">
        <v>928</v>
      </c>
    </row>
    <row r="43" spans="1:9" x14ac:dyDescent="0.2">
      <c r="A43" t="s">
        <v>712</v>
      </c>
      <c r="B43" s="101">
        <v>42712</v>
      </c>
      <c r="C43" t="s">
        <v>713</v>
      </c>
      <c r="D43">
        <v>-56.18</v>
      </c>
      <c r="E43" t="s">
        <v>733</v>
      </c>
      <c r="F43" t="s">
        <v>760</v>
      </c>
      <c r="I43" t="s">
        <v>928</v>
      </c>
    </row>
    <row r="44" spans="1:9" x14ac:dyDescent="0.2">
      <c r="A44" t="s">
        <v>712</v>
      </c>
      <c r="B44" s="101">
        <v>42712</v>
      </c>
      <c r="C44" t="s">
        <v>713</v>
      </c>
      <c r="D44">
        <v>-49.99</v>
      </c>
      <c r="E44" t="s">
        <v>733</v>
      </c>
      <c r="F44" t="s">
        <v>761</v>
      </c>
      <c r="I44" t="s">
        <v>928</v>
      </c>
    </row>
    <row r="45" spans="1:9" x14ac:dyDescent="0.2">
      <c r="A45" t="s">
        <v>712</v>
      </c>
      <c r="B45" s="101">
        <v>42712</v>
      </c>
      <c r="C45" t="s">
        <v>713</v>
      </c>
      <c r="D45">
        <v>-41.98</v>
      </c>
      <c r="E45" t="s">
        <v>733</v>
      </c>
      <c r="F45" t="s">
        <v>762</v>
      </c>
      <c r="I45" t="s">
        <v>928</v>
      </c>
    </row>
    <row r="46" spans="1:9" x14ac:dyDescent="0.2">
      <c r="A46" t="s">
        <v>712</v>
      </c>
      <c r="B46" s="101">
        <v>42712</v>
      </c>
      <c r="C46" t="s">
        <v>713</v>
      </c>
      <c r="D46">
        <v>-9.99</v>
      </c>
      <c r="E46" t="s">
        <v>733</v>
      </c>
      <c r="F46" t="s">
        <v>763</v>
      </c>
      <c r="I46" t="s">
        <v>928</v>
      </c>
    </row>
    <row r="47" spans="1:9" x14ac:dyDescent="0.2">
      <c r="A47" t="s">
        <v>712</v>
      </c>
      <c r="B47" s="101">
        <v>42712</v>
      </c>
      <c r="C47" t="s">
        <v>713</v>
      </c>
      <c r="D47">
        <v>-8</v>
      </c>
      <c r="E47" t="s">
        <v>733</v>
      </c>
      <c r="F47" t="s">
        <v>764</v>
      </c>
      <c r="I47" t="s">
        <v>928</v>
      </c>
    </row>
    <row r="48" spans="1:9" x14ac:dyDescent="0.2">
      <c r="A48" t="s">
        <v>712</v>
      </c>
      <c r="B48" s="101">
        <v>42713</v>
      </c>
      <c r="C48" t="s">
        <v>713</v>
      </c>
      <c r="D48">
        <v>-131.69999999999999</v>
      </c>
      <c r="E48" t="s">
        <v>733</v>
      </c>
      <c r="F48" t="s">
        <v>760</v>
      </c>
      <c r="I48" t="s">
        <v>928</v>
      </c>
    </row>
    <row r="49" spans="1:9" hidden="1" x14ac:dyDescent="0.2">
      <c r="A49" t="s">
        <v>712</v>
      </c>
      <c r="B49" s="101">
        <v>42713</v>
      </c>
      <c r="C49" t="s">
        <v>713</v>
      </c>
      <c r="D49">
        <v>-17.899999999999999</v>
      </c>
      <c r="E49" t="s">
        <v>725</v>
      </c>
      <c r="F49" t="s">
        <v>765</v>
      </c>
      <c r="I49" t="s">
        <v>929</v>
      </c>
    </row>
    <row r="50" spans="1:9" hidden="1" x14ac:dyDescent="0.2">
      <c r="A50" t="s">
        <v>712</v>
      </c>
      <c r="B50" s="101">
        <v>42716</v>
      </c>
      <c r="C50" t="s">
        <v>713</v>
      </c>
      <c r="D50">
        <v>232.34</v>
      </c>
      <c r="E50" t="s">
        <v>737</v>
      </c>
      <c r="F50" t="s">
        <v>766</v>
      </c>
      <c r="I50" t="s">
        <v>928</v>
      </c>
    </row>
    <row r="51" spans="1:9" hidden="1" x14ac:dyDescent="0.2">
      <c r="A51" t="s">
        <v>712</v>
      </c>
      <c r="B51" s="101">
        <v>42716</v>
      </c>
      <c r="C51" t="s">
        <v>713</v>
      </c>
      <c r="D51">
        <v>226.23</v>
      </c>
      <c r="E51" t="s">
        <v>737</v>
      </c>
      <c r="F51" t="s">
        <v>767</v>
      </c>
      <c r="I51" t="s">
        <v>928</v>
      </c>
    </row>
    <row r="52" spans="1:9" x14ac:dyDescent="0.2">
      <c r="A52" t="s">
        <v>712</v>
      </c>
      <c r="B52" s="101">
        <v>42716</v>
      </c>
      <c r="C52" t="s">
        <v>713</v>
      </c>
      <c r="D52">
        <v>-15.25</v>
      </c>
      <c r="E52" t="s">
        <v>733</v>
      </c>
      <c r="F52" t="s">
        <v>768</v>
      </c>
      <c r="I52" t="s">
        <v>928</v>
      </c>
    </row>
    <row r="53" spans="1:9" x14ac:dyDescent="0.2">
      <c r="A53" t="s">
        <v>712</v>
      </c>
      <c r="B53" s="101">
        <v>42716</v>
      </c>
      <c r="C53" t="s">
        <v>713</v>
      </c>
      <c r="D53">
        <v>-2.4</v>
      </c>
      <c r="E53" t="s">
        <v>733</v>
      </c>
      <c r="F53" t="s">
        <v>769</v>
      </c>
      <c r="I53" t="s">
        <v>928</v>
      </c>
    </row>
    <row r="54" spans="1:9" hidden="1" x14ac:dyDescent="0.2">
      <c r="A54" t="s">
        <v>712</v>
      </c>
      <c r="B54" s="101">
        <v>42716</v>
      </c>
      <c r="C54" t="s">
        <v>713</v>
      </c>
      <c r="D54">
        <v>-50</v>
      </c>
      <c r="E54" t="s">
        <v>770</v>
      </c>
      <c r="F54" t="s">
        <v>771</v>
      </c>
      <c r="I54" t="s">
        <v>928</v>
      </c>
    </row>
    <row r="55" spans="1:9" x14ac:dyDescent="0.2">
      <c r="A55" t="s">
        <v>712</v>
      </c>
      <c r="B55" s="101">
        <v>42716</v>
      </c>
      <c r="C55" t="s">
        <v>713</v>
      </c>
      <c r="D55">
        <v>-61.27</v>
      </c>
      <c r="E55" t="s">
        <v>733</v>
      </c>
      <c r="F55" t="s">
        <v>772</v>
      </c>
      <c r="I55" t="s">
        <v>928</v>
      </c>
    </row>
    <row r="56" spans="1:9" x14ac:dyDescent="0.2">
      <c r="A56" t="s">
        <v>712</v>
      </c>
      <c r="B56" s="101">
        <v>42716</v>
      </c>
      <c r="C56" t="s">
        <v>713</v>
      </c>
      <c r="D56">
        <v>-34.99</v>
      </c>
      <c r="E56" t="s">
        <v>733</v>
      </c>
      <c r="F56" t="s">
        <v>761</v>
      </c>
      <c r="I56" t="s">
        <v>928</v>
      </c>
    </row>
    <row r="57" spans="1:9" x14ac:dyDescent="0.2">
      <c r="A57" t="s">
        <v>712</v>
      </c>
      <c r="B57" s="101">
        <v>42716</v>
      </c>
      <c r="C57" t="s">
        <v>713</v>
      </c>
      <c r="D57">
        <v>-13.02</v>
      </c>
      <c r="E57" t="s">
        <v>733</v>
      </c>
      <c r="F57" t="s">
        <v>773</v>
      </c>
      <c r="I57" t="s">
        <v>928</v>
      </c>
    </row>
    <row r="58" spans="1:9" hidden="1" x14ac:dyDescent="0.2">
      <c r="A58" t="s">
        <v>712</v>
      </c>
      <c r="B58" s="101">
        <v>42716</v>
      </c>
      <c r="C58" t="s">
        <v>713</v>
      </c>
      <c r="D58">
        <v>-61.95</v>
      </c>
      <c r="E58" t="s">
        <v>725</v>
      </c>
      <c r="F58" t="s">
        <v>774</v>
      </c>
      <c r="I58" t="s">
        <v>929</v>
      </c>
    </row>
    <row r="59" spans="1:9" hidden="1" x14ac:dyDescent="0.2">
      <c r="A59" t="s">
        <v>712</v>
      </c>
      <c r="B59" s="101">
        <v>42716</v>
      </c>
      <c r="C59" t="s">
        <v>713</v>
      </c>
      <c r="D59">
        <v>-126.04</v>
      </c>
      <c r="E59" t="s">
        <v>725</v>
      </c>
      <c r="F59" t="s">
        <v>775</v>
      </c>
      <c r="I59" t="s">
        <v>929</v>
      </c>
    </row>
    <row r="60" spans="1:9" x14ac:dyDescent="0.2">
      <c r="A60" t="s">
        <v>712</v>
      </c>
      <c r="B60" s="101">
        <v>42717</v>
      </c>
      <c r="C60" t="s">
        <v>713</v>
      </c>
      <c r="D60" s="132">
        <v>-250</v>
      </c>
      <c r="E60" t="s">
        <v>733</v>
      </c>
      <c r="F60" t="s">
        <v>776</v>
      </c>
      <c r="I60" t="s">
        <v>928</v>
      </c>
    </row>
    <row r="61" spans="1:9" hidden="1" x14ac:dyDescent="0.2">
      <c r="A61" t="s">
        <v>712</v>
      </c>
      <c r="B61" s="101">
        <v>42718</v>
      </c>
      <c r="C61" t="s">
        <v>713</v>
      </c>
      <c r="D61">
        <v>163.69999999999999</v>
      </c>
      <c r="E61" t="s">
        <v>737</v>
      </c>
      <c r="F61" t="s">
        <v>777</v>
      </c>
      <c r="I61" t="s">
        <v>928</v>
      </c>
    </row>
    <row r="62" spans="1:9" x14ac:dyDescent="0.2">
      <c r="A62" t="s">
        <v>712</v>
      </c>
      <c r="B62" s="101">
        <v>42718</v>
      </c>
      <c r="C62" t="s">
        <v>713</v>
      </c>
      <c r="D62">
        <v>-53.93</v>
      </c>
      <c r="E62" t="s">
        <v>733</v>
      </c>
      <c r="F62" t="s">
        <v>778</v>
      </c>
      <c r="I62" t="s">
        <v>928</v>
      </c>
    </row>
    <row r="63" spans="1:9" hidden="1" x14ac:dyDescent="0.2">
      <c r="A63" t="s">
        <v>712</v>
      </c>
      <c r="B63" s="101">
        <v>42719</v>
      </c>
      <c r="C63" t="s">
        <v>713</v>
      </c>
      <c r="D63">
        <v>528.95000000000005</v>
      </c>
      <c r="E63" t="s">
        <v>737</v>
      </c>
      <c r="F63" t="s">
        <v>779</v>
      </c>
      <c r="I63" t="s">
        <v>928</v>
      </c>
    </row>
    <row r="64" spans="1:9" x14ac:dyDescent="0.2">
      <c r="A64" t="s">
        <v>712</v>
      </c>
      <c r="B64" s="101">
        <v>42719</v>
      </c>
      <c r="C64" t="s">
        <v>713</v>
      </c>
      <c r="D64">
        <v>-100.1</v>
      </c>
      <c r="E64" t="s">
        <v>733</v>
      </c>
      <c r="F64" t="s">
        <v>780</v>
      </c>
      <c r="I64" t="s">
        <v>928</v>
      </c>
    </row>
    <row r="65" spans="1:9" x14ac:dyDescent="0.2">
      <c r="A65" t="s">
        <v>712</v>
      </c>
      <c r="B65" s="101">
        <v>42719</v>
      </c>
      <c r="C65" t="s">
        <v>713</v>
      </c>
      <c r="D65">
        <v>-62.83</v>
      </c>
      <c r="E65" t="s">
        <v>733</v>
      </c>
      <c r="F65" t="s">
        <v>781</v>
      </c>
      <c r="I65" t="s">
        <v>928</v>
      </c>
    </row>
    <row r="66" spans="1:9" x14ac:dyDescent="0.2">
      <c r="A66" t="s">
        <v>712</v>
      </c>
      <c r="B66" s="101">
        <v>42719</v>
      </c>
      <c r="C66" t="s">
        <v>713</v>
      </c>
      <c r="D66">
        <v>-49.98</v>
      </c>
      <c r="E66" t="s">
        <v>733</v>
      </c>
      <c r="F66" t="s">
        <v>782</v>
      </c>
      <c r="I66" t="s">
        <v>928</v>
      </c>
    </row>
    <row r="67" spans="1:9" x14ac:dyDescent="0.2">
      <c r="A67" t="s">
        <v>712</v>
      </c>
      <c r="B67" s="101">
        <v>42719</v>
      </c>
      <c r="C67" t="s">
        <v>713</v>
      </c>
      <c r="D67">
        <v>-33.44</v>
      </c>
      <c r="E67" t="s">
        <v>733</v>
      </c>
      <c r="F67" t="s">
        <v>780</v>
      </c>
      <c r="I67" t="s">
        <v>928</v>
      </c>
    </row>
    <row r="68" spans="1:9" hidden="1" x14ac:dyDescent="0.2">
      <c r="A68" t="s">
        <v>712</v>
      </c>
      <c r="B68" s="101">
        <v>42719</v>
      </c>
      <c r="C68" t="s">
        <v>713</v>
      </c>
      <c r="D68">
        <v>-197.26</v>
      </c>
      <c r="E68" t="s">
        <v>725</v>
      </c>
      <c r="F68" t="s">
        <v>783</v>
      </c>
      <c r="I68" t="s">
        <v>929</v>
      </c>
    </row>
    <row r="69" spans="1:9" hidden="1" x14ac:dyDescent="0.2">
      <c r="A69" t="s">
        <v>712</v>
      </c>
      <c r="B69" s="101">
        <v>42719</v>
      </c>
      <c r="C69" t="s">
        <v>713</v>
      </c>
      <c r="D69">
        <v>-165.91</v>
      </c>
      <c r="E69" t="s">
        <v>725</v>
      </c>
      <c r="F69" t="s">
        <v>784</v>
      </c>
      <c r="I69" t="s">
        <v>929</v>
      </c>
    </row>
    <row r="70" spans="1:9" hidden="1" x14ac:dyDescent="0.2">
      <c r="A70" t="s">
        <v>712</v>
      </c>
      <c r="B70" s="101">
        <v>42720</v>
      </c>
      <c r="C70" t="s">
        <v>713</v>
      </c>
      <c r="D70">
        <v>324.8</v>
      </c>
      <c r="E70" t="s">
        <v>737</v>
      </c>
      <c r="F70" t="s">
        <v>785</v>
      </c>
      <c r="I70" t="s">
        <v>928</v>
      </c>
    </row>
    <row r="71" spans="1:9" x14ac:dyDescent="0.2">
      <c r="A71" t="s">
        <v>712</v>
      </c>
      <c r="B71" s="101">
        <v>42720</v>
      </c>
      <c r="C71" t="s">
        <v>713</v>
      </c>
      <c r="D71">
        <v>-26.39</v>
      </c>
      <c r="E71" t="s">
        <v>733</v>
      </c>
      <c r="F71" t="s">
        <v>786</v>
      </c>
      <c r="I71" t="s">
        <v>928</v>
      </c>
    </row>
    <row r="72" spans="1:9" hidden="1" x14ac:dyDescent="0.2">
      <c r="A72" t="s">
        <v>712</v>
      </c>
      <c r="B72" s="101">
        <v>42720</v>
      </c>
      <c r="C72" t="s">
        <v>713</v>
      </c>
      <c r="D72">
        <v>-13.17</v>
      </c>
      <c r="E72" t="s">
        <v>725</v>
      </c>
      <c r="F72" t="s">
        <v>787</v>
      </c>
      <c r="I72" t="s">
        <v>929</v>
      </c>
    </row>
    <row r="73" spans="1:9" hidden="1" x14ac:dyDescent="0.2">
      <c r="A73" t="s">
        <v>712</v>
      </c>
      <c r="B73" s="101">
        <v>42720</v>
      </c>
      <c r="C73" t="s">
        <v>713</v>
      </c>
      <c r="D73">
        <v>-163.35</v>
      </c>
      <c r="E73" t="s">
        <v>725</v>
      </c>
      <c r="F73" t="s">
        <v>788</v>
      </c>
      <c r="I73" t="s">
        <v>929</v>
      </c>
    </row>
    <row r="74" spans="1:9" hidden="1" x14ac:dyDescent="0.2">
      <c r="A74" t="s">
        <v>712</v>
      </c>
      <c r="B74" s="101">
        <v>42723</v>
      </c>
      <c r="C74" t="s">
        <v>713</v>
      </c>
      <c r="D74">
        <v>463.31</v>
      </c>
      <c r="E74" t="s">
        <v>737</v>
      </c>
      <c r="F74" t="s">
        <v>789</v>
      </c>
      <c r="I74" t="s">
        <v>928</v>
      </c>
    </row>
    <row r="75" spans="1:9" hidden="1" x14ac:dyDescent="0.2">
      <c r="A75" t="s">
        <v>712</v>
      </c>
      <c r="B75" s="101">
        <v>42723</v>
      </c>
      <c r="C75" t="s">
        <v>713</v>
      </c>
      <c r="D75">
        <v>34.4</v>
      </c>
      <c r="E75" t="s">
        <v>737</v>
      </c>
      <c r="F75" t="s">
        <v>790</v>
      </c>
      <c r="I75" t="s">
        <v>928</v>
      </c>
    </row>
    <row r="76" spans="1:9" hidden="1" x14ac:dyDescent="0.2">
      <c r="A76" t="s">
        <v>712</v>
      </c>
      <c r="B76" s="101">
        <v>42723</v>
      </c>
      <c r="C76" t="s">
        <v>713</v>
      </c>
      <c r="D76">
        <v>2.76</v>
      </c>
      <c r="E76" t="s">
        <v>737</v>
      </c>
      <c r="F76" t="s">
        <v>791</v>
      </c>
      <c r="I76" t="s">
        <v>928</v>
      </c>
    </row>
    <row r="77" spans="1:9" x14ac:dyDescent="0.2">
      <c r="A77" t="s">
        <v>712</v>
      </c>
      <c r="B77" s="101">
        <v>42723</v>
      </c>
      <c r="C77" t="s">
        <v>713</v>
      </c>
      <c r="D77">
        <v>-10.88</v>
      </c>
      <c r="E77" t="s">
        <v>733</v>
      </c>
      <c r="F77" t="s">
        <v>792</v>
      </c>
      <c r="I77" t="s">
        <v>928</v>
      </c>
    </row>
    <row r="78" spans="1:9" hidden="1" x14ac:dyDescent="0.2">
      <c r="A78" t="s">
        <v>712</v>
      </c>
      <c r="B78" s="101">
        <v>42723</v>
      </c>
      <c r="C78" t="s">
        <v>713</v>
      </c>
      <c r="D78">
        <v>-130.22999999999999</v>
      </c>
      <c r="E78" t="s">
        <v>725</v>
      </c>
      <c r="F78" t="s">
        <v>793</v>
      </c>
      <c r="I78" t="s">
        <v>929</v>
      </c>
    </row>
    <row r="79" spans="1:9" hidden="1" x14ac:dyDescent="0.2">
      <c r="A79" t="s">
        <v>712</v>
      </c>
      <c r="B79" s="101">
        <v>42725</v>
      </c>
      <c r="C79" t="s">
        <v>713</v>
      </c>
      <c r="D79">
        <v>385.2</v>
      </c>
      <c r="E79" t="s">
        <v>737</v>
      </c>
      <c r="F79" t="s">
        <v>755</v>
      </c>
      <c r="I79" t="s">
        <v>928</v>
      </c>
    </row>
    <row r="80" spans="1:9" hidden="1" x14ac:dyDescent="0.2">
      <c r="A80" t="s">
        <v>712</v>
      </c>
      <c r="B80" s="101">
        <v>42726</v>
      </c>
      <c r="C80" t="s">
        <v>713</v>
      </c>
      <c r="D80">
        <v>566.08000000000004</v>
      </c>
      <c r="E80" t="s">
        <v>737</v>
      </c>
      <c r="F80" t="s">
        <v>794</v>
      </c>
      <c r="I80" t="s">
        <v>928</v>
      </c>
    </row>
    <row r="81" spans="1:9" hidden="1" x14ac:dyDescent="0.2">
      <c r="A81" t="s">
        <v>712</v>
      </c>
      <c r="B81" s="101">
        <v>42726</v>
      </c>
      <c r="C81" t="s">
        <v>713</v>
      </c>
      <c r="D81">
        <v>432.56</v>
      </c>
      <c r="E81" t="s">
        <v>737</v>
      </c>
      <c r="F81" t="s">
        <v>795</v>
      </c>
      <c r="I81" t="s">
        <v>928</v>
      </c>
    </row>
    <row r="82" spans="1:9" hidden="1" x14ac:dyDescent="0.2">
      <c r="A82" t="s">
        <v>712</v>
      </c>
      <c r="B82" s="101">
        <v>42726</v>
      </c>
      <c r="C82" t="s">
        <v>713</v>
      </c>
      <c r="D82">
        <v>428.29</v>
      </c>
      <c r="E82" t="s">
        <v>737</v>
      </c>
      <c r="F82" t="s">
        <v>796</v>
      </c>
      <c r="I82" t="s">
        <v>928</v>
      </c>
    </row>
    <row r="83" spans="1:9" hidden="1" x14ac:dyDescent="0.2">
      <c r="A83" t="s">
        <v>712</v>
      </c>
      <c r="B83" s="101">
        <v>42726</v>
      </c>
      <c r="C83" t="s">
        <v>713</v>
      </c>
      <c r="D83">
        <v>428.29</v>
      </c>
      <c r="E83" t="s">
        <v>737</v>
      </c>
      <c r="F83" t="s">
        <v>797</v>
      </c>
      <c r="I83" t="s">
        <v>928</v>
      </c>
    </row>
    <row r="84" spans="1:9" hidden="1" x14ac:dyDescent="0.2">
      <c r="A84" t="s">
        <v>712</v>
      </c>
      <c r="B84" s="101">
        <v>42726</v>
      </c>
      <c r="C84" t="s">
        <v>713</v>
      </c>
      <c r="D84">
        <v>428.28</v>
      </c>
      <c r="E84" t="s">
        <v>737</v>
      </c>
      <c r="F84" t="s">
        <v>798</v>
      </c>
      <c r="I84" t="s">
        <v>928</v>
      </c>
    </row>
    <row r="85" spans="1:9" hidden="1" x14ac:dyDescent="0.2">
      <c r="A85" t="s">
        <v>712</v>
      </c>
      <c r="B85" s="101">
        <v>42726</v>
      </c>
      <c r="C85" t="s">
        <v>713</v>
      </c>
      <c r="D85">
        <v>389.24</v>
      </c>
      <c r="E85" t="s">
        <v>737</v>
      </c>
      <c r="F85" t="s">
        <v>791</v>
      </c>
      <c r="I85" t="s">
        <v>928</v>
      </c>
    </row>
    <row r="86" spans="1:9" hidden="1" x14ac:dyDescent="0.2">
      <c r="A86" t="s">
        <v>712</v>
      </c>
      <c r="B86" s="101">
        <v>42726</v>
      </c>
      <c r="C86" t="s">
        <v>713</v>
      </c>
      <c r="D86">
        <v>365.08</v>
      </c>
      <c r="E86" t="s">
        <v>737</v>
      </c>
      <c r="F86" t="s">
        <v>799</v>
      </c>
      <c r="I86" t="s">
        <v>928</v>
      </c>
    </row>
    <row r="87" spans="1:9" hidden="1" x14ac:dyDescent="0.2">
      <c r="A87" t="s">
        <v>712</v>
      </c>
      <c r="B87" s="101">
        <v>42726</v>
      </c>
      <c r="C87" t="s">
        <v>713</v>
      </c>
      <c r="D87">
        <v>350.24</v>
      </c>
      <c r="E87" t="s">
        <v>737</v>
      </c>
      <c r="F87" t="s">
        <v>790</v>
      </c>
      <c r="I87" t="s">
        <v>928</v>
      </c>
    </row>
    <row r="88" spans="1:9" hidden="1" x14ac:dyDescent="0.2">
      <c r="A88" t="s">
        <v>712</v>
      </c>
      <c r="B88" s="101">
        <v>42726</v>
      </c>
      <c r="C88" t="s">
        <v>713</v>
      </c>
      <c r="D88">
        <v>343.29</v>
      </c>
      <c r="E88" t="s">
        <v>737</v>
      </c>
      <c r="F88" t="s">
        <v>800</v>
      </c>
      <c r="I88" t="s">
        <v>928</v>
      </c>
    </row>
    <row r="89" spans="1:9" hidden="1" x14ac:dyDescent="0.2">
      <c r="A89" t="s">
        <v>712</v>
      </c>
      <c r="B89" s="101">
        <v>42726</v>
      </c>
      <c r="C89" t="s">
        <v>713</v>
      </c>
      <c r="D89">
        <v>314.22000000000003</v>
      </c>
      <c r="E89" t="s">
        <v>737</v>
      </c>
      <c r="F89" t="s">
        <v>777</v>
      </c>
      <c r="I89" t="s">
        <v>928</v>
      </c>
    </row>
    <row r="90" spans="1:9" hidden="1" x14ac:dyDescent="0.2">
      <c r="A90" t="s">
        <v>712</v>
      </c>
      <c r="B90" s="101">
        <v>42726</v>
      </c>
      <c r="C90" t="s">
        <v>713</v>
      </c>
      <c r="D90">
        <v>231.66</v>
      </c>
      <c r="E90" t="s">
        <v>737</v>
      </c>
      <c r="F90" t="s">
        <v>766</v>
      </c>
      <c r="I90" t="s">
        <v>928</v>
      </c>
    </row>
    <row r="91" spans="1:9" hidden="1" x14ac:dyDescent="0.2">
      <c r="A91" t="s">
        <v>712</v>
      </c>
      <c r="B91" s="101">
        <v>42726</v>
      </c>
      <c r="C91" t="s">
        <v>713</v>
      </c>
      <c r="D91">
        <v>226.29</v>
      </c>
      <c r="E91" t="s">
        <v>737</v>
      </c>
      <c r="F91" t="s">
        <v>801</v>
      </c>
      <c r="I91" t="s">
        <v>928</v>
      </c>
    </row>
    <row r="92" spans="1:9" hidden="1" x14ac:dyDescent="0.2">
      <c r="A92" t="s">
        <v>712</v>
      </c>
      <c r="B92" s="101">
        <v>42726</v>
      </c>
      <c r="C92" t="s">
        <v>713</v>
      </c>
      <c r="D92">
        <v>205.48</v>
      </c>
      <c r="E92" t="s">
        <v>737</v>
      </c>
      <c r="F92" t="s">
        <v>802</v>
      </c>
      <c r="I92" t="s">
        <v>928</v>
      </c>
    </row>
    <row r="93" spans="1:9" hidden="1" x14ac:dyDescent="0.2">
      <c r="A93" t="s">
        <v>712</v>
      </c>
      <c r="B93" s="101">
        <v>42726</v>
      </c>
      <c r="C93" t="s">
        <v>713</v>
      </c>
      <c r="D93">
        <v>192.64</v>
      </c>
      <c r="E93" t="s">
        <v>737</v>
      </c>
      <c r="F93" t="s">
        <v>803</v>
      </c>
      <c r="I93" t="s">
        <v>928</v>
      </c>
    </row>
    <row r="94" spans="1:9" hidden="1" x14ac:dyDescent="0.2">
      <c r="A94" t="s">
        <v>712</v>
      </c>
      <c r="B94" s="101">
        <v>42726</v>
      </c>
      <c r="C94" t="s">
        <v>713</v>
      </c>
      <c r="D94">
        <v>176.28</v>
      </c>
      <c r="E94" t="s">
        <v>737</v>
      </c>
      <c r="F94" t="s">
        <v>767</v>
      </c>
      <c r="I94" t="s">
        <v>928</v>
      </c>
    </row>
    <row r="95" spans="1:9" hidden="1" x14ac:dyDescent="0.2">
      <c r="A95" t="s">
        <v>712</v>
      </c>
      <c r="B95" s="101">
        <v>42726</v>
      </c>
      <c r="C95" t="s">
        <v>713</v>
      </c>
      <c r="D95">
        <v>71.86</v>
      </c>
      <c r="E95" t="s">
        <v>737</v>
      </c>
      <c r="F95" t="s">
        <v>804</v>
      </c>
      <c r="I95" t="s">
        <v>928</v>
      </c>
    </row>
    <row r="96" spans="1:9" hidden="1" x14ac:dyDescent="0.2">
      <c r="A96" t="s">
        <v>712</v>
      </c>
      <c r="B96" s="101">
        <v>42726</v>
      </c>
      <c r="C96" t="s">
        <v>713</v>
      </c>
      <c r="D96">
        <v>71.86</v>
      </c>
      <c r="E96" t="s">
        <v>737</v>
      </c>
      <c r="F96" t="s">
        <v>805</v>
      </c>
      <c r="I96" t="s">
        <v>928</v>
      </c>
    </row>
    <row r="97" spans="1:9" hidden="1" x14ac:dyDescent="0.2">
      <c r="A97" t="s">
        <v>712</v>
      </c>
      <c r="B97" s="101">
        <v>42726</v>
      </c>
      <c r="C97" t="s">
        <v>713</v>
      </c>
      <c r="D97">
        <v>67.06</v>
      </c>
      <c r="E97" t="s">
        <v>737</v>
      </c>
      <c r="F97" t="s">
        <v>806</v>
      </c>
      <c r="I97" t="s">
        <v>928</v>
      </c>
    </row>
    <row r="98" spans="1:9" hidden="1" x14ac:dyDescent="0.2">
      <c r="A98" t="s">
        <v>712</v>
      </c>
      <c r="B98" s="101">
        <v>42726</v>
      </c>
      <c r="C98" t="s">
        <v>713</v>
      </c>
      <c r="D98">
        <v>46.86</v>
      </c>
      <c r="E98" t="s">
        <v>737</v>
      </c>
      <c r="F98" t="s">
        <v>807</v>
      </c>
      <c r="I98" t="s">
        <v>928</v>
      </c>
    </row>
    <row r="99" spans="1:9" hidden="1" x14ac:dyDescent="0.2">
      <c r="A99" t="s">
        <v>712</v>
      </c>
      <c r="B99" s="101">
        <v>42726</v>
      </c>
      <c r="C99" t="s">
        <v>713</v>
      </c>
      <c r="D99">
        <v>-165.12</v>
      </c>
      <c r="E99" t="s">
        <v>725</v>
      </c>
      <c r="F99" t="s">
        <v>808</v>
      </c>
      <c r="I99" t="s">
        <v>929</v>
      </c>
    </row>
    <row r="100" spans="1:9" hidden="1" x14ac:dyDescent="0.2">
      <c r="A100" t="s">
        <v>712</v>
      </c>
      <c r="B100" s="101">
        <v>42727</v>
      </c>
      <c r="C100" t="s">
        <v>713</v>
      </c>
      <c r="D100">
        <v>748.57</v>
      </c>
      <c r="E100" t="s">
        <v>737</v>
      </c>
      <c r="F100" t="s">
        <v>807</v>
      </c>
      <c r="I100" t="s">
        <v>928</v>
      </c>
    </row>
    <row r="101" spans="1:9" hidden="1" x14ac:dyDescent="0.2">
      <c r="A101" t="s">
        <v>712</v>
      </c>
      <c r="B101" s="101">
        <v>42727</v>
      </c>
      <c r="C101" t="s">
        <v>713</v>
      </c>
      <c r="D101">
        <v>547.19000000000005</v>
      </c>
      <c r="E101" t="s">
        <v>737</v>
      </c>
      <c r="F101" t="s">
        <v>809</v>
      </c>
      <c r="I101" t="s">
        <v>928</v>
      </c>
    </row>
    <row r="102" spans="1:9" hidden="1" x14ac:dyDescent="0.2">
      <c r="A102" t="s">
        <v>712</v>
      </c>
      <c r="B102" s="101">
        <v>42727</v>
      </c>
      <c r="C102" t="s">
        <v>713</v>
      </c>
      <c r="D102">
        <v>356.43</v>
      </c>
      <c r="E102" t="s">
        <v>737</v>
      </c>
      <c r="F102" t="s">
        <v>804</v>
      </c>
      <c r="I102" t="s">
        <v>928</v>
      </c>
    </row>
    <row r="103" spans="1:9" x14ac:dyDescent="0.2">
      <c r="A103" t="s">
        <v>712</v>
      </c>
      <c r="B103" s="101">
        <v>42727</v>
      </c>
      <c r="C103" t="s">
        <v>713</v>
      </c>
      <c r="D103">
        <v>-253.11</v>
      </c>
      <c r="E103" t="s">
        <v>733</v>
      </c>
      <c r="F103" t="s">
        <v>810</v>
      </c>
      <c r="I103" t="s">
        <v>928</v>
      </c>
    </row>
    <row r="104" spans="1:9" hidden="1" x14ac:dyDescent="0.2">
      <c r="A104" t="s">
        <v>712</v>
      </c>
      <c r="B104" s="101">
        <v>42732</v>
      </c>
      <c r="C104" t="s">
        <v>713</v>
      </c>
      <c r="D104">
        <v>428.29</v>
      </c>
      <c r="E104" t="s">
        <v>737</v>
      </c>
      <c r="F104" t="s">
        <v>811</v>
      </c>
      <c r="I104" t="s">
        <v>928</v>
      </c>
    </row>
    <row r="105" spans="1:9" hidden="1" x14ac:dyDescent="0.2">
      <c r="A105" t="s">
        <v>712</v>
      </c>
      <c r="B105" s="101">
        <v>42732</v>
      </c>
      <c r="C105" t="s">
        <v>713</v>
      </c>
      <c r="D105">
        <v>356.43</v>
      </c>
      <c r="E105" t="s">
        <v>737</v>
      </c>
      <c r="F105" t="s">
        <v>805</v>
      </c>
      <c r="I105" t="s">
        <v>928</v>
      </c>
    </row>
    <row r="106" spans="1:9" x14ac:dyDescent="0.2">
      <c r="A106" t="s">
        <v>712</v>
      </c>
      <c r="B106" s="101">
        <v>42732</v>
      </c>
      <c r="C106" t="s">
        <v>713</v>
      </c>
      <c r="D106">
        <v>-9.98</v>
      </c>
      <c r="E106" t="s">
        <v>733</v>
      </c>
      <c r="F106" t="s">
        <v>812</v>
      </c>
      <c r="I106" t="s">
        <v>928</v>
      </c>
    </row>
    <row r="107" spans="1:9" x14ac:dyDescent="0.2">
      <c r="A107" t="s">
        <v>712</v>
      </c>
      <c r="B107" s="101">
        <v>42732</v>
      </c>
      <c r="C107" t="s">
        <v>713</v>
      </c>
      <c r="D107">
        <v>-7.63</v>
      </c>
      <c r="E107" t="s">
        <v>733</v>
      </c>
      <c r="F107" t="s">
        <v>813</v>
      </c>
      <c r="I107" t="s">
        <v>928</v>
      </c>
    </row>
    <row r="108" spans="1:9" x14ac:dyDescent="0.2">
      <c r="A108" t="s">
        <v>712</v>
      </c>
      <c r="B108" s="101">
        <v>42732</v>
      </c>
      <c r="C108" t="s">
        <v>713</v>
      </c>
      <c r="D108">
        <v>-155.18</v>
      </c>
      <c r="E108" t="s">
        <v>733</v>
      </c>
      <c r="F108" t="s">
        <v>814</v>
      </c>
      <c r="I108" t="s">
        <v>928</v>
      </c>
    </row>
    <row r="109" spans="1:9" x14ac:dyDescent="0.2">
      <c r="A109" t="s">
        <v>712</v>
      </c>
      <c r="B109" s="101">
        <v>42732</v>
      </c>
      <c r="C109" t="s">
        <v>713</v>
      </c>
      <c r="D109">
        <v>-50.67</v>
      </c>
      <c r="E109" t="s">
        <v>733</v>
      </c>
      <c r="F109" t="s">
        <v>815</v>
      </c>
      <c r="I109" t="s">
        <v>928</v>
      </c>
    </row>
    <row r="110" spans="1:9" x14ac:dyDescent="0.2">
      <c r="A110" t="s">
        <v>712</v>
      </c>
      <c r="B110" s="101">
        <v>42732</v>
      </c>
      <c r="C110" t="s">
        <v>713</v>
      </c>
      <c r="D110">
        <v>-25.31</v>
      </c>
      <c r="E110" t="s">
        <v>733</v>
      </c>
      <c r="F110" t="s">
        <v>816</v>
      </c>
      <c r="I110" t="s">
        <v>928</v>
      </c>
    </row>
    <row r="111" spans="1:9" x14ac:dyDescent="0.2">
      <c r="A111" t="s">
        <v>712</v>
      </c>
      <c r="B111" s="101">
        <v>42732</v>
      </c>
      <c r="C111" t="s">
        <v>713</v>
      </c>
      <c r="D111">
        <v>-4.99</v>
      </c>
      <c r="E111" t="s">
        <v>733</v>
      </c>
      <c r="F111" t="s">
        <v>817</v>
      </c>
      <c r="I111" t="s">
        <v>928</v>
      </c>
    </row>
    <row r="112" spans="1:9" hidden="1" x14ac:dyDescent="0.2">
      <c r="A112" t="s">
        <v>712</v>
      </c>
      <c r="B112" s="101">
        <v>42732</v>
      </c>
      <c r="C112" t="s">
        <v>713</v>
      </c>
      <c r="D112">
        <v>-300</v>
      </c>
      <c r="E112" t="s">
        <v>770</v>
      </c>
      <c r="F112" t="s">
        <v>818</v>
      </c>
      <c r="I112" t="s">
        <v>928</v>
      </c>
    </row>
    <row r="113" spans="1:9" hidden="1" x14ac:dyDescent="0.2">
      <c r="A113" t="s">
        <v>712</v>
      </c>
      <c r="B113" s="101">
        <v>42732</v>
      </c>
      <c r="C113" t="s">
        <v>713</v>
      </c>
      <c r="D113">
        <v>-519.5</v>
      </c>
      <c r="E113" t="s">
        <v>717</v>
      </c>
      <c r="F113" t="s">
        <v>819</v>
      </c>
      <c r="I113" t="s">
        <v>928</v>
      </c>
    </row>
    <row r="114" spans="1:9" hidden="1" x14ac:dyDescent="0.2">
      <c r="A114" t="s">
        <v>712</v>
      </c>
      <c r="B114" s="101">
        <v>42733</v>
      </c>
      <c r="C114" t="s">
        <v>713</v>
      </c>
      <c r="D114">
        <v>392.13</v>
      </c>
      <c r="E114" t="s">
        <v>737</v>
      </c>
      <c r="F114" t="s">
        <v>797</v>
      </c>
      <c r="I114" t="s">
        <v>928</v>
      </c>
    </row>
    <row r="115" spans="1:9" hidden="1" x14ac:dyDescent="0.2">
      <c r="A115" t="s">
        <v>712</v>
      </c>
      <c r="B115" s="101">
        <v>42733</v>
      </c>
      <c r="C115" t="s">
        <v>713</v>
      </c>
      <c r="D115">
        <v>392.12</v>
      </c>
      <c r="E115" t="s">
        <v>737</v>
      </c>
      <c r="F115" t="s">
        <v>800</v>
      </c>
      <c r="I115" t="s">
        <v>928</v>
      </c>
    </row>
    <row r="116" spans="1:9" x14ac:dyDescent="0.2">
      <c r="A116" t="s">
        <v>712</v>
      </c>
      <c r="B116" s="101">
        <v>42733</v>
      </c>
      <c r="C116" t="s">
        <v>713</v>
      </c>
      <c r="D116">
        <v>-14.26</v>
      </c>
      <c r="E116" t="s">
        <v>733</v>
      </c>
      <c r="F116" t="s">
        <v>820</v>
      </c>
      <c r="I116" t="s">
        <v>928</v>
      </c>
    </row>
    <row r="117" spans="1:9" hidden="1" x14ac:dyDescent="0.2">
      <c r="A117" t="s">
        <v>712</v>
      </c>
      <c r="B117" s="101">
        <v>42733</v>
      </c>
      <c r="C117" t="s">
        <v>713</v>
      </c>
      <c r="D117">
        <v>-116</v>
      </c>
      <c r="E117" t="s">
        <v>725</v>
      </c>
      <c r="F117" t="s">
        <v>821</v>
      </c>
      <c r="I117" t="s">
        <v>929</v>
      </c>
    </row>
    <row r="118" spans="1:9" x14ac:dyDescent="0.2">
      <c r="A118" t="s">
        <v>712</v>
      </c>
      <c r="B118" s="101">
        <v>42734</v>
      </c>
      <c r="C118" t="s">
        <v>713</v>
      </c>
      <c r="D118">
        <v>-10.19</v>
      </c>
      <c r="E118" t="s">
        <v>733</v>
      </c>
      <c r="F118" t="s">
        <v>822</v>
      </c>
      <c r="I118" t="s">
        <v>928</v>
      </c>
    </row>
    <row r="119" spans="1:9" hidden="1" x14ac:dyDescent="0.2">
      <c r="A119" t="s">
        <v>712</v>
      </c>
      <c r="B119" s="101">
        <v>42734</v>
      </c>
      <c r="C119" t="s">
        <v>713</v>
      </c>
      <c r="D119">
        <v>-174.38</v>
      </c>
      <c r="E119" t="s">
        <v>725</v>
      </c>
      <c r="F119" t="s">
        <v>823</v>
      </c>
      <c r="I119" t="s">
        <v>929</v>
      </c>
    </row>
    <row r="120" spans="1:9" hidden="1" x14ac:dyDescent="0.2">
      <c r="A120" t="s">
        <v>712</v>
      </c>
      <c r="B120" s="101">
        <v>42734</v>
      </c>
      <c r="C120" t="s">
        <v>713</v>
      </c>
      <c r="D120">
        <v>-180.8</v>
      </c>
      <c r="E120" t="s">
        <v>725</v>
      </c>
      <c r="F120" t="s">
        <v>824</v>
      </c>
      <c r="I120" t="s">
        <v>929</v>
      </c>
    </row>
    <row r="121" spans="1:9" hidden="1" x14ac:dyDescent="0.2">
      <c r="A121" t="s">
        <v>712</v>
      </c>
      <c r="B121" s="101">
        <v>42734</v>
      </c>
      <c r="C121" t="s">
        <v>713</v>
      </c>
      <c r="D121">
        <v>-180.8</v>
      </c>
      <c r="E121" t="s">
        <v>725</v>
      </c>
      <c r="F121" t="s">
        <v>825</v>
      </c>
      <c r="I121" t="s">
        <v>929</v>
      </c>
    </row>
    <row r="122" spans="1:9" hidden="1" x14ac:dyDescent="0.2">
      <c r="A122" t="s">
        <v>712</v>
      </c>
      <c r="B122" s="101">
        <v>42734</v>
      </c>
      <c r="C122" t="s">
        <v>713</v>
      </c>
      <c r="D122">
        <v>-180.8</v>
      </c>
      <c r="E122" t="s">
        <v>725</v>
      </c>
      <c r="F122" t="s">
        <v>826</v>
      </c>
      <c r="I122" t="s">
        <v>929</v>
      </c>
    </row>
    <row r="123" spans="1:9" x14ac:dyDescent="0.2">
      <c r="B123" s="101"/>
      <c r="H123" s="56"/>
    </row>
  </sheetData>
  <autoFilter ref="A1:I122">
    <filterColumn colId="4">
      <filters>
        <filter val="PAYMENT"/>
      </filters>
    </filterColumn>
  </autoFilter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69"/>
  <sheetViews>
    <sheetView zoomScale="85" zoomScaleNormal="85" workbookViewId="0">
      <selection activeCell="H20" sqref="H20"/>
    </sheetView>
  </sheetViews>
  <sheetFormatPr defaultRowHeight="12.75" x14ac:dyDescent="0.2"/>
  <cols>
    <col min="2" max="2" width="10.140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9" x14ac:dyDescent="0.2">
      <c r="A1" t="s">
        <v>706</v>
      </c>
      <c r="B1" t="s">
        <v>707</v>
      </c>
      <c r="C1" t="s">
        <v>708</v>
      </c>
      <c r="D1" t="s">
        <v>709</v>
      </c>
      <c r="E1" t="s">
        <v>710</v>
      </c>
      <c r="F1" t="s">
        <v>711</v>
      </c>
      <c r="G1" s="56" t="s">
        <v>24</v>
      </c>
      <c r="H1" s="56" t="s">
        <v>924</v>
      </c>
      <c r="I1" s="56" t="s">
        <v>925</v>
      </c>
    </row>
    <row r="2" spans="1:9" x14ac:dyDescent="0.2">
      <c r="A2" t="s">
        <v>712</v>
      </c>
      <c r="B2" s="101">
        <v>42705</v>
      </c>
      <c r="C2" t="s">
        <v>827</v>
      </c>
      <c r="D2">
        <v>2609.16</v>
      </c>
      <c r="E2" t="s">
        <v>828</v>
      </c>
      <c r="F2" t="s">
        <v>829</v>
      </c>
      <c r="I2" t="s">
        <v>928</v>
      </c>
    </row>
    <row r="3" spans="1:9" x14ac:dyDescent="0.2">
      <c r="A3" t="s">
        <v>712</v>
      </c>
      <c r="B3" s="101">
        <v>42705</v>
      </c>
      <c r="C3" t="s">
        <v>827</v>
      </c>
      <c r="D3">
        <v>-2864.21</v>
      </c>
      <c r="E3" t="s">
        <v>733</v>
      </c>
      <c r="F3" t="s">
        <v>830</v>
      </c>
      <c r="I3" t="s">
        <v>928</v>
      </c>
    </row>
    <row r="4" spans="1:9" x14ac:dyDescent="0.2">
      <c r="A4" t="s">
        <v>712</v>
      </c>
      <c r="B4" s="101">
        <v>42705</v>
      </c>
      <c r="C4" t="s">
        <v>827</v>
      </c>
      <c r="D4">
        <v>-1223.25</v>
      </c>
      <c r="E4" t="s">
        <v>714</v>
      </c>
      <c r="F4" t="s">
        <v>831</v>
      </c>
      <c r="I4" t="s">
        <v>928</v>
      </c>
    </row>
    <row r="5" spans="1:9" x14ac:dyDescent="0.2">
      <c r="A5" t="s">
        <v>712</v>
      </c>
      <c r="B5" s="101">
        <v>42705</v>
      </c>
      <c r="C5" t="s">
        <v>827</v>
      </c>
      <c r="D5">
        <v>-170.54</v>
      </c>
      <c r="E5" t="s">
        <v>714</v>
      </c>
      <c r="F5" t="s">
        <v>832</v>
      </c>
      <c r="I5" t="s">
        <v>928</v>
      </c>
    </row>
    <row r="6" spans="1:9" x14ac:dyDescent="0.2">
      <c r="A6" t="s">
        <v>712</v>
      </c>
      <c r="B6" s="101">
        <v>42705</v>
      </c>
      <c r="C6" t="s">
        <v>827</v>
      </c>
      <c r="D6">
        <v>-232.5</v>
      </c>
      <c r="E6" t="s">
        <v>717</v>
      </c>
      <c r="F6" t="s">
        <v>833</v>
      </c>
      <c r="I6" t="s">
        <v>928</v>
      </c>
    </row>
    <row r="7" spans="1:9" x14ac:dyDescent="0.2">
      <c r="A7" t="s">
        <v>712</v>
      </c>
      <c r="B7" s="101">
        <v>42705</v>
      </c>
      <c r="C7" t="s">
        <v>827</v>
      </c>
      <c r="D7">
        <v>-160</v>
      </c>
      <c r="E7" t="s">
        <v>717</v>
      </c>
      <c r="F7" t="s">
        <v>834</v>
      </c>
      <c r="I7" t="s">
        <v>928</v>
      </c>
    </row>
    <row r="8" spans="1:9" x14ac:dyDescent="0.2">
      <c r="A8" t="s">
        <v>712</v>
      </c>
      <c r="B8" s="101">
        <v>42705</v>
      </c>
      <c r="C8" t="s">
        <v>827</v>
      </c>
      <c r="D8">
        <v>-157.5</v>
      </c>
      <c r="E8" t="s">
        <v>717</v>
      </c>
      <c r="F8" t="s">
        <v>835</v>
      </c>
      <c r="I8" t="s">
        <v>928</v>
      </c>
    </row>
    <row r="9" spans="1:9" x14ac:dyDescent="0.2">
      <c r="A9" t="s">
        <v>712</v>
      </c>
      <c r="B9" s="101">
        <v>42705</v>
      </c>
      <c r="C9" t="s">
        <v>827</v>
      </c>
      <c r="D9">
        <v>-50</v>
      </c>
      <c r="E9" t="s">
        <v>717</v>
      </c>
      <c r="F9" t="s">
        <v>836</v>
      </c>
      <c r="I9" t="s">
        <v>928</v>
      </c>
    </row>
    <row r="10" spans="1:9" x14ac:dyDescent="0.2">
      <c r="A10" t="s">
        <v>712</v>
      </c>
      <c r="B10" s="101">
        <v>42705</v>
      </c>
      <c r="C10" t="s">
        <v>827</v>
      </c>
      <c r="D10">
        <v>-50</v>
      </c>
      <c r="E10" t="s">
        <v>717</v>
      </c>
      <c r="F10" t="s">
        <v>724</v>
      </c>
      <c r="I10" t="s">
        <v>928</v>
      </c>
    </row>
    <row r="11" spans="1:9" x14ac:dyDescent="0.2">
      <c r="A11" t="s">
        <v>712</v>
      </c>
      <c r="B11" s="101">
        <v>42705</v>
      </c>
      <c r="C11" t="s">
        <v>827</v>
      </c>
      <c r="D11">
        <v>-496.98</v>
      </c>
      <c r="E11" t="s">
        <v>725</v>
      </c>
      <c r="F11" t="s">
        <v>837</v>
      </c>
      <c r="I11" t="s">
        <v>929</v>
      </c>
    </row>
    <row r="12" spans="1:9" x14ac:dyDescent="0.2">
      <c r="A12" t="s">
        <v>712</v>
      </c>
      <c r="B12" s="101">
        <v>42705</v>
      </c>
      <c r="C12" t="s">
        <v>827</v>
      </c>
      <c r="D12">
        <v>-165.45</v>
      </c>
      <c r="E12" t="s">
        <v>725</v>
      </c>
      <c r="F12" t="s">
        <v>838</v>
      </c>
      <c r="I12" t="s">
        <v>929</v>
      </c>
    </row>
    <row r="13" spans="1:9" x14ac:dyDescent="0.2">
      <c r="A13" t="s">
        <v>712</v>
      </c>
      <c r="B13" s="101">
        <v>42705</v>
      </c>
      <c r="C13" t="s">
        <v>827</v>
      </c>
      <c r="D13">
        <v>-195.72</v>
      </c>
      <c r="E13" t="s">
        <v>725</v>
      </c>
      <c r="F13" t="s">
        <v>839</v>
      </c>
      <c r="I13" t="s">
        <v>929</v>
      </c>
    </row>
    <row r="14" spans="1:9" x14ac:dyDescent="0.2">
      <c r="A14" t="s">
        <v>712</v>
      </c>
      <c r="B14" s="101">
        <v>42705</v>
      </c>
      <c r="C14" t="s">
        <v>827</v>
      </c>
      <c r="D14">
        <v>-197.32</v>
      </c>
      <c r="E14" t="s">
        <v>725</v>
      </c>
      <c r="F14" t="s">
        <v>840</v>
      </c>
      <c r="I14" t="s">
        <v>929</v>
      </c>
    </row>
    <row r="15" spans="1:9" x14ac:dyDescent="0.2">
      <c r="A15" t="s">
        <v>712</v>
      </c>
      <c r="B15" s="101">
        <v>42705</v>
      </c>
      <c r="C15" t="s">
        <v>827</v>
      </c>
      <c r="D15">
        <v>-348.23</v>
      </c>
      <c r="E15" t="s">
        <v>725</v>
      </c>
      <c r="F15" t="s">
        <v>841</v>
      </c>
      <c r="I15" t="s">
        <v>929</v>
      </c>
    </row>
    <row r="16" spans="1:9" x14ac:dyDescent="0.2">
      <c r="A16" t="s">
        <v>712</v>
      </c>
      <c r="B16" s="101">
        <v>42705</v>
      </c>
      <c r="C16" t="s">
        <v>827</v>
      </c>
      <c r="D16">
        <v>-356.83</v>
      </c>
      <c r="E16" t="s">
        <v>725</v>
      </c>
      <c r="F16" t="s">
        <v>842</v>
      </c>
      <c r="I16" t="s">
        <v>929</v>
      </c>
    </row>
    <row r="17" spans="1:9" x14ac:dyDescent="0.2">
      <c r="A17" t="s">
        <v>712</v>
      </c>
      <c r="B17" s="101">
        <v>42706</v>
      </c>
      <c r="C17" t="s">
        <v>827</v>
      </c>
      <c r="D17">
        <v>1000</v>
      </c>
      <c r="E17" t="s">
        <v>714</v>
      </c>
      <c r="F17" t="s">
        <v>843</v>
      </c>
      <c r="I17" t="s">
        <v>928</v>
      </c>
    </row>
    <row r="18" spans="1:9" x14ac:dyDescent="0.2">
      <c r="A18" t="s">
        <v>712</v>
      </c>
      <c r="B18" s="101">
        <v>42706</v>
      </c>
      <c r="C18" t="s">
        <v>827</v>
      </c>
      <c r="D18">
        <v>464</v>
      </c>
      <c r="E18" t="s">
        <v>737</v>
      </c>
      <c r="F18" t="s">
        <v>844</v>
      </c>
      <c r="I18" t="s">
        <v>928</v>
      </c>
    </row>
    <row r="19" spans="1:9" x14ac:dyDescent="0.2">
      <c r="A19" t="s">
        <v>712</v>
      </c>
      <c r="B19" s="101">
        <v>42706</v>
      </c>
      <c r="C19" t="s">
        <v>827</v>
      </c>
      <c r="D19">
        <v>395.14</v>
      </c>
      <c r="E19" t="s">
        <v>737</v>
      </c>
      <c r="F19" t="s">
        <v>845</v>
      </c>
      <c r="I19" t="s">
        <v>928</v>
      </c>
    </row>
    <row r="20" spans="1:9" x14ac:dyDescent="0.2">
      <c r="A20" t="s">
        <v>712</v>
      </c>
      <c r="B20" s="101">
        <v>42706</v>
      </c>
      <c r="C20" t="s">
        <v>827</v>
      </c>
      <c r="D20">
        <v>362</v>
      </c>
      <c r="E20" t="s">
        <v>737</v>
      </c>
      <c r="F20" t="s">
        <v>846</v>
      </c>
      <c r="I20" t="s">
        <v>928</v>
      </c>
    </row>
    <row r="21" spans="1:9" x14ac:dyDescent="0.2">
      <c r="A21" t="s">
        <v>712</v>
      </c>
      <c r="B21" s="101">
        <v>42706</v>
      </c>
      <c r="C21" t="s">
        <v>827</v>
      </c>
      <c r="D21">
        <v>-1000</v>
      </c>
      <c r="E21" t="s">
        <v>714</v>
      </c>
      <c r="F21" t="s">
        <v>832</v>
      </c>
      <c r="I21" t="s">
        <v>928</v>
      </c>
    </row>
    <row r="22" spans="1:9" x14ac:dyDescent="0.2">
      <c r="A22" t="s">
        <v>712</v>
      </c>
      <c r="B22" s="101">
        <v>42706</v>
      </c>
      <c r="C22" t="s">
        <v>827</v>
      </c>
      <c r="D22">
        <v>-37.950000000000003</v>
      </c>
      <c r="E22" t="s">
        <v>725</v>
      </c>
      <c r="F22" t="s">
        <v>847</v>
      </c>
      <c r="I22" t="s">
        <v>928</v>
      </c>
    </row>
    <row r="23" spans="1:9" x14ac:dyDescent="0.2">
      <c r="A23" t="s">
        <v>712</v>
      </c>
      <c r="B23" s="101">
        <v>42709</v>
      </c>
      <c r="C23" t="s">
        <v>827</v>
      </c>
      <c r="D23">
        <v>-23503.73</v>
      </c>
      <c r="E23" t="s">
        <v>714</v>
      </c>
      <c r="F23" t="s">
        <v>848</v>
      </c>
      <c r="I23" t="s">
        <v>928</v>
      </c>
    </row>
    <row r="24" spans="1:9" x14ac:dyDescent="0.2">
      <c r="A24" t="s">
        <v>712</v>
      </c>
      <c r="B24" s="101">
        <v>42709</v>
      </c>
      <c r="C24" t="s">
        <v>827</v>
      </c>
      <c r="D24">
        <v>-75</v>
      </c>
      <c r="E24" t="s">
        <v>717</v>
      </c>
      <c r="F24" t="s">
        <v>849</v>
      </c>
      <c r="I24" t="s">
        <v>928</v>
      </c>
    </row>
    <row r="25" spans="1:9" x14ac:dyDescent="0.2">
      <c r="A25" t="s">
        <v>712</v>
      </c>
      <c r="B25" s="101">
        <v>42709</v>
      </c>
      <c r="C25" t="s">
        <v>827</v>
      </c>
      <c r="D25">
        <v>-203.37</v>
      </c>
      <c r="E25" t="s">
        <v>725</v>
      </c>
      <c r="F25" t="s">
        <v>850</v>
      </c>
      <c r="I25" t="s">
        <v>929</v>
      </c>
    </row>
    <row r="26" spans="1:9" x14ac:dyDescent="0.2">
      <c r="A26" t="s">
        <v>712</v>
      </c>
      <c r="B26" s="101">
        <v>42709</v>
      </c>
      <c r="C26" t="s">
        <v>827</v>
      </c>
      <c r="D26">
        <v>-75</v>
      </c>
      <c r="E26" t="s">
        <v>725</v>
      </c>
      <c r="F26" t="s">
        <v>851</v>
      </c>
      <c r="I26" t="s">
        <v>928</v>
      </c>
    </row>
    <row r="27" spans="1:9" x14ac:dyDescent="0.2">
      <c r="A27" t="s">
        <v>712</v>
      </c>
      <c r="B27" s="101">
        <v>42712</v>
      </c>
      <c r="C27" t="s">
        <v>827</v>
      </c>
      <c r="D27">
        <v>262.52999999999997</v>
      </c>
      <c r="E27" t="s">
        <v>737</v>
      </c>
      <c r="F27" t="s">
        <v>852</v>
      </c>
      <c r="I27" t="s">
        <v>928</v>
      </c>
    </row>
    <row r="28" spans="1:9" x14ac:dyDescent="0.2">
      <c r="A28" t="s">
        <v>712</v>
      </c>
      <c r="B28" s="101">
        <v>42712</v>
      </c>
      <c r="C28" t="s">
        <v>827</v>
      </c>
      <c r="D28">
        <v>-196.17</v>
      </c>
      <c r="E28" t="s">
        <v>725</v>
      </c>
      <c r="F28" t="s">
        <v>853</v>
      </c>
      <c r="I28" t="s">
        <v>929</v>
      </c>
    </row>
    <row r="29" spans="1:9" x14ac:dyDescent="0.2">
      <c r="A29" t="s">
        <v>712</v>
      </c>
      <c r="B29" s="101">
        <v>42716</v>
      </c>
      <c r="C29" t="s">
        <v>827</v>
      </c>
      <c r="D29">
        <v>226.44</v>
      </c>
      <c r="E29" t="s">
        <v>737</v>
      </c>
      <c r="F29" t="s">
        <v>854</v>
      </c>
      <c r="I29" t="s">
        <v>928</v>
      </c>
    </row>
    <row r="30" spans="1:9" x14ac:dyDescent="0.2">
      <c r="A30" t="s">
        <v>712</v>
      </c>
      <c r="B30" s="101">
        <v>42716</v>
      </c>
      <c r="C30" t="s">
        <v>827</v>
      </c>
      <c r="D30">
        <v>-37.68</v>
      </c>
      <c r="E30" t="s">
        <v>725</v>
      </c>
      <c r="F30" t="s">
        <v>855</v>
      </c>
      <c r="I30" t="s">
        <v>928</v>
      </c>
    </row>
    <row r="31" spans="1:9" x14ac:dyDescent="0.2">
      <c r="A31" t="s">
        <v>712</v>
      </c>
      <c r="B31" s="101">
        <v>42716</v>
      </c>
      <c r="C31" t="s">
        <v>827</v>
      </c>
      <c r="D31">
        <v>-164.75</v>
      </c>
      <c r="E31" t="s">
        <v>725</v>
      </c>
      <c r="F31" t="s">
        <v>856</v>
      </c>
      <c r="I31" t="s">
        <v>928</v>
      </c>
    </row>
    <row r="32" spans="1:9" x14ac:dyDescent="0.2">
      <c r="A32" t="s">
        <v>712</v>
      </c>
      <c r="B32" s="101">
        <v>42718</v>
      </c>
      <c r="C32" t="s">
        <v>827</v>
      </c>
      <c r="D32">
        <v>421.46</v>
      </c>
      <c r="E32" t="s">
        <v>737</v>
      </c>
      <c r="F32" t="s">
        <v>857</v>
      </c>
      <c r="I32" t="s">
        <v>928</v>
      </c>
    </row>
    <row r="33" spans="1:9" x14ac:dyDescent="0.2">
      <c r="A33" t="s">
        <v>712</v>
      </c>
      <c r="B33" s="101">
        <v>42718</v>
      </c>
      <c r="C33" t="s">
        <v>827</v>
      </c>
      <c r="D33">
        <v>320.5</v>
      </c>
      <c r="E33" t="s">
        <v>737</v>
      </c>
      <c r="F33" t="s">
        <v>858</v>
      </c>
      <c r="I33" t="s">
        <v>928</v>
      </c>
    </row>
    <row r="34" spans="1:9" x14ac:dyDescent="0.2">
      <c r="A34" t="s">
        <v>712</v>
      </c>
      <c r="B34" s="101">
        <v>42718</v>
      </c>
      <c r="C34" t="s">
        <v>827</v>
      </c>
      <c r="D34">
        <v>-51.49</v>
      </c>
      <c r="E34" t="s">
        <v>725</v>
      </c>
      <c r="F34" t="s">
        <v>859</v>
      </c>
      <c r="I34" t="s">
        <v>928</v>
      </c>
    </row>
    <row r="35" spans="1:9" x14ac:dyDescent="0.2">
      <c r="A35" t="s">
        <v>712</v>
      </c>
      <c r="B35" s="101">
        <v>42719</v>
      </c>
      <c r="C35" t="s">
        <v>827</v>
      </c>
      <c r="D35">
        <v>-165.41</v>
      </c>
      <c r="E35" t="s">
        <v>725</v>
      </c>
      <c r="F35" t="s">
        <v>860</v>
      </c>
      <c r="I35" t="s">
        <v>929</v>
      </c>
    </row>
    <row r="36" spans="1:9" x14ac:dyDescent="0.2">
      <c r="A36" t="s">
        <v>712</v>
      </c>
      <c r="B36" s="101">
        <v>42719</v>
      </c>
      <c r="C36" t="s">
        <v>827</v>
      </c>
      <c r="D36">
        <v>-171.18</v>
      </c>
      <c r="E36" t="s">
        <v>725</v>
      </c>
      <c r="F36" t="s">
        <v>861</v>
      </c>
      <c r="I36" t="s">
        <v>929</v>
      </c>
    </row>
    <row r="37" spans="1:9" x14ac:dyDescent="0.2">
      <c r="A37" t="s">
        <v>712</v>
      </c>
      <c r="B37" s="101">
        <v>42719</v>
      </c>
      <c r="C37" t="s">
        <v>827</v>
      </c>
      <c r="D37">
        <v>-171.18</v>
      </c>
      <c r="E37" t="s">
        <v>725</v>
      </c>
      <c r="F37" t="s">
        <v>862</v>
      </c>
      <c r="I37" t="s">
        <v>929</v>
      </c>
    </row>
    <row r="38" spans="1:9" x14ac:dyDescent="0.2">
      <c r="A38" t="s">
        <v>712</v>
      </c>
      <c r="B38" s="101">
        <v>42719</v>
      </c>
      <c r="C38" t="s">
        <v>827</v>
      </c>
      <c r="D38">
        <v>-165.45</v>
      </c>
      <c r="E38" t="s">
        <v>725</v>
      </c>
      <c r="F38" t="s">
        <v>863</v>
      </c>
      <c r="I38" t="s">
        <v>929</v>
      </c>
    </row>
    <row r="39" spans="1:9" x14ac:dyDescent="0.2">
      <c r="A39" t="s">
        <v>712</v>
      </c>
      <c r="B39" s="101">
        <v>42719</v>
      </c>
      <c r="C39" t="s">
        <v>827</v>
      </c>
      <c r="D39">
        <v>-165.41</v>
      </c>
      <c r="E39" t="s">
        <v>725</v>
      </c>
      <c r="F39" t="s">
        <v>864</v>
      </c>
      <c r="I39" t="s">
        <v>929</v>
      </c>
    </row>
    <row r="40" spans="1:9" x14ac:dyDescent="0.2">
      <c r="A40" t="s">
        <v>712</v>
      </c>
      <c r="B40" s="101">
        <v>42719</v>
      </c>
      <c r="C40" t="s">
        <v>827</v>
      </c>
      <c r="D40">
        <v>-165.47</v>
      </c>
      <c r="E40" t="s">
        <v>725</v>
      </c>
      <c r="F40" t="s">
        <v>865</v>
      </c>
      <c r="I40" t="s">
        <v>929</v>
      </c>
    </row>
    <row r="41" spans="1:9" x14ac:dyDescent="0.2">
      <c r="A41" t="s">
        <v>712</v>
      </c>
      <c r="B41" s="101">
        <v>42719</v>
      </c>
      <c r="C41" t="s">
        <v>827</v>
      </c>
      <c r="D41">
        <v>-165.44</v>
      </c>
      <c r="E41" t="s">
        <v>725</v>
      </c>
      <c r="F41" t="s">
        <v>866</v>
      </c>
      <c r="I41" t="s">
        <v>929</v>
      </c>
    </row>
    <row r="42" spans="1:9" x14ac:dyDescent="0.2">
      <c r="A42" t="s">
        <v>712</v>
      </c>
      <c r="B42" s="101">
        <v>42719</v>
      </c>
      <c r="C42" t="s">
        <v>827</v>
      </c>
      <c r="D42">
        <v>-165.91</v>
      </c>
      <c r="E42" t="s">
        <v>725</v>
      </c>
      <c r="F42" t="s">
        <v>867</v>
      </c>
      <c r="I42" t="s">
        <v>929</v>
      </c>
    </row>
    <row r="43" spans="1:9" x14ac:dyDescent="0.2">
      <c r="A43" t="s">
        <v>712</v>
      </c>
      <c r="B43" s="101">
        <v>42720</v>
      </c>
      <c r="C43" t="s">
        <v>827</v>
      </c>
      <c r="D43">
        <v>612.48</v>
      </c>
      <c r="E43" t="s">
        <v>737</v>
      </c>
      <c r="F43" t="s">
        <v>868</v>
      </c>
      <c r="I43" t="s">
        <v>928</v>
      </c>
    </row>
    <row r="44" spans="1:9" x14ac:dyDescent="0.2">
      <c r="A44" t="s">
        <v>712</v>
      </c>
      <c r="B44" s="101">
        <v>42720</v>
      </c>
      <c r="C44" t="s">
        <v>827</v>
      </c>
      <c r="D44">
        <v>-300</v>
      </c>
      <c r="E44" t="s">
        <v>869</v>
      </c>
      <c r="F44" t="s">
        <v>870</v>
      </c>
      <c r="I44" t="s">
        <v>928</v>
      </c>
    </row>
    <row r="45" spans="1:9" x14ac:dyDescent="0.2">
      <c r="A45" t="s">
        <v>930</v>
      </c>
      <c r="B45" s="101">
        <v>42720</v>
      </c>
      <c r="C45" t="s">
        <v>827</v>
      </c>
      <c r="D45">
        <v>-100</v>
      </c>
      <c r="E45" t="s">
        <v>871</v>
      </c>
      <c r="F45" t="s">
        <v>930</v>
      </c>
      <c r="I45" t="s">
        <v>928</v>
      </c>
    </row>
    <row r="46" spans="1:9" x14ac:dyDescent="0.2">
      <c r="A46" t="s">
        <v>712</v>
      </c>
      <c r="B46" s="101">
        <v>42723</v>
      </c>
      <c r="C46" t="s">
        <v>827</v>
      </c>
      <c r="D46">
        <v>48.52</v>
      </c>
      <c r="E46" t="s">
        <v>737</v>
      </c>
      <c r="F46" t="s">
        <v>872</v>
      </c>
      <c r="I46" t="s">
        <v>928</v>
      </c>
    </row>
    <row r="47" spans="1:9" x14ac:dyDescent="0.2">
      <c r="A47" t="s">
        <v>712</v>
      </c>
      <c r="B47" s="101">
        <v>42724</v>
      </c>
      <c r="C47" t="s">
        <v>827</v>
      </c>
      <c r="D47">
        <v>92.8</v>
      </c>
      <c r="E47" t="s">
        <v>737</v>
      </c>
      <c r="F47" t="s">
        <v>873</v>
      </c>
      <c r="I47" t="s">
        <v>928</v>
      </c>
    </row>
    <row r="48" spans="1:9" x14ac:dyDescent="0.2">
      <c r="A48" t="s">
        <v>712</v>
      </c>
      <c r="B48" s="101">
        <v>42724</v>
      </c>
      <c r="C48" t="s">
        <v>827</v>
      </c>
      <c r="D48">
        <v>-300</v>
      </c>
      <c r="E48" t="s">
        <v>714</v>
      </c>
      <c r="F48" t="s">
        <v>874</v>
      </c>
      <c r="I48" t="s">
        <v>928</v>
      </c>
    </row>
    <row r="49" spans="1:9" x14ac:dyDescent="0.2">
      <c r="A49" t="s">
        <v>712</v>
      </c>
      <c r="B49" s="101">
        <v>42725</v>
      </c>
      <c r="C49" t="s">
        <v>827</v>
      </c>
      <c r="D49">
        <v>-50</v>
      </c>
      <c r="E49" t="s">
        <v>725</v>
      </c>
      <c r="F49" t="s">
        <v>875</v>
      </c>
      <c r="I49" t="s">
        <v>928</v>
      </c>
    </row>
    <row r="50" spans="1:9" x14ac:dyDescent="0.2">
      <c r="A50" t="s">
        <v>712</v>
      </c>
      <c r="B50" s="101">
        <v>42726</v>
      </c>
      <c r="C50" t="s">
        <v>827</v>
      </c>
      <c r="D50">
        <v>428.29</v>
      </c>
      <c r="E50" t="s">
        <v>737</v>
      </c>
      <c r="F50" t="s">
        <v>876</v>
      </c>
      <c r="I50" t="s">
        <v>928</v>
      </c>
    </row>
    <row r="51" spans="1:9" x14ac:dyDescent="0.2">
      <c r="A51" t="s">
        <v>712</v>
      </c>
      <c r="B51" s="101">
        <v>42726</v>
      </c>
      <c r="C51" t="s">
        <v>827</v>
      </c>
      <c r="D51">
        <v>428.29</v>
      </c>
      <c r="E51" t="s">
        <v>737</v>
      </c>
      <c r="F51" t="s">
        <v>877</v>
      </c>
      <c r="I51" t="s">
        <v>928</v>
      </c>
    </row>
    <row r="52" spans="1:9" x14ac:dyDescent="0.2">
      <c r="A52" t="s">
        <v>712</v>
      </c>
      <c r="B52" s="101">
        <v>42726</v>
      </c>
      <c r="C52" t="s">
        <v>827</v>
      </c>
      <c r="D52">
        <v>383.29</v>
      </c>
      <c r="E52" t="s">
        <v>737</v>
      </c>
      <c r="F52" t="s">
        <v>878</v>
      </c>
      <c r="I52" t="s">
        <v>928</v>
      </c>
    </row>
    <row r="53" spans="1:9" x14ac:dyDescent="0.2">
      <c r="A53" t="s">
        <v>712</v>
      </c>
      <c r="B53" s="101">
        <v>42726</v>
      </c>
      <c r="C53" t="s">
        <v>827</v>
      </c>
      <c r="D53">
        <v>373.16</v>
      </c>
      <c r="E53" t="s">
        <v>737</v>
      </c>
      <c r="F53" t="s">
        <v>879</v>
      </c>
      <c r="I53" t="s">
        <v>928</v>
      </c>
    </row>
    <row r="54" spans="1:9" x14ac:dyDescent="0.2">
      <c r="A54" t="s">
        <v>712</v>
      </c>
      <c r="B54" s="101">
        <v>42726</v>
      </c>
      <c r="C54" t="s">
        <v>827</v>
      </c>
      <c r="D54">
        <v>345.28</v>
      </c>
      <c r="E54" t="s">
        <v>737</v>
      </c>
      <c r="F54" t="s">
        <v>873</v>
      </c>
      <c r="I54" t="s">
        <v>928</v>
      </c>
    </row>
    <row r="55" spans="1:9" x14ac:dyDescent="0.2">
      <c r="A55" t="s">
        <v>712</v>
      </c>
      <c r="B55" s="101">
        <v>42726</v>
      </c>
      <c r="C55" t="s">
        <v>827</v>
      </c>
      <c r="D55">
        <v>274</v>
      </c>
      <c r="E55" t="s">
        <v>737</v>
      </c>
      <c r="F55" t="s">
        <v>880</v>
      </c>
      <c r="I55" t="s">
        <v>928</v>
      </c>
    </row>
    <row r="56" spans="1:9" x14ac:dyDescent="0.2">
      <c r="A56" t="s">
        <v>712</v>
      </c>
      <c r="B56" s="101">
        <v>42726</v>
      </c>
      <c r="C56" t="s">
        <v>827</v>
      </c>
      <c r="D56">
        <v>242.2</v>
      </c>
      <c r="E56" t="s">
        <v>737</v>
      </c>
      <c r="F56" t="s">
        <v>854</v>
      </c>
      <c r="I56" t="s">
        <v>928</v>
      </c>
    </row>
    <row r="57" spans="1:9" x14ac:dyDescent="0.2">
      <c r="A57" t="s">
        <v>712</v>
      </c>
      <c r="B57" s="101">
        <v>42726</v>
      </c>
      <c r="C57" t="s">
        <v>827</v>
      </c>
      <c r="D57">
        <v>206.11</v>
      </c>
      <c r="E57" t="s">
        <v>737</v>
      </c>
      <c r="F57" t="s">
        <v>852</v>
      </c>
      <c r="I57" t="s">
        <v>928</v>
      </c>
    </row>
    <row r="58" spans="1:9" x14ac:dyDescent="0.2">
      <c r="A58" t="s">
        <v>712</v>
      </c>
      <c r="B58" s="101">
        <v>42726</v>
      </c>
      <c r="C58" t="s">
        <v>827</v>
      </c>
      <c r="D58">
        <v>143.5</v>
      </c>
      <c r="E58" t="s">
        <v>737</v>
      </c>
      <c r="F58" t="s">
        <v>858</v>
      </c>
      <c r="I58" t="s">
        <v>928</v>
      </c>
    </row>
    <row r="59" spans="1:9" x14ac:dyDescent="0.2">
      <c r="A59" t="s">
        <v>712</v>
      </c>
      <c r="B59" s="101">
        <v>42726</v>
      </c>
      <c r="C59" t="s">
        <v>827</v>
      </c>
      <c r="D59">
        <v>71.849999999999994</v>
      </c>
      <c r="E59" t="s">
        <v>737</v>
      </c>
      <c r="F59" t="s">
        <v>881</v>
      </c>
      <c r="I59" t="s">
        <v>928</v>
      </c>
    </row>
    <row r="60" spans="1:9" x14ac:dyDescent="0.2">
      <c r="A60" t="s">
        <v>712</v>
      </c>
      <c r="B60" s="101">
        <v>42726</v>
      </c>
      <c r="C60" t="s">
        <v>827</v>
      </c>
      <c r="D60">
        <v>51.03</v>
      </c>
      <c r="E60" t="s">
        <v>737</v>
      </c>
      <c r="F60" t="s">
        <v>882</v>
      </c>
      <c r="I60" t="s">
        <v>928</v>
      </c>
    </row>
    <row r="61" spans="1:9" x14ac:dyDescent="0.2">
      <c r="A61" t="s">
        <v>712</v>
      </c>
      <c r="B61" s="101">
        <v>42727</v>
      </c>
      <c r="C61" t="s">
        <v>827</v>
      </c>
      <c r="D61">
        <v>419.75</v>
      </c>
      <c r="E61" t="s">
        <v>737</v>
      </c>
      <c r="F61" t="s">
        <v>883</v>
      </c>
      <c r="I61" t="s">
        <v>928</v>
      </c>
    </row>
    <row r="62" spans="1:9" x14ac:dyDescent="0.2">
      <c r="A62" t="s">
        <v>712</v>
      </c>
      <c r="B62" s="101">
        <v>42727</v>
      </c>
      <c r="C62" t="s">
        <v>827</v>
      </c>
      <c r="D62">
        <v>356.43</v>
      </c>
      <c r="E62" t="s">
        <v>737</v>
      </c>
      <c r="F62" t="s">
        <v>881</v>
      </c>
      <c r="I62" t="s">
        <v>928</v>
      </c>
    </row>
    <row r="63" spans="1:9" x14ac:dyDescent="0.2">
      <c r="A63" t="s">
        <v>712</v>
      </c>
      <c r="B63" s="101">
        <v>42732</v>
      </c>
      <c r="C63" t="s">
        <v>827</v>
      </c>
      <c r="D63">
        <v>432.56</v>
      </c>
      <c r="E63" t="s">
        <v>737</v>
      </c>
      <c r="F63" t="s">
        <v>884</v>
      </c>
      <c r="I63" t="s">
        <v>928</v>
      </c>
    </row>
    <row r="64" spans="1:9" x14ac:dyDescent="0.2">
      <c r="A64" t="s">
        <v>712</v>
      </c>
      <c r="B64" s="101">
        <v>42732</v>
      </c>
      <c r="C64" t="s">
        <v>827</v>
      </c>
      <c r="D64">
        <v>-250</v>
      </c>
      <c r="E64" t="s">
        <v>714</v>
      </c>
      <c r="F64" t="s">
        <v>874</v>
      </c>
      <c r="I64" t="s">
        <v>928</v>
      </c>
    </row>
    <row r="65" spans="1:9" x14ac:dyDescent="0.2">
      <c r="A65" t="s">
        <v>712</v>
      </c>
      <c r="B65" s="101">
        <v>42732</v>
      </c>
      <c r="C65" t="s">
        <v>827</v>
      </c>
      <c r="D65">
        <v>-1200</v>
      </c>
      <c r="E65" t="s">
        <v>717</v>
      </c>
      <c r="F65" t="s">
        <v>885</v>
      </c>
      <c r="I65" t="s">
        <v>928</v>
      </c>
    </row>
    <row r="66" spans="1:9" x14ac:dyDescent="0.2">
      <c r="A66" t="s">
        <v>712</v>
      </c>
      <c r="B66" s="101">
        <v>42732</v>
      </c>
      <c r="C66" t="s">
        <v>827</v>
      </c>
      <c r="D66">
        <v>-33</v>
      </c>
      <c r="E66" t="s">
        <v>725</v>
      </c>
      <c r="F66" t="s">
        <v>886</v>
      </c>
      <c r="I66" t="s">
        <v>928</v>
      </c>
    </row>
    <row r="67" spans="1:9" x14ac:dyDescent="0.2">
      <c r="A67" t="s">
        <v>712</v>
      </c>
      <c r="B67" s="101">
        <v>42733</v>
      </c>
      <c r="C67" t="s">
        <v>827</v>
      </c>
      <c r="D67">
        <v>427.85</v>
      </c>
      <c r="E67" t="s">
        <v>737</v>
      </c>
      <c r="F67" t="s">
        <v>877</v>
      </c>
      <c r="I67" t="s">
        <v>928</v>
      </c>
    </row>
    <row r="68" spans="1:9" x14ac:dyDescent="0.2">
      <c r="A68" t="s">
        <v>712</v>
      </c>
      <c r="B68" s="101">
        <v>42733</v>
      </c>
      <c r="C68" t="s">
        <v>827</v>
      </c>
      <c r="D68">
        <v>142.38999999999999</v>
      </c>
      <c r="E68" t="s">
        <v>737</v>
      </c>
      <c r="F68" t="s">
        <v>876</v>
      </c>
      <c r="I68" t="s">
        <v>928</v>
      </c>
    </row>
    <row r="69" spans="1:9" x14ac:dyDescent="0.2">
      <c r="A69" t="s">
        <v>712</v>
      </c>
      <c r="B69" s="101">
        <v>42733</v>
      </c>
      <c r="C69" t="s">
        <v>827</v>
      </c>
      <c r="D69">
        <v>-400</v>
      </c>
      <c r="E69" t="s">
        <v>717</v>
      </c>
      <c r="F69" t="s">
        <v>887</v>
      </c>
      <c r="I69" t="s">
        <v>928</v>
      </c>
    </row>
  </sheetData>
  <autoFilter ref="A1:I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69"/>
  <sheetViews>
    <sheetView topLeftCell="A10" zoomScale="85" zoomScaleNormal="85" workbookViewId="0">
      <selection activeCell="H50" sqref="H50"/>
    </sheetView>
  </sheetViews>
  <sheetFormatPr defaultRowHeight="12.75" x14ac:dyDescent="0.2"/>
  <cols>
    <col min="2" max="2" width="10.140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9" x14ac:dyDescent="0.2">
      <c r="A1" t="s">
        <v>706</v>
      </c>
      <c r="B1" t="s">
        <v>707</v>
      </c>
      <c r="C1" t="s">
        <v>708</v>
      </c>
      <c r="D1" t="s">
        <v>709</v>
      </c>
      <c r="E1" t="s">
        <v>710</v>
      </c>
      <c r="F1" t="s">
        <v>711</v>
      </c>
      <c r="G1" s="56"/>
      <c r="H1" s="56"/>
      <c r="I1" s="56" t="s">
        <v>925</v>
      </c>
    </row>
    <row r="2" spans="1:9" x14ac:dyDescent="0.2">
      <c r="A2" t="s">
        <v>712</v>
      </c>
      <c r="B2" s="134">
        <v>42705</v>
      </c>
      <c r="C2" t="s">
        <v>998</v>
      </c>
      <c r="D2">
        <v>-32.299999999999997</v>
      </c>
      <c r="E2" t="s">
        <v>733</v>
      </c>
      <c r="F2" t="s">
        <v>1057</v>
      </c>
    </row>
    <row r="3" spans="1:9" x14ac:dyDescent="0.2">
      <c r="A3" t="s">
        <v>712</v>
      </c>
      <c r="B3" s="134">
        <v>42706</v>
      </c>
      <c r="C3" t="s">
        <v>998</v>
      </c>
      <c r="D3">
        <v>-3.07</v>
      </c>
      <c r="E3" t="s">
        <v>733</v>
      </c>
      <c r="F3" t="s">
        <v>999</v>
      </c>
    </row>
    <row r="4" spans="1:9" x14ac:dyDescent="0.2">
      <c r="A4" t="s">
        <v>712</v>
      </c>
      <c r="B4" s="134">
        <v>42706</v>
      </c>
      <c r="C4" t="s">
        <v>998</v>
      </c>
      <c r="D4">
        <v>-1.1499999999999999</v>
      </c>
      <c r="E4" t="s">
        <v>733</v>
      </c>
      <c r="F4" t="s">
        <v>1000</v>
      </c>
    </row>
    <row r="5" spans="1:9" x14ac:dyDescent="0.2">
      <c r="A5" t="s">
        <v>712</v>
      </c>
      <c r="B5" s="134">
        <v>42706</v>
      </c>
      <c r="C5" t="s">
        <v>998</v>
      </c>
      <c r="D5">
        <v>-53.95</v>
      </c>
      <c r="E5" t="s">
        <v>733</v>
      </c>
      <c r="F5" t="s">
        <v>1001</v>
      </c>
    </row>
    <row r="6" spans="1:9" x14ac:dyDescent="0.2">
      <c r="A6" t="s">
        <v>712</v>
      </c>
      <c r="B6" s="134">
        <v>42706</v>
      </c>
      <c r="C6" t="s">
        <v>998</v>
      </c>
      <c r="D6">
        <v>-42.16</v>
      </c>
      <c r="E6" t="s">
        <v>733</v>
      </c>
      <c r="F6" t="s">
        <v>1002</v>
      </c>
    </row>
    <row r="7" spans="1:9" x14ac:dyDescent="0.2">
      <c r="A7" t="s">
        <v>712</v>
      </c>
      <c r="B7" s="134">
        <v>42709</v>
      </c>
      <c r="C7" t="s">
        <v>998</v>
      </c>
      <c r="D7">
        <v>-26.23</v>
      </c>
      <c r="E7" t="s">
        <v>733</v>
      </c>
      <c r="F7" t="s">
        <v>1003</v>
      </c>
    </row>
    <row r="8" spans="1:9" x14ac:dyDescent="0.2">
      <c r="A8" t="s">
        <v>712</v>
      </c>
      <c r="B8" s="134">
        <v>42709</v>
      </c>
      <c r="C8" t="s">
        <v>998</v>
      </c>
      <c r="D8">
        <v>-2</v>
      </c>
      <c r="E8" t="s">
        <v>733</v>
      </c>
      <c r="F8" t="s">
        <v>1004</v>
      </c>
    </row>
    <row r="9" spans="1:9" x14ac:dyDescent="0.2">
      <c r="A9" t="s">
        <v>712</v>
      </c>
      <c r="B9" s="134">
        <v>42709</v>
      </c>
      <c r="C9" t="s">
        <v>998</v>
      </c>
      <c r="D9">
        <v>-61.2</v>
      </c>
      <c r="E9" t="s">
        <v>733</v>
      </c>
      <c r="F9" t="s">
        <v>1005</v>
      </c>
    </row>
    <row r="10" spans="1:9" x14ac:dyDescent="0.2">
      <c r="A10" t="s">
        <v>712</v>
      </c>
      <c r="B10" s="134">
        <v>42709</v>
      </c>
      <c r="C10" t="s">
        <v>998</v>
      </c>
      <c r="D10">
        <v>-39.17</v>
      </c>
      <c r="E10" t="s">
        <v>733</v>
      </c>
      <c r="F10" t="s">
        <v>1006</v>
      </c>
    </row>
    <row r="11" spans="1:9" x14ac:dyDescent="0.2">
      <c r="A11" t="s">
        <v>712</v>
      </c>
      <c r="B11" s="134">
        <v>42710</v>
      </c>
      <c r="C11" t="s">
        <v>998</v>
      </c>
      <c r="D11">
        <v>-29.55</v>
      </c>
      <c r="E11" t="s">
        <v>733</v>
      </c>
      <c r="F11" t="s">
        <v>1007</v>
      </c>
    </row>
    <row r="12" spans="1:9" x14ac:dyDescent="0.2">
      <c r="A12" t="s">
        <v>712</v>
      </c>
      <c r="B12" s="134">
        <v>42710</v>
      </c>
      <c r="C12" t="s">
        <v>998</v>
      </c>
      <c r="D12">
        <v>-22.77</v>
      </c>
      <c r="E12" t="s">
        <v>733</v>
      </c>
      <c r="F12" t="s">
        <v>1008</v>
      </c>
    </row>
    <row r="13" spans="1:9" x14ac:dyDescent="0.2">
      <c r="A13" t="s">
        <v>712</v>
      </c>
      <c r="B13" s="134">
        <v>42710</v>
      </c>
      <c r="C13" t="s">
        <v>998</v>
      </c>
      <c r="D13">
        <v>-19.39</v>
      </c>
      <c r="E13" t="s">
        <v>733</v>
      </c>
      <c r="F13" t="s">
        <v>1009</v>
      </c>
    </row>
    <row r="14" spans="1:9" x14ac:dyDescent="0.2">
      <c r="A14" t="s">
        <v>712</v>
      </c>
      <c r="B14" s="134">
        <v>42710</v>
      </c>
      <c r="C14" t="s">
        <v>998</v>
      </c>
      <c r="D14">
        <v>-3.34</v>
      </c>
      <c r="E14" t="s">
        <v>733</v>
      </c>
      <c r="F14" t="s">
        <v>1010</v>
      </c>
    </row>
    <row r="15" spans="1:9" x14ac:dyDescent="0.2">
      <c r="A15" t="s">
        <v>712</v>
      </c>
      <c r="B15" s="134">
        <v>42711</v>
      </c>
      <c r="C15" t="s">
        <v>998</v>
      </c>
      <c r="D15">
        <v>-17.16</v>
      </c>
      <c r="E15" t="s">
        <v>733</v>
      </c>
      <c r="F15" t="s">
        <v>1011</v>
      </c>
    </row>
    <row r="16" spans="1:9" x14ac:dyDescent="0.2">
      <c r="A16" t="s">
        <v>712</v>
      </c>
      <c r="B16" s="134">
        <v>42711</v>
      </c>
      <c r="C16" t="s">
        <v>998</v>
      </c>
      <c r="D16">
        <v>-10.75</v>
      </c>
      <c r="E16" t="s">
        <v>733</v>
      </c>
      <c r="F16" t="s">
        <v>1011</v>
      </c>
    </row>
    <row r="17" spans="1:7" x14ac:dyDescent="0.2">
      <c r="A17" t="s">
        <v>712</v>
      </c>
      <c r="B17" s="134">
        <v>42711</v>
      </c>
      <c r="C17" t="s">
        <v>998</v>
      </c>
      <c r="D17">
        <v>-2.2999999999999998</v>
      </c>
      <c r="E17" t="s">
        <v>733</v>
      </c>
      <c r="F17" t="s">
        <v>1012</v>
      </c>
    </row>
    <row r="18" spans="1:7" x14ac:dyDescent="0.2">
      <c r="A18" t="s">
        <v>712</v>
      </c>
      <c r="B18" s="134">
        <v>42712</v>
      </c>
      <c r="C18" t="s">
        <v>998</v>
      </c>
      <c r="D18">
        <v>-37.79</v>
      </c>
      <c r="E18" t="s">
        <v>733</v>
      </c>
      <c r="F18" t="s">
        <v>1013</v>
      </c>
    </row>
    <row r="19" spans="1:7" x14ac:dyDescent="0.2">
      <c r="A19" t="s">
        <v>712</v>
      </c>
      <c r="B19" s="134">
        <v>42713</v>
      </c>
      <c r="C19" t="s">
        <v>998</v>
      </c>
      <c r="D19">
        <v>-7.28</v>
      </c>
      <c r="E19" t="s">
        <v>733</v>
      </c>
      <c r="F19" t="s">
        <v>1014</v>
      </c>
    </row>
    <row r="20" spans="1:7" x14ac:dyDescent="0.2">
      <c r="A20" t="s">
        <v>712</v>
      </c>
      <c r="B20" s="134">
        <v>42713</v>
      </c>
      <c r="C20" t="s">
        <v>998</v>
      </c>
      <c r="D20">
        <v>-4.99</v>
      </c>
      <c r="E20" t="s">
        <v>733</v>
      </c>
      <c r="F20" t="s">
        <v>1015</v>
      </c>
    </row>
    <row r="21" spans="1:7" x14ac:dyDescent="0.2">
      <c r="A21" t="s">
        <v>712</v>
      </c>
      <c r="B21" s="134">
        <v>42716</v>
      </c>
      <c r="C21" t="s">
        <v>998</v>
      </c>
      <c r="D21">
        <v>-28.61</v>
      </c>
      <c r="E21" t="s">
        <v>733</v>
      </c>
      <c r="F21" t="s">
        <v>1016</v>
      </c>
    </row>
    <row r="22" spans="1:7" x14ac:dyDescent="0.2">
      <c r="A22" t="s">
        <v>712</v>
      </c>
      <c r="B22" s="134">
        <v>42716</v>
      </c>
      <c r="C22" t="s">
        <v>998</v>
      </c>
      <c r="D22">
        <v>-23.99</v>
      </c>
      <c r="E22" t="s">
        <v>733</v>
      </c>
      <c r="F22" t="s">
        <v>1017</v>
      </c>
    </row>
    <row r="23" spans="1:7" x14ac:dyDescent="0.2">
      <c r="A23" t="s">
        <v>712</v>
      </c>
      <c r="B23" s="134">
        <v>42716</v>
      </c>
      <c r="C23" t="s">
        <v>998</v>
      </c>
      <c r="D23">
        <v>-22.29</v>
      </c>
      <c r="E23" t="s">
        <v>733</v>
      </c>
      <c r="F23" t="s">
        <v>1018</v>
      </c>
    </row>
    <row r="24" spans="1:7" x14ac:dyDescent="0.2">
      <c r="A24" t="s">
        <v>712</v>
      </c>
      <c r="B24" s="134">
        <v>42716</v>
      </c>
      <c r="C24" t="s">
        <v>998</v>
      </c>
      <c r="D24">
        <v>-20.45</v>
      </c>
      <c r="E24" t="s">
        <v>733</v>
      </c>
      <c r="F24" t="s">
        <v>1016</v>
      </c>
    </row>
    <row r="25" spans="1:7" x14ac:dyDescent="0.2">
      <c r="A25" t="s">
        <v>712</v>
      </c>
      <c r="B25" s="134">
        <v>42716</v>
      </c>
      <c r="C25" t="s">
        <v>998</v>
      </c>
      <c r="D25">
        <v>-17.350000000000001</v>
      </c>
      <c r="E25" t="s">
        <v>733</v>
      </c>
      <c r="F25" t="s">
        <v>1019</v>
      </c>
    </row>
    <row r="26" spans="1:7" x14ac:dyDescent="0.2">
      <c r="A26" t="s">
        <v>712</v>
      </c>
      <c r="B26" s="134">
        <v>42716</v>
      </c>
      <c r="C26" t="s">
        <v>998</v>
      </c>
      <c r="D26">
        <v>-8.5500000000000007</v>
      </c>
      <c r="E26" t="s">
        <v>733</v>
      </c>
      <c r="F26" t="s">
        <v>1019</v>
      </c>
    </row>
    <row r="27" spans="1:7" x14ac:dyDescent="0.2">
      <c r="A27" t="s">
        <v>712</v>
      </c>
      <c r="B27" s="134">
        <v>42716</v>
      </c>
      <c r="C27" t="s">
        <v>998</v>
      </c>
      <c r="D27">
        <v>-52.09</v>
      </c>
      <c r="E27" t="s">
        <v>733</v>
      </c>
      <c r="F27" t="s">
        <v>1020</v>
      </c>
      <c r="G27" t="s">
        <v>1021</v>
      </c>
    </row>
    <row r="28" spans="1:7" x14ac:dyDescent="0.2">
      <c r="A28" t="s">
        <v>712</v>
      </c>
      <c r="B28" s="134">
        <v>42716</v>
      </c>
      <c r="C28" t="s">
        <v>998</v>
      </c>
      <c r="D28">
        <v>-47.55</v>
      </c>
      <c r="E28" t="s">
        <v>733</v>
      </c>
      <c r="F28" t="s">
        <v>1022</v>
      </c>
    </row>
    <row r="29" spans="1:7" x14ac:dyDescent="0.2">
      <c r="A29" t="s">
        <v>712</v>
      </c>
      <c r="B29" s="134">
        <v>42716</v>
      </c>
      <c r="C29" t="s">
        <v>998</v>
      </c>
      <c r="D29">
        <v>-39.97</v>
      </c>
      <c r="E29" t="s">
        <v>733</v>
      </c>
      <c r="F29" t="s">
        <v>1023</v>
      </c>
    </row>
    <row r="30" spans="1:7" x14ac:dyDescent="0.2">
      <c r="A30" t="s">
        <v>712</v>
      </c>
      <c r="B30" s="134">
        <v>42716</v>
      </c>
      <c r="C30" t="s">
        <v>998</v>
      </c>
      <c r="D30">
        <v>-34.11</v>
      </c>
      <c r="E30" t="s">
        <v>733</v>
      </c>
      <c r="F30" t="s">
        <v>1024</v>
      </c>
    </row>
    <row r="31" spans="1:7" x14ac:dyDescent="0.2">
      <c r="A31" t="s">
        <v>712</v>
      </c>
      <c r="B31" s="134">
        <v>42716</v>
      </c>
      <c r="C31" t="s">
        <v>998</v>
      </c>
      <c r="D31">
        <v>-30.01</v>
      </c>
      <c r="E31" t="s">
        <v>733</v>
      </c>
      <c r="F31" t="s">
        <v>1023</v>
      </c>
    </row>
    <row r="32" spans="1:7" x14ac:dyDescent="0.2">
      <c r="A32" t="s">
        <v>712</v>
      </c>
      <c r="B32" s="134">
        <v>42717</v>
      </c>
      <c r="C32" t="s">
        <v>998</v>
      </c>
      <c r="D32">
        <v>-5.78</v>
      </c>
      <c r="E32" t="s">
        <v>733</v>
      </c>
      <c r="F32" t="s">
        <v>1025</v>
      </c>
    </row>
    <row r="33" spans="1:6" x14ac:dyDescent="0.2">
      <c r="A33" t="s">
        <v>712</v>
      </c>
      <c r="B33" s="134">
        <v>42718</v>
      </c>
      <c r="C33" t="s">
        <v>998</v>
      </c>
      <c r="D33" s="136">
        <v>-130</v>
      </c>
      <c r="E33" t="s">
        <v>869</v>
      </c>
      <c r="F33" t="s">
        <v>1026</v>
      </c>
    </row>
    <row r="34" spans="1:6" x14ac:dyDescent="0.2">
      <c r="A34" t="s">
        <v>712</v>
      </c>
      <c r="B34" s="134">
        <v>42718</v>
      </c>
      <c r="C34" t="s">
        <v>998</v>
      </c>
      <c r="D34">
        <v>-43.3</v>
      </c>
      <c r="E34" t="s">
        <v>733</v>
      </c>
      <c r="F34" t="s">
        <v>1027</v>
      </c>
    </row>
    <row r="35" spans="1:6" x14ac:dyDescent="0.2">
      <c r="A35" t="s">
        <v>712</v>
      </c>
      <c r="B35" s="134">
        <v>42718</v>
      </c>
      <c r="C35" t="s">
        <v>998</v>
      </c>
      <c r="D35">
        <v>-31.47</v>
      </c>
      <c r="E35" t="s">
        <v>733</v>
      </c>
      <c r="F35" t="s">
        <v>1028</v>
      </c>
    </row>
    <row r="36" spans="1:6" x14ac:dyDescent="0.2">
      <c r="A36" t="s">
        <v>712</v>
      </c>
      <c r="B36" s="134">
        <v>42718</v>
      </c>
      <c r="C36" t="s">
        <v>998</v>
      </c>
      <c r="D36">
        <v>-2.98</v>
      </c>
      <c r="E36" t="s">
        <v>733</v>
      </c>
      <c r="F36" t="s">
        <v>1029</v>
      </c>
    </row>
    <row r="37" spans="1:6" x14ac:dyDescent="0.2">
      <c r="A37" t="s">
        <v>712</v>
      </c>
      <c r="B37" s="134">
        <v>42720</v>
      </c>
      <c r="C37" t="s">
        <v>998</v>
      </c>
      <c r="D37">
        <v>300</v>
      </c>
      <c r="E37" t="s">
        <v>869</v>
      </c>
      <c r="F37" t="s">
        <v>870</v>
      </c>
    </row>
    <row r="38" spans="1:6" x14ac:dyDescent="0.2">
      <c r="A38" t="s">
        <v>712</v>
      </c>
      <c r="B38" s="134">
        <v>42720</v>
      </c>
      <c r="C38" t="s">
        <v>998</v>
      </c>
      <c r="D38">
        <v>-17.04</v>
      </c>
      <c r="E38" t="s">
        <v>733</v>
      </c>
      <c r="F38" t="s">
        <v>1030</v>
      </c>
    </row>
    <row r="39" spans="1:6" x14ac:dyDescent="0.2">
      <c r="A39" t="s">
        <v>712</v>
      </c>
      <c r="B39" s="134">
        <v>42720</v>
      </c>
      <c r="C39" t="s">
        <v>998</v>
      </c>
      <c r="D39">
        <v>-2</v>
      </c>
      <c r="E39" t="s">
        <v>733</v>
      </c>
      <c r="F39" t="s">
        <v>1031</v>
      </c>
    </row>
    <row r="40" spans="1:6" x14ac:dyDescent="0.2">
      <c r="A40" t="s">
        <v>712</v>
      </c>
      <c r="B40" s="134">
        <v>42720</v>
      </c>
      <c r="C40" t="s">
        <v>998</v>
      </c>
      <c r="D40">
        <v>-59.76</v>
      </c>
      <c r="E40" t="s">
        <v>733</v>
      </c>
      <c r="F40" t="s">
        <v>1032</v>
      </c>
    </row>
    <row r="41" spans="1:6" x14ac:dyDescent="0.2">
      <c r="A41" t="s">
        <v>712</v>
      </c>
      <c r="B41" s="134">
        <v>42720</v>
      </c>
      <c r="C41" t="s">
        <v>998</v>
      </c>
      <c r="D41" s="136">
        <v>-123</v>
      </c>
      <c r="E41" t="s">
        <v>725</v>
      </c>
      <c r="F41" t="s">
        <v>1033</v>
      </c>
    </row>
    <row r="42" spans="1:6" x14ac:dyDescent="0.2">
      <c r="A42" t="s">
        <v>712</v>
      </c>
      <c r="B42" s="134">
        <v>42723</v>
      </c>
      <c r="C42" t="s">
        <v>998</v>
      </c>
      <c r="D42">
        <v>15</v>
      </c>
      <c r="E42" t="s">
        <v>1034</v>
      </c>
      <c r="F42" t="s">
        <v>1035</v>
      </c>
    </row>
    <row r="43" spans="1:6" x14ac:dyDescent="0.2">
      <c r="A43" t="s">
        <v>712</v>
      </c>
      <c r="B43" s="134">
        <v>42723</v>
      </c>
      <c r="C43" t="s">
        <v>998</v>
      </c>
      <c r="D43">
        <v>-24.99</v>
      </c>
      <c r="E43" t="s">
        <v>733</v>
      </c>
      <c r="F43" t="s">
        <v>1036</v>
      </c>
    </row>
    <row r="44" spans="1:6" x14ac:dyDescent="0.2">
      <c r="A44" t="s">
        <v>712</v>
      </c>
      <c r="B44" s="134">
        <v>42723</v>
      </c>
      <c r="C44" t="s">
        <v>998</v>
      </c>
      <c r="D44">
        <v>-15</v>
      </c>
      <c r="E44" t="s">
        <v>733</v>
      </c>
      <c r="F44" t="s">
        <v>1037</v>
      </c>
    </row>
    <row r="45" spans="1:6" x14ac:dyDescent="0.2">
      <c r="A45" t="s">
        <v>712</v>
      </c>
      <c r="B45" s="134">
        <v>42723</v>
      </c>
      <c r="C45" t="s">
        <v>998</v>
      </c>
      <c r="D45">
        <v>-12</v>
      </c>
      <c r="E45" t="s">
        <v>733</v>
      </c>
      <c r="F45" t="s">
        <v>1038</v>
      </c>
    </row>
    <row r="46" spans="1:6" x14ac:dyDescent="0.2">
      <c r="A46" t="s">
        <v>712</v>
      </c>
      <c r="B46" s="134">
        <v>42723</v>
      </c>
      <c r="C46" t="s">
        <v>998</v>
      </c>
      <c r="D46">
        <v>-7.9</v>
      </c>
      <c r="E46" t="s">
        <v>733</v>
      </c>
      <c r="F46" t="s">
        <v>1038</v>
      </c>
    </row>
    <row r="47" spans="1:6" x14ac:dyDescent="0.2">
      <c r="A47" t="s">
        <v>712</v>
      </c>
      <c r="B47" s="134">
        <v>42723</v>
      </c>
      <c r="C47" t="s">
        <v>998</v>
      </c>
      <c r="D47">
        <v>-3.68</v>
      </c>
      <c r="E47" t="s">
        <v>733</v>
      </c>
      <c r="F47" t="s">
        <v>1039</v>
      </c>
    </row>
    <row r="48" spans="1:6" x14ac:dyDescent="0.2">
      <c r="A48" t="s">
        <v>712</v>
      </c>
      <c r="B48" s="134">
        <v>42724</v>
      </c>
      <c r="C48" t="s">
        <v>998</v>
      </c>
      <c r="D48">
        <v>300</v>
      </c>
      <c r="E48" t="s">
        <v>714</v>
      </c>
      <c r="F48" t="s">
        <v>716</v>
      </c>
    </row>
    <row r="49" spans="1:9" x14ac:dyDescent="0.2">
      <c r="A49" t="s">
        <v>712</v>
      </c>
      <c r="B49" s="134">
        <v>42724</v>
      </c>
      <c r="C49" t="s">
        <v>998</v>
      </c>
      <c r="D49">
        <v>-8</v>
      </c>
      <c r="E49" t="s">
        <v>733</v>
      </c>
      <c r="F49" t="s">
        <v>1040</v>
      </c>
    </row>
    <row r="50" spans="1:9" x14ac:dyDescent="0.2">
      <c r="A50" t="s">
        <v>712</v>
      </c>
      <c r="B50" s="134">
        <v>42724</v>
      </c>
      <c r="C50" t="s">
        <v>998</v>
      </c>
      <c r="D50">
        <v>-79.38</v>
      </c>
      <c r="E50" t="s">
        <v>733</v>
      </c>
      <c r="F50" t="s">
        <v>1041</v>
      </c>
    </row>
    <row r="51" spans="1:9" x14ac:dyDescent="0.2">
      <c r="A51" t="s">
        <v>712</v>
      </c>
      <c r="B51" s="134">
        <v>42725</v>
      </c>
      <c r="C51" t="s">
        <v>998</v>
      </c>
      <c r="D51">
        <v>-28.55</v>
      </c>
      <c r="E51" t="s">
        <v>733</v>
      </c>
      <c r="F51" t="s">
        <v>1042</v>
      </c>
    </row>
    <row r="52" spans="1:9" x14ac:dyDescent="0.2">
      <c r="A52" t="s">
        <v>712</v>
      </c>
      <c r="B52" s="134">
        <v>42725</v>
      </c>
      <c r="C52" t="s">
        <v>998</v>
      </c>
      <c r="D52">
        <v>-18.86</v>
      </c>
      <c r="E52" t="s">
        <v>733</v>
      </c>
      <c r="F52" t="s">
        <v>1043</v>
      </c>
    </row>
    <row r="53" spans="1:9" x14ac:dyDescent="0.2">
      <c r="A53" t="s">
        <v>712</v>
      </c>
      <c r="B53" s="134">
        <v>42725</v>
      </c>
      <c r="C53" t="s">
        <v>998</v>
      </c>
      <c r="D53">
        <v>-66.11</v>
      </c>
      <c r="E53" t="s">
        <v>733</v>
      </c>
      <c r="F53" t="s">
        <v>1044</v>
      </c>
    </row>
    <row r="54" spans="1:9" x14ac:dyDescent="0.2">
      <c r="A54" t="s">
        <v>712</v>
      </c>
      <c r="B54" s="134">
        <v>42725</v>
      </c>
      <c r="C54" t="s">
        <v>998</v>
      </c>
      <c r="D54">
        <v>-25</v>
      </c>
      <c r="E54" t="s">
        <v>733</v>
      </c>
      <c r="F54" t="s">
        <v>1045</v>
      </c>
    </row>
    <row r="55" spans="1:9" x14ac:dyDescent="0.2">
      <c r="A55" t="s">
        <v>712</v>
      </c>
      <c r="B55" s="134">
        <v>42725</v>
      </c>
      <c r="C55" t="s">
        <v>998</v>
      </c>
      <c r="D55" s="136">
        <v>-108.79</v>
      </c>
      <c r="E55" t="s">
        <v>725</v>
      </c>
      <c r="F55" t="s">
        <v>1046</v>
      </c>
      <c r="I55" s="56" t="s">
        <v>1058</v>
      </c>
    </row>
    <row r="56" spans="1:9" x14ac:dyDescent="0.2">
      <c r="A56" t="s">
        <v>712</v>
      </c>
      <c r="B56" s="134">
        <v>42726</v>
      </c>
      <c r="C56" t="s">
        <v>998</v>
      </c>
      <c r="D56">
        <v>-42.06</v>
      </c>
      <c r="E56" t="s">
        <v>733</v>
      </c>
      <c r="F56" t="s">
        <v>1047</v>
      </c>
    </row>
    <row r="57" spans="1:9" x14ac:dyDescent="0.2">
      <c r="A57" t="s">
        <v>712</v>
      </c>
      <c r="B57" s="134">
        <v>42732</v>
      </c>
      <c r="C57" t="s">
        <v>998</v>
      </c>
      <c r="D57">
        <v>250</v>
      </c>
      <c r="E57" t="s">
        <v>714</v>
      </c>
      <c r="F57" t="s">
        <v>716</v>
      </c>
    </row>
    <row r="58" spans="1:9" x14ac:dyDescent="0.2">
      <c r="A58" t="s">
        <v>712</v>
      </c>
      <c r="B58" s="134">
        <v>42732</v>
      </c>
      <c r="C58" t="s">
        <v>998</v>
      </c>
      <c r="D58">
        <v>1200</v>
      </c>
      <c r="E58" t="s">
        <v>828</v>
      </c>
      <c r="F58" t="s">
        <v>1048</v>
      </c>
    </row>
    <row r="59" spans="1:9" x14ac:dyDescent="0.2">
      <c r="A59" t="s">
        <v>712</v>
      </c>
      <c r="B59" s="134">
        <v>42732</v>
      </c>
      <c r="C59" t="s">
        <v>998</v>
      </c>
      <c r="D59">
        <v>-27.75</v>
      </c>
      <c r="E59" t="s">
        <v>733</v>
      </c>
      <c r="F59" t="s">
        <v>1049</v>
      </c>
    </row>
    <row r="60" spans="1:9" x14ac:dyDescent="0.2">
      <c r="A60" t="s">
        <v>712</v>
      </c>
      <c r="B60" s="134">
        <v>42732</v>
      </c>
      <c r="C60" t="s">
        <v>998</v>
      </c>
      <c r="D60">
        <v>-13.97</v>
      </c>
      <c r="E60" t="s">
        <v>733</v>
      </c>
      <c r="F60" t="s">
        <v>1050</v>
      </c>
    </row>
    <row r="61" spans="1:9" x14ac:dyDescent="0.2">
      <c r="A61" t="s">
        <v>712</v>
      </c>
      <c r="B61" s="134">
        <v>42732</v>
      </c>
      <c r="C61" t="s">
        <v>998</v>
      </c>
      <c r="D61">
        <v>-2.8</v>
      </c>
      <c r="E61" t="s">
        <v>733</v>
      </c>
      <c r="F61" t="s">
        <v>1049</v>
      </c>
    </row>
    <row r="62" spans="1:9" x14ac:dyDescent="0.2">
      <c r="A62" t="s">
        <v>712</v>
      </c>
      <c r="B62" s="134">
        <v>42732</v>
      </c>
      <c r="C62" t="s">
        <v>998</v>
      </c>
      <c r="D62">
        <v>-56.3</v>
      </c>
      <c r="E62" t="s">
        <v>733</v>
      </c>
      <c r="F62" t="s">
        <v>1051</v>
      </c>
    </row>
    <row r="63" spans="1:9" x14ac:dyDescent="0.2">
      <c r="A63" t="s">
        <v>712</v>
      </c>
      <c r="B63" s="134">
        <v>42732</v>
      </c>
      <c r="C63" t="s">
        <v>998</v>
      </c>
      <c r="D63">
        <v>-54.99</v>
      </c>
      <c r="E63" t="s">
        <v>733</v>
      </c>
      <c r="F63" t="s">
        <v>1052</v>
      </c>
    </row>
    <row r="64" spans="1:9" x14ac:dyDescent="0.2">
      <c r="A64" t="s">
        <v>712</v>
      </c>
      <c r="B64" s="134">
        <v>42732</v>
      </c>
      <c r="C64" t="s">
        <v>998</v>
      </c>
      <c r="D64">
        <v>-40.049999999999997</v>
      </c>
      <c r="E64" t="s">
        <v>733</v>
      </c>
      <c r="F64" t="s">
        <v>1053</v>
      </c>
    </row>
    <row r="65" spans="1:6" x14ac:dyDescent="0.2">
      <c r="A65" t="s">
        <v>712</v>
      </c>
      <c r="B65" s="134">
        <v>42732</v>
      </c>
      <c r="C65" t="s">
        <v>998</v>
      </c>
      <c r="D65">
        <v>-39.270000000000003</v>
      </c>
      <c r="E65" t="s">
        <v>733</v>
      </c>
      <c r="F65" t="s">
        <v>1051</v>
      </c>
    </row>
    <row r="66" spans="1:6" x14ac:dyDescent="0.2">
      <c r="A66" t="s">
        <v>712</v>
      </c>
      <c r="B66" s="134">
        <v>42734</v>
      </c>
      <c r="C66" t="s">
        <v>998</v>
      </c>
      <c r="D66">
        <v>-22.44</v>
      </c>
      <c r="E66" t="s">
        <v>733</v>
      </c>
      <c r="F66" t="s">
        <v>1054</v>
      </c>
    </row>
    <row r="67" spans="1:6" x14ac:dyDescent="0.2">
      <c r="A67" t="s">
        <v>712</v>
      </c>
      <c r="B67" s="134">
        <v>42734</v>
      </c>
      <c r="C67" t="s">
        <v>998</v>
      </c>
      <c r="D67">
        <v>-9.06</v>
      </c>
      <c r="E67" t="s">
        <v>733</v>
      </c>
      <c r="F67" t="s">
        <v>1055</v>
      </c>
    </row>
    <row r="68" spans="1:6" x14ac:dyDescent="0.2">
      <c r="A68" t="s">
        <v>712</v>
      </c>
      <c r="B68" s="134">
        <v>42734</v>
      </c>
      <c r="C68" t="s">
        <v>998</v>
      </c>
      <c r="D68">
        <v>-56.47</v>
      </c>
      <c r="E68" t="s">
        <v>733</v>
      </c>
      <c r="F68" t="s">
        <v>1056</v>
      </c>
    </row>
    <row r="69" spans="1:6" x14ac:dyDescent="0.2">
      <c r="B69" s="134"/>
    </row>
  </sheetData>
  <autoFilter ref="A1:I1"/>
  <sortState ref="A2:I69">
    <sortCondition ref="B2:B69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291"/>
  <sheetViews>
    <sheetView tabSelected="1" zoomScale="85" zoomScaleNormal="85" workbookViewId="0">
      <selection activeCell="I254" sqref="I254"/>
    </sheetView>
  </sheetViews>
  <sheetFormatPr defaultRowHeight="12.75" x14ac:dyDescent="0.2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6" max="6" width="16.5703125" bestFit="1" customWidth="1"/>
    <col min="7" max="7" width="12.28515625" bestFit="1" customWidth="1"/>
    <col min="8" max="8" width="12.85546875" bestFit="1" customWidth="1"/>
  </cols>
  <sheetData>
    <row r="1" spans="1:9" x14ac:dyDescent="0.2">
      <c r="A1" t="s">
        <v>468</v>
      </c>
      <c r="B1" t="s">
        <v>469</v>
      </c>
      <c r="C1" t="s">
        <v>470</v>
      </c>
      <c r="D1" t="s">
        <v>471</v>
      </c>
      <c r="E1" t="s">
        <v>472</v>
      </c>
      <c r="F1" t="s">
        <v>473</v>
      </c>
      <c r="G1" t="s">
        <v>474</v>
      </c>
      <c r="H1" t="s">
        <v>475</v>
      </c>
    </row>
    <row r="2" spans="1:9" x14ac:dyDescent="0.2">
      <c r="A2" t="s">
        <v>476</v>
      </c>
      <c r="B2">
        <v>354415</v>
      </c>
      <c r="C2" s="80">
        <v>42718.40902777778</v>
      </c>
      <c r="D2" t="s">
        <v>581</v>
      </c>
      <c r="E2" t="s">
        <v>483</v>
      </c>
      <c r="F2">
        <v>6370</v>
      </c>
      <c r="G2">
        <v>25</v>
      </c>
      <c r="H2">
        <v>0</v>
      </c>
      <c r="I2" t="s">
        <v>931</v>
      </c>
    </row>
    <row r="3" spans="1:9" x14ac:dyDescent="0.2">
      <c r="A3" t="s">
        <v>476</v>
      </c>
      <c r="B3">
        <v>356241</v>
      </c>
      <c r="C3" s="80">
        <v>42724.634027777778</v>
      </c>
      <c r="D3" t="s">
        <v>582</v>
      </c>
      <c r="F3">
        <v>0</v>
      </c>
      <c r="G3">
        <v>0</v>
      </c>
      <c r="H3">
        <v>77.44</v>
      </c>
      <c r="I3" t="s">
        <v>932</v>
      </c>
    </row>
    <row r="4" spans="1:9" x14ac:dyDescent="0.2">
      <c r="A4" t="s">
        <v>476</v>
      </c>
      <c r="B4">
        <v>356241</v>
      </c>
      <c r="C4" s="80">
        <v>42724.634027777778</v>
      </c>
      <c r="D4" t="s">
        <v>477</v>
      </c>
      <c r="E4" t="s">
        <v>207</v>
      </c>
      <c r="F4">
        <v>107561</v>
      </c>
      <c r="G4">
        <v>5.58</v>
      </c>
      <c r="H4">
        <v>0</v>
      </c>
      <c r="I4" t="s">
        <v>933</v>
      </c>
    </row>
    <row r="5" spans="1:9" x14ac:dyDescent="0.2">
      <c r="A5" t="s">
        <v>476</v>
      </c>
      <c r="B5">
        <v>356321</v>
      </c>
      <c r="C5" s="80">
        <v>42724.637499999997</v>
      </c>
      <c r="D5" t="s">
        <v>583</v>
      </c>
      <c r="E5" t="s">
        <v>478</v>
      </c>
      <c r="F5">
        <v>92573</v>
      </c>
      <c r="G5">
        <v>46.86</v>
      </c>
      <c r="H5">
        <v>0</v>
      </c>
      <c r="I5" t="s">
        <v>934</v>
      </c>
    </row>
    <row r="6" spans="1:9" x14ac:dyDescent="0.2">
      <c r="A6" t="s">
        <v>476</v>
      </c>
      <c r="B6">
        <v>357171</v>
      </c>
      <c r="C6" s="80">
        <v>42727.556944444441</v>
      </c>
      <c r="D6" t="s">
        <v>582</v>
      </c>
      <c r="F6">
        <v>0</v>
      </c>
      <c r="G6">
        <v>0</v>
      </c>
      <c r="H6">
        <v>422.56</v>
      </c>
      <c r="I6" t="s">
        <v>932</v>
      </c>
    </row>
    <row r="7" spans="1:9" x14ac:dyDescent="0.2">
      <c r="A7" t="s">
        <v>476</v>
      </c>
      <c r="B7">
        <v>357171</v>
      </c>
      <c r="C7" s="80">
        <v>42727.556944444441</v>
      </c>
      <c r="D7" t="s">
        <v>477</v>
      </c>
      <c r="E7" t="s">
        <v>207</v>
      </c>
      <c r="F7">
        <v>107913</v>
      </c>
      <c r="G7">
        <v>30.42</v>
      </c>
      <c r="H7">
        <v>0</v>
      </c>
      <c r="I7" t="s">
        <v>933</v>
      </c>
    </row>
    <row r="8" spans="1:9" x14ac:dyDescent="0.2">
      <c r="A8" t="s">
        <v>476</v>
      </c>
      <c r="B8">
        <v>357171</v>
      </c>
      <c r="C8" s="80">
        <v>42727.556944444441</v>
      </c>
      <c r="D8" t="s">
        <v>584</v>
      </c>
      <c r="F8">
        <v>0</v>
      </c>
      <c r="G8">
        <v>0</v>
      </c>
      <c r="H8">
        <v>384.08</v>
      </c>
      <c r="I8" t="s">
        <v>932</v>
      </c>
    </row>
    <row r="9" spans="1:9" x14ac:dyDescent="0.2">
      <c r="A9" t="s">
        <v>476</v>
      </c>
      <c r="B9">
        <v>357171</v>
      </c>
      <c r="C9" s="80">
        <v>42727.556944444441</v>
      </c>
      <c r="D9" t="s">
        <v>477</v>
      </c>
      <c r="E9" t="s">
        <v>207</v>
      </c>
      <c r="F9">
        <v>107913</v>
      </c>
      <c r="G9">
        <v>27.65</v>
      </c>
      <c r="H9">
        <v>0</v>
      </c>
      <c r="I9" t="s">
        <v>933</v>
      </c>
    </row>
    <row r="10" spans="1:9" x14ac:dyDescent="0.2">
      <c r="A10" t="s">
        <v>476</v>
      </c>
      <c r="B10">
        <v>357183</v>
      </c>
      <c r="C10" s="80">
        <v>42727.559027777781</v>
      </c>
      <c r="D10" t="s">
        <v>583</v>
      </c>
      <c r="E10" t="s">
        <v>478</v>
      </c>
      <c r="F10">
        <v>92893</v>
      </c>
      <c r="G10">
        <v>748.57</v>
      </c>
      <c r="H10">
        <v>0</v>
      </c>
      <c r="I10" t="s">
        <v>934</v>
      </c>
    </row>
    <row r="11" spans="1:9" x14ac:dyDescent="0.2">
      <c r="A11" t="s">
        <v>479</v>
      </c>
      <c r="B11">
        <v>356763</v>
      </c>
      <c r="C11" s="80">
        <v>42726.447222222225</v>
      </c>
      <c r="D11" t="s">
        <v>585</v>
      </c>
      <c r="E11" t="s">
        <v>483</v>
      </c>
      <c r="F11" t="s">
        <v>586</v>
      </c>
      <c r="G11">
        <v>63</v>
      </c>
      <c r="H11">
        <v>0</v>
      </c>
      <c r="I11" t="s">
        <v>931</v>
      </c>
    </row>
    <row r="12" spans="1:9" x14ac:dyDescent="0.2">
      <c r="A12" t="s">
        <v>479</v>
      </c>
      <c r="B12">
        <v>357176</v>
      </c>
      <c r="C12" s="80">
        <v>42727.556944444441</v>
      </c>
      <c r="D12" t="s">
        <v>587</v>
      </c>
      <c r="F12">
        <v>0</v>
      </c>
      <c r="G12">
        <v>0</v>
      </c>
      <c r="H12">
        <v>500</v>
      </c>
      <c r="I12" t="s">
        <v>932</v>
      </c>
    </row>
    <row r="13" spans="1:9" x14ac:dyDescent="0.2">
      <c r="A13" t="s">
        <v>479</v>
      </c>
      <c r="B13">
        <v>357176</v>
      </c>
      <c r="C13" s="80">
        <v>42727.556944444441</v>
      </c>
      <c r="D13" t="s">
        <v>480</v>
      </c>
      <c r="E13" t="s">
        <v>207</v>
      </c>
      <c r="F13">
        <v>107918</v>
      </c>
      <c r="G13">
        <v>36</v>
      </c>
      <c r="H13">
        <v>0</v>
      </c>
      <c r="I13" t="s">
        <v>933</v>
      </c>
    </row>
    <row r="14" spans="1:9" x14ac:dyDescent="0.2">
      <c r="A14" t="s">
        <v>479</v>
      </c>
      <c r="B14">
        <v>357176</v>
      </c>
      <c r="C14" s="80">
        <v>42727.556944444441</v>
      </c>
      <c r="D14" t="s">
        <v>588</v>
      </c>
      <c r="F14">
        <v>0</v>
      </c>
      <c r="G14">
        <v>0</v>
      </c>
      <c r="H14">
        <v>157.53</v>
      </c>
      <c r="I14" t="s">
        <v>932</v>
      </c>
    </row>
    <row r="15" spans="1:9" x14ac:dyDescent="0.2">
      <c r="A15" t="s">
        <v>479</v>
      </c>
      <c r="B15">
        <v>357176</v>
      </c>
      <c r="C15" s="80">
        <v>42727.556944444441</v>
      </c>
      <c r="D15" t="s">
        <v>480</v>
      </c>
      <c r="E15" t="s">
        <v>207</v>
      </c>
      <c r="F15">
        <v>107918</v>
      </c>
      <c r="G15">
        <v>11.34</v>
      </c>
      <c r="H15">
        <v>0</v>
      </c>
      <c r="I15" t="s">
        <v>933</v>
      </c>
    </row>
    <row r="16" spans="1:9" x14ac:dyDescent="0.2">
      <c r="A16" t="s">
        <v>479</v>
      </c>
      <c r="B16">
        <v>357183</v>
      </c>
      <c r="C16" s="80">
        <v>42727.559027777781</v>
      </c>
      <c r="D16" t="s">
        <v>589</v>
      </c>
      <c r="E16" t="s">
        <v>478</v>
      </c>
      <c r="F16">
        <v>92898</v>
      </c>
      <c r="G16">
        <v>547.19000000000005</v>
      </c>
      <c r="H16">
        <v>0</v>
      </c>
      <c r="I16" t="s">
        <v>934</v>
      </c>
    </row>
    <row r="17" spans="1:9" x14ac:dyDescent="0.2">
      <c r="A17" t="s">
        <v>481</v>
      </c>
      <c r="B17">
        <v>351869</v>
      </c>
      <c r="C17" s="80">
        <v>42709.67083333333</v>
      </c>
      <c r="D17" t="s">
        <v>590</v>
      </c>
      <c r="F17">
        <v>0</v>
      </c>
      <c r="G17">
        <v>0</v>
      </c>
      <c r="H17">
        <v>600</v>
      </c>
      <c r="I17" t="s">
        <v>932</v>
      </c>
    </row>
    <row r="18" spans="1:9" x14ac:dyDescent="0.2">
      <c r="A18" t="s">
        <v>481</v>
      </c>
      <c r="B18">
        <v>351869</v>
      </c>
      <c r="C18" s="80">
        <v>42709.67083333333</v>
      </c>
      <c r="D18" t="s">
        <v>482</v>
      </c>
      <c r="E18" t="s">
        <v>207</v>
      </c>
      <c r="F18">
        <v>106271</v>
      </c>
      <c r="G18">
        <v>43.2</v>
      </c>
      <c r="H18">
        <v>0</v>
      </c>
      <c r="I18" t="s">
        <v>933</v>
      </c>
    </row>
    <row r="19" spans="1:9" x14ac:dyDescent="0.2">
      <c r="A19" t="s">
        <v>481</v>
      </c>
      <c r="B19">
        <v>351890</v>
      </c>
      <c r="C19" s="80">
        <v>42709.67291666667</v>
      </c>
      <c r="D19" t="s">
        <v>591</v>
      </c>
      <c r="E19" t="s">
        <v>478</v>
      </c>
      <c r="F19">
        <v>91233</v>
      </c>
      <c r="G19">
        <v>556.79999999999995</v>
      </c>
      <c r="H19">
        <v>0</v>
      </c>
      <c r="I19" t="s">
        <v>934</v>
      </c>
    </row>
    <row r="20" spans="1:9" x14ac:dyDescent="0.2">
      <c r="A20" t="s">
        <v>484</v>
      </c>
      <c r="B20">
        <v>357480</v>
      </c>
      <c r="C20" s="80">
        <v>42732.54791666667</v>
      </c>
      <c r="D20" t="s">
        <v>592</v>
      </c>
      <c r="F20">
        <v>0</v>
      </c>
      <c r="G20">
        <v>0</v>
      </c>
      <c r="H20">
        <v>77.44</v>
      </c>
      <c r="I20" t="s">
        <v>932</v>
      </c>
    </row>
    <row r="21" spans="1:9" x14ac:dyDescent="0.2">
      <c r="A21" t="s">
        <v>484</v>
      </c>
      <c r="B21">
        <v>357480</v>
      </c>
      <c r="C21" s="80">
        <v>42732.54791666667</v>
      </c>
      <c r="D21" t="s">
        <v>485</v>
      </c>
      <c r="E21" t="s">
        <v>207</v>
      </c>
      <c r="F21">
        <v>108038</v>
      </c>
      <c r="G21">
        <v>5.58</v>
      </c>
      <c r="H21">
        <v>0</v>
      </c>
      <c r="I21" t="s">
        <v>933</v>
      </c>
    </row>
    <row r="22" spans="1:9" x14ac:dyDescent="0.2">
      <c r="A22" t="s">
        <v>484</v>
      </c>
      <c r="B22">
        <v>357480</v>
      </c>
      <c r="C22" s="80">
        <v>42732.54791666667</v>
      </c>
      <c r="D22" t="s">
        <v>593</v>
      </c>
      <c r="F22">
        <v>0</v>
      </c>
      <c r="G22">
        <v>0</v>
      </c>
      <c r="H22">
        <v>384.08</v>
      </c>
      <c r="I22" t="s">
        <v>932</v>
      </c>
    </row>
    <row r="23" spans="1:9" x14ac:dyDescent="0.2">
      <c r="A23" t="s">
        <v>484</v>
      </c>
      <c r="B23">
        <v>357480</v>
      </c>
      <c r="C23" s="80">
        <v>42732.54791666667</v>
      </c>
      <c r="D23" t="s">
        <v>485</v>
      </c>
      <c r="E23" t="s">
        <v>207</v>
      </c>
      <c r="F23">
        <v>108038</v>
      </c>
      <c r="G23">
        <v>27.65</v>
      </c>
      <c r="H23">
        <v>0</v>
      </c>
      <c r="I23" t="s">
        <v>933</v>
      </c>
    </row>
    <row r="24" spans="1:9" x14ac:dyDescent="0.2">
      <c r="A24" t="s">
        <v>484</v>
      </c>
      <c r="B24">
        <v>357493</v>
      </c>
      <c r="C24" s="80">
        <v>42732.566666666666</v>
      </c>
      <c r="D24" t="s">
        <v>594</v>
      </c>
      <c r="E24" t="s">
        <v>478</v>
      </c>
      <c r="F24">
        <v>92991</v>
      </c>
      <c r="G24">
        <v>428.29</v>
      </c>
      <c r="H24">
        <v>0</v>
      </c>
      <c r="I24" t="s">
        <v>934</v>
      </c>
    </row>
    <row r="25" spans="1:9" x14ac:dyDescent="0.2">
      <c r="A25" t="s">
        <v>484</v>
      </c>
      <c r="B25">
        <v>358822</v>
      </c>
      <c r="C25" s="80">
        <v>42735.510416666664</v>
      </c>
      <c r="D25" t="s">
        <v>592</v>
      </c>
      <c r="F25">
        <v>0</v>
      </c>
      <c r="G25">
        <v>0</v>
      </c>
      <c r="H25">
        <v>422.56</v>
      </c>
      <c r="I25" t="s">
        <v>932</v>
      </c>
    </row>
    <row r="26" spans="1:9" x14ac:dyDescent="0.2">
      <c r="A26" t="s">
        <v>484</v>
      </c>
      <c r="B26">
        <v>358822</v>
      </c>
      <c r="C26" s="80">
        <v>42735.510416666664</v>
      </c>
      <c r="D26" t="s">
        <v>485</v>
      </c>
      <c r="E26" t="s">
        <v>207</v>
      </c>
      <c r="F26">
        <v>108596</v>
      </c>
      <c r="G26">
        <v>30.42</v>
      </c>
      <c r="H26">
        <v>0</v>
      </c>
      <c r="I26" t="s">
        <v>933</v>
      </c>
    </row>
    <row r="27" spans="1:9" x14ac:dyDescent="0.2">
      <c r="A27" t="s">
        <v>484</v>
      </c>
      <c r="B27">
        <v>358837</v>
      </c>
      <c r="C27" s="80">
        <v>42735.537499999999</v>
      </c>
      <c r="D27" t="s">
        <v>594</v>
      </c>
      <c r="E27" t="s">
        <v>478</v>
      </c>
      <c r="F27">
        <v>93506</v>
      </c>
      <c r="G27">
        <v>392.14</v>
      </c>
      <c r="H27">
        <v>0</v>
      </c>
      <c r="I27" t="s">
        <v>934</v>
      </c>
    </row>
    <row r="28" spans="1:9" x14ac:dyDescent="0.2">
      <c r="A28" t="s">
        <v>486</v>
      </c>
      <c r="B28">
        <v>356239</v>
      </c>
      <c r="C28" s="80">
        <v>42724.634027777778</v>
      </c>
      <c r="D28" t="s">
        <v>595</v>
      </c>
      <c r="F28">
        <v>0</v>
      </c>
      <c r="G28">
        <v>0</v>
      </c>
      <c r="H28">
        <v>227.8</v>
      </c>
      <c r="I28" t="s">
        <v>932</v>
      </c>
    </row>
    <row r="29" spans="1:9" x14ac:dyDescent="0.2">
      <c r="A29" t="s">
        <v>486</v>
      </c>
      <c r="B29">
        <v>356239</v>
      </c>
      <c r="C29" s="80">
        <v>42724.634027777778</v>
      </c>
      <c r="D29" t="s">
        <v>487</v>
      </c>
      <c r="E29" t="s">
        <v>207</v>
      </c>
      <c r="F29">
        <v>107559</v>
      </c>
      <c r="G29">
        <v>16.399999999999999</v>
      </c>
      <c r="H29">
        <v>0</v>
      </c>
      <c r="I29" t="s">
        <v>933</v>
      </c>
    </row>
    <row r="30" spans="1:9" x14ac:dyDescent="0.2">
      <c r="A30" t="s">
        <v>486</v>
      </c>
      <c r="B30">
        <v>356239</v>
      </c>
      <c r="C30" s="80">
        <v>42724.634027777778</v>
      </c>
      <c r="D30" t="s">
        <v>596</v>
      </c>
      <c r="F30">
        <v>0</v>
      </c>
      <c r="G30">
        <v>0</v>
      </c>
      <c r="H30">
        <v>238.32</v>
      </c>
      <c r="I30" t="s">
        <v>932</v>
      </c>
    </row>
    <row r="31" spans="1:9" x14ac:dyDescent="0.2">
      <c r="A31" t="s">
        <v>486</v>
      </c>
      <c r="B31">
        <v>356239</v>
      </c>
      <c r="C31" s="80">
        <v>42724.634027777778</v>
      </c>
      <c r="D31" t="s">
        <v>487</v>
      </c>
      <c r="E31" t="s">
        <v>207</v>
      </c>
      <c r="F31">
        <v>107559</v>
      </c>
      <c r="G31">
        <v>17.16</v>
      </c>
      <c r="H31">
        <v>0</v>
      </c>
      <c r="I31" t="s">
        <v>933</v>
      </c>
    </row>
    <row r="32" spans="1:9" x14ac:dyDescent="0.2">
      <c r="A32" t="s">
        <v>486</v>
      </c>
      <c r="B32">
        <v>356321</v>
      </c>
      <c r="C32" s="80">
        <v>42724.637499999997</v>
      </c>
      <c r="D32" t="s">
        <v>597</v>
      </c>
      <c r="E32" t="s">
        <v>478</v>
      </c>
      <c r="F32">
        <v>92571</v>
      </c>
      <c r="G32">
        <v>432.56</v>
      </c>
      <c r="H32">
        <v>0</v>
      </c>
      <c r="I32" t="s">
        <v>934</v>
      </c>
    </row>
    <row r="33" spans="1:9" x14ac:dyDescent="0.2">
      <c r="A33" t="s">
        <v>486</v>
      </c>
      <c r="B33">
        <v>358810</v>
      </c>
      <c r="C33" s="80">
        <v>42735.510416666664</v>
      </c>
      <c r="D33" t="s">
        <v>595</v>
      </c>
      <c r="F33">
        <v>0</v>
      </c>
      <c r="G33">
        <v>0</v>
      </c>
      <c r="H33">
        <v>277.2</v>
      </c>
      <c r="I33" t="s">
        <v>932</v>
      </c>
    </row>
    <row r="34" spans="1:9" x14ac:dyDescent="0.2">
      <c r="A34" t="s">
        <v>486</v>
      </c>
      <c r="B34">
        <v>358810</v>
      </c>
      <c r="C34" s="80">
        <v>42735.510416666664</v>
      </c>
      <c r="D34" t="s">
        <v>487</v>
      </c>
      <c r="E34" t="s">
        <v>207</v>
      </c>
      <c r="F34">
        <v>108585</v>
      </c>
      <c r="G34">
        <v>19.96</v>
      </c>
      <c r="H34">
        <v>0</v>
      </c>
      <c r="I34" t="s">
        <v>933</v>
      </c>
    </row>
    <row r="35" spans="1:9" x14ac:dyDescent="0.2">
      <c r="A35" t="s">
        <v>486</v>
      </c>
      <c r="B35">
        <v>358837</v>
      </c>
      <c r="C35" s="80">
        <v>42735.537499999999</v>
      </c>
      <c r="D35" t="s">
        <v>597</v>
      </c>
      <c r="E35" t="s">
        <v>478</v>
      </c>
      <c r="F35">
        <v>93494</v>
      </c>
      <c r="G35">
        <v>257.24</v>
      </c>
      <c r="H35">
        <v>0</v>
      </c>
      <c r="I35" t="s">
        <v>934</v>
      </c>
    </row>
    <row r="36" spans="1:9" x14ac:dyDescent="0.2">
      <c r="A36" t="s">
        <v>488</v>
      </c>
      <c r="B36">
        <v>350110</v>
      </c>
      <c r="C36" s="80">
        <v>42704.869444444441</v>
      </c>
      <c r="D36" t="s">
        <v>697</v>
      </c>
      <c r="E36" t="s">
        <v>483</v>
      </c>
      <c r="F36">
        <v>1967</v>
      </c>
      <c r="G36">
        <v>162</v>
      </c>
      <c r="H36">
        <v>0</v>
      </c>
      <c r="I36" t="s">
        <v>931</v>
      </c>
    </row>
    <row r="37" spans="1:9" x14ac:dyDescent="0.2">
      <c r="A37" t="s">
        <v>488</v>
      </c>
      <c r="B37">
        <v>352515</v>
      </c>
      <c r="C37" s="80">
        <v>42711.589583333334</v>
      </c>
      <c r="D37" t="s">
        <v>598</v>
      </c>
      <c r="E37" t="s">
        <v>483</v>
      </c>
      <c r="F37">
        <v>209885</v>
      </c>
      <c r="G37">
        <v>40</v>
      </c>
      <c r="H37">
        <v>0</v>
      </c>
      <c r="I37" t="s">
        <v>931</v>
      </c>
    </row>
    <row r="38" spans="1:9" x14ac:dyDescent="0.2">
      <c r="A38" t="s">
        <v>488</v>
      </c>
      <c r="B38">
        <v>356260</v>
      </c>
      <c r="C38" s="80">
        <v>42724.634027777778</v>
      </c>
      <c r="D38" t="s">
        <v>599</v>
      </c>
      <c r="F38">
        <v>0</v>
      </c>
      <c r="G38">
        <v>0</v>
      </c>
      <c r="H38">
        <v>77.44</v>
      </c>
      <c r="I38" t="s">
        <v>932</v>
      </c>
    </row>
    <row r="39" spans="1:9" x14ac:dyDescent="0.2">
      <c r="A39" t="s">
        <v>488</v>
      </c>
      <c r="B39">
        <v>356260</v>
      </c>
      <c r="C39" s="80">
        <v>42724.634027777778</v>
      </c>
      <c r="D39" t="s">
        <v>489</v>
      </c>
      <c r="E39" t="s">
        <v>207</v>
      </c>
      <c r="F39">
        <v>107580</v>
      </c>
      <c r="G39">
        <v>5.58</v>
      </c>
      <c r="H39">
        <v>0</v>
      </c>
      <c r="I39" t="s">
        <v>933</v>
      </c>
    </row>
    <row r="40" spans="1:9" x14ac:dyDescent="0.2">
      <c r="A40" t="s">
        <v>488</v>
      </c>
      <c r="B40">
        <v>356260</v>
      </c>
      <c r="C40" s="80">
        <v>42724.634027777778</v>
      </c>
      <c r="D40" t="s">
        <v>600</v>
      </c>
      <c r="F40">
        <v>0</v>
      </c>
      <c r="G40">
        <v>0</v>
      </c>
      <c r="H40">
        <v>384.08</v>
      </c>
      <c r="I40" t="s">
        <v>932</v>
      </c>
    </row>
    <row r="41" spans="1:9" x14ac:dyDescent="0.2">
      <c r="A41" t="s">
        <v>488</v>
      </c>
      <c r="B41">
        <v>356260</v>
      </c>
      <c r="C41" s="80">
        <v>42724.634027777778</v>
      </c>
      <c r="D41" t="s">
        <v>489</v>
      </c>
      <c r="E41" t="s">
        <v>207</v>
      </c>
      <c r="F41">
        <v>107580</v>
      </c>
      <c r="G41">
        <v>27.65</v>
      </c>
      <c r="H41">
        <v>0</v>
      </c>
      <c r="I41" t="s">
        <v>933</v>
      </c>
    </row>
    <row r="42" spans="1:9" x14ac:dyDescent="0.2">
      <c r="A42" t="s">
        <v>488</v>
      </c>
      <c r="B42">
        <v>356321</v>
      </c>
      <c r="C42" s="80">
        <v>42724.637499999997</v>
      </c>
      <c r="D42" t="s">
        <v>601</v>
      </c>
      <c r="E42" t="s">
        <v>478</v>
      </c>
      <c r="F42">
        <v>92592</v>
      </c>
      <c r="G42">
        <v>226.29</v>
      </c>
      <c r="H42">
        <v>0</v>
      </c>
      <c r="I42" t="s">
        <v>934</v>
      </c>
    </row>
    <row r="43" spans="1:9" x14ac:dyDescent="0.2">
      <c r="A43" t="s">
        <v>488</v>
      </c>
      <c r="B43">
        <v>358814</v>
      </c>
      <c r="C43" s="80">
        <v>42735.510416666664</v>
      </c>
      <c r="D43" t="s">
        <v>599</v>
      </c>
      <c r="F43">
        <v>0</v>
      </c>
      <c r="G43">
        <v>0</v>
      </c>
      <c r="H43">
        <v>422.56</v>
      </c>
      <c r="I43" t="s">
        <v>932</v>
      </c>
    </row>
    <row r="44" spans="1:9" x14ac:dyDescent="0.2">
      <c r="A44" t="s">
        <v>488</v>
      </c>
      <c r="B44">
        <v>358814</v>
      </c>
      <c r="C44" s="80">
        <v>42735.510416666664</v>
      </c>
      <c r="D44" t="s">
        <v>489</v>
      </c>
      <c r="E44" t="s">
        <v>207</v>
      </c>
      <c r="F44">
        <v>108589</v>
      </c>
      <c r="G44">
        <v>30.42</v>
      </c>
      <c r="H44">
        <v>0</v>
      </c>
      <c r="I44" t="s">
        <v>933</v>
      </c>
    </row>
    <row r="45" spans="1:9" x14ac:dyDescent="0.2">
      <c r="A45" t="s">
        <v>488</v>
      </c>
      <c r="B45">
        <v>358837</v>
      </c>
      <c r="C45" s="80">
        <v>42735.537499999999</v>
      </c>
      <c r="D45" t="s">
        <v>601</v>
      </c>
      <c r="E45" t="s">
        <v>478</v>
      </c>
      <c r="F45">
        <v>93498</v>
      </c>
      <c r="G45">
        <v>392.14</v>
      </c>
      <c r="H45">
        <v>0</v>
      </c>
      <c r="I45" t="s">
        <v>934</v>
      </c>
    </row>
    <row r="46" spans="1:9" x14ac:dyDescent="0.2">
      <c r="A46" t="s">
        <v>578</v>
      </c>
      <c r="B46">
        <v>355108</v>
      </c>
      <c r="C46" s="80">
        <v>42720.547222222223</v>
      </c>
      <c r="D46" t="s">
        <v>602</v>
      </c>
      <c r="E46" t="s">
        <v>483</v>
      </c>
      <c r="F46">
        <v>208004</v>
      </c>
      <c r="G46">
        <v>40</v>
      </c>
      <c r="H46">
        <v>0</v>
      </c>
      <c r="I46" t="s">
        <v>931</v>
      </c>
    </row>
    <row r="47" spans="1:9" x14ac:dyDescent="0.2">
      <c r="A47" t="s">
        <v>578</v>
      </c>
      <c r="B47">
        <v>356270</v>
      </c>
      <c r="C47" s="80">
        <v>42724.634027777778</v>
      </c>
      <c r="D47" t="s">
        <v>603</v>
      </c>
      <c r="F47">
        <v>0</v>
      </c>
      <c r="G47">
        <v>0</v>
      </c>
      <c r="H47">
        <v>77.44</v>
      </c>
      <c r="I47" t="s">
        <v>932</v>
      </c>
    </row>
    <row r="48" spans="1:9" x14ac:dyDescent="0.2">
      <c r="A48" t="s">
        <v>578</v>
      </c>
      <c r="B48">
        <v>356270</v>
      </c>
      <c r="C48" s="80">
        <v>42724.634027777778</v>
      </c>
      <c r="D48" t="s">
        <v>604</v>
      </c>
      <c r="E48" t="s">
        <v>207</v>
      </c>
      <c r="F48">
        <v>107590</v>
      </c>
      <c r="G48">
        <v>5.58</v>
      </c>
      <c r="H48">
        <v>0</v>
      </c>
      <c r="I48" t="s">
        <v>933</v>
      </c>
    </row>
    <row r="49" spans="1:9" x14ac:dyDescent="0.2">
      <c r="A49" t="s">
        <v>578</v>
      </c>
      <c r="B49">
        <v>356270</v>
      </c>
      <c r="C49" s="80">
        <v>42724.634027777778</v>
      </c>
      <c r="D49" t="s">
        <v>605</v>
      </c>
      <c r="F49">
        <v>0</v>
      </c>
      <c r="G49">
        <v>0</v>
      </c>
      <c r="H49">
        <v>37.94</v>
      </c>
      <c r="I49" t="s">
        <v>932</v>
      </c>
    </row>
    <row r="50" spans="1:9" x14ac:dyDescent="0.2">
      <c r="A50" t="s">
        <v>578</v>
      </c>
      <c r="B50">
        <v>356270</v>
      </c>
      <c r="C50" s="80">
        <v>42724.634027777778</v>
      </c>
      <c r="D50" t="s">
        <v>604</v>
      </c>
      <c r="E50" t="s">
        <v>207</v>
      </c>
      <c r="F50">
        <v>107590</v>
      </c>
      <c r="G50">
        <v>2.74</v>
      </c>
      <c r="H50">
        <v>0</v>
      </c>
      <c r="I50" t="s">
        <v>933</v>
      </c>
    </row>
    <row r="51" spans="1:9" x14ac:dyDescent="0.2">
      <c r="A51" t="s">
        <v>578</v>
      </c>
      <c r="B51">
        <v>356321</v>
      </c>
      <c r="C51" s="80">
        <v>42724.637499999997</v>
      </c>
      <c r="D51" t="s">
        <v>606</v>
      </c>
      <c r="E51" t="s">
        <v>478</v>
      </c>
      <c r="F51">
        <v>92602</v>
      </c>
      <c r="G51">
        <v>67.06</v>
      </c>
      <c r="H51">
        <v>0</v>
      </c>
      <c r="I51" t="s">
        <v>934</v>
      </c>
    </row>
    <row r="52" spans="1:9" x14ac:dyDescent="0.2">
      <c r="A52" t="s">
        <v>578</v>
      </c>
      <c r="B52">
        <v>358820</v>
      </c>
      <c r="C52" s="80">
        <v>42735.510416666664</v>
      </c>
      <c r="D52" t="s">
        <v>603</v>
      </c>
      <c r="F52">
        <v>0</v>
      </c>
      <c r="G52">
        <v>0</v>
      </c>
      <c r="H52">
        <v>422.56</v>
      </c>
      <c r="I52" t="s">
        <v>932</v>
      </c>
    </row>
    <row r="53" spans="1:9" x14ac:dyDescent="0.2">
      <c r="A53" t="s">
        <v>578</v>
      </c>
      <c r="B53">
        <v>358820</v>
      </c>
      <c r="C53" s="80">
        <v>42735.510416666664</v>
      </c>
      <c r="D53" t="s">
        <v>604</v>
      </c>
      <c r="E53" t="s">
        <v>207</v>
      </c>
      <c r="F53">
        <v>108594</v>
      </c>
      <c r="G53">
        <v>30.42</v>
      </c>
      <c r="H53">
        <v>0</v>
      </c>
      <c r="I53" t="s">
        <v>933</v>
      </c>
    </row>
    <row r="54" spans="1:9" x14ac:dyDescent="0.2">
      <c r="A54" t="s">
        <v>578</v>
      </c>
      <c r="B54">
        <v>358837</v>
      </c>
      <c r="C54" s="80">
        <v>42735.537499999999</v>
      </c>
      <c r="D54" t="s">
        <v>606</v>
      </c>
      <c r="E54" t="s">
        <v>478</v>
      </c>
      <c r="F54">
        <v>93504</v>
      </c>
      <c r="G54">
        <v>392.14</v>
      </c>
      <c r="H54">
        <v>0</v>
      </c>
      <c r="I54" t="s">
        <v>934</v>
      </c>
    </row>
    <row r="55" spans="1:9" x14ac:dyDescent="0.2">
      <c r="A55" t="s">
        <v>490</v>
      </c>
      <c r="B55">
        <v>352291</v>
      </c>
      <c r="C55" s="80">
        <v>42710.647916666669</v>
      </c>
      <c r="D55" t="s">
        <v>607</v>
      </c>
      <c r="F55">
        <v>0</v>
      </c>
      <c r="G55">
        <v>0</v>
      </c>
      <c r="H55">
        <v>580</v>
      </c>
      <c r="I55" t="s">
        <v>932</v>
      </c>
    </row>
    <row r="56" spans="1:9" x14ac:dyDescent="0.2">
      <c r="A56" t="s">
        <v>490</v>
      </c>
      <c r="B56">
        <v>352291</v>
      </c>
      <c r="C56" s="80">
        <v>42710.647916666669</v>
      </c>
      <c r="D56" t="s">
        <v>491</v>
      </c>
      <c r="E56" t="s">
        <v>207</v>
      </c>
      <c r="F56">
        <v>106419</v>
      </c>
      <c r="G56">
        <v>41.76</v>
      </c>
      <c r="H56">
        <v>0</v>
      </c>
      <c r="I56" t="s">
        <v>933</v>
      </c>
    </row>
    <row r="57" spans="1:9" x14ac:dyDescent="0.2">
      <c r="A57" t="s">
        <v>490</v>
      </c>
      <c r="B57">
        <v>352595</v>
      </c>
      <c r="C57" s="80">
        <v>42711.676388888889</v>
      </c>
      <c r="D57" t="s">
        <v>608</v>
      </c>
      <c r="E57" t="s">
        <v>478</v>
      </c>
      <c r="F57">
        <v>91382</v>
      </c>
      <c r="G57">
        <v>538.24</v>
      </c>
      <c r="H57">
        <v>0</v>
      </c>
      <c r="I57" t="s">
        <v>934</v>
      </c>
    </row>
    <row r="58" spans="1:9" x14ac:dyDescent="0.2">
      <c r="A58" t="s">
        <v>492</v>
      </c>
      <c r="B58">
        <v>356261</v>
      </c>
      <c r="C58" s="80">
        <v>42724.634027777778</v>
      </c>
      <c r="D58" t="s">
        <v>609</v>
      </c>
      <c r="F58">
        <v>0</v>
      </c>
      <c r="G58">
        <v>0</v>
      </c>
      <c r="H58">
        <v>82.26</v>
      </c>
      <c r="I58" t="s">
        <v>932</v>
      </c>
    </row>
    <row r="59" spans="1:9" x14ac:dyDescent="0.2">
      <c r="A59" t="s">
        <v>492</v>
      </c>
      <c r="B59">
        <v>356261</v>
      </c>
      <c r="C59" s="80">
        <v>42724.634027777778</v>
      </c>
      <c r="D59" t="s">
        <v>493</v>
      </c>
      <c r="E59" t="s">
        <v>207</v>
      </c>
      <c r="F59">
        <v>107581</v>
      </c>
      <c r="G59">
        <v>5.93</v>
      </c>
      <c r="H59">
        <v>0</v>
      </c>
      <c r="I59" t="s">
        <v>933</v>
      </c>
    </row>
    <row r="60" spans="1:9" x14ac:dyDescent="0.2">
      <c r="A60" t="s">
        <v>492</v>
      </c>
      <c r="B60">
        <v>356261</v>
      </c>
      <c r="C60" s="80">
        <v>42724.634027777778</v>
      </c>
      <c r="D60" t="s">
        <v>610</v>
      </c>
      <c r="F60">
        <v>0</v>
      </c>
      <c r="G60">
        <v>0</v>
      </c>
      <c r="H60">
        <v>379.26</v>
      </c>
      <c r="I60" t="s">
        <v>932</v>
      </c>
    </row>
    <row r="61" spans="1:9" x14ac:dyDescent="0.2">
      <c r="A61" t="s">
        <v>492</v>
      </c>
      <c r="B61">
        <v>356261</v>
      </c>
      <c r="C61" s="80">
        <v>42724.634027777778</v>
      </c>
      <c r="D61" t="s">
        <v>493</v>
      </c>
      <c r="E61" t="s">
        <v>207</v>
      </c>
      <c r="F61">
        <v>107581</v>
      </c>
      <c r="G61">
        <v>27.31</v>
      </c>
      <c r="H61">
        <v>0</v>
      </c>
      <c r="I61" t="s">
        <v>933</v>
      </c>
    </row>
    <row r="62" spans="1:9" x14ac:dyDescent="0.2">
      <c r="A62" t="s">
        <v>492</v>
      </c>
      <c r="B62">
        <v>356321</v>
      </c>
      <c r="C62" s="80">
        <v>42724.637499999997</v>
      </c>
      <c r="D62" t="s">
        <v>611</v>
      </c>
      <c r="E62" t="s">
        <v>478</v>
      </c>
      <c r="F62">
        <v>92593</v>
      </c>
      <c r="G62">
        <v>428.28</v>
      </c>
      <c r="H62">
        <v>0</v>
      </c>
      <c r="I62" t="s">
        <v>934</v>
      </c>
    </row>
    <row r="63" spans="1:9" x14ac:dyDescent="0.2">
      <c r="A63" t="s">
        <v>494</v>
      </c>
      <c r="B63">
        <v>353660</v>
      </c>
      <c r="C63" s="80">
        <v>42716.631249999999</v>
      </c>
      <c r="D63" t="s">
        <v>612</v>
      </c>
      <c r="F63">
        <v>0</v>
      </c>
      <c r="G63">
        <v>0</v>
      </c>
      <c r="H63">
        <v>345.36</v>
      </c>
      <c r="I63" t="s">
        <v>932</v>
      </c>
    </row>
    <row r="64" spans="1:9" x14ac:dyDescent="0.2">
      <c r="A64" t="s">
        <v>494</v>
      </c>
      <c r="B64">
        <v>353660</v>
      </c>
      <c r="C64" s="80">
        <v>42716.631249999999</v>
      </c>
      <c r="D64" t="s">
        <v>495</v>
      </c>
      <c r="E64" t="s">
        <v>207</v>
      </c>
      <c r="F64">
        <v>106794</v>
      </c>
      <c r="G64">
        <v>24.86</v>
      </c>
      <c r="H64">
        <v>0</v>
      </c>
      <c r="I64" t="s">
        <v>933</v>
      </c>
    </row>
    <row r="65" spans="1:9" x14ac:dyDescent="0.2">
      <c r="A65" t="s">
        <v>494</v>
      </c>
      <c r="B65">
        <v>353670</v>
      </c>
      <c r="C65" s="80">
        <v>42716.636111111111</v>
      </c>
      <c r="D65" t="s">
        <v>496</v>
      </c>
      <c r="E65" t="s">
        <v>478</v>
      </c>
      <c r="F65">
        <v>91805</v>
      </c>
      <c r="G65">
        <v>320.5</v>
      </c>
      <c r="H65">
        <v>0</v>
      </c>
      <c r="I65" t="s">
        <v>934</v>
      </c>
    </row>
    <row r="66" spans="1:9" x14ac:dyDescent="0.2">
      <c r="A66" t="s">
        <v>494</v>
      </c>
      <c r="B66">
        <v>356271</v>
      </c>
      <c r="C66" s="80">
        <v>42724.634027777778</v>
      </c>
      <c r="D66" t="s">
        <v>612</v>
      </c>
      <c r="F66">
        <v>0</v>
      </c>
      <c r="G66">
        <v>0</v>
      </c>
      <c r="H66">
        <v>154.63999999999999</v>
      </c>
      <c r="I66" t="s">
        <v>932</v>
      </c>
    </row>
    <row r="67" spans="1:9" x14ac:dyDescent="0.2">
      <c r="A67" t="s">
        <v>494</v>
      </c>
      <c r="B67">
        <v>356271</v>
      </c>
      <c r="C67" s="80">
        <v>42724.634027777778</v>
      </c>
      <c r="D67" t="s">
        <v>495</v>
      </c>
      <c r="E67" t="s">
        <v>207</v>
      </c>
      <c r="F67">
        <v>107591</v>
      </c>
      <c r="G67">
        <v>11.14</v>
      </c>
      <c r="H67">
        <v>0</v>
      </c>
      <c r="I67" t="s">
        <v>933</v>
      </c>
    </row>
    <row r="68" spans="1:9" x14ac:dyDescent="0.2">
      <c r="A68" t="s">
        <v>494</v>
      </c>
      <c r="B68">
        <v>356321</v>
      </c>
      <c r="C68" s="80">
        <v>42724.637499999997</v>
      </c>
      <c r="D68" t="s">
        <v>496</v>
      </c>
      <c r="E68" t="s">
        <v>478</v>
      </c>
      <c r="F68">
        <v>92603</v>
      </c>
      <c r="G68">
        <v>143.5</v>
      </c>
      <c r="H68">
        <v>0</v>
      </c>
      <c r="I68" t="s">
        <v>934</v>
      </c>
    </row>
    <row r="69" spans="1:9" x14ac:dyDescent="0.2">
      <c r="A69" t="s">
        <v>497</v>
      </c>
      <c r="B69">
        <v>350099</v>
      </c>
      <c r="C69" s="80">
        <v>42704.863888888889</v>
      </c>
      <c r="D69" t="s">
        <v>698</v>
      </c>
      <c r="E69" t="s">
        <v>483</v>
      </c>
      <c r="F69">
        <v>1972</v>
      </c>
      <c r="G69">
        <v>174</v>
      </c>
      <c r="H69">
        <v>0</v>
      </c>
      <c r="I69" t="s">
        <v>931</v>
      </c>
    </row>
    <row r="70" spans="1:9" x14ac:dyDescent="0.2">
      <c r="A70" s="62" t="s">
        <v>497</v>
      </c>
      <c r="B70" s="62">
        <v>351101</v>
      </c>
      <c r="C70" s="141">
        <v>42709.497916666667</v>
      </c>
      <c r="D70" s="62" t="s">
        <v>613</v>
      </c>
      <c r="E70" s="62" t="s">
        <v>483</v>
      </c>
      <c r="F70" s="62">
        <v>1991</v>
      </c>
      <c r="G70" s="62">
        <v>102</v>
      </c>
      <c r="H70">
        <v>0</v>
      </c>
      <c r="I70" t="s">
        <v>931</v>
      </c>
    </row>
    <row r="71" spans="1:9" x14ac:dyDescent="0.2">
      <c r="A71" t="s">
        <v>497</v>
      </c>
      <c r="B71">
        <v>354915</v>
      </c>
      <c r="C71" s="80">
        <v>42719.636805555558</v>
      </c>
      <c r="D71" t="s">
        <v>614</v>
      </c>
      <c r="F71">
        <v>0</v>
      </c>
      <c r="G71">
        <v>0</v>
      </c>
      <c r="H71">
        <v>116.42</v>
      </c>
      <c r="I71" t="s">
        <v>932</v>
      </c>
    </row>
    <row r="72" spans="1:9" x14ac:dyDescent="0.2">
      <c r="A72" t="s">
        <v>497</v>
      </c>
      <c r="B72">
        <v>354915</v>
      </c>
      <c r="C72" s="80">
        <v>42719.636805555558</v>
      </c>
      <c r="D72" t="s">
        <v>498</v>
      </c>
      <c r="E72" t="s">
        <v>207</v>
      </c>
      <c r="F72">
        <v>107139</v>
      </c>
      <c r="G72">
        <v>8.39</v>
      </c>
      <c r="H72">
        <v>0</v>
      </c>
      <c r="I72" t="s">
        <v>933</v>
      </c>
    </row>
    <row r="73" spans="1:9" x14ac:dyDescent="0.2">
      <c r="A73" t="s">
        <v>497</v>
      </c>
      <c r="B73">
        <v>356259</v>
      </c>
      <c r="C73" s="80">
        <v>42724.634027777778</v>
      </c>
      <c r="D73" t="s">
        <v>614</v>
      </c>
      <c r="F73">
        <v>0</v>
      </c>
      <c r="G73">
        <v>0</v>
      </c>
      <c r="H73">
        <v>388.58</v>
      </c>
      <c r="I73" t="s">
        <v>932</v>
      </c>
    </row>
    <row r="74" spans="1:9" x14ac:dyDescent="0.2">
      <c r="A74" t="s">
        <v>497</v>
      </c>
      <c r="B74">
        <v>356259</v>
      </c>
      <c r="C74" s="80">
        <v>42724.634027777778</v>
      </c>
      <c r="D74" t="s">
        <v>498</v>
      </c>
      <c r="E74" t="s">
        <v>207</v>
      </c>
      <c r="F74">
        <v>107579</v>
      </c>
      <c r="G74">
        <v>27.97</v>
      </c>
      <c r="H74">
        <v>0</v>
      </c>
      <c r="I74" t="s">
        <v>933</v>
      </c>
    </row>
    <row r="75" spans="1:9" x14ac:dyDescent="0.2">
      <c r="A75" t="s">
        <v>497</v>
      </c>
      <c r="B75">
        <v>356321</v>
      </c>
      <c r="C75" s="80">
        <v>42724.637499999997</v>
      </c>
      <c r="D75" t="s">
        <v>615</v>
      </c>
      <c r="E75" t="s">
        <v>478</v>
      </c>
      <c r="F75">
        <v>92591</v>
      </c>
      <c r="G75">
        <v>192.64</v>
      </c>
      <c r="H75">
        <v>0</v>
      </c>
      <c r="I75" t="s">
        <v>934</v>
      </c>
    </row>
    <row r="76" spans="1:9" x14ac:dyDescent="0.2">
      <c r="A76" t="s">
        <v>499</v>
      </c>
      <c r="B76">
        <v>350109</v>
      </c>
      <c r="C76" s="80">
        <v>42704.868750000001</v>
      </c>
      <c r="D76" t="s">
        <v>699</v>
      </c>
      <c r="E76" t="s">
        <v>483</v>
      </c>
      <c r="F76">
        <v>1963</v>
      </c>
      <c r="G76">
        <v>114</v>
      </c>
      <c r="H76">
        <v>0</v>
      </c>
      <c r="I76" t="s">
        <v>931</v>
      </c>
    </row>
    <row r="77" spans="1:9" x14ac:dyDescent="0.2">
      <c r="A77" t="s">
        <v>499</v>
      </c>
      <c r="B77">
        <v>355764</v>
      </c>
      <c r="C77" s="80">
        <v>42723.67291666667</v>
      </c>
      <c r="D77" t="s">
        <v>616</v>
      </c>
      <c r="E77" t="s">
        <v>483</v>
      </c>
      <c r="F77">
        <v>2008</v>
      </c>
      <c r="G77">
        <v>66</v>
      </c>
      <c r="H77">
        <v>0</v>
      </c>
      <c r="I77" t="s">
        <v>931</v>
      </c>
    </row>
    <row r="78" spans="1:9" x14ac:dyDescent="0.2">
      <c r="A78" t="s">
        <v>499</v>
      </c>
      <c r="B78">
        <v>356269</v>
      </c>
      <c r="C78" s="80">
        <v>42724.634027777778</v>
      </c>
      <c r="D78" t="s">
        <v>617</v>
      </c>
      <c r="F78">
        <v>0</v>
      </c>
      <c r="G78">
        <v>0</v>
      </c>
      <c r="H78">
        <v>68.81</v>
      </c>
      <c r="I78" t="s">
        <v>932</v>
      </c>
    </row>
    <row r="79" spans="1:9" x14ac:dyDescent="0.2">
      <c r="A79" t="s">
        <v>499</v>
      </c>
      <c r="B79">
        <v>356269</v>
      </c>
      <c r="C79" s="80">
        <v>42724.634027777778</v>
      </c>
      <c r="D79" t="s">
        <v>500</v>
      </c>
      <c r="E79" t="s">
        <v>207</v>
      </c>
      <c r="F79">
        <v>107589</v>
      </c>
      <c r="G79">
        <v>4.96</v>
      </c>
      <c r="H79">
        <v>0</v>
      </c>
      <c r="I79" t="s">
        <v>933</v>
      </c>
    </row>
    <row r="80" spans="1:9" x14ac:dyDescent="0.2">
      <c r="A80" t="s">
        <v>499</v>
      </c>
      <c r="B80">
        <v>356269</v>
      </c>
      <c r="C80" s="80">
        <v>42724.634027777778</v>
      </c>
      <c r="D80" t="s">
        <v>618</v>
      </c>
      <c r="F80">
        <v>0</v>
      </c>
      <c r="G80">
        <v>0</v>
      </c>
      <c r="H80">
        <v>346.59</v>
      </c>
      <c r="I80" t="s">
        <v>932</v>
      </c>
    </row>
    <row r="81" spans="1:9" x14ac:dyDescent="0.2">
      <c r="A81" t="s">
        <v>499</v>
      </c>
      <c r="B81">
        <v>356269</v>
      </c>
      <c r="C81" s="80">
        <v>42724.634027777778</v>
      </c>
      <c r="D81" t="s">
        <v>500</v>
      </c>
      <c r="E81" t="s">
        <v>207</v>
      </c>
      <c r="F81">
        <v>107589</v>
      </c>
      <c r="G81">
        <v>24.96</v>
      </c>
      <c r="H81">
        <v>0</v>
      </c>
      <c r="I81" t="s">
        <v>933</v>
      </c>
    </row>
    <row r="82" spans="1:9" x14ac:dyDescent="0.2">
      <c r="A82" t="s">
        <v>499</v>
      </c>
      <c r="B82">
        <v>356321</v>
      </c>
      <c r="C82" s="80">
        <v>42724.637499999997</v>
      </c>
      <c r="D82" t="s">
        <v>619</v>
      </c>
      <c r="E82" t="s">
        <v>478</v>
      </c>
      <c r="F82">
        <v>92601</v>
      </c>
      <c r="G82">
        <v>205.48</v>
      </c>
      <c r="H82">
        <v>0</v>
      </c>
      <c r="I82" t="s">
        <v>934</v>
      </c>
    </row>
    <row r="83" spans="1:9" x14ac:dyDescent="0.2">
      <c r="A83" t="s">
        <v>499</v>
      </c>
      <c r="B83">
        <v>358819</v>
      </c>
      <c r="C83" s="80">
        <v>42735.510416666664</v>
      </c>
      <c r="D83" t="s">
        <v>617</v>
      </c>
      <c r="F83">
        <v>0</v>
      </c>
      <c r="G83">
        <v>0</v>
      </c>
      <c r="H83">
        <v>381.39</v>
      </c>
      <c r="I83" t="s">
        <v>932</v>
      </c>
    </row>
    <row r="84" spans="1:9" x14ac:dyDescent="0.2">
      <c r="A84" t="s">
        <v>499</v>
      </c>
      <c r="B84">
        <v>358819</v>
      </c>
      <c r="C84" s="80">
        <v>42735.510416666664</v>
      </c>
      <c r="D84" t="s">
        <v>500</v>
      </c>
      <c r="E84" t="s">
        <v>207</v>
      </c>
      <c r="F84">
        <v>108593</v>
      </c>
      <c r="G84">
        <v>27.46</v>
      </c>
      <c r="H84">
        <v>0</v>
      </c>
      <c r="I84" t="s">
        <v>933</v>
      </c>
    </row>
    <row r="85" spans="1:9" x14ac:dyDescent="0.2">
      <c r="A85" t="s">
        <v>499</v>
      </c>
      <c r="B85">
        <v>358837</v>
      </c>
      <c r="C85" s="80">
        <v>42735.537499999999</v>
      </c>
      <c r="D85" t="s">
        <v>619</v>
      </c>
      <c r="E85" t="s">
        <v>478</v>
      </c>
      <c r="F85">
        <v>93503</v>
      </c>
      <c r="G85">
        <v>353.93</v>
      </c>
      <c r="H85">
        <v>0</v>
      </c>
      <c r="I85" t="s">
        <v>934</v>
      </c>
    </row>
    <row r="86" spans="1:9" x14ac:dyDescent="0.2">
      <c r="A86" t="s">
        <v>501</v>
      </c>
      <c r="B86">
        <v>356277</v>
      </c>
      <c r="C86" s="80">
        <v>42724.634027777778</v>
      </c>
      <c r="D86" t="s">
        <v>620</v>
      </c>
      <c r="F86">
        <v>0</v>
      </c>
      <c r="G86">
        <v>0</v>
      </c>
      <c r="H86">
        <v>393.4</v>
      </c>
      <c r="I86" t="s">
        <v>932</v>
      </c>
    </row>
    <row r="87" spans="1:9" x14ac:dyDescent="0.2">
      <c r="A87" t="s">
        <v>501</v>
      </c>
      <c r="B87">
        <v>356277</v>
      </c>
      <c r="C87" s="80">
        <v>42724.634027777778</v>
      </c>
      <c r="D87" t="s">
        <v>502</v>
      </c>
      <c r="E87" t="s">
        <v>207</v>
      </c>
      <c r="F87">
        <v>107597</v>
      </c>
      <c r="G87">
        <v>28.32</v>
      </c>
      <c r="H87">
        <v>0</v>
      </c>
      <c r="I87" t="s">
        <v>933</v>
      </c>
    </row>
    <row r="88" spans="1:9" x14ac:dyDescent="0.2">
      <c r="A88" t="s">
        <v>501</v>
      </c>
      <c r="B88">
        <v>356321</v>
      </c>
      <c r="C88" s="80">
        <v>42724.637499999997</v>
      </c>
      <c r="D88" t="s">
        <v>621</v>
      </c>
      <c r="E88" t="s">
        <v>478</v>
      </c>
      <c r="F88">
        <v>92609</v>
      </c>
      <c r="G88">
        <v>365.08</v>
      </c>
      <c r="H88">
        <v>0</v>
      </c>
      <c r="I88" t="s">
        <v>934</v>
      </c>
    </row>
    <row r="89" spans="1:9" x14ac:dyDescent="0.2">
      <c r="A89" t="s">
        <v>503</v>
      </c>
      <c r="B89">
        <v>354656</v>
      </c>
      <c r="C89" s="80">
        <v>42718.668749999997</v>
      </c>
      <c r="D89" t="s">
        <v>622</v>
      </c>
      <c r="F89">
        <v>0</v>
      </c>
      <c r="G89">
        <v>0</v>
      </c>
      <c r="H89">
        <v>350</v>
      </c>
      <c r="I89" t="s">
        <v>932</v>
      </c>
    </row>
    <row r="90" spans="1:9" x14ac:dyDescent="0.2">
      <c r="A90" t="s">
        <v>503</v>
      </c>
      <c r="B90">
        <v>354656</v>
      </c>
      <c r="C90" s="80">
        <v>42718.668749999997</v>
      </c>
      <c r="D90" t="s">
        <v>504</v>
      </c>
      <c r="E90" t="s">
        <v>207</v>
      </c>
      <c r="F90">
        <v>107037</v>
      </c>
      <c r="G90">
        <v>25.2</v>
      </c>
      <c r="H90">
        <v>0</v>
      </c>
      <c r="I90" t="s">
        <v>933</v>
      </c>
    </row>
    <row r="91" spans="1:9" x14ac:dyDescent="0.2">
      <c r="A91" t="s">
        <v>503</v>
      </c>
      <c r="B91">
        <v>354658</v>
      </c>
      <c r="C91" s="80">
        <v>42718.672222222223</v>
      </c>
      <c r="D91" t="s">
        <v>623</v>
      </c>
      <c r="E91" t="s">
        <v>478</v>
      </c>
      <c r="F91">
        <v>92155</v>
      </c>
      <c r="G91">
        <v>324.8</v>
      </c>
      <c r="H91">
        <v>0</v>
      </c>
      <c r="I91" t="s">
        <v>934</v>
      </c>
    </row>
    <row r="92" spans="1:9" x14ac:dyDescent="0.2">
      <c r="A92" t="s">
        <v>505</v>
      </c>
      <c r="B92">
        <v>350112</v>
      </c>
      <c r="C92" s="80">
        <v>42704.870138888888</v>
      </c>
      <c r="D92" t="s">
        <v>700</v>
      </c>
      <c r="E92" t="s">
        <v>483</v>
      </c>
      <c r="F92">
        <v>1956</v>
      </c>
      <c r="G92">
        <v>210</v>
      </c>
      <c r="H92">
        <v>0</v>
      </c>
      <c r="I92" t="s">
        <v>931</v>
      </c>
    </row>
    <row r="93" spans="1:9" x14ac:dyDescent="0.2">
      <c r="A93" t="s">
        <v>505</v>
      </c>
      <c r="B93">
        <v>351694</v>
      </c>
      <c r="C93" s="80">
        <v>42709.67083333333</v>
      </c>
      <c r="D93" t="s">
        <v>624</v>
      </c>
      <c r="F93">
        <v>0</v>
      </c>
      <c r="G93">
        <v>0</v>
      </c>
      <c r="H93">
        <v>520</v>
      </c>
      <c r="I93" t="s">
        <v>932</v>
      </c>
    </row>
    <row r="94" spans="1:9" x14ac:dyDescent="0.2">
      <c r="A94" t="s">
        <v>505</v>
      </c>
      <c r="B94">
        <v>351694</v>
      </c>
      <c r="C94" s="80">
        <v>42709.67083333333</v>
      </c>
      <c r="D94" t="s">
        <v>506</v>
      </c>
      <c r="E94" t="s">
        <v>207</v>
      </c>
      <c r="F94">
        <v>106108</v>
      </c>
      <c r="G94">
        <v>37.44</v>
      </c>
      <c r="H94">
        <v>0</v>
      </c>
      <c r="I94" t="s">
        <v>933</v>
      </c>
    </row>
    <row r="95" spans="1:9" x14ac:dyDescent="0.2">
      <c r="A95" t="s">
        <v>505</v>
      </c>
      <c r="B95">
        <v>351890</v>
      </c>
      <c r="C95" s="80">
        <v>42709.67291666667</v>
      </c>
      <c r="D95" t="s">
        <v>625</v>
      </c>
      <c r="E95" t="s">
        <v>478</v>
      </c>
      <c r="F95">
        <v>91059</v>
      </c>
      <c r="G95">
        <v>272.56</v>
      </c>
      <c r="H95">
        <v>0</v>
      </c>
      <c r="I95" t="s">
        <v>934</v>
      </c>
    </row>
    <row r="96" spans="1:9" x14ac:dyDescent="0.2">
      <c r="A96" t="s">
        <v>507</v>
      </c>
      <c r="B96">
        <v>350105</v>
      </c>
      <c r="C96" s="80">
        <v>42704.866666666669</v>
      </c>
      <c r="D96" t="s">
        <v>701</v>
      </c>
      <c r="E96" t="s">
        <v>483</v>
      </c>
      <c r="F96">
        <v>1970</v>
      </c>
      <c r="G96">
        <v>223.2</v>
      </c>
      <c r="H96">
        <v>0</v>
      </c>
      <c r="I96" t="s">
        <v>931</v>
      </c>
    </row>
    <row r="97" spans="1:9" x14ac:dyDescent="0.2">
      <c r="A97" t="s">
        <v>507</v>
      </c>
      <c r="B97">
        <v>352150</v>
      </c>
      <c r="C97" s="80">
        <v>42710.556250000001</v>
      </c>
      <c r="D97" t="s">
        <v>626</v>
      </c>
      <c r="E97" t="s">
        <v>483</v>
      </c>
      <c r="F97">
        <v>6122016</v>
      </c>
      <c r="G97">
        <v>120</v>
      </c>
      <c r="H97">
        <v>0</v>
      </c>
      <c r="I97" t="s">
        <v>931</v>
      </c>
    </row>
    <row r="98" spans="1:9" x14ac:dyDescent="0.2">
      <c r="A98" t="s">
        <v>507</v>
      </c>
      <c r="B98">
        <v>354855</v>
      </c>
      <c r="C98" s="80">
        <v>42719.636805555558</v>
      </c>
      <c r="D98" t="s">
        <v>627</v>
      </c>
      <c r="F98">
        <v>0</v>
      </c>
      <c r="G98">
        <v>0</v>
      </c>
      <c r="H98">
        <v>349.52</v>
      </c>
      <c r="I98" t="s">
        <v>932</v>
      </c>
    </row>
    <row r="99" spans="1:9" x14ac:dyDescent="0.2">
      <c r="A99" t="s">
        <v>507</v>
      </c>
      <c r="B99">
        <v>354855</v>
      </c>
      <c r="C99" s="80">
        <v>42719.636805555558</v>
      </c>
      <c r="D99" t="s">
        <v>508</v>
      </c>
      <c r="E99" t="s">
        <v>207</v>
      </c>
      <c r="F99">
        <v>107087</v>
      </c>
      <c r="G99">
        <v>25.16</v>
      </c>
      <c r="H99">
        <v>0</v>
      </c>
      <c r="I99" t="s">
        <v>933</v>
      </c>
    </row>
    <row r="100" spans="1:9" x14ac:dyDescent="0.2">
      <c r="A100" t="s">
        <v>507</v>
      </c>
      <c r="B100">
        <v>355225</v>
      </c>
      <c r="C100" s="80">
        <v>42720.620138888888</v>
      </c>
      <c r="D100" t="s">
        <v>628</v>
      </c>
      <c r="F100">
        <v>0</v>
      </c>
      <c r="G100">
        <v>0</v>
      </c>
      <c r="H100">
        <v>223.2</v>
      </c>
      <c r="I100" t="s">
        <v>931</v>
      </c>
    </row>
    <row r="101" spans="1:9" x14ac:dyDescent="0.2">
      <c r="A101" t="s">
        <v>507</v>
      </c>
      <c r="B101">
        <v>355226</v>
      </c>
      <c r="C101" s="80">
        <v>42720.620138888888</v>
      </c>
      <c r="D101" t="s">
        <v>629</v>
      </c>
      <c r="E101" t="s">
        <v>483</v>
      </c>
      <c r="F101">
        <v>1970</v>
      </c>
      <c r="G101">
        <v>186</v>
      </c>
      <c r="H101">
        <v>0</v>
      </c>
      <c r="I101" t="s">
        <v>931</v>
      </c>
    </row>
    <row r="102" spans="1:9" x14ac:dyDescent="0.2">
      <c r="A102" t="s">
        <v>507</v>
      </c>
      <c r="B102">
        <v>356129</v>
      </c>
      <c r="C102" s="80">
        <v>42724.634027777778</v>
      </c>
      <c r="D102" t="s">
        <v>627</v>
      </c>
      <c r="F102">
        <v>0</v>
      </c>
      <c r="G102">
        <v>0</v>
      </c>
      <c r="H102">
        <v>275.48</v>
      </c>
      <c r="I102" t="s">
        <v>932</v>
      </c>
    </row>
    <row r="103" spans="1:9" x14ac:dyDescent="0.2">
      <c r="A103" t="s">
        <v>507</v>
      </c>
      <c r="B103">
        <v>356129</v>
      </c>
      <c r="C103" s="80">
        <v>42724.634027777778</v>
      </c>
      <c r="D103" t="s">
        <v>508</v>
      </c>
      <c r="E103" t="s">
        <v>207</v>
      </c>
      <c r="F103">
        <v>107452</v>
      </c>
      <c r="G103">
        <v>19.84</v>
      </c>
      <c r="H103">
        <v>0</v>
      </c>
      <c r="I103" t="s">
        <v>933</v>
      </c>
    </row>
    <row r="104" spans="1:9" x14ac:dyDescent="0.2">
      <c r="A104" t="s">
        <v>507</v>
      </c>
      <c r="B104">
        <v>356321</v>
      </c>
      <c r="C104" s="80">
        <v>42724.637499999997</v>
      </c>
      <c r="D104" t="s">
        <v>509</v>
      </c>
      <c r="E104" t="s">
        <v>478</v>
      </c>
      <c r="F104">
        <v>92461</v>
      </c>
      <c r="G104">
        <v>274</v>
      </c>
      <c r="H104">
        <v>0</v>
      </c>
      <c r="I104" t="s">
        <v>934</v>
      </c>
    </row>
    <row r="105" spans="1:9" x14ac:dyDescent="0.2">
      <c r="A105" t="s">
        <v>510</v>
      </c>
      <c r="B105">
        <v>351159</v>
      </c>
      <c r="C105" s="80">
        <v>42709.521527777775</v>
      </c>
      <c r="D105" t="s">
        <v>630</v>
      </c>
      <c r="E105" t="s">
        <v>483</v>
      </c>
      <c r="F105">
        <v>209877</v>
      </c>
      <c r="G105">
        <v>113.17</v>
      </c>
      <c r="H105">
        <v>0</v>
      </c>
      <c r="I105" t="s">
        <v>931</v>
      </c>
    </row>
    <row r="106" spans="1:9" x14ac:dyDescent="0.2">
      <c r="A106" s="62" t="s">
        <v>510</v>
      </c>
      <c r="B106" s="62">
        <v>354154</v>
      </c>
      <c r="C106" s="141">
        <v>42717.474999999999</v>
      </c>
      <c r="D106" s="62" t="s">
        <v>631</v>
      </c>
      <c r="E106" s="62" t="s">
        <v>483</v>
      </c>
      <c r="F106" s="62">
        <v>903209</v>
      </c>
      <c r="G106" s="62">
        <v>36</v>
      </c>
      <c r="H106">
        <v>0</v>
      </c>
      <c r="I106" t="s">
        <v>931</v>
      </c>
    </row>
    <row r="107" spans="1:9" x14ac:dyDescent="0.2">
      <c r="A107" t="s">
        <v>510</v>
      </c>
      <c r="B107">
        <v>354865</v>
      </c>
      <c r="C107" s="80">
        <v>42719.636805555558</v>
      </c>
      <c r="D107" t="s">
        <v>632</v>
      </c>
      <c r="F107">
        <v>0</v>
      </c>
      <c r="G107">
        <v>0</v>
      </c>
      <c r="H107">
        <v>660</v>
      </c>
      <c r="I107" t="s">
        <v>932</v>
      </c>
    </row>
    <row r="108" spans="1:9" x14ac:dyDescent="0.2">
      <c r="A108" t="s">
        <v>510</v>
      </c>
      <c r="B108">
        <v>354865</v>
      </c>
      <c r="C108" s="80">
        <v>42719.636805555558</v>
      </c>
      <c r="D108" t="s">
        <v>511</v>
      </c>
      <c r="E108" t="s">
        <v>207</v>
      </c>
      <c r="F108">
        <v>107096</v>
      </c>
      <c r="G108">
        <v>47.52</v>
      </c>
      <c r="H108">
        <v>0</v>
      </c>
      <c r="I108" t="s">
        <v>933</v>
      </c>
    </row>
    <row r="109" spans="1:9" x14ac:dyDescent="0.2">
      <c r="A109" t="s">
        <v>510</v>
      </c>
      <c r="B109">
        <v>354931</v>
      </c>
      <c r="C109" s="80">
        <v>42719.642361111109</v>
      </c>
      <c r="D109" t="s">
        <v>633</v>
      </c>
      <c r="E109" t="s">
        <v>478</v>
      </c>
      <c r="F109">
        <v>92196</v>
      </c>
      <c r="G109">
        <v>463.31</v>
      </c>
      <c r="H109">
        <v>0</v>
      </c>
      <c r="I109" t="s">
        <v>934</v>
      </c>
    </row>
    <row r="110" spans="1:9" x14ac:dyDescent="0.2">
      <c r="A110" t="s">
        <v>512</v>
      </c>
      <c r="B110">
        <v>354623</v>
      </c>
      <c r="C110" s="80">
        <v>42718.668749999997</v>
      </c>
      <c r="D110" t="s">
        <v>634</v>
      </c>
      <c r="F110">
        <v>0</v>
      </c>
      <c r="G110">
        <v>0</v>
      </c>
      <c r="H110">
        <v>660</v>
      </c>
      <c r="I110" t="s">
        <v>932</v>
      </c>
    </row>
    <row r="111" spans="1:9" x14ac:dyDescent="0.2">
      <c r="A111" t="s">
        <v>512</v>
      </c>
      <c r="B111">
        <v>354623</v>
      </c>
      <c r="C111" s="80">
        <v>42718.668749999997</v>
      </c>
      <c r="D111" t="s">
        <v>513</v>
      </c>
      <c r="E111" t="s">
        <v>207</v>
      </c>
      <c r="F111">
        <v>107009</v>
      </c>
      <c r="G111">
        <v>47.52</v>
      </c>
      <c r="H111">
        <v>0</v>
      </c>
      <c r="I111" t="s">
        <v>933</v>
      </c>
    </row>
    <row r="112" spans="1:9" x14ac:dyDescent="0.2">
      <c r="A112" t="s">
        <v>512</v>
      </c>
      <c r="B112">
        <v>354658</v>
      </c>
      <c r="C112" s="80">
        <v>42718.672222222223</v>
      </c>
      <c r="D112" t="s">
        <v>514</v>
      </c>
      <c r="E112" t="s">
        <v>478</v>
      </c>
      <c r="F112">
        <v>92122</v>
      </c>
      <c r="G112">
        <v>612.48</v>
      </c>
      <c r="H112">
        <v>0</v>
      </c>
      <c r="I112" t="s">
        <v>934</v>
      </c>
    </row>
    <row r="113" spans="1:9" x14ac:dyDescent="0.2">
      <c r="A113" t="s">
        <v>515</v>
      </c>
      <c r="B113">
        <v>350098</v>
      </c>
      <c r="C113" s="80">
        <v>42704.863194444442</v>
      </c>
      <c r="D113" t="s">
        <v>702</v>
      </c>
      <c r="E113" t="s">
        <v>483</v>
      </c>
      <c r="F113">
        <v>1980</v>
      </c>
      <c r="G113">
        <v>84</v>
      </c>
      <c r="H113">
        <v>0</v>
      </c>
      <c r="I113" t="s">
        <v>931</v>
      </c>
    </row>
    <row r="114" spans="1:9" x14ac:dyDescent="0.2">
      <c r="A114" t="s">
        <v>515</v>
      </c>
      <c r="B114">
        <v>354921</v>
      </c>
      <c r="C114" s="80">
        <v>42719.636805555558</v>
      </c>
      <c r="D114" t="s">
        <v>635</v>
      </c>
      <c r="F114">
        <v>0</v>
      </c>
      <c r="G114">
        <v>0</v>
      </c>
      <c r="H114">
        <v>127.59</v>
      </c>
      <c r="I114" t="s">
        <v>932</v>
      </c>
    </row>
    <row r="115" spans="1:9" x14ac:dyDescent="0.2">
      <c r="A115" t="s">
        <v>515</v>
      </c>
      <c r="B115">
        <v>354921</v>
      </c>
      <c r="C115" s="80">
        <v>42719.636805555558</v>
      </c>
      <c r="D115" t="s">
        <v>516</v>
      </c>
      <c r="E115" t="s">
        <v>207</v>
      </c>
      <c r="F115">
        <v>107144</v>
      </c>
      <c r="G115">
        <v>9.19</v>
      </c>
      <c r="H115">
        <v>0</v>
      </c>
      <c r="I115" t="s">
        <v>933</v>
      </c>
    </row>
    <row r="116" spans="1:9" x14ac:dyDescent="0.2">
      <c r="A116" t="s">
        <v>515</v>
      </c>
      <c r="B116">
        <v>354931</v>
      </c>
      <c r="C116" s="80">
        <v>42719.642361111109</v>
      </c>
      <c r="D116" t="s">
        <v>636</v>
      </c>
      <c r="E116" t="s">
        <v>478</v>
      </c>
      <c r="F116">
        <v>92252</v>
      </c>
      <c r="G116">
        <v>34.4</v>
      </c>
      <c r="H116">
        <v>0</v>
      </c>
      <c r="I116" t="s">
        <v>934</v>
      </c>
    </row>
    <row r="117" spans="1:9" x14ac:dyDescent="0.2">
      <c r="A117" t="s">
        <v>515</v>
      </c>
      <c r="B117">
        <v>356278</v>
      </c>
      <c r="C117" s="80">
        <v>42724.634027777778</v>
      </c>
      <c r="D117" t="s">
        <v>635</v>
      </c>
      <c r="F117">
        <v>0</v>
      </c>
      <c r="G117">
        <v>0</v>
      </c>
      <c r="H117">
        <v>377.41</v>
      </c>
      <c r="I117" t="s">
        <v>932</v>
      </c>
    </row>
    <row r="118" spans="1:9" x14ac:dyDescent="0.2">
      <c r="A118" t="s">
        <v>515</v>
      </c>
      <c r="B118">
        <v>356278</v>
      </c>
      <c r="C118" s="80">
        <v>42724.634027777778</v>
      </c>
      <c r="D118" t="s">
        <v>516</v>
      </c>
      <c r="E118" t="s">
        <v>207</v>
      </c>
      <c r="F118">
        <v>107598</v>
      </c>
      <c r="G118">
        <v>27.17</v>
      </c>
      <c r="H118">
        <v>0</v>
      </c>
      <c r="I118" t="s">
        <v>933</v>
      </c>
    </row>
    <row r="119" spans="1:9" x14ac:dyDescent="0.2">
      <c r="A119" t="s">
        <v>515</v>
      </c>
      <c r="B119">
        <v>356321</v>
      </c>
      <c r="C119" s="80">
        <v>42724.637499999997</v>
      </c>
      <c r="D119" t="s">
        <v>636</v>
      </c>
      <c r="E119" t="s">
        <v>478</v>
      </c>
      <c r="F119">
        <v>92610</v>
      </c>
      <c r="G119">
        <v>350.24</v>
      </c>
      <c r="H119">
        <v>0</v>
      </c>
      <c r="I119" t="s">
        <v>934</v>
      </c>
    </row>
    <row r="120" spans="1:9" x14ac:dyDescent="0.2">
      <c r="A120" t="s">
        <v>517</v>
      </c>
      <c r="B120">
        <v>352908</v>
      </c>
      <c r="C120" s="80">
        <v>42712.629861111112</v>
      </c>
      <c r="D120" t="s">
        <v>637</v>
      </c>
      <c r="F120">
        <v>0</v>
      </c>
      <c r="G120">
        <v>0</v>
      </c>
      <c r="H120">
        <v>250.36</v>
      </c>
      <c r="I120" t="s">
        <v>932</v>
      </c>
    </row>
    <row r="121" spans="1:9" x14ac:dyDescent="0.2">
      <c r="A121" t="s">
        <v>517</v>
      </c>
      <c r="B121">
        <v>352908</v>
      </c>
      <c r="C121" s="80">
        <v>42712.629861111112</v>
      </c>
      <c r="D121" t="s">
        <v>518</v>
      </c>
      <c r="E121" t="s">
        <v>207</v>
      </c>
      <c r="F121">
        <v>106612</v>
      </c>
      <c r="G121">
        <v>18.02</v>
      </c>
      <c r="H121">
        <v>0</v>
      </c>
      <c r="I121" t="s">
        <v>933</v>
      </c>
    </row>
    <row r="122" spans="1:9" x14ac:dyDescent="0.2">
      <c r="A122" t="s">
        <v>517</v>
      </c>
      <c r="B122">
        <v>352914</v>
      </c>
      <c r="C122" s="80">
        <v>42712.65</v>
      </c>
      <c r="D122" t="s">
        <v>638</v>
      </c>
      <c r="E122" t="s">
        <v>478</v>
      </c>
      <c r="F122">
        <v>91541</v>
      </c>
      <c r="G122">
        <v>232.34</v>
      </c>
      <c r="H122">
        <v>0</v>
      </c>
      <c r="I122" t="s">
        <v>934</v>
      </c>
    </row>
    <row r="123" spans="1:9" x14ac:dyDescent="0.2">
      <c r="A123" t="s">
        <v>517</v>
      </c>
      <c r="B123">
        <v>356281</v>
      </c>
      <c r="C123" s="80">
        <v>42724.634027777778</v>
      </c>
      <c r="D123" t="s">
        <v>637</v>
      </c>
      <c r="F123">
        <v>0</v>
      </c>
      <c r="G123">
        <v>0</v>
      </c>
      <c r="H123">
        <v>249.64</v>
      </c>
      <c r="I123" t="s">
        <v>932</v>
      </c>
    </row>
    <row r="124" spans="1:9" x14ac:dyDescent="0.2">
      <c r="A124" t="s">
        <v>517</v>
      </c>
      <c r="B124">
        <v>356281</v>
      </c>
      <c r="C124" s="80">
        <v>42724.634027777778</v>
      </c>
      <c r="D124" t="s">
        <v>518</v>
      </c>
      <c r="E124" t="s">
        <v>207</v>
      </c>
      <c r="F124">
        <v>107601</v>
      </c>
      <c r="G124">
        <v>17.98</v>
      </c>
      <c r="H124">
        <v>0</v>
      </c>
      <c r="I124" t="s">
        <v>933</v>
      </c>
    </row>
    <row r="125" spans="1:9" x14ac:dyDescent="0.2">
      <c r="A125" t="s">
        <v>517</v>
      </c>
      <c r="B125">
        <v>356321</v>
      </c>
      <c r="C125" s="80">
        <v>42724.637499999997</v>
      </c>
      <c r="D125" t="s">
        <v>638</v>
      </c>
      <c r="E125" t="s">
        <v>478</v>
      </c>
      <c r="F125">
        <v>92613</v>
      </c>
      <c r="G125">
        <v>231.66</v>
      </c>
      <c r="H125">
        <v>0</v>
      </c>
      <c r="I125" t="s">
        <v>934</v>
      </c>
    </row>
    <row r="126" spans="1:9" x14ac:dyDescent="0.2">
      <c r="A126" t="s">
        <v>519</v>
      </c>
      <c r="B126">
        <v>352306</v>
      </c>
      <c r="C126" s="80">
        <v>42710.647916666669</v>
      </c>
      <c r="D126" t="s">
        <v>639</v>
      </c>
      <c r="F126">
        <v>0</v>
      </c>
      <c r="G126">
        <v>0</v>
      </c>
      <c r="H126">
        <v>282.89</v>
      </c>
      <c r="I126" t="s">
        <v>932</v>
      </c>
    </row>
    <row r="127" spans="1:9" x14ac:dyDescent="0.2">
      <c r="A127" t="s">
        <v>519</v>
      </c>
      <c r="B127">
        <v>352306</v>
      </c>
      <c r="C127" s="80">
        <v>42710.647916666669</v>
      </c>
      <c r="D127" t="s">
        <v>520</v>
      </c>
      <c r="E127" t="s">
        <v>207</v>
      </c>
      <c r="F127">
        <v>106433</v>
      </c>
      <c r="G127">
        <v>20.36</v>
      </c>
      <c r="H127">
        <v>0</v>
      </c>
      <c r="I127" t="s">
        <v>933</v>
      </c>
    </row>
    <row r="128" spans="1:9" x14ac:dyDescent="0.2">
      <c r="A128" t="s">
        <v>519</v>
      </c>
      <c r="B128">
        <v>352309</v>
      </c>
      <c r="C128" s="80">
        <v>42710.650694444441</v>
      </c>
      <c r="D128" t="s">
        <v>521</v>
      </c>
      <c r="E128" t="s">
        <v>478</v>
      </c>
      <c r="F128">
        <v>91397</v>
      </c>
      <c r="G128">
        <v>262.52999999999997</v>
      </c>
      <c r="H128">
        <v>0</v>
      </c>
      <c r="I128" t="s">
        <v>934</v>
      </c>
    </row>
    <row r="129" spans="1:9" x14ac:dyDescent="0.2">
      <c r="A129" t="s">
        <v>519</v>
      </c>
      <c r="B129">
        <v>356284</v>
      </c>
      <c r="C129" s="80">
        <v>42724.634027777778</v>
      </c>
      <c r="D129" t="s">
        <v>639</v>
      </c>
      <c r="F129">
        <v>0</v>
      </c>
      <c r="G129">
        <v>0</v>
      </c>
      <c r="H129">
        <v>222.11</v>
      </c>
      <c r="I129" t="s">
        <v>932</v>
      </c>
    </row>
    <row r="130" spans="1:9" x14ac:dyDescent="0.2">
      <c r="A130" t="s">
        <v>519</v>
      </c>
      <c r="B130">
        <v>356284</v>
      </c>
      <c r="C130" s="80">
        <v>42724.634027777778</v>
      </c>
      <c r="D130" t="s">
        <v>520</v>
      </c>
      <c r="E130" t="s">
        <v>207</v>
      </c>
      <c r="F130">
        <v>107604</v>
      </c>
      <c r="G130">
        <v>16</v>
      </c>
      <c r="H130">
        <v>0</v>
      </c>
      <c r="I130" t="s">
        <v>933</v>
      </c>
    </row>
    <row r="131" spans="1:9" x14ac:dyDescent="0.2">
      <c r="A131" t="s">
        <v>519</v>
      </c>
      <c r="B131">
        <v>356321</v>
      </c>
      <c r="C131" s="80">
        <v>42724.637499999997</v>
      </c>
      <c r="D131" t="s">
        <v>521</v>
      </c>
      <c r="E131" t="s">
        <v>478</v>
      </c>
      <c r="F131">
        <v>92616</v>
      </c>
      <c r="G131">
        <v>206.11</v>
      </c>
      <c r="H131">
        <v>0</v>
      </c>
      <c r="I131" t="s">
        <v>934</v>
      </c>
    </row>
    <row r="132" spans="1:9" x14ac:dyDescent="0.2">
      <c r="A132" t="s">
        <v>522</v>
      </c>
      <c r="B132">
        <v>357484</v>
      </c>
      <c r="C132" s="80">
        <v>42732.54791666667</v>
      </c>
      <c r="D132" t="s">
        <v>640</v>
      </c>
      <c r="F132">
        <v>0</v>
      </c>
      <c r="G132">
        <v>0</v>
      </c>
      <c r="H132">
        <v>466.12</v>
      </c>
      <c r="I132" t="s">
        <v>932</v>
      </c>
    </row>
    <row r="133" spans="1:9" x14ac:dyDescent="0.2">
      <c r="A133" t="s">
        <v>522</v>
      </c>
      <c r="B133">
        <v>357484</v>
      </c>
      <c r="C133" s="80">
        <v>42732.54791666667</v>
      </c>
      <c r="D133" t="s">
        <v>523</v>
      </c>
      <c r="E133" t="s">
        <v>207</v>
      </c>
      <c r="F133">
        <v>108042</v>
      </c>
      <c r="G133">
        <v>33.56</v>
      </c>
      <c r="H133">
        <v>0</v>
      </c>
      <c r="I133" t="s">
        <v>933</v>
      </c>
    </row>
    <row r="134" spans="1:9" x14ac:dyDescent="0.2">
      <c r="A134" t="s">
        <v>522</v>
      </c>
      <c r="B134">
        <v>357493</v>
      </c>
      <c r="C134" s="80">
        <v>42732.566666666666</v>
      </c>
      <c r="D134" t="s">
        <v>524</v>
      </c>
      <c r="E134" t="s">
        <v>478</v>
      </c>
      <c r="F134">
        <v>92995</v>
      </c>
      <c r="G134">
        <v>432.56</v>
      </c>
      <c r="H134">
        <v>0</v>
      </c>
      <c r="I134" t="s">
        <v>934</v>
      </c>
    </row>
    <row r="135" spans="1:9" x14ac:dyDescent="0.2">
      <c r="A135" t="s">
        <v>525</v>
      </c>
      <c r="B135">
        <v>353656</v>
      </c>
      <c r="C135" s="80">
        <v>42716.631249999999</v>
      </c>
      <c r="D135" t="s">
        <v>641</v>
      </c>
      <c r="F135">
        <v>0</v>
      </c>
      <c r="G135">
        <v>0</v>
      </c>
      <c r="H135">
        <v>176.4</v>
      </c>
      <c r="I135" t="s">
        <v>932</v>
      </c>
    </row>
    <row r="136" spans="1:9" x14ac:dyDescent="0.2">
      <c r="A136" t="s">
        <v>525</v>
      </c>
      <c r="B136">
        <v>353656</v>
      </c>
      <c r="C136" s="80">
        <v>42716.631249999999</v>
      </c>
      <c r="D136" t="s">
        <v>526</v>
      </c>
      <c r="E136" t="s">
        <v>207</v>
      </c>
      <c r="F136">
        <v>106790</v>
      </c>
      <c r="G136">
        <v>12.7</v>
      </c>
      <c r="H136">
        <v>0</v>
      </c>
      <c r="I136" t="s">
        <v>933</v>
      </c>
    </row>
    <row r="137" spans="1:9" x14ac:dyDescent="0.2">
      <c r="A137" t="s">
        <v>525</v>
      </c>
      <c r="B137">
        <v>353670</v>
      </c>
      <c r="C137" s="80">
        <v>42716.636111111111</v>
      </c>
      <c r="D137" t="s">
        <v>642</v>
      </c>
      <c r="E137" t="s">
        <v>478</v>
      </c>
      <c r="F137">
        <v>91801</v>
      </c>
      <c r="G137">
        <v>163.69999999999999</v>
      </c>
      <c r="H137">
        <v>0</v>
      </c>
      <c r="I137" t="s">
        <v>934</v>
      </c>
    </row>
    <row r="138" spans="1:9" x14ac:dyDescent="0.2">
      <c r="A138" t="s">
        <v>525</v>
      </c>
      <c r="B138">
        <v>356254</v>
      </c>
      <c r="C138" s="80">
        <v>42724.634027777778</v>
      </c>
      <c r="D138" t="s">
        <v>641</v>
      </c>
      <c r="F138">
        <v>0</v>
      </c>
      <c r="G138">
        <v>0</v>
      </c>
      <c r="H138">
        <v>338.6</v>
      </c>
      <c r="I138" t="s">
        <v>932</v>
      </c>
    </row>
    <row r="139" spans="1:9" x14ac:dyDescent="0.2">
      <c r="A139" t="s">
        <v>525</v>
      </c>
      <c r="B139">
        <v>356254</v>
      </c>
      <c r="C139" s="80">
        <v>42724.634027777778</v>
      </c>
      <c r="D139" t="s">
        <v>526</v>
      </c>
      <c r="E139" t="s">
        <v>207</v>
      </c>
      <c r="F139">
        <v>107574</v>
      </c>
      <c r="G139">
        <v>24.38</v>
      </c>
      <c r="H139">
        <v>0</v>
      </c>
      <c r="I139" t="s">
        <v>933</v>
      </c>
    </row>
    <row r="140" spans="1:9" x14ac:dyDescent="0.2">
      <c r="A140" t="s">
        <v>525</v>
      </c>
      <c r="B140">
        <v>356321</v>
      </c>
      <c r="C140" s="80">
        <v>42724.637499999997</v>
      </c>
      <c r="D140" t="s">
        <v>642</v>
      </c>
      <c r="E140" t="s">
        <v>478</v>
      </c>
      <c r="F140">
        <v>92586</v>
      </c>
      <c r="G140">
        <v>314.22000000000003</v>
      </c>
      <c r="H140">
        <v>0</v>
      </c>
      <c r="I140" t="s">
        <v>934</v>
      </c>
    </row>
    <row r="141" spans="1:9" x14ac:dyDescent="0.2">
      <c r="A141" t="s">
        <v>527</v>
      </c>
      <c r="B141">
        <v>356255</v>
      </c>
      <c r="C141" s="80">
        <v>42724.634027777778</v>
      </c>
      <c r="D141" t="s">
        <v>643</v>
      </c>
      <c r="F141">
        <v>0</v>
      </c>
      <c r="G141">
        <v>0</v>
      </c>
      <c r="H141">
        <v>77.44</v>
      </c>
      <c r="I141" t="s">
        <v>932</v>
      </c>
    </row>
    <row r="142" spans="1:9" x14ac:dyDescent="0.2">
      <c r="A142" t="s">
        <v>527</v>
      </c>
      <c r="B142">
        <v>356255</v>
      </c>
      <c r="C142" s="80">
        <v>42724.634027777778</v>
      </c>
      <c r="D142" t="s">
        <v>528</v>
      </c>
      <c r="E142" t="s">
        <v>207</v>
      </c>
      <c r="F142">
        <v>107575</v>
      </c>
      <c r="G142">
        <v>5.58</v>
      </c>
      <c r="H142">
        <v>0</v>
      </c>
      <c r="I142" t="s">
        <v>933</v>
      </c>
    </row>
    <row r="143" spans="1:9" x14ac:dyDescent="0.2">
      <c r="A143" t="s">
        <v>527</v>
      </c>
      <c r="B143">
        <v>356321</v>
      </c>
      <c r="C143" s="80">
        <v>42724.637499999997</v>
      </c>
      <c r="D143" t="s">
        <v>644</v>
      </c>
      <c r="E143" t="s">
        <v>478</v>
      </c>
      <c r="F143">
        <v>92587</v>
      </c>
      <c r="G143">
        <v>71.86</v>
      </c>
      <c r="H143">
        <v>0</v>
      </c>
      <c r="I143" t="s">
        <v>934</v>
      </c>
    </row>
    <row r="144" spans="1:9" x14ac:dyDescent="0.2">
      <c r="A144" t="s">
        <v>527</v>
      </c>
      <c r="B144">
        <v>357474</v>
      </c>
      <c r="C144" s="80">
        <v>42732.54791666667</v>
      </c>
      <c r="D144" t="s">
        <v>645</v>
      </c>
      <c r="F144">
        <v>0</v>
      </c>
      <c r="G144">
        <v>0</v>
      </c>
      <c r="H144">
        <v>384.08</v>
      </c>
      <c r="I144" t="s">
        <v>932</v>
      </c>
    </row>
    <row r="145" spans="1:9" x14ac:dyDescent="0.2">
      <c r="A145" t="s">
        <v>527</v>
      </c>
      <c r="B145">
        <v>357474</v>
      </c>
      <c r="C145" s="80">
        <v>42732.54791666667</v>
      </c>
      <c r="D145" t="s">
        <v>528</v>
      </c>
      <c r="E145" t="s">
        <v>207</v>
      </c>
      <c r="F145">
        <v>108032</v>
      </c>
      <c r="G145">
        <v>27.65</v>
      </c>
      <c r="H145">
        <v>0</v>
      </c>
      <c r="I145" t="s">
        <v>933</v>
      </c>
    </row>
    <row r="146" spans="1:9" x14ac:dyDescent="0.2">
      <c r="A146" t="s">
        <v>527</v>
      </c>
      <c r="B146">
        <v>357493</v>
      </c>
      <c r="C146" s="80">
        <v>42732.566666666666</v>
      </c>
      <c r="D146" t="s">
        <v>644</v>
      </c>
      <c r="E146" t="s">
        <v>478</v>
      </c>
      <c r="F146">
        <v>92985</v>
      </c>
      <c r="G146">
        <v>356.43</v>
      </c>
      <c r="H146">
        <v>0</v>
      </c>
      <c r="I146" t="s">
        <v>934</v>
      </c>
    </row>
    <row r="147" spans="1:9" x14ac:dyDescent="0.2">
      <c r="A147" t="s">
        <v>527</v>
      </c>
      <c r="B147">
        <v>358813</v>
      </c>
      <c r="C147" s="80">
        <v>42735.510416666664</v>
      </c>
      <c r="D147" t="s">
        <v>643</v>
      </c>
      <c r="F147">
        <v>0</v>
      </c>
      <c r="G147">
        <v>0</v>
      </c>
      <c r="H147">
        <v>422.56</v>
      </c>
      <c r="I147" t="s">
        <v>932</v>
      </c>
    </row>
    <row r="148" spans="1:9" x14ac:dyDescent="0.2">
      <c r="A148" t="s">
        <v>527</v>
      </c>
      <c r="B148">
        <v>358813</v>
      </c>
      <c r="C148" s="80">
        <v>42735.510416666664</v>
      </c>
      <c r="D148" t="s">
        <v>528</v>
      </c>
      <c r="E148" t="s">
        <v>207</v>
      </c>
      <c r="F148">
        <v>108588</v>
      </c>
      <c r="G148">
        <v>30.42</v>
      </c>
      <c r="H148">
        <v>0</v>
      </c>
      <c r="I148" t="s">
        <v>933</v>
      </c>
    </row>
    <row r="149" spans="1:9" x14ac:dyDescent="0.2">
      <c r="A149" t="s">
        <v>527</v>
      </c>
      <c r="B149">
        <v>358837</v>
      </c>
      <c r="C149" s="80">
        <v>42735.537499999999</v>
      </c>
      <c r="D149" t="s">
        <v>644</v>
      </c>
      <c r="E149" t="s">
        <v>478</v>
      </c>
      <c r="F149">
        <v>93497</v>
      </c>
      <c r="G149">
        <v>392.14</v>
      </c>
      <c r="H149">
        <v>0</v>
      </c>
      <c r="I149" t="s">
        <v>934</v>
      </c>
    </row>
    <row r="150" spans="1:9" x14ac:dyDescent="0.2">
      <c r="A150" t="s">
        <v>529</v>
      </c>
      <c r="B150">
        <v>356256</v>
      </c>
      <c r="C150" s="80">
        <v>42724.634027777778</v>
      </c>
      <c r="D150" t="s">
        <v>646</v>
      </c>
      <c r="F150">
        <v>0</v>
      </c>
      <c r="G150">
        <v>0</v>
      </c>
      <c r="H150">
        <v>610</v>
      </c>
      <c r="I150" t="s">
        <v>932</v>
      </c>
    </row>
    <row r="151" spans="1:9" x14ac:dyDescent="0.2">
      <c r="A151" t="s">
        <v>529</v>
      </c>
      <c r="B151">
        <v>356256</v>
      </c>
      <c r="C151" s="80">
        <v>42724.634027777778</v>
      </c>
      <c r="D151" t="s">
        <v>530</v>
      </c>
      <c r="E151" t="s">
        <v>207</v>
      </c>
      <c r="F151">
        <v>107576</v>
      </c>
      <c r="G151">
        <v>43.92</v>
      </c>
      <c r="H151">
        <v>0</v>
      </c>
      <c r="I151" t="s">
        <v>933</v>
      </c>
    </row>
    <row r="152" spans="1:9" x14ac:dyDescent="0.2">
      <c r="A152" t="s">
        <v>529</v>
      </c>
      <c r="B152">
        <v>356321</v>
      </c>
      <c r="C152" s="80">
        <v>42724.637499999997</v>
      </c>
      <c r="D152" t="s">
        <v>647</v>
      </c>
      <c r="E152" t="s">
        <v>478</v>
      </c>
      <c r="F152">
        <v>92588</v>
      </c>
      <c r="G152">
        <v>566.08000000000004</v>
      </c>
      <c r="H152">
        <v>0</v>
      </c>
      <c r="I152" t="s">
        <v>934</v>
      </c>
    </row>
    <row r="153" spans="1:9" x14ac:dyDescent="0.2">
      <c r="A153" t="s">
        <v>531</v>
      </c>
      <c r="B153">
        <v>351868</v>
      </c>
      <c r="C153" s="80">
        <v>42709.67083333333</v>
      </c>
      <c r="D153" t="s">
        <v>648</v>
      </c>
      <c r="F153">
        <v>0</v>
      </c>
      <c r="G153">
        <v>0</v>
      </c>
      <c r="H153">
        <v>600</v>
      </c>
      <c r="I153" t="s">
        <v>932</v>
      </c>
    </row>
    <row r="154" spans="1:9" x14ac:dyDescent="0.2">
      <c r="A154" t="s">
        <v>531</v>
      </c>
      <c r="B154">
        <v>351868</v>
      </c>
      <c r="C154" s="80">
        <v>42709.67083333333</v>
      </c>
      <c r="D154" t="s">
        <v>532</v>
      </c>
      <c r="E154" t="s">
        <v>207</v>
      </c>
      <c r="F154">
        <v>106270</v>
      </c>
      <c r="G154">
        <v>43.2</v>
      </c>
      <c r="H154">
        <v>0</v>
      </c>
      <c r="I154" t="s">
        <v>933</v>
      </c>
    </row>
    <row r="155" spans="1:9" x14ac:dyDescent="0.2">
      <c r="A155" t="s">
        <v>531</v>
      </c>
      <c r="B155">
        <v>351890</v>
      </c>
      <c r="C155" s="80">
        <v>42709.67291666667</v>
      </c>
      <c r="D155" t="s">
        <v>649</v>
      </c>
      <c r="E155" t="s">
        <v>478</v>
      </c>
      <c r="F155">
        <v>91232</v>
      </c>
      <c r="G155">
        <v>556.79999999999995</v>
      </c>
      <c r="H155">
        <v>0</v>
      </c>
      <c r="I155" t="s">
        <v>934</v>
      </c>
    </row>
    <row r="156" spans="1:9" x14ac:dyDescent="0.2">
      <c r="A156" t="s">
        <v>531</v>
      </c>
      <c r="B156">
        <v>352152</v>
      </c>
      <c r="C156" s="80">
        <v>42710.5625</v>
      </c>
      <c r="D156" t="s">
        <v>650</v>
      </c>
      <c r="E156" t="s">
        <v>483</v>
      </c>
      <c r="F156">
        <v>1850</v>
      </c>
      <c r="G156">
        <v>171.6</v>
      </c>
      <c r="H156">
        <v>0</v>
      </c>
      <c r="I156" t="s">
        <v>931</v>
      </c>
    </row>
    <row r="157" spans="1:9" x14ac:dyDescent="0.2">
      <c r="A157" t="s">
        <v>531</v>
      </c>
      <c r="B157">
        <v>355734</v>
      </c>
      <c r="C157" s="80">
        <v>42723.626388888886</v>
      </c>
      <c r="D157" t="s">
        <v>651</v>
      </c>
      <c r="F157">
        <v>0</v>
      </c>
      <c r="G157">
        <v>0</v>
      </c>
      <c r="H157">
        <v>600</v>
      </c>
      <c r="I157" t="s">
        <v>932</v>
      </c>
    </row>
    <row r="158" spans="1:9" x14ac:dyDescent="0.2">
      <c r="A158" t="s">
        <v>531</v>
      </c>
      <c r="B158">
        <v>355734</v>
      </c>
      <c r="C158" s="80">
        <v>42723.626388888886</v>
      </c>
      <c r="D158" t="s">
        <v>532</v>
      </c>
      <c r="E158" t="s">
        <v>207</v>
      </c>
      <c r="F158">
        <v>107370</v>
      </c>
      <c r="G158">
        <v>43.2</v>
      </c>
      <c r="H158">
        <v>0</v>
      </c>
      <c r="I158" t="s">
        <v>933</v>
      </c>
    </row>
    <row r="159" spans="1:9" x14ac:dyDescent="0.2">
      <c r="A159" t="s">
        <v>531</v>
      </c>
      <c r="B159">
        <v>355767</v>
      </c>
      <c r="C159" s="80">
        <v>42723.677083333336</v>
      </c>
      <c r="D159" t="s">
        <v>649</v>
      </c>
      <c r="E159" t="s">
        <v>478</v>
      </c>
      <c r="F159">
        <v>92409</v>
      </c>
      <c r="G159">
        <v>385.2</v>
      </c>
      <c r="H159">
        <v>0</v>
      </c>
      <c r="I159" t="s">
        <v>934</v>
      </c>
    </row>
    <row r="160" spans="1:9" x14ac:dyDescent="0.2">
      <c r="A160" t="s">
        <v>533</v>
      </c>
      <c r="B160">
        <v>358401</v>
      </c>
      <c r="C160" s="80">
        <v>42734.506944444445</v>
      </c>
      <c r="D160" t="s">
        <v>652</v>
      </c>
      <c r="F160">
        <v>0</v>
      </c>
      <c r="G160">
        <v>0</v>
      </c>
      <c r="H160">
        <v>520</v>
      </c>
      <c r="I160" t="s">
        <v>932</v>
      </c>
    </row>
    <row r="161" spans="1:9" x14ac:dyDescent="0.2">
      <c r="A161" t="s">
        <v>533</v>
      </c>
      <c r="B161">
        <v>358401</v>
      </c>
      <c r="C161" s="80">
        <v>42734.506944444445</v>
      </c>
      <c r="D161" t="s">
        <v>534</v>
      </c>
      <c r="E161" t="s">
        <v>207</v>
      </c>
      <c r="F161">
        <v>108428</v>
      </c>
      <c r="G161">
        <v>37.44</v>
      </c>
      <c r="H161">
        <v>0</v>
      </c>
      <c r="I161" t="s">
        <v>933</v>
      </c>
    </row>
    <row r="162" spans="1:9" x14ac:dyDescent="0.2">
      <c r="A162" t="s">
        <v>533</v>
      </c>
      <c r="B162">
        <v>358415</v>
      </c>
      <c r="C162" s="80">
        <v>42734.509722222225</v>
      </c>
      <c r="D162" t="s">
        <v>653</v>
      </c>
      <c r="E162" t="s">
        <v>478</v>
      </c>
      <c r="F162">
        <v>93360</v>
      </c>
      <c r="G162">
        <v>482.56</v>
      </c>
      <c r="H162">
        <v>0</v>
      </c>
      <c r="I162" t="s">
        <v>934</v>
      </c>
    </row>
    <row r="163" spans="1:9" x14ac:dyDescent="0.2">
      <c r="A163" t="s">
        <v>535</v>
      </c>
      <c r="B163">
        <v>355210</v>
      </c>
      <c r="C163" s="80">
        <v>42720.584027777775</v>
      </c>
      <c r="D163" t="s">
        <v>654</v>
      </c>
      <c r="F163">
        <v>0</v>
      </c>
      <c r="G163">
        <v>0</v>
      </c>
      <c r="H163">
        <v>100</v>
      </c>
      <c r="I163" t="s">
        <v>932</v>
      </c>
    </row>
    <row r="164" spans="1:9" x14ac:dyDescent="0.2">
      <c r="A164" t="s">
        <v>535</v>
      </c>
      <c r="B164">
        <v>355210</v>
      </c>
      <c r="C164" s="80">
        <v>42720.584027777775</v>
      </c>
      <c r="D164" t="s">
        <v>536</v>
      </c>
      <c r="E164" t="s">
        <v>207</v>
      </c>
      <c r="F164">
        <v>107238</v>
      </c>
      <c r="G164">
        <v>7.2</v>
      </c>
      <c r="H164">
        <v>0</v>
      </c>
      <c r="I164" t="s">
        <v>933</v>
      </c>
    </row>
    <row r="165" spans="1:9" x14ac:dyDescent="0.2">
      <c r="A165" t="s">
        <v>535</v>
      </c>
      <c r="B165">
        <v>355220</v>
      </c>
      <c r="C165" s="80">
        <v>42720.590277777781</v>
      </c>
      <c r="D165" t="s">
        <v>537</v>
      </c>
      <c r="E165" t="s">
        <v>478</v>
      </c>
      <c r="F165">
        <v>92329</v>
      </c>
      <c r="G165">
        <v>92.8</v>
      </c>
      <c r="H165">
        <v>0</v>
      </c>
      <c r="I165" t="s">
        <v>934</v>
      </c>
    </row>
    <row r="166" spans="1:9" x14ac:dyDescent="0.2">
      <c r="A166" t="s">
        <v>535</v>
      </c>
      <c r="B166">
        <v>356265</v>
      </c>
      <c r="C166" s="80">
        <v>42724.634027777778</v>
      </c>
      <c r="D166" t="s">
        <v>654</v>
      </c>
      <c r="F166">
        <v>0</v>
      </c>
      <c r="G166">
        <v>0</v>
      </c>
      <c r="H166">
        <v>7.45</v>
      </c>
      <c r="I166" t="s">
        <v>932</v>
      </c>
    </row>
    <row r="167" spans="1:9" x14ac:dyDescent="0.2">
      <c r="A167" t="s">
        <v>535</v>
      </c>
      <c r="B167">
        <v>356265</v>
      </c>
      <c r="C167" s="80">
        <v>42724.634027777778</v>
      </c>
      <c r="D167" t="s">
        <v>536</v>
      </c>
      <c r="E167" t="s">
        <v>207</v>
      </c>
      <c r="F167">
        <v>107585</v>
      </c>
      <c r="G167">
        <v>0.54</v>
      </c>
      <c r="H167">
        <v>0</v>
      </c>
      <c r="I167" t="s">
        <v>933</v>
      </c>
    </row>
    <row r="168" spans="1:9" x14ac:dyDescent="0.2">
      <c r="A168" t="s">
        <v>535</v>
      </c>
      <c r="B168">
        <v>356265</v>
      </c>
      <c r="C168" s="80">
        <v>42724.634027777778</v>
      </c>
      <c r="D168" t="s">
        <v>655</v>
      </c>
      <c r="F168">
        <v>0</v>
      </c>
      <c r="G168">
        <v>0</v>
      </c>
      <c r="H168">
        <v>364.63</v>
      </c>
      <c r="I168" t="s">
        <v>932</v>
      </c>
    </row>
    <row r="169" spans="1:9" x14ac:dyDescent="0.2">
      <c r="A169" t="s">
        <v>535</v>
      </c>
      <c r="B169">
        <v>356265</v>
      </c>
      <c r="C169" s="80">
        <v>42724.634027777778</v>
      </c>
      <c r="D169" t="s">
        <v>536</v>
      </c>
      <c r="E169" t="s">
        <v>207</v>
      </c>
      <c r="F169">
        <v>107585</v>
      </c>
      <c r="G169">
        <v>26.26</v>
      </c>
      <c r="H169">
        <v>0</v>
      </c>
      <c r="I169" t="s">
        <v>933</v>
      </c>
    </row>
    <row r="170" spans="1:9" x14ac:dyDescent="0.2">
      <c r="A170" t="s">
        <v>535</v>
      </c>
      <c r="B170">
        <v>356321</v>
      </c>
      <c r="C170" s="80">
        <v>42724.637499999997</v>
      </c>
      <c r="D170" t="s">
        <v>537</v>
      </c>
      <c r="E170" t="s">
        <v>478</v>
      </c>
      <c r="F170">
        <v>92597</v>
      </c>
      <c r="G170">
        <v>345.28</v>
      </c>
      <c r="H170">
        <v>0</v>
      </c>
      <c r="I170" t="s">
        <v>934</v>
      </c>
    </row>
    <row r="171" spans="1:9" x14ac:dyDescent="0.2">
      <c r="A171" t="s">
        <v>535</v>
      </c>
      <c r="B171">
        <v>358816</v>
      </c>
      <c r="C171" s="80">
        <v>42735.510416666664</v>
      </c>
      <c r="D171" t="s">
        <v>654</v>
      </c>
      <c r="F171">
        <v>0</v>
      </c>
      <c r="G171">
        <v>0</v>
      </c>
      <c r="H171">
        <v>412.55</v>
      </c>
      <c r="I171" t="s">
        <v>932</v>
      </c>
    </row>
    <row r="172" spans="1:9" x14ac:dyDescent="0.2">
      <c r="A172" t="s">
        <v>535</v>
      </c>
      <c r="B172">
        <v>358816</v>
      </c>
      <c r="C172" s="80">
        <v>42735.510416666664</v>
      </c>
      <c r="D172" t="s">
        <v>536</v>
      </c>
      <c r="E172" t="s">
        <v>207</v>
      </c>
      <c r="F172">
        <v>108590</v>
      </c>
      <c r="G172">
        <v>29.7</v>
      </c>
      <c r="H172">
        <v>0</v>
      </c>
      <c r="I172" t="s">
        <v>933</v>
      </c>
    </row>
    <row r="173" spans="1:9" x14ac:dyDescent="0.2">
      <c r="A173" t="s">
        <v>535</v>
      </c>
      <c r="B173">
        <v>358837</v>
      </c>
      <c r="C173" s="80">
        <v>42735.537499999999</v>
      </c>
      <c r="D173" t="s">
        <v>537</v>
      </c>
      <c r="E173" t="s">
        <v>478</v>
      </c>
      <c r="F173">
        <v>93500</v>
      </c>
      <c r="G173">
        <v>382.85</v>
      </c>
      <c r="H173">
        <v>0</v>
      </c>
      <c r="I173" t="s">
        <v>934</v>
      </c>
    </row>
    <row r="174" spans="1:9" x14ac:dyDescent="0.2">
      <c r="A174" t="s">
        <v>579</v>
      </c>
      <c r="B174">
        <v>353658</v>
      </c>
      <c r="C174" s="80">
        <v>42716.631249999999</v>
      </c>
      <c r="D174" t="s">
        <v>656</v>
      </c>
      <c r="F174">
        <v>0</v>
      </c>
      <c r="G174">
        <v>0</v>
      </c>
      <c r="H174">
        <v>454.16</v>
      </c>
      <c r="I174" t="s">
        <v>932</v>
      </c>
    </row>
    <row r="175" spans="1:9" x14ac:dyDescent="0.2">
      <c r="A175" t="s">
        <v>579</v>
      </c>
      <c r="B175">
        <v>353658</v>
      </c>
      <c r="C175" s="80">
        <v>42716.631249999999</v>
      </c>
      <c r="D175" t="s">
        <v>657</v>
      </c>
      <c r="E175" t="s">
        <v>207</v>
      </c>
      <c r="F175">
        <v>106792</v>
      </c>
      <c r="G175">
        <v>32.700000000000003</v>
      </c>
      <c r="H175">
        <v>0</v>
      </c>
      <c r="I175" t="s">
        <v>933</v>
      </c>
    </row>
    <row r="176" spans="1:9" x14ac:dyDescent="0.2">
      <c r="A176" t="s">
        <v>579</v>
      </c>
      <c r="B176">
        <v>353669</v>
      </c>
      <c r="C176" s="80">
        <v>42716.635416666664</v>
      </c>
      <c r="D176" t="s">
        <v>658</v>
      </c>
      <c r="E176" t="s">
        <v>478</v>
      </c>
      <c r="F176">
        <v>91803</v>
      </c>
      <c r="G176">
        <v>421.46</v>
      </c>
      <c r="H176">
        <v>0</v>
      </c>
      <c r="I176" t="s">
        <v>934</v>
      </c>
    </row>
    <row r="177" spans="1:9" x14ac:dyDescent="0.2">
      <c r="A177" t="s">
        <v>579</v>
      </c>
      <c r="B177">
        <v>354917</v>
      </c>
      <c r="C177" s="80">
        <v>42719.636805555558</v>
      </c>
      <c r="D177" t="s">
        <v>656</v>
      </c>
      <c r="F177">
        <v>0</v>
      </c>
      <c r="G177">
        <v>0</v>
      </c>
      <c r="H177">
        <v>52.29</v>
      </c>
      <c r="I177" t="s">
        <v>932</v>
      </c>
    </row>
    <row r="178" spans="1:9" x14ac:dyDescent="0.2">
      <c r="A178" t="s">
        <v>579</v>
      </c>
      <c r="B178">
        <v>354917</v>
      </c>
      <c r="C178" s="80">
        <v>42719.636805555558</v>
      </c>
      <c r="D178" t="s">
        <v>657</v>
      </c>
      <c r="E178" t="s">
        <v>207</v>
      </c>
      <c r="F178">
        <v>107141</v>
      </c>
      <c r="G178">
        <v>3.77</v>
      </c>
      <c r="H178">
        <v>0</v>
      </c>
      <c r="I178" t="s">
        <v>933</v>
      </c>
    </row>
    <row r="179" spans="1:9" x14ac:dyDescent="0.2">
      <c r="A179" t="s">
        <v>579</v>
      </c>
      <c r="B179">
        <v>354931</v>
      </c>
      <c r="C179" s="80">
        <v>42719.642361111109</v>
      </c>
      <c r="D179" t="s">
        <v>658</v>
      </c>
      <c r="E179" t="s">
        <v>478</v>
      </c>
      <c r="F179">
        <v>92248</v>
      </c>
      <c r="G179">
        <v>48.52</v>
      </c>
      <c r="H179">
        <v>0</v>
      </c>
      <c r="I179" t="s">
        <v>934</v>
      </c>
    </row>
    <row r="180" spans="1:9" x14ac:dyDescent="0.2">
      <c r="A180" t="s">
        <v>579</v>
      </c>
      <c r="B180">
        <v>358817</v>
      </c>
      <c r="C180" s="80">
        <v>42735.510416666664</v>
      </c>
      <c r="D180" t="s">
        <v>656</v>
      </c>
      <c r="F180">
        <v>0</v>
      </c>
      <c r="G180">
        <v>0</v>
      </c>
      <c r="H180">
        <v>93.55</v>
      </c>
      <c r="I180" t="s">
        <v>932</v>
      </c>
    </row>
    <row r="181" spans="1:9" x14ac:dyDescent="0.2">
      <c r="A181" t="s">
        <v>579</v>
      </c>
      <c r="B181">
        <v>358817</v>
      </c>
      <c r="C181" s="80">
        <v>42735.510416666664</v>
      </c>
      <c r="D181" t="s">
        <v>657</v>
      </c>
      <c r="E181" t="s">
        <v>207</v>
      </c>
      <c r="F181">
        <v>108591</v>
      </c>
      <c r="G181">
        <v>6.73</v>
      </c>
      <c r="H181">
        <v>0</v>
      </c>
      <c r="I181" t="s">
        <v>933</v>
      </c>
    </row>
    <row r="182" spans="1:9" x14ac:dyDescent="0.2">
      <c r="A182" t="s">
        <v>579</v>
      </c>
      <c r="B182">
        <v>358837</v>
      </c>
      <c r="C182" s="80">
        <v>42735.537499999999</v>
      </c>
      <c r="D182" t="s">
        <v>658</v>
      </c>
      <c r="E182" t="s">
        <v>478</v>
      </c>
      <c r="F182">
        <v>93501</v>
      </c>
      <c r="G182">
        <v>86.82</v>
      </c>
      <c r="H182">
        <v>0</v>
      </c>
      <c r="I182" t="s">
        <v>934</v>
      </c>
    </row>
    <row r="183" spans="1:9" x14ac:dyDescent="0.2">
      <c r="A183" t="s">
        <v>538</v>
      </c>
      <c r="B183">
        <v>352904</v>
      </c>
      <c r="C183" s="80">
        <v>42712.629861111112</v>
      </c>
      <c r="D183" t="s">
        <v>659</v>
      </c>
      <c r="F183">
        <v>0</v>
      </c>
      <c r="G183">
        <v>0</v>
      </c>
      <c r="H183">
        <v>244.01</v>
      </c>
      <c r="I183" t="s">
        <v>932</v>
      </c>
    </row>
    <row r="184" spans="1:9" x14ac:dyDescent="0.2">
      <c r="A184" t="s">
        <v>538</v>
      </c>
      <c r="B184">
        <v>352904</v>
      </c>
      <c r="C184" s="80">
        <v>42712.629861111112</v>
      </c>
      <c r="D184" t="s">
        <v>539</v>
      </c>
      <c r="E184" t="s">
        <v>207</v>
      </c>
      <c r="F184">
        <v>106608</v>
      </c>
      <c r="G184">
        <v>17.57</v>
      </c>
      <c r="H184">
        <v>0</v>
      </c>
      <c r="I184" t="s">
        <v>933</v>
      </c>
    </row>
    <row r="185" spans="1:9" x14ac:dyDescent="0.2">
      <c r="A185" t="s">
        <v>538</v>
      </c>
      <c r="B185">
        <v>352914</v>
      </c>
      <c r="C185" s="80">
        <v>42712.65</v>
      </c>
      <c r="D185" t="s">
        <v>540</v>
      </c>
      <c r="E185" t="s">
        <v>478</v>
      </c>
      <c r="F185">
        <v>91537</v>
      </c>
      <c r="G185">
        <v>226.44</v>
      </c>
      <c r="H185">
        <v>0</v>
      </c>
      <c r="I185" t="s">
        <v>934</v>
      </c>
    </row>
    <row r="186" spans="1:9" x14ac:dyDescent="0.2">
      <c r="A186" t="s">
        <v>538</v>
      </c>
      <c r="B186">
        <v>356266</v>
      </c>
      <c r="C186" s="80">
        <v>42724.634027777778</v>
      </c>
      <c r="D186" t="s">
        <v>659</v>
      </c>
      <c r="F186">
        <v>0</v>
      </c>
      <c r="G186">
        <v>0</v>
      </c>
      <c r="H186">
        <v>260.99</v>
      </c>
      <c r="I186" t="s">
        <v>932</v>
      </c>
    </row>
    <row r="187" spans="1:9" x14ac:dyDescent="0.2">
      <c r="A187" t="s">
        <v>538</v>
      </c>
      <c r="B187">
        <v>356266</v>
      </c>
      <c r="C187" s="80">
        <v>42724.634027777778</v>
      </c>
      <c r="D187" t="s">
        <v>539</v>
      </c>
      <c r="E187" t="s">
        <v>207</v>
      </c>
      <c r="F187">
        <v>107586</v>
      </c>
      <c r="G187">
        <v>18.79</v>
      </c>
      <c r="H187">
        <v>0</v>
      </c>
      <c r="I187" t="s">
        <v>933</v>
      </c>
    </row>
    <row r="188" spans="1:9" x14ac:dyDescent="0.2">
      <c r="A188" t="s">
        <v>538</v>
      </c>
      <c r="B188">
        <v>356321</v>
      </c>
      <c r="C188" s="80">
        <v>42724.637499999997</v>
      </c>
      <c r="D188" t="s">
        <v>540</v>
      </c>
      <c r="E188" t="s">
        <v>478</v>
      </c>
      <c r="F188">
        <v>92598</v>
      </c>
      <c r="G188">
        <v>242.2</v>
      </c>
      <c r="H188">
        <v>0</v>
      </c>
      <c r="I188" t="s">
        <v>934</v>
      </c>
    </row>
    <row r="189" spans="1:9" x14ac:dyDescent="0.2">
      <c r="A189" t="s">
        <v>580</v>
      </c>
      <c r="B189">
        <v>352905</v>
      </c>
      <c r="C189" s="80">
        <v>42712.629861111112</v>
      </c>
      <c r="D189" t="s">
        <v>660</v>
      </c>
      <c r="F189">
        <v>0</v>
      </c>
      <c r="G189">
        <v>0</v>
      </c>
      <c r="H189">
        <v>243.79</v>
      </c>
      <c r="I189" t="s">
        <v>932</v>
      </c>
    </row>
    <row r="190" spans="1:9" x14ac:dyDescent="0.2">
      <c r="A190" t="s">
        <v>580</v>
      </c>
      <c r="B190">
        <v>352905</v>
      </c>
      <c r="C190" s="80">
        <v>42712.629861111112</v>
      </c>
      <c r="D190" t="s">
        <v>661</v>
      </c>
      <c r="E190" t="s">
        <v>207</v>
      </c>
      <c r="F190">
        <v>106609</v>
      </c>
      <c r="G190">
        <v>17.559999999999999</v>
      </c>
      <c r="H190">
        <v>0</v>
      </c>
      <c r="I190" t="s">
        <v>933</v>
      </c>
    </row>
    <row r="191" spans="1:9" x14ac:dyDescent="0.2">
      <c r="A191" t="s">
        <v>580</v>
      </c>
      <c r="B191">
        <v>352914</v>
      </c>
      <c r="C191" s="80">
        <v>42712.65</v>
      </c>
      <c r="D191" t="s">
        <v>662</v>
      </c>
      <c r="E191" t="s">
        <v>478</v>
      </c>
      <c r="F191">
        <v>91538</v>
      </c>
      <c r="G191">
        <v>226.23</v>
      </c>
      <c r="H191">
        <v>0</v>
      </c>
      <c r="I191" t="s">
        <v>934</v>
      </c>
    </row>
    <row r="192" spans="1:9" x14ac:dyDescent="0.2">
      <c r="A192" t="s">
        <v>580</v>
      </c>
      <c r="B192">
        <v>355110</v>
      </c>
      <c r="C192" s="80">
        <v>42720.54791666667</v>
      </c>
      <c r="D192" t="s">
        <v>663</v>
      </c>
      <c r="E192" t="s">
        <v>483</v>
      </c>
      <c r="F192">
        <v>208002</v>
      </c>
      <c r="G192">
        <v>40</v>
      </c>
      <c r="H192">
        <v>0</v>
      </c>
      <c r="I192" t="s">
        <v>931</v>
      </c>
    </row>
    <row r="193" spans="1:9" x14ac:dyDescent="0.2">
      <c r="A193" t="s">
        <v>580</v>
      </c>
      <c r="B193">
        <v>356276</v>
      </c>
      <c r="C193" s="80">
        <v>42724.634027777778</v>
      </c>
      <c r="D193" t="s">
        <v>660</v>
      </c>
      <c r="F193">
        <v>0</v>
      </c>
      <c r="G193">
        <v>0</v>
      </c>
      <c r="H193">
        <v>233.06</v>
      </c>
      <c r="I193" t="s">
        <v>932</v>
      </c>
    </row>
    <row r="194" spans="1:9" x14ac:dyDescent="0.2">
      <c r="A194" t="s">
        <v>580</v>
      </c>
      <c r="B194">
        <v>356276</v>
      </c>
      <c r="C194" s="80">
        <v>42724.634027777778</v>
      </c>
      <c r="D194" t="s">
        <v>661</v>
      </c>
      <c r="E194" t="s">
        <v>207</v>
      </c>
      <c r="F194">
        <v>107596</v>
      </c>
      <c r="G194">
        <v>16.78</v>
      </c>
      <c r="H194">
        <v>0</v>
      </c>
      <c r="I194" t="s">
        <v>933</v>
      </c>
    </row>
    <row r="195" spans="1:9" x14ac:dyDescent="0.2">
      <c r="A195" t="s">
        <v>580</v>
      </c>
      <c r="B195">
        <v>356321</v>
      </c>
      <c r="C195" s="80">
        <v>42724.637499999997</v>
      </c>
      <c r="D195" t="s">
        <v>662</v>
      </c>
      <c r="E195" t="s">
        <v>478</v>
      </c>
      <c r="F195">
        <v>92608</v>
      </c>
      <c r="G195">
        <v>176.28</v>
      </c>
      <c r="H195">
        <v>0</v>
      </c>
      <c r="I195" t="s">
        <v>934</v>
      </c>
    </row>
    <row r="196" spans="1:9" x14ac:dyDescent="0.2">
      <c r="A196" t="s">
        <v>541</v>
      </c>
      <c r="B196">
        <v>357178</v>
      </c>
      <c r="C196" s="80">
        <v>42727.556944444441</v>
      </c>
      <c r="D196" t="s">
        <v>664</v>
      </c>
      <c r="F196">
        <v>0</v>
      </c>
      <c r="G196">
        <v>0</v>
      </c>
      <c r="H196">
        <v>75.040000000000006</v>
      </c>
      <c r="I196" t="s">
        <v>932</v>
      </c>
    </row>
    <row r="197" spans="1:9" x14ac:dyDescent="0.2">
      <c r="A197" t="s">
        <v>541</v>
      </c>
      <c r="B197">
        <v>357178</v>
      </c>
      <c r="C197" s="80">
        <v>42727.556944444441</v>
      </c>
      <c r="D197" t="s">
        <v>542</v>
      </c>
      <c r="E197" t="s">
        <v>207</v>
      </c>
      <c r="F197">
        <v>107920</v>
      </c>
      <c r="G197">
        <v>5.4</v>
      </c>
      <c r="H197">
        <v>0</v>
      </c>
      <c r="I197" t="s">
        <v>933</v>
      </c>
    </row>
    <row r="198" spans="1:9" x14ac:dyDescent="0.2">
      <c r="A198" t="s">
        <v>541</v>
      </c>
      <c r="B198">
        <v>357178</v>
      </c>
      <c r="C198" s="80">
        <v>42727.556944444441</v>
      </c>
      <c r="D198" t="s">
        <v>665</v>
      </c>
      <c r="F198">
        <v>0</v>
      </c>
      <c r="G198">
        <v>0</v>
      </c>
      <c r="H198">
        <v>377.28</v>
      </c>
      <c r="I198" t="s">
        <v>932</v>
      </c>
    </row>
    <row r="199" spans="1:9" x14ac:dyDescent="0.2">
      <c r="A199" t="s">
        <v>541</v>
      </c>
      <c r="B199">
        <v>357178</v>
      </c>
      <c r="C199" s="80">
        <v>42727.556944444441</v>
      </c>
      <c r="D199" t="s">
        <v>542</v>
      </c>
      <c r="E199" t="s">
        <v>207</v>
      </c>
      <c r="F199">
        <v>107920</v>
      </c>
      <c r="G199">
        <v>27.17</v>
      </c>
      <c r="H199">
        <v>0</v>
      </c>
      <c r="I199" t="s">
        <v>933</v>
      </c>
    </row>
    <row r="200" spans="1:9" x14ac:dyDescent="0.2">
      <c r="A200" t="s">
        <v>541</v>
      </c>
      <c r="B200">
        <v>357183</v>
      </c>
      <c r="C200" s="80">
        <v>42727.559027777781</v>
      </c>
      <c r="D200" t="s">
        <v>543</v>
      </c>
      <c r="E200" t="s">
        <v>478</v>
      </c>
      <c r="F200">
        <v>92900</v>
      </c>
      <c r="G200">
        <v>419.75</v>
      </c>
      <c r="H200">
        <v>0</v>
      </c>
      <c r="I200" t="s">
        <v>934</v>
      </c>
    </row>
    <row r="201" spans="1:9" x14ac:dyDescent="0.2">
      <c r="A201" t="s">
        <v>541</v>
      </c>
      <c r="B201">
        <v>358405</v>
      </c>
      <c r="C201" s="80">
        <v>42734.506944444445</v>
      </c>
      <c r="D201" t="s">
        <v>664</v>
      </c>
      <c r="F201">
        <v>0</v>
      </c>
      <c r="G201">
        <v>0</v>
      </c>
      <c r="H201">
        <v>414.96</v>
      </c>
      <c r="I201" t="s">
        <v>932</v>
      </c>
    </row>
    <row r="202" spans="1:9" x14ac:dyDescent="0.2">
      <c r="A202" t="s">
        <v>541</v>
      </c>
      <c r="B202">
        <v>358405</v>
      </c>
      <c r="C202" s="80">
        <v>42734.506944444445</v>
      </c>
      <c r="D202" t="s">
        <v>542</v>
      </c>
      <c r="E202" t="s">
        <v>207</v>
      </c>
      <c r="F202">
        <v>108432</v>
      </c>
      <c r="G202">
        <v>29.88</v>
      </c>
      <c r="H202">
        <v>0</v>
      </c>
      <c r="I202" t="s">
        <v>933</v>
      </c>
    </row>
    <row r="203" spans="1:9" x14ac:dyDescent="0.2">
      <c r="A203" t="s">
        <v>541</v>
      </c>
      <c r="B203">
        <v>358415</v>
      </c>
      <c r="C203" s="80">
        <v>42734.509722222225</v>
      </c>
      <c r="D203" t="s">
        <v>543</v>
      </c>
      <c r="E203" t="s">
        <v>478</v>
      </c>
      <c r="F203">
        <v>93364</v>
      </c>
      <c r="G203">
        <v>385.08</v>
      </c>
      <c r="H203">
        <v>0</v>
      </c>
      <c r="I203" t="s">
        <v>934</v>
      </c>
    </row>
    <row r="204" spans="1:9" x14ac:dyDescent="0.2">
      <c r="A204" t="s">
        <v>544</v>
      </c>
      <c r="B204">
        <v>351156</v>
      </c>
      <c r="C204" s="80">
        <v>42709.520138888889</v>
      </c>
      <c r="D204" t="s">
        <v>666</v>
      </c>
      <c r="E204" t="s">
        <v>483</v>
      </c>
      <c r="F204">
        <v>209879</v>
      </c>
      <c r="G204">
        <v>85</v>
      </c>
      <c r="H204">
        <v>0</v>
      </c>
      <c r="I204" t="s">
        <v>931</v>
      </c>
    </row>
    <row r="205" spans="1:9" x14ac:dyDescent="0.2">
      <c r="A205" t="s">
        <v>544</v>
      </c>
      <c r="B205">
        <v>356282</v>
      </c>
      <c r="C205" s="80">
        <v>42724.634027777778</v>
      </c>
      <c r="D205" t="s">
        <v>667</v>
      </c>
      <c r="F205">
        <v>0</v>
      </c>
      <c r="G205">
        <v>0</v>
      </c>
      <c r="H205">
        <v>77.459999999999994</v>
      </c>
      <c r="I205" t="s">
        <v>932</v>
      </c>
    </row>
    <row r="206" spans="1:9" x14ac:dyDescent="0.2">
      <c r="A206" t="s">
        <v>544</v>
      </c>
      <c r="B206">
        <v>356282</v>
      </c>
      <c r="C206" s="80">
        <v>42724.634027777778</v>
      </c>
      <c r="D206" t="s">
        <v>545</v>
      </c>
      <c r="E206" t="s">
        <v>207</v>
      </c>
      <c r="F206">
        <v>107602</v>
      </c>
      <c r="G206">
        <v>5.58</v>
      </c>
      <c r="H206">
        <v>0</v>
      </c>
      <c r="I206" t="s">
        <v>933</v>
      </c>
    </row>
    <row r="207" spans="1:9" x14ac:dyDescent="0.2">
      <c r="A207" t="s">
        <v>544</v>
      </c>
      <c r="B207">
        <v>356282</v>
      </c>
      <c r="C207" s="80">
        <v>42724.634027777778</v>
      </c>
      <c r="D207" t="s">
        <v>668</v>
      </c>
      <c r="F207">
        <v>0</v>
      </c>
      <c r="G207">
        <v>0</v>
      </c>
      <c r="H207">
        <v>384.06</v>
      </c>
      <c r="I207" t="s">
        <v>932</v>
      </c>
    </row>
    <row r="208" spans="1:9" x14ac:dyDescent="0.2">
      <c r="A208" t="s">
        <v>544</v>
      </c>
      <c r="B208">
        <v>356282</v>
      </c>
      <c r="C208" s="80">
        <v>42724.634027777778</v>
      </c>
      <c r="D208" t="s">
        <v>545</v>
      </c>
      <c r="E208" t="s">
        <v>207</v>
      </c>
      <c r="F208">
        <v>107602</v>
      </c>
      <c r="G208">
        <v>27.65</v>
      </c>
      <c r="H208">
        <v>0</v>
      </c>
      <c r="I208" t="s">
        <v>933</v>
      </c>
    </row>
    <row r="209" spans="1:9" x14ac:dyDescent="0.2">
      <c r="A209" t="s">
        <v>544</v>
      </c>
      <c r="B209">
        <v>356321</v>
      </c>
      <c r="C209" s="80">
        <v>42724.637499999997</v>
      </c>
      <c r="D209" t="s">
        <v>669</v>
      </c>
      <c r="E209" t="s">
        <v>478</v>
      </c>
      <c r="F209">
        <v>92614</v>
      </c>
      <c r="G209">
        <v>343.29</v>
      </c>
      <c r="H209">
        <v>0</v>
      </c>
      <c r="I209" t="s">
        <v>934</v>
      </c>
    </row>
    <row r="210" spans="1:9" x14ac:dyDescent="0.2">
      <c r="A210" t="s">
        <v>544</v>
      </c>
      <c r="B210">
        <v>358094</v>
      </c>
      <c r="C210" s="80">
        <v>42733.625694444447</v>
      </c>
      <c r="D210" t="s">
        <v>667</v>
      </c>
      <c r="F210">
        <v>0</v>
      </c>
      <c r="G210">
        <v>0</v>
      </c>
      <c r="H210">
        <v>422.54</v>
      </c>
      <c r="I210" t="s">
        <v>932</v>
      </c>
    </row>
    <row r="211" spans="1:9" x14ac:dyDescent="0.2">
      <c r="A211" t="s">
        <v>544</v>
      </c>
      <c r="B211">
        <v>358094</v>
      </c>
      <c r="C211" s="80">
        <v>42733.625694444447</v>
      </c>
      <c r="D211" t="s">
        <v>545</v>
      </c>
      <c r="E211" t="s">
        <v>207</v>
      </c>
      <c r="F211">
        <v>108327</v>
      </c>
      <c r="G211">
        <v>30.42</v>
      </c>
      <c r="H211">
        <v>0</v>
      </c>
      <c r="I211" t="s">
        <v>933</v>
      </c>
    </row>
    <row r="212" spans="1:9" x14ac:dyDescent="0.2">
      <c r="A212" t="s">
        <v>544</v>
      </c>
      <c r="B212">
        <v>358110</v>
      </c>
      <c r="C212" s="80">
        <v>42733.62777777778</v>
      </c>
      <c r="D212" t="s">
        <v>669</v>
      </c>
      <c r="E212" t="s">
        <v>478</v>
      </c>
      <c r="F212">
        <v>93259</v>
      </c>
      <c r="G212">
        <v>392.12</v>
      </c>
      <c r="H212">
        <v>0</v>
      </c>
      <c r="I212" t="s">
        <v>934</v>
      </c>
    </row>
    <row r="213" spans="1:9" x14ac:dyDescent="0.2">
      <c r="A213" t="s">
        <v>546</v>
      </c>
      <c r="B213">
        <v>356245</v>
      </c>
      <c r="C213" s="80">
        <v>42724.634027777778</v>
      </c>
      <c r="D213" t="s">
        <v>670</v>
      </c>
      <c r="F213">
        <v>0</v>
      </c>
      <c r="G213">
        <v>0</v>
      </c>
      <c r="H213">
        <v>77.45</v>
      </c>
      <c r="I213" t="s">
        <v>932</v>
      </c>
    </row>
    <row r="214" spans="1:9" x14ac:dyDescent="0.2">
      <c r="A214" t="s">
        <v>546</v>
      </c>
      <c r="B214">
        <v>356245</v>
      </c>
      <c r="C214" s="80">
        <v>42724.634027777778</v>
      </c>
      <c r="D214" t="s">
        <v>547</v>
      </c>
      <c r="E214" t="s">
        <v>207</v>
      </c>
      <c r="F214">
        <v>107565</v>
      </c>
      <c r="G214">
        <v>5.58</v>
      </c>
      <c r="H214">
        <v>0</v>
      </c>
      <c r="I214" t="s">
        <v>933</v>
      </c>
    </row>
    <row r="215" spans="1:9" x14ac:dyDescent="0.2">
      <c r="A215" t="s">
        <v>546</v>
      </c>
      <c r="B215">
        <v>356245</v>
      </c>
      <c r="C215" s="80">
        <v>42724.634027777778</v>
      </c>
      <c r="D215" t="s">
        <v>671</v>
      </c>
      <c r="F215">
        <v>0</v>
      </c>
      <c r="G215">
        <v>0</v>
      </c>
      <c r="H215">
        <v>384.07</v>
      </c>
      <c r="I215" t="s">
        <v>932</v>
      </c>
    </row>
    <row r="216" spans="1:9" x14ac:dyDescent="0.2">
      <c r="A216" t="s">
        <v>546</v>
      </c>
      <c r="B216">
        <v>356245</v>
      </c>
      <c r="C216" s="80">
        <v>42724.634027777778</v>
      </c>
      <c r="D216" t="s">
        <v>547</v>
      </c>
      <c r="E216" t="s">
        <v>207</v>
      </c>
      <c r="F216">
        <v>107565</v>
      </c>
      <c r="G216">
        <v>27.65</v>
      </c>
      <c r="H216">
        <v>0</v>
      </c>
      <c r="I216" t="s">
        <v>933</v>
      </c>
    </row>
    <row r="217" spans="1:9" x14ac:dyDescent="0.2">
      <c r="A217" t="s">
        <v>546</v>
      </c>
      <c r="B217">
        <v>356321</v>
      </c>
      <c r="C217" s="80">
        <v>42724.637499999997</v>
      </c>
      <c r="D217" t="s">
        <v>672</v>
      </c>
      <c r="E217" t="s">
        <v>478</v>
      </c>
      <c r="F217">
        <v>92577</v>
      </c>
      <c r="G217">
        <v>428.29</v>
      </c>
      <c r="H217">
        <v>0</v>
      </c>
      <c r="I217" t="s">
        <v>934</v>
      </c>
    </row>
    <row r="218" spans="1:9" x14ac:dyDescent="0.2">
      <c r="A218" t="s">
        <v>546</v>
      </c>
      <c r="B218">
        <v>358082</v>
      </c>
      <c r="C218" s="80">
        <v>42733.625694444447</v>
      </c>
      <c r="D218" t="s">
        <v>670</v>
      </c>
      <c r="F218">
        <v>0</v>
      </c>
      <c r="G218">
        <v>0</v>
      </c>
      <c r="H218">
        <v>422.55</v>
      </c>
      <c r="I218" t="s">
        <v>932</v>
      </c>
    </row>
    <row r="219" spans="1:9" x14ac:dyDescent="0.2">
      <c r="A219" t="s">
        <v>546</v>
      </c>
      <c r="B219">
        <v>358082</v>
      </c>
      <c r="C219" s="80">
        <v>42733.625694444447</v>
      </c>
      <c r="D219" t="s">
        <v>547</v>
      </c>
      <c r="E219" t="s">
        <v>207</v>
      </c>
      <c r="F219">
        <v>108315</v>
      </c>
      <c r="G219">
        <v>30.42</v>
      </c>
      <c r="H219">
        <v>0</v>
      </c>
      <c r="I219" t="s">
        <v>933</v>
      </c>
    </row>
    <row r="220" spans="1:9" x14ac:dyDescent="0.2">
      <c r="A220" t="s">
        <v>546</v>
      </c>
      <c r="B220">
        <v>358110</v>
      </c>
      <c r="C220" s="80">
        <v>42733.62777777778</v>
      </c>
      <c r="D220" t="s">
        <v>672</v>
      </c>
      <c r="E220" t="s">
        <v>478</v>
      </c>
      <c r="F220">
        <v>93247</v>
      </c>
      <c r="G220">
        <v>392.13</v>
      </c>
      <c r="H220">
        <v>0</v>
      </c>
      <c r="I220" t="s">
        <v>934</v>
      </c>
    </row>
    <row r="221" spans="1:9" x14ac:dyDescent="0.2">
      <c r="A221" t="s">
        <v>548</v>
      </c>
      <c r="B221">
        <v>356246</v>
      </c>
      <c r="C221" s="80">
        <v>42724.634027777778</v>
      </c>
      <c r="D221" t="s">
        <v>673</v>
      </c>
      <c r="F221">
        <v>0</v>
      </c>
      <c r="G221">
        <v>0</v>
      </c>
      <c r="H221">
        <v>38.96</v>
      </c>
      <c r="I221" t="s">
        <v>932</v>
      </c>
    </row>
    <row r="222" spans="1:9" x14ac:dyDescent="0.2">
      <c r="A222" t="s">
        <v>548</v>
      </c>
      <c r="B222">
        <v>356246</v>
      </c>
      <c r="C222" s="80">
        <v>42724.634027777778</v>
      </c>
      <c r="D222" t="s">
        <v>549</v>
      </c>
      <c r="E222" t="s">
        <v>207</v>
      </c>
      <c r="F222">
        <v>107566</v>
      </c>
      <c r="G222">
        <v>2.81</v>
      </c>
      <c r="H222">
        <v>0</v>
      </c>
      <c r="I222" t="s">
        <v>933</v>
      </c>
    </row>
    <row r="223" spans="1:9" x14ac:dyDescent="0.2">
      <c r="A223" t="s">
        <v>548</v>
      </c>
      <c r="B223">
        <v>356246</v>
      </c>
      <c r="C223" s="80">
        <v>42724.634027777778</v>
      </c>
      <c r="D223" t="s">
        <v>674</v>
      </c>
      <c r="F223">
        <v>0</v>
      </c>
      <c r="G223">
        <v>0</v>
      </c>
      <c r="H223">
        <v>422.56</v>
      </c>
      <c r="I223" t="s">
        <v>932</v>
      </c>
    </row>
    <row r="224" spans="1:9" x14ac:dyDescent="0.2">
      <c r="A224" t="s">
        <v>548</v>
      </c>
      <c r="B224">
        <v>356246</v>
      </c>
      <c r="C224" s="80">
        <v>42724.634027777778</v>
      </c>
      <c r="D224" t="s">
        <v>549</v>
      </c>
      <c r="E224" t="s">
        <v>207</v>
      </c>
      <c r="F224">
        <v>107566</v>
      </c>
      <c r="G224">
        <v>30.42</v>
      </c>
      <c r="H224">
        <v>0</v>
      </c>
      <c r="I224" t="s">
        <v>933</v>
      </c>
    </row>
    <row r="225" spans="1:9" x14ac:dyDescent="0.2">
      <c r="A225" t="s">
        <v>548</v>
      </c>
      <c r="B225">
        <v>356321</v>
      </c>
      <c r="C225" s="80">
        <v>42724.637499999997</v>
      </c>
      <c r="D225" t="s">
        <v>550</v>
      </c>
      <c r="E225" t="s">
        <v>478</v>
      </c>
      <c r="F225">
        <v>92578</v>
      </c>
      <c r="G225">
        <v>428.29</v>
      </c>
      <c r="H225">
        <v>0</v>
      </c>
      <c r="I225" t="s">
        <v>934</v>
      </c>
    </row>
    <row r="226" spans="1:9" x14ac:dyDescent="0.2">
      <c r="A226" t="s">
        <v>548</v>
      </c>
      <c r="B226">
        <v>358083</v>
      </c>
      <c r="C226" s="80">
        <v>42733.625694444447</v>
      </c>
      <c r="D226" t="s">
        <v>673</v>
      </c>
      <c r="F226">
        <v>0</v>
      </c>
      <c r="G226">
        <v>0</v>
      </c>
      <c r="H226">
        <v>461.04</v>
      </c>
      <c r="I226" t="s">
        <v>932</v>
      </c>
    </row>
    <row r="227" spans="1:9" x14ac:dyDescent="0.2">
      <c r="A227" t="s">
        <v>548</v>
      </c>
      <c r="B227">
        <v>358083</v>
      </c>
      <c r="C227" s="80">
        <v>42733.625694444447</v>
      </c>
      <c r="D227" t="s">
        <v>549</v>
      </c>
      <c r="E227" t="s">
        <v>207</v>
      </c>
      <c r="F227">
        <v>108316</v>
      </c>
      <c r="G227">
        <v>33.19</v>
      </c>
      <c r="H227">
        <v>0</v>
      </c>
      <c r="I227" t="s">
        <v>933</v>
      </c>
    </row>
    <row r="228" spans="1:9" x14ac:dyDescent="0.2">
      <c r="A228" t="s">
        <v>548</v>
      </c>
      <c r="B228">
        <v>358110</v>
      </c>
      <c r="C228" s="80">
        <v>42733.62777777778</v>
      </c>
      <c r="D228" t="s">
        <v>550</v>
      </c>
      <c r="E228" t="s">
        <v>478</v>
      </c>
      <c r="F228">
        <v>93248</v>
      </c>
      <c r="G228">
        <v>427.85</v>
      </c>
      <c r="H228">
        <v>0</v>
      </c>
      <c r="I228" t="s">
        <v>934</v>
      </c>
    </row>
    <row r="229" spans="1:9" x14ac:dyDescent="0.2">
      <c r="A229" t="s">
        <v>551</v>
      </c>
      <c r="B229">
        <v>352297</v>
      </c>
      <c r="C229" s="80">
        <v>42710.647916666669</v>
      </c>
      <c r="D229" t="s">
        <v>675</v>
      </c>
      <c r="F229">
        <v>0</v>
      </c>
      <c r="G229">
        <v>0</v>
      </c>
      <c r="H229">
        <v>500</v>
      </c>
      <c r="I229" t="s">
        <v>932</v>
      </c>
    </row>
    <row r="230" spans="1:9" x14ac:dyDescent="0.2">
      <c r="A230" t="s">
        <v>551</v>
      </c>
      <c r="B230">
        <v>352297</v>
      </c>
      <c r="C230" s="80">
        <v>42710.647916666669</v>
      </c>
      <c r="D230" t="s">
        <v>552</v>
      </c>
      <c r="E230" t="s">
        <v>207</v>
      </c>
      <c r="F230">
        <v>106424</v>
      </c>
      <c r="G230">
        <v>36</v>
      </c>
      <c r="H230">
        <v>0</v>
      </c>
      <c r="I230" t="s">
        <v>933</v>
      </c>
    </row>
    <row r="231" spans="1:9" x14ac:dyDescent="0.2">
      <c r="A231" t="s">
        <v>551</v>
      </c>
      <c r="B231">
        <v>352309</v>
      </c>
      <c r="C231" s="80">
        <v>42710.650694444441</v>
      </c>
      <c r="D231" t="s">
        <v>676</v>
      </c>
      <c r="E231" t="s">
        <v>478</v>
      </c>
      <c r="F231">
        <v>91388</v>
      </c>
      <c r="G231">
        <v>464</v>
      </c>
      <c r="H231">
        <v>0</v>
      </c>
      <c r="I231" t="s">
        <v>934</v>
      </c>
    </row>
    <row r="232" spans="1:9" x14ac:dyDescent="0.2">
      <c r="A232" t="s">
        <v>553</v>
      </c>
      <c r="B232">
        <v>356252</v>
      </c>
      <c r="C232" s="80">
        <v>42724.634027777778</v>
      </c>
      <c r="D232" t="s">
        <v>677</v>
      </c>
      <c r="F232">
        <v>0</v>
      </c>
      <c r="G232">
        <v>0</v>
      </c>
      <c r="H232">
        <v>346.56</v>
      </c>
      <c r="I232" t="s">
        <v>932</v>
      </c>
    </row>
    <row r="233" spans="1:9" x14ac:dyDescent="0.2">
      <c r="A233" t="s">
        <v>553</v>
      </c>
      <c r="B233">
        <v>356252</v>
      </c>
      <c r="C233" s="80">
        <v>42724.634027777778</v>
      </c>
      <c r="D233" t="s">
        <v>554</v>
      </c>
      <c r="E233" t="s">
        <v>207</v>
      </c>
      <c r="F233">
        <v>107572</v>
      </c>
      <c r="G233">
        <v>24.95</v>
      </c>
      <c r="H233">
        <v>0</v>
      </c>
      <c r="I233" t="s">
        <v>933</v>
      </c>
    </row>
    <row r="234" spans="1:9" x14ac:dyDescent="0.2">
      <c r="A234" t="s">
        <v>553</v>
      </c>
      <c r="B234">
        <v>356252</v>
      </c>
      <c r="C234" s="80">
        <v>42724.634027777778</v>
      </c>
      <c r="D234" t="s">
        <v>678</v>
      </c>
      <c r="F234">
        <v>0</v>
      </c>
      <c r="G234">
        <v>0</v>
      </c>
      <c r="H234">
        <v>114.96</v>
      </c>
      <c r="I234" t="s">
        <v>932</v>
      </c>
    </row>
    <row r="235" spans="1:9" x14ac:dyDescent="0.2">
      <c r="A235" t="s">
        <v>553</v>
      </c>
      <c r="B235">
        <v>356252</v>
      </c>
      <c r="C235" s="80">
        <v>42724.634027777778</v>
      </c>
      <c r="D235" t="s">
        <v>554</v>
      </c>
      <c r="E235" t="s">
        <v>207</v>
      </c>
      <c r="F235">
        <v>107572</v>
      </c>
      <c r="G235">
        <v>8.2799999999999994</v>
      </c>
      <c r="H235">
        <v>0</v>
      </c>
      <c r="I235" t="s">
        <v>933</v>
      </c>
    </row>
    <row r="236" spans="1:9" x14ac:dyDescent="0.2">
      <c r="A236" t="s">
        <v>553</v>
      </c>
      <c r="B236">
        <v>356321</v>
      </c>
      <c r="C236" s="80">
        <v>42724.637499999997</v>
      </c>
      <c r="D236" t="s">
        <v>555</v>
      </c>
      <c r="E236" t="s">
        <v>478</v>
      </c>
      <c r="F236">
        <v>92584</v>
      </c>
      <c r="G236">
        <v>428.29</v>
      </c>
      <c r="H236">
        <v>0</v>
      </c>
      <c r="I236" t="s">
        <v>934</v>
      </c>
    </row>
    <row r="237" spans="1:9" x14ac:dyDescent="0.2">
      <c r="A237" t="s">
        <v>553</v>
      </c>
      <c r="B237">
        <v>358087</v>
      </c>
      <c r="C237" s="80">
        <v>42733.625694444447</v>
      </c>
      <c r="D237" t="s">
        <v>677</v>
      </c>
      <c r="F237">
        <v>0</v>
      </c>
      <c r="G237">
        <v>0</v>
      </c>
      <c r="H237">
        <v>153.44</v>
      </c>
      <c r="I237" t="s">
        <v>932</v>
      </c>
    </row>
    <row r="238" spans="1:9" x14ac:dyDescent="0.2">
      <c r="A238" t="s">
        <v>553</v>
      </c>
      <c r="B238">
        <v>358087</v>
      </c>
      <c r="C238" s="80">
        <v>42733.625694444447</v>
      </c>
      <c r="D238" t="s">
        <v>554</v>
      </c>
      <c r="E238" t="s">
        <v>207</v>
      </c>
      <c r="F238">
        <v>108320</v>
      </c>
      <c r="G238">
        <v>11.05</v>
      </c>
      <c r="H238">
        <v>0</v>
      </c>
      <c r="I238" t="s">
        <v>933</v>
      </c>
    </row>
    <row r="239" spans="1:9" x14ac:dyDescent="0.2">
      <c r="A239" t="s">
        <v>553</v>
      </c>
      <c r="B239">
        <v>358110</v>
      </c>
      <c r="C239" s="80">
        <v>42733.62777777778</v>
      </c>
      <c r="D239" t="s">
        <v>555</v>
      </c>
      <c r="E239" t="s">
        <v>478</v>
      </c>
      <c r="F239">
        <v>93252</v>
      </c>
      <c r="G239">
        <v>142.38999999999999</v>
      </c>
      <c r="H239">
        <v>0</v>
      </c>
      <c r="I239" t="s">
        <v>934</v>
      </c>
    </row>
    <row r="240" spans="1:9" x14ac:dyDescent="0.2">
      <c r="A240" t="s">
        <v>556</v>
      </c>
      <c r="B240">
        <v>350073</v>
      </c>
      <c r="C240" s="80">
        <v>42704.84375</v>
      </c>
      <c r="D240" t="s">
        <v>703</v>
      </c>
      <c r="E240" t="s">
        <v>483</v>
      </c>
      <c r="F240">
        <v>1801</v>
      </c>
      <c r="G240">
        <v>74.25</v>
      </c>
      <c r="H240">
        <v>0</v>
      </c>
      <c r="I240" t="s">
        <v>931</v>
      </c>
    </row>
    <row r="241" spans="1:9" x14ac:dyDescent="0.2">
      <c r="A241" t="s">
        <v>556</v>
      </c>
      <c r="B241">
        <v>354300</v>
      </c>
      <c r="C241" s="80">
        <v>42717.624305555553</v>
      </c>
      <c r="D241" t="s">
        <v>679</v>
      </c>
      <c r="F241">
        <v>0</v>
      </c>
      <c r="G241">
        <v>0</v>
      </c>
      <c r="H241">
        <v>650</v>
      </c>
      <c r="I241" t="s">
        <v>932</v>
      </c>
    </row>
    <row r="242" spans="1:9" x14ac:dyDescent="0.2">
      <c r="A242" t="s">
        <v>556</v>
      </c>
      <c r="B242">
        <v>354300</v>
      </c>
      <c r="C242" s="80">
        <v>42717.624305555553</v>
      </c>
      <c r="D242" t="s">
        <v>557</v>
      </c>
      <c r="E242" t="s">
        <v>207</v>
      </c>
      <c r="F242">
        <v>106944</v>
      </c>
      <c r="G242">
        <v>46.8</v>
      </c>
      <c r="H242">
        <v>0</v>
      </c>
      <c r="I242" t="s">
        <v>933</v>
      </c>
    </row>
    <row r="243" spans="1:9" x14ac:dyDescent="0.2">
      <c r="A243" t="s">
        <v>556</v>
      </c>
      <c r="B243">
        <v>354312</v>
      </c>
      <c r="C243" s="80">
        <v>42717.627083333333</v>
      </c>
      <c r="D243" t="s">
        <v>680</v>
      </c>
      <c r="E243" t="s">
        <v>478</v>
      </c>
      <c r="F243">
        <v>92074</v>
      </c>
      <c r="G243">
        <v>528.95000000000005</v>
      </c>
      <c r="H243">
        <v>0</v>
      </c>
      <c r="I243" t="s">
        <v>934</v>
      </c>
    </row>
    <row r="244" spans="1:9" x14ac:dyDescent="0.2">
      <c r="A244" t="s">
        <v>556</v>
      </c>
      <c r="B244">
        <v>355105</v>
      </c>
      <c r="C244" s="80">
        <v>42720.544444444444</v>
      </c>
      <c r="D244" t="s">
        <v>681</v>
      </c>
      <c r="E244" t="s">
        <v>483</v>
      </c>
      <c r="F244">
        <v>209899</v>
      </c>
      <c r="G244">
        <v>209.33</v>
      </c>
      <c r="H244">
        <v>0</v>
      </c>
      <c r="I244" t="s">
        <v>931</v>
      </c>
    </row>
    <row r="245" spans="1:9" x14ac:dyDescent="0.2">
      <c r="A245" t="s">
        <v>558</v>
      </c>
      <c r="B245">
        <v>356268</v>
      </c>
      <c r="C245" s="80">
        <v>42724.634027777778</v>
      </c>
      <c r="D245" t="s">
        <v>682</v>
      </c>
      <c r="F245">
        <v>0</v>
      </c>
      <c r="G245">
        <v>0</v>
      </c>
      <c r="H245">
        <v>77.430000000000007</v>
      </c>
      <c r="I245" t="s">
        <v>932</v>
      </c>
    </row>
    <row r="246" spans="1:9" x14ac:dyDescent="0.2">
      <c r="A246" t="s">
        <v>558</v>
      </c>
      <c r="B246">
        <v>356268</v>
      </c>
      <c r="C246" s="80">
        <v>42724.634027777778</v>
      </c>
      <c r="D246" t="s">
        <v>559</v>
      </c>
      <c r="E246" t="s">
        <v>207</v>
      </c>
      <c r="F246">
        <v>107588</v>
      </c>
      <c r="G246">
        <v>5.58</v>
      </c>
      <c r="H246">
        <v>0</v>
      </c>
      <c r="I246" t="s">
        <v>933</v>
      </c>
    </row>
    <row r="247" spans="1:9" x14ac:dyDescent="0.2">
      <c r="A247" t="s">
        <v>558</v>
      </c>
      <c r="B247">
        <v>356321</v>
      </c>
      <c r="C247" s="80">
        <v>42724.637499999997</v>
      </c>
      <c r="D247" t="s">
        <v>560</v>
      </c>
      <c r="E247" t="s">
        <v>478</v>
      </c>
      <c r="F247">
        <v>92600</v>
      </c>
      <c r="G247">
        <v>71.849999999999994</v>
      </c>
      <c r="H247">
        <v>0</v>
      </c>
      <c r="I247" t="s">
        <v>934</v>
      </c>
    </row>
    <row r="248" spans="1:9" x14ac:dyDescent="0.2">
      <c r="A248" t="s">
        <v>558</v>
      </c>
      <c r="B248">
        <v>356683</v>
      </c>
      <c r="C248" s="80">
        <v>42725.698611111111</v>
      </c>
      <c r="D248" t="s">
        <v>683</v>
      </c>
      <c r="F248">
        <v>0</v>
      </c>
      <c r="G248">
        <v>0</v>
      </c>
      <c r="H248">
        <v>384.09</v>
      </c>
      <c r="I248" t="s">
        <v>932</v>
      </c>
    </row>
    <row r="249" spans="1:9" x14ac:dyDescent="0.2">
      <c r="A249" t="s">
        <v>558</v>
      </c>
      <c r="B249">
        <v>356683</v>
      </c>
      <c r="C249" s="80">
        <v>42725.698611111111</v>
      </c>
      <c r="D249" t="s">
        <v>559</v>
      </c>
      <c r="E249" t="s">
        <v>207</v>
      </c>
      <c r="F249">
        <v>107764</v>
      </c>
      <c r="G249">
        <v>27.66</v>
      </c>
      <c r="H249">
        <v>0</v>
      </c>
      <c r="I249" t="s">
        <v>933</v>
      </c>
    </row>
    <row r="250" spans="1:9" x14ac:dyDescent="0.2">
      <c r="A250" t="s">
        <v>558</v>
      </c>
      <c r="B250">
        <v>356687</v>
      </c>
      <c r="C250" s="80">
        <v>42725.700694444444</v>
      </c>
      <c r="D250" t="s">
        <v>560</v>
      </c>
      <c r="E250" t="s">
        <v>478</v>
      </c>
      <c r="F250">
        <v>92771</v>
      </c>
      <c r="G250">
        <v>356.43</v>
      </c>
      <c r="H250">
        <v>0</v>
      </c>
      <c r="I250" t="s">
        <v>934</v>
      </c>
    </row>
    <row r="251" spans="1:9" x14ac:dyDescent="0.2">
      <c r="A251" t="s">
        <v>558</v>
      </c>
      <c r="B251">
        <v>358818</v>
      </c>
      <c r="C251" s="80">
        <v>42735.510416666664</v>
      </c>
      <c r="D251" t="s">
        <v>682</v>
      </c>
      <c r="F251">
        <v>0</v>
      </c>
      <c r="G251">
        <v>0</v>
      </c>
      <c r="H251">
        <v>422.57</v>
      </c>
      <c r="I251" t="s">
        <v>932</v>
      </c>
    </row>
    <row r="252" spans="1:9" x14ac:dyDescent="0.2">
      <c r="A252" t="s">
        <v>558</v>
      </c>
      <c r="B252">
        <v>358818</v>
      </c>
      <c r="C252" s="80">
        <v>42735.510416666664</v>
      </c>
      <c r="D252" t="s">
        <v>559</v>
      </c>
      <c r="E252" t="s">
        <v>207</v>
      </c>
      <c r="F252">
        <v>108592</v>
      </c>
      <c r="G252">
        <v>30.42</v>
      </c>
      <c r="H252">
        <v>0</v>
      </c>
      <c r="I252" t="s">
        <v>933</v>
      </c>
    </row>
    <row r="253" spans="1:9" x14ac:dyDescent="0.2">
      <c r="A253" t="s">
        <v>558</v>
      </c>
      <c r="B253">
        <v>358837</v>
      </c>
      <c r="C253" s="80">
        <v>42735.537499999999</v>
      </c>
      <c r="D253" t="s">
        <v>560</v>
      </c>
      <c r="E253" t="s">
        <v>478</v>
      </c>
      <c r="F253">
        <v>93502</v>
      </c>
      <c r="G253">
        <v>392.15</v>
      </c>
      <c r="H253">
        <v>0</v>
      </c>
      <c r="I253" t="s">
        <v>934</v>
      </c>
    </row>
    <row r="254" spans="1:9" x14ac:dyDescent="0.2">
      <c r="A254" t="s">
        <v>561</v>
      </c>
      <c r="B254">
        <v>351086</v>
      </c>
      <c r="C254" s="80">
        <v>42709.494444444441</v>
      </c>
      <c r="D254" t="s">
        <v>684</v>
      </c>
      <c r="E254" t="s">
        <v>483</v>
      </c>
      <c r="F254">
        <v>1988</v>
      </c>
      <c r="G254">
        <v>72</v>
      </c>
      <c r="H254">
        <v>0</v>
      </c>
      <c r="I254" t="s">
        <v>931</v>
      </c>
    </row>
    <row r="255" spans="1:9" x14ac:dyDescent="0.2">
      <c r="A255" t="s">
        <v>561</v>
      </c>
      <c r="B255">
        <v>354922</v>
      </c>
      <c r="C255" s="80">
        <v>42719.636805555558</v>
      </c>
      <c r="D255" t="s">
        <v>685</v>
      </c>
      <c r="F255">
        <v>0</v>
      </c>
      <c r="G255">
        <v>0</v>
      </c>
      <c r="H255">
        <v>80.56</v>
      </c>
      <c r="I255" t="s">
        <v>932</v>
      </c>
    </row>
    <row r="256" spans="1:9" x14ac:dyDescent="0.2">
      <c r="A256" t="s">
        <v>561</v>
      </c>
      <c r="B256">
        <v>354922</v>
      </c>
      <c r="C256" s="80">
        <v>42719.636805555558</v>
      </c>
      <c r="D256" t="s">
        <v>562</v>
      </c>
      <c r="E256" t="s">
        <v>207</v>
      </c>
      <c r="F256">
        <v>107145</v>
      </c>
      <c r="G256">
        <v>5.8</v>
      </c>
      <c r="H256">
        <v>0</v>
      </c>
      <c r="I256" t="s">
        <v>933</v>
      </c>
    </row>
    <row r="257" spans="1:9" x14ac:dyDescent="0.2">
      <c r="A257" t="s">
        <v>561</v>
      </c>
      <c r="B257">
        <v>354931</v>
      </c>
      <c r="C257" s="80">
        <v>42719.642361111109</v>
      </c>
      <c r="D257" t="s">
        <v>686</v>
      </c>
      <c r="E257" t="s">
        <v>478</v>
      </c>
      <c r="F257">
        <v>92253</v>
      </c>
      <c r="G257">
        <v>2.76</v>
      </c>
      <c r="H257">
        <v>0</v>
      </c>
      <c r="I257" t="s">
        <v>934</v>
      </c>
    </row>
    <row r="258" spans="1:9" x14ac:dyDescent="0.2">
      <c r="A258" t="s">
        <v>561</v>
      </c>
      <c r="B258">
        <v>356280</v>
      </c>
      <c r="C258" s="80">
        <v>42724.634027777778</v>
      </c>
      <c r="D258" t="s">
        <v>685</v>
      </c>
      <c r="F258">
        <v>0</v>
      </c>
      <c r="G258">
        <v>0</v>
      </c>
      <c r="H258">
        <v>419.44</v>
      </c>
      <c r="I258" t="s">
        <v>932</v>
      </c>
    </row>
    <row r="259" spans="1:9" x14ac:dyDescent="0.2">
      <c r="A259" t="s">
        <v>561</v>
      </c>
      <c r="B259">
        <v>356280</v>
      </c>
      <c r="C259" s="80">
        <v>42724.634027777778</v>
      </c>
      <c r="D259" t="s">
        <v>562</v>
      </c>
      <c r="E259" t="s">
        <v>207</v>
      </c>
      <c r="F259">
        <v>107600</v>
      </c>
      <c r="G259">
        <v>30.2</v>
      </c>
      <c r="H259">
        <v>0</v>
      </c>
      <c r="I259" t="s">
        <v>933</v>
      </c>
    </row>
    <row r="260" spans="1:9" x14ac:dyDescent="0.2">
      <c r="A260" t="s">
        <v>561</v>
      </c>
      <c r="B260">
        <v>356321</v>
      </c>
      <c r="C260" s="80">
        <v>42724.637499999997</v>
      </c>
      <c r="D260" t="s">
        <v>686</v>
      </c>
      <c r="E260" t="s">
        <v>478</v>
      </c>
      <c r="F260">
        <v>92612</v>
      </c>
      <c r="G260">
        <v>389.24</v>
      </c>
      <c r="H260">
        <v>0</v>
      </c>
      <c r="I260" t="s">
        <v>934</v>
      </c>
    </row>
    <row r="261" spans="1:9" x14ac:dyDescent="0.2">
      <c r="A261" t="s">
        <v>563</v>
      </c>
      <c r="B261">
        <v>350084</v>
      </c>
      <c r="C261" s="80">
        <v>42704.851388888892</v>
      </c>
      <c r="D261" t="s">
        <v>704</v>
      </c>
      <c r="E261" t="s">
        <v>483</v>
      </c>
      <c r="F261">
        <v>209863</v>
      </c>
      <c r="G261">
        <v>45</v>
      </c>
      <c r="H261">
        <v>0</v>
      </c>
      <c r="I261" t="s">
        <v>931</v>
      </c>
    </row>
    <row r="262" spans="1:9" x14ac:dyDescent="0.2">
      <c r="A262" t="s">
        <v>563</v>
      </c>
      <c r="B262">
        <v>356283</v>
      </c>
      <c r="C262" s="80">
        <v>42724.634027777778</v>
      </c>
      <c r="D262" t="s">
        <v>687</v>
      </c>
      <c r="F262">
        <v>0</v>
      </c>
      <c r="G262">
        <v>0</v>
      </c>
      <c r="H262">
        <v>77.44</v>
      </c>
      <c r="I262" t="s">
        <v>932</v>
      </c>
    </row>
    <row r="263" spans="1:9" x14ac:dyDescent="0.2">
      <c r="A263" t="s">
        <v>563</v>
      </c>
      <c r="B263">
        <v>356283</v>
      </c>
      <c r="C263" s="80">
        <v>42724.634027777778</v>
      </c>
      <c r="D263" t="s">
        <v>564</v>
      </c>
      <c r="E263" t="s">
        <v>207</v>
      </c>
      <c r="F263">
        <v>107603</v>
      </c>
      <c r="G263">
        <v>5.58</v>
      </c>
      <c r="H263">
        <v>0</v>
      </c>
      <c r="I263" t="s">
        <v>933</v>
      </c>
    </row>
    <row r="264" spans="1:9" x14ac:dyDescent="0.2">
      <c r="A264" t="s">
        <v>563</v>
      </c>
      <c r="B264">
        <v>356283</v>
      </c>
      <c r="C264" s="80">
        <v>42724.634027777778</v>
      </c>
      <c r="D264" t="s">
        <v>688</v>
      </c>
      <c r="F264">
        <v>0</v>
      </c>
      <c r="G264">
        <v>0</v>
      </c>
      <c r="H264">
        <v>384.08</v>
      </c>
      <c r="I264" t="s">
        <v>932</v>
      </c>
    </row>
    <row r="265" spans="1:9" x14ac:dyDescent="0.2">
      <c r="A265" t="s">
        <v>563</v>
      </c>
      <c r="B265">
        <v>356283</v>
      </c>
      <c r="C265" s="80">
        <v>42724.634027777778</v>
      </c>
      <c r="D265" t="s">
        <v>564</v>
      </c>
      <c r="E265" t="s">
        <v>207</v>
      </c>
      <c r="F265">
        <v>107603</v>
      </c>
      <c r="G265">
        <v>27.65</v>
      </c>
      <c r="H265">
        <v>0</v>
      </c>
      <c r="I265" t="s">
        <v>933</v>
      </c>
    </row>
    <row r="266" spans="1:9" x14ac:dyDescent="0.2">
      <c r="A266" t="s">
        <v>563</v>
      </c>
      <c r="B266">
        <v>356321</v>
      </c>
      <c r="C266" s="80">
        <v>42724.637499999997</v>
      </c>
      <c r="D266" t="s">
        <v>565</v>
      </c>
      <c r="E266" t="s">
        <v>478</v>
      </c>
      <c r="F266">
        <v>92615</v>
      </c>
      <c r="G266">
        <v>383.29</v>
      </c>
      <c r="H266">
        <v>0</v>
      </c>
      <c r="I266" t="s">
        <v>934</v>
      </c>
    </row>
    <row r="267" spans="1:9" x14ac:dyDescent="0.2">
      <c r="A267" t="s">
        <v>563</v>
      </c>
      <c r="B267">
        <v>358826</v>
      </c>
      <c r="C267" s="80">
        <v>42735.510416666664</v>
      </c>
      <c r="D267" t="s">
        <v>687</v>
      </c>
      <c r="F267">
        <v>0</v>
      </c>
      <c r="G267">
        <v>0</v>
      </c>
      <c r="H267">
        <v>422.56</v>
      </c>
      <c r="I267" t="s">
        <v>932</v>
      </c>
    </row>
    <row r="268" spans="1:9" x14ac:dyDescent="0.2">
      <c r="A268" t="s">
        <v>563</v>
      </c>
      <c r="B268">
        <v>358826</v>
      </c>
      <c r="C268" s="80">
        <v>42735.510416666664</v>
      </c>
      <c r="D268" t="s">
        <v>564</v>
      </c>
      <c r="E268" t="s">
        <v>207</v>
      </c>
      <c r="F268">
        <v>108600</v>
      </c>
      <c r="G268">
        <v>30.42</v>
      </c>
      <c r="H268">
        <v>0</v>
      </c>
      <c r="I268" t="s">
        <v>933</v>
      </c>
    </row>
    <row r="269" spans="1:9" x14ac:dyDescent="0.2">
      <c r="A269" t="s">
        <v>563</v>
      </c>
      <c r="B269">
        <v>358837</v>
      </c>
      <c r="C269" s="80">
        <v>42735.537499999999</v>
      </c>
      <c r="D269" t="s">
        <v>565</v>
      </c>
      <c r="E269" t="s">
        <v>478</v>
      </c>
      <c r="F269">
        <v>93510</v>
      </c>
      <c r="G269">
        <v>392.14</v>
      </c>
      <c r="H269">
        <v>0</v>
      </c>
      <c r="I269" t="s">
        <v>934</v>
      </c>
    </row>
    <row r="270" spans="1:9" x14ac:dyDescent="0.2">
      <c r="A270" t="s">
        <v>566</v>
      </c>
      <c r="B270">
        <v>356247</v>
      </c>
      <c r="C270" s="80">
        <v>42724.634027777778</v>
      </c>
      <c r="D270" t="s">
        <v>689</v>
      </c>
      <c r="F270">
        <v>0</v>
      </c>
      <c r="G270">
        <v>0</v>
      </c>
      <c r="H270">
        <v>77.44</v>
      </c>
      <c r="I270" t="s">
        <v>932</v>
      </c>
    </row>
    <row r="271" spans="1:9" x14ac:dyDescent="0.2">
      <c r="A271" t="s">
        <v>566</v>
      </c>
      <c r="B271">
        <v>356247</v>
      </c>
      <c r="C271" s="80">
        <v>42724.634027777778</v>
      </c>
      <c r="D271" t="s">
        <v>567</v>
      </c>
      <c r="E271" t="s">
        <v>207</v>
      </c>
      <c r="F271">
        <v>107567</v>
      </c>
      <c r="G271">
        <v>5.58</v>
      </c>
      <c r="H271">
        <v>0</v>
      </c>
      <c r="I271" t="s">
        <v>933</v>
      </c>
    </row>
    <row r="272" spans="1:9" x14ac:dyDescent="0.2">
      <c r="A272" t="s">
        <v>566</v>
      </c>
      <c r="B272">
        <v>356321</v>
      </c>
      <c r="C272" s="80">
        <v>42724.637499999997</v>
      </c>
      <c r="D272" t="s">
        <v>690</v>
      </c>
      <c r="E272" t="s">
        <v>478</v>
      </c>
      <c r="F272">
        <v>92579</v>
      </c>
      <c r="G272">
        <v>71.86</v>
      </c>
      <c r="H272">
        <v>0</v>
      </c>
      <c r="I272" t="s">
        <v>934</v>
      </c>
    </row>
    <row r="273" spans="1:9" x14ac:dyDescent="0.2">
      <c r="A273" t="s">
        <v>566</v>
      </c>
      <c r="B273">
        <v>357173</v>
      </c>
      <c r="C273" s="80">
        <v>42727.556944444441</v>
      </c>
      <c r="D273" t="s">
        <v>691</v>
      </c>
      <c r="F273">
        <v>0</v>
      </c>
      <c r="G273">
        <v>0</v>
      </c>
      <c r="H273">
        <v>384.08</v>
      </c>
      <c r="I273" t="s">
        <v>932</v>
      </c>
    </row>
    <row r="274" spans="1:9" x14ac:dyDescent="0.2">
      <c r="A274" t="s">
        <v>566</v>
      </c>
      <c r="B274">
        <v>357173</v>
      </c>
      <c r="C274" s="80">
        <v>42727.556944444441</v>
      </c>
      <c r="D274" t="s">
        <v>567</v>
      </c>
      <c r="E274" t="s">
        <v>207</v>
      </c>
      <c r="F274">
        <v>107915</v>
      </c>
      <c r="G274">
        <v>27.65</v>
      </c>
      <c r="H274">
        <v>0</v>
      </c>
      <c r="I274" t="s">
        <v>933</v>
      </c>
    </row>
    <row r="275" spans="1:9" x14ac:dyDescent="0.2">
      <c r="A275" t="s">
        <v>566</v>
      </c>
      <c r="B275">
        <v>357183</v>
      </c>
      <c r="C275" s="80">
        <v>42727.559027777781</v>
      </c>
      <c r="D275" t="s">
        <v>690</v>
      </c>
      <c r="E275" t="s">
        <v>478</v>
      </c>
      <c r="F275">
        <v>92895</v>
      </c>
      <c r="G275">
        <v>356.43</v>
      </c>
      <c r="H275">
        <v>0</v>
      </c>
      <c r="I275" t="s">
        <v>934</v>
      </c>
    </row>
    <row r="276" spans="1:9" x14ac:dyDescent="0.2">
      <c r="A276" t="s">
        <v>566</v>
      </c>
      <c r="B276">
        <v>358812</v>
      </c>
      <c r="C276" s="80">
        <v>42735.510416666664</v>
      </c>
      <c r="D276" t="s">
        <v>689</v>
      </c>
      <c r="F276">
        <v>0</v>
      </c>
      <c r="G276">
        <v>0</v>
      </c>
      <c r="H276">
        <v>422.56</v>
      </c>
      <c r="I276" t="s">
        <v>932</v>
      </c>
    </row>
    <row r="277" spans="1:9" x14ac:dyDescent="0.2">
      <c r="A277" t="s">
        <v>566</v>
      </c>
      <c r="B277">
        <v>358812</v>
      </c>
      <c r="C277" s="80">
        <v>42735.510416666664</v>
      </c>
      <c r="D277" t="s">
        <v>567</v>
      </c>
      <c r="E277" t="s">
        <v>207</v>
      </c>
      <c r="F277">
        <v>108587</v>
      </c>
      <c r="G277">
        <v>30.42</v>
      </c>
      <c r="H277">
        <v>0</v>
      </c>
      <c r="I277" t="s">
        <v>933</v>
      </c>
    </row>
    <row r="278" spans="1:9" x14ac:dyDescent="0.2">
      <c r="A278" t="s">
        <v>566</v>
      </c>
      <c r="B278">
        <v>358837</v>
      </c>
      <c r="C278" s="80">
        <v>42735.537499999999</v>
      </c>
      <c r="D278" t="s">
        <v>690</v>
      </c>
      <c r="E278" t="s">
        <v>478</v>
      </c>
      <c r="F278">
        <v>93496</v>
      </c>
      <c r="G278">
        <v>392.14</v>
      </c>
      <c r="H278">
        <v>0</v>
      </c>
      <c r="I278" t="s">
        <v>934</v>
      </c>
    </row>
    <row r="279" spans="1:9" x14ac:dyDescent="0.2">
      <c r="A279" s="62" t="s">
        <v>568</v>
      </c>
      <c r="B279" s="62">
        <v>355774</v>
      </c>
      <c r="C279" s="141">
        <v>42723.689583333333</v>
      </c>
      <c r="D279" s="62" t="s">
        <v>692</v>
      </c>
      <c r="E279" s="62" t="s">
        <v>483</v>
      </c>
      <c r="F279" s="62">
        <v>8113</v>
      </c>
      <c r="G279" s="62">
        <v>59.4</v>
      </c>
      <c r="H279">
        <v>0</v>
      </c>
      <c r="I279" t="s">
        <v>931</v>
      </c>
    </row>
    <row r="280" spans="1:9" x14ac:dyDescent="0.2">
      <c r="A280" t="s">
        <v>568</v>
      </c>
      <c r="B280">
        <v>356249</v>
      </c>
      <c r="C280" s="80">
        <v>42724.634027777778</v>
      </c>
      <c r="D280" t="s">
        <v>693</v>
      </c>
      <c r="F280">
        <v>0</v>
      </c>
      <c r="G280">
        <v>0</v>
      </c>
      <c r="H280">
        <v>466.12</v>
      </c>
      <c r="I280" t="s">
        <v>932</v>
      </c>
    </row>
    <row r="281" spans="1:9" x14ac:dyDescent="0.2">
      <c r="A281" t="s">
        <v>568</v>
      </c>
      <c r="B281">
        <v>356249</v>
      </c>
      <c r="C281" s="80">
        <v>42724.634027777778</v>
      </c>
      <c r="D281" t="s">
        <v>569</v>
      </c>
      <c r="E281" t="s">
        <v>207</v>
      </c>
      <c r="F281">
        <v>107569</v>
      </c>
      <c r="G281">
        <v>33.56</v>
      </c>
      <c r="H281">
        <v>0</v>
      </c>
      <c r="I281" t="s">
        <v>933</v>
      </c>
    </row>
    <row r="282" spans="1:9" x14ac:dyDescent="0.2">
      <c r="A282" t="s">
        <v>568</v>
      </c>
      <c r="B282">
        <v>356321</v>
      </c>
      <c r="C282" s="80">
        <v>42724.637499999997</v>
      </c>
      <c r="D282" t="s">
        <v>570</v>
      </c>
      <c r="E282" t="s">
        <v>478</v>
      </c>
      <c r="F282">
        <v>92581</v>
      </c>
      <c r="G282">
        <v>373.16</v>
      </c>
      <c r="H282">
        <v>0</v>
      </c>
      <c r="I282" t="s">
        <v>934</v>
      </c>
    </row>
    <row r="283" spans="1:9" x14ac:dyDescent="0.2">
      <c r="A283" t="s">
        <v>571</v>
      </c>
      <c r="B283">
        <v>356251</v>
      </c>
      <c r="C283" s="80">
        <v>42724.634027777778</v>
      </c>
      <c r="D283" t="s">
        <v>694</v>
      </c>
      <c r="F283">
        <v>0</v>
      </c>
      <c r="G283">
        <v>0</v>
      </c>
      <c r="H283">
        <v>77.44</v>
      </c>
      <c r="I283" t="s">
        <v>932</v>
      </c>
    </row>
    <row r="284" spans="1:9" x14ac:dyDescent="0.2">
      <c r="A284" t="s">
        <v>571</v>
      </c>
      <c r="B284">
        <v>356251</v>
      </c>
      <c r="C284" s="80">
        <v>42724.634027777778</v>
      </c>
      <c r="D284" t="s">
        <v>572</v>
      </c>
      <c r="E284" t="s">
        <v>207</v>
      </c>
      <c r="F284">
        <v>107571</v>
      </c>
      <c r="G284">
        <v>5.58</v>
      </c>
      <c r="H284">
        <v>0</v>
      </c>
      <c r="I284" t="s">
        <v>933</v>
      </c>
    </row>
    <row r="285" spans="1:9" x14ac:dyDescent="0.2">
      <c r="A285" t="s">
        <v>571</v>
      </c>
      <c r="B285">
        <v>356251</v>
      </c>
      <c r="C285" s="80">
        <v>42724.634027777778</v>
      </c>
      <c r="D285" t="s">
        <v>695</v>
      </c>
      <c r="F285">
        <v>0</v>
      </c>
      <c r="G285">
        <v>0</v>
      </c>
      <c r="H285">
        <v>384.08</v>
      </c>
      <c r="I285" t="s">
        <v>932</v>
      </c>
    </row>
    <row r="286" spans="1:9" x14ac:dyDescent="0.2">
      <c r="A286" t="s">
        <v>571</v>
      </c>
      <c r="B286">
        <v>356251</v>
      </c>
      <c r="C286" s="80">
        <v>42724.634027777778</v>
      </c>
      <c r="D286" t="s">
        <v>572</v>
      </c>
      <c r="E286" t="s">
        <v>207</v>
      </c>
      <c r="F286">
        <v>107571</v>
      </c>
      <c r="G286">
        <v>27.65</v>
      </c>
      <c r="H286">
        <v>0</v>
      </c>
      <c r="I286" t="s">
        <v>933</v>
      </c>
    </row>
    <row r="287" spans="1:9" x14ac:dyDescent="0.2">
      <c r="A287" t="s">
        <v>571</v>
      </c>
      <c r="B287">
        <v>356321</v>
      </c>
      <c r="C287" s="80">
        <v>42724.637499999997</v>
      </c>
      <c r="D287" t="s">
        <v>696</v>
      </c>
      <c r="E287" t="s">
        <v>478</v>
      </c>
      <c r="F287">
        <v>92583</v>
      </c>
      <c r="G287">
        <v>428.29</v>
      </c>
      <c r="H287">
        <v>0</v>
      </c>
      <c r="I287" t="s">
        <v>934</v>
      </c>
    </row>
    <row r="288" spans="1:9" x14ac:dyDescent="0.2">
      <c r="A288" s="62" t="s">
        <v>573</v>
      </c>
      <c r="B288" s="62">
        <v>350074</v>
      </c>
      <c r="C288" s="141">
        <v>42704.845138888886</v>
      </c>
      <c r="D288" s="62" t="s">
        <v>705</v>
      </c>
      <c r="E288" s="62" t="s">
        <v>483</v>
      </c>
      <c r="F288" s="62">
        <v>1821</v>
      </c>
      <c r="G288" s="62">
        <v>44</v>
      </c>
      <c r="H288">
        <v>0</v>
      </c>
      <c r="I288" t="s">
        <v>931</v>
      </c>
    </row>
    <row r="289" spans="1:9" x14ac:dyDescent="0.2">
      <c r="A289" t="s">
        <v>573</v>
      </c>
      <c r="B289">
        <v>356253</v>
      </c>
      <c r="C289" s="80">
        <v>42724.634027777778</v>
      </c>
      <c r="D289" t="s">
        <v>574</v>
      </c>
      <c r="F289">
        <v>0</v>
      </c>
      <c r="G289">
        <v>0</v>
      </c>
      <c r="H289">
        <v>102.4</v>
      </c>
      <c r="I289" t="s">
        <v>932</v>
      </c>
    </row>
    <row r="290" spans="1:9" x14ac:dyDescent="0.2">
      <c r="A290" t="s">
        <v>573</v>
      </c>
      <c r="B290">
        <v>356253</v>
      </c>
      <c r="C290" s="80">
        <v>42724.634027777778</v>
      </c>
      <c r="D290" t="s">
        <v>575</v>
      </c>
      <c r="E290" t="s">
        <v>207</v>
      </c>
      <c r="F290">
        <v>107573</v>
      </c>
      <c r="G290">
        <v>7.37</v>
      </c>
      <c r="H290">
        <v>0</v>
      </c>
      <c r="I290" t="s">
        <v>933</v>
      </c>
    </row>
    <row r="291" spans="1:9" x14ac:dyDescent="0.2">
      <c r="A291" t="s">
        <v>573</v>
      </c>
      <c r="B291">
        <v>356321</v>
      </c>
      <c r="C291" s="80">
        <v>42724.637499999997</v>
      </c>
      <c r="D291" t="s">
        <v>576</v>
      </c>
      <c r="E291" t="s">
        <v>478</v>
      </c>
      <c r="F291">
        <v>92585</v>
      </c>
      <c r="G291">
        <v>51.03</v>
      </c>
      <c r="H291">
        <v>0</v>
      </c>
      <c r="I291" t="s">
        <v>934</v>
      </c>
    </row>
  </sheetData>
  <autoFilter ref="A1:H29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80"/>
  <sheetViews>
    <sheetView zoomScale="70" workbookViewId="0">
      <selection activeCell="E58" sqref="E58"/>
    </sheetView>
  </sheetViews>
  <sheetFormatPr defaultRowHeight="12.75" x14ac:dyDescent="0.2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 x14ac:dyDescent="0.2">
      <c r="A1" s="1" t="s">
        <v>20</v>
      </c>
      <c r="B1" s="1" t="s">
        <v>32</v>
      </c>
      <c r="C1" s="1" t="s">
        <v>90</v>
      </c>
      <c r="D1" s="67" t="s">
        <v>184</v>
      </c>
      <c r="E1" s="67" t="s">
        <v>577</v>
      </c>
      <c r="F1" s="1"/>
      <c r="G1" s="1"/>
    </row>
    <row r="2" spans="1:7" x14ac:dyDescent="0.2">
      <c r="A2" s="68">
        <v>2</v>
      </c>
      <c r="B2" s="69" t="s">
        <v>135</v>
      </c>
      <c r="C2" s="69" t="s">
        <v>95</v>
      </c>
      <c r="D2" s="69"/>
      <c r="G2" s="22"/>
    </row>
    <row r="3" spans="1:7" x14ac:dyDescent="0.2">
      <c r="A3" s="68">
        <v>1</v>
      </c>
      <c r="B3" s="69" t="s">
        <v>53</v>
      </c>
      <c r="C3" s="69" t="s">
        <v>95</v>
      </c>
      <c r="D3" s="68">
        <v>141.63</v>
      </c>
      <c r="E3" t="s">
        <v>476</v>
      </c>
    </row>
    <row r="4" spans="1:7" x14ac:dyDescent="0.2">
      <c r="A4" s="68">
        <v>14</v>
      </c>
      <c r="B4" s="69" t="s">
        <v>54</v>
      </c>
      <c r="C4" s="69" t="s">
        <v>95</v>
      </c>
      <c r="D4" s="68">
        <v>143.4</v>
      </c>
      <c r="E4" t="s">
        <v>479</v>
      </c>
    </row>
    <row r="5" spans="1:7" x14ac:dyDescent="0.2">
      <c r="A5" s="68">
        <v>3</v>
      </c>
      <c r="B5" s="69" t="s">
        <v>55</v>
      </c>
      <c r="C5" s="69" t="s">
        <v>95</v>
      </c>
      <c r="D5" s="68">
        <v>93.49</v>
      </c>
      <c r="E5" t="s">
        <v>481</v>
      </c>
    </row>
    <row r="6" spans="1:7" x14ac:dyDescent="0.2">
      <c r="A6" s="68">
        <v>4</v>
      </c>
      <c r="B6" s="69" t="s">
        <v>56</v>
      </c>
      <c r="C6" s="69" t="s">
        <v>95</v>
      </c>
      <c r="D6" s="68">
        <v>141.66</v>
      </c>
      <c r="E6" t="s">
        <v>484</v>
      </c>
    </row>
    <row r="7" spans="1:7" x14ac:dyDescent="0.2">
      <c r="A7" s="68">
        <v>7</v>
      </c>
      <c r="B7" s="69" t="s">
        <v>136</v>
      </c>
      <c r="C7" s="69" t="s">
        <v>95</v>
      </c>
      <c r="D7" s="69"/>
      <c r="E7" s="2"/>
    </row>
    <row r="8" spans="1:7" x14ac:dyDescent="0.2">
      <c r="A8" s="68">
        <v>5</v>
      </c>
      <c r="B8" s="69" t="s">
        <v>57</v>
      </c>
      <c r="C8" s="69" t="s">
        <v>95</v>
      </c>
      <c r="D8" s="68">
        <v>127.6</v>
      </c>
      <c r="E8" t="s">
        <v>486</v>
      </c>
    </row>
    <row r="9" spans="1:7" x14ac:dyDescent="0.2">
      <c r="A9" s="68">
        <v>6</v>
      </c>
      <c r="B9" s="69" t="s">
        <v>58</v>
      </c>
      <c r="C9" s="69" t="s">
        <v>95</v>
      </c>
      <c r="D9" s="68">
        <v>93.99</v>
      </c>
      <c r="E9" t="s">
        <v>488</v>
      </c>
    </row>
    <row r="10" spans="1:7" x14ac:dyDescent="0.2">
      <c r="A10" s="68">
        <v>8</v>
      </c>
      <c r="B10" s="69" t="s">
        <v>59</v>
      </c>
      <c r="C10" s="69" t="s">
        <v>95</v>
      </c>
      <c r="D10" s="68">
        <v>143.94</v>
      </c>
      <c r="E10" t="s">
        <v>578</v>
      </c>
    </row>
    <row r="11" spans="1:7" x14ac:dyDescent="0.2">
      <c r="A11" s="68">
        <v>50</v>
      </c>
      <c r="B11" s="69" t="s">
        <v>185</v>
      </c>
      <c r="C11" s="69" t="s">
        <v>95</v>
      </c>
      <c r="D11" s="69"/>
      <c r="E11" s="2"/>
    </row>
    <row r="12" spans="1:7" x14ac:dyDescent="0.2">
      <c r="A12" s="68">
        <v>73</v>
      </c>
      <c r="B12" s="69" t="s">
        <v>186</v>
      </c>
      <c r="C12" s="69" t="s">
        <v>95</v>
      </c>
      <c r="D12" s="68">
        <v>189.14</v>
      </c>
      <c r="E12" t="s">
        <v>490</v>
      </c>
    </row>
    <row r="13" spans="1:7" x14ac:dyDescent="0.2">
      <c r="A13" s="68">
        <v>74</v>
      </c>
      <c r="B13" s="69" t="s">
        <v>187</v>
      </c>
      <c r="C13" s="69" t="s">
        <v>95</v>
      </c>
      <c r="D13" s="68">
        <v>167.33</v>
      </c>
      <c r="E13" t="s">
        <v>492</v>
      </c>
    </row>
    <row r="14" spans="1:7" x14ac:dyDescent="0.2">
      <c r="A14" s="68">
        <v>75</v>
      </c>
      <c r="B14" s="69" t="s">
        <v>188</v>
      </c>
      <c r="C14" s="69" t="s">
        <v>95</v>
      </c>
      <c r="D14" s="68">
        <v>203.37</v>
      </c>
      <c r="E14" t="s">
        <v>494</v>
      </c>
    </row>
    <row r="15" spans="1:7" x14ac:dyDescent="0.2">
      <c r="A15" s="68">
        <v>12</v>
      </c>
      <c r="B15" s="69" t="s">
        <v>137</v>
      </c>
      <c r="C15" s="69" t="s">
        <v>95</v>
      </c>
      <c r="D15" s="69"/>
      <c r="E15" s="2"/>
    </row>
    <row r="16" spans="1:7" x14ac:dyDescent="0.2">
      <c r="A16" s="68">
        <v>9</v>
      </c>
      <c r="B16" s="69" t="s">
        <v>60</v>
      </c>
      <c r="C16" s="69" t="s">
        <v>95</v>
      </c>
      <c r="D16" s="68">
        <v>135.4</v>
      </c>
      <c r="E16" t="s">
        <v>497</v>
      </c>
    </row>
    <row r="17" spans="1:5" x14ac:dyDescent="0.2">
      <c r="A17" s="68">
        <v>10</v>
      </c>
      <c r="B17" s="69" t="s">
        <v>61</v>
      </c>
      <c r="C17" s="69" t="s">
        <v>95</v>
      </c>
      <c r="D17" s="68">
        <v>129.29</v>
      </c>
      <c r="E17" t="s">
        <v>499</v>
      </c>
    </row>
    <row r="18" spans="1:5" x14ac:dyDescent="0.2">
      <c r="A18" s="68">
        <v>11</v>
      </c>
      <c r="B18" s="69" t="s">
        <v>62</v>
      </c>
      <c r="C18" s="69" t="s">
        <v>95</v>
      </c>
      <c r="D18" s="68">
        <v>116</v>
      </c>
      <c r="E18" t="s">
        <v>501</v>
      </c>
    </row>
    <row r="19" spans="1:5" x14ac:dyDescent="0.2">
      <c r="A19" s="68">
        <v>15</v>
      </c>
      <c r="B19" s="69" t="s">
        <v>138</v>
      </c>
      <c r="C19" s="69" t="s">
        <v>95</v>
      </c>
      <c r="D19" s="69"/>
      <c r="E19" s="2"/>
    </row>
    <row r="20" spans="1:5" x14ac:dyDescent="0.2">
      <c r="A20" s="68">
        <v>17</v>
      </c>
      <c r="B20" s="69" t="s">
        <v>63</v>
      </c>
      <c r="C20" s="69" t="s">
        <v>95</v>
      </c>
      <c r="D20" s="68">
        <v>148.76</v>
      </c>
      <c r="E20" t="s">
        <v>503</v>
      </c>
    </row>
    <row r="21" spans="1:5" x14ac:dyDescent="0.2">
      <c r="A21" s="68">
        <v>44</v>
      </c>
      <c r="B21" s="69" t="s">
        <v>64</v>
      </c>
      <c r="C21" s="69" t="s">
        <v>95</v>
      </c>
      <c r="D21" s="68">
        <v>165.12</v>
      </c>
      <c r="E21" t="s">
        <v>505</v>
      </c>
    </row>
    <row r="22" spans="1:5" x14ac:dyDescent="0.2">
      <c r="A22" s="68">
        <v>16</v>
      </c>
      <c r="B22" s="69" t="s">
        <v>65</v>
      </c>
      <c r="C22" s="69" t="s">
        <v>95</v>
      </c>
      <c r="D22" s="68">
        <v>196.17</v>
      </c>
      <c r="E22" t="s">
        <v>507</v>
      </c>
    </row>
    <row r="23" spans="1:5" x14ac:dyDescent="0.2">
      <c r="A23" s="68">
        <v>18</v>
      </c>
      <c r="B23" s="69" t="s">
        <v>220</v>
      </c>
      <c r="C23" s="69" t="s">
        <v>95</v>
      </c>
      <c r="D23" s="69"/>
    </row>
    <row r="24" spans="1:5" x14ac:dyDescent="0.2">
      <c r="A24" s="68">
        <v>19</v>
      </c>
      <c r="B24" s="69" t="s">
        <v>99</v>
      </c>
      <c r="C24" s="69" t="s">
        <v>95</v>
      </c>
      <c r="D24" s="68">
        <v>163.35</v>
      </c>
      <c r="E24" t="s">
        <v>510</v>
      </c>
    </row>
    <row r="25" spans="1:5" x14ac:dyDescent="0.2">
      <c r="A25" s="68">
        <v>34</v>
      </c>
      <c r="B25" s="69" t="s">
        <v>102</v>
      </c>
      <c r="C25" s="69" t="s">
        <v>95</v>
      </c>
      <c r="D25" s="68">
        <v>496.98</v>
      </c>
      <c r="E25" t="s">
        <v>512</v>
      </c>
    </row>
    <row r="26" spans="1:5" x14ac:dyDescent="0.2">
      <c r="A26" s="68">
        <v>20</v>
      </c>
      <c r="B26" s="69" t="s">
        <v>140</v>
      </c>
      <c r="C26" s="69" t="s">
        <v>95</v>
      </c>
      <c r="D26" s="69"/>
    </row>
    <row r="27" spans="1:5" x14ac:dyDescent="0.2">
      <c r="A27" s="68">
        <v>20</v>
      </c>
      <c r="B27" s="69" t="s">
        <v>235</v>
      </c>
      <c r="C27" s="69" t="s">
        <v>197</v>
      </c>
      <c r="D27" s="69"/>
    </row>
    <row r="28" spans="1:5" x14ac:dyDescent="0.2">
      <c r="A28" s="68">
        <v>20</v>
      </c>
      <c r="B28" s="69" t="s">
        <v>139</v>
      </c>
      <c r="C28" s="69" t="s">
        <v>104</v>
      </c>
      <c r="D28" s="69"/>
    </row>
    <row r="29" spans="1:5" x14ac:dyDescent="0.2">
      <c r="A29" s="68">
        <v>31</v>
      </c>
      <c r="B29" s="69" t="s">
        <v>103</v>
      </c>
      <c r="C29" s="69" t="s">
        <v>95</v>
      </c>
      <c r="D29" s="68">
        <v>180.8</v>
      </c>
      <c r="E29" t="s">
        <v>515</v>
      </c>
    </row>
    <row r="30" spans="1:5" x14ac:dyDescent="0.2">
      <c r="A30" s="68">
        <v>30</v>
      </c>
      <c r="B30" s="69" t="s">
        <v>66</v>
      </c>
      <c r="C30" s="69" t="s">
        <v>95</v>
      </c>
      <c r="D30" s="68">
        <v>165.91</v>
      </c>
      <c r="E30" t="s">
        <v>517</v>
      </c>
    </row>
    <row r="31" spans="1:5" x14ac:dyDescent="0.2">
      <c r="A31" s="68">
        <v>33</v>
      </c>
      <c r="B31" s="69" t="s">
        <v>105</v>
      </c>
      <c r="C31" s="69" t="s">
        <v>95</v>
      </c>
      <c r="D31" s="68">
        <v>165.91</v>
      </c>
      <c r="E31" t="s">
        <v>519</v>
      </c>
    </row>
    <row r="32" spans="1:5" x14ac:dyDescent="0.2">
      <c r="A32" s="68">
        <v>32</v>
      </c>
      <c r="B32" s="69" t="s">
        <v>106</v>
      </c>
      <c r="C32" s="69" t="s">
        <v>95</v>
      </c>
      <c r="D32" s="68">
        <v>356.83</v>
      </c>
      <c r="E32" t="s">
        <v>522</v>
      </c>
    </row>
    <row r="33" spans="1:5" x14ac:dyDescent="0.2">
      <c r="A33" s="68">
        <v>26</v>
      </c>
      <c r="B33" s="69" t="s">
        <v>225</v>
      </c>
      <c r="C33" s="69" t="s">
        <v>95</v>
      </c>
      <c r="D33" s="68">
        <v>180.8</v>
      </c>
      <c r="E33" t="s">
        <v>525</v>
      </c>
    </row>
    <row r="34" spans="1:5" x14ac:dyDescent="0.2">
      <c r="A34" s="68">
        <v>22</v>
      </c>
      <c r="B34" s="69" t="s">
        <v>227</v>
      </c>
      <c r="C34" s="69" t="s">
        <v>95</v>
      </c>
      <c r="D34" s="68">
        <v>180.8</v>
      </c>
      <c r="E34" t="s">
        <v>527</v>
      </c>
    </row>
    <row r="35" spans="1:5" x14ac:dyDescent="0.2">
      <c r="A35" s="68">
        <v>21</v>
      </c>
      <c r="B35" s="69" t="s">
        <v>228</v>
      </c>
      <c r="C35" s="69" t="s">
        <v>95</v>
      </c>
      <c r="D35" s="68">
        <v>197.26</v>
      </c>
      <c r="E35" t="s">
        <v>529</v>
      </c>
    </row>
    <row r="36" spans="1:5" x14ac:dyDescent="0.2">
      <c r="A36" s="68">
        <v>25</v>
      </c>
      <c r="B36" s="69" t="s">
        <v>229</v>
      </c>
      <c r="C36" s="69" t="s">
        <v>95</v>
      </c>
      <c r="D36" s="68">
        <v>195.72</v>
      </c>
      <c r="E36" t="s">
        <v>531</v>
      </c>
    </row>
    <row r="37" spans="1:5" x14ac:dyDescent="0.2">
      <c r="A37" s="68">
        <v>28</v>
      </c>
      <c r="B37" s="69" t="s">
        <v>107</v>
      </c>
      <c r="C37" s="69" t="s">
        <v>95</v>
      </c>
      <c r="D37" s="68">
        <v>348.23</v>
      </c>
      <c r="E37" t="s">
        <v>533</v>
      </c>
    </row>
    <row r="38" spans="1:5" x14ac:dyDescent="0.2">
      <c r="A38" s="68">
        <v>23</v>
      </c>
      <c r="B38" s="69" t="s">
        <v>67</v>
      </c>
      <c r="C38" s="69" t="s">
        <v>95</v>
      </c>
      <c r="D38" s="68">
        <v>195.72</v>
      </c>
      <c r="E38" t="s">
        <v>535</v>
      </c>
    </row>
    <row r="39" spans="1:5" x14ac:dyDescent="0.2">
      <c r="A39" s="68">
        <v>27</v>
      </c>
      <c r="B39" s="69" t="s">
        <v>109</v>
      </c>
      <c r="C39" s="69" t="s">
        <v>95</v>
      </c>
      <c r="D39" s="68">
        <v>197.32</v>
      </c>
      <c r="E39" t="s">
        <v>579</v>
      </c>
    </row>
    <row r="40" spans="1:5" x14ac:dyDescent="0.2">
      <c r="A40" s="68">
        <v>24</v>
      </c>
      <c r="B40" s="69" t="s">
        <v>141</v>
      </c>
      <c r="C40" s="69"/>
      <c r="D40" s="69"/>
      <c r="E40" s="2"/>
    </row>
    <row r="41" spans="1:5" x14ac:dyDescent="0.2">
      <c r="A41" s="68">
        <v>29</v>
      </c>
      <c r="B41" s="69" t="s">
        <v>142</v>
      </c>
      <c r="C41" s="69"/>
      <c r="D41" s="69"/>
      <c r="E41" s="2"/>
    </row>
    <row r="42" spans="1:5" x14ac:dyDescent="0.2">
      <c r="A42" s="68">
        <v>51</v>
      </c>
      <c r="B42" s="69" t="s">
        <v>144</v>
      </c>
      <c r="C42" s="69" t="s">
        <v>104</v>
      </c>
      <c r="D42" s="69"/>
      <c r="E42" s="2"/>
    </row>
    <row r="43" spans="1:5" x14ac:dyDescent="0.2">
      <c r="A43" s="68">
        <v>51</v>
      </c>
      <c r="B43" s="69" t="s">
        <v>143</v>
      </c>
      <c r="C43" s="69" t="s">
        <v>95</v>
      </c>
      <c r="D43" s="69"/>
      <c r="E43" s="2"/>
    </row>
    <row r="44" spans="1:5" x14ac:dyDescent="0.2">
      <c r="A44" s="68">
        <v>51</v>
      </c>
      <c r="B44" s="69" t="s">
        <v>236</v>
      </c>
      <c r="C44" s="69" t="s">
        <v>197</v>
      </c>
      <c r="D44" s="69"/>
      <c r="E44" s="2"/>
    </row>
    <row r="45" spans="1:5" x14ac:dyDescent="0.2">
      <c r="A45" s="68">
        <v>46</v>
      </c>
      <c r="B45" s="69" t="s">
        <v>68</v>
      </c>
      <c r="C45" s="69" t="s">
        <v>95</v>
      </c>
      <c r="D45" s="68">
        <v>165.47</v>
      </c>
      <c r="E45" t="s">
        <v>538</v>
      </c>
    </row>
    <row r="46" spans="1:5" x14ac:dyDescent="0.2">
      <c r="A46" s="68">
        <v>52</v>
      </c>
      <c r="B46" s="69" t="s">
        <v>69</v>
      </c>
      <c r="C46" s="69" t="s">
        <v>95</v>
      </c>
      <c r="D46" s="68">
        <v>61.95</v>
      </c>
      <c r="E46" t="s">
        <v>580</v>
      </c>
    </row>
    <row r="47" spans="1:5" x14ac:dyDescent="0.2">
      <c r="A47" s="68">
        <v>47</v>
      </c>
      <c r="B47" s="69" t="s">
        <v>86</v>
      </c>
      <c r="C47" s="69" t="s">
        <v>95</v>
      </c>
      <c r="D47" s="68">
        <v>165.44</v>
      </c>
      <c r="E47" t="s">
        <v>541</v>
      </c>
    </row>
    <row r="48" spans="1:5" x14ac:dyDescent="0.2">
      <c r="A48" s="68">
        <v>48</v>
      </c>
      <c r="B48" s="69" t="s">
        <v>111</v>
      </c>
      <c r="C48" s="69" t="s">
        <v>95</v>
      </c>
      <c r="D48" s="68">
        <v>174.38</v>
      </c>
      <c r="E48" t="s">
        <v>544</v>
      </c>
    </row>
    <row r="49" spans="1:5" x14ac:dyDescent="0.2">
      <c r="A49" s="68">
        <v>49</v>
      </c>
      <c r="B49" s="69" t="s">
        <v>232</v>
      </c>
      <c r="C49" s="69" t="s">
        <v>95</v>
      </c>
      <c r="D49" s="68">
        <v>165.44</v>
      </c>
      <c r="E49" t="s">
        <v>548</v>
      </c>
    </row>
    <row r="50" spans="1:5" x14ac:dyDescent="0.2">
      <c r="A50" s="68">
        <v>53</v>
      </c>
      <c r="B50" s="69" t="s">
        <v>70</v>
      </c>
      <c r="C50" s="69" t="s">
        <v>95</v>
      </c>
      <c r="D50" s="68">
        <v>165.45</v>
      </c>
      <c r="E50" t="s">
        <v>546</v>
      </c>
    </row>
    <row r="51" spans="1:5" x14ac:dyDescent="0.2">
      <c r="A51" s="68">
        <v>54</v>
      </c>
      <c r="B51" s="69" t="s">
        <v>71</v>
      </c>
      <c r="C51" s="69" t="s">
        <v>95</v>
      </c>
      <c r="D51" s="68">
        <v>208.78</v>
      </c>
      <c r="E51" t="s">
        <v>551</v>
      </c>
    </row>
    <row r="52" spans="1:5" x14ac:dyDescent="0.2">
      <c r="A52" s="68">
        <v>55</v>
      </c>
      <c r="B52" s="69" t="s">
        <v>72</v>
      </c>
      <c r="C52" s="69" t="s">
        <v>95</v>
      </c>
      <c r="D52" s="68">
        <v>171.18</v>
      </c>
      <c r="E52" t="s">
        <v>553</v>
      </c>
    </row>
    <row r="53" spans="1:5" x14ac:dyDescent="0.2">
      <c r="A53" s="68">
        <v>45</v>
      </c>
      <c r="B53" s="69" t="s">
        <v>145</v>
      </c>
      <c r="C53" s="69"/>
      <c r="D53" s="69"/>
      <c r="E53" s="2"/>
    </row>
    <row r="54" spans="1:5" x14ac:dyDescent="0.2">
      <c r="A54" s="68">
        <v>61</v>
      </c>
      <c r="B54" s="69" t="s">
        <v>147</v>
      </c>
      <c r="C54" s="69" t="s">
        <v>104</v>
      </c>
      <c r="D54" s="69"/>
      <c r="E54" s="2"/>
    </row>
    <row r="55" spans="1:5" x14ac:dyDescent="0.2">
      <c r="A55" s="68">
        <v>61</v>
      </c>
      <c r="B55" s="69" t="s">
        <v>146</v>
      </c>
      <c r="C55" s="69" t="s">
        <v>116</v>
      </c>
      <c r="D55" s="69"/>
      <c r="E55" s="2"/>
    </row>
    <row r="56" spans="1:5" x14ac:dyDescent="0.2">
      <c r="A56" s="68">
        <v>61</v>
      </c>
      <c r="B56" s="69" t="s">
        <v>234</v>
      </c>
      <c r="C56" s="69" t="s">
        <v>197</v>
      </c>
      <c r="D56" s="69"/>
      <c r="E56" s="2"/>
    </row>
    <row r="57" spans="1:5" x14ac:dyDescent="0.2">
      <c r="A57" s="68">
        <v>61</v>
      </c>
      <c r="B57" s="69" t="s">
        <v>148</v>
      </c>
      <c r="C57" s="69" t="s">
        <v>95</v>
      </c>
      <c r="D57" s="69"/>
      <c r="E57" s="2"/>
    </row>
    <row r="58" spans="1:5" x14ac:dyDescent="0.2">
      <c r="A58" s="68">
        <v>66</v>
      </c>
      <c r="B58" s="69" t="s">
        <v>73</v>
      </c>
      <c r="C58" s="69" t="s">
        <v>95</v>
      </c>
      <c r="D58" s="68">
        <v>201.41</v>
      </c>
      <c r="E58" t="s">
        <v>556</v>
      </c>
    </row>
    <row r="59" spans="1:5" x14ac:dyDescent="0.2">
      <c r="A59" s="68">
        <v>67</v>
      </c>
      <c r="B59" s="69" t="s">
        <v>112</v>
      </c>
      <c r="C59" s="69" t="s">
        <v>95</v>
      </c>
      <c r="D59" s="68">
        <v>165.45</v>
      </c>
      <c r="E59" t="s">
        <v>558</v>
      </c>
    </row>
    <row r="60" spans="1:5" x14ac:dyDescent="0.2">
      <c r="A60" s="68">
        <v>63</v>
      </c>
      <c r="B60" s="69" t="s">
        <v>115</v>
      </c>
      <c r="C60" s="69" t="s">
        <v>95</v>
      </c>
      <c r="D60" s="68">
        <v>180.37</v>
      </c>
      <c r="E60" t="s">
        <v>561</v>
      </c>
    </row>
    <row r="61" spans="1:5" x14ac:dyDescent="0.2">
      <c r="A61" s="68">
        <v>68</v>
      </c>
      <c r="B61" s="69" t="s">
        <v>117</v>
      </c>
      <c r="C61" s="69" t="s">
        <v>95</v>
      </c>
      <c r="D61" s="68">
        <v>165.41</v>
      </c>
      <c r="E61" t="s">
        <v>563</v>
      </c>
    </row>
    <row r="62" spans="1:5" x14ac:dyDescent="0.2">
      <c r="A62" s="68">
        <v>64</v>
      </c>
      <c r="B62" s="69" t="s">
        <v>74</v>
      </c>
      <c r="C62" s="69" t="s">
        <v>95</v>
      </c>
      <c r="D62" s="68">
        <v>165.54</v>
      </c>
      <c r="E62" t="s">
        <v>566</v>
      </c>
    </row>
    <row r="63" spans="1:5" x14ac:dyDescent="0.2">
      <c r="A63" s="68">
        <v>71</v>
      </c>
      <c r="B63" s="69" t="s">
        <v>118</v>
      </c>
      <c r="C63" s="69" t="s">
        <v>95</v>
      </c>
      <c r="D63" s="68">
        <v>165.41</v>
      </c>
      <c r="E63" t="s">
        <v>568</v>
      </c>
    </row>
    <row r="64" spans="1:5" x14ac:dyDescent="0.2">
      <c r="A64" s="68">
        <v>70</v>
      </c>
      <c r="B64" s="69" t="s">
        <v>119</v>
      </c>
      <c r="C64" s="69" t="s">
        <v>95</v>
      </c>
      <c r="D64" s="68">
        <v>201.56</v>
      </c>
      <c r="E64" t="s">
        <v>571</v>
      </c>
    </row>
    <row r="65" spans="1:5" x14ac:dyDescent="0.2">
      <c r="A65" s="68">
        <v>65</v>
      </c>
      <c r="B65" s="69" t="s">
        <v>75</v>
      </c>
      <c r="C65" s="69" t="s">
        <v>95</v>
      </c>
      <c r="D65" s="68">
        <v>171.18</v>
      </c>
      <c r="E65" t="s">
        <v>573</v>
      </c>
    </row>
    <row r="66" spans="1:5" x14ac:dyDescent="0.2">
      <c r="A66" s="68">
        <v>62</v>
      </c>
      <c r="B66" s="69" t="s">
        <v>149</v>
      </c>
      <c r="C66" s="69"/>
      <c r="D66" s="69"/>
      <c r="E66" s="2"/>
    </row>
    <row r="67" spans="1:5" x14ac:dyDescent="0.2">
      <c r="A67" s="68">
        <v>36</v>
      </c>
      <c r="B67" s="69" t="s">
        <v>150</v>
      </c>
      <c r="C67" s="69"/>
      <c r="D67" s="69"/>
      <c r="E67" s="2"/>
    </row>
    <row r="68" spans="1:5" x14ac:dyDescent="0.2">
      <c r="A68" s="68">
        <v>40</v>
      </c>
      <c r="B68" s="69" t="s">
        <v>122</v>
      </c>
      <c r="C68" s="69" t="s">
        <v>130</v>
      </c>
      <c r="D68" s="69"/>
      <c r="E68" s="2"/>
    </row>
    <row r="69" spans="1:5" x14ac:dyDescent="0.2">
      <c r="A69" s="68">
        <v>37</v>
      </c>
      <c r="B69" s="69" t="s">
        <v>123</v>
      </c>
      <c r="C69" s="69" t="s">
        <v>131</v>
      </c>
      <c r="D69" s="69"/>
      <c r="E69" s="2"/>
    </row>
    <row r="70" spans="1:5" x14ac:dyDescent="0.2">
      <c r="A70" s="68">
        <v>38</v>
      </c>
      <c r="B70" s="69" t="s">
        <v>124</v>
      </c>
      <c r="C70" s="69" t="s">
        <v>131</v>
      </c>
      <c r="D70" s="69"/>
      <c r="E70" s="2"/>
    </row>
    <row r="71" spans="1:5" x14ac:dyDescent="0.2">
      <c r="A71" s="68">
        <v>41</v>
      </c>
      <c r="B71" s="69" t="s">
        <v>125</v>
      </c>
      <c r="C71" s="69" t="s">
        <v>130</v>
      </c>
      <c r="D71" s="69"/>
      <c r="E71" s="2"/>
    </row>
    <row r="72" spans="1:5" x14ac:dyDescent="0.2">
      <c r="A72" s="68">
        <v>39</v>
      </c>
      <c r="B72" s="69" t="s">
        <v>126</v>
      </c>
      <c r="C72" s="69" t="s">
        <v>131</v>
      </c>
      <c r="D72" s="69"/>
      <c r="E72" s="2"/>
    </row>
    <row r="73" spans="1:5" x14ac:dyDescent="0.2">
      <c r="A73" s="68">
        <v>35</v>
      </c>
      <c r="B73" s="69" t="s">
        <v>127</v>
      </c>
      <c r="C73" s="69"/>
      <c r="D73" s="69"/>
      <c r="E73" s="2"/>
    </row>
    <row r="74" spans="1:5" x14ac:dyDescent="0.2">
      <c r="A74" s="68">
        <v>43</v>
      </c>
      <c r="B74" s="69" t="s">
        <v>128</v>
      </c>
      <c r="C74" s="69" t="s">
        <v>130</v>
      </c>
      <c r="D74" s="69"/>
      <c r="E74" s="2"/>
    </row>
    <row r="75" spans="1:5" x14ac:dyDescent="0.2">
      <c r="A75" s="68">
        <v>42</v>
      </c>
      <c r="B75" s="69" t="s">
        <v>129</v>
      </c>
      <c r="C75" s="69" t="s">
        <v>197</v>
      </c>
      <c r="D75" s="69"/>
      <c r="E75" s="2"/>
    </row>
    <row r="76" spans="1:5" x14ac:dyDescent="0.2">
      <c r="A76" s="3"/>
      <c r="B76" s="2"/>
      <c r="C76" s="2"/>
      <c r="D76" s="2"/>
    </row>
    <row r="77" spans="1:5" x14ac:dyDescent="0.2">
      <c r="A77" s="3"/>
      <c r="B77" s="2"/>
      <c r="C77" s="2"/>
      <c r="D77" s="2"/>
    </row>
    <row r="78" spans="1:5" x14ac:dyDescent="0.2">
      <c r="A78" s="3"/>
      <c r="B78" s="2"/>
      <c r="C78" s="2"/>
      <c r="D78" s="2"/>
    </row>
    <row r="79" spans="1:5" x14ac:dyDescent="0.2">
      <c r="A79" s="3"/>
      <c r="B79" s="2"/>
      <c r="C79" s="2"/>
      <c r="D79" s="2"/>
    </row>
    <row r="80" spans="1:5" x14ac:dyDescent="0.2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definePropertyNamedRanges">
                <anchor moveWithCells="1" sizeWithCells="1">
                  <from>
                    <xdr:col>5</xdr:col>
                    <xdr:colOff>0</xdr:colOff>
                    <xdr:row>0</xdr:row>
                    <xdr:rowOff>133350</xdr:rowOff>
                  </from>
                  <to>
                    <xdr:col>6</xdr:col>
                    <xdr:colOff>285750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C509"/>
  <sheetViews>
    <sheetView zoomScale="70" zoomScaleNormal="70" workbookViewId="0">
      <selection activeCell="N8" sqref="N8"/>
    </sheetView>
  </sheetViews>
  <sheetFormatPr defaultRowHeight="12.75" x14ac:dyDescent="0.2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 x14ac:dyDescent="0.2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 x14ac:dyDescent="0.2">
      <c r="A2" s="68">
        <v>42</v>
      </c>
      <c r="B2" s="69" t="s">
        <v>129</v>
      </c>
      <c r="C2" s="68">
        <v>156</v>
      </c>
      <c r="D2" s="69" t="s">
        <v>277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 x14ac:dyDescent="0.2">
      <c r="A3" s="68">
        <v>42</v>
      </c>
      <c r="B3" s="69" t="s">
        <v>129</v>
      </c>
      <c r="C3" s="68">
        <v>136</v>
      </c>
      <c r="D3" s="69" t="s">
        <v>256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 x14ac:dyDescent="0.2">
      <c r="A4" s="68">
        <v>43</v>
      </c>
      <c r="B4" s="69" t="s">
        <v>128</v>
      </c>
      <c r="C4" s="68">
        <v>141</v>
      </c>
      <c r="D4" s="69" t="s">
        <v>263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 x14ac:dyDescent="0.2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 x14ac:dyDescent="0.2">
      <c r="A6" s="68">
        <v>51</v>
      </c>
      <c r="B6" s="69" t="s">
        <v>236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 x14ac:dyDescent="0.2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 x14ac:dyDescent="0.2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 x14ac:dyDescent="0.2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 x14ac:dyDescent="0.2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 x14ac:dyDescent="0.2">
      <c r="A11" s="68">
        <v>61</v>
      </c>
      <c r="B11" s="69" t="s">
        <v>234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 x14ac:dyDescent="0.2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 x14ac:dyDescent="0.2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 x14ac:dyDescent="0.2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 x14ac:dyDescent="0.2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 x14ac:dyDescent="0.2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 x14ac:dyDescent="0.2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 x14ac:dyDescent="0.2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 x14ac:dyDescent="0.2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 x14ac:dyDescent="0.2">
      <c r="A20" s="68">
        <v>18</v>
      </c>
      <c r="B20" s="69" t="s">
        <v>220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 x14ac:dyDescent="0.2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 x14ac:dyDescent="0.2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 x14ac:dyDescent="0.2">
      <c r="A23" s="68">
        <v>20</v>
      </c>
      <c r="B23" s="69" t="s">
        <v>235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 x14ac:dyDescent="0.2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 x14ac:dyDescent="0.2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 x14ac:dyDescent="0.2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 x14ac:dyDescent="0.2">
      <c r="A27" s="68">
        <v>16</v>
      </c>
      <c r="B27" s="69" t="s">
        <v>65</v>
      </c>
      <c r="C27" s="68">
        <v>265</v>
      </c>
      <c r="D27" s="69" t="s">
        <v>381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 x14ac:dyDescent="0.2">
      <c r="A28" s="68">
        <v>16</v>
      </c>
      <c r="B28" s="69" t="s">
        <v>65</v>
      </c>
      <c r="C28" s="68">
        <v>245</v>
      </c>
      <c r="D28" s="69" t="s">
        <v>364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 x14ac:dyDescent="0.2">
      <c r="A29" s="68">
        <v>16</v>
      </c>
      <c r="B29" s="69" t="s">
        <v>65</v>
      </c>
      <c r="C29" s="68">
        <v>232</v>
      </c>
      <c r="D29" s="69" t="s">
        <v>348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 x14ac:dyDescent="0.2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 x14ac:dyDescent="0.2">
      <c r="A31" s="68">
        <v>16</v>
      </c>
      <c r="B31" s="69" t="s">
        <v>65</v>
      </c>
      <c r="C31" s="68">
        <v>58</v>
      </c>
      <c r="D31" s="69" t="s">
        <v>209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 x14ac:dyDescent="0.2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 x14ac:dyDescent="0.2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 x14ac:dyDescent="0.2">
      <c r="A34" s="68">
        <v>66</v>
      </c>
      <c r="B34" s="69" t="s">
        <v>73</v>
      </c>
      <c r="C34" s="68">
        <v>246</v>
      </c>
      <c r="D34" s="69" t="s">
        <v>374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 x14ac:dyDescent="0.2">
      <c r="A35" s="68">
        <v>66</v>
      </c>
      <c r="B35" s="69" t="s">
        <v>73</v>
      </c>
      <c r="C35" s="68">
        <v>202</v>
      </c>
      <c r="D35" s="69" t="s">
        <v>322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 x14ac:dyDescent="0.2">
      <c r="A36" s="68">
        <v>66</v>
      </c>
      <c r="B36" s="69" t="s">
        <v>73</v>
      </c>
      <c r="C36" s="68">
        <v>189</v>
      </c>
      <c r="D36" s="69" t="s">
        <v>309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 x14ac:dyDescent="0.2">
      <c r="A37" s="68">
        <v>66</v>
      </c>
      <c r="B37" s="69" t="s">
        <v>73</v>
      </c>
      <c r="C37" s="68">
        <v>172</v>
      </c>
      <c r="D37" s="69" t="s">
        <v>289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 x14ac:dyDescent="0.2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 x14ac:dyDescent="0.2">
      <c r="A39" s="68">
        <v>5</v>
      </c>
      <c r="B39" s="69" t="s">
        <v>57</v>
      </c>
      <c r="C39" s="68">
        <v>270</v>
      </c>
      <c r="D39" s="69" t="s">
        <v>389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 x14ac:dyDescent="0.2">
      <c r="A40" s="68">
        <v>5</v>
      </c>
      <c r="B40" s="69" t="s">
        <v>57</v>
      </c>
      <c r="C40" s="68">
        <v>247</v>
      </c>
      <c r="D40" s="69" t="s">
        <v>367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 x14ac:dyDescent="0.2">
      <c r="A41" s="68">
        <v>5</v>
      </c>
      <c r="B41" s="69" t="s">
        <v>57</v>
      </c>
      <c r="C41" s="68">
        <v>208</v>
      </c>
      <c r="D41" s="69" t="s">
        <v>336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 x14ac:dyDescent="0.2">
      <c r="A42" s="68">
        <v>5</v>
      </c>
      <c r="B42" s="69" t="s">
        <v>57</v>
      </c>
      <c r="C42" s="68">
        <v>194</v>
      </c>
      <c r="D42" s="69" t="s">
        <v>314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 x14ac:dyDescent="0.2">
      <c r="A43" s="68">
        <v>5</v>
      </c>
      <c r="B43" s="69" t="s">
        <v>57</v>
      </c>
      <c r="C43" s="68">
        <v>140</v>
      </c>
      <c r="D43" s="69" t="s">
        <v>258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 x14ac:dyDescent="0.2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 x14ac:dyDescent="0.2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 x14ac:dyDescent="0.2">
      <c r="A46" s="68">
        <v>73</v>
      </c>
      <c r="B46" s="69" t="s">
        <v>186</v>
      </c>
      <c r="C46" s="68">
        <v>209</v>
      </c>
      <c r="D46" s="69" t="s">
        <v>328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 x14ac:dyDescent="0.2">
      <c r="A47" s="68">
        <v>73</v>
      </c>
      <c r="B47" s="69" t="s">
        <v>186</v>
      </c>
      <c r="C47" s="68">
        <v>206</v>
      </c>
      <c r="D47" s="69" t="s">
        <v>324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 x14ac:dyDescent="0.2">
      <c r="A48" s="68">
        <v>73</v>
      </c>
      <c r="B48" s="69" t="s">
        <v>186</v>
      </c>
      <c r="C48" s="68">
        <v>174</v>
      </c>
      <c r="D48" s="69" t="s">
        <v>290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 x14ac:dyDescent="0.2">
      <c r="A49" s="68">
        <v>73</v>
      </c>
      <c r="B49" s="69" t="s">
        <v>186</v>
      </c>
      <c r="C49" s="68">
        <v>145</v>
      </c>
      <c r="D49" s="69" t="s">
        <v>291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 x14ac:dyDescent="0.2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 x14ac:dyDescent="0.2">
      <c r="A51" s="68">
        <v>1</v>
      </c>
      <c r="B51" s="69" t="s">
        <v>53</v>
      </c>
      <c r="C51" s="68">
        <v>235</v>
      </c>
      <c r="D51" s="69" t="s">
        <v>352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 x14ac:dyDescent="0.2">
      <c r="A52" s="68">
        <v>1</v>
      </c>
      <c r="B52" s="69" t="s">
        <v>53</v>
      </c>
      <c r="C52" s="68">
        <v>226</v>
      </c>
      <c r="D52" s="69" t="s">
        <v>346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 x14ac:dyDescent="0.2">
      <c r="A53" s="68">
        <v>1</v>
      </c>
      <c r="B53" s="69" t="s">
        <v>53</v>
      </c>
      <c r="C53" s="68">
        <v>215</v>
      </c>
      <c r="D53" s="69" t="s">
        <v>334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 x14ac:dyDescent="0.2">
      <c r="A54" s="68">
        <v>1</v>
      </c>
      <c r="B54" s="69" t="s">
        <v>53</v>
      </c>
      <c r="C54" s="68">
        <v>191</v>
      </c>
      <c r="D54" s="69" t="s">
        <v>311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 x14ac:dyDescent="0.2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 x14ac:dyDescent="0.2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 x14ac:dyDescent="0.2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 x14ac:dyDescent="0.2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 x14ac:dyDescent="0.2">
      <c r="A59" s="68">
        <v>53</v>
      </c>
      <c r="B59" s="69" t="s">
        <v>70</v>
      </c>
      <c r="C59" s="68">
        <v>165</v>
      </c>
      <c r="D59" s="69" t="s">
        <v>286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 x14ac:dyDescent="0.2">
      <c r="A60" s="68">
        <v>53</v>
      </c>
      <c r="B60" s="69" t="s">
        <v>70</v>
      </c>
      <c r="C60" s="68">
        <v>151</v>
      </c>
      <c r="D60" s="69" t="s">
        <v>270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 x14ac:dyDescent="0.2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 x14ac:dyDescent="0.2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 x14ac:dyDescent="0.2">
      <c r="A63" s="68">
        <v>49</v>
      </c>
      <c r="B63" s="69" t="s">
        <v>232</v>
      </c>
      <c r="C63" s="68">
        <v>248</v>
      </c>
      <c r="D63" s="69" t="s">
        <v>376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 x14ac:dyDescent="0.2">
      <c r="A64" s="68">
        <v>49</v>
      </c>
      <c r="B64" s="69" t="s">
        <v>232</v>
      </c>
      <c r="C64" s="68">
        <v>199</v>
      </c>
      <c r="D64" s="69" t="s">
        <v>319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 x14ac:dyDescent="0.2">
      <c r="A65" s="68">
        <v>49</v>
      </c>
      <c r="B65" s="69" t="s">
        <v>232</v>
      </c>
      <c r="C65" s="68">
        <v>182</v>
      </c>
      <c r="D65" s="69" t="s">
        <v>307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 x14ac:dyDescent="0.2">
      <c r="A66" s="68">
        <v>49</v>
      </c>
      <c r="B66" s="69" t="s">
        <v>232</v>
      </c>
      <c r="C66" s="68">
        <v>129</v>
      </c>
      <c r="D66" s="69" t="s">
        <v>233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 x14ac:dyDescent="0.2">
      <c r="A67" s="68">
        <v>64</v>
      </c>
      <c r="B67" s="69" t="s">
        <v>74</v>
      </c>
      <c r="C67" s="68">
        <v>229</v>
      </c>
      <c r="D67" s="69" t="s">
        <v>350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 x14ac:dyDescent="0.2">
      <c r="A68" s="68">
        <v>64</v>
      </c>
      <c r="B68" s="69" t="s">
        <v>74</v>
      </c>
      <c r="C68" s="68">
        <v>150</v>
      </c>
      <c r="D68" s="69" t="s">
        <v>268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 x14ac:dyDescent="0.2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 x14ac:dyDescent="0.2">
      <c r="A70" s="68">
        <v>71</v>
      </c>
      <c r="B70" s="69" t="s">
        <v>118</v>
      </c>
      <c r="C70" s="68">
        <v>277</v>
      </c>
      <c r="D70" s="69" t="s">
        <v>409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 x14ac:dyDescent="0.2">
      <c r="A71" s="68">
        <v>71</v>
      </c>
      <c r="B71" s="69" t="s">
        <v>118</v>
      </c>
      <c r="C71" s="68">
        <v>214</v>
      </c>
      <c r="D71" s="69" t="s">
        <v>333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 x14ac:dyDescent="0.2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 x14ac:dyDescent="0.2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 x14ac:dyDescent="0.2">
      <c r="A74" s="68">
        <v>70</v>
      </c>
      <c r="B74" s="69" t="s">
        <v>119</v>
      </c>
      <c r="C74" s="68">
        <v>230</v>
      </c>
      <c r="D74" s="69" t="s">
        <v>351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 x14ac:dyDescent="0.2">
      <c r="A75" s="68">
        <v>70</v>
      </c>
      <c r="B75" s="69" t="s">
        <v>119</v>
      </c>
      <c r="C75" s="68">
        <v>203</v>
      </c>
      <c r="D75" s="69" t="s">
        <v>323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 x14ac:dyDescent="0.2">
      <c r="A76" s="68">
        <v>70</v>
      </c>
      <c r="B76" s="69" t="s">
        <v>119</v>
      </c>
      <c r="C76" s="68">
        <v>180</v>
      </c>
      <c r="D76" s="69" t="s">
        <v>310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 x14ac:dyDescent="0.2">
      <c r="A77" s="68">
        <v>70</v>
      </c>
      <c r="B77" s="69" t="s">
        <v>119</v>
      </c>
      <c r="C77" s="68">
        <v>159</v>
      </c>
      <c r="D77" s="69" t="s">
        <v>278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 x14ac:dyDescent="0.2">
      <c r="A78" s="68">
        <v>70</v>
      </c>
      <c r="B78" s="69" t="s">
        <v>119</v>
      </c>
      <c r="C78" s="68">
        <v>119</v>
      </c>
      <c r="D78" s="69" t="s">
        <v>210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 x14ac:dyDescent="0.2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 x14ac:dyDescent="0.2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 x14ac:dyDescent="0.2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 x14ac:dyDescent="0.2">
      <c r="A82" s="68">
        <v>54</v>
      </c>
      <c r="B82" s="69" t="s">
        <v>71</v>
      </c>
      <c r="C82" s="68">
        <v>224</v>
      </c>
      <c r="D82" s="69" t="s">
        <v>345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 x14ac:dyDescent="0.2">
      <c r="A83" s="68">
        <v>54</v>
      </c>
      <c r="B83" s="69" t="s">
        <v>71</v>
      </c>
      <c r="C83" s="68">
        <v>216</v>
      </c>
      <c r="D83" s="69" t="s">
        <v>335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 x14ac:dyDescent="0.2">
      <c r="A84" s="68">
        <v>54</v>
      </c>
      <c r="B84" s="69" t="s">
        <v>71</v>
      </c>
      <c r="C84" s="68">
        <v>185</v>
      </c>
      <c r="D84" s="69" t="s">
        <v>308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 x14ac:dyDescent="0.2">
      <c r="A85" s="68">
        <v>54</v>
      </c>
      <c r="B85" s="69" t="s">
        <v>71</v>
      </c>
      <c r="C85" s="68">
        <v>175</v>
      </c>
      <c r="D85" s="69" t="s">
        <v>296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 x14ac:dyDescent="0.2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 x14ac:dyDescent="0.2">
      <c r="A87" s="68">
        <v>55</v>
      </c>
      <c r="B87" s="69" t="s">
        <v>72</v>
      </c>
      <c r="C87" s="68">
        <v>249</v>
      </c>
      <c r="D87" s="69" t="s">
        <v>368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 x14ac:dyDescent="0.2">
      <c r="A88" s="68">
        <v>55</v>
      </c>
      <c r="B88" s="69" t="s">
        <v>72</v>
      </c>
      <c r="C88" s="68">
        <v>243</v>
      </c>
      <c r="D88" s="69" t="s">
        <v>362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 x14ac:dyDescent="0.2">
      <c r="A89" s="68">
        <v>55</v>
      </c>
      <c r="B89" s="69" t="s">
        <v>72</v>
      </c>
      <c r="C89" s="68">
        <v>231</v>
      </c>
      <c r="D89" s="69" t="s">
        <v>357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 x14ac:dyDescent="0.2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 x14ac:dyDescent="0.2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 x14ac:dyDescent="0.2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 x14ac:dyDescent="0.2">
      <c r="A93" s="68">
        <v>26</v>
      </c>
      <c r="B93" s="69" t="s">
        <v>225</v>
      </c>
      <c r="C93" s="68">
        <v>250</v>
      </c>
      <c r="D93" s="69" t="s">
        <v>373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 x14ac:dyDescent="0.2">
      <c r="A94" s="68">
        <v>26</v>
      </c>
      <c r="B94" s="69" t="s">
        <v>225</v>
      </c>
      <c r="C94" s="68">
        <v>217</v>
      </c>
      <c r="D94" s="69" t="s">
        <v>337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 x14ac:dyDescent="0.2">
      <c r="A95" s="68">
        <v>26</v>
      </c>
      <c r="B95" s="69" t="s">
        <v>225</v>
      </c>
      <c r="C95" s="68">
        <v>205</v>
      </c>
      <c r="D95" s="69" t="s">
        <v>326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 x14ac:dyDescent="0.2">
      <c r="A96" s="68">
        <v>26</v>
      </c>
      <c r="B96" s="69" t="s">
        <v>225</v>
      </c>
      <c r="C96" s="68">
        <v>183</v>
      </c>
      <c r="D96" s="69" t="s">
        <v>306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 x14ac:dyDescent="0.2">
      <c r="A97" s="68">
        <v>26</v>
      </c>
      <c r="B97" s="69" t="s">
        <v>225</v>
      </c>
      <c r="C97" s="68">
        <v>147</v>
      </c>
      <c r="D97" s="69" t="s">
        <v>264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 x14ac:dyDescent="0.2">
      <c r="A98" s="68">
        <v>26</v>
      </c>
      <c r="B98" s="69" t="s">
        <v>225</v>
      </c>
      <c r="C98" s="68">
        <v>125</v>
      </c>
      <c r="D98" s="69" t="s">
        <v>226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 x14ac:dyDescent="0.2">
      <c r="A99" s="68">
        <v>22</v>
      </c>
      <c r="B99" s="69" t="s">
        <v>227</v>
      </c>
      <c r="C99" s="68">
        <v>155</v>
      </c>
      <c r="D99" s="69" t="s">
        <v>274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 x14ac:dyDescent="0.2">
      <c r="A100" s="68">
        <v>22</v>
      </c>
      <c r="B100" s="69" t="s">
        <v>227</v>
      </c>
      <c r="C100" s="68">
        <v>131</v>
      </c>
      <c r="D100" s="69" t="s">
        <v>254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 x14ac:dyDescent="0.2">
      <c r="A101" s="68">
        <v>22</v>
      </c>
      <c r="B101" s="69" t="s">
        <v>227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 x14ac:dyDescent="0.2">
      <c r="A102" s="68">
        <v>21</v>
      </c>
      <c r="B102" s="69" t="s">
        <v>228</v>
      </c>
      <c r="C102" s="68">
        <v>272</v>
      </c>
      <c r="D102" s="69" t="s">
        <v>391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 x14ac:dyDescent="0.2">
      <c r="A103" s="68">
        <v>21</v>
      </c>
      <c r="B103" s="69" t="s">
        <v>228</v>
      </c>
      <c r="C103" s="68">
        <v>123</v>
      </c>
      <c r="D103" s="69" t="s">
        <v>392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 x14ac:dyDescent="0.2">
      <c r="A104" s="68">
        <v>9</v>
      </c>
      <c r="B104" s="69" t="s">
        <v>60</v>
      </c>
      <c r="C104" s="68">
        <v>276</v>
      </c>
      <c r="D104" s="69" t="s">
        <v>404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 x14ac:dyDescent="0.2">
      <c r="A105" s="68">
        <v>9</v>
      </c>
      <c r="B105" s="69" t="s">
        <v>60</v>
      </c>
      <c r="C105" s="68">
        <v>201</v>
      </c>
      <c r="D105" s="69" t="s">
        <v>321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 x14ac:dyDescent="0.2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 x14ac:dyDescent="0.2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 x14ac:dyDescent="0.2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 x14ac:dyDescent="0.2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 x14ac:dyDescent="0.2">
      <c r="A110" s="68">
        <v>6</v>
      </c>
      <c r="B110" s="69" t="s">
        <v>58</v>
      </c>
      <c r="C110" s="68">
        <v>244</v>
      </c>
      <c r="D110" s="69" t="s">
        <v>375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 x14ac:dyDescent="0.2">
      <c r="A111" s="68">
        <v>6</v>
      </c>
      <c r="B111" s="69" t="s">
        <v>58</v>
      </c>
      <c r="C111" s="68">
        <v>200</v>
      </c>
      <c r="D111" s="69" t="s">
        <v>320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 x14ac:dyDescent="0.2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 x14ac:dyDescent="0.2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 x14ac:dyDescent="0.2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 x14ac:dyDescent="0.2">
      <c r="A115" s="68">
        <v>74</v>
      </c>
      <c r="B115" s="69" t="s">
        <v>187</v>
      </c>
      <c r="C115" s="68">
        <v>252</v>
      </c>
      <c r="D115" s="69" t="s">
        <v>372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 x14ac:dyDescent="0.2">
      <c r="A116" s="68">
        <v>74</v>
      </c>
      <c r="B116" s="69" t="s">
        <v>187</v>
      </c>
      <c r="C116" s="68">
        <v>251</v>
      </c>
      <c r="D116" s="69" t="s">
        <v>368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 x14ac:dyDescent="0.2">
      <c r="A117" s="68">
        <v>74</v>
      </c>
      <c r="B117" s="69" t="s">
        <v>187</v>
      </c>
      <c r="C117" s="68">
        <v>219</v>
      </c>
      <c r="D117" s="69" t="s">
        <v>339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 x14ac:dyDescent="0.2">
      <c r="A118" s="68">
        <v>74</v>
      </c>
      <c r="B118" s="69" t="s">
        <v>187</v>
      </c>
      <c r="C118" s="68">
        <v>106</v>
      </c>
      <c r="D118" s="69" t="s">
        <v>292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 x14ac:dyDescent="0.2">
      <c r="A119" s="68">
        <v>14</v>
      </c>
      <c r="B119" s="69" t="s">
        <v>54</v>
      </c>
      <c r="C119" s="68">
        <v>192</v>
      </c>
      <c r="D119" s="69" t="s">
        <v>312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 x14ac:dyDescent="0.2">
      <c r="A120" s="68">
        <v>14</v>
      </c>
      <c r="B120" s="69" t="s">
        <v>54</v>
      </c>
      <c r="C120" s="68">
        <v>190</v>
      </c>
      <c r="D120" s="69" t="s">
        <v>300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 x14ac:dyDescent="0.2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 x14ac:dyDescent="0.2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 x14ac:dyDescent="0.2">
      <c r="A123" s="68">
        <v>25</v>
      </c>
      <c r="B123" s="69" t="s">
        <v>229</v>
      </c>
      <c r="C123" s="68">
        <v>264</v>
      </c>
      <c r="D123" s="69" t="s">
        <v>382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 x14ac:dyDescent="0.2">
      <c r="A124" s="68">
        <v>25</v>
      </c>
      <c r="B124" s="69" t="s">
        <v>229</v>
      </c>
      <c r="C124" s="68">
        <v>220</v>
      </c>
      <c r="D124" s="69" t="s">
        <v>340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 x14ac:dyDescent="0.2">
      <c r="A125" s="68">
        <v>25</v>
      </c>
      <c r="B125" s="69" t="s">
        <v>229</v>
      </c>
      <c r="C125" s="68">
        <v>210</v>
      </c>
      <c r="D125" s="69" t="s">
        <v>329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 x14ac:dyDescent="0.2">
      <c r="A126" s="68">
        <v>25</v>
      </c>
      <c r="B126" s="69" t="s">
        <v>229</v>
      </c>
      <c r="C126" s="68">
        <v>196</v>
      </c>
      <c r="D126" s="69" t="s">
        <v>316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 x14ac:dyDescent="0.2">
      <c r="A127" s="68">
        <v>25</v>
      </c>
      <c r="B127" s="69" t="s">
        <v>229</v>
      </c>
      <c r="C127" s="68">
        <v>157</v>
      </c>
      <c r="D127" s="69" t="s">
        <v>275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 x14ac:dyDescent="0.2">
      <c r="A128" s="68">
        <v>25</v>
      </c>
      <c r="B128" s="69" t="s">
        <v>229</v>
      </c>
      <c r="C128" s="68">
        <v>142</v>
      </c>
      <c r="D128" s="69" t="s">
        <v>262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 x14ac:dyDescent="0.2">
      <c r="A129" s="68">
        <v>25</v>
      </c>
      <c r="B129" s="69" t="s">
        <v>229</v>
      </c>
      <c r="C129" s="68">
        <v>124</v>
      </c>
      <c r="D129" s="69" t="s">
        <v>239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 x14ac:dyDescent="0.2">
      <c r="A130" s="68">
        <v>28</v>
      </c>
      <c r="B130" s="69" t="s">
        <v>107</v>
      </c>
      <c r="C130" s="68">
        <v>271</v>
      </c>
      <c r="D130" s="69" t="s">
        <v>393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 x14ac:dyDescent="0.2">
      <c r="A131" s="68">
        <v>28</v>
      </c>
      <c r="B131" s="69" t="s">
        <v>107</v>
      </c>
      <c r="C131" s="68">
        <v>266</v>
      </c>
      <c r="D131" s="69" t="s">
        <v>385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 x14ac:dyDescent="0.2">
      <c r="A132" s="68">
        <v>28</v>
      </c>
      <c r="B132" s="69" t="s">
        <v>107</v>
      </c>
      <c r="C132" s="68">
        <v>253</v>
      </c>
      <c r="D132" s="69" t="s">
        <v>371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 x14ac:dyDescent="0.2">
      <c r="A133" s="68">
        <v>28</v>
      </c>
      <c r="B133" s="69" t="s">
        <v>107</v>
      </c>
      <c r="C133" s="68">
        <v>223</v>
      </c>
      <c r="D133" s="69" t="s">
        <v>344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 x14ac:dyDescent="0.2">
      <c r="A134" s="68">
        <v>28</v>
      </c>
      <c r="B134" s="69" t="s">
        <v>107</v>
      </c>
      <c r="C134" s="68">
        <v>212</v>
      </c>
      <c r="D134" s="69" t="s">
        <v>330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 x14ac:dyDescent="0.2">
      <c r="A135" s="68">
        <v>28</v>
      </c>
      <c r="B135" s="69" t="s">
        <v>107</v>
      </c>
      <c r="C135" s="68">
        <v>65</v>
      </c>
      <c r="D135" s="69" t="s">
        <v>230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 x14ac:dyDescent="0.2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 x14ac:dyDescent="0.2">
      <c r="A137" s="68">
        <v>23</v>
      </c>
      <c r="B137" s="69" t="s">
        <v>67</v>
      </c>
      <c r="C137" s="68">
        <v>254</v>
      </c>
      <c r="D137" s="69" t="s">
        <v>365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 x14ac:dyDescent="0.2">
      <c r="A138" s="68">
        <v>23</v>
      </c>
      <c r="B138" s="69" t="s">
        <v>67</v>
      </c>
      <c r="C138" s="68">
        <v>228</v>
      </c>
      <c r="D138" s="69" t="s">
        <v>349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 x14ac:dyDescent="0.2">
      <c r="A139" s="68">
        <v>23</v>
      </c>
      <c r="B139" s="69" t="s">
        <v>67</v>
      </c>
      <c r="C139" s="68">
        <v>213</v>
      </c>
      <c r="D139" s="69" t="s">
        <v>332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 x14ac:dyDescent="0.2">
      <c r="A140" s="68">
        <v>23</v>
      </c>
      <c r="B140" s="69" t="s">
        <v>67</v>
      </c>
      <c r="C140" s="68">
        <v>161</v>
      </c>
      <c r="D140" s="69" t="s">
        <v>281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 x14ac:dyDescent="0.2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 x14ac:dyDescent="0.2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 x14ac:dyDescent="0.2">
      <c r="A143" s="68">
        <v>27</v>
      </c>
      <c r="B143" s="69" t="s">
        <v>109</v>
      </c>
      <c r="C143" s="68">
        <v>238</v>
      </c>
      <c r="D143" s="69" t="s">
        <v>356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 x14ac:dyDescent="0.2">
      <c r="A144" s="68">
        <v>27</v>
      </c>
      <c r="B144" s="69" t="s">
        <v>109</v>
      </c>
      <c r="C144" s="68">
        <v>197</v>
      </c>
      <c r="D144" s="69" t="s">
        <v>317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 x14ac:dyDescent="0.2">
      <c r="A145" s="68">
        <v>27</v>
      </c>
      <c r="B145" s="69" t="s">
        <v>109</v>
      </c>
      <c r="C145" s="68">
        <v>162</v>
      </c>
      <c r="D145" s="69" t="s">
        <v>282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 x14ac:dyDescent="0.2">
      <c r="A146" s="68">
        <v>27</v>
      </c>
      <c r="B146" s="69" t="s">
        <v>109</v>
      </c>
      <c r="C146" s="68">
        <v>158</v>
      </c>
      <c r="D146" s="69" t="s">
        <v>276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 x14ac:dyDescent="0.2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 x14ac:dyDescent="0.2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 x14ac:dyDescent="0.2">
      <c r="A149" s="68">
        <v>46</v>
      </c>
      <c r="B149" s="69" t="s">
        <v>68</v>
      </c>
      <c r="C149" s="68">
        <v>275</v>
      </c>
      <c r="D149" s="69" t="s">
        <v>395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 x14ac:dyDescent="0.2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 x14ac:dyDescent="0.2">
      <c r="A151" s="68">
        <v>46</v>
      </c>
      <c r="B151" s="69" t="s">
        <v>68</v>
      </c>
      <c r="C151" s="68">
        <v>137</v>
      </c>
      <c r="D151" s="69" t="s">
        <v>257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 x14ac:dyDescent="0.2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 x14ac:dyDescent="0.2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 x14ac:dyDescent="0.2">
      <c r="A154" s="68">
        <v>67</v>
      </c>
      <c r="B154" s="69" t="s">
        <v>112</v>
      </c>
      <c r="C154" s="68">
        <v>179</v>
      </c>
      <c r="D154" s="69" t="s">
        <v>299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 x14ac:dyDescent="0.2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 x14ac:dyDescent="0.2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 x14ac:dyDescent="0.2">
      <c r="A157" s="68">
        <v>10</v>
      </c>
      <c r="B157" s="69" t="s">
        <v>61</v>
      </c>
      <c r="C157" s="68">
        <v>176</v>
      </c>
      <c r="D157" s="69" t="s">
        <v>293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 x14ac:dyDescent="0.2">
      <c r="A158" s="68">
        <v>10</v>
      </c>
      <c r="B158" s="69" t="s">
        <v>61</v>
      </c>
      <c r="C158" s="68">
        <v>170</v>
      </c>
      <c r="D158" s="69" t="s">
        <v>261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 x14ac:dyDescent="0.2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 x14ac:dyDescent="0.2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 x14ac:dyDescent="0.2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 x14ac:dyDescent="0.2">
      <c r="A162" s="68">
        <v>8</v>
      </c>
      <c r="B162" s="69" t="s">
        <v>59</v>
      </c>
      <c r="C162" s="68">
        <v>234</v>
      </c>
      <c r="D162" s="69" t="s">
        <v>347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 x14ac:dyDescent="0.2">
      <c r="A163" s="68">
        <v>8</v>
      </c>
      <c r="B163" s="69" t="s">
        <v>59</v>
      </c>
      <c r="C163" s="68">
        <v>168</v>
      </c>
      <c r="D163" s="69" t="s">
        <v>284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 x14ac:dyDescent="0.2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 x14ac:dyDescent="0.2">
      <c r="A165" s="68">
        <v>75</v>
      </c>
      <c r="B165" s="69" t="s">
        <v>188</v>
      </c>
      <c r="C165" s="68">
        <v>255</v>
      </c>
      <c r="D165" s="69" t="s">
        <v>363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 x14ac:dyDescent="0.2">
      <c r="A166" s="68">
        <v>75</v>
      </c>
      <c r="B166" s="69" t="s">
        <v>188</v>
      </c>
      <c r="C166" s="68">
        <v>227</v>
      </c>
      <c r="D166" s="69" t="s">
        <v>347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 x14ac:dyDescent="0.2">
      <c r="A167" s="68">
        <v>75</v>
      </c>
      <c r="B167" s="69" t="s">
        <v>188</v>
      </c>
      <c r="C167" s="68">
        <v>241</v>
      </c>
      <c r="D167" s="69" t="s">
        <v>361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 x14ac:dyDescent="0.2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 x14ac:dyDescent="0.2">
      <c r="A169" s="68">
        <v>3</v>
      </c>
      <c r="B169" s="69" t="s">
        <v>55</v>
      </c>
      <c r="C169" s="68">
        <v>269</v>
      </c>
      <c r="D169" s="69" t="s">
        <v>388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 x14ac:dyDescent="0.2">
      <c r="A170" s="68">
        <v>3</v>
      </c>
      <c r="B170" s="69" t="s">
        <v>55</v>
      </c>
      <c r="C170" s="68">
        <v>242</v>
      </c>
      <c r="D170" s="69" t="s">
        <v>360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 x14ac:dyDescent="0.2">
      <c r="A171" s="68">
        <v>3</v>
      </c>
      <c r="B171" s="69" t="s">
        <v>55</v>
      </c>
      <c r="C171" s="68">
        <v>207</v>
      </c>
      <c r="D171" s="69" t="s">
        <v>327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 x14ac:dyDescent="0.2">
      <c r="A172" s="68">
        <v>3</v>
      </c>
      <c r="B172" s="69" t="s">
        <v>55</v>
      </c>
      <c r="C172" s="68">
        <v>188</v>
      </c>
      <c r="D172" s="69" t="s">
        <v>301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 x14ac:dyDescent="0.2">
      <c r="A173" s="68">
        <v>3</v>
      </c>
      <c r="B173" s="69" t="s">
        <v>55</v>
      </c>
      <c r="C173" s="68">
        <v>160</v>
      </c>
      <c r="D173" s="69" t="s">
        <v>279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 x14ac:dyDescent="0.2">
      <c r="A174" s="68">
        <v>3</v>
      </c>
      <c r="B174" s="69" t="s">
        <v>55</v>
      </c>
      <c r="C174" s="68">
        <v>152</v>
      </c>
      <c r="D174" s="69" t="s">
        <v>269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 x14ac:dyDescent="0.2">
      <c r="A175" s="68">
        <v>3</v>
      </c>
      <c r="B175" s="69" t="s">
        <v>55</v>
      </c>
      <c r="C175" s="68">
        <v>130</v>
      </c>
      <c r="D175" s="69" t="s">
        <v>237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 x14ac:dyDescent="0.2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 x14ac:dyDescent="0.2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 x14ac:dyDescent="0.2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 x14ac:dyDescent="0.2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 x14ac:dyDescent="0.2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 x14ac:dyDescent="0.2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 x14ac:dyDescent="0.2">
      <c r="A182" s="68">
        <v>52</v>
      </c>
      <c r="B182" s="69" t="s">
        <v>69</v>
      </c>
      <c r="C182" s="68">
        <v>267</v>
      </c>
      <c r="D182" s="69" t="s">
        <v>387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 x14ac:dyDescent="0.2">
      <c r="A183" s="68">
        <v>52</v>
      </c>
      <c r="B183" s="69" t="s">
        <v>69</v>
      </c>
      <c r="C183" s="68">
        <v>256</v>
      </c>
      <c r="D183" s="69" t="s">
        <v>366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 x14ac:dyDescent="0.2">
      <c r="A184" s="68">
        <v>52</v>
      </c>
      <c r="B184" s="69" t="s">
        <v>69</v>
      </c>
      <c r="C184" s="68">
        <v>211</v>
      </c>
      <c r="D184" s="69" t="s">
        <v>331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 x14ac:dyDescent="0.2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 x14ac:dyDescent="0.2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 x14ac:dyDescent="0.2">
      <c r="A187" s="68">
        <v>11</v>
      </c>
      <c r="B187" s="69" t="s">
        <v>62</v>
      </c>
      <c r="C187" s="68">
        <v>225</v>
      </c>
      <c r="D187" s="69" t="s">
        <v>341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 x14ac:dyDescent="0.2">
      <c r="A188" s="68">
        <v>11</v>
      </c>
      <c r="B188" s="69" t="s">
        <v>62</v>
      </c>
      <c r="C188" s="68">
        <v>195</v>
      </c>
      <c r="D188" s="69" t="s">
        <v>315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 x14ac:dyDescent="0.2">
      <c r="A189" s="68">
        <v>11</v>
      </c>
      <c r="B189" s="69" t="s">
        <v>62</v>
      </c>
      <c r="C189" s="68">
        <v>181</v>
      </c>
      <c r="D189" s="69" t="s">
        <v>302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 x14ac:dyDescent="0.2">
      <c r="A190" s="68">
        <v>11</v>
      </c>
      <c r="B190" s="69" t="s">
        <v>62</v>
      </c>
      <c r="C190" s="68">
        <v>166</v>
      </c>
      <c r="D190" s="69" t="s">
        <v>285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 x14ac:dyDescent="0.2">
      <c r="A191" s="68">
        <v>11</v>
      </c>
      <c r="B191" s="69" t="s">
        <v>62</v>
      </c>
      <c r="C191" s="68">
        <v>144</v>
      </c>
      <c r="D191" s="69" t="s">
        <v>261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 x14ac:dyDescent="0.2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 x14ac:dyDescent="0.2">
      <c r="A193" s="68">
        <v>4</v>
      </c>
      <c r="B193" s="69" t="s">
        <v>56</v>
      </c>
      <c r="C193" s="68">
        <v>193</v>
      </c>
      <c r="D193" s="69" t="s">
        <v>313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 x14ac:dyDescent="0.2">
      <c r="A194" s="68">
        <v>4</v>
      </c>
      <c r="B194" s="69" t="s">
        <v>56</v>
      </c>
      <c r="C194" s="68">
        <v>120</v>
      </c>
      <c r="D194" s="69" t="s">
        <v>238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 x14ac:dyDescent="0.2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 x14ac:dyDescent="0.2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 x14ac:dyDescent="0.2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 x14ac:dyDescent="0.2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 x14ac:dyDescent="0.2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 x14ac:dyDescent="0.2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 x14ac:dyDescent="0.2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 x14ac:dyDescent="0.2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 x14ac:dyDescent="0.2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 x14ac:dyDescent="0.2">
      <c r="A204" s="68">
        <v>31</v>
      </c>
      <c r="B204" s="69" t="s">
        <v>103</v>
      </c>
      <c r="C204" s="68">
        <v>278</v>
      </c>
      <c r="D204" s="69" t="s">
        <v>408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 x14ac:dyDescent="0.2">
      <c r="A205" s="68">
        <v>31</v>
      </c>
      <c r="B205" s="69" t="s">
        <v>103</v>
      </c>
      <c r="C205" s="68">
        <v>273</v>
      </c>
      <c r="D205" s="69" t="s">
        <v>390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 x14ac:dyDescent="0.2">
      <c r="A206" s="68">
        <v>31</v>
      </c>
      <c r="B206" s="69" t="s">
        <v>103</v>
      </c>
      <c r="C206" s="68">
        <v>126</v>
      </c>
      <c r="D206" s="69" t="s">
        <v>222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 x14ac:dyDescent="0.2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 x14ac:dyDescent="0.2">
      <c r="A208" s="68">
        <v>63</v>
      </c>
      <c r="B208" s="69" t="s">
        <v>115</v>
      </c>
      <c r="C208" s="68">
        <v>167</v>
      </c>
      <c r="D208" s="69" t="s">
        <v>287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 x14ac:dyDescent="0.2">
      <c r="A209" s="68">
        <v>63</v>
      </c>
      <c r="B209" s="69" t="s">
        <v>115</v>
      </c>
      <c r="C209" s="68">
        <v>148</v>
      </c>
      <c r="D209" s="69" t="s">
        <v>266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 x14ac:dyDescent="0.2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 x14ac:dyDescent="0.2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 x14ac:dyDescent="0.2">
      <c r="A212" s="68">
        <v>30</v>
      </c>
      <c r="B212" s="69" t="s">
        <v>66</v>
      </c>
      <c r="C212" s="68">
        <v>240</v>
      </c>
      <c r="D212" s="69" t="s">
        <v>358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 x14ac:dyDescent="0.2">
      <c r="A213" s="68">
        <v>30</v>
      </c>
      <c r="B213" s="69" t="s">
        <v>66</v>
      </c>
      <c r="C213" s="68">
        <v>221</v>
      </c>
      <c r="D213" s="69" t="s">
        <v>342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 x14ac:dyDescent="0.2">
      <c r="A214" s="68">
        <v>30</v>
      </c>
      <c r="B214" s="69" t="s">
        <v>66</v>
      </c>
      <c r="C214" s="68">
        <v>173</v>
      </c>
      <c r="D214" s="69" t="s">
        <v>295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 x14ac:dyDescent="0.2">
      <c r="A215" s="68">
        <v>30</v>
      </c>
      <c r="B215" s="69" t="s">
        <v>66</v>
      </c>
      <c r="C215" s="68">
        <v>163</v>
      </c>
      <c r="D215" s="69" t="s">
        <v>280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 x14ac:dyDescent="0.2">
      <c r="A216" s="68">
        <v>30</v>
      </c>
      <c r="B216" s="69" t="s">
        <v>66</v>
      </c>
      <c r="C216" s="68">
        <v>134</v>
      </c>
      <c r="D216" s="69" t="s">
        <v>252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 x14ac:dyDescent="0.2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 x14ac:dyDescent="0.2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 x14ac:dyDescent="0.2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 x14ac:dyDescent="0.2">
      <c r="A220" s="68">
        <v>48</v>
      </c>
      <c r="B220" s="69" t="s">
        <v>111</v>
      </c>
      <c r="C220" s="68">
        <v>239</v>
      </c>
      <c r="D220" s="69" t="s">
        <v>359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 x14ac:dyDescent="0.2">
      <c r="A221" s="68">
        <v>48</v>
      </c>
      <c r="B221" s="69" t="s">
        <v>111</v>
      </c>
      <c r="C221" s="68">
        <v>177</v>
      </c>
      <c r="D221" s="69" t="s">
        <v>298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 x14ac:dyDescent="0.2">
      <c r="A222" s="68">
        <v>48</v>
      </c>
      <c r="B222" s="69" t="s">
        <v>111</v>
      </c>
      <c r="C222" s="68">
        <v>153</v>
      </c>
      <c r="D222" s="69" t="s">
        <v>271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 x14ac:dyDescent="0.2">
      <c r="A223" s="68">
        <v>48</v>
      </c>
      <c r="B223" s="69" t="s">
        <v>111</v>
      </c>
      <c r="C223" s="68">
        <v>139</v>
      </c>
      <c r="D223" s="69" t="s">
        <v>272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 x14ac:dyDescent="0.2">
      <c r="A224" s="68">
        <v>48</v>
      </c>
      <c r="B224" s="69" t="s">
        <v>111</v>
      </c>
      <c r="C224" s="68">
        <v>66</v>
      </c>
      <c r="D224" s="69" t="s">
        <v>231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 x14ac:dyDescent="0.2">
      <c r="A225" s="68">
        <v>68</v>
      </c>
      <c r="B225" s="69" t="s">
        <v>117</v>
      </c>
      <c r="C225" s="68">
        <v>135</v>
      </c>
      <c r="D225" s="69" t="s">
        <v>255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 x14ac:dyDescent="0.2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 x14ac:dyDescent="0.2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 x14ac:dyDescent="0.2">
      <c r="A228" s="68">
        <v>33</v>
      </c>
      <c r="B228" s="69" t="s">
        <v>105</v>
      </c>
      <c r="C228" s="68">
        <v>274</v>
      </c>
      <c r="D228" s="69" t="s">
        <v>394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 x14ac:dyDescent="0.2">
      <c r="A229" s="68">
        <v>33</v>
      </c>
      <c r="B229" s="69" t="s">
        <v>105</v>
      </c>
      <c r="C229" s="68">
        <v>178</v>
      </c>
      <c r="D229" s="69" t="s">
        <v>297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 x14ac:dyDescent="0.2">
      <c r="A230" s="68">
        <v>33</v>
      </c>
      <c r="B230" s="69" t="s">
        <v>105</v>
      </c>
      <c r="C230" s="68">
        <v>149</v>
      </c>
      <c r="D230" s="69" t="s">
        <v>267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 x14ac:dyDescent="0.2">
      <c r="A231" s="68">
        <v>33</v>
      </c>
      <c r="B231" s="69" t="s">
        <v>105</v>
      </c>
      <c r="C231" s="68">
        <v>107</v>
      </c>
      <c r="D231" s="69" t="s">
        <v>223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 x14ac:dyDescent="0.2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 x14ac:dyDescent="0.2">
      <c r="A233" s="68">
        <v>32</v>
      </c>
      <c r="B233" s="69" t="s">
        <v>106</v>
      </c>
      <c r="C233" s="68">
        <v>261</v>
      </c>
      <c r="D233" s="69" t="s">
        <v>379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 x14ac:dyDescent="0.2">
      <c r="A234" s="68">
        <v>32</v>
      </c>
      <c r="B234" s="69" t="s">
        <v>106</v>
      </c>
      <c r="C234" s="68">
        <v>260</v>
      </c>
      <c r="D234" s="69" t="s">
        <v>380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 x14ac:dyDescent="0.2">
      <c r="A235" s="68">
        <v>32</v>
      </c>
      <c r="B235" s="69" t="s">
        <v>106</v>
      </c>
      <c r="C235" s="68">
        <v>222</v>
      </c>
      <c r="D235" s="69" t="s">
        <v>343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 x14ac:dyDescent="0.2">
      <c r="A236" s="68">
        <v>32</v>
      </c>
      <c r="B236" s="69" t="s">
        <v>106</v>
      </c>
      <c r="C236" s="68">
        <v>169</v>
      </c>
      <c r="D236" s="69" t="s">
        <v>288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 x14ac:dyDescent="0.2">
      <c r="A237" s="68">
        <v>32</v>
      </c>
      <c r="B237" s="69" t="s">
        <v>106</v>
      </c>
      <c r="C237" s="68">
        <v>133</v>
      </c>
      <c r="D237" s="69" t="s">
        <v>253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 x14ac:dyDescent="0.2">
      <c r="A238" s="68">
        <v>32</v>
      </c>
      <c r="B238" s="69" t="s">
        <v>106</v>
      </c>
      <c r="C238" s="68">
        <v>42</v>
      </c>
      <c r="D238" s="69" t="s">
        <v>224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 x14ac:dyDescent="0.2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 x14ac:dyDescent="0.2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 x14ac:dyDescent="0.2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 x14ac:dyDescent="0.2">
      <c r="A242" s="68">
        <v>19</v>
      </c>
      <c r="B242" s="69" t="s">
        <v>99</v>
      </c>
      <c r="C242" s="68">
        <v>262</v>
      </c>
      <c r="D242" s="69" t="s">
        <v>383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 x14ac:dyDescent="0.2">
      <c r="A243" s="68">
        <v>19</v>
      </c>
      <c r="B243" s="69" t="s">
        <v>99</v>
      </c>
      <c r="C243" s="68">
        <v>258</v>
      </c>
      <c r="D243" s="69" t="s">
        <v>369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 x14ac:dyDescent="0.2">
      <c r="A244" s="68">
        <v>19</v>
      </c>
      <c r="B244" s="69" t="s">
        <v>99</v>
      </c>
      <c r="C244" s="68">
        <v>257</v>
      </c>
      <c r="D244" s="69" t="s">
        <v>369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 x14ac:dyDescent="0.2">
      <c r="A245" s="68">
        <v>19</v>
      </c>
      <c r="B245" s="69" t="s">
        <v>99</v>
      </c>
      <c r="C245" s="68">
        <v>233</v>
      </c>
      <c r="D245" s="69" t="s">
        <v>353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 x14ac:dyDescent="0.2">
      <c r="A246" s="68">
        <v>19</v>
      </c>
      <c r="B246" s="69" t="s">
        <v>99</v>
      </c>
      <c r="C246" s="68">
        <v>236</v>
      </c>
      <c r="D246" s="69" t="s">
        <v>354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 x14ac:dyDescent="0.2">
      <c r="A247" s="68">
        <v>19</v>
      </c>
      <c r="B247" s="69" t="s">
        <v>99</v>
      </c>
      <c r="C247" s="68">
        <v>186</v>
      </c>
      <c r="D247" s="69" t="s">
        <v>304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 x14ac:dyDescent="0.2">
      <c r="A248" s="68">
        <v>19</v>
      </c>
      <c r="B248" s="69" t="s">
        <v>99</v>
      </c>
      <c r="C248" s="68">
        <v>154</v>
      </c>
      <c r="D248" s="69" t="s">
        <v>273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 x14ac:dyDescent="0.2">
      <c r="A249" s="68">
        <v>19</v>
      </c>
      <c r="B249" s="69" t="s">
        <v>99</v>
      </c>
      <c r="C249" s="68">
        <v>121</v>
      </c>
      <c r="D249" s="69" t="s">
        <v>221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 x14ac:dyDescent="0.2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 x14ac:dyDescent="0.2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 x14ac:dyDescent="0.2">
      <c r="A252" s="68">
        <v>34</v>
      </c>
      <c r="B252" s="69" t="s">
        <v>102</v>
      </c>
      <c r="C252" s="68">
        <v>263</v>
      </c>
      <c r="D252" s="69" t="s">
        <v>384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 x14ac:dyDescent="0.2">
      <c r="A253" s="68">
        <v>34</v>
      </c>
      <c r="B253" s="69" t="s">
        <v>102</v>
      </c>
      <c r="C253" s="68">
        <v>259</v>
      </c>
      <c r="D253" s="69" t="s">
        <v>370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 x14ac:dyDescent="0.2">
      <c r="A254" s="68">
        <v>34</v>
      </c>
      <c r="B254" s="69" t="s">
        <v>102</v>
      </c>
      <c r="C254" s="68">
        <v>237</v>
      </c>
      <c r="D254" s="69" t="s">
        <v>355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 x14ac:dyDescent="0.2">
      <c r="A255" s="68">
        <v>34</v>
      </c>
      <c r="B255" s="69" t="s">
        <v>102</v>
      </c>
      <c r="C255" s="68">
        <v>218</v>
      </c>
      <c r="D255" s="69" t="s">
        <v>338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 x14ac:dyDescent="0.2">
      <c r="A256" s="68">
        <v>34</v>
      </c>
      <c r="B256" s="69" t="s">
        <v>102</v>
      </c>
      <c r="C256" s="68">
        <v>204</v>
      </c>
      <c r="D256" s="69" t="s">
        <v>325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 x14ac:dyDescent="0.2">
      <c r="A257" s="68">
        <v>34</v>
      </c>
      <c r="B257" s="69" t="s">
        <v>102</v>
      </c>
      <c r="C257" s="68">
        <v>184</v>
      </c>
      <c r="D257" s="69" t="s">
        <v>305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 x14ac:dyDescent="0.2">
      <c r="A258" s="68">
        <v>34</v>
      </c>
      <c r="B258" s="69" t="s">
        <v>102</v>
      </c>
      <c r="C258" s="68">
        <v>164</v>
      </c>
      <c r="D258" s="69" t="s">
        <v>283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 x14ac:dyDescent="0.2">
      <c r="A259" s="68">
        <v>34</v>
      </c>
      <c r="B259" s="69" t="s">
        <v>102</v>
      </c>
      <c r="C259" s="68">
        <v>146</v>
      </c>
      <c r="D259" s="69" t="s">
        <v>265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 x14ac:dyDescent="0.2">
      <c r="A260" s="68">
        <v>34</v>
      </c>
      <c r="B260" s="69" t="s">
        <v>102</v>
      </c>
      <c r="C260" s="68">
        <v>132</v>
      </c>
      <c r="D260" s="69" t="s">
        <v>251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 x14ac:dyDescent="0.2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 x14ac:dyDescent="0.2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 x14ac:dyDescent="0.2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 x14ac:dyDescent="0.2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 x14ac:dyDescent="0.2">
      <c r="A265" s="68">
        <v>44</v>
      </c>
      <c r="B265" s="69" t="s">
        <v>64</v>
      </c>
      <c r="C265" s="68">
        <v>268</v>
      </c>
      <c r="D265" s="69" t="s">
        <v>386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 x14ac:dyDescent="0.2">
      <c r="A266" s="68">
        <v>44</v>
      </c>
      <c r="B266" s="69" t="s">
        <v>64</v>
      </c>
      <c r="C266" s="68">
        <v>57</v>
      </c>
      <c r="D266" s="69" t="s">
        <v>208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 x14ac:dyDescent="0.2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 x14ac:dyDescent="0.2">
      <c r="A268" s="68">
        <v>17</v>
      </c>
      <c r="B268" s="69" t="s">
        <v>63</v>
      </c>
      <c r="C268" s="68">
        <v>198</v>
      </c>
      <c r="D268" s="69" t="s">
        <v>318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 x14ac:dyDescent="0.2">
      <c r="A269" s="68">
        <v>17</v>
      </c>
      <c r="B269" s="69" t="s">
        <v>63</v>
      </c>
      <c r="C269" s="68">
        <v>187</v>
      </c>
      <c r="D269" s="69" t="s">
        <v>303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 x14ac:dyDescent="0.2">
      <c r="A270" s="68">
        <v>17</v>
      </c>
      <c r="B270" s="69" t="s">
        <v>63</v>
      </c>
      <c r="C270" s="68">
        <v>171</v>
      </c>
      <c r="D270" s="69" t="s">
        <v>294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 x14ac:dyDescent="0.2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 x14ac:dyDescent="0.2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 x14ac:dyDescent="0.2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 x14ac:dyDescent="0.2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 x14ac:dyDescent="0.2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 x14ac:dyDescent="0.2">
      <c r="AB276" s="22" t="str">
        <f t="shared" si="5"/>
        <v/>
      </c>
    </row>
    <row r="277" spans="1:28" x14ac:dyDescent="0.2">
      <c r="AB277" s="22" t="str">
        <f t="shared" si="5"/>
        <v/>
      </c>
    </row>
    <row r="278" spans="1:28" x14ac:dyDescent="0.2">
      <c r="AB278" s="22" t="str">
        <f t="shared" si="5"/>
        <v/>
      </c>
    </row>
    <row r="279" spans="1:28" x14ac:dyDescent="0.2">
      <c r="AB279" s="22" t="str">
        <f t="shared" si="5"/>
        <v/>
      </c>
    </row>
    <row r="280" spans="1:28" x14ac:dyDescent="0.2">
      <c r="AB280" s="22" t="str">
        <f t="shared" si="5"/>
        <v/>
      </c>
    </row>
    <row r="281" spans="1:28" x14ac:dyDescent="0.2">
      <c r="AB281" s="22" t="str">
        <f t="shared" si="5"/>
        <v/>
      </c>
    </row>
    <row r="282" spans="1:28" x14ac:dyDescent="0.2">
      <c r="AB282" s="22" t="str">
        <f t="shared" si="5"/>
        <v/>
      </c>
    </row>
    <row r="283" spans="1:28" x14ac:dyDescent="0.2">
      <c r="AB283" s="22" t="str">
        <f t="shared" si="5"/>
        <v/>
      </c>
    </row>
    <row r="284" spans="1:28" x14ac:dyDescent="0.2">
      <c r="AB284" s="22" t="str">
        <f t="shared" si="5"/>
        <v/>
      </c>
    </row>
    <row r="285" spans="1:28" x14ac:dyDescent="0.2">
      <c r="AB285" s="22" t="str">
        <f t="shared" si="5"/>
        <v/>
      </c>
    </row>
    <row r="286" spans="1:28" x14ac:dyDescent="0.2">
      <c r="AB286" s="22" t="str">
        <f t="shared" si="5"/>
        <v/>
      </c>
    </row>
    <row r="287" spans="1:28" x14ac:dyDescent="0.2">
      <c r="AB287" s="22" t="str">
        <f t="shared" si="5"/>
        <v/>
      </c>
    </row>
    <row r="288" spans="1:28" x14ac:dyDescent="0.2">
      <c r="AB288" s="22" t="str">
        <f t="shared" si="5"/>
        <v/>
      </c>
    </row>
    <row r="289" spans="28:28" x14ac:dyDescent="0.2">
      <c r="AB289" s="22" t="str">
        <f t="shared" si="5"/>
        <v/>
      </c>
    </row>
    <row r="290" spans="28:28" x14ac:dyDescent="0.2">
      <c r="AB290" s="22" t="str">
        <f t="shared" si="5"/>
        <v/>
      </c>
    </row>
    <row r="291" spans="28:28" x14ac:dyDescent="0.2">
      <c r="AB291" s="22" t="str">
        <f t="shared" si="5"/>
        <v/>
      </c>
    </row>
    <row r="292" spans="28:28" x14ac:dyDescent="0.2">
      <c r="AB292" s="22" t="str">
        <f t="shared" si="5"/>
        <v/>
      </c>
    </row>
    <row r="293" spans="28:28" x14ac:dyDescent="0.2">
      <c r="AB293" s="22" t="str">
        <f t="shared" si="5"/>
        <v/>
      </c>
    </row>
    <row r="294" spans="28:28" x14ac:dyDescent="0.2">
      <c r="AB294" s="22" t="str">
        <f t="shared" si="5"/>
        <v/>
      </c>
    </row>
    <row r="295" spans="28:28" x14ac:dyDescent="0.2">
      <c r="AB295" s="22" t="str">
        <f t="shared" si="5"/>
        <v/>
      </c>
    </row>
    <row r="296" spans="28:28" x14ac:dyDescent="0.2">
      <c r="AB296" s="22" t="str">
        <f t="shared" si="5"/>
        <v/>
      </c>
    </row>
    <row r="297" spans="28:28" x14ac:dyDescent="0.2">
      <c r="AB297" s="22" t="str">
        <f t="shared" si="5"/>
        <v/>
      </c>
    </row>
    <row r="298" spans="28:28" x14ac:dyDescent="0.2">
      <c r="AB298" s="22" t="str">
        <f t="shared" si="5"/>
        <v/>
      </c>
    </row>
    <row r="299" spans="28:28" x14ac:dyDescent="0.2">
      <c r="AB299" s="22" t="str">
        <f t="shared" si="5"/>
        <v/>
      </c>
    </row>
    <row r="300" spans="28:28" x14ac:dyDescent="0.2">
      <c r="AB300" s="22" t="str">
        <f t="shared" si="5"/>
        <v/>
      </c>
    </row>
    <row r="301" spans="28:28" x14ac:dyDescent="0.2">
      <c r="AB301" s="22" t="str">
        <f t="shared" si="5"/>
        <v/>
      </c>
    </row>
    <row r="302" spans="28:28" x14ac:dyDescent="0.2">
      <c r="AB302" s="22" t="str">
        <f t="shared" si="5"/>
        <v/>
      </c>
    </row>
    <row r="303" spans="28:28" x14ac:dyDescent="0.2">
      <c r="AB303" s="22" t="str">
        <f t="shared" si="5"/>
        <v/>
      </c>
    </row>
    <row r="304" spans="28:28" x14ac:dyDescent="0.2">
      <c r="AB304" s="22" t="str">
        <f t="shared" si="5"/>
        <v/>
      </c>
    </row>
    <row r="305" spans="28:28" x14ac:dyDescent="0.2">
      <c r="AB305" s="22" t="str">
        <f t="shared" si="5"/>
        <v/>
      </c>
    </row>
    <row r="306" spans="28:28" x14ac:dyDescent="0.2">
      <c r="AB306" s="22" t="str">
        <f t="shared" si="5"/>
        <v/>
      </c>
    </row>
    <row r="307" spans="28:28" x14ac:dyDescent="0.2">
      <c r="AB307" s="22" t="str">
        <f t="shared" si="5"/>
        <v/>
      </c>
    </row>
    <row r="308" spans="28:28" x14ac:dyDescent="0.2">
      <c r="AB308" s="22" t="str">
        <f t="shared" si="5"/>
        <v/>
      </c>
    </row>
    <row r="309" spans="28:28" x14ac:dyDescent="0.2">
      <c r="AB309" s="22" t="str">
        <f t="shared" si="5"/>
        <v/>
      </c>
    </row>
    <row r="310" spans="28:28" x14ac:dyDescent="0.2">
      <c r="AB310" s="22" t="str">
        <f t="shared" si="5"/>
        <v/>
      </c>
    </row>
    <row r="311" spans="28:28" x14ac:dyDescent="0.2">
      <c r="AB311" s="22" t="str">
        <f t="shared" si="5"/>
        <v/>
      </c>
    </row>
    <row r="312" spans="28:28" x14ac:dyDescent="0.2">
      <c r="AB312" s="22" t="str">
        <f t="shared" si="5"/>
        <v/>
      </c>
    </row>
    <row r="313" spans="28:28" x14ac:dyDescent="0.2">
      <c r="AB313" s="22" t="str">
        <f t="shared" si="5"/>
        <v/>
      </c>
    </row>
    <row r="314" spans="28:28" x14ac:dyDescent="0.2">
      <c r="AB314" s="22" t="str">
        <f t="shared" si="5"/>
        <v/>
      </c>
    </row>
    <row r="315" spans="28:28" x14ac:dyDescent="0.2">
      <c r="AB315" s="22" t="str">
        <f t="shared" si="5"/>
        <v/>
      </c>
    </row>
    <row r="316" spans="28:28" x14ac:dyDescent="0.2">
      <c r="AB316" s="22" t="str">
        <f t="shared" si="5"/>
        <v/>
      </c>
    </row>
    <row r="317" spans="28:28" x14ac:dyDescent="0.2">
      <c r="AB317" s="22" t="str">
        <f t="shared" si="5"/>
        <v/>
      </c>
    </row>
    <row r="318" spans="28:28" x14ac:dyDescent="0.2">
      <c r="AB318" s="22" t="str">
        <f t="shared" si="5"/>
        <v/>
      </c>
    </row>
    <row r="319" spans="28:28" x14ac:dyDescent="0.2">
      <c r="AB319" s="22" t="str">
        <f t="shared" si="5"/>
        <v/>
      </c>
    </row>
    <row r="320" spans="28:28" x14ac:dyDescent="0.2">
      <c r="AB320" s="22" t="str">
        <f t="shared" si="5"/>
        <v/>
      </c>
    </row>
    <row r="321" spans="28:28" x14ac:dyDescent="0.2">
      <c r="AB321" s="22" t="str">
        <f t="shared" si="5"/>
        <v/>
      </c>
    </row>
    <row r="322" spans="28:28" x14ac:dyDescent="0.2">
      <c r="AB322" s="22" t="str">
        <f t="shared" si="5"/>
        <v/>
      </c>
    </row>
    <row r="323" spans="28:28" x14ac:dyDescent="0.2">
      <c r="AB323" s="22" t="str">
        <f t="shared" si="5"/>
        <v/>
      </c>
    </row>
    <row r="324" spans="28:28" x14ac:dyDescent="0.2">
      <c r="AB324" s="22" t="str">
        <f t="shared" si="5"/>
        <v/>
      </c>
    </row>
    <row r="325" spans="28:28" x14ac:dyDescent="0.2">
      <c r="AB325" s="22" t="str">
        <f t="shared" si="5"/>
        <v/>
      </c>
    </row>
    <row r="326" spans="28:28" x14ac:dyDescent="0.2">
      <c r="AB326" s="22" t="str">
        <f t="shared" si="5"/>
        <v/>
      </c>
    </row>
    <row r="327" spans="28:28" x14ac:dyDescent="0.2">
      <c r="AB327" s="22" t="str">
        <f t="shared" si="5"/>
        <v/>
      </c>
    </row>
    <row r="328" spans="28:28" x14ac:dyDescent="0.2">
      <c r="AB328" s="22" t="str">
        <f t="shared" si="5"/>
        <v/>
      </c>
    </row>
    <row r="329" spans="28:28" x14ac:dyDescent="0.2">
      <c r="AB329" s="22" t="str">
        <f t="shared" si="5"/>
        <v/>
      </c>
    </row>
    <row r="330" spans="28:28" x14ac:dyDescent="0.2">
      <c r="AB330" s="22" t="str">
        <f t="shared" si="5"/>
        <v/>
      </c>
    </row>
    <row r="331" spans="28:28" x14ac:dyDescent="0.2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 x14ac:dyDescent="0.2">
      <c r="AB332" s="22" t="str">
        <f t="shared" si="6"/>
        <v/>
      </c>
    </row>
    <row r="333" spans="28:28" x14ac:dyDescent="0.2">
      <c r="AB333" s="22" t="str">
        <f t="shared" si="6"/>
        <v/>
      </c>
    </row>
    <row r="334" spans="28:28" x14ac:dyDescent="0.2">
      <c r="AB334" s="22" t="str">
        <f t="shared" si="6"/>
        <v/>
      </c>
    </row>
    <row r="335" spans="28:28" x14ac:dyDescent="0.2">
      <c r="AB335" s="22" t="str">
        <f t="shared" si="6"/>
        <v/>
      </c>
    </row>
    <row r="336" spans="28:28" x14ac:dyDescent="0.2">
      <c r="AB336" s="22" t="str">
        <f t="shared" si="6"/>
        <v/>
      </c>
    </row>
    <row r="337" spans="28:28" x14ac:dyDescent="0.2">
      <c r="AB337" s="22" t="str">
        <f t="shared" si="6"/>
        <v/>
      </c>
    </row>
    <row r="338" spans="28:28" x14ac:dyDescent="0.2">
      <c r="AB338" s="22" t="str">
        <f t="shared" si="6"/>
        <v/>
      </c>
    </row>
    <row r="339" spans="28:28" x14ac:dyDescent="0.2">
      <c r="AB339" s="22" t="str">
        <f t="shared" si="6"/>
        <v/>
      </c>
    </row>
    <row r="340" spans="28:28" x14ac:dyDescent="0.2">
      <c r="AB340" s="22" t="str">
        <f t="shared" si="6"/>
        <v/>
      </c>
    </row>
    <row r="341" spans="28:28" x14ac:dyDescent="0.2">
      <c r="AB341" s="22" t="str">
        <f t="shared" si="6"/>
        <v/>
      </c>
    </row>
    <row r="342" spans="28:28" x14ac:dyDescent="0.2">
      <c r="AB342" s="22" t="str">
        <f t="shared" si="6"/>
        <v/>
      </c>
    </row>
    <row r="343" spans="28:28" x14ac:dyDescent="0.2">
      <c r="AB343" s="22" t="str">
        <f t="shared" si="6"/>
        <v/>
      </c>
    </row>
    <row r="344" spans="28:28" x14ac:dyDescent="0.2">
      <c r="AB344" s="22" t="str">
        <f t="shared" si="6"/>
        <v/>
      </c>
    </row>
    <row r="345" spans="28:28" x14ac:dyDescent="0.2">
      <c r="AB345" s="22" t="str">
        <f t="shared" si="6"/>
        <v/>
      </c>
    </row>
    <row r="346" spans="28:28" x14ac:dyDescent="0.2">
      <c r="AB346" s="22" t="str">
        <f t="shared" si="6"/>
        <v/>
      </c>
    </row>
    <row r="347" spans="28:28" x14ac:dyDescent="0.2">
      <c r="AB347" s="22" t="str">
        <f t="shared" si="6"/>
        <v/>
      </c>
    </row>
    <row r="348" spans="28:28" x14ac:dyDescent="0.2">
      <c r="AB348" s="22" t="str">
        <f t="shared" si="6"/>
        <v/>
      </c>
    </row>
    <row r="349" spans="28:28" x14ac:dyDescent="0.2">
      <c r="AB349" s="22" t="str">
        <f t="shared" si="6"/>
        <v/>
      </c>
    </row>
    <row r="350" spans="28:28" x14ac:dyDescent="0.2">
      <c r="AB350" s="22" t="str">
        <f t="shared" si="6"/>
        <v/>
      </c>
    </row>
    <row r="351" spans="28:28" x14ac:dyDescent="0.2">
      <c r="AB351" s="22" t="str">
        <f t="shared" si="6"/>
        <v/>
      </c>
    </row>
    <row r="352" spans="28:28" x14ac:dyDescent="0.2">
      <c r="AB352" s="22" t="str">
        <f t="shared" si="6"/>
        <v/>
      </c>
    </row>
    <row r="353" spans="28:28" x14ac:dyDescent="0.2">
      <c r="AB353" s="22" t="str">
        <f t="shared" si="6"/>
        <v/>
      </c>
    </row>
    <row r="354" spans="28:28" x14ac:dyDescent="0.2">
      <c r="AB354" s="22" t="str">
        <f t="shared" si="6"/>
        <v/>
      </c>
    </row>
    <row r="355" spans="28:28" x14ac:dyDescent="0.2">
      <c r="AB355" s="22" t="str">
        <f t="shared" si="6"/>
        <v/>
      </c>
    </row>
    <row r="356" spans="28:28" x14ac:dyDescent="0.2">
      <c r="AB356" s="22" t="str">
        <f t="shared" si="6"/>
        <v/>
      </c>
    </row>
    <row r="357" spans="28:28" x14ac:dyDescent="0.2">
      <c r="AB357" s="22" t="str">
        <f t="shared" si="6"/>
        <v/>
      </c>
    </row>
    <row r="358" spans="28:28" x14ac:dyDescent="0.2">
      <c r="AB358" s="22" t="str">
        <f t="shared" si="6"/>
        <v/>
      </c>
    </row>
    <row r="359" spans="28:28" x14ac:dyDescent="0.2">
      <c r="AB359" s="22" t="str">
        <f t="shared" si="6"/>
        <v/>
      </c>
    </row>
    <row r="360" spans="28:28" x14ac:dyDescent="0.2">
      <c r="AB360" s="22" t="str">
        <f t="shared" si="6"/>
        <v/>
      </c>
    </row>
    <row r="361" spans="28:28" x14ac:dyDescent="0.2">
      <c r="AB361" s="22" t="str">
        <f t="shared" si="6"/>
        <v/>
      </c>
    </row>
    <row r="362" spans="28:28" x14ac:dyDescent="0.2">
      <c r="AB362" s="22" t="str">
        <f t="shared" si="6"/>
        <v/>
      </c>
    </row>
    <row r="363" spans="28:28" x14ac:dyDescent="0.2">
      <c r="AB363" s="22" t="str">
        <f t="shared" si="6"/>
        <v/>
      </c>
    </row>
    <row r="364" spans="28:28" x14ac:dyDescent="0.2">
      <c r="AB364" s="22" t="str">
        <f t="shared" si="6"/>
        <v/>
      </c>
    </row>
    <row r="365" spans="28:28" x14ac:dyDescent="0.2">
      <c r="AB365" s="22" t="str">
        <f t="shared" si="6"/>
        <v/>
      </c>
    </row>
    <row r="366" spans="28:28" x14ac:dyDescent="0.2">
      <c r="AB366" s="22" t="str">
        <f t="shared" si="6"/>
        <v/>
      </c>
    </row>
    <row r="367" spans="28:28" x14ac:dyDescent="0.2">
      <c r="AB367" s="22" t="str">
        <f t="shared" si="6"/>
        <v/>
      </c>
    </row>
    <row r="368" spans="28:28" x14ac:dyDescent="0.2">
      <c r="AB368" s="22" t="str">
        <f t="shared" si="6"/>
        <v/>
      </c>
    </row>
    <row r="369" spans="28:28" x14ac:dyDescent="0.2">
      <c r="AB369" s="22" t="str">
        <f t="shared" si="6"/>
        <v/>
      </c>
    </row>
    <row r="370" spans="28:28" x14ac:dyDescent="0.2">
      <c r="AB370" s="22" t="str">
        <f t="shared" si="6"/>
        <v/>
      </c>
    </row>
    <row r="371" spans="28:28" x14ac:dyDescent="0.2">
      <c r="AB371" s="22" t="str">
        <f t="shared" si="6"/>
        <v/>
      </c>
    </row>
    <row r="372" spans="28:28" x14ac:dyDescent="0.2">
      <c r="AB372" s="22" t="str">
        <f t="shared" si="6"/>
        <v/>
      </c>
    </row>
    <row r="373" spans="28:28" x14ac:dyDescent="0.2">
      <c r="AB373" s="22" t="str">
        <f t="shared" si="6"/>
        <v/>
      </c>
    </row>
    <row r="374" spans="28:28" x14ac:dyDescent="0.2">
      <c r="AB374" s="22" t="str">
        <f t="shared" si="6"/>
        <v/>
      </c>
    </row>
    <row r="375" spans="28:28" x14ac:dyDescent="0.2">
      <c r="AB375" s="22" t="str">
        <f t="shared" si="6"/>
        <v/>
      </c>
    </row>
    <row r="376" spans="28:28" x14ac:dyDescent="0.2">
      <c r="AB376" s="22" t="str">
        <f t="shared" si="6"/>
        <v/>
      </c>
    </row>
    <row r="377" spans="28:28" x14ac:dyDescent="0.2">
      <c r="AB377" s="22" t="str">
        <f t="shared" si="6"/>
        <v/>
      </c>
    </row>
    <row r="378" spans="28:28" x14ac:dyDescent="0.2">
      <c r="AB378" s="22" t="str">
        <f t="shared" si="6"/>
        <v/>
      </c>
    </row>
    <row r="379" spans="28:28" x14ac:dyDescent="0.2">
      <c r="AB379" s="22" t="str">
        <f t="shared" si="6"/>
        <v/>
      </c>
    </row>
    <row r="380" spans="28:28" x14ac:dyDescent="0.2">
      <c r="AB380" s="22" t="str">
        <f t="shared" si="6"/>
        <v/>
      </c>
    </row>
    <row r="381" spans="28:28" x14ac:dyDescent="0.2">
      <c r="AB381" s="22" t="str">
        <f t="shared" si="6"/>
        <v/>
      </c>
    </row>
    <row r="382" spans="28:28" x14ac:dyDescent="0.2">
      <c r="AB382" s="22" t="str">
        <f t="shared" si="6"/>
        <v/>
      </c>
    </row>
    <row r="383" spans="28:28" x14ac:dyDescent="0.2">
      <c r="AB383" s="22" t="str">
        <f t="shared" si="6"/>
        <v/>
      </c>
    </row>
    <row r="384" spans="28:28" x14ac:dyDescent="0.2">
      <c r="AB384" s="22" t="str">
        <f t="shared" si="6"/>
        <v/>
      </c>
    </row>
    <row r="385" spans="28:28" x14ac:dyDescent="0.2">
      <c r="AB385" s="22" t="str">
        <f t="shared" si="6"/>
        <v/>
      </c>
    </row>
    <row r="386" spans="28:28" x14ac:dyDescent="0.2">
      <c r="AB386" s="22" t="str">
        <f t="shared" si="6"/>
        <v/>
      </c>
    </row>
    <row r="387" spans="28:28" x14ac:dyDescent="0.2">
      <c r="AB387" s="22" t="str">
        <f t="shared" si="6"/>
        <v/>
      </c>
    </row>
    <row r="388" spans="28:28" x14ac:dyDescent="0.2">
      <c r="AB388" s="22" t="str">
        <f t="shared" si="6"/>
        <v/>
      </c>
    </row>
    <row r="389" spans="28:28" x14ac:dyDescent="0.2">
      <c r="AB389" s="22" t="str">
        <f t="shared" si="6"/>
        <v/>
      </c>
    </row>
    <row r="390" spans="28:28" x14ac:dyDescent="0.2">
      <c r="AB390" s="22" t="str">
        <f t="shared" si="6"/>
        <v/>
      </c>
    </row>
    <row r="391" spans="28:28" x14ac:dyDescent="0.2">
      <c r="AB391" s="22" t="str">
        <f t="shared" si="6"/>
        <v/>
      </c>
    </row>
    <row r="392" spans="28:28" x14ac:dyDescent="0.2">
      <c r="AB392" s="22" t="str">
        <f t="shared" si="6"/>
        <v/>
      </c>
    </row>
    <row r="393" spans="28:28" x14ac:dyDescent="0.2">
      <c r="AB393" s="22" t="str">
        <f t="shared" si="6"/>
        <v/>
      </c>
    </row>
    <row r="394" spans="28:28" x14ac:dyDescent="0.2">
      <c r="AB394" s="22" t="str">
        <f t="shared" si="6"/>
        <v/>
      </c>
    </row>
    <row r="395" spans="28:28" x14ac:dyDescent="0.2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 x14ac:dyDescent="0.2">
      <c r="AB396" s="22" t="str">
        <f t="shared" si="7"/>
        <v/>
      </c>
    </row>
    <row r="397" spans="28:28" x14ac:dyDescent="0.2">
      <c r="AB397" s="22" t="str">
        <f t="shared" si="7"/>
        <v/>
      </c>
    </row>
    <row r="398" spans="28:28" x14ac:dyDescent="0.2">
      <c r="AB398" s="22" t="str">
        <f t="shared" si="7"/>
        <v/>
      </c>
    </row>
    <row r="399" spans="28:28" x14ac:dyDescent="0.2">
      <c r="AB399" s="22" t="str">
        <f t="shared" si="7"/>
        <v/>
      </c>
    </row>
    <row r="400" spans="28:28" x14ac:dyDescent="0.2">
      <c r="AB400" s="22" t="str">
        <f t="shared" si="7"/>
        <v/>
      </c>
    </row>
    <row r="401" spans="28:28" x14ac:dyDescent="0.2">
      <c r="AB401" s="22" t="str">
        <f t="shared" si="7"/>
        <v/>
      </c>
    </row>
    <row r="402" spans="28:28" x14ac:dyDescent="0.2">
      <c r="AB402" s="22" t="str">
        <f t="shared" si="7"/>
        <v/>
      </c>
    </row>
    <row r="403" spans="28:28" x14ac:dyDescent="0.2">
      <c r="AB403" s="22" t="str">
        <f t="shared" si="7"/>
        <v/>
      </c>
    </row>
    <row r="404" spans="28:28" x14ac:dyDescent="0.2">
      <c r="AB404" s="22" t="str">
        <f t="shared" si="7"/>
        <v/>
      </c>
    </row>
    <row r="405" spans="28:28" x14ac:dyDescent="0.2">
      <c r="AB405" s="22" t="str">
        <f t="shared" si="7"/>
        <v/>
      </c>
    </row>
    <row r="406" spans="28:28" x14ac:dyDescent="0.2">
      <c r="AB406" s="22" t="str">
        <f t="shared" si="7"/>
        <v/>
      </c>
    </row>
    <row r="407" spans="28:28" x14ac:dyDescent="0.2">
      <c r="AB407" s="22" t="str">
        <f t="shared" si="7"/>
        <v/>
      </c>
    </row>
    <row r="408" spans="28:28" x14ac:dyDescent="0.2">
      <c r="AB408" s="22" t="str">
        <f t="shared" si="7"/>
        <v/>
      </c>
    </row>
    <row r="409" spans="28:28" x14ac:dyDescent="0.2">
      <c r="AB409" s="22" t="str">
        <f t="shared" si="7"/>
        <v/>
      </c>
    </row>
    <row r="410" spans="28:28" x14ac:dyDescent="0.2">
      <c r="AB410" s="22" t="str">
        <f t="shared" si="7"/>
        <v/>
      </c>
    </row>
    <row r="411" spans="28:28" x14ac:dyDescent="0.2">
      <c r="AB411" s="22" t="str">
        <f t="shared" si="7"/>
        <v/>
      </c>
    </row>
    <row r="412" spans="28:28" x14ac:dyDescent="0.2">
      <c r="AB412" s="22" t="str">
        <f t="shared" si="7"/>
        <v/>
      </c>
    </row>
    <row r="413" spans="28:28" x14ac:dyDescent="0.2">
      <c r="AB413" s="22" t="str">
        <f t="shared" si="7"/>
        <v/>
      </c>
    </row>
    <row r="414" spans="28:28" x14ac:dyDescent="0.2">
      <c r="AB414" s="22" t="str">
        <f t="shared" si="7"/>
        <v/>
      </c>
    </row>
    <row r="415" spans="28:28" x14ac:dyDescent="0.2">
      <c r="AB415" s="22" t="str">
        <f t="shared" si="7"/>
        <v/>
      </c>
    </row>
    <row r="416" spans="28:28" x14ac:dyDescent="0.2">
      <c r="AB416" s="22" t="str">
        <f t="shared" si="7"/>
        <v/>
      </c>
    </row>
    <row r="417" spans="28:28" x14ac:dyDescent="0.2">
      <c r="AB417" s="22" t="str">
        <f t="shared" si="7"/>
        <v/>
      </c>
    </row>
    <row r="418" spans="28:28" x14ac:dyDescent="0.2">
      <c r="AB418" s="22" t="str">
        <f t="shared" si="7"/>
        <v/>
      </c>
    </row>
    <row r="419" spans="28:28" x14ac:dyDescent="0.2">
      <c r="AB419" s="22" t="str">
        <f t="shared" si="7"/>
        <v/>
      </c>
    </row>
    <row r="420" spans="28:28" x14ac:dyDescent="0.2">
      <c r="AB420" s="22" t="str">
        <f t="shared" si="7"/>
        <v/>
      </c>
    </row>
    <row r="421" spans="28:28" x14ac:dyDescent="0.2">
      <c r="AB421" s="22" t="str">
        <f t="shared" si="7"/>
        <v/>
      </c>
    </row>
    <row r="422" spans="28:28" x14ac:dyDescent="0.2">
      <c r="AB422" s="22" t="str">
        <f t="shared" si="7"/>
        <v/>
      </c>
    </row>
    <row r="423" spans="28:28" x14ac:dyDescent="0.2">
      <c r="AB423" s="22" t="str">
        <f t="shared" si="7"/>
        <v/>
      </c>
    </row>
    <row r="424" spans="28:28" x14ac:dyDescent="0.2">
      <c r="AB424" s="22" t="str">
        <f t="shared" si="7"/>
        <v/>
      </c>
    </row>
    <row r="425" spans="28:28" x14ac:dyDescent="0.2">
      <c r="AB425" s="22" t="str">
        <f t="shared" si="7"/>
        <v/>
      </c>
    </row>
    <row r="426" spans="28:28" x14ac:dyDescent="0.2">
      <c r="AB426" s="22" t="str">
        <f t="shared" si="7"/>
        <v/>
      </c>
    </row>
    <row r="427" spans="28:28" x14ac:dyDescent="0.2">
      <c r="AB427" s="22" t="str">
        <f t="shared" si="7"/>
        <v/>
      </c>
    </row>
    <row r="428" spans="28:28" x14ac:dyDescent="0.2">
      <c r="AB428" s="22" t="str">
        <f t="shared" si="7"/>
        <v/>
      </c>
    </row>
    <row r="429" spans="28:28" x14ac:dyDescent="0.2">
      <c r="AB429" s="22" t="str">
        <f t="shared" si="7"/>
        <v/>
      </c>
    </row>
    <row r="430" spans="28:28" x14ac:dyDescent="0.2">
      <c r="AB430" s="22" t="str">
        <f t="shared" si="7"/>
        <v/>
      </c>
    </row>
    <row r="431" spans="28:28" x14ac:dyDescent="0.2">
      <c r="AB431" s="22" t="str">
        <f t="shared" si="7"/>
        <v/>
      </c>
    </row>
    <row r="432" spans="28:28" x14ac:dyDescent="0.2">
      <c r="AB432" s="22" t="str">
        <f t="shared" si="7"/>
        <v/>
      </c>
    </row>
    <row r="433" spans="28:28" x14ac:dyDescent="0.2">
      <c r="AB433" s="22" t="str">
        <f t="shared" si="7"/>
        <v/>
      </c>
    </row>
    <row r="434" spans="28:28" x14ac:dyDescent="0.2">
      <c r="AB434" s="22" t="str">
        <f t="shared" si="7"/>
        <v/>
      </c>
    </row>
    <row r="435" spans="28:28" x14ac:dyDescent="0.2">
      <c r="AB435" s="22" t="str">
        <f t="shared" si="7"/>
        <v/>
      </c>
    </row>
    <row r="436" spans="28:28" x14ac:dyDescent="0.2">
      <c r="AB436" s="22" t="str">
        <f t="shared" si="7"/>
        <v/>
      </c>
    </row>
    <row r="437" spans="28:28" x14ac:dyDescent="0.2">
      <c r="AB437" s="22" t="str">
        <f t="shared" si="7"/>
        <v/>
      </c>
    </row>
    <row r="438" spans="28:28" x14ac:dyDescent="0.2">
      <c r="AB438" s="22" t="str">
        <f t="shared" si="7"/>
        <v/>
      </c>
    </row>
    <row r="439" spans="28:28" x14ac:dyDescent="0.2">
      <c r="AB439" s="22" t="str">
        <f t="shared" si="7"/>
        <v/>
      </c>
    </row>
    <row r="440" spans="28:28" x14ac:dyDescent="0.2">
      <c r="AB440" s="22" t="str">
        <f t="shared" si="7"/>
        <v/>
      </c>
    </row>
    <row r="441" spans="28:28" x14ac:dyDescent="0.2">
      <c r="AB441" s="22" t="str">
        <f t="shared" si="7"/>
        <v/>
      </c>
    </row>
    <row r="442" spans="28:28" x14ac:dyDescent="0.2">
      <c r="AB442" s="22" t="str">
        <f t="shared" si="7"/>
        <v/>
      </c>
    </row>
    <row r="443" spans="28:28" x14ac:dyDescent="0.2">
      <c r="AB443" s="22" t="str">
        <f t="shared" si="7"/>
        <v/>
      </c>
    </row>
    <row r="444" spans="28:28" x14ac:dyDescent="0.2">
      <c r="AB444" s="22" t="str">
        <f t="shared" si="7"/>
        <v/>
      </c>
    </row>
    <row r="445" spans="28:28" x14ac:dyDescent="0.2">
      <c r="AB445" s="22" t="str">
        <f t="shared" si="7"/>
        <v/>
      </c>
    </row>
    <row r="446" spans="28:28" x14ac:dyDescent="0.2">
      <c r="AB446" s="22" t="str">
        <f t="shared" si="7"/>
        <v/>
      </c>
    </row>
    <row r="447" spans="28:28" x14ac:dyDescent="0.2">
      <c r="AB447" s="22" t="str">
        <f t="shared" si="7"/>
        <v/>
      </c>
    </row>
    <row r="448" spans="28:28" x14ac:dyDescent="0.2">
      <c r="AB448" s="22" t="str">
        <f t="shared" si="7"/>
        <v/>
      </c>
    </row>
    <row r="449" spans="28:28" x14ac:dyDescent="0.2">
      <c r="AB449" s="22" t="str">
        <f t="shared" si="7"/>
        <v/>
      </c>
    </row>
    <row r="450" spans="28:28" x14ac:dyDescent="0.2">
      <c r="AB450" s="22" t="str">
        <f t="shared" si="7"/>
        <v/>
      </c>
    </row>
    <row r="451" spans="28:28" x14ac:dyDescent="0.2">
      <c r="AB451" s="22" t="str">
        <f t="shared" si="7"/>
        <v/>
      </c>
    </row>
    <row r="452" spans="28:28" x14ac:dyDescent="0.2">
      <c r="AB452" s="22" t="str">
        <f t="shared" si="7"/>
        <v/>
      </c>
    </row>
    <row r="453" spans="28:28" x14ac:dyDescent="0.2">
      <c r="AB453" s="22" t="str">
        <f t="shared" si="7"/>
        <v/>
      </c>
    </row>
    <row r="454" spans="28:28" x14ac:dyDescent="0.2">
      <c r="AB454" s="22" t="str">
        <f t="shared" si="7"/>
        <v/>
      </c>
    </row>
    <row r="455" spans="28:28" x14ac:dyDescent="0.2">
      <c r="AB455" s="22" t="str">
        <f t="shared" si="7"/>
        <v/>
      </c>
    </row>
    <row r="456" spans="28:28" x14ac:dyDescent="0.2">
      <c r="AB456" s="22" t="str">
        <f t="shared" si="7"/>
        <v/>
      </c>
    </row>
    <row r="457" spans="28:28" x14ac:dyDescent="0.2">
      <c r="AB457" s="22" t="str">
        <f t="shared" si="7"/>
        <v/>
      </c>
    </row>
    <row r="458" spans="28:28" x14ac:dyDescent="0.2">
      <c r="AB458" s="22" t="str">
        <f t="shared" si="7"/>
        <v/>
      </c>
    </row>
    <row r="459" spans="28:28" x14ac:dyDescent="0.2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 x14ac:dyDescent="0.2">
      <c r="AB460" s="22" t="str">
        <f t="shared" si="8"/>
        <v/>
      </c>
    </row>
    <row r="461" spans="28:28" x14ac:dyDescent="0.2">
      <c r="AB461" s="22" t="str">
        <f t="shared" si="8"/>
        <v/>
      </c>
    </row>
    <row r="462" spans="28:28" x14ac:dyDescent="0.2">
      <c r="AB462" s="22" t="str">
        <f t="shared" si="8"/>
        <v/>
      </c>
    </row>
    <row r="463" spans="28:28" x14ac:dyDescent="0.2">
      <c r="AB463" s="22" t="str">
        <f t="shared" si="8"/>
        <v/>
      </c>
    </row>
    <row r="464" spans="28:28" x14ac:dyDescent="0.2">
      <c r="AB464" s="22" t="str">
        <f t="shared" si="8"/>
        <v/>
      </c>
    </row>
    <row r="465" spans="28:28" x14ac:dyDescent="0.2">
      <c r="AB465" s="22" t="str">
        <f t="shared" si="8"/>
        <v/>
      </c>
    </row>
    <row r="466" spans="28:28" x14ac:dyDescent="0.2">
      <c r="AB466" s="22" t="str">
        <f t="shared" si="8"/>
        <v/>
      </c>
    </row>
    <row r="467" spans="28:28" x14ac:dyDescent="0.2">
      <c r="AB467" s="22" t="str">
        <f t="shared" si="8"/>
        <v/>
      </c>
    </row>
    <row r="468" spans="28:28" x14ac:dyDescent="0.2">
      <c r="AB468" s="22" t="str">
        <f t="shared" si="8"/>
        <v/>
      </c>
    </row>
    <row r="469" spans="28:28" x14ac:dyDescent="0.2">
      <c r="AB469" s="22" t="str">
        <f t="shared" si="8"/>
        <v/>
      </c>
    </row>
    <row r="470" spans="28:28" x14ac:dyDescent="0.2">
      <c r="AB470" s="22" t="str">
        <f t="shared" si="8"/>
        <v/>
      </c>
    </row>
    <row r="471" spans="28:28" x14ac:dyDescent="0.2">
      <c r="AB471" s="22" t="str">
        <f t="shared" si="8"/>
        <v/>
      </c>
    </row>
    <row r="472" spans="28:28" x14ac:dyDescent="0.2">
      <c r="AB472" s="22" t="str">
        <f t="shared" si="8"/>
        <v/>
      </c>
    </row>
    <row r="473" spans="28:28" x14ac:dyDescent="0.2">
      <c r="AB473" s="22" t="str">
        <f t="shared" si="8"/>
        <v/>
      </c>
    </row>
    <row r="474" spans="28:28" x14ac:dyDescent="0.2">
      <c r="AB474" s="22" t="str">
        <f t="shared" si="8"/>
        <v/>
      </c>
    </row>
    <row r="475" spans="28:28" x14ac:dyDescent="0.2">
      <c r="AB475" s="22" t="str">
        <f t="shared" si="8"/>
        <v/>
      </c>
    </row>
    <row r="476" spans="28:28" x14ac:dyDescent="0.2">
      <c r="AB476" s="22" t="str">
        <f t="shared" si="8"/>
        <v/>
      </c>
    </row>
    <row r="477" spans="28:28" x14ac:dyDescent="0.2">
      <c r="AB477" s="22" t="str">
        <f t="shared" si="8"/>
        <v/>
      </c>
    </row>
    <row r="478" spans="28:28" x14ac:dyDescent="0.2">
      <c r="AB478" s="22" t="str">
        <f t="shared" si="8"/>
        <v/>
      </c>
    </row>
    <row r="479" spans="28:28" x14ac:dyDescent="0.2">
      <c r="AB479" s="22" t="str">
        <f t="shared" si="8"/>
        <v/>
      </c>
    </row>
    <row r="480" spans="28:28" x14ac:dyDescent="0.2">
      <c r="AB480" s="22" t="str">
        <f t="shared" si="8"/>
        <v/>
      </c>
    </row>
    <row r="481" spans="28:28" x14ac:dyDescent="0.2">
      <c r="AB481" s="22" t="str">
        <f t="shared" si="8"/>
        <v/>
      </c>
    </row>
    <row r="482" spans="28:28" x14ac:dyDescent="0.2">
      <c r="AB482" s="22" t="str">
        <f t="shared" si="8"/>
        <v/>
      </c>
    </row>
    <row r="483" spans="28:28" x14ac:dyDescent="0.2">
      <c r="AB483" s="22" t="str">
        <f t="shared" si="8"/>
        <v/>
      </c>
    </row>
    <row r="484" spans="28:28" x14ac:dyDescent="0.2">
      <c r="AB484" s="22" t="str">
        <f t="shared" si="8"/>
        <v/>
      </c>
    </row>
    <row r="485" spans="28:28" x14ac:dyDescent="0.2">
      <c r="AB485" s="22" t="str">
        <f t="shared" si="8"/>
        <v/>
      </c>
    </row>
    <row r="486" spans="28:28" x14ac:dyDescent="0.2">
      <c r="AB486" s="22" t="str">
        <f t="shared" si="8"/>
        <v/>
      </c>
    </row>
    <row r="487" spans="28:28" x14ac:dyDescent="0.2">
      <c r="AB487" s="22" t="str">
        <f t="shared" si="8"/>
        <v/>
      </c>
    </row>
    <row r="488" spans="28:28" x14ac:dyDescent="0.2">
      <c r="AB488" s="22" t="str">
        <f t="shared" si="8"/>
        <v/>
      </c>
    </row>
    <row r="489" spans="28:28" x14ac:dyDescent="0.2">
      <c r="AB489" s="22" t="str">
        <f t="shared" si="8"/>
        <v/>
      </c>
    </row>
    <row r="490" spans="28:28" x14ac:dyDescent="0.2">
      <c r="AB490" s="22" t="str">
        <f t="shared" si="8"/>
        <v/>
      </c>
    </row>
    <row r="491" spans="28:28" x14ac:dyDescent="0.2">
      <c r="AB491" s="22" t="str">
        <f t="shared" si="8"/>
        <v/>
      </c>
    </row>
    <row r="492" spans="28:28" x14ac:dyDescent="0.2">
      <c r="AB492" s="22" t="str">
        <f t="shared" si="8"/>
        <v/>
      </c>
    </row>
    <row r="493" spans="28:28" x14ac:dyDescent="0.2">
      <c r="AB493" s="22" t="str">
        <f t="shared" si="8"/>
        <v/>
      </c>
    </row>
    <row r="494" spans="28:28" x14ac:dyDescent="0.2">
      <c r="AB494" s="22" t="str">
        <f t="shared" si="8"/>
        <v/>
      </c>
    </row>
    <row r="495" spans="28:28" x14ac:dyDescent="0.2">
      <c r="AB495" s="22" t="str">
        <f t="shared" si="8"/>
        <v/>
      </c>
    </row>
    <row r="496" spans="28:28" x14ac:dyDescent="0.2">
      <c r="AB496" s="22" t="str">
        <f t="shared" si="8"/>
        <v/>
      </c>
    </row>
    <row r="497" spans="28:28" x14ac:dyDescent="0.2">
      <c r="AB497" s="22" t="str">
        <f t="shared" si="8"/>
        <v/>
      </c>
    </row>
    <row r="498" spans="28:28" x14ac:dyDescent="0.2">
      <c r="AB498" s="22" t="str">
        <f t="shared" si="8"/>
        <v/>
      </c>
    </row>
    <row r="499" spans="28:28" x14ac:dyDescent="0.2">
      <c r="AB499" s="22" t="str">
        <f t="shared" si="8"/>
        <v/>
      </c>
    </row>
    <row r="500" spans="28:28" x14ac:dyDescent="0.2">
      <c r="AB500" s="22" t="str">
        <f t="shared" si="8"/>
        <v/>
      </c>
    </row>
    <row r="501" spans="28:28" x14ac:dyDescent="0.2">
      <c r="AB501" s="22" t="str">
        <f t="shared" si="8"/>
        <v/>
      </c>
    </row>
    <row r="502" spans="28:28" x14ac:dyDescent="0.2">
      <c r="AB502" s="22" t="str">
        <f t="shared" si="8"/>
        <v/>
      </c>
    </row>
    <row r="503" spans="28:28" x14ac:dyDescent="0.2">
      <c r="AB503" s="22" t="str">
        <f t="shared" si="8"/>
        <v/>
      </c>
    </row>
    <row r="504" spans="28:28" x14ac:dyDescent="0.2">
      <c r="AB504" s="22" t="str">
        <f t="shared" si="8"/>
        <v/>
      </c>
    </row>
    <row r="505" spans="28:28" x14ac:dyDescent="0.2">
      <c r="AB505" s="22" t="str">
        <f t="shared" si="8"/>
        <v/>
      </c>
    </row>
    <row r="506" spans="28:28" x14ac:dyDescent="0.2">
      <c r="AB506" s="22" t="str">
        <f t="shared" si="8"/>
        <v/>
      </c>
    </row>
    <row r="507" spans="28:28" x14ac:dyDescent="0.2">
      <c r="AB507" s="22" t="str">
        <f t="shared" si="8"/>
        <v/>
      </c>
    </row>
    <row r="508" spans="28:28" x14ac:dyDescent="0.2">
      <c r="AB508" s="22" t="str">
        <f t="shared" si="8"/>
        <v/>
      </c>
    </row>
    <row r="509" spans="28:28" x14ac:dyDescent="0.2">
      <c r="AB509" s="22" t="str">
        <f t="shared" si="8"/>
        <v/>
      </c>
    </row>
  </sheetData>
  <autoFilter ref="A1:L255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ortAndRedefineTenancyData">
                <anchor moveWithCells="1" sizeWithCells="1">
                  <from>
                    <xdr:col>15</xdr:col>
                    <xdr:colOff>9525</xdr:colOff>
                    <xdr:row>1</xdr:row>
                    <xdr:rowOff>9525</xdr:rowOff>
                  </from>
                  <to>
                    <xdr:col>16</xdr:col>
                    <xdr:colOff>85725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25"/>
  <sheetViews>
    <sheetView workbookViewId="0">
      <selection activeCell="C17" sqref="C17"/>
    </sheetView>
  </sheetViews>
  <sheetFormatPr defaultRowHeight="12.75" x14ac:dyDescent="0.2"/>
  <sheetData>
    <row r="1" spans="1:3" x14ac:dyDescent="0.2">
      <c r="C1" t="s">
        <v>34</v>
      </c>
    </row>
    <row r="2" spans="1:3" x14ac:dyDescent="0.2">
      <c r="A2" s="3">
        <v>28</v>
      </c>
      <c r="B2" s="3">
        <v>53</v>
      </c>
      <c r="C2" s="2" t="s">
        <v>240</v>
      </c>
    </row>
    <row r="3" spans="1:3" x14ac:dyDescent="0.2">
      <c r="A3" s="3">
        <v>28</v>
      </c>
      <c r="B3" s="3">
        <v>52</v>
      </c>
      <c r="C3" s="2" t="s">
        <v>241</v>
      </c>
    </row>
    <row r="4" spans="1:3" x14ac:dyDescent="0.2">
      <c r="A4" s="3">
        <v>28</v>
      </c>
      <c r="B4" s="3">
        <v>62</v>
      </c>
      <c r="C4" s="2" t="s">
        <v>196</v>
      </c>
    </row>
    <row r="5" spans="1:3" x14ac:dyDescent="0.2">
      <c r="A5" s="3">
        <v>28</v>
      </c>
      <c r="B5" s="3">
        <v>54</v>
      </c>
      <c r="C5" s="2" t="s">
        <v>242</v>
      </c>
    </row>
    <row r="6" spans="1:3" x14ac:dyDescent="0.2">
      <c r="A6" s="3">
        <v>28</v>
      </c>
      <c r="B6" s="3">
        <v>55</v>
      </c>
      <c r="C6" s="2" t="s">
        <v>243</v>
      </c>
    </row>
    <row r="7" spans="1:3" x14ac:dyDescent="0.2">
      <c r="A7" s="3">
        <v>30</v>
      </c>
      <c r="B7" s="3">
        <v>75</v>
      </c>
      <c r="C7" s="2" t="s">
        <v>244</v>
      </c>
    </row>
    <row r="8" spans="1:3" x14ac:dyDescent="0.2">
      <c r="A8" s="3">
        <v>30</v>
      </c>
      <c r="B8" s="3">
        <v>86</v>
      </c>
      <c r="C8" s="2" t="s">
        <v>245</v>
      </c>
    </row>
    <row r="9" spans="1:3" x14ac:dyDescent="0.2">
      <c r="A9" s="3">
        <v>30</v>
      </c>
      <c r="B9" s="3">
        <v>87</v>
      </c>
      <c r="C9" s="2" t="s">
        <v>246</v>
      </c>
    </row>
    <row r="10" spans="1:3" x14ac:dyDescent="0.2">
      <c r="A10" s="3">
        <v>30</v>
      </c>
      <c r="B10" s="3">
        <v>58</v>
      </c>
      <c r="C10" s="2" t="s">
        <v>247</v>
      </c>
    </row>
    <row r="11" spans="1:3" x14ac:dyDescent="0.2">
      <c r="A11" s="3">
        <v>3</v>
      </c>
      <c r="B11" s="3">
        <v>8</v>
      </c>
      <c r="C11" s="2" t="s">
        <v>76</v>
      </c>
    </row>
    <row r="12" spans="1:3" x14ac:dyDescent="0.2">
      <c r="A12" s="3">
        <v>3</v>
      </c>
      <c r="B12" s="3">
        <v>9</v>
      </c>
      <c r="C12" s="2" t="s">
        <v>77</v>
      </c>
    </row>
    <row r="13" spans="1:3" x14ac:dyDescent="0.2">
      <c r="A13" s="3">
        <v>3</v>
      </c>
      <c r="B13" s="3">
        <v>63</v>
      </c>
      <c r="C13" s="2" t="s">
        <v>78</v>
      </c>
    </row>
    <row r="14" spans="1:3" x14ac:dyDescent="0.2">
      <c r="A14" s="3">
        <v>3</v>
      </c>
      <c r="B14" s="3">
        <v>7</v>
      </c>
      <c r="C14" s="2" t="s">
        <v>79</v>
      </c>
    </row>
    <row r="15" spans="1:3" x14ac:dyDescent="0.2">
      <c r="A15" s="3">
        <v>3</v>
      </c>
      <c r="B15" s="3">
        <v>12</v>
      </c>
      <c r="C15" s="2" t="s">
        <v>80</v>
      </c>
    </row>
    <row r="16" spans="1:3" x14ac:dyDescent="0.2">
      <c r="A16" s="3">
        <v>3</v>
      </c>
      <c r="B16" s="3">
        <v>71</v>
      </c>
      <c r="C16" s="2" t="s">
        <v>81</v>
      </c>
    </row>
    <row r="17" spans="1:3" x14ac:dyDescent="0.2">
      <c r="A17" s="3">
        <v>3</v>
      </c>
      <c r="B17" s="3">
        <v>11</v>
      </c>
      <c r="C17" s="2" t="s">
        <v>82</v>
      </c>
    </row>
    <row r="18" spans="1:3" x14ac:dyDescent="0.2">
      <c r="A18" s="3">
        <v>4</v>
      </c>
      <c r="B18" s="3">
        <v>15</v>
      </c>
      <c r="C18" s="2" t="s">
        <v>248</v>
      </c>
    </row>
    <row r="19" spans="1:3" x14ac:dyDescent="0.2">
      <c r="A19" s="3">
        <v>4</v>
      </c>
      <c r="B19" s="3">
        <v>14</v>
      </c>
      <c r="C19" s="2" t="s">
        <v>249</v>
      </c>
    </row>
    <row r="20" spans="1:3" x14ac:dyDescent="0.2">
      <c r="A20" s="3">
        <v>4</v>
      </c>
      <c r="B20" s="3">
        <v>13</v>
      </c>
      <c r="C20" s="2" t="s">
        <v>250</v>
      </c>
    </row>
    <row r="21" spans="1:3" x14ac:dyDescent="0.2">
      <c r="A21" s="3">
        <v>31</v>
      </c>
      <c r="B21" s="3">
        <v>59</v>
      </c>
      <c r="C21" s="2" t="s">
        <v>83</v>
      </c>
    </row>
    <row r="22" spans="1:3" x14ac:dyDescent="0.2">
      <c r="A22" s="3">
        <v>31</v>
      </c>
      <c r="B22" s="3">
        <v>61</v>
      </c>
      <c r="C22" s="2" t="s">
        <v>84</v>
      </c>
    </row>
    <row r="23" spans="1:3" x14ac:dyDescent="0.2">
      <c r="A23" s="3">
        <v>31</v>
      </c>
      <c r="B23" s="3">
        <v>60</v>
      </c>
      <c r="C23" s="2" t="s">
        <v>85</v>
      </c>
    </row>
    <row r="24" spans="1:3" x14ac:dyDescent="0.2">
      <c r="A24" s="3">
        <v>34</v>
      </c>
      <c r="B24" s="3">
        <v>72</v>
      </c>
      <c r="C24" s="2" t="s">
        <v>377</v>
      </c>
    </row>
    <row r="25" spans="1:3" x14ac:dyDescent="0.2">
      <c r="A25" s="3">
        <v>34</v>
      </c>
      <c r="B25" s="3">
        <v>88</v>
      </c>
      <c r="C25" s="2" t="s">
        <v>378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A7"/>
  <sheetViews>
    <sheetView workbookViewId="0">
      <selection activeCell="D13" sqref="D13"/>
    </sheetView>
  </sheetViews>
  <sheetFormatPr defaultRowHeight="12.75" x14ac:dyDescent="0.2"/>
  <sheetData>
    <row r="2" spans="1:1" x14ac:dyDescent="0.2">
      <c r="A2" t="s">
        <v>6</v>
      </c>
    </row>
    <row r="3" spans="1:1" x14ac:dyDescent="0.2">
      <c r="A3" t="s">
        <v>259</v>
      </c>
    </row>
    <row r="4" spans="1:1" x14ac:dyDescent="0.2">
      <c r="A4" t="s">
        <v>203</v>
      </c>
    </row>
    <row r="5" spans="1:1" x14ac:dyDescent="0.2">
      <c r="A5" t="s">
        <v>260</v>
      </c>
    </row>
    <row r="6" spans="1:1" x14ac:dyDescent="0.2">
      <c r="A6" t="s">
        <v>206</v>
      </c>
    </row>
    <row r="7" spans="1:1" x14ac:dyDescent="0.2">
      <c r="A7" t="s">
        <v>202</v>
      </c>
    </row>
  </sheetData>
  <phoneticPr fontId="1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27</vt:i4>
      </vt:variant>
    </vt:vector>
  </HeadingPairs>
  <TitlesOfParts>
    <vt:vector size="40" baseType="lpstr">
      <vt:lpstr>Rent Statement</vt:lpstr>
      <vt:lpstr>Import</vt:lpstr>
      <vt:lpstr>Statistics (FIXED-1)</vt:lpstr>
      <vt:lpstr>Statistics (FIXED-2)</vt:lpstr>
      <vt:lpstr>Statistics</vt:lpstr>
      <vt:lpstr>MT</vt:lpstr>
      <vt:lpstr>IV</vt:lpstr>
      <vt:lpstr>IV (4040)</vt:lpstr>
      <vt:lpstr>Beals</vt:lpstr>
      <vt:lpstr>Managed Properties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2018-01-11T10:09:38Z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