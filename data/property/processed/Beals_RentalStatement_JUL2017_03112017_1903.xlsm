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-15" yWindow="-15" windowWidth="28860" windowHeight="6375"/>
  </bookViews>
  <sheets>
    <sheet name="Rent Statement" sheetId="1" r:id="rId1"/>
    <sheet name="Import" sheetId="31686" r:id="rId2"/>
    <sheet name="Statistics" sheetId="31690" r:id="rId3"/>
    <sheet name="Statistics-1" sheetId="31693" r:id="rId4"/>
    <sheet name="Statistics-2" sheetId="31695" r:id="rId5"/>
    <sheet name="MT" sheetId="31688" r:id="rId6"/>
    <sheet name="IV" sheetId="31689" r:id="rId7"/>
    <sheet name="IV (4040)" sheetId="31692" r:id="rId8"/>
    <sheet name="Beals" sheetId="31687" r:id="rId9"/>
    <sheet name="Managed Properties" sheetId="31681" r:id="rId10"/>
    <sheet name="Tenancies" sheetId="31680" r:id="rId11"/>
    <sheet name="Expense Categories" sheetId="31683" r:id="rId12"/>
    <sheet name="Rent Status" sheetId="31685" r:id="rId13"/>
  </sheets>
  <functionGroups builtInGroupCount="19"/>
  <externalReferences>
    <externalReference r:id="rId14"/>
  </externalReferences>
  <definedNames>
    <definedName name="_xlnm._FilterDatabase" localSheetId="8" hidden="1">Beals!$A$1:$H$238</definedName>
    <definedName name="_xlnm._FilterDatabase" localSheetId="6" hidden="1">IV!$A$1:$I$57</definedName>
    <definedName name="_xlnm._FilterDatabase" localSheetId="7" hidden="1">'IV (4040)'!$A$1:$I$135</definedName>
    <definedName name="_xlnm._FilterDatabase" localSheetId="5" hidden="1">MT!$A$1:$I$129</definedName>
    <definedName name="_xlnm._FilterDatabase" localSheetId="0" hidden="1">'Rent Statement'!$B$7:$U$63</definedName>
    <definedName name="_xlnm._FilterDatabase" localSheetId="10" hidden="1">Tenancies!$A$1:$L$255</definedName>
    <definedName name="BillListStart" localSheetId="7">#REF!</definedName>
    <definedName name="BillListStart" localSheetId="3">#REF!</definedName>
    <definedName name="BillListStart" localSheetId="4">#REF!</definedName>
    <definedName name="BillListStart">#REF!</definedName>
    <definedName name="BillPropertyList" localSheetId="7">#REF!</definedName>
    <definedName name="BillPropertyList" localSheetId="3">#REF!</definedName>
    <definedName name="BillPropertyList" localSheetId="4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 localSheetId="3">'[1]IV (4040)'!$D$2:$D$500</definedName>
    <definedName name="IV_Amount_4040">'IV (4040)'!$D$2:$D$500</definedName>
    <definedName name="IV_BankRef">IV!$F$2:$F$500</definedName>
    <definedName name="IV_BankRef_4040" localSheetId="3">'[1]IV (4040)'!$I$2:$I$500</definedName>
    <definedName name="IV_BankRef_4040">'IV (4040)'!$I$2:$I$500</definedName>
    <definedName name="MT_Amount">MT!$D$2:$D$500</definedName>
    <definedName name="MT_BankRef">MT!$F$2:$F$500</definedName>
    <definedName name="MT_Desc">MT!$H$2:$H$500</definedName>
    <definedName name="ProfitLossList">'Rent Statement'!$P$9:$P$63</definedName>
    <definedName name="PropertyList" localSheetId="3">'[1]Managed Properties'!$B$1:$B$75</definedName>
    <definedName name="PropertyList">'Managed Properties'!$B$1:$B$75</definedName>
    <definedName name="PropertyListStart">'Managed Properties'!$A$1</definedName>
    <definedName name="PropertyStatusList" localSheetId="3">'[1]Rent Status'!$A$1:$A$7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 localSheetId="3">[1]Tenancies!$D$1:$D$274</definedName>
    <definedName name="TenancyList">Tenancies!$D$1:$D$274</definedName>
    <definedName name="TenancyPropertyList" localSheetId="3">[1]Tenancies!$B$1:$B$274</definedName>
    <definedName name="TenancyPropertyList">Tenancies!$B$1:$B$274</definedName>
    <definedName name="TenancyPropertyListStart" localSheetId="3">[1]Tenancies!$A$1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9" i="31690" l="1"/>
  <c r="I10" i="31690"/>
  <c r="I8" i="31690" l="1"/>
  <c r="E50" i="31693" l="1"/>
  <c r="E54" i="31693" s="1"/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7" i="31690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9" i="31690"/>
  <c r="B21" i="31690"/>
  <c r="C34" i="31690"/>
  <c r="B33" i="31690"/>
  <c r="B32" i="31690"/>
  <c r="C26" i="31690"/>
  <c r="C17" i="31690"/>
  <c r="B25" i="31690"/>
  <c r="C24" i="31690"/>
  <c r="E39" i="31690"/>
  <c r="C33" i="31690"/>
  <c r="C21" i="31690"/>
  <c r="B17" i="31690"/>
  <c r="C30" i="31690"/>
  <c r="C31" i="31690"/>
  <c r="C29" i="31690"/>
  <c r="C25" i="31690"/>
  <c r="B31" i="31690"/>
  <c r="B26" i="31690"/>
  <c r="B29" i="31690"/>
  <c r="B24" i="31690"/>
  <c r="C32" i="31690"/>
  <c r="B18" i="31690"/>
  <c r="C22" i="31690"/>
  <c r="B22" i="31690"/>
  <c r="C18" i="31690"/>
  <c r="B30" i="31690"/>
  <c r="B34" i="31690"/>
  <c r="B35" i="31690"/>
  <c r="B36" i="31690" l="1"/>
  <c r="C19" i="31690"/>
  <c r="B19" i="31690"/>
  <c r="C36" i="31690"/>
  <c r="F38" i="31690"/>
  <c r="E38" i="31690"/>
  <c r="D29" i="31690"/>
  <c r="D30" i="31690"/>
  <c r="D31" i="31690"/>
  <c r="D32" i="31690"/>
  <c r="D33" i="31690"/>
  <c r="D34" i="31690"/>
  <c r="F39" i="31690"/>
  <c r="B12" i="31690"/>
  <c r="E12" i="31690"/>
  <c r="B15" i="31690" s="1"/>
  <c r="H12" i="31690"/>
  <c r="C15" i="31690" s="1"/>
  <c r="D36" i="31690" l="1"/>
  <c r="E15" i="31690"/>
  <c r="E32" i="31690" s="1"/>
  <c r="F15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6" i="31690"/>
  <c r="E31" i="31690"/>
  <c r="E25" i="31690"/>
  <c r="E33" i="31690"/>
  <c r="E34" i="31690"/>
  <c r="E24" i="31690"/>
  <c r="E29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<sst xmlns="http://schemas.openxmlformats.org/spreadsheetml/2006/main" count="4433" uniqueCount="1083">
  <si>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</si>
  <si>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</si>
  <si>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</si>
  <si>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</si>
  <si>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</si>
  <si>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</si>
  <si>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</si>
  <si>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</si>
  <si>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</si>
  <si>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</si>
  <si>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</si>
  <si>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</si>
  <si>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</si>
  <si>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</si>
  <si>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</si>
  <si>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</si>
  <si>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</si>
  <si>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</si>
  <si>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</si>
  <si>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</si>
  <si>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</si>
  <si>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</si>
  <si>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</si>
  <si>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</si>
  <si>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</si>
  <si>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</si>
  <si>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</si>
  <si>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</si>
  <si>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</si>
  <si>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</si>
  <si>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</si>
  <si>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</si>
  <si>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</si>
  <si>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</si>
  <si>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</si>
  <si>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</si>
  <si>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</si>
  <si>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</si>
  <si>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</si>
  <si>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</si>
  <si>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</si>
  <si>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</si>
  <si>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</si>
  <si>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</si>
  <si>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</si>
  <si>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</si>
  <si>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</si>
  <si>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</si>
  <si>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</si>
  <si>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</si>
  <si>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</si>
  <si>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</si>
  <si>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</si>
  <si>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</si>
  <si>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</si>
  <si>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</si>
  <si>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</si>
  <si>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</si>
  <si>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</si>
  <si>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</si>
  <si>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</si>
  <si>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</si>
  <si>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</si>
  <si>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</si>
  <si>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</si>
  <si>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</si>
  <si>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</si>
  <si>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</si>
  <si>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</si>
  <si>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</si>
  <si>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</si>
  <si>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</si>
  <si>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</si>
  <si>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</si>
  <si>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</si>
  <si>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</si>
  <si>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</si>
  <si>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</si>
  <si>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</si>
  <si>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</si>
  <si>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</si>
  <si>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</si>
  <si>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</si>
  <si>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</si>
  <si>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</si>
  <si>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</si>
  <si>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</si>
  <si>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</si>
  <si>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</si>
  <si>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</si>
  <si>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</si>
  <si>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</si>
  <si>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</si>
  <si>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</si>
  <si>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</si>
  <si>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</si>
  <si>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</si>
  <si>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</si>
  <si>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</si>
  <si>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</si>
  <si>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</si>
  <si>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</si>
  <si>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</si>
  <si>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</si>
  <si>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</si>
  <si>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</si>
  <si>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</si>
  <si>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</si>
  <si>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</si>
  <si>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</si>
  <si>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</si>
  <si>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</si>
  <si>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</si>
  <si>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</si>
  <si>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</si>
  <si>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</si>
  <si>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</si>
  <si>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</si>
  <si>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</si>
  <si>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</si>
  <si>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</si>
  <si>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</si>
  <si>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</si>
  <si>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</si>
  <si>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</si>
  <si>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</si>
  <si>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</si>
  <si>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</si>
  <si>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</si>
  <si>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</si>
  <si>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</si>
  <si>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</si>
  <si>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</si>
  <si>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</si>
  <si>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</si>
  <si>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</si>
  <si>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</si>
  <si>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</si>
  <si>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</si>
  <si>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</si>
  <si>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</si>
  <si>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</si>
  <si>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</si>
  <si>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</si>
  <si>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</si>
  <si>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</si>
  <si>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</si>
  <si>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</si>
  <si>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</si>
  <si>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</si>
  <si>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</si>
  <si>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</si>
  <si>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</si>
  <si>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</si>
  <si>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</si>
  <si>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</si>
  <si>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</si>
  <si>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</si>
  <si>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</si>
  <si>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</si>
  <si>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</si>
  <si>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</si>
  <si>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</si>
  <si>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</si>
  <si>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</si>
  <si>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</si>
  <si>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</si>
  <si>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</si>
  <si>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</si>
  <si>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</si>
  <si>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</si>
  <si>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</si>
  <si>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</si>
  <si>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</si>
  <si>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</si>
  <si>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</si>
  <si>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</si>
  <si>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</si>
  <si>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</si>
  <si>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</si>
  <si>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</si>
  <si>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</si>
  <si>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</si>
  <si>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</si>
  <si>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</si>
  <si>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</si>
  <si>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</si>
  <si>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</si>
  <si>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</si>
  <si>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</si>
  <si>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</si>
  <si>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</si>
  <si>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</si>
  <si>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</si>
  <si>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</si>
  <si>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</si>
  <si>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</si>
  <si>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</si>
  <si>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</si>
  <si>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</si>
  <si>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</si>
  <si>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</si>
  <si>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</si>
  <si>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</si>
  <si>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</si>
  <si>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</si>
  <si>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</si>
  <si>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</si>
  <si>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</si>
  <si>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</si>
  <si>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</si>
  <si>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</si>
  <si>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</si>
  <si>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</si>
  <si>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</si>
  <si>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</si>
  <si>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</si>
  <si>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</si>
  <si>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</si>
  <si>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</si>
  <si>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</si>
  <si>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</si>
  <si>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</si>
  <si>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</si>
  <si>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</si>
  <si>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</si>
  <si>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</si>
  <si>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</si>
  <si>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</si>
  <si>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</si>
  <si>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</si>
  <si>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</si>
  <si>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</si>
  <si>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</si>
  <si>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</si>
  <si>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</si>
  <si>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</si>
  <si>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</si>
  <si>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</si>
  <si>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</si>
  <si>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</si>
  <si>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</si>
  <si>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</si>
  <si>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</si>
  <si>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</si>
  <si>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</si>
  <si>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</si>
  <si>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</si>
  <si>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</si>
  <si>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</si>
  <si>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</si>
  <si>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</si>
  <si>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</si>
  <si>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</si>
  <si>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</si>
  <si>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</si>
  <si>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</si>
  <si>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</si>
  <si>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</si>
  <si>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</si>
  <si>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</si>
  <si>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</si>
  <si>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</si>
  <si>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</si>
  <si>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</si>
  <si>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</si>
  <si>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</si>
  <si>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</si>
  <si>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</si>
  <si>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</si>
  <si>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</si>
  <si>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</si>
  <si>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</si>
  <si>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</si>
  <si>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</si>
  <si>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</si>
  <si>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</si>
  <si>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</si>
  <si>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</si>
  <si>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</si>
  <si>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</si>
  <si>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</si>
  <si>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</si>
  <si>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</si>
  <si>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</si>
  <si>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</si>
  <si>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</si>
  <si>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</si>
  <si>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</si>
  <si>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</si>
  <si>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</si>
  <si>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</si>
  <si>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</si>
  <si>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</si>
  <si>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</si>
  <si>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</si>
  <si>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</si>
  <si>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</si>
  <si>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</si>
  <si>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</si>
  <si>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</si>
  <si>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</si>
  <si>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</si>
  <si>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</si>
  <si>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</si>
  <si>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</si>
  <si>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</si>
  <si>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</si>
  <si>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</si>
  <si>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</si>
  <si>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</si>
  <si>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</si>
  <si>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</si>
  <si>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</si>
  <si>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</si>
  <si>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</si>
  <si>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</si>
  <si>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</si>
  <si>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</si>
  <si>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</si>
  <si>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</si>
  <si>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</si>
  <si>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</si>
  <si>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</si>
  <si>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</si>
  <si>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</si>
  <si>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</si>
  <si>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</si>
  <si>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</si>
  <si>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</si>
  <si>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</si>
  <si>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</si>
  <si>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</si>
  <si>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</si>
  <si>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</si>
  <si>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</si>
  <si>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</si>
  <si>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</si>
  <si>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</si>
  <si>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</si>
  <si>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</si>
  <si>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</si>
  <si>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</si>
  <si>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</si>
  <si>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</si>
  <si>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</si>
  <si>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</si>
  <si>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</si>
  <si>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</si>
  <si>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</si>
  <si>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</si>
  <si>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</si>
  <si>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</si>
  <si>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</si>
  <si>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</si>
  <si>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</si>
  <si>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</si>
  <si>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</si>
  <si>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</si>
  <si>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</si>
  <si>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</si>
  <si>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</si>
  <si>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</si>
  <si>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</si>
  <si>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</si>
  <si>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</si>
  <si>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</si>
  <si>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</si>
  <si>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</si>
  <si>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</si>
  <si>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</si>
  <si>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</si>
  <si>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</si>
  <si>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</si>
  <si>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</si>
  <si>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</si>
  <si>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</si>
  <si>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</si>
  <si>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</si>
  <si>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</si>
  <si>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</si>
  <si>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</si>
  <si>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</si>
  <si>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</si>
  <si>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</si>
  <si>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</si>
  <si>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</si>
  <si>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</si>
  <si>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</si>
  <si>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</si>
  <si>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</si>
  <si>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</si>
  <si>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</si>
  <si>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</si>
  <si>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</si>
  <si>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</si>
  <si>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</si>
  <si>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</si>
  <si>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</si>
  <si>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</si>
  <si>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</si>
  <si>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</si>
  <si>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</si>
  <si>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</si>
  <si>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</si>
  <si>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</si>
  <si>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</si>
  <si>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</si>
  <si>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</si>
  <si>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</si>
  <si>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</si>
  <si>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</si>
  <si>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</si>
  <si>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</si>
  <si>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</si>
  <si>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</si>
  <si>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</si>
  <si>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</si>
  <si>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</si>
  <si>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</si>
  <si>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</si>
  <si>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</si>
  <si>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</si>
  <si>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</si>
  <si>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</si>
  <si>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</si>
  <si>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</si>
  <si>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</si>
  <si>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</si>
  <si>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</si>
  <si>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</si>
  <si>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</si>
  <si>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</si>
  <si>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</si>
  <si>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</si>
  <si>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</si>
  <si>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</si>
  <si>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</si>
  <si>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</si>
  <si>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</si>
  <si>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</si>
  <si>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</si>
  <si>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</si>
  <si>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</si>
  <si>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</si>
  <si>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</si>
  <si>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</si>
  <si>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</si>
  <si>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</si>
  <si>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</si>
  <si>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</si>
  <si>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</si>
  <si>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</si>
  <si>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</si>
  <si>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</si>
  <si>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</si>
  <si>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</si>
  <si>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</si>
  <si>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</si>
  <si>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</si>
  <si>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</si>
  <si>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</si>
  <si>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</si>
  <si>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</si>
  <si>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</si>
  <si>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</si>
  <si>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</si>
  <si>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</si>
  <si>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</si>
  <si>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</si>
  <si>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</si>
  <si>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</si>
  <si>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</si>
  <si>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</si>
  <si>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</si>
  <si>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</si>
  <si>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</si>
  <si>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</si>
  <si>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</si>
  <si>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</si>
  <si>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</si>
  <si>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</si>
  <si>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</si>
  <si>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</si>
  <si>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</si>
  <si>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</si>
  <si>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</si>
  <si>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</si>
  <si>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</si>
  <si>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</si>
  <si>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</si>
  <si>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</si>
  <si>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</si>
  <si>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</si>
  <si>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</si>
  <si>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</si>
  <si>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</si>
  <si>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</si>
  <si>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</si>
  <si>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</si>
  <si>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</si>
  <si>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</si>
  <si>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</si>
  <si>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</si>
  <si>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</si>
  <si>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</si>
  <si>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</si>
  <si>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</si>
  <si>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</si>
  <si>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</si>
  <si>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</si>
  <si>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</si>
  <si>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</si>
  <si>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</si>
  <si>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</si>
  <si>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</si>
  <si>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</si>
  <si>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</si>
  <si>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</si>
  <si>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</si>
  <si>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</si>
  <si>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</si>
  <si>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</si>
  <si>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</si>
  <si>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</si>
  <si>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</si>
  <si>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</si>
  <si>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</si>
  <si>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</si>
  <si>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</si>
  <si>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</si>
  <si>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</si>
  <si>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</si>
  <si>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</si>
  <si>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</si>
  <si>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</si>
  <si>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</si>
  <si>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</si>
  <si>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</si>
  <si>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</si>
  <si>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</si>
  <si>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</si>
  <si>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</si>
  <si>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</si>
  <si>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</si>
  <si>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</si>
  <si>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</si>
  <si>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</si>
  <si>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</si>
  <si>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</si>
  <si>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</si>
  <si>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</si>
  <si>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</si>
  <si>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</si>
  <si>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</si>
  <si>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</si>
  <si>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</si>
  <si>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</si>
  <si>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</si>
  <si>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</si>
  <si>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</si>
  <si>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Holiday</t>
  </si>
  <si>
    <t>{"Holiday","Kids"}</t>
  </si>
  <si>
    <t>F2321LON</t>
  </si>
  <si>
    <t>196AKIN</t>
  </si>
  <si>
    <t>Rent for period 16/05/2017 - 15/06/2017 from Miss Ausra Baziukiene - Flat 20, 4-6 Alhambra Road, Southsea</t>
  </si>
  <si>
    <t>Management Fee at 6% - Flat 20, 4-6 Alhambra Road, Southsea</t>
  </si>
  <si>
    <t>Invoice</t>
  </si>
  <si>
    <t>Rent for period 16/04/2017 - 15/05/2017 from Miss Ausra Baziukiene - Flat 20, 4-6 Alhambra Road, Southsea</t>
  </si>
  <si>
    <t>Amount payable to Mr Mathew Tucker - Flat 20, 4-6 Alhambra Road, Southsea</t>
  </si>
  <si>
    <t>Statement</t>
  </si>
  <si>
    <t>Hot water issue - Ardent Building, Plumbing and Maintenance - Flat 20, 4-6 Alhambra Road, Southsea</t>
  </si>
  <si>
    <t>Supplier</t>
  </si>
  <si>
    <t>Rent for period 16/06/2017 - 15/07/2017 from Miss Ausra Baziukiene - Flat 20, 4-6 Alhambra Road, Southsea</t>
  </si>
  <si>
    <t>Rent for period 20/06/2017 - 19/07/2017 from Miss Sinead OBrien - Flat 19, 4-6 Alhambra Road, Southsea</t>
  </si>
  <si>
    <t>Management Fee at 6% - Flat 19, 4-6 Alhambra Road, Southsea</t>
  </si>
  <si>
    <t>Amount payable to Mr Mathew Tucker - Flat 19, 4-6 Alhambra Road, Southsea</t>
  </si>
  <si>
    <t>Rent for period 20/07/2017 - 19/08/2017 from Miss Sinead OBrien - Flat 19, 4-6 Alhambra Road, Southsea</t>
  </si>
  <si>
    <t>Rent for period 10/06/2017 - 09/07/2017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</si>
  <si>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</si>
  <si>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</si>
  <si>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10/07/2017 - 09/08/2017 from Mr Johnathan Hill - Flat 17, 4-6 Alhambra Road, Southsea</t>
  </si>
  <si>
    <t>Rent for period 26/06/2017 - 25/07/2017 from Mrs Dionne McLaughlin - Flat 18, 4-6 Alhambra Road, Southsea</t>
  </si>
  <si>
    <t>Management Fee at 6% - Flat 18, 4-6 Alhambra Road, Southsea</t>
  </si>
  <si>
    <t>Amount payable to Mr Mathew Tucker - Flat 18, 4-6 Alhambra Road, Southsea</t>
  </si>
  <si>
    <t>Key cut -  - Flat 18, 4-6 Alhambra Road, Southsea</t>
  </si>
  <si>
    <t>Rent for period 26/07/2017 - 25/08/2017 from Mrs Dionne McLaughlin - Flat 18, 4-6 Alhambra Road, Southsea</t>
  </si>
  <si>
    <t>Rent for period 20/06/2017 - 19/07/2017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</si>
  <si>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</si>
  <si>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</si>
  <si>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20/07/2017 - 19/08/2017 from Mr Andrew England - Flat 10, 12-14 Alhambra Road, Southsea</t>
  </si>
  <si>
    <t>Rent for period 06/07/2017 - 05/08/2017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</si>
  <si>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</si>
  <si>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</si>
  <si>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Rent for period 06/06/2017 - 05/07/2017 from Mr Tony Di-Marco - Flat 4, 12-14 Alhambra Road, Southsea</t>
  </si>
  <si>
    <t>Management Fee at 6% - Flat 4, 12-14 Alhambra Road, Southsea</t>
  </si>
  <si>
    <t>Amount payable to Mr Mathew Tucker - Flat 4, 12-14 Alhambra Road, Southsea</t>
  </si>
  <si>
    <t>Rent for period 06/07/2017 - 05/08/2017 from Mr Tony Di-Marco - Flat 4, 12-14 Alhambra Road, Southsea</t>
  </si>
  <si>
    <t>Rent for period 12/06/2017 - 11/07/2017 from Mr Peter Taperek - Flat 6, 16-18 Alhambra Road, Southsea</t>
  </si>
  <si>
    <t>Management Fee at 6% - Flat 6, 16-18 Alhambra Road, Southsea</t>
  </si>
  <si>
    <t>Amount payable to Mr Mathew Tucker - Flat 6, 16-18 Alhambra Road, Southsea</t>
  </si>
  <si>
    <t>Rent for period 12/07/2017 - 11/08/2017 from Mr Peter Taperek - Flat 6, 16-18 Alhambra Road, Southsea</t>
  </si>
  <si>
    <t>Rent for period 05/07/2017 - 04/08/2017 from Mr Kit Conrad - Flat 1, 16-18 Alhambra Road, Southsea</t>
  </si>
  <si>
    <t>Management Fee at 6% - Flat 1, 16-18 Alhambra Road, Southsea</t>
  </si>
  <si>
    <t>Rent for period 05/06/2017 - 04/07/2017 from Mr Kit Conrad - Flat 1, 16-18 Alhambra Road, Southsea</t>
  </si>
  <si>
    <t>Amount payable to Mr Mathew Tucker - Flat 1, 16-18 Alhambra Road, Southsea</t>
  </si>
  <si>
    <t>Attend to light switch - R S Electrical - Flat 11, 16-18 Alhambra Road, Southsea</t>
  </si>
  <si>
    <t>Rent for period 12/07/2017 - 11/08/2017 from Mr Sam Yates - Flat 11, 16-18 Alhambra Road, Southsea</t>
  </si>
  <si>
    <t>Management Fee at 6% - Flat 11, 16-18 Alhambra Road, Southsea</t>
  </si>
  <si>
    <t>Amount payable to Mr Mathew Tucker - Flat 11, 16-18 Alhambra Road, Southsea</t>
  </si>
  <si>
    <t>fridge  - Kingston Domestics - Flat 11, 16-18 Alhambra Road, Southsea</t>
  </si>
  <si>
    <t>Rent for period 03/07/2017 - 02/08/2017 from Mr Andrew Lewis - Flat 13, 16-18 Alhambra Road, Southsea</t>
  </si>
  <si>
    <t>Management Fee at 6% - Flat 13, 16-18 Alhambra Road, Southsea</t>
  </si>
  <si>
    <t>Rent for period 03/06/2017 - 02/07/2017 from Mr Andrew Lewis - Flat 13, 16-18 Alhambra Road, Southsea</t>
  </si>
  <si>
    <t>Amount payable to Mr Mathew Tucker - Flat 13, 16-18 Alhambra Road, Southsea</t>
  </si>
  <si>
    <t>Rent for period 23/06/2017 - 22/07/2017 from Mr David Connor - Flat 1, 321 London Road, Portsmouth</t>
  </si>
  <si>
    <t>Management Fee at 6% - Flat 1, 321 London Road, Portsmouth</t>
  </si>
  <si>
    <t>Amount payable to Mr Mathew Tucker - Flat 1, 321 London Road, Portsmouth</t>
  </si>
  <si>
    <t>leak from No 3 into No 2 - S Underwood Maintenance &amp; Home Improvements - Flat 1, 321 London Road, Portsmouth</t>
  </si>
  <si>
    <t>Rent for period 23/06/2017 - 22/07/2017 from Ms Sharon Briscoe - Flat 2, 321 London Road, Portsmouth</t>
  </si>
  <si>
    <t>Management Fee at 6% - Flat 2, 321 London Road, Portsmouth</t>
  </si>
  <si>
    <t>Amount payable to Mr Mathew Tucker - Flat 2, 321 London Road, Portsmouth</t>
  </si>
  <si>
    <t>Sockets not working in lounge/kitchen - R S Electrical - Flat 2, 321 London Road, Portsmouth</t>
  </si>
  <si>
    <t>Rent for period 03/07/2017 - 02/08/2017 from Mr Joshua Brown - Flat 3, 321 London Road, Portsmouth</t>
  </si>
  <si>
    <t>Management Fee at 6% - Flat 3, 321 London Road, Portsmouth</t>
  </si>
  <si>
    <t>Rent for period 03/06/2017 - 02/07/2017 from Mr Joshua Brown - Flat 3, 321 London Road, Portsmouth</t>
  </si>
  <si>
    <t>Amount payable to Mr Mathew Tucker - Flat 3, 321 London Road, Portsmouth</t>
  </si>
  <si>
    <t>Rent for period 26/06/2017 - 25/07/2017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</si>
  <si>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</si>
  <si>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</si>
  <si>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17/06/2017 - 16/07/2017 from Mr Nicholas Wright - Flat 4, 163 Fratton Road, Portsmouth</t>
  </si>
  <si>
    <t>Management Fee at 6% - Flat 4, 163 Fratton Road, Portsmouth</t>
  </si>
  <si>
    <t>Amount payable to Mr Mathew Tucker - Flat 4, 163 Fratton Road, Portsmouth</t>
  </si>
  <si>
    <t>Rent for period 17/07/2017 - 16/08/2017 from Mr Nicholas Wright - Flat 4, 163 Fratton Road, Portsmouth</t>
  </si>
  <si>
    <t>Rent for period 02/07/2017 - 01/08/2017 from Mr Michael Pedace - Flat 2, 171 Fawcett Road, Southsea</t>
  </si>
  <si>
    <t>Management Fee at 6% - Flat 2, 171 Fawcett Road, Southsea</t>
  </si>
  <si>
    <t>Rent for period 02/06/2017 - 01/07/2017 from Mr Michael Pedace - Flat 2, 171 Fawcett Road, Southsea</t>
  </si>
  <si>
    <t>Amount payable to Mr Mathew Tucker - Flat 2, 171 Fawcett Road, Southsea</t>
  </si>
  <si>
    <t>Landlord Gas safety - Beals Plumbing - Flat 2, 171 Fawcett Road, Southsea</t>
  </si>
  <si>
    <t>PL2404</t>
  </si>
  <si>
    <t>Rent for period 15/07/2017 - 14/08/2017 from Mr Graham Robinson - Flat 3, 169 Fawcett Road, Southsea</t>
  </si>
  <si>
    <t>Management Fee at 6% - Flat 3, 169 Fawcett Road, Southsea</t>
  </si>
  <si>
    <t>Amount payable to Mr Mathew Tucker - Flat 3, 169 Fawcett Road, Southsea</t>
  </si>
  <si>
    <t>Rent for period 11/06/2017 - 10/07/2017 from Mr Lee Knowles - Flat 2, 169 Fawcett Road, Southsea</t>
  </si>
  <si>
    <t>Management Fee at 6% - Flat 2, 169 Fawcett Road, Southsea</t>
  </si>
  <si>
    <t>Amount payable to Mr Mathew Tucker - Flat 2, 169 Fawcett Road, Southsea</t>
  </si>
  <si>
    <t>Rent for period 11/07/2017 - 10/08/2017 from Mr Lee Knowles - Flat 2, 169 Fawcett Road, Southsea</t>
  </si>
  <si>
    <t>Rent for period 06/06/2017 - 05/07/2017 from Ms Susan Parkinson - Flat 1, 169 Fawcett Road, Southsea</t>
  </si>
  <si>
    <t>Management Fee at 6% - Flat 1, 169 Fawcett Road, Southsea</t>
  </si>
  <si>
    <t>Amount payable to Mr Mathew Tucker - Flat 1, 169 Fawcett Road, Southsea</t>
  </si>
  <si>
    <t>Reported issues  - S Underwood Maintenance &amp; Home Improvements - Flat 1, 169 Fawcett Road, Southsea</t>
  </si>
  <si>
    <t>secure propety and leave keys if necessary - S Underwood Maintenance &amp; Home Improvements - Flat 1, 169 Fawcett Road, Southsea</t>
  </si>
  <si>
    <t>Rent for period 11/07/2017 - 10/08/2017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</si>
  <si>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</si>
  <si>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</si>
  <si>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01/07/2017 - 31/07/2017 from Ms Joyce Henson - 196a Kingston Road, Portsmouth</t>
  </si>
  <si>
    <t>Management Fee at 6% - 196a Kingston Road, Portsmouth</t>
  </si>
  <si>
    <t>Amount payable to Mr Mathew Tucker - 196a Kingston Road, Portsmouth</t>
  </si>
  <si>
    <t>Rent for period 08/06/2017 - 07/07/2017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</si>
  <si>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</si>
  <si>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</si>
  <si>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08/07/2017 - 07/08/2017 from Mr Antony Raymond Hinks - Flat 6, 8 Alhambra Road, Southsea</t>
  </si>
  <si>
    <t>Rent for period 14/06/2017 - 13/07/2017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</si>
  <si>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</si>
  <si>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</si>
  <si>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14/07/2017 - 13/08/2017 from Ms Sharon Smith - Flat 5, 8 Alhambra Road, Southsea</t>
  </si>
  <si>
    <t>Rent for period 14/07/2017 - 13/08/2017 from Miss Syasya Aristoteies - 23b Hampshire Terrace, Portsmouth</t>
  </si>
  <si>
    <t>Management Fee at 6% - 23b Hampshire Terrace, Portsmouth</t>
  </si>
  <si>
    <t>Amount payable to Mr Mathew Tucker - 23b Hampshire Terrace, Portsmouth</t>
  </si>
  <si>
    <t>Rent for period 14/06/2017 - 13/07/2017 from Mr Martin Brett - Flat 3, 163 Fratton Road, Portsmouth</t>
  </si>
  <si>
    <t>Management Fee at 6% - Flat 3, 163 Fratton Road, Portsmouth</t>
  </si>
  <si>
    <t>Rent for period 14/07/2017 - 13/08/2017 from Mr Martin Brett - Flat 3, 163 Fratton Road, Portsmouth</t>
  </si>
  <si>
    <t>Rent for period 14/06/2017 - 13/07/2017 from Mr Aleksandra Raadzevics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</si>
  <si>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</si>
  <si>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</si>
  <si>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14/07/2017 - 13/08/2017 from Mr Aleksandra Raadzevics - Flat 7, 12-14 Alhambra Road, Southsea</t>
  </si>
  <si>
    <t>Front door crumbled  - S Underwood Maintenance &amp; Home Improvements - Flat 7, 12-14 Alhambra Road, Southsea</t>
  </si>
  <si>
    <t>Rent for period 15/06/2017 - 14/07/2017 from Mr Peter Grant - Flat 2, 163 Fratton Road, Portsmouth</t>
  </si>
  <si>
    <t>Management Fee at 6% - Flat 2, 163 Fratton Road, Portsmouth</t>
  </si>
  <si>
    <t>Amount payable to Mr Mathew Tucker - Flat 2, 163 Fratton Road, Portsmouth</t>
  </si>
  <si>
    <t>Rent for period 15/07/2017 - 14/08/2017 from Mr Peter Grant - Flat 2, 163 Fratton Road, Portsmouth</t>
  </si>
  <si>
    <t>keys cut -  - Flat 2, 163 Fratton Road, Portsmouth</t>
  </si>
  <si>
    <t>F1171FAW</t>
  </si>
  <si>
    <t>Rent for period 06/07/2017 - 05/08/2017 from Ms Kirstine Aldridge - Flat 1, 171 Fawcett Road, Southsea</t>
  </si>
  <si>
    <t>Management Fee at 6% - Flat 1, 171 Fawcett Road, Southsea</t>
  </si>
  <si>
    <t>Amount payable to Mr Mathew Tucker - Flat 1, 171 Fawcett Road, Southsea</t>
  </si>
  <si>
    <t>Damp &amp; Condensation - New Cooker Hood &amp; Extractor - S Underwood Maintenance &amp; Home Improvements - Flat 1, 171 Fawcett Road, Southsea</t>
  </si>
  <si>
    <t>Rent for period 14/07/2017 - 13/08/2017 from Mr John Sharpe - 196b Kingston Road, Portsmouth</t>
  </si>
  <si>
    <t>Management Fee at 6% - 196b Kingston Road, Portsmouth</t>
  </si>
  <si>
    <t>Rent for period 14/06/2017 - 13/07/2017 from Mr John Sharpe - 196b Kingston Road, Portsmouth</t>
  </si>
  <si>
    <t>Amount payable to Ms Ivana Valentino - 196b Kingston Road, Portsmouth</t>
  </si>
  <si>
    <t>Rent for period 14/07/2017 - 13/08/2017 from Miss Sandra Namataka - 23c Hampshire Terrace, Portsmouth</t>
  </si>
  <si>
    <t>Management Fee at 6% - 23c Hampshire Terrace, Portsmouth</t>
  </si>
  <si>
    <t>Amount payable to Ms Ivana Valentino - 23c Hampshire Terrace, Portsmouth</t>
  </si>
  <si>
    <t>Rent for period 05/07/2017 - 04/08/2017 from Miss Francis Brooker - Flat 7, 8 Alhambra Road, Southsea</t>
  </si>
  <si>
    <t>Management Fee at 6% - Flat 7, 8 Alhambra Road, Southsea</t>
  </si>
  <si>
    <t>Rent for period 26/06/2017 - 25/07/2017 from Ms Lisa Pegg - Flat 8, 8 Alhambra Road, Southsea</t>
  </si>
  <si>
    <t>Management Fee at 6% - Flat 8, 8 Alhambra Road, Southsea</t>
  </si>
  <si>
    <t>Amount payable to Ms Ivana Valentino - Flat 8, 8 Alhambra Road, Southsea</t>
  </si>
  <si>
    <t>Rent for period 30/07/2017 - 29/08/2017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</si>
  <si>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</si>
  <si>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</si>
  <si>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06/05/2017 - 05/06/2017 from Ms Sally Taylor - Flat 22, 4-6 Alhambra Road, Southsea</t>
  </si>
  <si>
    <t>Management Fee at 6% - Flat 22, 4-6 Alhambra Road, Southsea</t>
  </si>
  <si>
    <t>Amount payable to Ms Ivana Valentino - Flat 22, 4-6 Alhambra Road, Southsea</t>
  </si>
  <si>
    <t>Rent for period 10/05/2017 - 09/06/2017 from Ms Stephanie Ryan - Flat 23, 4-6 Alhambra Road, Southsea</t>
  </si>
  <si>
    <t>Management Fee at 6% - Flat 23, 4-6 Alhambra Road, Southsea</t>
  </si>
  <si>
    <t>Rent for period 10/04/2017 - 09/05/2017 from Ms Stephanie Ryan - Flat 23, 4-6 Alhambra Road, Southsea</t>
  </si>
  <si>
    <t>Amount payable to Ms Ivana Valentino - Flat 23, 4-6 Alhambra Road, Southsea</t>
  </si>
  <si>
    <t>First rent for period 18/07/2017 - 17/08/2017 from Mr Andrew Greer - Flat 3, 12-14 Alhambra Road, Southsea</t>
  </si>
  <si>
    <t>Management Fee at 6% - Flat 3, 12-14 Alhambra Road, Southsea</t>
  </si>
  <si>
    <t>check hob ignitor no plug on  cable and check oven - Kingston Domestics - Flat 3, 12-14 Alhambra Road, Southsea</t>
  </si>
  <si>
    <t>Landlord Gas safety - Beals Plumbing - Flat 3, 12-14 Alhambra Road, Southsea</t>
  </si>
  <si>
    <t>PL2412</t>
  </si>
  <si>
    <t>Rent for period 23/06/2017 - 22/07/2017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</si>
  <si>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</si>
  <si>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</si>
  <si>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23/07/2017 - 22/08/2017 from Mr Michael Valverde - Flat 5, 12-14 Alhambra Road, Southsea</t>
  </si>
  <si>
    <t>Rent for period 19/06/2017 - 18/07/2017 from Mr Peter Oakwell - Flat 11, 12-14 Alhambra Road, Southsea</t>
  </si>
  <si>
    <t>Management Fee at 6% - Flat 11, 12-14 Alhambra Road, Southsea</t>
  </si>
  <si>
    <t>Amount payable to Ms Ivana Valentino - Flat 11, 12-14 Alhambra Road, Southsea</t>
  </si>
  <si>
    <t>Rent for period 19/07/2017 - 18/08/2017 from Mr Peter Oakwell - Flat 11, 12-14 Alhambra Road, Southsea</t>
  </si>
  <si>
    <t>Rent for period 19/06/2017 - 18/07/2017 from Mr Aubrey Milligan - Flat 16, 12-14 Alhambra Road, Southsea</t>
  </si>
  <si>
    <t>Management Fee at 6% - Flat 16, 12-14 Alhambra Road, Southsea</t>
  </si>
  <si>
    <t>Rent for period 19/05/2017 - 18/06/2017 from Mr Aubrey Milligan - Flat 16, 12-14 Alhambra Road, Southsea</t>
  </si>
  <si>
    <t>Amount payable to Ms Ivana Valentino - Flat 16, 12-14 Alhambra Road, Southsea</t>
  </si>
  <si>
    <t>Rent for period 21/06/2017 - 20/07/2017 from Ms Cherub Stark - Flat 3, 16-18 Alhambra Road, Southsea</t>
  </si>
  <si>
    <t>Management Fee at 6% - Flat 3, 16-18 Alhambra Road, Southsea</t>
  </si>
  <si>
    <t>Amount payable to Ms Ivana Valentino - Flat 3, 16-18 Alhambra Road, Southsea</t>
  </si>
  <si>
    <t>Rent for period 08/06/2017 - 07/07/2017 from Mr Alan Young - Flat 7, 16-18 Alhambra Road, Southsea</t>
  </si>
  <si>
    <t>Management Fee at 6% - Flat 7, 16-18 Alhambra Road, Southsea</t>
  </si>
  <si>
    <t>Amount payable to Ms Ivana Valentino - Flat 7, 16-18 Alhambra Road, Southsea</t>
  </si>
  <si>
    <t>Rent for period 08/07/2017 - 07/08/2017 from Mr Alan Young - Flat 7, 16-18 Alhambra Road, Southsea</t>
  </si>
  <si>
    <t>Rent for period 19/06/2017 - 18/07/2017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</si>
  <si>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</si>
  <si>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</si>
  <si>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19/07/2017 - 18/08/2017 from Mr Jason Passmore - Flat 12, 16-18 Alhambra Road, Southsea</t>
  </si>
  <si>
    <t>Rent for period 30/12/2016 - 29/01/2017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</si>
  <si>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</si>
  <si>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</si>
  <si>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>Rent for period 09/07/2017 - 08/08/2017 from Mr Nick Olsen - Flat 3, 171 Fawcett Road, Southsea</t>
  </si>
  <si>
    <t>Management Fee at 6% - Flat 3, 171 Fawcett Road, Southsea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</si>
  <si>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</si>
  <si>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</si>
  <si>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</si>
  <si>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</si>
  <si>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</si>
  <si>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</si>
  <si>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</si>
  <si>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</si>
  <si>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</si>
  <si>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</si>
  <si>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</si>
  <si>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</si>
  <si>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</si>
  <si>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</si>
  <si>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</si>
  <si>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</si>
  <si>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</si>
  <si>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</si>
  <si>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</si>
  <si>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1169 FAWCETT  BGC</t>
  </si>
  <si>
    <t>BEALS ESTATE AGENT    FLAT 1412-14 ALHAM BGC</t>
  </si>
  <si>
    <t>BEALS ESTATE AGENT    FLAT 412-14 ALHAMB BGC</t>
  </si>
  <si>
    <t>BEALS ESTATE AGENT    FLAT 1171 FAWCETT  BGC</t>
  </si>
  <si>
    <t>BEALS ESTATE AGENT    FLAT 1316-18 ALHAM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</si>
  <si>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</si>
  <si>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</si>
  <si>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</si>
  <si>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</si>
  <si>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</si>
  <si>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</si>
  <si>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</si>
  <si>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</si>
  <si>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</si>
  <si>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</si>
  <si>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</si>
  <si>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</si>
  <si>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</si>
  <si>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</si>
  <si>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</si>
  <si>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</si>
  <si>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</si>
  <si>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</si>
  <si>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23B HAMPSHIRE TERR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</si>
  <si>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</si>
  <si>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</si>
  <si>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</si>
  <si>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</si>
  <si>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</si>
  <si>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</si>
  <si>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</si>
  <si>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BEALS ESTATE AGENT    FLAT 2163 FRATTON  BGC</t>
  </si>
  <si>
    <t>BHAM MIDSHIRES        020003649652/41838 DDR</t>
  </si>
  <si>
    <t>OTH</t>
  </si>
  <si>
    <t>BCC</t>
  </si>
  <si>
    <t>BEALS ESTATE AGENT    FLAT 194-6 ALHAMBR BGC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</si>
  <si>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</si>
  <si>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</si>
  <si>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</si>
  <si>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</si>
  <si>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</si>
  <si>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>EE &amp; T-MOBILE         Q13077400731892542 DDR</t>
  </si>
  <si>
    <t>MORTGAGE EXPRESS      2016485130022098   DDR</t>
  </si>
  <si>
    <t>MORTGAGE EXPRESS      2016485040022098   DDR</t>
  </si>
  <si>
    <t>MORTGAGE EXPRESS      2007545250022098   DDR</t>
  </si>
  <si>
    <t>MORTGAGE EXPRESS      2007107760022098   DDR</t>
  </si>
  <si>
    <t>MORTGAGE EXPRESS      2007093450022098   DDR</t>
  </si>
  <si>
    <t>MORTGAGE EXPRESS      2007093360022098   DDR</t>
  </si>
  <si>
    <t>MORTGAGE EXPRESS      2006372640022098   DDR</t>
  </si>
  <si>
    <t>MORTGAGE EXPRESS      0019966240022098   DDR</t>
  </si>
  <si>
    <t>MORTGAGE EXPRESS      0018724700022098   DDR</t>
  </si>
  <si>
    <t>MORTGAGE EXPRESS      0017031550022098   DDR</t>
  </si>
  <si>
    <t>MORTGAGE EXPRESS      0016470530022098   DDR</t>
  </si>
  <si>
    <t>MORTGAGE EXPRESS      0015866140022098   DDR</t>
  </si>
  <si>
    <t>BP BEDFORD EXPRESS    ON 29 JUN          BCC</t>
  </si>
  <si>
    <t>NEW COUNTY SERVICE    ON 03 JUL          CLP</t>
  </si>
  <si>
    <t>NEW COUNTY SERVICE    ON 04 JUL          CLP</t>
  </si>
  <si>
    <t>PUSHDOCTOR            ON 06 JUL          BCC</t>
  </si>
  <si>
    <t>WILSTEAD PHARMACY     ON 07 JUL          CLP</t>
  </si>
  <si>
    <t xml:space="preserve">CARDTRONICS UK LTD    BP - ELSTOW INTERC    </t>
  </si>
  <si>
    <t>TESCO PFS 5449        ON 08 JUL          BCC</t>
  </si>
  <si>
    <t>IG.COM                ON 12 JUL          BCC</t>
  </si>
  <si>
    <t>COSTA COFFEE 43035    ON 15 JUL          CLP</t>
  </si>
  <si>
    <t xml:space="preserve">CARDTRONICS UK LTD    BT KIOSK O/S BURY     </t>
  </si>
  <si>
    <t>TESCO STORE 2105      ON 14 JUL          BCC</t>
  </si>
  <si>
    <t>CURRYS S/S            ON 15 JUL          BCC</t>
  </si>
  <si>
    <t>207409 40406538       001171980000198    TFR</t>
  </si>
  <si>
    <t xml:space="preserve">OMNICASH              SPAR BROOKES RD MK    </t>
  </si>
  <si>
    <t>POST OFFICE COUNTE    ON 20 JUL          CLP</t>
  </si>
  <si>
    <t>CLOPHILL P O &amp; STO    ON 20 JUL          BCC</t>
  </si>
  <si>
    <t>NEW COUNTY SERVICE    ON 22 JUL          CLP</t>
  </si>
  <si>
    <t>NEW COUNTY SERVICE    ON 23 JUL          CLP</t>
  </si>
  <si>
    <t>CYCLEWORX             ON 22 JUL          BCC</t>
  </si>
  <si>
    <t>MALTHURST LIMITED     ON 22 JUL          BCC</t>
  </si>
  <si>
    <t>Cineworld MIL AT      ON 22 JUL          BCC</t>
  </si>
  <si>
    <t>Cineworld MIL CP      ON 22 JUL          BCC</t>
  </si>
  <si>
    <t>INDIGO PARK SVS UK    ON 22 JUL          BCC</t>
  </si>
  <si>
    <t xml:space="preserve">IAN MILLIGAN          M TUCKER           FT </t>
  </si>
  <si>
    <t>WILSTEAD TANDOORI     ON 29 JUL          CLP</t>
  </si>
  <si>
    <t>THE SHUTTLEWORTH      ON 29 JUL          CLP</t>
  </si>
  <si>
    <t>SHUTTLEWORTH COLLC    ON 29 JUL          CLP</t>
  </si>
  <si>
    <t>MORTGAGE TRUST        002197389 10100740 DDR</t>
  </si>
  <si>
    <t>MORTGAGE TRUST        002186357 10100740 DDR</t>
  </si>
  <si>
    <t>MORTGAGE TRUST        002186356 10100740 DDR</t>
  </si>
  <si>
    <t>MORTGAGE TRUST        002186317 10100740 DDR</t>
  </si>
  <si>
    <t>EE &amp; T-MOBILE         Q13077400741109336 DDR</t>
  </si>
  <si>
    <t>20-53-30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</si>
  <si>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</si>
  <si>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</si>
  <si>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</si>
  <si>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</si>
  <si>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</si>
  <si>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</si>
  <si>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</si>
  <si>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THE HARPUR TRUST D    TUCKM8  PVALA1     DDR</t>
  </si>
  <si>
    <t>THE HARPUR TRUST D    TUCKM8  BVALR8     DDR</t>
  </si>
  <si>
    <t>THE HARPUR TRUST D    TUCKMS  GVALS1     DDR</t>
  </si>
  <si>
    <t>MORTGAGE EXPRESS      2016485220022098   DDR</t>
  </si>
  <si>
    <t>MORTGAGE EXPRESS      2007093270022098   DDR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</si>
  <si>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</si>
  <si>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</si>
  <si>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</si>
  <si>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</si>
  <si>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</si>
  <si>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</si>
  <si>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</si>
  <si>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</si>
  <si>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512-14 ALHAMB BGC</t>
  </si>
  <si>
    <t>BEALS ESTATE AGENT    FLAT 1112-14 ALHAM BGC</t>
  </si>
  <si>
    <t>BEALS ESTATE AGENT    FLAT 716-18 ALHAMB BGC</t>
  </si>
  <si>
    <t>BEALS ESTATE AGENT    FLAT 1216-18 ALHAM BGC</t>
  </si>
  <si>
    <t>BEALS ESTATE AGENT    FLAT 224-6 ALHAMBR BGC</t>
  </si>
  <si>
    <t>BEALS ESTATE AGENT    FLAT 1612-14 ALHAM BGC</t>
  </si>
  <si>
    <t>BEALS ESTATE AGENT    FLAT 1616-18 ALHAM BGC</t>
  </si>
  <si>
    <t>BEALS ESTATE AGENT    FLAT 316-18 ALHAMB BGC</t>
  </si>
  <si>
    <t xml:space="preserve"> </t>
  </si>
  <si>
    <t>BHAM MIDSHIRES        020007900597/89565 DDR</t>
  </si>
  <si>
    <t>207409 40406538    TFR</t>
  </si>
  <si>
    <t>BEALS ESTATE AGENT    FLAT 88 ALHAMBRA R BGC</t>
  </si>
  <si>
    <t>FRIENDS LIFE          014033997          DDR</t>
  </si>
  <si>
    <t>EE &amp; T-MOBILE         Q20664165735788609 DDR</t>
  </si>
  <si>
    <t>BT GROUP PLC          GB14092007-000034  DDR</t>
  </si>
  <si>
    <t>MORTGAGE EXPRESS      2008784100022112   DDR</t>
  </si>
  <si>
    <t>MORTGAGE EXPRESS      2007664780022112   DDR</t>
  </si>
  <si>
    <t>MORTGAGE EXPRESS      2007545340022112   DDR</t>
  </si>
  <si>
    <t>MORTGAGE EXPRESS      2007544710022112   DDR</t>
  </si>
  <si>
    <t>MORTGAGE EXPRESS      2007107670022112   DDR</t>
  </si>
  <si>
    <t>MORTGAGE EXPRESS      2006332310022112   DDR</t>
  </si>
  <si>
    <t>MORTGAGE EXPRESS      2005787290022112   DDR</t>
  </si>
  <si>
    <t>PLATFORM FUNDING      01050228957685     DDR</t>
  </si>
  <si>
    <t>BEALS ESTATE AGENT    23C HAMPSHIRE TERR BGC</t>
  </si>
  <si>
    <t>BEALS ESTATE AGENT    196B KINGSTON ROAD BGC</t>
  </si>
  <si>
    <t xml:space="preserve">207409 40406538       MOBILE-CHANNEL     FT </t>
  </si>
  <si>
    <t>CHQ</t>
  </si>
  <si>
    <t>BEALS ESTATE AGENT    FLAT 234-6 ALHAMBR BGC</t>
  </si>
  <si>
    <t>MR MATTHEW STUART     207409 40406538    STO</t>
  </si>
  <si>
    <t>BOOTS REWARDSCHEME    A45028400000736    DDR</t>
  </si>
  <si>
    <t>20-74-09 40406538</t>
  </si>
  <si>
    <t>ETHICSTARLT           ON 30 JUN          BCC</t>
  </si>
  <si>
    <t xml:space="preserve">TESCO                 TESCO BE BR DR EXP    </t>
  </si>
  <si>
    <t>WM MORRISON PLC       ON 30 JUN          BCC</t>
  </si>
  <si>
    <t>NEW COUNTY SERVICE    ON 30 JUN          BCC</t>
  </si>
  <si>
    <t>LAKESIDE FISH AND     ON 29 JUN          CLP</t>
  </si>
  <si>
    <t>TESCO STORE 2105      ON 29 JUN          CLP</t>
  </si>
  <si>
    <t>MARKS&amp;SPENCER PLC     ON 29 JUN          CLP</t>
  </si>
  <si>
    <t>TOP STAR              ON 29 JUN          CLP</t>
  </si>
  <si>
    <t>HOBBYCRAFT LTD        ON 02 JUL          CLP</t>
  </si>
  <si>
    <t>TESCO STORES 6579     ON 02 JUL          CLP</t>
  </si>
  <si>
    <t>COSTA COFFEE 43035    ON 02 JUL          CLP</t>
  </si>
  <si>
    <t>SUBWAY                ON 02 JUL          CLP</t>
  </si>
  <si>
    <t>SUPERDRUG STORES P    ON 03 JUL          CLP</t>
  </si>
  <si>
    <t>MARKS&amp;SPENCER PLC     ON 03 JUL          CLP</t>
  </si>
  <si>
    <t>COSTA COFFEE 43035    ON 03 JUL          CLP</t>
  </si>
  <si>
    <t>WH SMITH              ON 03 JUL          BCC</t>
  </si>
  <si>
    <t>IZ *Fays at Rivers    ON 04 JUL          CLP</t>
  </si>
  <si>
    <t>NO LIMITZ             ON 04 JUL          BCC</t>
  </si>
  <si>
    <t>TESCO STORES-2105     ON 04 JUL          CLP</t>
  </si>
  <si>
    <t>WAITROSE              ON 04 JUL          BCC</t>
  </si>
  <si>
    <t>BP NEWHAM AVENUE C    ON 03 JUL          CLP</t>
  </si>
  <si>
    <t>BP BEDFORD EXPRESS    ON 03 JUL          CLP</t>
  </si>
  <si>
    <t>WATERSTONES           ON 06 JUL          CLP</t>
  </si>
  <si>
    <t>COSTA COFFEE          ON 06 JUL          CLP</t>
  </si>
  <si>
    <t>MCDONALDS             ON 06 JUL          CLP</t>
  </si>
  <si>
    <t>NO LIMITZ             ON 06 JUL          BCC</t>
  </si>
  <si>
    <t>NO LIMITZ             ON 07 JUL          BCC</t>
  </si>
  <si>
    <t>T K MAXX              ON 07 JUL          CLP</t>
  </si>
  <si>
    <t>MAJESTIC WINE         ON 07 JUL          CLP</t>
  </si>
  <si>
    <t>BP BEDFORD EXPRESS    ON 06 JUL          CLP</t>
  </si>
  <si>
    <t>MCDONALDS             ON 07 JUL          CLP</t>
  </si>
  <si>
    <t>TOP STAR              ON 07 JUL          CLP</t>
  </si>
  <si>
    <t>COSTA COFFEE 43035    ON 07 JUL          CLP</t>
  </si>
  <si>
    <t>IZ *Cable Cafe        ON 09 JUL          CLP</t>
  </si>
  <si>
    <t>BP BEDFORD EXPRESS    ON 06 JUL          BCC</t>
  </si>
  <si>
    <t>HALFORDS 0887         ON 07 JUL          BCC</t>
  </si>
  <si>
    <t>BP BEDFORD EXPRESS    ON 07 JUL          BCC</t>
  </si>
  <si>
    <t>MARKS&amp;SPENCER PLC     ON 09 JUL          BCC</t>
  </si>
  <si>
    <t>CARD FACTORY          ON 07 JUL          BCC</t>
  </si>
  <si>
    <t>BP BEDFORD EXPRESS    ON 09 JUL          BCC</t>
  </si>
  <si>
    <t>205330 30728691    TFR</t>
  </si>
  <si>
    <t>BP BEDFORD EXPRESS    ON 09 JUL          CLP</t>
  </si>
  <si>
    <t>COSTA COFFEE 43035    ON 10 JUL          CLP</t>
  </si>
  <si>
    <t>COSTCO WHOLESALE      ON 10 JUL          BCC</t>
  </si>
  <si>
    <t>CO-OP GROUP 310252    ON 09 JUL          BCC</t>
  </si>
  <si>
    <t>MARKS&amp;SPENCER PLC     ON 11 JUL          CLP</t>
  </si>
  <si>
    <t>DEBENHAMS PLC         ON 11 JUL          CLP</t>
  </si>
  <si>
    <t>MCDONALDS             ON 11 JUL          CLP</t>
  </si>
  <si>
    <t>MKC PARKING RINGGO    ON 11 JUL          BCC</t>
  </si>
  <si>
    <t>Oasis Fashions Lim    ON 12 JUL          BCC</t>
  </si>
  <si>
    <t>BOOTS 6407            ON 12 JUL          BCC</t>
  </si>
  <si>
    <t>MARKS&amp;SPENCER PLC     ON 12 JUL          BCC</t>
  </si>
  <si>
    <t xml:space="preserve">ITUNES.COM/BILL       IRELAND               </t>
  </si>
  <si>
    <t>THE RANGE             ON 13 JUL          CLP</t>
  </si>
  <si>
    <t>COSTA COFFEE 43035    ON 13 JUL          CLP</t>
  </si>
  <si>
    <t>MCDONALDS             ON 13 JUL          CLP</t>
  </si>
  <si>
    <t>TESCO STORE 2087      ON 13 JUL          BCC</t>
  </si>
  <si>
    <t>BP BEDFORD EXPRESS    ON 12 JUL          BCC</t>
  </si>
  <si>
    <t>DUNELM (SOFT FURNI    ON 13 JUL          BCC</t>
  </si>
  <si>
    <t>207409 60458872       001171980000198    TFR</t>
  </si>
  <si>
    <t>MARKS&amp;SPENCER PLC     ON 16 JUL          CLP</t>
  </si>
  <si>
    <t>THORNTONS LTD         ON 16 JUL          CLP</t>
  </si>
  <si>
    <t>3C CONTACTLESS STO    ON 14 JUL          CLP</t>
  </si>
  <si>
    <t>WH SMITH              ON 16 JUL          BCC</t>
  </si>
  <si>
    <t>MERCEDES-BENZ CARS    0376305421         DDR</t>
  </si>
  <si>
    <t xml:space="preserve">205330 30728691       MOBILE-CHANNEL     FT </t>
  </si>
  <si>
    <t>MARKS&amp;SPENCER PLC     ON 18 JUL          CLP</t>
  </si>
  <si>
    <t>TOYS R US             ON 18 JUL          CLP</t>
  </si>
  <si>
    <t>B &amp; Q 1142            ON 18 JUL          BCC</t>
  </si>
  <si>
    <t>WAITROSE              ON 19 JUL          CLP</t>
  </si>
  <si>
    <t>360 PLAY (MILTON K    ON 20 JUL          BCC</t>
  </si>
  <si>
    <t>MARKS&amp;SPENCER PLC     ON 23 JUL          CLP</t>
  </si>
  <si>
    <t>TESCO STORE 2547      ON 22 JUL          CLP</t>
  </si>
  <si>
    <t>GULLIVERS LAND        ON 21 JUL          CLP</t>
  </si>
  <si>
    <t>CO-OP GROUP 310244    ON 21 JUL          CLP</t>
  </si>
  <si>
    <t>BP BEDFORD EXPRESS    ON 20 JUL          CLP</t>
  </si>
  <si>
    <t>WIXAMS STORES LTD     ON 24 JUL          CLP</t>
  </si>
  <si>
    <t>WM MORRISON PLC       ON 24 JUL          BCC</t>
  </si>
  <si>
    <t>T K MAXX              ON 24 JUL          BCC</t>
  </si>
  <si>
    <t>MERCEDES BENZ PART    ON 24 JUL          BCC</t>
  </si>
  <si>
    <t>MARKS&amp;SPENCER PLC     ON 25 JUL          CLP</t>
  </si>
  <si>
    <t>COSTA COFFEE 43035    ON 25 JUL          CLP</t>
  </si>
  <si>
    <t>WIXAMS STORES LTD     ON 25 JUL          CLP</t>
  </si>
  <si>
    <t>TUCK&amp;VALEN HSE%0 P    207409 40406538    STO</t>
  </si>
  <si>
    <t>CO-OP GROUP 310252    ON 26 JUL          CLP</t>
  </si>
  <si>
    <t>BOOTS 6407            ON 26 JUL          BCC</t>
  </si>
  <si>
    <t>MARKS&amp;SPENCER PLC     ON 27 JUL          CLP</t>
  </si>
  <si>
    <t>WIXAMS STORES LTD     ON 27 JUL          CLP</t>
  </si>
  <si>
    <t>BOOTS 6407            ON 27 JUL          CLP</t>
  </si>
  <si>
    <t>COSTCO WHOLESALE      ON 27 JUL          BCC</t>
  </si>
  <si>
    <t>BP BEDFORD EXPRESS    ON 28 JUL          CLP</t>
  </si>
  <si>
    <t>MATALAN               ON 28 JUL          CLP</t>
  </si>
  <si>
    <t>WILKO BEDFORD INT     ON 28 JUL          CLP</t>
  </si>
  <si>
    <t>NEW COUNTY SERVICE    ON 30 JUL          CLP</t>
  </si>
  <si>
    <t>WM MORRISON PLC       ON 30 JUL          BCC</t>
  </si>
  <si>
    <t>WM MORRISON PLC       ON 28 JUL          BCC</t>
  </si>
  <si>
    <t>H3G                   976046856201270717 DDR</t>
  </si>
  <si>
    <t>Portsmouth Court</t>
  </si>
  <si>
    <t/>
  </si>
  <si>
    <t>BK</t>
  </si>
  <si>
    <t>BK,MT</t>
  </si>
  <si>
    <t>100098</t>
  </si>
  <si>
    <t>100099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</si>
  <si>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</si>
  <si>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</si>
  <si>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</si>
  <si>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</si>
  <si>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</si>
  <si>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</si>
  <si>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</si>
  <si>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</si>
  <si>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</si>
  <si>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</si>
  <si>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</si>
  <si>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</si>
  <si>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</si>
  <si>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</si>
  <si>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</si>
  <si>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Peter Grant (15/08/2016 -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</si>
  <si>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</si>
  <si>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</si>
  <si>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</si>
  <si>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</si>
  <si>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</si>
  <si>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</si>
  <si>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</si>
  <si>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</si>
  <si>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</si>
  <si>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</si>
  <si>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</si>
  <si>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</si>
  <si>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</si>
  <si>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</si>
  <si>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Ms Sally Taylor (04/06/2014 - present)</t>
  </si>
  <si>
    <t>Ms S Ryan (10/09/2013 -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</si>
  <si>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</si>
  <si>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</si>
  <si>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</si>
  <si>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</si>
  <si>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</si>
  <si>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</si>
  <si>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</si>
  <si>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</si>
  <si>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</si>
  <si>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</si>
  <si>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</si>
  <si>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</si>
  <si>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</si>
  <si>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</si>
  <si>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</si>
  <si>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</si>
  <si>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</si>
  <si>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</si>
  <si>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</si>
  <si>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</si>
  <si>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</si>
  <si>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</si>
  <si>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</si>
  <si>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</si>
  <si>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Cooker element - Kingston Domestics - Flat 10, 12-14 Alhambra Road, Southsea</t>
  </si>
  <si>
    <t>JOINED</t>
  </si>
  <si>
    <t>Landlord Gas safety - Beals Plumbing - Flat 6, 16-18 Alhambra Road, Southsea</t>
  </si>
  <si>
    <t>Landlord Gas safety - Beals Plumbing - Flat 1, 16-18 Alhambra Road, Southsea</t>
  </si>
  <si>
    <t>rubbish in the gardens etc., - S Underwood Maintenance &amp; Home Improvements - Flat 1, 321 London Road, Portsmouth</t>
  </si>
  <si>
    <t>Key Cut -  - Flat 3, 321 London Road, Portsmouth</t>
  </si>
  <si>
    <t>council on waste/bins etc., see pics from visit -  - Flat 2, 163 Fratton Road, Portsmouth</t>
  </si>
  <si>
    <t>Bill for fridge not cooling, see Danielle Bailey email 17/08/2017.</t>
  </si>
  <si>
    <t>Receipt - Funds for Works - Flat 7, 16-18 Alhambra Road, Southsea</t>
  </si>
  <si>
    <t>raid on property -  - Flat 7,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</si>
  <si>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</si>
  <si>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</si>
  <si>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</si>
  <si>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</si>
  <si>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</si>
  <si>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</si>
  <si>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</si>
  <si>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</si>
  <si>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</si>
  <si>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{"*4040*","NEW COUNTY*","TESCO STORE*","BP BEDFORD EXPRESS*","*CURRY*","*WILSTEAD*","*SHUTTLEWORTH*","*SHUTTLEWORTH*","*CINEW*"}</t>
  </si>
  <si>
    <t>Total payment made in August (last payment made in March)</t>
  </si>
  <si>
    <t>JUL</t>
  </si>
  <si>
    <t>JUN</t>
  </si>
  <si>
    <t xml:space="preserve">MAY </t>
  </si>
  <si>
    <t>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</si>
</sst>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198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2" fontId="4" fillId="7" borderId="3" xfId="0" applyNumberFormat="1" applyFont="1" applyFill="1" applyBorder="1" applyAlignment="1" applyProtection="1">
      <alignment horizontal="right"/>
      <protection locked="0"/>
    </xf>
    <xf numFmtId="2" fontId="4" fillId="7" borderId="6" xfId="0" applyNumberFormat="1" applyFont="1" applyFill="1" applyBorder="1" applyAlignment="1" applyProtection="1">
      <alignment horizontal="right"/>
      <protection locked="0"/>
    </xf>
    <xf numFmtId="2" fontId="4" fillId="7" borderId="14" xfId="0" applyNumberFormat="1" applyFont="1" applyFill="1" applyBorder="1" applyAlignment="1" applyProtection="1">
      <alignment horizontal="right"/>
      <protection locked="0"/>
    </xf>
    <xf numFmtId="0" fontId="22" fillId="0" borderId="0" xfId="0" applyFont="1"/>
    <xf numFmtId="14" fontId="0" fillId="0" borderId="0" xfId="0" applyNumberFormat="1"/>
    <xf numFmtId="0" fontId="19" fillId="0" borderId="0" xfId="1" applyFont="1"/>
    <xf numFmtId="0" fontId="4" fillId="0" borderId="0" xfId="1"/>
    <xf numFmtId="0" fontId="11" fillId="0" borderId="0" xfId="1" applyFont="1"/>
    <xf numFmtId="0" fontId="11" fillId="0" borderId="0" xfId="1" applyFont="1" applyAlignment="1">
      <alignment horizontal="right"/>
    </xf>
    <xf numFmtId="0" fontId="4" fillId="0" borderId="0" xfId="1" applyAlignment="1">
      <alignment horizontal="right"/>
    </xf>
    <xf numFmtId="8" fontId="4" fillId="0" borderId="0" xfId="1" applyNumberFormat="1" applyBorder="1" applyProtection="1"/>
    <xf numFmtId="169" fontId="4" fillId="0" borderId="0" xfId="1" applyNumberFormat="1" applyBorder="1" applyProtection="1"/>
    <xf numFmtId="0" fontId="4" fillId="0" borderId="0" xfId="1" applyFont="1"/>
    <xf numFmtId="8" fontId="4" fillId="0" borderId="15" xfId="1" applyNumberFormat="1" applyBorder="1"/>
    <xf numFmtId="8" fontId="3" fillId="0" borderId="0" xfId="1" applyNumberFormat="1" applyFont="1" applyBorder="1" applyProtection="1"/>
    <xf numFmtId="8" fontId="4" fillId="6" borderId="15" xfId="1" applyNumberFormat="1" applyFill="1" applyBorder="1"/>
    <xf numFmtId="0" fontId="20" fillId="0" borderId="0" xfId="1" applyFont="1"/>
    <xf numFmtId="14" fontId="4" fillId="0" borderId="0" xfId="1" applyNumberFormat="1"/>
    <xf numFmtId="0" fontId="20" fillId="0" borderId="8" xfId="1" applyFont="1" applyBorder="1" applyAlignment="1">
      <alignment wrapText="1"/>
    </xf>
    <xf numFmtId="0" fontId="20" fillId="0" borderId="11" xfId="1" applyFont="1" applyBorder="1" applyAlignment="1">
      <alignment wrapText="1"/>
    </xf>
    <xf numFmtId="0" fontId="20" fillId="0" borderId="12" xfId="1" applyFont="1" applyBorder="1" applyAlignment="1">
      <alignment wrapText="1"/>
    </xf>
    <xf numFmtId="0" fontId="20" fillId="0" borderId="13" xfId="1" applyFont="1" applyBorder="1" applyAlignment="1">
      <alignment wrapText="1"/>
    </xf>
    <xf numFmtId="2" fontId="4" fillId="0" borderId="0" xfId="1" applyNumberFormat="1"/>
    <xf numFmtId="0" fontId="20" fillId="0" borderId="3" xfId="1" applyFont="1" applyBorder="1" applyAlignment="1">
      <alignment wrapText="1"/>
    </xf>
    <xf numFmtId="9" fontId="4" fillId="7" borderId="0" xfId="1" applyNumberFormat="1" applyFill="1" applyBorder="1"/>
    <xf numFmtId="9" fontId="4" fillId="0" borderId="7" xfId="1" applyNumberFormat="1" applyBorder="1"/>
    <xf numFmtId="0" fontId="20" fillId="0" borderId="0" xfId="1" applyFont="1" applyBorder="1" applyAlignment="1">
      <alignment wrapText="1"/>
    </xf>
    <xf numFmtId="0" fontId="20" fillId="0" borderId="6" xfId="1" applyFont="1" applyBorder="1" applyAlignment="1">
      <alignment wrapText="1"/>
    </xf>
    <xf numFmtId="0" fontId="20" fillId="7" borderId="0" xfId="1" applyFont="1" applyFill="1" applyBorder="1" applyAlignment="1">
      <alignment wrapText="1"/>
    </xf>
    <xf numFmtId="0" fontId="20" fillId="0" borderId="7" xfId="1" applyFont="1" applyBorder="1" applyAlignment="1">
      <alignment wrapText="1"/>
    </xf>
    <xf numFmtId="2" fontId="4" fillId="0" borderId="6" xfId="1" applyNumberFormat="1" applyBorder="1"/>
    <xf numFmtId="2" fontId="4" fillId="7" borderId="0" xfId="1" applyNumberFormat="1" applyFill="1" applyBorder="1"/>
    <xf numFmtId="2" fontId="4" fillId="0" borderId="7" xfId="1" applyNumberFormat="1" applyBorder="1"/>
    <xf numFmtId="2" fontId="4" fillId="0" borderId="16" xfId="1" applyNumberFormat="1" applyBorder="1"/>
    <xf numFmtId="14" fontId="11" fillId="0" borderId="0" xfId="1" applyNumberFormat="1" applyFont="1"/>
    <xf numFmtId="2" fontId="4" fillId="0" borderId="1" xfId="1" applyNumberFormat="1" applyBorder="1"/>
    <xf numFmtId="2" fontId="4" fillId="0" borderId="3" xfId="1" applyNumberFormat="1" applyBorder="1"/>
    <xf numFmtId="2" fontId="4" fillId="7" borderId="16" xfId="1" applyNumberFormat="1" applyFill="1" applyBorder="1"/>
    <xf numFmtId="2" fontId="4" fillId="0" borderId="2" xfId="1" applyNumberFormat="1" applyBorder="1"/>
    <xf numFmtId="2" fontId="4" fillId="0" borderId="9" xfId="1" applyNumberFormat="1" applyBorder="1"/>
    <xf numFmtId="2" fontId="4" fillId="0" borderId="0" xfId="1" applyNumberFormat="1" applyBorder="1"/>
    <xf numFmtId="2" fontId="18" fillId="0" borderId="9" xfId="1" applyNumberFormat="1" applyFont="1" applyBorder="1"/>
    <xf numFmtId="14" fontId="4" fillId="0" borderId="0" xfId="1" applyNumberFormat="1" applyFont="1"/>
    <xf numFmtId="2" fontId="4" fillId="0" borderId="10" xfId="1" applyNumberFormat="1" applyBorder="1"/>
    <xf numFmtId="2" fontId="4" fillId="0" borderId="8" xfId="1" applyNumberFormat="1" applyBorder="1"/>
    <xf numFmtId="2" fontId="4" fillId="0" borderId="14" xfId="1" applyNumberFormat="1" applyBorder="1"/>
    <xf numFmtId="2" fontId="4" fillId="7" borderId="8" xfId="1" applyNumberFormat="1" applyFill="1" applyBorder="1"/>
    <xf numFmtId="2" fontId="4" fillId="0" borderId="4" xfId="1" applyNumberFormat="1" applyBorder="1"/>
    <xf numFmtId="2" fontId="4" fillId="0" borderId="12" xfId="1" applyNumberFormat="1" applyBorder="1"/>
    <xf numFmtId="2" fontId="4" fillId="0" borderId="5" xfId="1" applyNumberFormat="1" applyBorder="1"/>
    <xf numFmtId="2" fontId="4" fillId="7" borderId="12" xfId="1" applyNumberFormat="1" applyFill="1" applyBorder="1"/>
    <xf numFmtId="2" fontId="4" fillId="7" borderId="0" xfId="1" applyNumberFormat="1" applyFill="1"/>
    <xf numFmtId="0" fontId="4" fillId="7" borderId="0" xfId="1" applyFill="1"/>
    <xf numFmtId="0" fontId="4" fillId="0" borderId="0" xfId="1" quotePrefix="1" applyFont="1"/>
  </cellXfs>
  <cellStyles count="2">
    <cellStyle name="Normal" xfId="0" builtinId="0"/>
    <cellStyle name="Normal 2" xfId="1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als_RentalStatement_JUL2017_17082017_189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Import"/>
      <sheetName val="Statistics-1"/>
      <sheetName val="Statistics"/>
      <sheetName val="MT"/>
      <sheetName val="IV"/>
      <sheetName val="IV (4040)"/>
      <sheetName val="Beals"/>
      <sheetName val="Managed Properties"/>
      <sheetName val="Tenancies"/>
      <sheetName val="Expense Categories"/>
      <sheetName val="Rent Statu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D2">
            <v>-25.8</v>
          </cell>
        </row>
        <row r="3">
          <cell r="D3">
            <v>-160</v>
          </cell>
        </row>
        <row r="4">
          <cell r="D4">
            <v>-74.290000000000006</v>
          </cell>
        </row>
        <row r="5">
          <cell r="D5">
            <v>-37.25</v>
          </cell>
        </row>
        <row r="6">
          <cell r="D6">
            <v>-10.95</v>
          </cell>
        </row>
        <row r="7">
          <cell r="D7">
            <v>-4</v>
          </cell>
        </row>
        <row r="8">
          <cell r="D8">
            <v>-11.2</v>
          </cell>
        </row>
        <row r="9">
          <cell r="D9">
            <v>-27.55</v>
          </cell>
        </row>
        <row r="10">
          <cell r="D10">
            <v>-10</v>
          </cell>
        </row>
        <row r="11">
          <cell r="D11">
            <v>-20</v>
          </cell>
        </row>
        <row r="12">
          <cell r="D12">
            <v>-1</v>
          </cell>
        </row>
        <row r="13">
          <cell r="D13">
            <v>-12.3</v>
          </cell>
        </row>
        <row r="14">
          <cell r="D14">
            <v>-9.17</v>
          </cell>
        </row>
        <row r="15">
          <cell r="D15">
            <v>-2.95</v>
          </cell>
        </row>
        <row r="16">
          <cell r="D16">
            <v>-2.95</v>
          </cell>
        </row>
        <row r="17">
          <cell r="D17">
            <v>-17.55</v>
          </cell>
        </row>
        <row r="18">
          <cell r="D18">
            <v>-15.2</v>
          </cell>
        </row>
        <row r="19">
          <cell r="D19">
            <v>-9.99</v>
          </cell>
        </row>
        <row r="20">
          <cell r="D20">
            <v>-21.05</v>
          </cell>
        </row>
        <row r="21">
          <cell r="D21">
            <v>-2</v>
          </cell>
        </row>
        <row r="22">
          <cell r="D22">
            <v>-40.85</v>
          </cell>
        </row>
        <row r="23">
          <cell r="D23">
            <v>-4.8</v>
          </cell>
        </row>
        <row r="24">
          <cell r="D24">
            <v>-139.94999999999999</v>
          </cell>
        </row>
        <row r="25">
          <cell r="D25">
            <v>-28.83</v>
          </cell>
        </row>
        <row r="26">
          <cell r="D26">
            <v>-67.17</v>
          </cell>
        </row>
        <row r="27">
          <cell r="D27">
            <v>-12.84</v>
          </cell>
        </row>
        <row r="28">
          <cell r="D28">
            <v>-20.38</v>
          </cell>
        </row>
        <row r="29">
          <cell r="D29">
            <v>-23.02</v>
          </cell>
        </row>
        <row r="30">
          <cell r="D30">
            <v>-9.9499999999999993</v>
          </cell>
        </row>
        <row r="31">
          <cell r="D31">
            <v>-7.27</v>
          </cell>
        </row>
        <row r="32">
          <cell r="D32">
            <v>-159.94999999999999</v>
          </cell>
        </row>
        <row r="33">
          <cell r="D33">
            <v>30</v>
          </cell>
        </row>
        <row r="34">
          <cell r="D34">
            <v>-26.04</v>
          </cell>
        </row>
        <row r="35">
          <cell r="D35">
            <v>-13.98</v>
          </cell>
        </row>
        <row r="36">
          <cell r="D36">
            <v>-13.41</v>
          </cell>
        </row>
        <row r="37">
          <cell r="D37">
            <v>-12.17</v>
          </cell>
        </row>
        <row r="38">
          <cell r="D38">
            <v>-10</v>
          </cell>
        </row>
        <row r="39">
          <cell r="D39">
            <v>-8.6999999999999993</v>
          </cell>
        </row>
        <row r="40">
          <cell r="D40">
            <v>-4.5</v>
          </cell>
        </row>
        <row r="41">
          <cell r="D41">
            <v>-52.07</v>
          </cell>
        </row>
        <row r="42">
          <cell r="D42">
            <v>-35.049999999999997</v>
          </cell>
        </row>
        <row r="43">
          <cell r="D43">
            <v>-34.35</v>
          </cell>
        </row>
        <row r="44">
          <cell r="D44">
            <v>-25.3</v>
          </cell>
        </row>
        <row r="45">
          <cell r="D45">
            <v>-4.55</v>
          </cell>
        </row>
        <row r="46">
          <cell r="D46">
            <v>15</v>
          </cell>
        </row>
        <row r="47">
          <cell r="D47">
            <v>500</v>
          </cell>
        </row>
        <row r="48">
          <cell r="D48">
            <v>-22.28</v>
          </cell>
        </row>
        <row r="49">
          <cell r="D49">
            <v>-14.95</v>
          </cell>
        </row>
        <row r="50">
          <cell r="D50">
            <v>-106.66</v>
          </cell>
        </row>
        <row r="51">
          <cell r="D51">
            <v>-38.700000000000003</v>
          </cell>
        </row>
        <row r="52">
          <cell r="D52">
            <v>-6</v>
          </cell>
        </row>
        <row r="53">
          <cell r="D53">
            <v>-26</v>
          </cell>
        </row>
        <row r="54">
          <cell r="D54">
            <v>-14.85</v>
          </cell>
        </row>
        <row r="55">
          <cell r="D55">
            <v>-5.17</v>
          </cell>
        </row>
        <row r="56">
          <cell r="D56">
            <v>-4.18</v>
          </cell>
        </row>
        <row r="57">
          <cell r="D57">
            <v>-87.99</v>
          </cell>
        </row>
        <row r="58">
          <cell r="D58">
            <v>-54.14</v>
          </cell>
        </row>
        <row r="59">
          <cell r="D59">
            <v>-33.39</v>
          </cell>
        </row>
        <row r="60">
          <cell r="D60">
            <v>-0.79</v>
          </cell>
        </row>
        <row r="61">
          <cell r="D61">
            <v>-13.75</v>
          </cell>
        </row>
        <row r="62">
          <cell r="D62">
            <v>-11.05</v>
          </cell>
        </row>
        <row r="63">
          <cell r="D63">
            <v>-8.8699999999999992</v>
          </cell>
        </row>
        <row r="64">
          <cell r="D64">
            <v>-6.77</v>
          </cell>
        </row>
        <row r="65">
          <cell r="D65">
            <v>-68.099999999999994</v>
          </cell>
        </row>
        <row r="66">
          <cell r="D66">
            <v>-44.26</v>
          </cell>
        </row>
        <row r="67">
          <cell r="D67">
            <v>-8.98</v>
          </cell>
        </row>
        <row r="68">
          <cell r="D68">
            <v>1</v>
          </cell>
        </row>
        <row r="69">
          <cell r="D69">
            <v>-21.41</v>
          </cell>
        </row>
        <row r="70">
          <cell r="D70">
            <v>-6</v>
          </cell>
        </row>
        <row r="71">
          <cell r="D71">
            <v>-1</v>
          </cell>
        </row>
        <row r="72">
          <cell r="D72">
            <v>-57.77</v>
          </cell>
        </row>
        <row r="73">
          <cell r="D73">
            <v>-61.5</v>
          </cell>
        </row>
        <row r="74">
          <cell r="D74">
            <v>200</v>
          </cell>
        </row>
        <row r="75">
          <cell r="D75">
            <v>-26.32</v>
          </cell>
        </row>
        <row r="76">
          <cell r="D76">
            <v>-3.49</v>
          </cell>
        </row>
        <row r="77">
          <cell r="D77">
            <v>-7.06</v>
          </cell>
        </row>
        <row r="78">
          <cell r="D78">
            <v>-21.75</v>
          </cell>
        </row>
        <row r="79">
          <cell r="D79">
            <v>300</v>
          </cell>
        </row>
        <row r="80">
          <cell r="D80">
            <v>-12.7</v>
          </cell>
        </row>
        <row r="81">
          <cell r="D81">
            <v>-6.5</v>
          </cell>
        </row>
        <row r="82">
          <cell r="D82">
            <v>-5.95</v>
          </cell>
        </row>
        <row r="83">
          <cell r="D83">
            <v>-3.9</v>
          </cell>
        </row>
        <row r="84">
          <cell r="D84">
            <v>-1.99</v>
          </cell>
        </row>
        <row r="85">
          <cell r="D85">
            <v>-28.82</v>
          </cell>
        </row>
        <row r="86">
          <cell r="D86">
            <v>-28.42</v>
          </cell>
        </row>
        <row r="87">
          <cell r="D87">
            <v>-17.100000000000001</v>
          </cell>
        </row>
        <row r="88">
          <cell r="D88">
            <v>-13.3</v>
          </cell>
        </row>
        <row r="89">
          <cell r="D89">
            <v>-10.64</v>
          </cell>
        </row>
        <row r="90">
          <cell r="D90">
            <v>-8.1</v>
          </cell>
        </row>
        <row r="91">
          <cell r="D91">
            <v>-5.32</v>
          </cell>
        </row>
        <row r="92">
          <cell r="D92">
            <v>-72.16</v>
          </cell>
        </row>
        <row r="93">
          <cell r="D93">
            <v>-55</v>
          </cell>
        </row>
        <row r="94">
          <cell r="D94">
            <v>-37.270000000000003</v>
          </cell>
        </row>
        <row r="95">
          <cell r="D95">
            <v>-25.34</v>
          </cell>
        </row>
        <row r="96">
          <cell r="D96">
            <v>-10.050000000000001</v>
          </cell>
        </row>
        <row r="97">
          <cell r="D97">
            <v>-4.95</v>
          </cell>
        </row>
        <row r="98">
          <cell r="D98">
            <v>-3.37</v>
          </cell>
        </row>
        <row r="99">
          <cell r="D99">
            <v>1200</v>
          </cell>
        </row>
        <row r="100">
          <cell r="D100">
            <v>-12.91</v>
          </cell>
        </row>
        <row r="101">
          <cell r="D101">
            <v>-42.56</v>
          </cell>
        </row>
        <row r="102">
          <cell r="D102">
            <v>-13.05</v>
          </cell>
        </row>
        <row r="103">
          <cell r="D103">
            <v>-10.050000000000001</v>
          </cell>
        </row>
        <row r="104">
          <cell r="D104">
            <v>-7.75</v>
          </cell>
        </row>
        <row r="105">
          <cell r="D105">
            <v>-2.5299999999999998</v>
          </cell>
        </row>
        <row r="106">
          <cell r="D106">
            <v>-33.35</v>
          </cell>
        </row>
        <row r="107">
          <cell r="D107">
            <v>-3</v>
          </cell>
        </row>
        <row r="108">
          <cell r="D108">
            <v>-1.98</v>
          </cell>
        </row>
        <row r="109">
          <cell r="D109">
            <v>-14.03</v>
          </cell>
        </row>
        <row r="110">
          <cell r="D110">
            <v>-12.55</v>
          </cell>
        </row>
        <row r="111">
          <cell r="D111">
            <v>-11.25</v>
          </cell>
        </row>
        <row r="112">
          <cell r="D112">
            <v>-7.56</v>
          </cell>
        </row>
        <row r="113">
          <cell r="D113">
            <v>-62.6</v>
          </cell>
        </row>
        <row r="114">
          <cell r="D114">
            <v>-40.229999999999997</v>
          </cell>
        </row>
        <row r="115">
          <cell r="D115">
            <v>-9</v>
          </cell>
        </row>
      </sheetData>
      <sheetData sheetId="7"/>
      <sheetData sheetId="8">
        <row r="1">
          <cell r="B1" t="str">
            <v>Please select a property …</v>
          </cell>
        </row>
        <row r="2">
          <cell r="B2" t="str">
            <v>321 London Rd - communal area (B&amp;E)</v>
          </cell>
        </row>
        <row r="3">
          <cell r="B3" t="str">
            <v>Flat 1 - 321 London Rd</v>
          </cell>
        </row>
        <row r="4">
          <cell r="B4" t="str">
            <v>Flat 2 - 321 London Rd</v>
          </cell>
        </row>
        <row r="5">
          <cell r="B5" t="str">
            <v>Flat 3 - 321 London Rd</v>
          </cell>
        </row>
        <row r="6">
          <cell r="B6" t="str">
            <v>Flat 4 - 321 London Rd</v>
          </cell>
        </row>
        <row r="7">
          <cell r="B7" t="str">
            <v>169 Fawcett Rd - communal area (B&amp;E)</v>
          </cell>
        </row>
        <row r="8">
          <cell r="B8" t="str">
            <v>Flat 1 - 169 Fawcett Rd</v>
          </cell>
        </row>
        <row r="9">
          <cell r="B9" t="str">
            <v>Flat 2 - 169 Fawcett Rd</v>
          </cell>
        </row>
        <row r="10">
          <cell r="B10" t="str">
            <v>Flat 3 - 169 Fawcett Rd</v>
          </cell>
        </row>
        <row r="11">
          <cell r="B11" t="str">
            <v>171 Fawcett Rd - communal area (B&amp;E)</v>
          </cell>
        </row>
        <row r="12">
          <cell r="B12" t="str">
            <v>Flat 1 - 171 Fawcett Rd</v>
          </cell>
        </row>
        <row r="13">
          <cell r="B13" t="str">
            <v>Flat 2 - 171 Fawcett Rd</v>
          </cell>
        </row>
        <row r="14">
          <cell r="B14" t="str">
            <v>Flat 3 - 171 Fawcett Rd</v>
          </cell>
        </row>
        <row r="15">
          <cell r="B15" t="str">
            <v>163 Fratton Rd - communal area (B&amp;E)</v>
          </cell>
        </row>
        <row r="16">
          <cell r="B16" t="str">
            <v>Flat 2 - 163 Fratton Rd</v>
          </cell>
        </row>
        <row r="17">
          <cell r="B17" t="str">
            <v>Flat 3 - 163 Fratton Rd</v>
          </cell>
        </row>
        <row r="18">
          <cell r="B18" t="str">
            <v>Flat 4 - 163 Fratton Rd</v>
          </cell>
        </row>
        <row r="19">
          <cell r="B19" t="str">
            <v>196 Kingston Rd - communal area (B&amp;E)</v>
          </cell>
        </row>
        <row r="20">
          <cell r="B20" t="str">
            <v>Ground Floor Shop - 196 Kingston Rd</v>
          </cell>
        </row>
        <row r="21">
          <cell r="B21" t="str">
            <v>Ground Floor Flat - 196 Kingston Rd</v>
          </cell>
        </row>
        <row r="22">
          <cell r="B22" t="str">
            <v>First Floor Flat - 196 Kingston Rd</v>
          </cell>
        </row>
        <row r="23">
          <cell r="B23" t="str">
            <v>23 Hampshire Terrace - communal area (B&amp;E)</v>
          </cell>
        </row>
        <row r="24">
          <cell r="B24" t="str">
            <v>Flat B - 23 Hampshire Terrace</v>
          </cell>
        </row>
        <row r="25">
          <cell r="B25" t="str">
            <v>Flat C - 23 Hampshire Terrace</v>
          </cell>
        </row>
        <row r="26">
          <cell r="B26" t="str">
            <v>4-8 Alhambra Rd - communal area (B&amp;E)</v>
          </cell>
        </row>
        <row r="27">
          <cell r="B27" t="str">
            <v>4-8 Alhambra Rd - communal area (MT)</v>
          </cell>
        </row>
        <row r="28">
          <cell r="B28" t="str">
            <v>4-8 Alhambra Rd - communal area (T&amp;H)</v>
          </cell>
        </row>
        <row r="29">
          <cell r="B29" t="str">
            <v>Flat 5 - 4-8 Alhambra Rd</v>
          </cell>
        </row>
        <row r="30">
          <cell r="B30" t="str">
            <v>Flat 6 - 4-8 Alhambra Rd</v>
          </cell>
        </row>
        <row r="31">
          <cell r="B31" t="str">
            <v>Flat 7 - 4-8 Alhambra Rd</v>
          </cell>
        </row>
        <row r="32">
          <cell r="B32" t="str">
            <v>Flat 8 - 4-8 Alhambra Rd</v>
          </cell>
        </row>
        <row r="33">
          <cell r="B33" t="str">
            <v>Flat 17 - 4-8 Alhambra Rd</v>
          </cell>
        </row>
        <row r="34">
          <cell r="B34" t="str">
            <v>Flat 18 - 4-8 Alhambra Rd</v>
          </cell>
        </row>
        <row r="35">
          <cell r="B35" t="str">
            <v>Flat 19 - 4-8 Alhambra Rd</v>
          </cell>
        </row>
        <row r="36">
          <cell r="B36" t="str">
            <v>Flat 20 - 4-8 Alhambra Rd</v>
          </cell>
        </row>
        <row r="37">
          <cell r="B37" t="str">
            <v>Flat 21 - 4-8 Alhambra Rd</v>
          </cell>
        </row>
        <row r="38">
          <cell r="B38" t="str">
            <v>Flat 22 - 4-8 Alhambra Rd</v>
          </cell>
        </row>
        <row r="39">
          <cell r="B39" t="str">
            <v>Flat 23 - 4-8 Alhambra Rd</v>
          </cell>
        </row>
        <row r="40">
          <cell r="B40" t="str">
            <v>6 Alhambra Rd - communal area</v>
          </cell>
        </row>
        <row r="41">
          <cell r="B41" t="str">
            <v>8 Alhambra Rd - communal area</v>
          </cell>
        </row>
        <row r="42">
          <cell r="B42" t="str">
            <v>12-14 Alhambra Rd - communal area (T&amp;H)</v>
          </cell>
        </row>
        <row r="43">
          <cell r="B43" t="str">
            <v>12-14 Alhambra Rd - communal area (B&amp;E)</v>
          </cell>
        </row>
        <row r="44">
          <cell r="B44" t="str">
            <v>12-14 Alhambra Rd - communal area (MT)</v>
          </cell>
        </row>
        <row r="45">
          <cell r="B45" t="str">
            <v>Flat 3 - 12-14 Alhambra Rd</v>
          </cell>
        </row>
        <row r="46">
          <cell r="B46" t="str">
            <v>Flat 4 - 12-14 Alhambra Rd</v>
          </cell>
        </row>
        <row r="47">
          <cell r="B47" t="str">
            <v>Flat 5 - 12-14 Alhambra Rd</v>
          </cell>
        </row>
        <row r="48">
          <cell r="B48" t="str">
            <v>Flat 7 - 12-14 Alhambra Rd</v>
          </cell>
        </row>
        <row r="49">
          <cell r="B49" t="str">
            <v>Flat 11 - 12-14 Alhambra Rd</v>
          </cell>
        </row>
        <row r="50">
          <cell r="B50" t="str">
            <v>Flat 10 - 12-14 Alhambra Rd</v>
          </cell>
        </row>
        <row r="51">
          <cell r="B51" t="str">
            <v>Flat 14 - 12-14 Alhambra Rd</v>
          </cell>
        </row>
        <row r="52">
          <cell r="B52" t="str">
            <v>Flat 16 - 12-14 Alhambra Rd</v>
          </cell>
        </row>
        <row r="53">
          <cell r="B53" t="str">
            <v>14 Alhambra Rd - communal area</v>
          </cell>
        </row>
        <row r="54">
          <cell r="B54" t="str">
            <v>16-18 Alhambra Rd - communal area (T&amp;H)</v>
          </cell>
        </row>
        <row r="55">
          <cell r="B55" t="str">
            <v>16-18 Alhambra Rd - communal area (TL)</v>
          </cell>
        </row>
        <row r="56">
          <cell r="B56" t="str">
            <v>16-18 Alhambra Rd - communal area (MT)</v>
          </cell>
        </row>
        <row r="57">
          <cell r="B57" t="str">
            <v>16-18 Alhambra Rd - communal area (B&amp;E)</v>
          </cell>
        </row>
        <row r="58">
          <cell r="B58" t="str">
            <v>Flat 1 - 16-18 Alhambra Rd</v>
          </cell>
        </row>
        <row r="59">
          <cell r="B59" t="str">
            <v>Flat 3 - 16-18 Alhambra Rd</v>
          </cell>
        </row>
        <row r="60">
          <cell r="B60" t="str">
            <v>Flat 6 - 16-18 Alhambra Rd</v>
          </cell>
        </row>
        <row r="61">
          <cell r="B61" t="str">
            <v>Flat 7 - 16-18 Alhambra Rd</v>
          </cell>
        </row>
        <row r="62">
          <cell r="B62" t="str">
            <v>Flat 11 - 16-18 Alhambra Rd</v>
          </cell>
        </row>
        <row r="63">
          <cell r="B63" t="str">
            <v>Flat 12 - 16-18 Alhambra Rd</v>
          </cell>
        </row>
        <row r="64">
          <cell r="B64" t="str">
            <v>Flat 13 - 16-18 Alhambra Rd</v>
          </cell>
        </row>
        <row r="65">
          <cell r="B65" t="str">
            <v>Flat 16 - 16-18 Alhambra Rd</v>
          </cell>
        </row>
        <row r="66">
          <cell r="B66" t="str">
            <v>18 Alhambra Rd - communal area</v>
          </cell>
        </row>
        <row r="67">
          <cell r="B67" t="str">
            <v>12-14 Church Street - communal area</v>
          </cell>
        </row>
        <row r="68">
          <cell r="B68" t="str">
            <v>Shop - 12 Church Street</v>
          </cell>
        </row>
        <row r="69">
          <cell r="B69" t="str">
            <v>Flat A - 12 Church Street</v>
          </cell>
        </row>
        <row r="70">
          <cell r="B70" t="str">
            <v>Flat B - 12 Church Street</v>
          </cell>
        </row>
        <row r="71">
          <cell r="B71" t="str">
            <v>Shop - 14 Church Street</v>
          </cell>
        </row>
        <row r="72">
          <cell r="B72" t="str">
            <v>Flat A - 14 Church Street</v>
          </cell>
        </row>
        <row r="73">
          <cell r="B73" t="str">
            <v>221 Broadfield Rd</v>
          </cell>
        </row>
        <row r="74">
          <cell r="B74" t="str">
            <v>12 Broad Reach</v>
          </cell>
        </row>
        <row r="75">
          <cell r="B75" t="str">
            <v>11 Garford Street</v>
          </cell>
        </row>
      </sheetData>
      <sheetData sheetId="9">
        <row r="1">
          <cell r="A1" t="str">
            <v>Property Id</v>
          </cell>
          <cell r="B1" t="str">
            <v>Tenancy</v>
          </cell>
        </row>
        <row r="2">
          <cell r="B2" t="str">
            <v>11 Garford Street</v>
          </cell>
          <cell r="D2" t="str">
            <v>J. Upastising &amp; K. Wisarutwanit &amp; N. Wisarutwanit</v>
          </cell>
        </row>
        <row r="3">
          <cell r="B3" t="str">
            <v>11 Garford Street</v>
          </cell>
          <cell r="D3" t="str">
            <v>Steve Ward</v>
          </cell>
        </row>
        <row r="4">
          <cell r="B4" t="str">
            <v>12 Broad Reach</v>
          </cell>
          <cell r="D4" t="str">
            <v>Not known</v>
          </cell>
        </row>
        <row r="5">
          <cell r="B5" t="str">
            <v>12-14 Alhambra Rd - communal area (B&amp;E)</v>
          </cell>
        </row>
        <row r="6">
          <cell r="B6" t="str">
            <v>12-14 Alhambra Rd - communal area (MT)</v>
          </cell>
        </row>
        <row r="7">
          <cell r="B7" t="str">
            <v>12-14 Alhambra Rd - communal area (T&amp;H)</v>
          </cell>
        </row>
        <row r="8">
          <cell r="B8" t="str">
            <v>12-14 Church Street - communal area</v>
          </cell>
        </row>
        <row r="9">
          <cell r="B9" t="str">
            <v>14 Alhambra Rd - communal area</v>
          </cell>
        </row>
        <row r="10">
          <cell r="B10" t="str">
            <v>16-18 Alhambra Rd - communal area (B&amp;E)</v>
          </cell>
        </row>
        <row r="11">
          <cell r="B11" t="str">
            <v>16-18 Alhambra Rd - communal area (MT)</v>
          </cell>
        </row>
        <row r="12">
          <cell r="B12" t="str">
            <v>16-18 Alhambra Rd - communal area (T&amp;H)</v>
          </cell>
        </row>
        <row r="13">
          <cell r="B13" t="str">
            <v>16-18 Alhambra Rd - communal area (TL)</v>
          </cell>
        </row>
        <row r="14">
          <cell r="B14" t="str">
            <v>163 Fratton Rd - communal area (B&amp;E)</v>
          </cell>
        </row>
        <row r="15">
          <cell r="B15" t="str">
            <v>169 Fawcett Rd - communal area (B&amp;E)</v>
          </cell>
        </row>
        <row r="16">
          <cell r="B16" t="str">
            <v>171 Fawcett Rd - communal area (B&amp;E)</v>
          </cell>
        </row>
        <row r="17">
          <cell r="B17" t="str">
            <v>18 Alhambra Rd - communal area</v>
          </cell>
        </row>
        <row r="18">
          <cell r="B18" t="str">
            <v>196 Kingston Rd - communal area (B&amp;E)</v>
          </cell>
        </row>
        <row r="19">
          <cell r="B19" t="str">
            <v>221 Broadfield Rd</v>
          </cell>
        </row>
        <row r="20">
          <cell r="B20" t="str">
            <v>23 Hampshire Terrace - communal area (B&amp;E)</v>
          </cell>
        </row>
        <row r="21">
          <cell r="B21" t="str">
            <v>321 London Rd - communal area (B&amp;E)</v>
          </cell>
        </row>
        <row r="22">
          <cell r="B22" t="str">
            <v>4-8 Alhambra Rd - communal area (B&amp;E)</v>
          </cell>
        </row>
        <row r="23">
          <cell r="B23" t="str">
            <v>4-8 Alhambra Rd - communal area (MT)</v>
          </cell>
        </row>
        <row r="24">
          <cell r="B24" t="str">
            <v>4-8 Alhambra Rd - communal area (T&amp;H)</v>
          </cell>
        </row>
        <row r="25">
          <cell r="B25" t="str">
            <v>6 Alhambra Rd - communal area</v>
          </cell>
        </row>
        <row r="26">
          <cell r="B26" t="str">
            <v>8 Alhambra Rd - communal area</v>
          </cell>
        </row>
        <row r="27">
          <cell r="B27" t="str">
            <v>First Floor Flat - 196 Kingston Rd</v>
          </cell>
          <cell r="D27" t="str">
            <v>Mr John Sharpe</v>
          </cell>
        </row>
        <row r="28">
          <cell r="B28" t="str">
            <v>First Floor Flat - 196 Kingston Rd</v>
          </cell>
          <cell r="D28" t="str">
            <v>Mr Hoff &amp; Mr Gunn</v>
          </cell>
        </row>
        <row r="29">
          <cell r="B29" t="str">
            <v>First Floor Flat - 196 Kingston Rd</v>
          </cell>
          <cell r="D29" t="str">
            <v>Mr Wright</v>
          </cell>
        </row>
        <row r="30">
          <cell r="B30" t="str">
            <v>First Floor Flat - 196 Kingston Rd</v>
          </cell>
          <cell r="D30" t="str">
            <v>Robins &amp; Johnstone</v>
          </cell>
        </row>
        <row r="31">
          <cell r="B31" t="str">
            <v>First Floor Flat - 196 Kingston Rd</v>
          </cell>
          <cell r="D31" t="str">
            <v xml:space="preserve">Toombs (prev Taylor) </v>
          </cell>
        </row>
        <row r="32">
          <cell r="B32" t="str">
            <v>First Floor Flat - 196 Kingston Rd</v>
          </cell>
          <cell r="D32" t="str">
            <v>L. Long</v>
          </cell>
        </row>
        <row r="33">
          <cell r="B33" t="str">
            <v>First Floor Flat - 196 Kingston Rd</v>
          </cell>
          <cell r="D33" t="str">
            <v>Groizard</v>
          </cell>
        </row>
        <row r="34">
          <cell r="B34" t="str">
            <v>Flat 1 - 16-18 Alhambra Rd</v>
          </cell>
          <cell r="D34" t="str">
            <v>Mr K Conrad &amp; Mr J Fishwick</v>
          </cell>
        </row>
        <row r="35">
          <cell r="B35" t="str">
            <v>Flat 1 - 16-18 Alhambra Rd</v>
          </cell>
          <cell r="D35" t="str">
            <v>Mr Alfie &amp; Mr Lloyd Jeans</v>
          </cell>
        </row>
        <row r="36">
          <cell r="B36" t="str">
            <v>Flat 1 - 16-18 Alhambra Rd</v>
          </cell>
          <cell r="D36" t="str">
            <v>K Harris</v>
          </cell>
        </row>
        <row r="37">
          <cell r="B37" t="str">
            <v>Flat 1 - 16-18 Alhambra Rd</v>
          </cell>
          <cell r="D37" t="str">
            <v>Kirsty Taylor &amp; Millie Barber</v>
          </cell>
        </row>
        <row r="38">
          <cell r="B38" t="str">
            <v>Flat 1 - 16-18 Alhambra Rd</v>
          </cell>
          <cell r="D38" t="str">
            <v>A. McCowen  Ierston</v>
          </cell>
        </row>
        <row r="39">
          <cell r="B39" t="str">
            <v>Flat 1 - 169 Fawcett Rd</v>
          </cell>
          <cell r="D39" t="str">
            <v>Ms S Parkingson</v>
          </cell>
        </row>
        <row r="40">
          <cell r="B40" t="str">
            <v>Flat 1 - 169 Fawcett Rd</v>
          </cell>
          <cell r="D40" t="str">
            <v>Mr J Waterman</v>
          </cell>
        </row>
        <row r="41">
          <cell r="B41" t="str">
            <v>Flat 1 - 169 Fawcett Rd</v>
          </cell>
          <cell r="D41" t="str">
            <v>Mr Steed McCue</v>
          </cell>
        </row>
        <row r="42">
          <cell r="B42" t="str">
            <v>Flat 1 - 169 Fawcett Rd</v>
          </cell>
          <cell r="D42" t="str">
            <v>G Sotheran</v>
          </cell>
        </row>
        <row r="43">
          <cell r="B43" t="str">
            <v>Flat 1 - 169 Fawcett Rd</v>
          </cell>
          <cell r="D43" t="str">
            <v>Matthew James</v>
          </cell>
        </row>
        <row r="44">
          <cell r="B44" t="str">
            <v>Flat 1 - 169 Fawcett Rd</v>
          </cell>
          <cell r="D44" t="str">
            <v>Ceylan</v>
          </cell>
        </row>
        <row r="45">
          <cell r="B45" t="str">
            <v>Flat 1 - 169 Fawcett Rd</v>
          </cell>
          <cell r="D45" t="str">
            <v>Burgess</v>
          </cell>
        </row>
        <row r="46">
          <cell r="B46" t="str">
            <v>Flat 1 - 171 Fawcett Rd</v>
          </cell>
          <cell r="D46" t="str">
            <v>K Aldridge</v>
          </cell>
        </row>
        <row r="47">
          <cell r="B47" t="str">
            <v>Flat 1 - 171 Fawcett Rd</v>
          </cell>
          <cell r="D47" t="str">
            <v>Taylor &amp; Outen</v>
          </cell>
        </row>
        <row r="48">
          <cell r="B48" t="str">
            <v>Flat 1 - 171 Fawcett Rd</v>
          </cell>
          <cell r="D48" t="str">
            <v>L Robinson</v>
          </cell>
        </row>
        <row r="49">
          <cell r="B49" t="str">
            <v>Flat 1 - 171 Fawcett Rd</v>
          </cell>
          <cell r="D49" t="str">
            <v>Patterson/Cherie Sallows</v>
          </cell>
        </row>
        <row r="50">
          <cell r="B50" t="str">
            <v>Flat 1 - 171 Fawcett Rd</v>
          </cell>
          <cell r="D50" t="str">
            <v>Meehan</v>
          </cell>
        </row>
        <row r="51">
          <cell r="B51" t="str">
            <v>Flat 1 - 321 London Rd</v>
          </cell>
          <cell r="D51" t="str">
            <v>Mr Connor</v>
          </cell>
        </row>
        <row r="52">
          <cell r="B52" t="str">
            <v>Flat 1 - 321 London Rd</v>
          </cell>
          <cell r="D52" t="str">
            <v>D Copperthwaite</v>
          </cell>
        </row>
        <row r="53">
          <cell r="B53" t="str">
            <v>Flat 1 - 321 London Rd</v>
          </cell>
          <cell r="D53" t="str">
            <v>W Lamour</v>
          </cell>
        </row>
        <row r="54">
          <cell r="B54" t="str">
            <v>Flat 1 - 321 London Rd</v>
          </cell>
          <cell r="D54" t="str">
            <v>A Stallard</v>
          </cell>
        </row>
        <row r="55">
          <cell r="B55" t="str">
            <v>Flat 1 - 321 London Rd</v>
          </cell>
          <cell r="D55" t="str">
            <v>Keirle</v>
          </cell>
        </row>
        <row r="56">
          <cell r="B56" t="str">
            <v>Flat 1 - 321 London Rd</v>
          </cell>
          <cell r="D56" t="str">
            <v>Martin</v>
          </cell>
        </row>
        <row r="57">
          <cell r="B57" t="str">
            <v>Flat 1 - 321 London Rd</v>
          </cell>
          <cell r="D57" t="str">
            <v>Blake</v>
          </cell>
        </row>
        <row r="58">
          <cell r="B58" t="str">
            <v>Flat 1 - 321 London Rd</v>
          </cell>
          <cell r="D58" t="str">
            <v>Laver</v>
          </cell>
        </row>
        <row r="59">
          <cell r="B59" t="str">
            <v>Flat 10 - 12-14 Alhambra Rd</v>
          </cell>
          <cell r="D59" t="str">
            <v>Andrew England</v>
          </cell>
        </row>
        <row r="60">
          <cell r="B60" t="str">
            <v>Flat 10 - 12-14 Alhambra Rd</v>
          </cell>
          <cell r="D60" t="str">
            <v>Lloyd Best</v>
          </cell>
        </row>
        <row r="61">
          <cell r="B61" t="str">
            <v>Flat 10 - 12-14 Alhambra Rd</v>
          </cell>
          <cell r="D61" t="str">
            <v>Fischer</v>
          </cell>
        </row>
        <row r="62">
          <cell r="B62" t="str">
            <v>Flat 10 - 12-14 Alhambra Rd</v>
          </cell>
          <cell r="D62" t="str">
            <v>Jepp</v>
          </cell>
        </row>
        <row r="63">
          <cell r="B63" t="str">
            <v>Flat 11 - 12-14 Alhambra Rd</v>
          </cell>
          <cell r="D63" t="str">
            <v>Mr P Oakwell</v>
          </cell>
        </row>
        <row r="64">
          <cell r="B64" t="str">
            <v>Flat 11 - 12-14 Alhambra Rd</v>
          </cell>
          <cell r="D64" t="str">
            <v>S. Porter</v>
          </cell>
        </row>
        <row r="65">
          <cell r="B65" t="str">
            <v>Flat 11 - 12-14 Alhambra Rd</v>
          </cell>
          <cell r="D65" t="str">
            <v>Mr I Tewelderbrham</v>
          </cell>
        </row>
        <row r="66">
          <cell r="B66" t="str">
            <v>Flat 11 - 12-14 Alhambra Rd</v>
          </cell>
          <cell r="D66" t="str">
            <v>Oakley</v>
          </cell>
        </row>
        <row r="67">
          <cell r="B67" t="str">
            <v>Flat 11 - 16-18 Alhambra Rd</v>
          </cell>
          <cell r="D67" t="str">
            <v>J Flegg</v>
          </cell>
        </row>
        <row r="68">
          <cell r="B68" t="str">
            <v>Flat 11 - 16-18 Alhambra Rd</v>
          </cell>
          <cell r="D68" t="str">
            <v>Mrs Collins</v>
          </cell>
        </row>
        <row r="69">
          <cell r="B69" t="str">
            <v>Flat 11 - 16-18 Alhambra Rd</v>
          </cell>
          <cell r="D69" t="str">
            <v>Russell</v>
          </cell>
        </row>
        <row r="70">
          <cell r="B70" t="str">
            <v>Flat 12 - 16-18 Alhambra Rd</v>
          </cell>
          <cell r="D70" t="str">
            <v>Mr Jason Passmore</v>
          </cell>
        </row>
        <row r="71">
          <cell r="B71" t="str">
            <v>Flat 12 - 16-18 Alhambra Rd</v>
          </cell>
          <cell r="D71" t="str">
            <v>B Palmer</v>
          </cell>
        </row>
        <row r="72">
          <cell r="B72" t="str">
            <v>Flat 12 - 16-18 Alhambra Rd</v>
          </cell>
          <cell r="D72" t="str">
            <v>Baldachino</v>
          </cell>
        </row>
        <row r="73">
          <cell r="B73" t="str">
            <v>Flat 12 - 16-18 Alhambra Rd</v>
          </cell>
          <cell r="D73" t="str">
            <v>Valle</v>
          </cell>
        </row>
        <row r="74">
          <cell r="B74" t="str">
            <v>Flat 13 - 16-18 Alhambra Rd</v>
          </cell>
          <cell r="D74" t="str">
            <v>Mr Lewis</v>
          </cell>
        </row>
        <row r="75">
          <cell r="B75" t="str">
            <v>Flat 13 - 16-18 Alhambra Rd</v>
          </cell>
          <cell r="D75" t="str">
            <v>Mr Lewis &amp; Mr Nesler</v>
          </cell>
        </row>
        <row r="76">
          <cell r="B76" t="str">
            <v>Flat 13 - 16-18 Alhambra Rd</v>
          </cell>
          <cell r="D76" t="str">
            <v>Britten &amp; Grouden</v>
          </cell>
        </row>
        <row r="77">
          <cell r="B77" t="str">
            <v>Flat 13 - 16-18 Alhambra Rd</v>
          </cell>
          <cell r="D77" t="str">
            <v>Jodie Tipper &amp; Stacey Chamberlain</v>
          </cell>
        </row>
        <row r="78">
          <cell r="B78" t="str">
            <v>Flat 13 - 16-18 Alhambra Rd</v>
          </cell>
          <cell r="D78" t="str">
            <v>Tracy Fenn</v>
          </cell>
        </row>
        <row r="79">
          <cell r="B79" t="str">
            <v>Flat 13 - 16-18 Alhambra Rd</v>
          </cell>
          <cell r="D79" t="str">
            <v>Daysh</v>
          </cell>
        </row>
        <row r="80">
          <cell r="B80" t="str">
            <v>Flat 13 - 16-18 Alhambra Rd</v>
          </cell>
          <cell r="D80" t="str">
            <v xml:space="preserve">Mohammed </v>
          </cell>
        </row>
        <row r="81">
          <cell r="B81" t="str">
            <v>Flat 13 - 16-18 Alhambra Rd</v>
          </cell>
          <cell r="D81" t="str">
            <v>Franks</v>
          </cell>
        </row>
        <row r="82">
          <cell r="B82" t="str">
            <v>Flat 14 - 12-14 Alhambra Rd</v>
          </cell>
          <cell r="D82" t="str">
            <v>McIIwraith</v>
          </cell>
        </row>
        <row r="83">
          <cell r="B83" t="str">
            <v>Flat 14 - 12-14 Alhambra Rd</v>
          </cell>
          <cell r="D83" t="str">
            <v>N Stephens &amp; S Smith</v>
          </cell>
        </row>
        <row r="84">
          <cell r="B84" t="str">
            <v>Flat 14 - 12-14 Alhambra Rd</v>
          </cell>
          <cell r="D84" t="str">
            <v>Butt</v>
          </cell>
        </row>
        <row r="85">
          <cell r="B85" t="str">
            <v>Flat 14 - 12-14 Alhambra Rd</v>
          </cell>
          <cell r="D85" t="str">
            <v>Barber &amp; Talley</v>
          </cell>
        </row>
        <row r="86">
          <cell r="B86" t="str">
            <v>Flat 14 - 12-14 Alhambra Rd</v>
          </cell>
          <cell r="D86" t="str">
            <v>McPake</v>
          </cell>
        </row>
        <row r="87">
          <cell r="B87" t="str">
            <v>Flat 16 - 12-14 Alhambra Rd</v>
          </cell>
          <cell r="D87" t="str">
            <v>Mr Milligan</v>
          </cell>
        </row>
        <row r="88">
          <cell r="B88" t="str">
            <v>Flat 16 - 12-14 Alhambra Rd</v>
          </cell>
          <cell r="D88" t="str">
            <v>Mr Lodge</v>
          </cell>
        </row>
        <row r="89">
          <cell r="B89" t="str">
            <v>Flat 16 - 12-14 Alhambra Rd</v>
          </cell>
          <cell r="D89" t="str">
            <v>Ms McLachlan</v>
          </cell>
        </row>
        <row r="90">
          <cell r="B90" t="str">
            <v>Flat 16 - 12-14 Alhambra Rd</v>
          </cell>
          <cell r="D90" t="str">
            <v>B. Flemming</v>
          </cell>
        </row>
        <row r="91">
          <cell r="B91" t="str">
            <v>Flat 16 - 16-18 Alhambra Rd</v>
          </cell>
          <cell r="D91" t="str">
            <v>Moran</v>
          </cell>
        </row>
        <row r="92">
          <cell r="B92" t="str">
            <v>Flat 16 - 16-18 Alhambra Rd</v>
          </cell>
          <cell r="D92" t="str">
            <v xml:space="preserve">Chalk </v>
          </cell>
        </row>
        <row r="93">
          <cell r="B93" t="str">
            <v>Flat 17 - 4-8 Alhambra Rd</v>
          </cell>
          <cell r="D93" t="str">
            <v>J Hill</v>
          </cell>
        </row>
        <row r="94">
          <cell r="B94" t="str">
            <v>Flat 17 - 4-8 Alhambra Rd</v>
          </cell>
          <cell r="D94" t="str">
            <v>Basam Yacoub</v>
          </cell>
        </row>
        <row r="95">
          <cell r="B95" t="str">
            <v>Flat 17 - 4-8 Alhambra Rd</v>
          </cell>
          <cell r="D95" t="str">
            <v>Oliver Williams &amp; Lisa Pearce</v>
          </cell>
        </row>
        <row r="96">
          <cell r="B96" t="str">
            <v>Flat 17 - 4-8 Alhambra Rd</v>
          </cell>
          <cell r="D96" t="str">
            <v>Olivia Chaffe</v>
          </cell>
        </row>
        <row r="97">
          <cell r="B97" t="str">
            <v>Flat 17 - 4-8 Alhambra Rd</v>
          </cell>
          <cell r="D97" t="str">
            <v>Wanchai Sribang</v>
          </cell>
        </row>
        <row r="98">
          <cell r="B98" t="str">
            <v>Flat 17 - 4-8 Alhambra Rd</v>
          </cell>
          <cell r="D98" t="str">
            <v>Mr S Webster</v>
          </cell>
        </row>
        <row r="99">
          <cell r="B99" t="str">
            <v>Flat 18 - 4-8 Alhambra Rd</v>
          </cell>
          <cell r="D99" t="str">
            <v>Dionne McLaughlin</v>
          </cell>
        </row>
        <row r="100">
          <cell r="B100" t="str">
            <v>Flat 18 - 4-8 Alhambra Rd</v>
          </cell>
          <cell r="D100" t="str">
            <v>Mr Arkadiusz Slowinski &amp; Miss Ewelina Skladanowska</v>
          </cell>
        </row>
        <row r="101">
          <cell r="B101" t="str">
            <v>Flat 18 - 4-8 Alhambra Rd</v>
          </cell>
          <cell r="D101" t="str">
            <v>Hannah Woodhouse</v>
          </cell>
        </row>
        <row r="102">
          <cell r="B102" t="str">
            <v>Flat 19 - 4-8 Alhambra Rd</v>
          </cell>
          <cell r="D102" t="str">
            <v>Miss S O'Brien</v>
          </cell>
        </row>
        <row r="103">
          <cell r="B103" t="str">
            <v>Flat 19 - 4-8 Alhambra Rd</v>
          </cell>
          <cell r="D103" t="str">
            <v>Stepek</v>
          </cell>
        </row>
        <row r="104">
          <cell r="B104" t="str">
            <v>Flat 2 - 163 Fratton Rd</v>
          </cell>
          <cell r="D104" t="str">
            <v>Mr Peter Grant</v>
          </cell>
        </row>
        <row r="105">
          <cell r="B105" t="str">
            <v>Flat 2 - 163 Fratton Rd</v>
          </cell>
          <cell r="D105" t="str">
            <v>Mr I Squires</v>
          </cell>
        </row>
        <row r="106">
          <cell r="B106" t="str">
            <v>Flat 2 - 163 Fratton Rd</v>
          </cell>
          <cell r="D106" t="str">
            <v>Legg &amp; Thomas</v>
          </cell>
        </row>
        <row r="107">
          <cell r="B107" t="str">
            <v>Flat 2 - 163 Fratton Rd</v>
          </cell>
          <cell r="D107" t="str">
            <v>Williams</v>
          </cell>
        </row>
        <row r="108">
          <cell r="B108" t="str">
            <v>Flat 2 - 163 Fratton Rd</v>
          </cell>
          <cell r="D108" t="str">
            <v>Riley</v>
          </cell>
        </row>
        <row r="109">
          <cell r="B109" t="str">
            <v>Flat 2 - 163 Fratton Rd</v>
          </cell>
          <cell r="D109" t="str">
            <v>McAvery</v>
          </cell>
        </row>
        <row r="110">
          <cell r="B110" t="str">
            <v>Flat 2 - 169 Fawcett Rd</v>
          </cell>
          <cell r="D110" t="str">
            <v>Lee Knowles</v>
          </cell>
        </row>
        <row r="111">
          <cell r="B111" t="str">
            <v>Flat 2 - 169 Fawcett Rd</v>
          </cell>
          <cell r="D111" t="str">
            <v>Britten</v>
          </cell>
        </row>
        <row r="112">
          <cell r="B112" t="str">
            <v>Flat 2 - 169 Fawcett Rd</v>
          </cell>
          <cell r="D112" t="str">
            <v>Couldwell</v>
          </cell>
        </row>
        <row r="113">
          <cell r="B113" t="str">
            <v>Flat 2 - 169 Fawcett Rd</v>
          </cell>
          <cell r="D113" t="str">
            <v>Barter</v>
          </cell>
        </row>
        <row r="114">
          <cell r="B114" t="str">
            <v>Flat 2 - 169 Fawcett Rd</v>
          </cell>
          <cell r="D114" t="str">
            <v>Woodward</v>
          </cell>
        </row>
        <row r="115">
          <cell r="B115" t="str">
            <v>Flat 2 - 171 Fawcett Rd</v>
          </cell>
          <cell r="D115" t="str">
            <v>Mr Pedace</v>
          </cell>
        </row>
        <row r="116">
          <cell r="B116" t="str">
            <v>Flat 2 - 171 Fawcett Rd</v>
          </cell>
          <cell r="D116" t="str">
            <v>Mr Milligan</v>
          </cell>
        </row>
        <row r="117">
          <cell r="B117" t="str">
            <v>Flat 2 - 171 Fawcett Rd</v>
          </cell>
          <cell r="D117" t="str">
            <v>D Williams</v>
          </cell>
        </row>
        <row r="118">
          <cell r="B118" t="str">
            <v>Flat 2 - 171 Fawcett Rd</v>
          </cell>
          <cell r="D118" t="str">
            <v>K. Hughes/D. Corbin</v>
          </cell>
        </row>
        <row r="119">
          <cell r="B119" t="str">
            <v>Flat 2 - 321 London Rd</v>
          </cell>
          <cell r="D119" t="str">
            <v>N Wright</v>
          </cell>
        </row>
        <row r="120">
          <cell r="B120" t="str">
            <v>Flat 2 - 321 London Rd</v>
          </cell>
          <cell r="D120" t="str">
            <v>TBD</v>
          </cell>
        </row>
        <row r="121">
          <cell r="B121" t="str">
            <v>Flat 2 - 321 London Rd</v>
          </cell>
          <cell r="D121" t="str">
            <v>Lynch</v>
          </cell>
        </row>
        <row r="122">
          <cell r="B122" t="str">
            <v>Flat 2 - 321 London Rd</v>
          </cell>
          <cell r="D122" t="str">
            <v>Hatfield</v>
          </cell>
        </row>
        <row r="123">
          <cell r="B123" t="str">
            <v>Flat 20 - 4-8 Alhambra Rd</v>
          </cell>
          <cell r="D123" t="str">
            <v>Ms Baziukiene</v>
          </cell>
        </row>
        <row r="124">
          <cell r="B124" t="str">
            <v>Flat 20 - 4-8 Alhambra Rd</v>
          </cell>
          <cell r="D124" t="str">
            <v>L Wilcox</v>
          </cell>
        </row>
        <row r="125">
          <cell r="B125" t="str">
            <v>Flat 20 - 4-8 Alhambra Rd</v>
          </cell>
          <cell r="D125" t="str">
            <v>C.Stringer</v>
          </cell>
        </row>
        <row r="126">
          <cell r="B126" t="str">
            <v>Flat 20 - 4-8 Alhambra Rd</v>
          </cell>
          <cell r="D126" t="str">
            <v>R Sharkey</v>
          </cell>
        </row>
        <row r="127">
          <cell r="B127" t="str">
            <v>Flat 20 - 4-8 Alhambra Rd</v>
          </cell>
          <cell r="D127" t="str">
            <v>Hayley Whitcomb</v>
          </cell>
        </row>
        <row r="128">
          <cell r="B128" t="str">
            <v>Flat 20 - 4-8 Alhambra Rd</v>
          </cell>
          <cell r="D128" t="str">
            <v>Afsheen Alizadeh</v>
          </cell>
        </row>
        <row r="129">
          <cell r="B129" t="str">
            <v>Flat 20 - 4-8 Alhambra Rd</v>
          </cell>
          <cell r="D129" t="str">
            <v>Aydin Barus</v>
          </cell>
        </row>
        <row r="130">
          <cell r="B130" t="str">
            <v>Flat 21 - 4-8 Alhambra Rd</v>
          </cell>
          <cell r="D130" t="str">
            <v>Mr Prior</v>
          </cell>
        </row>
        <row r="131">
          <cell r="B131" t="str">
            <v>Flat 21 - 4-8 Alhambra Rd</v>
          </cell>
          <cell r="D131" t="str">
            <v>Ms Jane Marriage</v>
          </cell>
        </row>
        <row r="132">
          <cell r="B132" t="str">
            <v>Flat 21 - 4-8 Alhambra Rd</v>
          </cell>
          <cell r="D132" t="str">
            <v>G Smith</v>
          </cell>
        </row>
        <row r="133">
          <cell r="B133" t="str">
            <v>Flat 21 - 4-8 Alhambra Rd</v>
          </cell>
          <cell r="D133" t="str">
            <v>Patricia McCardle</v>
          </cell>
        </row>
        <row r="134">
          <cell r="B134" t="str">
            <v>Flat 21 - 4-8 Alhambra Rd</v>
          </cell>
          <cell r="D134" t="str">
            <v>Tom Jones</v>
          </cell>
        </row>
        <row r="135">
          <cell r="B135" t="str">
            <v>Flat 21 - 4-8 Alhambra Rd</v>
          </cell>
          <cell r="D135" t="str">
            <v>Mrs Lynne Hedley</v>
          </cell>
        </row>
        <row r="136">
          <cell r="B136" t="str">
            <v>Flat 21 - 4-8 Alhambra Rd</v>
          </cell>
          <cell r="D136" t="str">
            <v>J Tidball</v>
          </cell>
        </row>
        <row r="137">
          <cell r="B137" t="str">
            <v>Flat 22 - 4-8 Alhambra Rd</v>
          </cell>
          <cell r="D137" t="str">
            <v>Ms Sally Taylor</v>
          </cell>
        </row>
        <row r="138">
          <cell r="B138" t="str">
            <v>Flat 22 - 4-8 Alhambra Rd</v>
          </cell>
          <cell r="D138" t="str">
            <v>Mr Lamour</v>
          </cell>
        </row>
        <row r="139">
          <cell r="B139" t="str">
            <v>Flat 22 - 4-8 Alhambra Rd</v>
          </cell>
          <cell r="D139" t="str">
            <v>J Reason</v>
          </cell>
        </row>
        <row r="140">
          <cell r="B140" t="str">
            <v>Flat 22 - 4-8 Alhambra Rd</v>
          </cell>
          <cell r="D140" t="str">
            <v>Davy Lyons</v>
          </cell>
        </row>
        <row r="141">
          <cell r="B141" t="str">
            <v>Flat 22 - 4-8 Alhambra Rd</v>
          </cell>
          <cell r="D141" t="str">
            <v>Leggett &amp; Crawford</v>
          </cell>
        </row>
        <row r="142">
          <cell r="B142" t="str">
            <v>Flat 22 - 4-8 Alhambra Rd</v>
          </cell>
          <cell r="D142" t="str">
            <v>Li</v>
          </cell>
        </row>
        <row r="143">
          <cell r="B143" t="str">
            <v>Flat 23 - 4-8 Alhambra Rd</v>
          </cell>
          <cell r="D143" t="str">
            <v>Ms S Ryan</v>
          </cell>
        </row>
        <row r="144">
          <cell r="B144" t="str">
            <v>Flat 23 - 4-8 Alhambra Rd</v>
          </cell>
          <cell r="D144" t="str">
            <v>G Makoselo</v>
          </cell>
        </row>
        <row r="145">
          <cell r="B145" t="str">
            <v>Flat 23 - 4-8 Alhambra Rd</v>
          </cell>
          <cell r="D145" t="str">
            <v>Tim Blanton &amp; Greg Sotheran</v>
          </cell>
        </row>
        <row r="146">
          <cell r="B146" t="str">
            <v>Flat 23 - 4-8 Alhambra Rd</v>
          </cell>
          <cell r="D146" t="str">
            <v>Susan Taylor</v>
          </cell>
        </row>
        <row r="147">
          <cell r="B147" t="str">
            <v>Flat 23 - 4-8 Alhambra Rd</v>
          </cell>
          <cell r="D147" t="str">
            <v>Wiggins &amp; Jones</v>
          </cell>
        </row>
        <row r="148">
          <cell r="B148" t="str">
            <v>Flat 23 - 4-8 Alhambra Rd</v>
          </cell>
          <cell r="D148" t="str">
            <v xml:space="preserve"> Matthews</v>
          </cell>
        </row>
        <row r="149">
          <cell r="B149" t="str">
            <v>Flat 3 - 12-14 Alhambra Rd</v>
          </cell>
          <cell r="D149" t="str">
            <v>Mr Tudor</v>
          </cell>
        </row>
        <row r="150">
          <cell r="B150" t="str">
            <v>Flat 3 - 12-14 Alhambra Rd</v>
          </cell>
          <cell r="D150" t="str">
            <v>Jones</v>
          </cell>
        </row>
        <row r="151">
          <cell r="B151" t="str">
            <v>Flat 3 - 12-14 Alhambra Rd</v>
          </cell>
          <cell r="D151" t="str">
            <v>James</v>
          </cell>
        </row>
        <row r="152">
          <cell r="B152" t="str">
            <v>Flat 3 - 12-14 Alhambra Rd</v>
          </cell>
          <cell r="D152" t="str">
            <v>Mallinson</v>
          </cell>
        </row>
        <row r="153">
          <cell r="B153" t="str">
            <v>Flat 3 - 12-14 Alhambra Rd</v>
          </cell>
          <cell r="D153" t="str">
            <v>Henderson</v>
          </cell>
        </row>
        <row r="154">
          <cell r="B154" t="str">
            <v>Flat 3 - 16-18 Alhambra Rd</v>
          </cell>
          <cell r="D154" t="str">
            <v>C Stark</v>
          </cell>
        </row>
        <row r="155">
          <cell r="B155" t="str">
            <v>Flat 3 - 16-18 Alhambra Rd</v>
          </cell>
          <cell r="D155" t="str">
            <v>Holly Reeves</v>
          </cell>
        </row>
        <row r="156">
          <cell r="B156" t="str">
            <v>Flat 3 - 16-18 Alhambra Rd</v>
          </cell>
          <cell r="D156" t="str">
            <v>Moss</v>
          </cell>
        </row>
        <row r="157">
          <cell r="B157" t="str">
            <v>Flat 3 - 163 Fratton Rd</v>
          </cell>
          <cell r="D157" t="str">
            <v>Martin Brett</v>
          </cell>
        </row>
        <row r="158">
          <cell r="B158" t="str">
            <v>Flat 3 - 163 Fratton Rd</v>
          </cell>
          <cell r="D158" t="str">
            <v>Toombs</v>
          </cell>
        </row>
        <row r="159">
          <cell r="B159" t="str">
            <v>Flat 3 - 163 Fratton Rd</v>
          </cell>
          <cell r="D159" t="str">
            <v>Scouarnec</v>
          </cell>
        </row>
        <row r="160">
          <cell r="B160" t="str">
            <v>Flat 3 - 163 Fratton Rd</v>
          </cell>
          <cell r="D160" t="str">
            <v>Hall</v>
          </cell>
        </row>
        <row r="161">
          <cell r="B161" t="str">
            <v>Flat 3 - 163 Fratton Rd</v>
          </cell>
          <cell r="D161" t="str">
            <v>Bilham</v>
          </cell>
        </row>
        <row r="162">
          <cell r="B162" t="str">
            <v>Flat 3 - 169 Fawcett Rd</v>
          </cell>
          <cell r="D162" t="str">
            <v>Mr Robinson</v>
          </cell>
        </row>
        <row r="163">
          <cell r="B163" t="str">
            <v>Flat 3 - 169 Fawcett Rd</v>
          </cell>
          <cell r="D163" t="str">
            <v>Grant Philliben</v>
          </cell>
        </row>
        <row r="164">
          <cell r="B164" t="str">
            <v>Flat 3 - 169 Fawcett Rd</v>
          </cell>
          <cell r="D164" t="str">
            <v>Carrick</v>
          </cell>
        </row>
        <row r="165">
          <cell r="B165" t="str">
            <v>Flat 3 - 171 Fawcett Rd</v>
          </cell>
          <cell r="D165" t="str">
            <v>Mr N Olsen</v>
          </cell>
        </row>
        <row r="166">
          <cell r="B166" t="str">
            <v>Flat 3 - 171 Fawcett Rd</v>
          </cell>
          <cell r="D166" t="str">
            <v>Mr Robinson</v>
          </cell>
        </row>
        <row r="167">
          <cell r="B167" t="str">
            <v>Flat 3 - 171 Fawcett Rd</v>
          </cell>
          <cell r="D167" t="str">
            <v>Anthony Heather</v>
          </cell>
        </row>
        <row r="168">
          <cell r="B168" t="str">
            <v>Flat 3 - 171 Fawcett Rd</v>
          </cell>
          <cell r="D168" t="str">
            <v>Matthews &amp; Ward</v>
          </cell>
        </row>
        <row r="169">
          <cell r="B169" t="str">
            <v>Flat 3 - 321 London Rd</v>
          </cell>
          <cell r="D169" t="str">
            <v>Mr J Brown</v>
          </cell>
        </row>
        <row r="170">
          <cell r="B170" t="str">
            <v>Flat 3 - 321 London Rd</v>
          </cell>
          <cell r="D170" t="str">
            <v>Mr Barnett &amp; Ms Elvenny</v>
          </cell>
        </row>
        <row r="171">
          <cell r="B171" t="str">
            <v>Flat 3 - 321 London Rd</v>
          </cell>
          <cell r="D171" t="str">
            <v>S Briscoe</v>
          </cell>
        </row>
        <row r="172">
          <cell r="B172" t="str">
            <v>Flat 3 - 321 London Rd</v>
          </cell>
          <cell r="D172" t="str">
            <v>Newing &amp; Thompson</v>
          </cell>
        </row>
        <row r="173">
          <cell r="B173" t="str">
            <v>Flat 3 - 321 London Rd</v>
          </cell>
          <cell r="D173" t="str">
            <v>Kevin &amp; Charyn Carter</v>
          </cell>
        </row>
        <row r="174">
          <cell r="B174" t="str">
            <v>Flat 3 - 321 London Rd</v>
          </cell>
          <cell r="D174" t="str">
            <v>Saunders &amp; Lavery</v>
          </cell>
        </row>
        <row r="175">
          <cell r="B175" t="str">
            <v>Flat 3 - 321 London Rd</v>
          </cell>
          <cell r="D175" t="str">
            <v>Williams &amp; Green</v>
          </cell>
        </row>
        <row r="176">
          <cell r="B176" t="str">
            <v>Flat 3 - 321 London Rd</v>
          </cell>
          <cell r="D176" t="str">
            <v>Thompson</v>
          </cell>
        </row>
        <row r="177">
          <cell r="B177" t="str">
            <v>Flat 3 - 321 London Rd</v>
          </cell>
          <cell r="D177" t="str">
            <v xml:space="preserve">Bowie </v>
          </cell>
        </row>
        <row r="178">
          <cell r="B178" t="str">
            <v>Flat 3 - 321 London Rd</v>
          </cell>
          <cell r="D178" t="str">
            <v>Fleming</v>
          </cell>
        </row>
        <row r="179">
          <cell r="B179" t="str">
            <v>Flat 3 - 321 London Rd</v>
          </cell>
          <cell r="D179" t="str">
            <v>Laver</v>
          </cell>
        </row>
        <row r="180">
          <cell r="B180" t="str">
            <v>Flat 3 - 321 London Rd</v>
          </cell>
          <cell r="D180" t="str">
            <v>Mpofu</v>
          </cell>
        </row>
        <row r="181">
          <cell r="B181" t="str">
            <v>Flat 3 - 321 London Rd</v>
          </cell>
          <cell r="D181" t="str">
            <v>Glace</v>
          </cell>
        </row>
        <row r="182">
          <cell r="B182" t="str">
            <v>Flat 4 - 12-14 Alhambra Rd</v>
          </cell>
          <cell r="D182" t="str">
            <v>Mr Hopkinson</v>
          </cell>
        </row>
        <row r="183">
          <cell r="B183" t="str">
            <v>Flat 4 - 12-14 Alhambra Rd</v>
          </cell>
          <cell r="D183" t="str">
            <v>Mr D Cooper</v>
          </cell>
        </row>
        <row r="184">
          <cell r="B184" t="str">
            <v>Flat 4 - 12-14 Alhambra Rd</v>
          </cell>
          <cell r="D184" t="str">
            <v>A Drummond</v>
          </cell>
        </row>
        <row r="185">
          <cell r="B185" t="str">
            <v>Flat 4 - 12-14 Alhambra Rd</v>
          </cell>
          <cell r="D185" t="str">
            <v>Dunn</v>
          </cell>
        </row>
        <row r="186">
          <cell r="B186" t="str">
            <v>Flat 4 - 12-14 Alhambra Rd</v>
          </cell>
          <cell r="D186" t="str">
            <v>Nieniarowski</v>
          </cell>
        </row>
        <row r="187">
          <cell r="B187" t="str">
            <v>Flat 4 - 163 Fratton Rd</v>
          </cell>
          <cell r="D187" t="str">
            <v>Wright</v>
          </cell>
        </row>
        <row r="188">
          <cell r="B188" t="str">
            <v>Flat 4 - 163 Fratton Rd</v>
          </cell>
          <cell r="D188" t="str">
            <v>J Fraser</v>
          </cell>
        </row>
        <row r="189">
          <cell r="B189" t="str">
            <v>Flat 4 - 163 Fratton Rd</v>
          </cell>
          <cell r="D189" t="str">
            <v>Mrs C Carrington</v>
          </cell>
        </row>
        <row r="190">
          <cell r="B190" t="str">
            <v>Flat 4 - 163 Fratton Rd</v>
          </cell>
          <cell r="D190" t="str">
            <v>P Chatfield</v>
          </cell>
        </row>
        <row r="191">
          <cell r="B191" t="str">
            <v>Flat 4 - 163 Fratton Rd</v>
          </cell>
          <cell r="D191" t="str">
            <v>Toombs</v>
          </cell>
        </row>
        <row r="192">
          <cell r="B192" t="str">
            <v>Flat 4 - 163 Fratton Rd</v>
          </cell>
          <cell r="D192" t="str">
            <v>Coombs</v>
          </cell>
        </row>
        <row r="193">
          <cell r="B193" t="str">
            <v>Flat 4 - 321 London Rd</v>
          </cell>
          <cell r="D193" t="str">
            <v>Carrington</v>
          </cell>
        </row>
        <row r="194">
          <cell r="B194" t="str">
            <v>Flat 4 - 321 London Rd</v>
          </cell>
          <cell r="D194" t="str">
            <v>Simpson-Stevens &amp; Scott</v>
          </cell>
        </row>
        <row r="195">
          <cell r="B195" t="str">
            <v>Flat 4 - 321 London Rd</v>
          </cell>
          <cell r="D195" t="str">
            <v>Jones</v>
          </cell>
        </row>
        <row r="196">
          <cell r="B196" t="str">
            <v>Flat 4 - 321 London Rd</v>
          </cell>
          <cell r="D196" t="str">
            <v>Coalbran</v>
          </cell>
        </row>
        <row r="197">
          <cell r="B197" t="str">
            <v>Flat 4 - 321 London Rd</v>
          </cell>
          <cell r="D197" t="str">
            <v>Larkins/Allen</v>
          </cell>
        </row>
        <row r="198">
          <cell r="B198" t="str">
            <v>Flat 4 - 321 London Rd</v>
          </cell>
          <cell r="D198" t="str">
            <v>Emptage/Robson</v>
          </cell>
        </row>
        <row r="199">
          <cell r="B199" t="str">
            <v>Flat 4 - 321 London Rd</v>
          </cell>
          <cell r="D199" t="str">
            <v>Hall</v>
          </cell>
        </row>
        <row r="200">
          <cell r="B200" t="str">
            <v>Flat 4 - 321 London Rd</v>
          </cell>
          <cell r="D200" t="str">
            <v>Dixon</v>
          </cell>
        </row>
        <row r="201">
          <cell r="B201" t="str">
            <v>Flat 4 - 321 London Rd</v>
          </cell>
          <cell r="D201" t="str">
            <v>Raven</v>
          </cell>
        </row>
        <row r="202">
          <cell r="B202" t="str">
            <v>Flat 5 - 12-14 Alhambra Rd</v>
          </cell>
          <cell r="D202" t="str">
            <v>Valverde</v>
          </cell>
        </row>
        <row r="203">
          <cell r="B203" t="str">
            <v>Flat 5 - 12-14 Alhambra Rd</v>
          </cell>
          <cell r="D203" t="str">
            <v>Penfold</v>
          </cell>
        </row>
        <row r="204">
          <cell r="B204" t="str">
            <v>Flat 5 - 4-8 Alhambra Rd</v>
          </cell>
          <cell r="D204" t="str">
            <v>Miss S Smith</v>
          </cell>
        </row>
        <row r="205">
          <cell r="B205" t="str">
            <v>Flat 5 - 4-8 Alhambra Rd</v>
          </cell>
          <cell r="D205" t="str">
            <v>Ms H Daniels</v>
          </cell>
        </row>
        <row r="206">
          <cell r="B206" t="str">
            <v>Flat 5 - 4-8 Alhambra Rd</v>
          </cell>
          <cell r="D206" t="str">
            <v>Parieira</v>
          </cell>
        </row>
        <row r="207">
          <cell r="B207" t="str">
            <v>Flat 5 - 4-8 Alhambra Rd</v>
          </cell>
          <cell r="D207" t="str">
            <v>Nerantzoula Klelousi</v>
          </cell>
        </row>
        <row r="208">
          <cell r="B208" t="str">
            <v>Flat 6 - 16-18 Alhambra Rd</v>
          </cell>
          <cell r="D208" t="str">
            <v>Taperek</v>
          </cell>
        </row>
        <row r="209">
          <cell r="B209" t="str">
            <v>Flat 6 - 16-18 Alhambra Rd</v>
          </cell>
          <cell r="D209" t="str">
            <v>Sally Miller</v>
          </cell>
        </row>
        <row r="210">
          <cell r="B210" t="str">
            <v>Flat 6 - 16-18 Alhambra Rd</v>
          </cell>
          <cell r="D210" t="str">
            <v>Thidar</v>
          </cell>
        </row>
        <row r="211">
          <cell r="B211" t="str">
            <v>Flat 6 - 16-18 Alhambra Rd</v>
          </cell>
          <cell r="D211" t="str">
            <v>Barckowski</v>
          </cell>
        </row>
        <row r="212">
          <cell r="B212" t="str">
            <v>Flat 6 - 4-8 Alhambra Rd</v>
          </cell>
          <cell r="D212" t="str">
            <v>Mr Hinks</v>
          </cell>
        </row>
        <row r="213">
          <cell r="B213" t="str">
            <v>Flat 6 - 4-8 Alhambra Rd</v>
          </cell>
          <cell r="D213" t="str">
            <v>A Thomas</v>
          </cell>
        </row>
        <row r="214">
          <cell r="B214" t="str">
            <v>Flat 6 - 4-8 Alhambra Rd</v>
          </cell>
          <cell r="D214" t="str">
            <v>Long &amp; Emptage</v>
          </cell>
        </row>
        <row r="215">
          <cell r="B215" t="str">
            <v>Flat 6 - 4-8 Alhambra Rd</v>
          </cell>
          <cell r="D215" t="str">
            <v>Arrabbetou</v>
          </cell>
        </row>
        <row r="216">
          <cell r="B216" t="str">
            <v>Flat 6 - 4-8 Alhambra Rd</v>
          </cell>
          <cell r="D216" t="str">
            <v>Mr D Moore</v>
          </cell>
        </row>
        <row r="217">
          <cell r="B217" t="str">
            <v>Flat 6 - 4-8 Alhambra Rd</v>
          </cell>
          <cell r="D217" t="str">
            <v>Thompson</v>
          </cell>
        </row>
        <row r="218">
          <cell r="B218" t="str">
            <v>Flat 6 - 4-8 Alhambra Rd</v>
          </cell>
          <cell r="D218" t="str">
            <v>Tuckley</v>
          </cell>
        </row>
        <row r="219">
          <cell r="B219" t="str">
            <v>Flat 6 - 4-8 Alhambra Rd</v>
          </cell>
          <cell r="D219" t="str">
            <v xml:space="preserve"> Hickman</v>
          </cell>
        </row>
        <row r="220">
          <cell r="B220" t="str">
            <v>Flat 7 - 12-14 Alhambra Rd</v>
          </cell>
          <cell r="D220" t="str">
            <v>Mr Radzevics</v>
          </cell>
        </row>
        <row r="221">
          <cell r="B221" t="str">
            <v>Flat 7 - 12-14 Alhambra Rd</v>
          </cell>
          <cell r="D221" t="str">
            <v>J Dee</v>
          </cell>
        </row>
        <row r="222">
          <cell r="B222" t="str">
            <v>Flat 7 - 12-14 Alhambra Rd</v>
          </cell>
          <cell r="D222" t="str">
            <v>Miss Misson &amp; Mr Plummer</v>
          </cell>
        </row>
        <row r="223">
          <cell r="B223" t="str">
            <v>Flat 7 - 12-14 Alhambra Rd</v>
          </cell>
          <cell r="D223" t="str">
            <v>Alex Asagba</v>
          </cell>
        </row>
        <row r="224">
          <cell r="B224" t="str">
            <v>Flat 7 - 12-14 Alhambra Rd</v>
          </cell>
          <cell r="D224" t="str">
            <v>Miss Claire Butcher</v>
          </cell>
        </row>
        <row r="225">
          <cell r="B225" t="str">
            <v>Flat 7 - 16-18 Alhambra Rd</v>
          </cell>
          <cell r="D225" t="str">
            <v>Mr A Young</v>
          </cell>
        </row>
        <row r="226">
          <cell r="B226" t="str">
            <v>Flat 7 - 16-18 Alhambra Rd</v>
          </cell>
          <cell r="D226" t="str">
            <v>Hughes</v>
          </cell>
        </row>
        <row r="227">
          <cell r="B227" t="str">
            <v>Flat 7 - 16-18 Alhambra Rd</v>
          </cell>
          <cell r="D227" t="str">
            <v>Hough</v>
          </cell>
        </row>
        <row r="228">
          <cell r="B228" t="str">
            <v>Flat 7 - 4-8 Alhambra Rd</v>
          </cell>
          <cell r="D228" t="str">
            <v>Miss F Booker</v>
          </cell>
        </row>
        <row r="229">
          <cell r="B229" t="str">
            <v>Flat 7 - 4-8 Alhambra Rd</v>
          </cell>
          <cell r="D229" t="str">
            <v>Oyibo Nwosu</v>
          </cell>
        </row>
        <row r="230">
          <cell r="B230" t="str">
            <v>Flat 7 - 4-8 Alhambra Rd</v>
          </cell>
          <cell r="D230" t="str">
            <v>Eugene De Beer</v>
          </cell>
        </row>
        <row r="231">
          <cell r="B231" t="str">
            <v>Flat 7 - 4-8 Alhambra Rd</v>
          </cell>
          <cell r="D231" t="str">
            <v>Miss Rita Palmieri</v>
          </cell>
        </row>
        <row r="232">
          <cell r="B232" t="str">
            <v>Flat 7 - 4-8 Alhambra Rd</v>
          </cell>
          <cell r="D232" t="str">
            <v>Hill/Gerard/Hlyton</v>
          </cell>
        </row>
        <row r="233">
          <cell r="B233" t="str">
            <v>Flat 8 - 4-8 Alhambra Rd</v>
          </cell>
          <cell r="D233" t="str">
            <v>Ms Pegg</v>
          </cell>
        </row>
        <row r="234">
          <cell r="B234" t="str">
            <v>Flat 8 - 4-8 Alhambra Rd</v>
          </cell>
          <cell r="D234" t="str">
            <v>Mr Hussain</v>
          </cell>
        </row>
        <row r="235">
          <cell r="B235" t="str">
            <v>Flat 8 - 4-8 Alhambra Rd</v>
          </cell>
          <cell r="D235" t="str">
            <v>Restall &amp; Byng</v>
          </cell>
        </row>
        <row r="236">
          <cell r="B236" t="str">
            <v>Flat 8 - 4-8 Alhambra Rd</v>
          </cell>
          <cell r="D236" t="str">
            <v>Lewis Cranston</v>
          </cell>
        </row>
        <row r="237">
          <cell r="B237" t="str">
            <v>Flat 8 - 4-8 Alhambra Rd</v>
          </cell>
          <cell r="D237" t="str">
            <v>Anna Schubert &amp; Maciej Schubert</v>
          </cell>
        </row>
        <row r="238">
          <cell r="B238" t="str">
            <v>Flat 8 - 4-8 Alhambra Rd</v>
          </cell>
          <cell r="D238" t="str">
            <v>Mr Taylor/Miss Clark</v>
          </cell>
        </row>
        <row r="239">
          <cell r="B239" t="str">
            <v>Flat A - 12 Church Street</v>
          </cell>
        </row>
        <row r="240">
          <cell r="B240" t="str">
            <v>Flat A - 14 Church Street</v>
          </cell>
        </row>
        <row r="241">
          <cell r="B241" t="str">
            <v>Flat B - 12 Church Street</v>
          </cell>
        </row>
        <row r="242">
          <cell r="B242" t="str">
            <v>Flat B - 23 Hampshire Terrace</v>
          </cell>
          <cell r="D242" t="str">
            <v>Miss Syasya Aristoteles &amp; Miss Firzanah Sufri</v>
          </cell>
        </row>
        <row r="243">
          <cell r="B243" t="str">
            <v>Flat B - 23 Hampshire Terrace</v>
          </cell>
          <cell r="D243" t="str">
            <v>Jessica Hastings &amp; Chloe Chen</v>
          </cell>
        </row>
        <row r="244">
          <cell r="B244" t="str">
            <v>Flat B - 23 Hampshire Terrace</v>
          </cell>
          <cell r="D244" t="str">
            <v>Jessica Hastings &amp; Chloe Chen</v>
          </cell>
        </row>
        <row r="245">
          <cell r="B245" t="str">
            <v>Flat B - 23 Hampshire Terrace</v>
          </cell>
          <cell r="D245" t="str">
            <v>Ms Bird &amp; Ms Cornish</v>
          </cell>
        </row>
        <row r="246">
          <cell r="B246" t="str">
            <v>Flat B - 23 Hampshire Terrace</v>
          </cell>
          <cell r="D246" t="str">
            <v>Ms Varsani &amp; Miss Wokey</v>
          </cell>
        </row>
        <row r="247">
          <cell r="B247" t="str">
            <v>Flat B - 23 Hampshire Terrace</v>
          </cell>
          <cell r="D247" t="str">
            <v>P. Vara &amp; M. Varsani</v>
          </cell>
        </row>
        <row r="248">
          <cell r="B248" t="str">
            <v>Flat B - 23 Hampshire Terrace</v>
          </cell>
          <cell r="D248" t="str">
            <v>Glenn Wallace &amp; Gary Hanna</v>
          </cell>
        </row>
        <row r="249">
          <cell r="B249" t="str">
            <v>Flat B - 23 Hampshire Terrace</v>
          </cell>
          <cell r="D249" t="str">
            <v xml:space="preserve">Mabe &amp; Hodgkins  </v>
          </cell>
        </row>
        <row r="250">
          <cell r="B250" t="str">
            <v>Flat B - 23 Hampshire Terrace</v>
          </cell>
          <cell r="D250" t="str">
            <v>Boctor/Bhatti</v>
          </cell>
        </row>
        <row r="251">
          <cell r="B251" t="str">
            <v>Flat B - 23 Hampshire Terrace</v>
          </cell>
          <cell r="D251" t="str">
            <v>Lebbon/Ravensdale</v>
          </cell>
        </row>
        <row r="252">
          <cell r="B252" t="str">
            <v>Flat C - 23 Hampshire Terrace</v>
          </cell>
          <cell r="D252" t="str">
            <v>Miss Sandra Namataka &amp; Miss Leilah Nakamaanya</v>
          </cell>
        </row>
        <row r="253">
          <cell r="B253" t="str">
            <v>Flat C - 23 Hampshire Terrace</v>
          </cell>
          <cell r="D253" t="str">
            <v>Jade Parrett-Harris &amp; Robbyn McCarthy</v>
          </cell>
        </row>
        <row r="254">
          <cell r="B254" t="str">
            <v>Flat C - 23 Hampshire Terrace</v>
          </cell>
          <cell r="D254" t="str">
            <v>Meena Flora &amp; Chloe Fisher</v>
          </cell>
        </row>
        <row r="255">
          <cell r="B255" t="str">
            <v>Flat C - 23 Hampshire Terrace</v>
          </cell>
          <cell r="D255" t="str">
            <v>Katie Nichols &amp; Sara Edwards</v>
          </cell>
        </row>
        <row r="256">
          <cell r="B256" t="str">
            <v>Flat C - 23 Hampshire Terrace</v>
          </cell>
          <cell r="D256" t="str">
            <v>Dipali Patel &amp; Meera Patel</v>
          </cell>
        </row>
        <row r="257">
          <cell r="B257" t="str">
            <v>Flat C - 23 Hampshire Terrace</v>
          </cell>
          <cell r="D257" t="str">
            <v>Ru Jia (Nick)</v>
          </cell>
        </row>
        <row r="258">
          <cell r="B258" t="str">
            <v>Flat C - 23 Hampshire Terrace</v>
          </cell>
          <cell r="D258" t="str">
            <v>Georgina Shepherd</v>
          </cell>
        </row>
        <row r="259">
          <cell r="B259" t="str">
            <v>Flat C - 23 Hampshire Terrace</v>
          </cell>
          <cell r="D259" t="str">
            <v>Marius Giulverzan &amp; Ann Tudor</v>
          </cell>
        </row>
        <row r="260">
          <cell r="B260" t="str">
            <v>Flat C - 23 Hampshire Terrace</v>
          </cell>
          <cell r="D260" t="str">
            <v>Adrian Mattei &amp; Elena Matei</v>
          </cell>
        </row>
        <row r="261">
          <cell r="B261" t="str">
            <v>Flat C - 23 Hampshire Terrace</v>
          </cell>
          <cell r="D261" t="str">
            <v>Urry</v>
          </cell>
        </row>
        <row r="262">
          <cell r="B262" t="str">
            <v>Flat C - 23 Hampshire Terrace</v>
          </cell>
          <cell r="D262" t="str">
            <v xml:space="preserve">Diejomoah </v>
          </cell>
        </row>
        <row r="263">
          <cell r="B263" t="str">
            <v>Flat C - 23 Hampshire Terrace</v>
          </cell>
          <cell r="D263" t="str">
            <v>Ampelas/Zachariou</v>
          </cell>
        </row>
        <row r="264">
          <cell r="B264" t="str">
            <v>Flat C - 23 Hampshire Terrace</v>
          </cell>
          <cell r="D264" t="str">
            <v xml:space="preserve"> Wells/Brooks</v>
          </cell>
        </row>
        <row r="265">
          <cell r="B265" t="str">
            <v>Ground Floor Flat - 196 Kingston Rd</v>
          </cell>
          <cell r="D265" t="str">
            <v>Ms J Henson</v>
          </cell>
        </row>
        <row r="266">
          <cell r="B266" t="str">
            <v>Ground Floor Flat - 196 Kingston Rd</v>
          </cell>
          <cell r="D266" t="str">
            <v>Noble (prev Tombs)</v>
          </cell>
        </row>
        <row r="267">
          <cell r="B267" t="str">
            <v>Ground Floor Flat - 196 Kingston Rd</v>
          </cell>
          <cell r="D267" t="str">
            <v>E. Long</v>
          </cell>
        </row>
        <row r="268">
          <cell r="B268" t="str">
            <v>Ground Floor Shop - 196 Kingston Rd</v>
          </cell>
          <cell r="D268" t="str">
            <v>Martin Gliszczynski</v>
          </cell>
        </row>
        <row r="269">
          <cell r="B269" t="str">
            <v>Ground Floor Shop - 196 Kingston Rd</v>
          </cell>
          <cell r="D269" t="str">
            <v>P Adams</v>
          </cell>
        </row>
        <row r="270">
          <cell r="B270" t="str">
            <v>Ground Floor Shop - 196 Kingston Rd</v>
          </cell>
          <cell r="D270" t="str">
            <v>S. Amin</v>
          </cell>
        </row>
        <row r="271">
          <cell r="B271" t="str">
            <v>Ground Floor Shop - 196 Kingston Rd</v>
          </cell>
          <cell r="D271" t="str">
            <v>Oleg Korenev</v>
          </cell>
        </row>
        <row r="272">
          <cell r="B272" t="str">
            <v>Ground Floor Shop - 196 Kingston Rd</v>
          </cell>
          <cell r="D272" t="str">
            <v>Yuppie Puppiez</v>
          </cell>
        </row>
        <row r="273">
          <cell r="B273" t="str">
            <v>Shop - 12 Church Street</v>
          </cell>
        </row>
        <row r="274">
          <cell r="B274" t="str">
            <v>Shop - 14 Church Street</v>
          </cell>
        </row>
      </sheetData>
      <sheetData sheetId="10"/>
      <sheetData sheetId="11">
        <row r="2">
          <cell r="A2" t="str">
            <v>Paid</v>
          </cell>
        </row>
        <row r="3">
          <cell r="A3" t="str">
            <v>Paid (in arrears)</v>
          </cell>
        </row>
        <row r="4">
          <cell r="A4" t="str">
            <v>Not paid</v>
          </cell>
        </row>
        <row r="5">
          <cell r="A5" t="str">
            <v>Not paid (in arrears)</v>
          </cell>
        </row>
        <row r="6">
          <cell r="A6" t="str">
            <v>New Tenant</v>
          </cell>
        </row>
        <row r="7">
          <cell r="A7" t="str">
            <v>Empty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abSelected="1" zoomScale="70" zoomScaleNormal="70" workbookViewId="0">
      <selection activeCell="N9" sqref="N9:N63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42947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5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44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1007</v>
      </c>
      <c r="C10" s="27" t="s">
        <v>95</v>
      </c>
      <c r="D10" s="81">
        <v>42909</v>
      </c>
      <c r="E10" s="85">
        <v>42938</v>
      </c>
      <c r="F10" s="86">
        <v>500</v>
      </c>
      <c r="G10" s="83">
        <v>30</v>
      </c>
      <c r="H10" s="83">
        <v>6</v>
      </c>
      <c r="I10" s="84">
        <v>390</v>
      </c>
      <c r="J10" s="87">
        <v>74</v>
      </c>
      <c r="K10" s="85">
        <v>42920.691412037035</v>
      </c>
      <c r="L10" s="84"/>
      <c r="M10" s="125">
        <f t="shared" ref="M10:M63" si="1">IF(F10-G10-H10-I10-L10&lt;&gt;0, F10-G10-H10-I10-L10,"")</f>
        <v>74</v>
      </c>
      <c r="N10" s="47" t="s">
        <v>6</v>
      </c>
      <c r="O10" s="86">
        <v>141.63</v>
      </c>
      <c r="P10" s="46">
        <f t="shared" si="0"/>
        <v>-67.63</v>
      </c>
      <c r="Q10" s="145">
        <f t="shared" ref="Q10:Q63" si="2">IF(F10&lt;&gt;"",F10-G10-H10-I10-J10,0)</f>
        <v>0</v>
      </c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1008</v>
      </c>
      <c r="C11" s="27" t="s">
        <v>1009</v>
      </c>
      <c r="D11" s="81">
        <v>42909</v>
      </c>
      <c r="E11" s="85">
        <v>42938</v>
      </c>
      <c r="F11" s="86">
        <v>407.49</v>
      </c>
      <c r="G11" s="83">
        <v>24.45</v>
      </c>
      <c r="H11" s="83">
        <v>4.8899999999999997</v>
      </c>
      <c r="I11" s="84"/>
      <c r="J11" s="87">
        <v>378.15</v>
      </c>
      <c r="K11" s="85">
        <v>42920.691412037035</v>
      </c>
      <c r="L11" s="84"/>
      <c r="M11" s="125">
        <f t="shared" si="1"/>
        <v>378.15000000000003</v>
      </c>
      <c r="N11" s="47" t="s">
        <v>6</v>
      </c>
      <c r="O11" s="86">
        <v>130.22999999999999</v>
      </c>
      <c r="P11" s="46">
        <f t="shared" si="0"/>
        <v>247.92000000000004</v>
      </c>
      <c r="Q11" s="145">
        <f t="shared" si="2"/>
        <v>5.6843418860808015E-14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1010</v>
      </c>
      <c r="C12" s="27" t="s">
        <v>95</v>
      </c>
      <c r="D12" s="81">
        <v>42889</v>
      </c>
      <c r="E12" s="85">
        <v>42949</v>
      </c>
      <c r="F12" s="86">
        <v>466.12</v>
      </c>
      <c r="G12" s="83">
        <v>27.98</v>
      </c>
      <c r="H12" s="83">
        <v>5.59</v>
      </c>
      <c r="I12" s="84">
        <v>4.1399999999999997</v>
      </c>
      <c r="J12" s="87">
        <v>428.41</v>
      </c>
      <c r="K12" s="85">
        <v>42920.691412037035</v>
      </c>
      <c r="L12" s="84"/>
      <c r="M12" s="125">
        <f t="shared" si="1"/>
        <v>428.41</v>
      </c>
      <c r="N12" s="47" t="s">
        <v>6</v>
      </c>
      <c r="O12" s="86">
        <v>93.49</v>
      </c>
      <c r="P12" s="46">
        <f t="shared" si="0"/>
        <v>334.92</v>
      </c>
      <c r="Q12" s="145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1011</v>
      </c>
      <c r="C13" s="27" t="s">
        <v>95</v>
      </c>
      <c r="D13" s="81">
        <v>42912</v>
      </c>
      <c r="E13" s="85">
        <v>42941</v>
      </c>
      <c r="F13" s="86">
        <v>346.8</v>
      </c>
      <c r="G13" s="83">
        <v>20.81</v>
      </c>
      <c r="H13" s="83">
        <v>4.16</v>
      </c>
      <c r="I13" s="84"/>
      <c r="J13" s="87">
        <v>321.83</v>
      </c>
      <c r="K13" s="85">
        <v>42920.691412037035</v>
      </c>
      <c r="L13" s="84"/>
      <c r="M13" s="125">
        <f t="shared" si="1"/>
        <v>321.83</v>
      </c>
      <c r="N13" s="47" t="s">
        <v>258</v>
      </c>
      <c r="O13" s="86">
        <v>141.66</v>
      </c>
      <c r="P13" s="46">
        <f t="shared" si="0"/>
        <v>180.17</v>
      </c>
      <c r="Q13" s="145">
        <f t="shared" si="2"/>
        <v>0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5" t="str">
        <f t="shared" si="1"/>
        <v/>
      </c>
      <c r="N14" s="47"/>
      <c r="O14" s="82"/>
      <c r="P14" s="46">
        <f t="shared" si="0"/>
        <v>0</v>
      </c>
      <c r="Q14" s="145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1012</v>
      </c>
      <c r="C15" s="27" t="s">
        <v>1009</v>
      </c>
      <c r="D15" s="81">
        <v>42892</v>
      </c>
      <c r="E15" s="81">
        <v>42921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42920.691412037035</v>
      </c>
      <c r="L15" s="84"/>
      <c r="M15" s="125">
        <f t="shared" si="1"/>
        <v>432.56</v>
      </c>
      <c r="N15" s="47" t="s">
        <v>6</v>
      </c>
      <c r="O15" s="86">
        <v>127.59</v>
      </c>
      <c r="P15" s="46">
        <f t="shared" si="0"/>
        <v>304.97000000000003</v>
      </c>
      <c r="Q15" s="145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1013</v>
      </c>
      <c r="C16" s="27" t="s">
        <v>95</v>
      </c>
      <c r="D16" s="81">
        <v>42897</v>
      </c>
      <c r="E16" s="85">
        <v>42957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42920.691412037035</v>
      </c>
      <c r="L16" s="84"/>
      <c r="M16" s="125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145">
        <f t="shared" si="2"/>
        <v>-5.6843418860808015E-14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1014</v>
      </c>
      <c r="C17" s="27" t="s">
        <v>95</v>
      </c>
      <c r="D17" s="81">
        <v>42931</v>
      </c>
      <c r="E17" s="85">
        <v>42961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42941.597905092596</v>
      </c>
      <c r="L17" s="84"/>
      <c r="M17" s="125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145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5" t="str">
        <f t="shared" si="1"/>
        <v/>
      </c>
      <c r="N18" s="47"/>
      <c r="O18" s="82"/>
      <c r="P18" s="46">
        <f t="shared" si="0"/>
        <v>0</v>
      </c>
      <c r="Q18" s="145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1015</v>
      </c>
      <c r="C19" s="27" t="s">
        <v>95</v>
      </c>
      <c r="D19" s="81">
        <v>42922</v>
      </c>
      <c r="E19" s="81">
        <v>42952</v>
      </c>
      <c r="F19" s="86">
        <v>306.24</v>
      </c>
      <c r="G19" s="83">
        <v>18.37</v>
      </c>
      <c r="H19" s="83">
        <v>3.67</v>
      </c>
      <c r="I19" s="84"/>
      <c r="J19" s="87">
        <v>284.2</v>
      </c>
      <c r="K19" s="85">
        <v>42922.635277777779</v>
      </c>
      <c r="L19" s="84"/>
      <c r="M19" s="125">
        <f t="shared" si="1"/>
        <v>284.2</v>
      </c>
      <c r="N19" s="47" t="s">
        <v>258</v>
      </c>
      <c r="O19" s="86">
        <v>189.14</v>
      </c>
      <c r="P19" s="46">
        <f t="shared" si="0"/>
        <v>95.06</v>
      </c>
      <c r="Q19" s="145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1016</v>
      </c>
      <c r="C20" s="27" t="s">
        <v>95</v>
      </c>
      <c r="D20" s="81">
        <v>42888</v>
      </c>
      <c r="E20" s="85">
        <v>42948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42920.691412037035</v>
      </c>
      <c r="L20" s="84"/>
      <c r="M20" s="125">
        <f t="shared" si="1"/>
        <v>428.28999999999996</v>
      </c>
      <c r="N20" s="47" t="s">
        <v>6</v>
      </c>
      <c r="O20" s="86">
        <v>167.32</v>
      </c>
      <c r="P20" s="46">
        <f t="shared" si="0"/>
        <v>260.96999999999997</v>
      </c>
      <c r="Q20" s="145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997</v>
      </c>
      <c r="C21" s="27"/>
      <c r="D21" s="81"/>
      <c r="E21" s="85"/>
      <c r="F21" s="86"/>
      <c r="G21" s="83"/>
      <c r="H21" s="83"/>
      <c r="I21" s="84"/>
      <c r="J21" s="87"/>
      <c r="K21" s="85"/>
      <c r="L21" s="84"/>
      <c r="M21" s="125" t="str">
        <f t="shared" si="1"/>
        <v/>
      </c>
      <c r="N21" s="47" t="s">
        <v>203</v>
      </c>
      <c r="O21" s="86">
        <v>203.36</v>
      </c>
      <c r="P21" s="46">
        <f>IFERROR(IF(M21-O21&lt;&gt;0,M21-O21,""),-O21)</f>
        <v>-203.36</v>
      </c>
      <c r="Q21" s="145">
        <f t="shared" si="2"/>
        <v>0</v>
      </c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5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5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1017</v>
      </c>
      <c r="C23" s="27" t="s">
        <v>95</v>
      </c>
      <c r="D23" s="81">
        <v>42901</v>
      </c>
      <c r="E23" s="85">
        <v>42961</v>
      </c>
      <c r="F23" s="86">
        <v>466.12</v>
      </c>
      <c r="G23" s="83">
        <v>27.96</v>
      </c>
      <c r="H23" s="83">
        <v>5.59</v>
      </c>
      <c r="I23" s="84">
        <v>90</v>
      </c>
      <c r="J23" s="87">
        <v>342.57</v>
      </c>
      <c r="K23" s="85">
        <v>42920.691412037035</v>
      </c>
      <c r="L23" s="84"/>
      <c r="M23" s="125">
        <f t="shared" si="1"/>
        <v>342.57000000000005</v>
      </c>
      <c r="N23" s="47" t="s">
        <v>6</v>
      </c>
      <c r="O23" s="86">
        <v>135.38999999999999</v>
      </c>
      <c r="P23" s="46">
        <f t="shared" si="3"/>
        <v>207.18000000000006</v>
      </c>
      <c r="Q23" s="145">
        <f t="shared" si="2"/>
        <v>5.6843418860808015E-14</v>
      </c>
      <c r="R23" s="47"/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997</v>
      </c>
      <c r="C24" s="27"/>
      <c r="D24" s="81"/>
      <c r="E24" s="85"/>
      <c r="F24" s="86"/>
      <c r="G24" s="83"/>
      <c r="H24" s="83"/>
      <c r="I24" s="84"/>
      <c r="J24" s="87"/>
      <c r="K24" s="85"/>
      <c r="L24" s="84"/>
      <c r="M24" s="125" t="str">
        <f t="shared" si="1"/>
        <v/>
      </c>
      <c r="N24" s="47" t="s">
        <v>203</v>
      </c>
      <c r="O24" s="86">
        <v>129.29</v>
      </c>
      <c r="P24" s="46">
        <f t="shared" si="3"/>
        <v>-129.29</v>
      </c>
      <c r="Q24" s="145">
        <f t="shared" si="2"/>
        <v>0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1018</v>
      </c>
      <c r="C25" s="27" t="s">
        <v>95</v>
      </c>
      <c r="D25" s="81">
        <v>42903</v>
      </c>
      <c r="E25" s="85">
        <v>42963</v>
      </c>
      <c r="F25" s="86">
        <v>364.6</v>
      </c>
      <c r="G25" s="83">
        <v>21.88</v>
      </c>
      <c r="H25" s="83">
        <v>4.38</v>
      </c>
      <c r="I25" s="84"/>
      <c r="J25" s="87">
        <v>338.34</v>
      </c>
      <c r="K25" s="85">
        <v>42920.691412037035</v>
      </c>
      <c r="L25" s="84"/>
      <c r="M25" s="125">
        <f t="shared" si="1"/>
        <v>338.34000000000003</v>
      </c>
      <c r="N25" s="47" t="s">
        <v>6</v>
      </c>
      <c r="O25" s="86">
        <v>116</v>
      </c>
      <c r="P25" s="46">
        <f t="shared" si="3"/>
        <v>222.34000000000003</v>
      </c>
      <c r="Q25" s="145">
        <f t="shared" si="2"/>
        <v>5.6843418860808015E-14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5" t="str">
        <f t="shared" si="1"/>
        <v/>
      </c>
      <c r="N26" s="47"/>
      <c r="O26" s="82"/>
      <c r="P26" s="46">
        <f t="shared" si="3"/>
        <v>0</v>
      </c>
      <c r="Q26" s="145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1019</v>
      </c>
      <c r="C27" s="27" t="s">
        <v>1009</v>
      </c>
      <c r="D27" s="81">
        <v>42927</v>
      </c>
      <c r="E27" s="81">
        <v>42957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42927.584606481483</v>
      </c>
      <c r="L27" s="84"/>
      <c r="M27" s="125">
        <f t="shared" si="1"/>
        <v>324.8</v>
      </c>
      <c r="N27" s="47" t="s">
        <v>6</v>
      </c>
      <c r="O27" s="132">
        <v>140</v>
      </c>
      <c r="P27" s="46">
        <f t="shared" si="3"/>
        <v>184.8</v>
      </c>
      <c r="Q27" s="145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1020</v>
      </c>
      <c r="C28" s="27" t="s">
        <v>95</v>
      </c>
      <c r="D28" s="81">
        <v>42917</v>
      </c>
      <c r="E28" s="81">
        <v>42947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42920.691412037035</v>
      </c>
      <c r="L28" s="84"/>
      <c r="M28" s="125">
        <f t="shared" si="1"/>
        <v>482.56</v>
      </c>
      <c r="N28" s="47" t="s">
        <v>6</v>
      </c>
      <c r="O28" s="82">
        <v>165.12</v>
      </c>
      <c r="P28" s="46">
        <f t="shared" si="3"/>
        <v>317.44</v>
      </c>
      <c r="Q28" s="145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1021</v>
      </c>
      <c r="C29" s="27" t="s">
        <v>95</v>
      </c>
      <c r="D29" s="81">
        <v>42900</v>
      </c>
      <c r="E29" s="81">
        <v>42960</v>
      </c>
      <c r="F29" s="82">
        <v>586.12</v>
      </c>
      <c r="G29" s="83">
        <v>35.17</v>
      </c>
      <c r="H29" s="83">
        <v>7.03</v>
      </c>
      <c r="I29" s="84"/>
      <c r="J29" s="87">
        <v>543.91999999999996</v>
      </c>
      <c r="K29" s="85">
        <v>42930.524456018517</v>
      </c>
      <c r="L29" s="84"/>
      <c r="M29" s="125">
        <f t="shared" si="1"/>
        <v>543.92000000000007</v>
      </c>
      <c r="N29" s="60" t="s">
        <v>6</v>
      </c>
      <c r="O29" s="82">
        <v>196.17</v>
      </c>
      <c r="P29" s="46">
        <f t="shared" si="3"/>
        <v>347.75000000000011</v>
      </c>
      <c r="Q29" s="145">
        <f t="shared" si="2"/>
        <v>1.1368683772161603E-13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5" t="str">
        <f t="shared" si="1"/>
        <v/>
      </c>
      <c r="N30" s="47"/>
      <c r="O30" s="82"/>
      <c r="P30" s="46">
        <f t="shared" si="3"/>
        <v>0</v>
      </c>
      <c r="Q30" s="145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1022</v>
      </c>
      <c r="C31" s="27" t="s">
        <v>1009</v>
      </c>
      <c r="D31" s="81">
        <v>42930</v>
      </c>
      <c r="E31" s="81">
        <v>42960</v>
      </c>
      <c r="F31" s="82">
        <v>500</v>
      </c>
      <c r="G31" s="83">
        <v>30</v>
      </c>
      <c r="H31" s="83">
        <v>6</v>
      </c>
      <c r="I31" s="84"/>
      <c r="J31" s="87">
        <v>464</v>
      </c>
      <c r="K31" s="85">
        <v>42930.524456018517</v>
      </c>
      <c r="L31" s="84"/>
      <c r="M31" s="125">
        <f t="shared" si="1"/>
        <v>464</v>
      </c>
      <c r="N31" s="47" t="s">
        <v>6</v>
      </c>
      <c r="O31" s="82">
        <v>163.35</v>
      </c>
      <c r="P31" s="46">
        <f t="shared" si="3"/>
        <v>300.64999999999998</v>
      </c>
      <c r="Q31" s="145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1023</v>
      </c>
      <c r="C32" s="27" t="s">
        <v>95</v>
      </c>
      <c r="D32" s="81">
        <v>42930</v>
      </c>
      <c r="E32" s="81">
        <v>42960</v>
      </c>
      <c r="F32" s="82">
        <v>660</v>
      </c>
      <c r="G32" s="83">
        <v>39.6</v>
      </c>
      <c r="H32" s="83">
        <v>7.92</v>
      </c>
      <c r="I32" s="84">
        <v>130</v>
      </c>
      <c r="J32" s="87">
        <v>482.48</v>
      </c>
      <c r="K32" s="85">
        <v>42930.524456018517</v>
      </c>
      <c r="L32" s="84"/>
      <c r="M32" s="125">
        <f t="shared" si="1"/>
        <v>482.48</v>
      </c>
      <c r="N32" s="47" t="s">
        <v>6</v>
      </c>
      <c r="O32" s="82">
        <v>496.98</v>
      </c>
      <c r="P32" s="46">
        <f t="shared" si="3"/>
        <v>-14.5</v>
      </c>
      <c r="Q32" s="145">
        <f t="shared" si="2"/>
        <v>0</v>
      </c>
      <c r="R32" s="47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5" t="str">
        <f t="shared" si="1"/>
        <v/>
      </c>
      <c r="N33" s="59"/>
      <c r="O33" s="82"/>
      <c r="P33" s="46">
        <f t="shared" si="3"/>
        <v>0</v>
      </c>
      <c r="Q33" s="145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1024</v>
      </c>
      <c r="C34" s="27" t="s">
        <v>95</v>
      </c>
      <c r="D34" s="81">
        <v>42900</v>
      </c>
      <c r="E34" s="85">
        <v>42960</v>
      </c>
      <c r="F34" s="86">
        <v>466.12</v>
      </c>
      <c r="G34" s="83">
        <v>27.96</v>
      </c>
      <c r="H34" s="83">
        <v>5.59</v>
      </c>
      <c r="I34" s="84"/>
      <c r="J34" s="87">
        <v>432.57</v>
      </c>
      <c r="K34" s="81">
        <v>42920.691412037035</v>
      </c>
      <c r="L34" s="84"/>
      <c r="M34" s="125">
        <f t="shared" si="1"/>
        <v>432.57000000000005</v>
      </c>
      <c r="N34" s="59" t="s">
        <v>6</v>
      </c>
      <c r="O34" s="86">
        <v>173.32</v>
      </c>
      <c r="P34" s="46">
        <f t="shared" si="3"/>
        <v>259.25000000000006</v>
      </c>
      <c r="Q34" s="145">
        <f t="shared" si="2"/>
        <v>5.6843418860808015E-14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1025</v>
      </c>
      <c r="C35" s="27" t="s">
        <v>95</v>
      </c>
      <c r="D35" s="81">
        <v>42894</v>
      </c>
      <c r="E35" s="81">
        <v>42954</v>
      </c>
      <c r="F35" s="82">
        <v>461.52</v>
      </c>
      <c r="G35" s="83">
        <v>27.69</v>
      </c>
      <c r="H35" s="83">
        <v>5.54</v>
      </c>
      <c r="I35" s="84"/>
      <c r="J35" s="87">
        <v>428.29</v>
      </c>
      <c r="K35" s="81">
        <v>42920.691412037035</v>
      </c>
      <c r="L35" s="84"/>
      <c r="M35" s="125">
        <f t="shared" si="1"/>
        <v>428.28999999999996</v>
      </c>
      <c r="N35" s="59" t="s">
        <v>6</v>
      </c>
      <c r="O35" s="82">
        <v>165.91</v>
      </c>
      <c r="P35" s="46">
        <f t="shared" si="3"/>
        <v>262.38</v>
      </c>
      <c r="Q35" s="145">
        <f t="shared" si="2"/>
        <v>-5.6843418860808015E-14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997</v>
      </c>
      <c r="C36" s="27"/>
      <c r="D36" s="85"/>
      <c r="E36" s="85"/>
      <c r="F36" s="86"/>
      <c r="G36" s="83"/>
      <c r="H36" s="83"/>
      <c r="I36" s="84"/>
      <c r="J36" s="87"/>
      <c r="K36" s="85"/>
      <c r="L36" s="84"/>
      <c r="M36" s="125" t="str">
        <f t="shared" si="1"/>
        <v/>
      </c>
      <c r="N36" s="47" t="s">
        <v>202</v>
      </c>
      <c r="O36" s="86">
        <v>165.91</v>
      </c>
      <c r="P36" s="46">
        <f t="shared" si="3"/>
        <v>-165.91</v>
      </c>
      <c r="Q36" s="145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1026</v>
      </c>
      <c r="C37" s="27" t="s">
        <v>95</v>
      </c>
      <c r="D37" s="85">
        <v>42912</v>
      </c>
      <c r="E37" s="85">
        <v>42941</v>
      </c>
      <c r="F37" s="86">
        <v>388.69</v>
      </c>
      <c r="G37" s="83">
        <v>23.32</v>
      </c>
      <c r="H37" s="83">
        <v>4.66</v>
      </c>
      <c r="I37" s="84"/>
      <c r="J37" s="87">
        <v>360.71</v>
      </c>
      <c r="K37" s="81">
        <v>42926.645902777775</v>
      </c>
      <c r="L37" s="84"/>
      <c r="M37" s="125">
        <f t="shared" si="1"/>
        <v>360.71</v>
      </c>
      <c r="N37" s="47" t="s">
        <v>258</v>
      </c>
      <c r="O37" s="86">
        <v>356.87</v>
      </c>
      <c r="P37" s="46">
        <f t="shared" si="3"/>
        <v>3.839999999999975</v>
      </c>
      <c r="Q37" s="145">
        <f t="shared" si="2"/>
        <v>0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1027</v>
      </c>
      <c r="C38" s="27" t="s">
        <v>95</v>
      </c>
      <c r="D38" s="85">
        <v>42896</v>
      </c>
      <c r="E38" s="85">
        <v>42956</v>
      </c>
      <c r="F38" s="82">
        <v>461.52</v>
      </c>
      <c r="G38" s="83">
        <v>27.68</v>
      </c>
      <c r="H38" s="83">
        <v>5.54</v>
      </c>
      <c r="I38" s="84"/>
      <c r="J38" s="87">
        <v>428.3</v>
      </c>
      <c r="K38" s="85">
        <v>42920.691412037035</v>
      </c>
      <c r="L38" s="84"/>
      <c r="M38" s="125">
        <f t="shared" si="1"/>
        <v>428.29999999999995</v>
      </c>
      <c r="N38" s="47" t="s">
        <v>6</v>
      </c>
      <c r="O38" s="82">
        <v>173.32</v>
      </c>
      <c r="P38" s="46">
        <f t="shared" si="3"/>
        <v>254.97999999999996</v>
      </c>
      <c r="Q38" s="145">
        <f t="shared" si="2"/>
        <v>-5.6843418860808015E-14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1028</v>
      </c>
      <c r="C39" s="27" t="s">
        <v>95</v>
      </c>
      <c r="D39" s="85">
        <v>42912</v>
      </c>
      <c r="E39" s="85">
        <v>42972</v>
      </c>
      <c r="F39" s="82">
        <v>461.52</v>
      </c>
      <c r="G39" s="83">
        <v>27.69</v>
      </c>
      <c r="H39" s="83">
        <v>5.54</v>
      </c>
      <c r="I39" s="84">
        <v>5</v>
      </c>
      <c r="J39" s="87">
        <v>423.29</v>
      </c>
      <c r="K39" s="81">
        <v>42920.691412037035</v>
      </c>
      <c r="L39" s="84"/>
      <c r="M39" s="125">
        <f t="shared" si="1"/>
        <v>423.28999999999996</v>
      </c>
      <c r="N39" s="47" t="s">
        <v>6</v>
      </c>
      <c r="O39" s="82">
        <v>173.32</v>
      </c>
      <c r="P39" s="46">
        <f t="shared" si="3"/>
        <v>249.96999999999997</v>
      </c>
      <c r="Q39" s="145">
        <f t="shared" si="2"/>
        <v>-5.6843418860808015E-14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1029</v>
      </c>
      <c r="C40" s="27" t="s">
        <v>1009</v>
      </c>
      <c r="D40" s="85">
        <v>42906</v>
      </c>
      <c r="E40" s="85">
        <v>42966</v>
      </c>
      <c r="F40" s="86">
        <v>860</v>
      </c>
      <c r="G40" s="83">
        <v>51.6</v>
      </c>
      <c r="H40" s="83">
        <v>10.32</v>
      </c>
      <c r="I40" s="84"/>
      <c r="J40" s="87">
        <v>798.08</v>
      </c>
      <c r="K40" s="85">
        <v>42919.473495370374</v>
      </c>
      <c r="L40" s="84"/>
      <c r="M40" s="125">
        <f t="shared" si="1"/>
        <v>798.07999999999993</v>
      </c>
      <c r="N40" s="47" t="s">
        <v>6</v>
      </c>
      <c r="O40" s="86">
        <v>197.26</v>
      </c>
      <c r="P40" s="46">
        <f t="shared" si="3"/>
        <v>600.81999999999994</v>
      </c>
      <c r="Q40" s="145">
        <f t="shared" si="2"/>
        <v>-1.1368683772161603E-13</v>
      </c>
      <c r="R40" s="47"/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1030</v>
      </c>
      <c r="C41" s="27" t="s">
        <v>95</v>
      </c>
      <c r="D41" s="81">
        <v>42841</v>
      </c>
      <c r="E41" s="81">
        <v>42931</v>
      </c>
      <c r="F41" s="82">
        <v>1250</v>
      </c>
      <c r="G41" s="83">
        <v>75</v>
      </c>
      <c r="H41" s="83">
        <v>15</v>
      </c>
      <c r="I41" s="84">
        <v>336</v>
      </c>
      <c r="J41" s="87">
        <v>824</v>
      </c>
      <c r="K41" s="81">
        <v>42919.473495370374</v>
      </c>
      <c r="L41" s="84"/>
      <c r="M41" s="125">
        <f t="shared" si="1"/>
        <v>824</v>
      </c>
      <c r="N41" s="47" t="s">
        <v>6</v>
      </c>
      <c r="O41" s="82">
        <v>195.72</v>
      </c>
      <c r="P41" s="46">
        <f t="shared" si="3"/>
        <v>628.28</v>
      </c>
      <c r="Q41" s="145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1031</v>
      </c>
      <c r="C42" s="27" t="s">
        <v>95</v>
      </c>
      <c r="D42" s="85">
        <v>42946</v>
      </c>
      <c r="E42" s="85">
        <v>42976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42947.685555555552</v>
      </c>
      <c r="L42" s="84"/>
      <c r="M42" s="125">
        <f t="shared" si="1"/>
        <v>482.56</v>
      </c>
      <c r="N42" s="47" t="s">
        <v>6</v>
      </c>
      <c r="O42" s="86">
        <v>348.23</v>
      </c>
      <c r="P42" s="46">
        <f t="shared" si="3"/>
        <v>134.32999999999998</v>
      </c>
      <c r="Q42" s="145">
        <f t="shared" si="2"/>
        <v>0</v>
      </c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1032</v>
      </c>
      <c r="C43" s="27" t="s">
        <v>95</v>
      </c>
      <c r="D43" s="81">
        <v>42861</v>
      </c>
      <c r="E43" s="81">
        <v>42891</v>
      </c>
      <c r="F43" s="82">
        <v>372.08</v>
      </c>
      <c r="G43" s="83">
        <v>22.32</v>
      </c>
      <c r="H43" s="83">
        <v>4.46</v>
      </c>
      <c r="I43" s="84"/>
      <c r="J43" s="87">
        <v>345.3</v>
      </c>
      <c r="K43" s="81">
        <v>42920.691412037035</v>
      </c>
      <c r="L43" s="84"/>
      <c r="M43" s="125">
        <f t="shared" si="1"/>
        <v>345.3</v>
      </c>
      <c r="N43" s="59" t="s">
        <v>258</v>
      </c>
      <c r="O43" s="82">
        <v>195.72</v>
      </c>
      <c r="P43" s="46">
        <f t="shared" si="3"/>
        <v>149.58000000000001</v>
      </c>
      <c r="Q43" s="145">
        <f t="shared" si="2"/>
        <v>0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1033</v>
      </c>
      <c r="C44" s="40" t="s">
        <v>95</v>
      </c>
      <c r="D44" s="81">
        <v>42835</v>
      </c>
      <c r="E44" s="81">
        <v>42895</v>
      </c>
      <c r="F44" s="82">
        <v>700</v>
      </c>
      <c r="G44" s="88">
        <v>42</v>
      </c>
      <c r="H44" s="83">
        <v>8.4</v>
      </c>
      <c r="I44" s="84"/>
      <c r="J44" s="87">
        <v>649.6</v>
      </c>
      <c r="K44" s="81">
        <v>42941.597905092596</v>
      </c>
      <c r="L44" s="84"/>
      <c r="M44" s="125">
        <f t="shared" si="1"/>
        <v>649.6</v>
      </c>
      <c r="N44" s="59" t="s">
        <v>6</v>
      </c>
      <c r="O44" s="82">
        <v>197.32</v>
      </c>
      <c r="P44" s="46">
        <f t="shared" si="3"/>
        <v>452.28000000000003</v>
      </c>
      <c r="Q44" s="145">
        <f t="shared" si="2"/>
        <v>0</v>
      </c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5" t="str">
        <f t="shared" si="1"/>
        <v/>
      </c>
      <c r="N45" s="47"/>
      <c r="O45" s="82"/>
      <c r="P45" s="46">
        <f t="shared" si="3"/>
        <v>0</v>
      </c>
      <c r="Q45" s="145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997</v>
      </c>
      <c r="C46" s="27"/>
      <c r="D46" s="81"/>
      <c r="E46" s="81"/>
      <c r="F46" s="82"/>
      <c r="G46" s="83"/>
      <c r="H46" s="83"/>
      <c r="I46" s="84"/>
      <c r="J46" s="87"/>
      <c r="K46" s="85"/>
      <c r="L46" s="84"/>
      <c r="M46" s="125" t="str">
        <f t="shared" si="1"/>
        <v/>
      </c>
      <c r="N46" s="47" t="s">
        <v>203</v>
      </c>
      <c r="O46" s="82">
        <v>165.47</v>
      </c>
      <c r="P46" s="46">
        <f t="shared" si="3"/>
        <v>-165.47</v>
      </c>
      <c r="Q46" s="145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1034</v>
      </c>
      <c r="C47" s="27" t="s">
        <v>1009</v>
      </c>
      <c r="D47" s="81">
        <v>42892</v>
      </c>
      <c r="E47" s="81">
        <v>42952</v>
      </c>
      <c r="F47" s="82">
        <v>486.12</v>
      </c>
      <c r="G47" s="83">
        <v>29.16</v>
      </c>
      <c r="H47" s="83">
        <v>5.83</v>
      </c>
      <c r="I47" s="84"/>
      <c r="J47" s="87">
        <v>451.13</v>
      </c>
      <c r="K47" s="85">
        <v>42920.691412037035</v>
      </c>
      <c r="L47" s="84"/>
      <c r="M47" s="125">
        <f t="shared" si="1"/>
        <v>451.13</v>
      </c>
      <c r="N47" s="47" t="s">
        <v>6</v>
      </c>
      <c r="O47" s="82">
        <v>61.95</v>
      </c>
      <c r="P47" s="46">
        <f t="shared" si="3"/>
        <v>389.18</v>
      </c>
      <c r="Q47" s="145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1035</v>
      </c>
      <c r="C48" s="27" t="s">
        <v>95</v>
      </c>
      <c r="D48" s="81">
        <v>42909</v>
      </c>
      <c r="E48" s="81">
        <v>42969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42920.691412037035</v>
      </c>
      <c r="L48" s="84"/>
      <c r="M48" s="125">
        <f t="shared" si="1"/>
        <v>419.75</v>
      </c>
      <c r="N48" s="47" t="s">
        <v>6</v>
      </c>
      <c r="O48" s="82">
        <v>165.44</v>
      </c>
      <c r="P48" s="46">
        <f t="shared" si="3"/>
        <v>254.31</v>
      </c>
      <c r="Q48" s="145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1036</v>
      </c>
      <c r="C49" s="27" t="s">
        <v>1009</v>
      </c>
      <c r="D49" s="85">
        <v>42900</v>
      </c>
      <c r="E49" s="85">
        <v>42960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42920.691412037035</v>
      </c>
      <c r="L49" s="84"/>
      <c r="M49" s="125">
        <f t="shared" si="1"/>
        <v>428.28999999999996</v>
      </c>
      <c r="N49" s="47" t="s">
        <v>6</v>
      </c>
      <c r="O49" s="86">
        <v>166.41</v>
      </c>
      <c r="P49" s="46">
        <f t="shared" si="3"/>
        <v>261.88</v>
      </c>
      <c r="Q49" s="145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1037</v>
      </c>
      <c r="C50" s="27" t="s">
        <v>95</v>
      </c>
      <c r="D50" s="81">
        <v>42905</v>
      </c>
      <c r="E50" s="81">
        <v>42965</v>
      </c>
      <c r="F50" s="82">
        <v>461.52</v>
      </c>
      <c r="G50" s="83">
        <v>27.69</v>
      </c>
      <c r="H50" s="83">
        <v>5.54</v>
      </c>
      <c r="I50" s="84"/>
      <c r="J50" s="87">
        <v>428.29</v>
      </c>
      <c r="K50" s="85">
        <v>42920.691412037035</v>
      </c>
      <c r="L50" s="84"/>
      <c r="M50" s="125">
        <f t="shared" si="1"/>
        <v>428.28999999999996</v>
      </c>
      <c r="N50" s="47" t="s">
        <v>6</v>
      </c>
      <c r="O50" s="82">
        <v>165.44</v>
      </c>
      <c r="P50" s="46">
        <f t="shared" si="3"/>
        <v>262.84999999999997</v>
      </c>
      <c r="Q50" s="145">
        <f t="shared" si="2"/>
        <v>-5.6843418860808015E-14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1038</v>
      </c>
      <c r="C51" s="27" t="s">
        <v>95</v>
      </c>
      <c r="D51" s="85">
        <v>42906</v>
      </c>
      <c r="E51" s="85">
        <v>42966</v>
      </c>
      <c r="F51" s="82">
        <v>461.52</v>
      </c>
      <c r="G51" s="83">
        <v>27.69</v>
      </c>
      <c r="H51" s="83">
        <v>5.54</v>
      </c>
      <c r="I51" s="84">
        <v>140</v>
      </c>
      <c r="J51" s="87">
        <v>288.29000000000002</v>
      </c>
      <c r="K51" s="85">
        <v>42920.691412037035</v>
      </c>
      <c r="L51" s="84"/>
      <c r="M51" s="125">
        <f t="shared" si="1"/>
        <v>288.28999999999996</v>
      </c>
      <c r="N51" s="47" t="s">
        <v>6</v>
      </c>
      <c r="O51" s="82">
        <v>165.44</v>
      </c>
      <c r="P51" s="46">
        <f t="shared" si="3"/>
        <v>122.84999999999997</v>
      </c>
      <c r="Q51" s="145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1039</v>
      </c>
      <c r="C52" s="27" t="s">
        <v>1009</v>
      </c>
      <c r="D52" s="81">
        <v>42922</v>
      </c>
      <c r="E52" s="81">
        <v>42952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42922.635277777779</v>
      </c>
      <c r="L52" s="84"/>
      <c r="M52" s="125">
        <f t="shared" si="1"/>
        <v>464</v>
      </c>
      <c r="N52" s="47" t="s">
        <v>6</v>
      </c>
      <c r="O52" s="82">
        <v>208.78</v>
      </c>
      <c r="P52" s="46">
        <f t="shared" si="3"/>
        <v>255.22</v>
      </c>
      <c r="Q52" s="145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1040</v>
      </c>
      <c r="C53" s="27" t="s">
        <v>95</v>
      </c>
      <c r="D53" s="81">
        <v>42874</v>
      </c>
      <c r="E53" s="81">
        <v>42934</v>
      </c>
      <c r="F53" s="82">
        <v>461.52</v>
      </c>
      <c r="G53" s="83">
        <v>27.7</v>
      </c>
      <c r="H53" s="83">
        <v>5.54</v>
      </c>
      <c r="I53" s="84"/>
      <c r="J53" s="87">
        <v>428.28</v>
      </c>
      <c r="K53" s="85">
        <v>42920.691412037035</v>
      </c>
      <c r="L53" s="84"/>
      <c r="M53" s="125">
        <f t="shared" si="1"/>
        <v>428.28</v>
      </c>
      <c r="N53" s="47" t="s">
        <v>6</v>
      </c>
      <c r="O53" s="82">
        <v>171.17</v>
      </c>
      <c r="P53" s="46">
        <f t="shared" si="3"/>
        <v>257.11</v>
      </c>
      <c r="Q53" s="145">
        <f t="shared" si="2"/>
        <v>0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5" t="str">
        <f t="shared" si="1"/>
        <v/>
      </c>
      <c r="N54" s="47"/>
      <c r="O54" s="82"/>
      <c r="P54" s="46">
        <f t="shared" si="3"/>
        <v>0</v>
      </c>
      <c r="Q54" s="145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1041</v>
      </c>
      <c r="C55" s="27" t="s">
        <v>95</v>
      </c>
      <c r="D55" s="81">
        <v>42891</v>
      </c>
      <c r="E55" s="81">
        <v>42951</v>
      </c>
      <c r="F55" s="82">
        <v>700</v>
      </c>
      <c r="G55" s="83">
        <v>42</v>
      </c>
      <c r="H55" s="83">
        <v>8.4</v>
      </c>
      <c r="I55" s="84">
        <v>60</v>
      </c>
      <c r="J55" s="87">
        <v>589.6</v>
      </c>
      <c r="K55" s="85">
        <v>42926.645902777775</v>
      </c>
      <c r="L55" s="84"/>
      <c r="M55" s="125">
        <f t="shared" si="1"/>
        <v>589.6</v>
      </c>
      <c r="N55" s="47" t="s">
        <v>6</v>
      </c>
      <c r="O55" s="82">
        <v>201.41</v>
      </c>
      <c r="P55" s="46">
        <f t="shared" si="3"/>
        <v>388.19000000000005</v>
      </c>
      <c r="Q55" s="145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1042</v>
      </c>
      <c r="C56" s="27" t="s">
        <v>95</v>
      </c>
      <c r="D56" s="81">
        <v>42907</v>
      </c>
      <c r="E56" s="81">
        <v>42936</v>
      </c>
      <c r="F56" s="82">
        <v>98.9</v>
      </c>
      <c r="G56" s="83">
        <v>5.93</v>
      </c>
      <c r="H56" s="83">
        <v>1.19</v>
      </c>
      <c r="I56" s="84"/>
      <c r="J56" s="87">
        <v>91.78</v>
      </c>
      <c r="K56" s="85">
        <v>42920.691412037035</v>
      </c>
      <c r="L56" s="84"/>
      <c r="M56" s="125">
        <f t="shared" si="1"/>
        <v>91.78</v>
      </c>
      <c r="N56" s="47" t="s">
        <v>203</v>
      </c>
      <c r="O56" s="82">
        <v>165.45</v>
      </c>
      <c r="P56" s="46">
        <f t="shared" si="3"/>
        <v>-73.669999999999987</v>
      </c>
      <c r="Q56" s="145">
        <f t="shared" si="2"/>
        <v>0</v>
      </c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1043</v>
      </c>
      <c r="C57" s="27" t="s">
        <v>95</v>
      </c>
      <c r="D57" s="81">
        <v>42898</v>
      </c>
      <c r="E57" s="81">
        <v>42958</v>
      </c>
      <c r="F57" s="82">
        <v>461.52</v>
      </c>
      <c r="G57" s="83">
        <v>27.69</v>
      </c>
      <c r="H57" s="83">
        <v>5.54</v>
      </c>
      <c r="I57" s="84">
        <v>60</v>
      </c>
      <c r="J57" s="87">
        <v>368.29</v>
      </c>
      <c r="K57" s="85">
        <v>42920.691412037035</v>
      </c>
      <c r="L57" s="84"/>
      <c r="M57" s="125">
        <f t="shared" si="1"/>
        <v>368.28999999999996</v>
      </c>
      <c r="N57" s="47" t="s">
        <v>6</v>
      </c>
      <c r="O57" s="82">
        <v>180.37</v>
      </c>
      <c r="P57" s="46">
        <f t="shared" si="3"/>
        <v>187.91999999999996</v>
      </c>
      <c r="Q57" s="145">
        <f t="shared" si="2"/>
        <v>-5.6843418860808015E-14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1044</v>
      </c>
      <c r="C58" s="27" t="s">
        <v>95</v>
      </c>
      <c r="D58" s="81">
        <v>42894</v>
      </c>
      <c r="E58" s="81">
        <v>42954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42920.691412037035</v>
      </c>
      <c r="L58" s="84"/>
      <c r="M58" s="125">
        <f t="shared" si="1"/>
        <v>428.28999999999996</v>
      </c>
      <c r="N58" s="47" t="s">
        <v>6</v>
      </c>
      <c r="O58" s="82">
        <v>165.41</v>
      </c>
      <c r="P58" s="46">
        <f t="shared" si="3"/>
        <v>262.88</v>
      </c>
      <c r="Q58" s="145">
        <f t="shared" si="2"/>
        <v>-5.6843418860808015E-14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1045</v>
      </c>
      <c r="C59" s="27" t="s">
        <v>1009</v>
      </c>
      <c r="D59" s="81">
        <v>42928</v>
      </c>
      <c r="E59" s="81">
        <v>42958</v>
      </c>
      <c r="F59" s="82">
        <v>550</v>
      </c>
      <c r="G59" s="83">
        <v>33</v>
      </c>
      <c r="H59" s="83">
        <v>6.6</v>
      </c>
      <c r="I59" s="84">
        <v>50</v>
      </c>
      <c r="J59" s="87">
        <v>460.4</v>
      </c>
      <c r="K59" s="85">
        <v>42929.635034722225</v>
      </c>
      <c r="L59" s="84"/>
      <c r="M59" s="125">
        <f t="shared" si="1"/>
        <v>460.4</v>
      </c>
      <c r="N59" s="47" t="s">
        <v>6</v>
      </c>
      <c r="O59" s="82">
        <v>165.53</v>
      </c>
      <c r="P59" s="46">
        <f t="shared" si="3"/>
        <v>294.87</v>
      </c>
      <c r="Q59" s="145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1046</v>
      </c>
      <c r="C60" s="27" t="s">
        <v>95</v>
      </c>
      <c r="D60" s="81">
        <v>42905</v>
      </c>
      <c r="E60" s="81">
        <v>42965</v>
      </c>
      <c r="F60" s="82">
        <v>466.12</v>
      </c>
      <c r="G60" s="83">
        <v>27.98</v>
      </c>
      <c r="H60" s="83">
        <v>5.59</v>
      </c>
      <c r="I60" s="84"/>
      <c r="J60" s="87">
        <v>432.55</v>
      </c>
      <c r="K60" s="85">
        <v>42920.691412037035</v>
      </c>
      <c r="L60" s="84"/>
      <c r="M60" s="125">
        <f t="shared" si="1"/>
        <v>432.55</v>
      </c>
      <c r="N60" s="47" t="s">
        <v>6</v>
      </c>
      <c r="O60" s="82">
        <v>165.41</v>
      </c>
      <c r="P60" s="46">
        <f t="shared" si="3"/>
        <v>267.14</v>
      </c>
      <c r="Q60" s="145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1047</v>
      </c>
      <c r="C61" s="40" t="s">
        <v>95</v>
      </c>
      <c r="D61" s="81">
        <v>42889</v>
      </c>
      <c r="E61" s="81">
        <v>42949</v>
      </c>
      <c r="F61" s="82">
        <v>461.52</v>
      </c>
      <c r="G61" s="83">
        <v>27.69</v>
      </c>
      <c r="H61" s="83">
        <v>5.54</v>
      </c>
      <c r="I61" s="84"/>
      <c r="J61" s="87">
        <v>428.29</v>
      </c>
      <c r="K61" s="85">
        <v>42920.691412037035</v>
      </c>
      <c r="L61" s="84"/>
      <c r="M61" s="125">
        <f t="shared" si="1"/>
        <v>428.28999999999996</v>
      </c>
      <c r="N61" s="47" t="s">
        <v>6</v>
      </c>
      <c r="O61" s="82">
        <v>201.56</v>
      </c>
      <c r="P61" s="46">
        <f t="shared" si="3"/>
        <v>226.72999999999996</v>
      </c>
      <c r="Q61" s="145">
        <f t="shared" si="2"/>
        <v>-5.6843418860808015E-14</v>
      </c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1048</v>
      </c>
      <c r="C62" s="27" t="s">
        <v>1009</v>
      </c>
      <c r="D62" s="85">
        <v>42734</v>
      </c>
      <c r="E62" s="81">
        <v>42764</v>
      </c>
      <c r="F62" s="89">
        <v>72.8</v>
      </c>
      <c r="G62" s="83">
        <v>4.37</v>
      </c>
      <c r="H62" s="83">
        <v>0.87</v>
      </c>
      <c r="I62" s="84"/>
      <c r="J62" s="87">
        <v>67.56</v>
      </c>
      <c r="K62" s="85">
        <v>42920.691412037035</v>
      </c>
      <c r="L62" s="84">
        <v>355</v>
      </c>
      <c r="M62" s="125">
        <f t="shared" si="1"/>
        <v>-287.44</v>
      </c>
      <c r="N62" s="47" t="s">
        <v>259</v>
      </c>
      <c r="O62" s="89">
        <v>171.17</v>
      </c>
      <c r="P62" s="46">
        <f t="shared" si="3"/>
        <v>-458.61</v>
      </c>
      <c r="Q62" s="145">
        <f t="shared" si="2"/>
        <v>-1.4210854715202004E-14</v>
      </c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6" t="str">
        <f t="shared" si="1"/>
        <v/>
      </c>
      <c r="N63" s="54"/>
      <c r="O63" s="91"/>
      <c r="P63" s="124">
        <f t="shared" si="3"/>
        <v>0</v>
      </c>
      <c r="Q63" s="146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19861.000000000004</v>
      </c>
      <c r="G65" s="42">
        <f>SUM(G9:G63)</f>
        <v>1191.6500000000003</v>
      </c>
      <c r="H65" s="42">
        <f>SUM(H9:H63)</f>
        <v>238.32000000000002</v>
      </c>
      <c r="I65" s="42">
        <f>SUM(I9:I63)</f>
        <v>1265.1399999999999</v>
      </c>
      <c r="J65" s="42">
        <f>SUM(J9:J63)</f>
        <v>17165.890000000007</v>
      </c>
      <c r="K65" s="41"/>
      <c r="L65" s="42">
        <f>SUM(L9:L63)</f>
        <v>355</v>
      </c>
      <c r="M65" s="42">
        <f>SUM(M9:M63)</f>
        <v>16810.890000000003</v>
      </c>
      <c r="N65" s="41"/>
      <c r="O65" s="42">
        <f>SUM(O9:O63)</f>
        <v>7986.0599999999986</v>
      </c>
      <c r="P65" s="42">
        <f>SUM(P9:P63)</f>
        <v>8824.83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"/>
  <sheetViews>
    <sheetView zoomScale="85" zoomScaleNormal="85" workbookViewId="0">
      <selection activeCell="D49" sqref="D4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8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47" t="s">
        <v>1049</v>
      </c>
    </row>
    <row r="4" spans="1:15" x14ac:dyDescent="0.2">
      <c r="A4" t="s">
        <v>1050</v>
      </c>
      <c r="B4">
        <v>14</v>
      </c>
    </row>
    <row r="5" spans="1:15" x14ac:dyDescent="0.2">
      <c r="A5" t="s">
        <v>1051</v>
      </c>
      <c r="B5">
        <v>78</v>
      </c>
    </row>
    <row r="6" spans="1:15" x14ac:dyDescent="0.2">
      <c r="A6" t="s">
        <v>1052</v>
      </c>
      <c r="B6">
        <v>78</v>
      </c>
    </row>
    <row r="7" spans="1:15" x14ac:dyDescent="0.2">
      <c r="A7" t="s">
        <v>1053</v>
      </c>
      <c r="B7">
        <v>63</v>
      </c>
    </row>
    <row r="8" spans="1:15" x14ac:dyDescent="0.2">
      <c r="A8" t="s">
        <v>1054</v>
      </c>
      <c r="B8">
        <v>11</v>
      </c>
    </row>
    <row r="9" spans="1:15" x14ac:dyDescent="0.2">
      <c r="A9" t="s">
        <v>1055</v>
      </c>
      <c r="B9">
        <v>21</v>
      </c>
    </row>
    <row r="10" spans="1:15" x14ac:dyDescent="0.2">
      <c r="A10" s="127"/>
      <c r="B10" s="127"/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</row>
    <row r="11" spans="1:15" ht="15" x14ac:dyDescent="0.25">
      <c r="A11" s="147" t="s">
        <v>24</v>
      </c>
      <c r="B11" s="147" t="s">
        <v>513</v>
      </c>
      <c r="C11" s="147" t="s">
        <v>515</v>
      </c>
      <c r="D11" s="147" t="s">
        <v>550</v>
      </c>
      <c r="E11" s="147" t="s">
        <v>1056</v>
      </c>
      <c r="F11" s="147" t="s">
        <v>1057</v>
      </c>
    </row>
    <row r="12" spans="1:15" x14ac:dyDescent="0.2">
      <c r="A12" t="s">
        <v>70</v>
      </c>
      <c r="B12" s="148">
        <v>42908.619988425926</v>
      </c>
      <c r="C12">
        <v>-140</v>
      </c>
      <c r="D12" t="s">
        <v>1058</v>
      </c>
      <c r="E12">
        <v>172865</v>
      </c>
      <c r="F12" t="s">
        <v>1059</v>
      </c>
    </row>
    <row r="13" spans="1:15" x14ac:dyDescent="0.2">
      <c r="A13" t="s">
        <v>115</v>
      </c>
      <c r="B13" s="148">
        <v>42914.521435185183</v>
      </c>
      <c r="C13">
        <v>-60</v>
      </c>
      <c r="D13" t="s">
        <v>1060</v>
      </c>
      <c r="E13">
        <v>172880</v>
      </c>
      <c r="F13" t="s">
        <v>1059</v>
      </c>
    </row>
    <row r="14" spans="1:15" x14ac:dyDescent="0.2">
      <c r="A14" t="s">
        <v>73</v>
      </c>
      <c r="B14" s="148">
        <v>42900.553622685184</v>
      </c>
      <c r="C14">
        <v>-60</v>
      </c>
      <c r="D14" t="s">
        <v>1061</v>
      </c>
      <c r="E14">
        <v>172884</v>
      </c>
      <c r="F14" t="s">
        <v>1059</v>
      </c>
    </row>
    <row r="15" spans="1:15" x14ac:dyDescent="0.2">
      <c r="A15" t="s">
        <v>53</v>
      </c>
      <c r="B15" s="148">
        <v>42900.604861111111</v>
      </c>
      <c r="C15">
        <v>-390</v>
      </c>
      <c r="D15" t="s">
        <v>1062</v>
      </c>
      <c r="E15">
        <v>172897</v>
      </c>
      <c r="F15" t="s">
        <v>1059</v>
      </c>
    </row>
    <row r="16" spans="1:15" x14ac:dyDescent="0.2">
      <c r="A16" t="s">
        <v>53</v>
      </c>
      <c r="B16" s="148">
        <v>42909.488206018519</v>
      </c>
      <c r="C16">
        <v>-11.03</v>
      </c>
      <c r="D16" t="s">
        <v>616</v>
      </c>
      <c r="E16">
        <v>172899</v>
      </c>
      <c r="F16" t="s">
        <v>1059</v>
      </c>
    </row>
    <row r="17" spans="1:6" x14ac:dyDescent="0.2">
      <c r="A17" t="s">
        <v>53</v>
      </c>
      <c r="B17" s="148">
        <v>42909.488206018519</v>
      </c>
      <c r="C17">
        <v>153.19999999999999</v>
      </c>
      <c r="D17" t="s">
        <v>615</v>
      </c>
      <c r="E17">
        <v>172898</v>
      </c>
      <c r="F17" t="s">
        <v>1059</v>
      </c>
    </row>
    <row r="18" spans="1:6" x14ac:dyDescent="0.2">
      <c r="A18" t="s">
        <v>55</v>
      </c>
      <c r="B18" s="148">
        <v>42893.569108796299</v>
      </c>
      <c r="C18">
        <v>-4.1399999999999997</v>
      </c>
      <c r="D18" t="s">
        <v>1063</v>
      </c>
      <c r="E18">
        <v>172911</v>
      </c>
      <c r="F18" t="s">
        <v>1059</v>
      </c>
    </row>
    <row r="19" spans="1:6" x14ac:dyDescent="0.2">
      <c r="A19" t="s">
        <v>60</v>
      </c>
      <c r="B19" s="148">
        <v>42909.434467592589</v>
      </c>
      <c r="C19">
        <v>-90</v>
      </c>
      <c r="D19" t="s">
        <v>1064</v>
      </c>
      <c r="E19">
        <v>172978</v>
      </c>
      <c r="F19" t="s">
        <v>1059</v>
      </c>
    </row>
    <row r="20" spans="1:6" x14ac:dyDescent="0.2">
      <c r="A20" t="s">
        <v>102</v>
      </c>
      <c r="B20" s="148">
        <v>42916</v>
      </c>
      <c r="C20">
        <v>-130</v>
      </c>
      <c r="D20" t="s">
        <v>1065</v>
      </c>
      <c r="E20">
        <v>173001</v>
      </c>
      <c r="F20" t="s">
        <v>1059</v>
      </c>
    </row>
    <row r="21" spans="1:6" x14ac:dyDescent="0.2">
      <c r="A21" t="s">
        <v>117</v>
      </c>
      <c r="B21" s="148">
        <v>42910.412824074076</v>
      </c>
      <c r="C21">
        <v>510</v>
      </c>
      <c r="D21" t="s">
        <v>1066</v>
      </c>
      <c r="E21">
        <v>173058</v>
      </c>
      <c r="F21" t="s">
        <v>1059</v>
      </c>
    </row>
    <row r="22" spans="1:6" x14ac:dyDescent="0.2">
      <c r="A22" t="s">
        <v>117</v>
      </c>
      <c r="B22" s="148">
        <v>42908.431805555556</v>
      </c>
      <c r="C22">
        <v>-510</v>
      </c>
      <c r="D22" t="s">
        <v>1067</v>
      </c>
      <c r="E22">
        <v>173057</v>
      </c>
      <c r="F22" t="s">
        <v>1059</v>
      </c>
    </row>
    <row r="23" spans="1:6" x14ac:dyDescent="0.2">
      <c r="A23" t="s">
        <v>74</v>
      </c>
      <c r="B23" s="148">
        <v>42930.733148148145</v>
      </c>
      <c r="C23">
        <v>-179</v>
      </c>
      <c r="D23" t="s">
        <v>610</v>
      </c>
      <c r="E23">
        <v>173358</v>
      </c>
      <c r="F23" t="s">
        <v>1068</v>
      </c>
    </row>
    <row r="24" spans="1:6" x14ac:dyDescent="0.2">
      <c r="A24" t="s">
        <v>53</v>
      </c>
      <c r="B24" s="148">
        <v>42928.689699074072</v>
      </c>
      <c r="C24">
        <v>-130</v>
      </c>
      <c r="D24" t="s">
        <v>618</v>
      </c>
      <c r="E24">
        <v>173367</v>
      </c>
      <c r="F24" t="s">
        <v>1068</v>
      </c>
    </row>
    <row r="25" spans="1:6" x14ac:dyDescent="0.2">
      <c r="A25" t="s">
        <v>54</v>
      </c>
      <c r="B25" s="148">
        <v>42930.746990740743</v>
      </c>
      <c r="C25">
        <v>-65</v>
      </c>
      <c r="D25" t="s">
        <v>622</v>
      </c>
      <c r="E25">
        <v>173374</v>
      </c>
      <c r="F25" t="s">
        <v>1068</v>
      </c>
    </row>
    <row r="26" spans="1:6" x14ac:dyDescent="0.2">
      <c r="A26" t="s">
        <v>187</v>
      </c>
      <c r="B26" s="148">
        <v>42942.534930555557</v>
      </c>
      <c r="C26">
        <v>-60</v>
      </c>
      <c r="D26" t="s">
        <v>638</v>
      </c>
      <c r="E26">
        <v>173394</v>
      </c>
      <c r="F26" t="s">
        <v>1068</v>
      </c>
    </row>
    <row r="27" spans="1:6" x14ac:dyDescent="0.2">
      <c r="A27" t="s">
        <v>57</v>
      </c>
      <c r="B27" s="148">
        <v>42928.689328703702</v>
      </c>
      <c r="C27">
        <v>-115</v>
      </c>
      <c r="D27" t="s">
        <v>650</v>
      </c>
      <c r="E27">
        <v>173407</v>
      </c>
      <c r="F27" t="s">
        <v>1068</v>
      </c>
    </row>
    <row r="28" spans="1:6" x14ac:dyDescent="0.2">
      <c r="A28" t="s">
        <v>57</v>
      </c>
      <c r="B28" s="148">
        <v>42944.496863425928</v>
      </c>
      <c r="C28">
        <v>-90</v>
      </c>
      <c r="D28" t="s">
        <v>651</v>
      </c>
      <c r="E28">
        <v>173408</v>
      </c>
      <c r="F28" t="s">
        <v>1068</v>
      </c>
    </row>
    <row r="29" spans="1:6" x14ac:dyDescent="0.2">
      <c r="A29" t="s">
        <v>61</v>
      </c>
      <c r="B29" s="148">
        <v>42923.519409722219</v>
      </c>
      <c r="C29">
        <v>311.01</v>
      </c>
      <c r="D29" t="s">
        <v>669</v>
      </c>
      <c r="E29">
        <v>173430</v>
      </c>
      <c r="F29" t="s">
        <v>1068</v>
      </c>
    </row>
    <row r="30" spans="1:6" x14ac:dyDescent="0.2">
      <c r="A30" t="s">
        <v>61</v>
      </c>
      <c r="B30" s="148">
        <v>42923.519409722219</v>
      </c>
      <c r="C30">
        <v>-22.39</v>
      </c>
      <c r="D30" t="s">
        <v>670</v>
      </c>
      <c r="E30">
        <v>173431</v>
      </c>
      <c r="F30" t="s">
        <v>1068</v>
      </c>
    </row>
    <row r="31" spans="1:6" x14ac:dyDescent="0.2">
      <c r="A31" t="s">
        <v>61</v>
      </c>
      <c r="B31" s="148">
        <v>42930.522164351853</v>
      </c>
      <c r="C31">
        <v>104.39</v>
      </c>
      <c r="D31" t="s">
        <v>671</v>
      </c>
      <c r="E31">
        <v>173432</v>
      </c>
      <c r="F31" t="s">
        <v>1068</v>
      </c>
    </row>
    <row r="32" spans="1:6" x14ac:dyDescent="0.2">
      <c r="A32" t="s">
        <v>61</v>
      </c>
      <c r="B32" s="148">
        <v>42930.522164351853</v>
      </c>
      <c r="C32">
        <v>-7.51</v>
      </c>
      <c r="D32" t="s">
        <v>670</v>
      </c>
      <c r="E32">
        <v>173433</v>
      </c>
      <c r="F32" t="s">
        <v>1068</v>
      </c>
    </row>
    <row r="33" spans="1:6" x14ac:dyDescent="0.2">
      <c r="A33" t="s">
        <v>111</v>
      </c>
      <c r="B33" s="148">
        <v>42933.375104166669</v>
      </c>
      <c r="C33">
        <v>-105</v>
      </c>
      <c r="D33" t="s">
        <v>676</v>
      </c>
      <c r="E33">
        <v>173440</v>
      </c>
      <c r="F33" t="s">
        <v>1068</v>
      </c>
    </row>
    <row r="34" spans="1:6" x14ac:dyDescent="0.2">
      <c r="A34" t="s">
        <v>60</v>
      </c>
      <c r="B34" s="148">
        <v>42933.746689814812</v>
      </c>
      <c r="C34">
        <v>-20</v>
      </c>
      <c r="D34" t="s">
        <v>681</v>
      </c>
      <c r="E34">
        <v>173447</v>
      </c>
      <c r="F34" t="s">
        <v>1068</v>
      </c>
    </row>
    <row r="35" spans="1:6" x14ac:dyDescent="0.2">
      <c r="A35" t="s">
        <v>186</v>
      </c>
      <c r="B35" s="148">
        <v>42933.376064814816</v>
      </c>
      <c r="C35">
        <v>-636</v>
      </c>
      <c r="D35" t="s">
        <v>686</v>
      </c>
      <c r="E35">
        <v>173451</v>
      </c>
      <c r="F35" t="s">
        <v>1068</v>
      </c>
    </row>
    <row r="36" spans="1:6" x14ac:dyDescent="0.2">
      <c r="A36" t="s">
        <v>105</v>
      </c>
      <c r="B36" s="148">
        <v>42923.519409722219</v>
      </c>
      <c r="C36">
        <v>476.85</v>
      </c>
      <c r="D36" t="s">
        <v>694</v>
      </c>
      <c r="E36">
        <v>173463</v>
      </c>
      <c r="F36" t="s">
        <v>1068</v>
      </c>
    </row>
    <row r="37" spans="1:6" x14ac:dyDescent="0.2">
      <c r="A37" t="s">
        <v>105</v>
      </c>
      <c r="B37" s="148">
        <v>42923.519409722219</v>
      </c>
      <c r="C37">
        <v>-34.33</v>
      </c>
      <c r="D37" t="s">
        <v>695</v>
      </c>
      <c r="E37">
        <v>173464</v>
      </c>
      <c r="F37" t="s">
        <v>1068</v>
      </c>
    </row>
    <row r="38" spans="1:6" x14ac:dyDescent="0.2">
      <c r="A38" t="s">
        <v>68</v>
      </c>
      <c r="B38" s="148">
        <v>42937.522951388892</v>
      </c>
      <c r="C38">
        <v>525</v>
      </c>
      <c r="D38" t="s">
        <v>709</v>
      </c>
      <c r="E38">
        <v>173479</v>
      </c>
      <c r="F38" t="s">
        <v>1068</v>
      </c>
    </row>
    <row r="39" spans="1:6" x14ac:dyDescent="0.2">
      <c r="A39" t="s">
        <v>68</v>
      </c>
      <c r="B39" s="148">
        <v>42937.522951388892</v>
      </c>
      <c r="C39">
        <v>-37.799999999999997</v>
      </c>
      <c r="D39" t="s">
        <v>710</v>
      </c>
      <c r="E39">
        <v>173480</v>
      </c>
      <c r="F39" t="s">
        <v>1068</v>
      </c>
    </row>
    <row r="40" spans="1:6" x14ac:dyDescent="0.2">
      <c r="A40" t="s">
        <v>68</v>
      </c>
      <c r="B40" s="148">
        <v>42938.518865740742</v>
      </c>
      <c r="C40">
        <v>-45</v>
      </c>
      <c r="D40" t="s">
        <v>711</v>
      </c>
      <c r="E40">
        <v>173481</v>
      </c>
      <c r="F40" t="s">
        <v>1068</v>
      </c>
    </row>
    <row r="41" spans="1:6" x14ac:dyDescent="0.2">
      <c r="A41" t="s">
        <v>68</v>
      </c>
      <c r="B41" s="148">
        <v>42942.542592592596</v>
      </c>
      <c r="C41">
        <v>-60</v>
      </c>
      <c r="D41" t="s">
        <v>712</v>
      </c>
      <c r="E41">
        <v>173482</v>
      </c>
      <c r="F41" t="s">
        <v>1068</v>
      </c>
    </row>
    <row r="42" spans="1:6" x14ac:dyDescent="0.2">
      <c r="A42" t="s">
        <v>188</v>
      </c>
      <c r="B42" s="148">
        <v>42928.631168981483</v>
      </c>
      <c r="C42">
        <v>500</v>
      </c>
      <c r="D42" t="s">
        <v>740</v>
      </c>
      <c r="E42">
        <v>173518</v>
      </c>
      <c r="F42" t="s">
        <v>1068</v>
      </c>
    </row>
    <row r="43" spans="1:6" x14ac:dyDescent="0.2">
      <c r="A43" t="s">
        <v>188</v>
      </c>
      <c r="B43" s="148">
        <v>42928.631168981483</v>
      </c>
      <c r="C43">
        <v>-36</v>
      </c>
      <c r="D43" t="s">
        <v>741</v>
      </c>
      <c r="E43">
        <v>173519</v>
      </c>
      <c r="F43" t="s">
        <v>1068</v>
      </c>
    </row>
    <row r="44" spans="1:6" x14ac:dyDescent="0.2">
      <c r="B44" s="143"/>
    </row>
    <row r="45" spans="1:6" ht="15" x14ac:dyDescent="0.25">
      <c r="A45" s="147" t="s">
        <v>1069</v>
      </c>
    </row>
    <row r="46" spans="1:6" x14ac:dyDescent="0.2">
      <c r="A46" t="s">
        <v>1070</v>
      </c>
      <c r="B46" t="s">
        <v>522</v>
      </c>
    </row>
    <row r="47" spans="1:6" x14ac:dyDescent="0.2">
      <c r="A47" t="s">
        <v>1071</v>
      </c>
      <c r="B47">
        <v>111</v>
      </c>
    </row>
    <row r="48" spans="1:6" x14ac:dyDescent="0.2">
      <c r="A48" t="s">
        <v>1072</v>
      </c>
      <c r="B48">
        <v>111</v>
      </c>
    </row>
    <row r="49" spans="1:3" x14ac:dyDescent="0.2">
      <c r="A49" t="s">
        <v>1073</v>
      </c>
      <c r="B49">
        <v>0</v>
      </c>
    </row>
    <row r="50" spans="1:3" x14ac:dyDescent="0.2">
      <c r="A50" t="s">
        <v>1074</v>
      </c>
      <c r="B50">
        <v>111</v>
      </c>
      <c r="C50">
        <v>111</v>
      </c>
    </row>
    <row r="51" spans="1:3" x14ac:dyDescent="0.2">
      <c r="A51" t="s">
        <v>1075</v>
      </c>
      <c r="B51">
        <v>0</v>
      </c>
      <c r="C51">
        <v>0</v>
      </c>
    </row>
    <row r="52" spans="1:3" x14ac:dyDescent="0.2">
      <c r="A52" t="s">
        <v>1076</v>
      </c>
      <c r="B52">
        <v>30</v>
      </c>
      <c r="C52">
        <v>30</v>
      </c>
    </row>
    <row r="54" spans="1:3" x14ac:dyDescent="0.2">
      <c r="A54" t="s">
        <v>1070</v>
      </c>
      <c r="B54" t="s">
        <v>523</v>
      </c>
    </row>
    <row r="55" spans="1:3" x14ac:dyDescent="0.2">
      <c r="A55" t="s">
        <v>1071</v>
      </c>
      <c r="B55">
        <v>56</v>
      </c>
    </row>
    <row r="56" spans="1:3" x14ac:dyDescent="0.2">
      <c r="A56" t="s">
        <v>1072</v>
      </c>
      <c r="B56">
        <v>56</v>
      </c>
    </row>
    <row r="57" spans="1:3" x14ac:dyDescent="0.2">
      <c r="A57" t="s">
        <v>1073</v>
      </c>
      <c r="B57">
        <v>0</v>
      </c>
    </row>
    <row r="58" spans="1:3" x14ac:dyDescent="0.2">
      <c r="A58" t="s">
        <v>1074</v>
      </c>
      <c r="B58">
        <v>56</v>
      </c>
      <c r="C58">
        <v>56</v>
      </c>
    </row>
    <row r="59" spans="1:3" x14ac:dyDescent="0.2">
      <c r="A59" t="s">
        <v>1075</v>
      </c>
      <c r="B59">
        <v>1</v>
      </c>
      <c r="C59">
        <v>1</v>
      </c>
    </row>
    <row r="60" spans="1:3" x14ac:dyDescent="0.2">
      <c r="A60" t="s">
        <v>1076</v>
      </c>
      <c r="B60">
        <v>16</v>
      </c>
      <c r="C60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1"/>
  <sheetViews>
    <sheetView zoomScale="85" zoomScaleNormal="85" workbookViewId="0">
      <selection activeCell="I5" sqref="I5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19861.000000000004</v>
      </c>
      <c r="E5" s="52">
        <f>SUMIF('Rent Statement'!S9:S63,"=Mathew Tucker", 'Rent Statement'!F9:F63)</f>
        <v>14159.410000000003</v>
      </c>
      <c r="H5" s="52">
        <f>SUMIF('Rent Statement'!S9:S63,"Ivana Valentino", 'Rent Statement'!F9:F63)</f>
        <v>5701.59</v>
      </c>
    </row>
    <row r="6" spans="1:9" x14ac:dyDescent="0.2">
      <c r="A6" t="s">
        <v>214</v>
      </c>
      <c r="C6" s="55">
        <f>-SUM('Rent Statement'!O9:O63)</f>
        <v>-7986.0599999999986</v>
      </c>
      <c r="F6" s="55">
        <f>-SUMIF('Rent Statement'!S9:S63,"Mathew Tucker",'Rent Statement'!O9:O63)</f>
        <v>-4490.54</v>
      </c>
      <c r="I6" s="55">
        <f>-SUMIF('Rent Statement'!S9:S63,"Ivana Valentino",'Rent Statement'!O9:O63)</f>
        <v>-3495.5199999999995</v>
      </c>
    </row>
    <row r="7" spans="1:9" x14ac:dyDescent="0.2">
      <c r="A7" t="s">
        <v>213</v>
      </c>
      <c r="C7" s="55">
        <f>-SUM('Rent Statement'!G9:G63)</f>
        <v>-1191.6500000000003</v>
      </c>
      <c r="F7" s="55">
        <f>-SUMIF('Rent Statement'!S9:S63,"Mathew Tucker",'Rent Statement'!G9:G63)</f>
        <v>-849.54000000000019</v>
      </c>
      <c r="I7" s="55">
        <f>-SUMIF('Rent Statement'!S9:S63,"Ivana Valentino",'Rent Statement'!G9:G63)</f>
        <v>-342.11</v>
      </c>
    </row>
    <row r="8" spans="1:9" x14ac:dyDescent="0.2">
      <c r="A8" t="s">
        <v>212</v>
      </c>
      <c r="C8" s="55">
        <f>-SUM('Rent Statement'!H9:H63)</f>
        <v>-238.32000000000002</v>
      </c>
      <c r="F8" s="55">
        <f>-SUMIF('Rent Statement'!S9:S63,"Mathew Tucker",'Rent Statement'!H9:H63)</f>
        <v>-169.91</v>
      </c>
      <c r="I8" s="55">
        <f>-SUMIF('Rent Statement'!S9:S63,"Ivana Valentino",'Rent Statement'!H9:H63)</f>
        <v>-68.41</v>
      </c>
    </row>
    <row r="9" spans="1:9" x14ac:dyDescent="0.2">
      <c r="A9" t="s">
        <v>211</v>
      </c>
      <c r="C9" s="55">
        <f>-SUM('Rent Statement'!I9:I63)-SUM('Rent Statement'!L9:L63)</f>
        <v>-1620.1399999999999</v>
      </c>
      <c r="F9" s="55">
        <f>-SUMIF('Rent Statement'!S9:S63,"Mathew Tucker",'Rent Statement'!I9:I63)-SUMIF('Rent Statement'!S9:S63,"Mathew Tucker",'Rent Statement'!L9:L63)</f>
        <v>-995.14</v>
      </c>
      <c r="I9" s="55">
        <f>-SUMIF('Rent Statement'!S9:S63,"Ivana Valentino",'Rent Statement'!I9:I63)-SUMIF('Rent Statement'!S9:S63,"Ivana Valentino",'Rent Statement'!L9:L63)</f>
        <v>-625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8824.8300000000054</v>
      </c>
      <c r="D12" s="53"/>
      <c r="E12" s="51">
        <f>E5+SUM(F6:F10)</f>
        <v>7654.2800000000034</v>
      </c>
      <c r="H12" s="51">
        <f>H5+SUM(I6:I10)</f>
        <v>1170.5500000000011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7654.2800000000034</v>
      </c>
      <c r="C15" s="100">
        <f>H12</f>
        <v>1170.5500000000011</v>
      </c>
      <c r="D15" s="108"/>
      <c r="E15" s="109">
        <f>IFERROR(B15/($B$15+$C$15),"")</f>
        <v>0.86735721821270195</v>
      </c>
      <c r="F15" s="110">
        <f>IFERROR(C15/($B$15+$C$15),"")</f>
        <v>0.13264278178729794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f ca="1">_xll.EVAL("SUM(SUMIFS(MT_Amount, MT_BankRef," &amp;$H17&amp; "))")</f>
        <v>-4381.6100000000006</v>
      </c>
      <c r="C17" s="100">
        <f ca="1">_xll.EVAL("SUM(SUMIFS(IV_Amount, IV_BankRef," &amp;$H17&amp; "))")</f>
        <v>-3495.52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f ca="1">_xll.EVAL("SUM(SUMIFS(MT_Amount, MT_BankRef," &amp;$H18&amp; "))")</f>
        <v>11253.76</v>
      </c>
      <c r="C18" s="100">
        <f ca="1">_xll.EVAL("SUM(SUMIFS(IV_Amount, IV_BankRef," &amp;$H18&amp; "))")</f>
        <v>5161.0700000000006</v>
      </c>
      <c r="D18" s="115"/>
      <c r="E18" s="116"/>
      <c r="F18" s="117"/>
      <c r="H18" t="s">
        <v>520</v>
      </c>
    </row>
    <row r="19" spans="1:17" x14ac:dyDescent="0.2">
      <c r="A19" s="99"/>
      <c r="B19" s="101">
        <f ca="1">SUM(B17:B18)</f>
        <v>6872.15</v>
      </c>
      <c r="C19" s="101">
        <f ca="1">SUM(C17:C18)</f>
        <v>1665.5500000000006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f t="shared" ref="B21:B34" ca="1" si="0">_xll.EVAL("SUM(SUMIFS(MT_Amount, MT_BankRef," &amp;$H21&amp; "))")</f>
        <v>-550</v>
      </c>
      <c r="C21" s="100">
        <f t="shared" ref="C21:C34" ca="1" si="1">_xll.EVAL("SUM(SUMIFS(IV_Amount, IV_BankRef," &amp;$H21&amp; "))")</f>
        <v>-550</v>
      </c>
      <c r="D21" s="115"/>
      <c r="E21" s="116"/>
      <c r="F21" s="117"/>
      <c r="H21" t="s">
        <v>526</v>
      </c>
    </row>
    <row r="22" spans="1:17" x14ac:dyDescent="0.2">
      <c r="A22" s="130" t="s">
        <v>527</v>
      </c>
      <c r="B22" s="100">
        <f t="shared" ca="1" si="0"/>
        <v>-50</v>
      </c>
      <c r="C22" s="100">
        <f t="shared" ca="1" si="1"/>
        <v>-50</v>
      </c>
      <c r="D22" s="115"/>
      <c r="E22" s="116"/>
      <c r="F22" s="117"/>
      <c r="H22" s="130" t="s">
        <v>528</v>
      </c>
    </row>
    <row r="23" spans="1:17" x14ac:dyDescent="0.2">
      <c r="A23" s="130"/>
      <c r="B23" s="100"/>
      <c r="C23" s="100"/>
      <c r="D23" s="115"/>
      <c r="E23" s="116"/>
      <c r="F23" s="117"/>
      <c r="H23" s="130"/>
    </row>
    <row r="24" spans="1:17" x14ac:dyDescent="0.2">
      <c r="A24" s="130" t="s">
        <v>533</v>
      </c>
      <c r="B24" s="100">
        <f ca="1">_xll.EVAL("SUM(SUMIFS(MT_Amount, MT_BankRef," &amp;$H24&amp; "))")</f>
        <v>-142.34</v>
      </c>
      <c r="C24" s="100">
        <f ca="1">_xll.EVAL("SUM(SUMIFS(IV_Amount, IV_BankRef," &amp;$H24&amp; "))")</f>
        <v>-70.709999999999994</v>
      </c>
      <c r="D24" s="115"/>
      <c r="E24" s="116">
        <f t="shared" ref="E24:F26" si="2">IFERROR(($D24)*E$15,"")</f>
        <v>0</v>
      </c>
      <c r="F24" s="117">
        <f t="shared" si="2"/>
        <v>0</v>
      </c>
      <c r="H24" s="130" t="s">
        <v>534</v>
      </c>
    </row>
    <row r="25" spans="1:17" x14ac:dyDescent="0.2">
      <c r="A25" s="130" t="s">
        <v>540</v>
      </c>
      <c r="B25" s="100">
        <f ca="1">_xll.EVAL("SUM(SUMIFS(MT_Amount, MT_BankRef," &amp;$H25&amp; "))")</f>
        <v>0</v>
      </c>
      <c r="C25" s="100">
        <f ca="1">_xll.EVAL("SUM(SUMIFS(IV_Amount, IV_BankRef," &amp;$H25&amp; "))")</f>
        <v>-33</v>
      </c>
      <c r="D25" s="115"/>
      <c r="E25" s="116">
        <f t="shared" si="2"/>
        <v>0</v>
      </c>
      <c r="F25" s="117">
        <f t="shared" si="2"/>
        <v>0</v>
      </c>
      <c r="H25" s="130" t="s">
        <v>541</v>
      </c>
    </row>
    <row r="26" spans="1:17" x14ac:dyDescent="0.2">
      <c r="A26" s="130" t="s">
        <v>542</v>
      </c>
      <c r="B26" s="100">
        <f ca="1">_xll.EVAL("SUM(SUMIFS(MT_Amount, MT_BankRef," &amp;$H26&amp; "))")</f>
        <v>-102</v>
      </c>
      <c r="C26" s="100">
        <f ca="1">_xll.EVAL("SUM(SUMIFS(IV_Amount, IV_BankRef," &amp;$H26&amp; "))")</f>
        <v>0</v>
      </c>
      <c r="D26" s="115"/>
      <c r="E26" s="116">
        <f t="shared" si="2"/>
        <v>0</v>
      </c>
      <c r="F26" s="117">
        <f t="shared" si="2"/>
        <v>0</v>
      </c>
      <c r="H26" s="130" t="s">
        <v>543</v>
      </c>
    </row>
    <row r="27" spans="1:17" x14ac:dyDescent="0.2">
      <c r="A27" s="130"/>
      <c r="B27" s="100"/>
      <c r="C27" s="100"/>
      <c r="D27" s="115"/>
      <c r="E27" s="116"/>
      <c r="F27" s="117"/>
      <c r="H27" s="130"/>
    </row>
    <row r="28" spans="1:17" x14ac:dyDescent="0.2">
      <c r="A28" s="135" t="s">
        <v>557</v>
      </c>
      <c r="B28" s="100"/>
      <c r="C28" s="100"/>
      <c r="D28" s="115"/>
      <c r="E28" s="116"/>
      <c r="F28" s="117"/>
      <c r="H28" s="130"/>
    </row>
    <row r="29" spans="1:17" x14ac:dyDescent="0.2">
      <c r="A29" t="s">
        <v>529</v>
      </c>
      <c r="B29" s="100">
        <f t="shared" ca="1" si="0"/>
        <v>0</v>
      </c>
      <c r="C29" s="100">
        <f t="shared" ca="1" si="1"/>
        <v>-200</v>
      </c>
      <c r="D29" s="115">
        <f t="shared" ref="D29:D34" ca="1" si="3">B29+C29</f>
        <v>-200</v>
      </c>
      <c r="E29" s="116">
        <f ca="1">IFERROR(($D29)*E$15,"")</f>
        <v>-173.47144364254038</v>
      </c>
      <c r="F29" s="117">
        <f ca="1">IFERROR(($D29)*F$15,"")</f>
        <v>-26.528556357459586</v>
      </c>
      <c r="H29" t="s">
        <v>530</v>
      </c>
      <c r="J29" s="56"/>
      <c r="Q29" s="56"/>
    </row>
    <row r="30" spans="1:17" x14ac:dyDescent="0.2">
      <c r="A30" s="130" t="s">
        <v>531</v>
      </c>
      <c r="B30" s="100">
        <f t="shared" ca="1" si="0"/>
        <v>0</v>
      </c>
      <c r="C30" s="100">
        <f t="shared" ca="1" si="1"/>
        <v>-2703.49</v>
      </c>
      <c r="D30" s="115">
        <f t="shared" ca="1" si="3"/>
        <v>-2703.49</v>
      </c>
      <c r="E30" s="116">
        <f t="shared" ref="E30:F34" ca="1" si="4">IFERROR(($D30)*E$15,"")</f>
        <v>-2344.8915658658575</v>
      </c>
      <c r="F30" s="117">
        <f t="shared" ca="1" si="4"/>
        <v>-358.59843413414205</v>
      </c>
      <c r="H30" s="148" t="s">
        <v>532</v>
      </c>
      <c r="Q30" s="56"/>
    </row>
    <row r="31" spans="1:17" x14ac:dyDescent="0.2">
      <c r="A31" s="130" t="s">
        <v>535</v>
      </c>
      <c r="B31" s="100">
        <f t="shared" ca="1" si="0"/>
        <v>0</v>
      </c>
      <c r="C31" s="100">
        <f t="shared" ca="1" si="1"/>
        <v>-75.63</v>
      </c>
      <c r="D31" s="115">
        <f t="shared" ca="1" si="3"/>
        <v>-75.63</v>
      </c>
      <c r="E31" s="116">
        <f t="shared" ca="1" si="4"/>
        <v>-65.598226413426644</v>
      </c>
      <c r="F31" s="117">
        <f t="shared" ca="1" si="4"/>
        <v>-10.031773586573342</v>
      </c>
      <c r="H31" t="s">
        <v>536</v>
      </c>
    </row>
    <row r="32" spans="1:17" x14ac:dyDescent="0.2">
      <c r="A32" s="130" t="s">
        <v>537</v>
      </c>
      <c r="B32" s="100">
        <f t="shared" ca="1" si="0"/>
        <v>0</v>
      </c>
      <c r="C32" s="100">
        <f t="shared" ca="1" si="1"/>
        <v>-53.99</v>
      </c>
      <c r="D32" s="115">
        <f t="shared" ca="1" si="3"/>
        <v>-53.99</v>
      </c>
      <c r="E32" s="116">
        <f t="shared" ca="1" si="4"/>
        <v>-46.828616211303782</v>
      </c>
      <c r="F32" s="117">
        <f t="shared" ca="1" si="4"/>
        <v>-7.1613837886962157</v>
      </c>
      <c r="H32" t="s">
        <v>538</v>
      </c>
    </row>
    <row r="33" spans="1:8" ht="15" x14ac:dyDescent="0.25">
      <c r="A33" s="130" t="s">
        <v>539</v>
      </c>
      <c r="B33" s="118">
        <f t="shared" ca="1" si="0"/>
        <v>-479.65</v>
      </c>
      <c r="C33" s="100">
        <f ca="1">_xll.EVAL("SUM(SUMIFS(IV_Amount, IV_BankRef," &amp;$H33&amp; "))")-SUMIFS(IV_Amount_4040, IV_BankRef_4040,"=X")</f>
        <v>-2200</v>
      </c>
      <c r="D33" s="115">
        <f t="shared" ca="1" si="3"/>
        <v>-2679.65</v>
      </c>
      <c r="E33" s="116">
        <f t="shared" ca="1" si="4"/>
        <v>-2324.213769783667</v>
      </c>
      <c r="F33" s="117">
        <f t="shared" ca="1" si="4"/>
        <v>-355.43623021633294</v>
      </c>
      <c r="H33" s="56" t="s">
        <v>1077</v>
      </c>
    </row>
    <row r="34" spans="1:8" x14ac:dyDescent="0.2">
      <c r="A34" s="130" t="s">
        <v>25</v>
      </c>
      <c r="B34" s="100">
        <f t="shared" ca="1" si="0"/>
        <v>0</v>
      </c>
      <c r="C34" s="100">
        <f t="shared" ca="1" si="1"/>
        <v>0</v>
      </c>
      <c r="D34" s="115">
        <f t="shared" ca="1" si="3"/>
        <v>0</v>
      </c>
      <c r="E34" s="116">
        <f t="shared" ca="1" si="4"/>
        <v>0</v>
      </c>
      <c r="F34" s="117">
        <f t="shared" ca="1" si="4"/>
        <v>0</v>
      </c>
      <c r="H34" s="148" t="s">
        <v>544</v>
      </c>
    </row>
    <row r="35" spans="1:8" x14ac:dyDescent="0.2">
      <c r="A35" s="131" t="s">
        <v>561</v>
      </c>
      <c r="B35" s="100">
        <f ca="1">_xll.EVAL("SUM(SUMIFS(MT_Amount, MT_Desc," &amp;$H35&amp; "))")</f>
        <v>0</v>
      </c>
      <c r="C35" s="100"/>
      <c r="D35" s="115"/>
      <c r="E35" s="116"/>
      <c r="F35" s="133"/>
      <c r="H35" s="131" t="s">
        <v>562</v>
      </c>
    </row>
    <row r="36" spans="1:8" x14ac:dyDescent="0.2">
      <c r="B36" s="119">
        <f ca="1">SUBTOTAL(9,B21:B35)</f>
        <v>-1323.99</v>
      </c>
      <c r="C36" s="119">
        <f ca="1">SUBTOTAL(9,C21:C34)</f>
        <v>-5936.82</v>
      </c>
      <c r="D36" s="120">
        <f ca="1">SUBTOTAL(9,D21:D34)</f>
        <v>-5712.76</v>
      </c>
      <c r="E36" s="121">
        <f ca="1">SUBTOTAL(9,E21:E34)</f>
        <v>-4955.0036219167951</v>
      </c>
      <c r="F36" s="119">
        <f ca="1">SUBTOTAL(9,F21:F34)</f>
        <v>-757.75637808320425</v>
      </c>
    </row>
    <row r="37" spans="1:8" x14ac:dyDescent="0.2">
      <c r="B37" s="133"/>
      <c r="C37" s="133"/>
      <c r="D37" s="133"/>
      <c r="E37" s="116"/>
      <c r="F37" s="133"/>
    </row>
    <row r="38" spans="1:8" x14ac:dyDescent="0.2">
      <c r="A38" s="134" t="s">
        <v>555</v>
      </c>
      <c r="E38" s="100">
        <f ca="1">SUM(B29:B34)</f>
        <v>-479.65</v>
      </c>
      <c r="F38" s="100">
        <f ca="1">SUM(C29:C34)</f>
        <v>-5233.1099999999997</v>
      </c>
    </row>
    <row r="39" spans="1:8" x14ac:dyDescent="0.2">
      <c r="A39" s="131" t="s">
        <v>556</v>
      </c>
      <c r="E39" s="123">
        <f ca="1">_xll.EVAL("SUM(SUMIFS(MT_Amount, MT_BankRef," &amp;$H39&amp; "))")</f>
        <v>-2609.16</v>
      </c>
      <c r="F39" s="100">
        <f ca="1">-E39</f>
        <v>2609.16</v>
      </c>
      <c r="H39" t="s">
        <v>545</v>
      </c>
    </row>
    <row r="40" spans="1:8" x14ac:dyDescent="0.2">
      <c r="E40" s="122"/>
      <c r="F40" s="100"/>
    </row>
    <row r="41" spans="1:8" x14ac:dyDescent="0.2">
      <c r="A41" t="s">
        <v>546</v>
      </c>
      <c r="E41" s="121">
        <f ca="1">E36-E38-E39</f>
        <v>-1866.1936219167956</v>
      </c>
      <c r="F41" s="121">
        <f ca="1">F36-F38-F39</f>
        <v>1866.1936219167956</v>
      </c>
    </row>
    <row r="42" spans="1:8" x14ac:dyDescent="0.2">
      <c r="A42" s="136" t="s">
        <v>558</v>
      </c>
    </row>
    <row r="43" spans="1:8" x14ac:dyDescent="0.2">
      <c r="A43" s="136"/>
      <c r="E43" s="100"/>
    </row>
    <row r="44" spans="1:8" x14ac:dyDescent="0.2">
      <c r="A44" s="131"/>
      <c r="E44" s="100"/>
    </row>
    <row r="45" spans="1:8" x14ac:dyDescent="0.2">
      <c r="A45" s="56"/>
      <c r="E45" s="100"/>
    </row>
    <row r="46" spans="1:8" x14ac:dyDescent="0.2">
      <c r="A46" s="136"/>
    </row>
    <row r="47" spans="1:8" x14ac:dyDescent="0.2">
      <c r="A47" s="136"/>
      <c r="E47" s="119">
        <f ca="1">E41+E44+E45</f>
        <v>-1866.1936219167956</v>
      </c>
    </row>
    <row r="49" spans="1:1" x14ac:dyDescent="0.2">
      <c r="A49" s="50" t="s">
        <v>547</v>
      </c>
    </row>
    <row r="50" spans="1:1" x14ac:dyDescent="0.2">
      <c r="A50" s="56"/>
    </row>
    <row r="51" spans="1:1" x14ac:dyDescent="0.2">
      <c r="A51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54"/>
  <sheetViews>
    <sheetView topLeftCell="A7" zoomScale="85" zoomScaleNormal="85" workbookViewId="0">
      <selection activeCell="I53" sqref="I53"/>
    </sheetView>
  </sheetViews>
  <sheetFormatPr defaultRowHeight="12.75" x14ac:dyDescent="0.2"/>
  <cols>
    <col min="1" max="1" width="35.85546875" style="150" bestFit="1" customWidth="1"/>
    <col min="2" max="2" width="12.140625" style="150" customWidth="1"/>
    <col min="3" max="3" width="11.7109375" style="150" bestFit="1" customWidth="1"/>
    <col min="4" max="4" width="8.42578125" style="150" bestFit="1" customWidth="1"/>
    <col min="5" max="5" width="13.42578125" style="150" customWidth="1"/>
    <col min="6" max="6" width="11.7109375" style="150" bestFit="1" customWidth="1"/>
    <col min="7" max="7" width="8" style="150" customWidth="1"/>
    <col min="8" max="8" width="12.85546875" style="150" customWidth="1"/>
    <col min="9" max="9" width="13" style="150" customWidth="1"/>
    <col min="10" max="16384" width="9.140625" style="150"/>
  </cols>
  <sheetData>
    <row r="1" spans="1:9" ht="15" x14ac:dyDescent="0.25">
      <c r="A1" s="149" t="s">
        <v>521</v>
      </c>
      <c r="B1" s="149"/>
    </row>
    <row r="2" spans="1:9" ht="15" x14ac:dyDescent="0.25">
      <c r="A2" s="149"/>
      <c r="B2" s="149"/>
    </row>
    <row r="3" spans="1:9" x14ac:dyDescent="0.2">
      <c r="E3" s="150" t="s">
        <v>400</v>
      </c>
      <c r="H3" s="150" t="s">
        <v>401</v>
      </c>
    </row>
    <row r="4" spans="1:9" x14ac:dyDescent="0.2">
      <c r="A4" s="151" t="s">
        <v>218</v>
      </c>
      <c r="B4" s="152" t="s">
        <v>217</v>
      </c>
      <c r="C4" s="152" t="s">
        <v>216</v>
      </c>
      <c r="D4" s="153"/>
      <c r="E4" s="152" t="s">
        <v>217</v>
      </c>
      <c r="F4" s="152" t="s">
        <v>216</v>
      </c>
      <c r="G4" s="153"/>
      <c r="H4" s="152" t="s">
        <v>217</v>
      </c>
      <c r="I4" s="152" t="s">
        <v>216</v>
      </c>
    </row>
    <row r="5" spans="1:9" x14ac:dyDescent="0.2">
      <c r="A5" s="150" t="s">
        <v>215</v>
      </c>
      <c r="B5" s="154">
        <v>19861.000000000004</v>
      </c>
      <c r="E5" s="154">
        <v>14159.410000000003</v>
      </c>
      <c r="H5" s="154">
        <v>5701.59</v>
      </c>
    </row>
    <row r="6" spans="1:9" x14ac:dyDescent="0.2">
      <c r="A6" s="150" t="s">
        <v>214</v>
      </c>
      <c r="C6" s="155">
        <v>-7986.0599999999986</v>
      </c>
      <c r="F6" s="155">
        <v>-4490.54</v>
      </c>
      <c r="I6" s="155">
        <v>-3495.5199999999995</v>
      </c>
    </row>
    <row r="7" spans="1:9" x14ac:dyDescent="0.2">
      <c r="A7" s="150" t="s">
        <v>213</v>
      </c>
      <c r="C7" s="155">
        <v>-1191.6500000000003</v>
      </c>
      <c r="F7" s="155">
        <v>-849.54000000000019</v>
      </c>
      <c r="I7" s="155">
        <v>-342.11</v>
      </c>
    </row>
    <row r="8" spans="1:9" x14ac:dyDescent="0.2">
      <c r="A8" s="150" t="s">
        <v>212</v>
      </c>
      <c r="C8" s="155">
        <v>-238.32000000000002</v>
      </c>
      <c r="F8" s="155">
        <v>-169.91</v>
      </c>
      <c r="I8" s="155">
        <v>-58.11</v>
      </c>
    </row>
    <row r="9" spans="1:9" x14ac:dyDescent="0.2">
      <c r="A9" s="150" t="s">
        <v>211</v>
      </c>
      <c r="C9" s="155">
        <v>-1490.1399999999999</v>
      </c>
      <c r="F9" s="155">
        <v>-995.14</v>
      </c>
      <c r="I9" s="155">
        <v>-495</v>
      </c>
    </row>
    <row r="10" spans="1:9" x14ac:dyDescent="0.2">
      <c r="A10" s="156" t="s">
        <v>402</v>
      </c>
      <c r="C10" s="155"/>
      <c r="F10" s="155">
        <v>0</v>
      </c>
      <c r="I10" s="155">
        <v>0</v>
      </c>
    </row>
    <row r="11" spans="1:9" x14ac:dyDescent="0.2">
      <c r="B11" s="154"/>
    </row>
    <row r="12" spans="1:9" ht="13.5" thickBot="1" x14ac:dyDescent="0.25">
      <c r="A12" s="150" t="s">
        <v>210</v>
      </c>
      <c r="B12" s="157">
        <v>8954.8300000000054</v>
      </c>
      <c r="D12" s="158"/>
      <c r="E12" s="159">
        <v>7654.2800000000034</v>
      </c>
      <c r="H12" s="159">
        <v>1310.8500000000004</v>
      </c>
    </row>
    <row r="13" spans="1:9" ht="15.75" thickTop="1" x14ac:dyDescent="0.25">
      <c r="A13" s="160"/>
      <c r="B13" s="160"/>
      <c r="C13" s="161"/>
      <c r="F13" s="161"/>
    </row>
    <row r="14" spans="1:9" ht="30" x14ac:dyDescent="0.25">
      <c r="A14" s="160"/>
      <c r="B14" s="162" t="s">
        <v>522</v>
      </c>
      <c r="C14" s="162" t="s">
        <v>523</v>
      </c>
      <c r="D14" s="163" t="s">
        <v>554</v>
      </c>
      <c r="E14" s="164" t="s">
        <v>522</v>
      </c>
      <c r="F14" s="165" t="s">
        <v>523</v>
      </c>
    </row>
    <row r="15" spans="1:9" ht="15" x14ac:dyDescent="0.25">
      <c r="A15" s="160" t="s">
        <v>524</v>
      </c>
      <c r="B15" s="166">
        <v>7654.2800000000034</v>
      </c>
      <c r="C15" s="166">
        <v>1310.8500000000004</v>
      </c>
      <c r="D15" s="167"/>
      <c r="E15" s="168">
        <v>0.85378349226391581</v>
      </c>
      <c r="F15" s="169">
        <v>0.14621650773608411</v>
      </c>
    </row>
    <row r="16" spans="1:9" ht="15" x14ac:dyDescent="0.25">
      <c r="A16" s="160"/>
      <c r="B16" s="170"/>
      <c r="C16" s="170"/>
      <c r="D16" s="171"/>
      <c r="E16" s="172"/>
      <c r="F16" s="173"/>
    </row>
    <row r="17" spans="1:17" x14ac:dyDescent="0.2">
      <c r="A17" s="156" t="s">
        <v>518</v>
      </c>
      <c r="B17" s="166">
        <v>-4381.6100000000006</v>
      </c>
      <c r="C17" s="166">
        <v>-3495.52</v>
      </c>
      <c r="D17" s="174"/>
      <c r="E17" s="175"/>
      <c r="F17" s="176"/>
      <c r="H17" s="150" t="s">
        <v>519</v>
      </c>
    </row>
    <row r="18" spans="1:17" x14ac:dyDescent="0.2">
      <c r="A18" s="156" t="s">
        <v>25</v>
      </c>
      <c r="B18" s="166">
        <v>11253.76</v>
      </c>
      <c r="C18" s="166">
        <v>5161.0700000000006</v>
      </c>
      <c r="D18" s="174"/>
      <c r="E18" s="175"/>
      <c r="F18" s="176"/>
      <c r="H18" s="150" t="s">
        <v>520</v>
      </c>
    </row>
    <row r="19" spans="1:17" x14ac:dyDescent="0.2">
      <c r="A19" s="156"/>
      <c r="B19" s="177">
        <v>6872.15</v>
      </c>
      <c r="C19" s="177">
        <v>1665.5500000000006</v>
      </c>
      <c r="D19" s="174"/>
      <c r="E19" s="175"/>
      <c r="F19" s="176"/>
    </row>
    <row r="20" spans="1:17" ht="15" x14ac:dyDescent="0.25">
      <c r="A20" s="160"/>
      <c r="B20" s="166"/>
      <c r="C20" s="166"/>
      <c r="D20" s="174"/>
      <c r="E20" s="175"/>
      <c r="F20" s="176"/>
      <c r="H20" s="160"/>
    </row>
    <row r="21" spans="1:17" x14ac:dyDescent="0.2">
      <c r="A21" s="150" t="s">
        <v>525</v>
      </c>
      <c r="B21" s="166">
        <v>-550</v>
      </c>
      <c r="C21" s="166">
        <v>-550</v>
      </c>
      <c r="D21" s="174"/>
      <c r="E21" s="175"/>
      <c r="F21" s="176"/>
      <c r="H21" s="150" t="s">
        <v>526</v>
      </c>
    </row>
    <row r="22" spans="1:17" x14ac:dyDescent="0.2">
      <c r="A22" s="161" t="s">
        <v>527</v>
      </c>
      <c r="B22" s="166">
        <v>-50</v>
      </c>
      <c r="C22" s="166">
        <v>-50</v>
      </c>
      <c r="D22" s="174"/>
      <c r="E22" s="175"/>
      <c r="F22" s="176"/>
      <c r="H22" s="161" t="s">
        <v>528</v>
      </c>
    </row>
    <row r="23" spans="1:17" x14ac:dyDescent="0.2">
      <c r="A23" s="161"/>
      <c r="B23" s="166"/>
      <c r="C23" s="166"/>
      <c r="D23" s="174"/>
      <c r="E23" s="175"/>
      <c r="F23" s="176"/>
      <c r="H23" s="161"/>
    </row>
    <row r="24" spans="1:17" x14ac:dyDescent="0.2">
      <c r="A24" s="161" t="s">
        <v>533</v>
      </c>
      <c r="B24" s="166">
        <v>-142.34</v>
      </c>
      <c r="C24" s="166">
        <v>-70.709999999999994</v>
      </c>
      <c r="D24" s="174"/>
      <c r="E24" s="175">
        <v>0</v>
      </c>
      <c r="F24" s="176">
        <v>0</v>
      </c>
      <c r="H24" s="161" t="s">
        <v>534</v>
      </c>
    </row>
    <row r="25" spans="1:17" x14ac:dyDescent="0.2">
      <c r="A25" s="161" t="s">
        <v>540</v>
      </c>
      <c r="B25" s="166">
        <v>0</v>
      </c>
      <c r="C25" s="166">
        <v>-33</v>
      </c>
      <c r="D25" s="174"/>
      <c r="E25" s="175">
        <v>0</v>
      </c>
      <c r="F25" s="176">
        <v>0</v>
      </c>
      <c r="H25" s="161" t="s">
        <v>541</v>
      </c>
    </row>
    <row r="26" spans="1:17" x14ac:dyDescent="0.2">
      <c r="A26" s="161" t="s">
        <v>542</v>
      </c>
      <c r="B26" s="166">
        <v>-102</v>
      </c>
      <c r="C26" s="166">
        <v>0</v>
      </c>
      <c r="D26" s="174"/>
      <c r="E26" s="175">
        <v>0</v>
      </c>
      <c r="F26" s="176">
        <v>0</v>
      </c>
      <c r="H26" s="161" t="s">
        <v>543</v>
      </c>
    </row>
    <row r="27" spans="1:17" x14ac:dyDescent="0.2">
      <c r="A27" s="161"/>
      <c r="B27" s="166"/>
      <c r="C27" s="166"/>
      <c r="D27" s="174"/>
      <c r="E27" s="175"/>
      <c r="F27" s="176"/>
      <c r="H27" s="161"/>
    </row>
    <row r="28" spans="1:17" x14ac:dyDescent="0.2">
      <c r="A28" s="178" t="s">
        <v>557</v>
      </c>
      <c r="B28" s="166"/>
      <c r="C28" s="166"/>
      <c r="D28" s="174"/>
      <c r="E28" s="175"/>
      <c r="F28" s="176"/>
      <c r="H28" s="161"/>
    </row>
    <row r="29" spans="1:17" x14ac:dyDescent="0.2">
      <c r="A29" s="150" t="s">
        <v>529</v>
      </c>
      <c r="B29" s="179">
        <v>0</v>
      </c>
      <c r="C29" s="177">
        <v>-200</v>
      </c>
      <c r="D29" s="180">
        <v>-200</v>
      </c>
      <c r="E29" s="181">
        <v>-170.75669845278316</v>
      </c>
      <c r="F29" s="182">
        <v>-29.24330154721682</v>
      </c>
      <c r="H29" s="150" t="s">
        <v>530</v>
      </c>
      <c r="J29" s="156"/>
      <c r="Q29" s="156"/>
    </row>
    <row r="30" spans="1:17" x14ac:dyDescent="0.2">
      <c r="A30" s="161" t="s">
        <v>531</v>
      </c>
      <c r="B30" s="183">
        <v>0</v>
      </c>
      <c r="C30" s="184">
        <v>-2703.49</v>
      </c>
      <c r="D30" s="174">
        <v>-2703.49</v>
      </c>
      <c r="E30" s="175">
        <v>-2308.1951335005738</v>
      </c>
      <c r="F30" s="176">
        <v>-395.29486649942601</v>
      </c>
      <c r="H30" s="161" t="s">
        <v>532</v>
      </c>
      <c r="Q30" s="156"/>
    </row>
    <row r="31" spans="1:17" x14ac:dyDescent="0.2">
      <c r="A31" s="161" t="s">
        <v>535</v>
      </c>
      <c r="B31" s="183">
        <v>0</v>
      </c>
      <c r="C31" s="184">
        <v>-75.63</v>
      </c>
      <c r="D31" s="174">
        <v>-75.63</v>
      </c>
      <c r="E31" s="175">
        <v>-64.571645519919954</v>
      </c>
      <c r="F31" s="176">
        <v>-11.058354480080041</v>
      </c>
      <c r="H31" s="150" t="s">
        <v>536</v>
      </c>
    </row>
    <row r="32" spans="1:17" x14ac:dyDescent="0.2">
      <c r="A32" s="161" t="s">
        <v>537</v>
      </c>
      <c r="B32" s="183">
        <v>0</v>
      </c>
      <c r="C32" s="184">
        <v>-53.99</v>
      </c>
      <c r="D32" s="174">
        <v>-53.99</v>
      </c>
      <c r="E32" s="175">
        <v>-46.095770747328814</v>
      </c>
      <c r="F32" s="176">
        <v>-7.894229252671181</v>
      </c>
      <c r="H32" s="150" t="s">
        <v>538</v>
      </c>
    </row>
    <row r="33" spans="1:8" ht="15" x14ac:dyDescent="0.25">
      <c r="A33" s="161" t="s">
        <v>539</v>
      </c>
      <c r="B33" s="185">
        <v>-479.65</v>
      </c>
      <c r="C33" s="184">
        <v>-2200</v>
      </c>
      <c r="D33" s="174">
        <v>-2679.65</v>
      </c>
      <c r="E33" s="175">
        <v>-2287.840935045002</v>
      </c>
      <c r="F33" s="176">
        <v>-391.80906495499778</v>
      </c>
      <c r="H33" s="156" t="s">
        <v>1077</v>
      </c>
    </row>
    <row r="34" spans="1:8" x14ac:dyDescent="0.2">
      <c r="A34" s="161" t="s">
        <v>25</v>
      </c>
      <c r="B34" s="183">
        <v>0</v>
      </c>
      <c r="C34" s="184">
        <v>0</v>
      </c>
      <c r="D34" s="174">
        <v>0</v>
      </c>
      <c r="E34" s="175">
        <v>0</v>
      </c>
      <c r="F34" s="176">
        <v>0</v>
      </c>
      <c r="H34" s="161" t="s">
        <v>544</v>
      </c>
    </row>
    <row r="35" spans="1:8" x14ac:dyDescent="0.2">
      <c r="A35" s="186" t="s">
        <v>561</v>
      </c>
      <c r="B35" s="187">
        <v>0</v>
      </c>
      <c r="C35" s="188"/>
      <c r="D35" s="189"/>
      <c r="E35" s="190"/>
      <c r="F35" s="191"/>
      <c r="H35" s="186" t="s">
        <v>562</v>
      </c>
    </row>
    <row r="36" spans="1:8" x14ac:dyDescent="0.2">
      <c r="B36" s="192">
        <v>-479.65</v>
      </c>
      <c r="C36" s="192">
        <v>-5233.1099999999997</v>
      </c>
      <c r="D36" s="193">
        <v>-5712.76</v>
      </c>
      <c r="E36" s="194">
        <v>-4877.4601832656081</v>
      </c>
      <c r="F36" s="192">
        <v>-835.29981673439181</v>
      </c>
    </row>
    <row r="37" spans="1:8" x14ac:dyDescent="0.2">
      <c r="B37" s="184"/>
      <c r="C37" s="184"/>
      <c r="D37" s="184"/>
      <c r="E37" s="175"/>
      <c r="F37" s="184"/>
    </row>
    <row r="38" spans="1:8" x14ac:dyDescent="0.2">
      <c r="A38" s="186" t="s">
        <v>555</v>
      </c>
      <c r="E38" s="166">
        <v>-479.65</v>
      </c>
      <c r="F38" s="166">
        <v>-5233.1099999999997</v>
      </c>
    </row>
    <row r="39" spans="1:8" x14ac:dyDescent="0.2">
      <c r="A39" s="186" t="s">
        <v>556</v>
      </c>
      <c r="E39" s="195">
        <v>-2609.16</v>
      </c>
      <c r="F39" s="166">
        <v>2609.16</v>
      </c>
      <c r="H39" s="150" t="s">
        <v>545</v>
      </c>
    </row>
    <row r="40" spans="1:8" x14ac:dyDescent="0.2">
      <c r="E40" s="196"/>
      <c r="F40" s="166"/>
    </row>
    <row r="41" spans="1:8" x14ac:dyDescent="0.2">
      <c r="A41" s="150" t="s">
        <v>546</v>
      </c>
      <c r="E41" s="194">
        <v>-1788.6501832656086</v>
      </c>
      <c r="F41" s="194">
        <v>1788.6501832656077</v>
      </c>
    </row>
    <row r="42" spans="1:8" x14ac:dyDescent="0.2">
      <c r="A42" s="197" t="s">
        <v>558</v>
      </c>
    </row>
    <row r="43" spans="1:8" x14ac:dyDescent="0.2">
      <c r="A43" s="197"/>
      <c r="E43" s="166"/>
    </row>
    <row r="44" spans="1:8" x14ac:dyDescent="0.2">
      <c r="A44" s="186"/>
      <c r="E44" s="166"/>
    </row>
    <row r="45" spans="1:8" x14ac:dyDescent="0.2">
      <c r="A45" s="156"/>
      <c r="E45" s="166"/>
    </row>
    <row r="46" spans="1:8" x14ac:dyDescent="0.2">
      <c r="A46" s="197"/>
    </row>
    <row r="47" spans="1:8" x14ac:dyDescent="0.2">
      <c r="A47" s="197"/>
      <c r="E47" s="192">
        <v>-1788.6501832656086</v>
      </c>
    </row>
    <row r="49" spans="1:5" x14ac:dyDescent="0.2">
      <c r="A49" s="151" t="s">
        <v>547</v>
      </c>
    </row>
    <row r="50" spans="1:5" x14ac:dyDescent="0.2">
      <c r="A50" s="156" t="s">
        <v>1078</v>
      </c>
      <c r="D50" s="156" t="s">
        <v>1079</v>
      </c>
      <c r="E50" s="166">
        <f>E47</f>
        <v>-1788.6501832656086</v>
      </c>
    </row>
    <row r="51" spans="1:5" x14ac:dyDescent="0.2">
      <c r="A51" s="156"/>
      <c r="D51" s="156" t="s">
        <v>1080</v>
      </c>
      <c r="E51" s="150">
        <v>-676.64</v>
      </c>
    </row>
    <row r="52" spans="1:5" x14ac:dyDescent="0.2">
      <c r="D52" s="156" t="s">
        <v>1081</v>
      </c>
      <c r="E52" s="150">
        <v>-382.85</v>
      </c>
    </row>
    <row r="53" spans="1:5" x14ac:dyDescent="0.2">
      <c r="D53" s="156" t="s">
        <v>1082</v>
      </c>
      <c r="E53" s="150">
        <v>1053.07</v>
      </c>
    </row>
    <row r="54" spans="1:5" x14ac:dyDescent="0.2">
      <c r="E54" s="177">
        <f>SUM(E50:E53)</f>
        <v>-1795.0701832656084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51"/>
  <sheetViews>
    <sheetView zoomScale="85" zoomScaleNormal="85" workbookViewId="0">
      <selection activeCell="I10" sqref="I1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19861.000000000004</v>
      </c>
      <c r="E5" s="52">
        <v>14159.410000000003</v>
      </c>
      <c r="H5" s="52">
        <v>5701.59</v>
      </c>
    </row>
    <row r="6" spans="1:9" x14ac:dyDescent="0.2">
      <c r="A6" t="s">
        <v>214</v>
      </c>
      <c r="C6" s="55">
        <v>-7986.0599999999986</v>
      </c>
      <c r="F6" s="55">
        <v>-4490.54</v>
      </c>
      <c r="I6" s="55">
        <v>-3495.5199999999995</v>
      </c>
    </row>
    <row r="7" spans="1:9" x14ac:dyDescent="0.2">
      <c r="A7" t="s">
        <v>213</v>
      </c>
      <c r="C7" s="55">
        <v>-1191.6500000000003</v>
      </c>
      <c r="F7" s="55">
        <v>-849.54000000000019</v>
      </c>
      <c r="I7" s="55">
        <v>-342.11</v>
      </c>
    </row>
    <row r="8" spans="1:9" x14ac:dyDescent="0.2">
      <c r="A8" t="s">
        <v>212</v>
      </c>
      <c r="C8" s="55">
        <v>-238.32000000000002</v>
      </c>
      <c r="F8" s="55">
        <v>-169.91</v>
      </c>
      <c r="I8" s="55">
        <v>-68.41</v>
      </c>
    </row>
    <row r="9" spans="1:9" x14ac:dyDescent="0.2">
      <c r="A9" t="s">
        <v>211</v>
      </c>
      <c r="C9" s="55">
        <v>-1620.1399999999999</v>
      </c>
      <c r="F9" s="55">
        <v>-995.14</v>
      </c>
      <c r="I9" s="55">
        <v>-625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8824.8300000000054</v>
      </c>
      <c r="D12" s="53"/>
      <c r="E12" s="51">
        <v>7654.2800000000034</v>
      </c>
      <c r="H12" s="51">
        <v>1170.5500000000011</v>
      </c>
    </row>
    <row r="13" spans="1:9" ht="15.75" thickTop="1" x14ac:dyDescent="0.25">
      <c r="A13" s="103"/>
      <c r="B13" s="103"/>
      <c r="C13" s="148"/>
      <c r="F13" s="14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7654.2800000000034</v>
      </c>
      <c r="C15" s="100">
        <v>1170.5500000000011</v>
      </c>
      <c r="D15" s="108"/>
      <c r="E15" s="109">
        <v>0.86735721821270195</v>
      </c>
      <c r="F15" s="110">
        <v>0.13264278178729794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v>-4381.6100000000006</v>
      </c>
      <c r="C17" s="100">
        <v>-3495.52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v>11253.76</v>
      </c>
      <c r="C18" s="100">
        <v>5161.0700000000006</v>
      </c>
      <c r="D18" s="115"/>
      <c r="E18" s="116"/>
      <c r="F18" s="117"/>
      <c r="H18" t="s">
        <v>520</v>
      </c>
    </row>
    <row r="19" spans="1:17" x14ac:dyDescent="0.2">
      <c r="A19" s="99"/>
      <c r="B19" s="101">
        <v>6872.15</v>
      </c>
      <c r="C19" s="101">
        <v>1665.5500000000006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5"/>
      <c r="E21" s="116"/>
      <c r="F21" s="117"/>
      <c r="H21" t="s">
        <v>526</v>
      </c>
    </row>
    <row r="22" spans="1:17" x14ac:dyDescent="0.2">
      <c r="A22" s="148" t="s">
        <v>527</v>
      </c>
      <c r="B22" s="100">
        <v>-50</v>
      </c>
      <c r="C22" s="100">
        <v>-50</v>
      </c>
      <c r="D22" s="115"/>
      <c r="E22" s="116"/>
      <c r="F22" s="117"/>
      <c r="H22" s="148" t="s">
        <v>528</v>
      </c>
    </row>
    <row r="23" spans="1:17" x14ac:dyDescent="0.2">
      <c r="A23" s="148"/>
      <c r="B23" s="100"/>
      <c r="C23" s="100"/>
      <c r="D23" s="115"/>
      <c r="E23" s="116"/>
      <c r="F23" s="117"/>
      <c r="H23" s="148"/>
    </row>
    <row r="24" spans="1:17" x14ac:dyDescent="0.2">
      <c r="A24" s="148" t="s">
        <v>533</v>
      </c>
      <c r="B24" s="100">
        <v>-142.34</v>
      </c>
      <c r="C24" s="100">
        <v>-70.709999999999994</v>
      </c>
      <c r="D24" s="115"/>
      <c r="E24" s="116">
        <v>0</v>
      </c>
      <c r="F24" s="117">
        <v>0</v>
      </c>
      <c r="H24" s="148" t="s">
        <v>534</v>
      </c>
    </row>
    <row r="25" spans="1:17" x14ac:dyDescent="0.2">
      <c r="A25" s="148" t="s">
        <v>540</v>
      </c>
      <c r="B25" s="100">
        <v>0</v>
      </c>
      <c r="C25" s="100">
        <v>-33</v>
      </c>
      <c r="D25" s="115"/>
      <c r="E25" s="116">
        <v>0</v>
      </c>
      <c r="F25" s="117">
        <v>0</v>
      </c>
      <c r="H25" s="148" t="s">
        <v>541</v>
      </c>
    </row>
    <row r="26" spans="1:17" x14ac:dyDescent="0.2">
      <c r="A26" s="148" t="s">
        <v>542</v>
      </c>
      <c r="B26" s="100">
        <v>-102</v>
      </c>
      <c r="C26" s="100">
        <v>0</v>
      </c>
      <c r="D26" s="115"/>
      <c r="E26" s="116">
        <v>0</v>
      </c>
      <c r="F26" s="117">
        <v>0</v>
      </c>
      <c r="H26" s="148" t="s">
        <v>543</v>
      </c>
    </row>
    <row r="27" spans="1:17" x14ac:dyDescent="0.2">
      <c r="A27" s="148"/>
      <c r="B27" s="100"/>
      <c r="C27" s="100"/>
      <c r="D27" s="115"/>
      <c r="E27" s="116"/>
      <c r="F27" s="117"/>
      <c r="H27" s="148"/>
    </row>
    <row r="28" spans="1:17" x14ac:dyDescent="0.2">
      <c r="A28" s="135" t="s">
        <v>557</v>
      </c>
      <c r="B28" s="100"/>
      <c r="C28" s="100"/>
      <c r="D28" s="115"/>
      <c r="E28" s="116"/>
      <c r="F28" s="117"/>
      <c r="H28" s="148"/>
    </row>
    <row r="29" spans="1:17" x14ac:dyDescent="0.2">
      <c r="A29" t="s">
        <v>529</v>
      </c>
      <c r="B29" s="100">
        <v>0</v>
      </c>
      <c r="C29" s="100">
        <v>-200</v>
      </c>
      <c r="D29" s="115">
        <v>-200</v>
      </c>
      <c r="E29" s="116">
        <v>-173.47144364254038</v>
      </c>
      <c r="F29" s="117">
        <v>-26.528556357459586</v>
      </c>
      <c r="H29" t="s">
        <v>530</v>
      </c>
      <c r="J29" s="56"/>
      <c r="Q29" s="56"/>
    </row>
    <row r="30" spans="1:17" x14ac:dyDescent="0.2">
      <c r="A30" s="148" t="s">
        <v>531</v>
      </c>
      <c r="B30" s="100">
        <v>0</v>
      </c>
      <c r="C30" s="100">
        <v>-2703.49</v>
      </c>
      <c r="D30" s="115">
        <v>-2703.49</v>
      </c>
      <c r="E30" s="116">
        <v>-2344.8915658658575</v>
      </c>
      <c r="F30" s="117">
        <v>-358.59843413414205</v>
      </c>
      <c r="H30" s="148" t="s">
        <v>532</v>
      </c>
      <c r="Q30" s="56"/>
    </row>
    <row r="31" spans="1:17" x14ac:dyDescent="0.2">
      <c r="A31" s="148" t="s">
        <v>535</v>
      </c>
      <c r="B31" s="100">
        <v>0</v>
      </c>
      <c r="C31" s="100">
        <v>-75.63</v>
      </c>
      <c r="D31" s="115">
        <v>-75.63</v>
      </c>
      <c r="E31" s="116">
        <v>-65.598226413426644</v>
      </c>
      <c r="F31" s="117">
        <v>-10.031773586573342</v>
      </c>
      <c r="H31" t="s">
        <v>536</v>
      </c>
    </row>
    <row r="32" spans="1:17" x14ac:dyDescent="0.2">
      <c r="A32" s="148" t="s">
        <v>537</v>
      </c>
      <c r="B32" s="100">
        <v>0</v>
      </c>
      <c r="C32" s="100">
        <v>-53.99</v>
      </c>
      <c r="D32" s="115">
        <v>-53.99</v>
      </c>
      <c r="E32" s="116">
        <v>-46.828616211303782</v>
      </c>
      <c r="F32" s="117">
        <v>-7.1613837886962157</v>
      </c>
      <c r="H32" t="s">
        <v>538</v>
      </c>
    </row>
    <row r="33" spans="1:8" ht="15" x14ac:dyDescent="0.25">
      <c r="A33" s="148" t="s">
        <v>539</v>
      </c>
      <c r="B33" s="118">
        <v>-479.65</v>
      </c>
      <c r="C33" s="100">
        <v>-2200</v>
      </c>
      <c r="D33" s="115">
        <v>-2679.65</v>
      </c>
      <c r="E33" s="116">
        <v>-2324.213769783667</v>
      </c>
      <c r="F33" s="117">
        <v>-355.43623021633294</v>
      </c>
      <c r="H33" s="56" t="s">
        <v>1077</v>
      </c>
    </row>
    <row r="34" spans="1:8" x14ac:dyDescent="0.2">
      <c r="A34" s="148" t="s">
        <v>25</v>
      </c>
      <c r="B34" s="100">
        <v>0</v>
      </c>
      <c r="C34" s="100">
        <v>0</v>
      </c>
      <c r="D34" s="115">
        <v>0</v>
      </c>
      <c r="E34" s="116">
        <v>0</v>
      </c>
      <c r="F34" s="117">
        <v>0</v>
      </c>
      <c r="H34" s="148" t="s">
        <v>544</v>
      </c>
    </row>
    <row r="35" spans="1:8" x14ac:dyDescent="0.2">
      <c r="A35" s="131" t="s">
        <v>561</v>
      </c>
      <c r="B35" s="100">
        <v>0</v>
      </c>
      <c r="C35" s="100"/>
      <c r="D35" s="115"/>
      <c r="E35" s="116"/>
      <c r="F35" s="133"/>
      <c r="H35" s="131" t="s">
        <v>562</v>
      </c>
    </row>
    <row r="36" spans="1:8" x14ac:dyDescent="0.2">
      <c r="B36" s="119">
        <v>-1323.99</v>
      </c>
      <c r="C36" s="119">
        <v>-5936.82</v>
      </c>
      <c r="D36" s="120">
        <v>-5712.76</v>
      </c>
      <c r="E36" s="121">
        <v>-4955.0036219167951</v>
      </c>
      <c r="F36" s="119">
        <v>-757.75637808320425</v>
      </c>
    </row>
    <row r="37" spans="1:8" x14ac:dyDescent="0.2">
      <c r="B37" s="133"/>
      <c r="C37" s="133"/>
      <c r="D37" s="133"/>
      <c r="E37" s="116"/>
      <c r="F37" s="133"/>
    </row>
    <row r="38" spans="1:8" x14ac:dyDescent="0.2">
      <c r="A38" s="134" t="s">
        <v>555</v>
      </c>
      <c r="E38" s="100">
        <v>-479.65</v>
      </c>
      <c r="F38" s="100">
        <v>-5233.1099999999997</v>
      </c>
    </row>
    <row r="39" spans="1:8" x14ac:dyDescent="0.2">
      <c r="A39" s="131" t="s">
        <v>556</v>
      </c>
      <c r="E39" s="123">
        <v>-2609.16</v>
      </c>
      <c r="F39" s="100">
        <v>2609.16</v>
      </c>
      <c r="H39" t="s">
        <v>545</v>
      </c>
    </row>
    <row r="40" spans="1:8" x14ac:dyDescent="0.2">
      <c r="E40" s="122"/>
      <c r="F40" s="100"/>
    </row>
    <row r="41" spans="1:8" x14ac:dyDescent="0.2">
      <c r="A41" t="s">
        <v>546</v>
      </c>
      <c r="E41" s="121">
        <v>-1866.1936219167956</v>
      </c>
      <c r="F41" s="121">
        <v>1866.1936219167956</v>
      </c>
    </row>
    <row r="42" spans="1:8" x14ac:dyDescent="0.2">
      <c r="A42" s="136" t="s">
        <v>558</v>
      </c>
    </row>
    <row r="43" spans="1:8" x14ac:dyDescent="0.2">
      <c r="A43" s="136"/>
      <c r="E43" s="100"/>
    </row>
    <row r="44" spans="1:8" x14ac:dyDescent="0.2">
      <c r="A44" s="131"/>
      <c r="E44" s="100"/>
    </row>
    <row r="45" spans="1:8" x14ac:dyDescent="0.2">
      <c r="A45" s="56"/>
      <c r="E45" s="100"/>
    </row>
    <row r="46" spans="1:8" x14ac:dyDescent="0.2">
      <c r="A46" s="136"/>
    </row>
    <row r="47" spans="1:8" x14ac:dyDescent="0.2">
      <c r="A47" s="136"/>
      <c r="E47" s="119">
        <v>-1866.1936219167956</v>
      </c>
    </row>
    <row r="49" spans="1:1" x14ac:dyDescent="0.2">
      <c r="A49" s="50" t="s">
        <v>547</v>
      </c>
    </row>
    <row r="50" spans="1:1" x14ac:dyDescent="0.2">
      <c r="A50" s="56"/>
    </row>
    <row r="51" spans="1:1" x14ac:dyDescent="0.2">
      <c r="A51" s="5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69"/>
  <sheetViews>
    <sheetView zoomScale="85" zoomScaleNormal="85" workbookViewId="0">
      <selection activeCell="H49" sqref="H49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s="129" t="s">
        <v>997</v>
      </c>
      <c r="B2" s="143">
        <v>42919</v>
      </c>
      <c r="C2" t="s">
        <v>742</v>
      </c>
      <c r="D2">
        <v>-2609.16</v>
      </c>
      <c r="E2" t="s">
        <v>743</v>
      </c>
      <c r="F2" t="s">
        <v>744</v>
      </c>
      <c r="I2" t="s">
        <v>998</v>
      </c>
      <c r="J2" s="129"/>
    </row>
    <row r="3" spans="1:10" x14ac:dyDescent="0.2">
      <c r="A3" s="129" t="s">
        <v>997</v>
      </c>
      <c r="B3" s="143">
        <v>42919</v>
      </c>
      <c r="C3" t="s">
        <v>742</v>
      </c>
      <c r="D3">
        <v>-196.79</v>
      </c>
      <c r="E3" t="s">
        <v>743</v>
      </c>
      <c r="F3" t="s">
        <v>745</v>
      </c>
      <c r="I3" t="s">
        <v>998</v>
      </c>
      <c r="J3" s="129"/>
    </row>
    <row r="4" spans="1:10" x14ac:dyDescent="0.2">
      <c r="A4" s="129" t="s">
        <v>997</v>
      </c>
      <c r="B4" s="143">
        <v>42919</v>
      </c>
      <c r="C4" t="s">
        <v>742</v>
      </c>
      <c r="D4">
        <v>-50</v>
      </c>
      <c r="E4" t="s">
        <v>743</v>
      </c>
      <c r="F4" t="s">
        <v>746</v>
      </c>
      <c r="I4" t="s">
        <v>998</v>
      </c>
      <c r="J4" s="129"/>
    </row>
    <row r="5" spans="1:10" x14ac:dyDescent="0.2">
      <c r="A5" s="129" t="s">
        <v>997</v>
      </c>
      <c r="B5" s="143">
        <v>42919</v>
      </c>
      <c r="C5" t="s">
        <v>742</v>
      </c>
      <c r="D5">
        <v>-50</v>
      </c>
      <c r="E5" t="s">
        <v>743</v>
      </c>
      <c r="F5" t="s">
        <v>747</v>
      </c>
      <c r="I5" t="s">
        <v>998</v>
      </c>
      <c r="J5" s="129"/>
    </row>
    <row r="6" spans="1:10" x14ac:dyDescent="0.2">
      <c r="A6" s="129" t="s">
        <v>997</v>
      </c>
      <c r="B6" s="143">
        <v>42919</v>
      </c>
      <c r="C6" t="s">
        <v>742</v>
      </c>
      <c r="D6">
        <v>-160</v>
      </c>
      <c r="E6" t="s">
        <v>743</v>
      </c>
      <c r="F6" t="s">
        <v>748</v>
      </c>
      <c r="I6" t="s">
        <v>998</v>
      </c>
      <c r="J6" s="129"/>
    </row>
    <row r="7" spans="1:10" x14ac:dyDescent="0.2">
      <c r="A7" s="129" t="s">
        <v>997</v>
      </c>
      <c r="B7" s="143">
        <v>42919</v>
      </c>
      <c r="C7" t="s">
        <v>742</v>
      </c>
      <c r="D7">
        <v>-157.5</v>
      </c>
      <c r="E7" t="s">
        <v>743</v>
      </c>
      <c r="F7" t="s">
        <v>749</v>
      </c>
      <c r="I7" t="s">
        <v>998</v>
      </c>
      <c r="J7" s="129"/>
    </row>
    <row r="8" spans="1:10" x14ac:dyDescent="0.2">
      <c r="A8" s="129" t="s">
        <v>997</v>
      </c>
      <c r="B8" s="143">
        <v>42919</v>
      </c>
      <c r="C8" t="s">
        <v>742</v>
      </c>
      <c r="D8">
        <v>-232.5</v>
      </c>
      <c r="E8" t="s">
        <v>743</v>
      </c>
      <c r="F8" t="s">
        <v>750</v>
      </c>
      <c r="I8" t="s">
        <v>998</v>
      </c>
      <c r="J8" s="129"/>
    </row>
    <row r="9" spans="1:10" x14ac:dyDescent="0.2">
      <c r="A9" s="129" t="s">
        <v>997</v>
      </c>
      <c r="B9" s="143">
        <v>42919</v>
      </c>
      <c r="C9" t="s">
        <v>742</v>
      </c>
      <c r="D9">
        <v>-83.17</v>
      </c>
      <c r="E9" t="s">
        <v>751</v>
      </c>
      <c r="F9" t="s">
        <v>802</v>
      </c>
      <c r="I9" t="s">
        <v>998</v>
      </c>
      <c r="J9" s="129"/>
    </row>
    <row r="10" spans="1:10" x14ac:dyDescent="0.2">
      <c r="A10" s="129" t="s">
        <v>997</v>
      </c>
      <c r="B10" s="143">
        <v>42919</v>
      </c>
      <c r="C10" t="s">
        <v>742</v>
      </c>
      <c r="D10">
        <v>-167.32</v>
      </c>
      <c r="E10" t="s">
        <v>751</v>
      </c>
      <c r="F10" t="s">
        <v>803</v>
      </c>
      <c r="I10" t="s">
        <v>999</v>
      </c>
      <c r="J10" s="129"/>
    </row>
    <row r="11" spans="1:10" x14ac:dyDescent="0.2">
      <c r="A11" s="129" t="s">
        <v>997</v>
      </c>
      <c r="B11" s="143">
        <v>42919</v>
      </c>
      <c r="C11" t="s">
        <v>742</v>
      </c>
      <c r="D11">
        <v>-189.14</v>
      </c>
      <c r="E11" t="s">
        <v>751</v>
      </c>
      <c r="F11" t="s">
        <v>804</v>
      </c>
      <c r="I11" t="s">
        <v>999</v>
      </c>
      <c r="J11" s="129"/>
    </row>
    <row r="12" spans="1:10" x14ac:dyDescent="0.2">
      <c r="A12" s="129" t="s">
        <v>997</v>
      </c>
      <c r="B12" s="143">
        <v>42919</v>
      </c>
      <c r="C12" t="s">
        <v>742</v>
      </c>
      <c r="D12">
        <v>-208.78</v>
      </c>
      <c r="E12" t="s">
        <v>751</v>
      </c>
      <c r="F12" t="s">
        <v>805</v>
      </c>
      <c r="I12" t="s">
        <v>999</v>
      </c>
      <c r="J12" s="129"/>
    </row>
    <row r="13" spans="1:10" x14ac:dyDescent="0.2">
      <c r="A13" s="129" t="s">
        <v>997</v>
      </c>
      <c r="B13" s="143">
        <v>42919</v>
      </c>
      <c r="C13" t="s">
        <v>742</v>
      </c>
      <c r="D13">
        <v>-201.56</v>
      </c>
      <c r="E13" t="s">
        <v>751</v>
      </c>
      <c r="F13" t="s">
        <v>806</v>
      </c>
      <c r="I13" t="s">
        <v>999</v>
      </c>
      <c r="J13" s="129"/>
    </row>
    <row r="14" spans="1:10" x14ac:dyDescent="0.2">
      <c r="A14" s="129" t="s">
        <v>997</v>
      </c>
      <c r="B14" s="143">
        <v>42919</v>
      </c>
      <c r="C14" t="s">
        <v>742</v>
      </c>
      <c r="D14">
        <v>-165.53</v>
      </c>
      <c r="E14" t="s">
        <v>751</v>
      </c>
      <c r="F14" t="s">
        <v>807</v>
      </c>
      <c r="I14" t="s">
        <v>999</v>
      </c>
      <c r="J14" s="129"/>
    </row>
    <row r="15" spans="1:10" x14ac:dyDescent="0.2">
      <c r="A15" s="129" t="s">
        <v>997</v>
      </c>
      <c r="B15" s="143">
        <v>42919</v>
      </c>
      <c r="C15" t="s">
        <v>742</v>
      </c>
      <c r="D15">
        <v>-201.41</v>
      </c>
      <c r="E15" t="s">
        <v>751</v>
      </c>
      <c r="F15" t="s">
        <v>808</v>
      </c>
      <c r="I15" t="s">
        <v>999</v>
      </c>
      <c r="J15" s="129"/>
    </row>
    <row r="16" spans="1:10" x14ac:dyDescent="0.2">
      <c r="A16" s="129" t="s">
        <v>997</v>
      </c>
      <c r="B16" s="143">
        <v>42919</v>
      </c>
      <c r="C16" t="s">
        <v>742</v>
      </c>
      <c r="D16">
        <v>-165.44</v>
      </c>
      <c r="E16" t="s">
        <v>751</v>
      </c>
      <c r="F16" t="s">
        <v>809</v>
      </c>
      <c r="I16" t="s">
        <v>999</v>
      </c>
      <c r="J16" s="129"/>
    </row>
    <row r="17" spans="1:10" x14ac:dyDescent="0.2">
      <c r="A17" s="129" t="s">
        <v>997</v>
      </c>
      <c r="B17" s="143">
        <v>42919</v>
      </c>
      <c r="C17" t="s">
        <v>742</v>
      </c>
      <c r="D17">
        <v>-127.59</v>
      </c>
      <c r="E17" t="s">
        <v>751</v>
      </c>
      <c r="F17" t="s">
        <v>810</v>
      </c>
      <c r="I17" t="s">
        <v>999</v>
      </c>
      <c r="J17" s="129"/>
    </row>
    <row r="18" spans="1:10" x14ac:dyDescent="0.2">
      <c r="A18" s="129" t="s">
        <v>997</v>
      </c>
      <c r="B18" s="143">
        <v>42919</v>
      </c>
      <c r="C18" t="s">
        <v>742</v>
      </c>
      <c r="D18">
        <v>-141.63</v>
      </c>
      <c r="E18" t="s">
        <v>751</v>
      </c>
      <c r="F18" t="s">
        <v>811</v>
      </c>
      <c r="I18" t="s">
        <v>999</v>
      </c>
      <c r="J18" s="137"/>
    </row>
    <row r="19" spans="1:10" x14ac:dyDescent="0.2">
      <c r="A19" s="129" t="s">
        <v>997</v>
      </c>
      <c r="B19" s="143">
        <v>42919</v>
      </c>
      <c r="C19" t="s">
        <v>742</v>
      </c>
      <c r="D19">
        <v>-141.66</v>
      </c>
      <c r="E19" t="s">
        <v>751</v>
      </c>
      <c r="F19" t="s">
        <v>812</v>
      </c>
      <c r="I19" t="s">
        <v>999</v>
      </c>
      <c r="J19" s="129"/>
    </row>
    <row r="20" spans="1:10" x14ac:dyDescent="0.2">
      <c r="A20" s="129" t="s">
        <v>997</v>
      </c>
      <c r="B20" s="143">
        <v>42919</v>
      </c>
      <c r="C20" t="s">
        <v>742</v>
      </c>
      <c r="D20">
        <v>-135.38999999999999</v>
      </c>
      <c r="E20" t="s">
        <v>751</v>
      </c>
      <c r="F20" t="s">
        <v>813</v>
      </c>
      <c r="I20" t="s">
        <v>999</v>
      </c>
      <c r="J20" s="137"/>
    </row>
    <row r="21" spans="1:10" x14ac:dyDescent="0.2">
      <c r="A21" s="129" t="s">
        <v>997</v>
      </c>
      <c r="B21" s="143">
        <v>42919</v>
      </c>
      <c r="C21" t="s">
        <v>742</v>
      </c>
      <c r="D21">
        <v>-129.29</v>
      </c>
      <c r="E21" t="s">
        <v>751</v>
      </c>
      <c r="F21" t="s">
        <v>814</v>
      </c>
      <c r="I21" t="s">
        <v>999</v>
      </c>
      <c r="J21" s="129"/>
    </row>
    <row r="22" spans="1:10" x14ac:dyDescent="0.2">
      <c r="A22" s="129" t="s">
        <v>997</v>
      </c>
      <c r="B22" s="143">
        <v>42919</v>
      </c>
      <c r="C22" t="s">
        <v>742</v>
      </c>
      <c r="D22">
        <v>-180.37</v>
      </c>
      <c r="E22" t="s">
        <v>751</v>
      </c>
      <c r="F22" t="s">
        <v>753</v>
      </c>
      <c r="I22" t="s">
        <v>999</v>
      </c>
      <c r="J22" s="129"/>
    </row>
    <row r="23" spans="1:10" x14ac:dyDescent="0.2">
      <c r="A23" s="129" t="s">
        <v>997</v>
      </c>
      <c r="B23" s="143">
        <v>42919</v>
      </c>
      <c r="C23" t="s">
        <v>742</v>
      </c>
      <c r="D23">
        <v>-195.72</v>
      </c>
      <c r="E23" t="s">
        <v>751</v>
      </c>
      <c r="F23" t="s">
        <v>752</v>
      </c>
      <c r="I23" t="s">
        <v>999</v>
      </c>
      <c r="J23" s="129"/>
    </row>
    <row r="24" spans="1:10" x14ac:dyDescent="0.2">
      <c r="A24" s="129" t="s">
        <v>997</v>
      </c>
      <c r="B24" s="143">
        <v>42919</v>
      </c>
      <c r="C24" t="s">
        <v>742</v>
      </c>
      <c r="D24">
        <v>-93.49</v>
      </c>
      <c r="E24" t="s">
        <v>751</v>
      </c>
      <c r="F24" t="s">
        <v>754</v>
      </c>
      <c r="I24" t="s">
        <v>999</v>
      </c>
      <c r="J24" s="129"/>
    </row>
    <row r="25" spans="1:10" x14ac:dyDescent="0.2">
      <c r="A25" s="129" t="s">
        <v>997</v>
      </c>
      <c r="B25" s="143">
        <v>42919</v>
      </c>
      <c r="C25" t="s">
        <v>742</v>
      </c>
      <c r="D25">
        <v>-93.99</v>
      </c>
      <c r="E25" t="s">
        <v>751</v>
      </c>
      <c r="F25" t="s">
        <v>755</v>
      </c>
      <c r="I25" t="s">
        <v>999</v>
      </c>
      <c r="J25" s="129"/>
    </row>
    <row r="26" spans="1:10" x14ac:dyDescent="0.2">
      <c r="A26" s="129" t="s">
        <v>997</v>
      </c>
      <c r="B26" s="143">
        <v>42919</v>
      </c>
      <c r="C26" t="s">
        <v>742</v>
      </c>
      <c r="D26">
        <v>-40.39</v>
      </c>
      <c r="E26" t="s">
        <v>756</v>
      </c>
      <c r="F26" t="s">
        <v>815</v>
      </c>
      <c r="I26" t="s">
        <v>998</v>
      </c>
      <c r="J26" s="129"/>
    </row>
    <row r="27" spans="1:10" x14ac:dyDescent="0.2">
      <c r="A27" s="129" t="s">
        <v>997</v>
      </c>
      <c r="B27" s="143">
        <v>42921</v>
      </c>
      <c r="C27" t="s">
        <v>742</v>
      </c>
      <c r="D27">
        <v>-12.03</v>
      </c>
      <c r="E27" t="s">
        <v>756</v>
      </c>
      <c r="F27" t="s">
        <v>816</v>
      </c>
      <c r="I27" t="s">
        <v>998</v>
      </c>
      <c r="J27" s="129"/>
    </row>
    <row r="28" spans="1:10" x14ac:dyDescent="0.2">
      <c r="A28" s="129" t="s">
        <v>997</v>
      </c>
      <c r="B28" s="143">
        <v>42921</v>
      </c>
      <c r="C28" t="s">
        <v>742</v>
      </c>
      <c r="D28">
        <v>232</v>
      </c>
      <c r="E28" t="s">
        <v>758</v>
      </c>
      <c r="F28" t="s">
        <v>785</v>
      </c>
      <c r="I28" t="s">
        <v>998</v>
      </c>
      <c r="J28" s="129"/>
    </row>
    <row r="29" spans="1:10" x14ac:dyDescent="0.2">
      <c r="A29" s="129" t="s">
        <v>997</v>
      </c>
      <c r="B29" s="143">
        <v>42921</v>
      </c>
      <c r="C29" t="s">
        <v>742</v>
      </c>
      <c r="D29">
        <v>194.88</v>
      </c>
      <c r="E29" t="s">
        <v>758</v>
      </c>
      <c r="F29" t="s">
        <v>796</v>
      </c>
      <c r="I29" t="s">
        <v>998</v>
      </c>
      <c r="J29" s="129"/>
    </row>
    <row r="30" spans="1:10" x14ac:dyDescent="0.2">
      <c r="A30" s="129" t="s">
        <v>997</v>
      </c>
      <c r="B30" s="143">
        <v>42922</v>
      </c>
      <c r="C30" t="s">
        <v>742</v>
      </c>
      <c r="D30">
        <v>-14.97</v>
      </c>
      <c r="E30" t="s">
        <v>756</v>
      </c>
      <c r="F30" t="s">
        <v>817</v>
      </c>
      <c r="I30" t="s">
        <v>998</v>
      </c>
      <c r="J30" s="129"/>
    </row>
    <row r="31" spans="1:10" x14ac:dyDescent="0.2">
      <c r="A31" s="129" t="s">
        <v>997</v>
      </c>
      <c r="B31" s="143">
        <v>42922</v>
      </c>
      <c r="C31" t="s">
        <v>742</v>
      </c>
      <c r="D31">
        <v>321.85000000000002</v>
      </c>
      <c r="E31" t="s">
        <v>758</v>
      </c>
      <c r="F31" t="s">
        <v>773</v>
      </c>
      <c r="I31" t="s">
        <v>998</v>
      </c>
      <c r="J31" s="129"/>
    </row>
    <row r="32" spans="1:10" x14ac:dyDescent="0.2">
      <c r="A32" s="129" t="s">
        <v>997</v>
      </c>
      <c r="B32" s="143">
        <v>42922</v>
      </c>
      <c r="C32" t="s">
        <v>742</v>
      </c>
      <c r="D32">
        <v>134.16999999999999</v>
      </c>
      <c r="E32" t="s">
        <v>758</v>
      </c>
      <c r="F32" t="s">
        <v>769</v>
      </c>
      <c r="I32" t="s">
        <v>998</v>
      </c>
      <c r="J32" s="129"/>
    </row>
    <row r="33" spans="1:10" x14ac:dyDescent="0.2">
      <c r="A33" s="129" t="s">
        <v>997</v>
      </c>
      <c r="B33" s="143">
        <v>42922</v>
      </c>
      <c r="C33" t="s">
        <v>742</v>
      </c>
      <c r="D33">
        <v>120.69</v>
      </c>
      <c r="E33" t="s">
        <v>758</v>
      </c>
      <c r="F33" t="s">
        <v>763</v>
      </c>
      <c r="I33" t="s">
        <v>998</v>
      </c>
      <c r="J33" s="129"/>
    </row>
    <row r="34" spans="1:10" x14ac:dyDescent="0.2">
      <c r="A34" s="129" t="s">
        <v>997</v>
      </c>
      <c r="B34" s="143">
        <v>42922</v>
      </c>
      <c r="C34" t="s">
        <v>742</v>
      </c>
      <c r="D34">
        <v>428.29</v>
      </c>
      <c r="E34" t="s">
        <v>758</v>
      </c>
      <c r="F34" t="s">
        <v>768</v>
      </c>
      <c r="I34" t="s">
        <v>998</v>
      </c>
      <c r="J34" s="129"/>
    </row>
    <row r="35" spans="1:10" x14ac:dyDescent="0.2">
      <c r="A35" s="129" t="s">
        <v>997</v>
      </c>
      <c r="B35" s="143">
        <v>42922</v>
      </c>
      <c r="C35" t="s">
        <v>742</v>
      </c>
      <c r="D35">
        <v>181.84</v>
      </c>
      <c r="E35" t="s">
        <v>758</v>
      </c>
      <c r="F35" t="s">
        <v>771</v>
      </c>
      <c r="I35" t="s">
        <v>998</v>
      </c>
      <c r="J35" s="129"/>
    </row>
    <row r="36" spans="1:10" x14ac:dyDescent="0.2">
      <c r="A36" s="129" t="s">
        <v>997</v>
      </c>
      <c r="B36" s="143">
        <v>42922</v>
      </c>
      <c r="C36" t="s">
        <v>742</v>
      </c>
      <c r="D36">
        <v>99.75</v>
      </c>
      <c r="E36" t="s">
        <v>758</v>
      </c>
      <c r="F36" t="s">
        <v>766</v>
      </c>
      <c r="I36" t="s">
        <v>998</v>
      </c>
      <c r="J36" s="137"/>
    </row>
    <row r="37" spans="1:10" x14ac:dyDescent="0.2">
      <c r="A37" s="129" t="s">
        <v>997</v>
      </c>
      <c r="B37" s="143">
        <v>42922</v>
      </c>
      <c r="C37" t="s">
        <v>742</v>
      </c>
      <c r="D37">
        <v>321.83</v>
      </c>
      <c r="E37" t="s">
        <v>758</v>
      </c>
      <c r="F37" t="s">
        <v>772</v>
      </c>
      <c r="I37" t="s">
        <v>998</v>
      </c>
      <c r="J37" s="137"/>
    </row>
    <row r="38" spans="1:10" x14ac:dyDescent="0.2">
      <c r="A38" s="129" t="s">
        <v>997</v>
      </c>
      <c r="B38" s="143">
        <v>42922</v>
      </c>
      <c r="C38" t="s">
        <v>742</v>
      </c>
      <c r="D38">
        <v>321.83</v>
      </c>
      <c r="E38" t="s">
        <v>758</v>
      </c>
      <c r="F38" t="s">
        <v>760</v>
      </c>
      <c r="I38" t="s">
        <v>998</v>
      </c>
      <c r="J38" s="137"/>
    </row>
    <row r="39" spans="1:10" x14ac:dyDescent="0.2">
      <c r="A39" s="129" t="s">
        <v>997</v>
      </c>
      <c r="B39" s="143">
        <v>42922</v>
      </c>
      <c r="C39" t="s">
        <v>742</v>
      </c>
      <c r="D39">
        <v>482.56</v>
      </c>
      <c r="E39" t="s">
        <v>758</v>
      </c>
      <c r="F39" t="s">
        <v>759</v>
      </c>
      <c r="I39" t="s">
        <v>998</v>
      </c>
      <c r="J39" s="129"/>
    </row>
    <row r="40" spans="1:10" x14ac:dyDescent="0.2">
      <c r="A40" s="129" t="s">
        <v>997</v>
      </c>
      <c r="B40" s="143">
        <v>42922</v>
      </c>
      <c r="C40" t="s">
        <v>742</v>
      </c>
      <c r="D40">
        <v>54.53</v>
      </c>
      <c r="E40" t="s">
        <v>758</v>
      </c>
      <c r="F40" t="s">
        <v>792</v>
      </c>
      <c r="I40" t="s">
        <v>998</v>
      </c>
      <c r="J40" s="129"/>
    </row>
    <row r="41" spans="1:10" x14ac:dyDescent="0.2">
      <c r="A41" s="129" t="s">
        <v>997</v>
      </c>
      <c r="B41" s="143">
        <v>42922</v>
      </c>
      <c r="C41" t="s">
        <v>742</v>
      </c>
      <c r="D41">
        <v>321.83</v>
      </c>
      <c r="E41" t="s">
        <v>758</v>
      </c>
      <c r="F41" t="s">
        <v>775</v>
      </c>
      <c r="I41" t="s">
        <v>998</v>
      </c>
      <c r="J41" s="129"/>
    </row>
    <row r="42" spans="1:10" x14ac:dyDescent="0.2">
      <c r="A42" s="129" t="s">
        <v>997</v>
      </c>
      <c r="B42" s="143">
        <v>42922</v>
      </c>
      <c r="C42" t="s">
        <v>742</v>
      </c>
      <c r="D42">
        <v>114.02</v>
      </c>
      <c r="E42" t="s">
        <v>758</v>
      </c>
      <c r="F42" t="s">
        <v>767</v>
      </c>
      <c r="I42" t="s">
        <v>998</v>
      </c>
      <c r="J42" s="129"/>
    </row>
    <row r="43" spans="1:10" x14ac:dyDescent="0.2">
      <c r="A43" s="129" t="s">
        <v>997</v>
      </c>
      <c r="B43" s="143">
        <v>42922</v>
      </c>
      <c r="C43" t="s">
        <v>742</v>
      </c>
      <c r="D43">
        <v>170.75</v>
      </c>
      <c r="E43" t="s">
        <v>758</v>
      </c>
      <c r="F43" t="s">
        <v>774</v>
      </c>
      <c r="I43" t="s">
        <v>998</v>
      </c>
      <c r="J43" s="129"/>
    </row>
    <row r="44" spans="1:10" x14ac:dyDescent="0.2">
      <c r="A44" s="129" t="s">
        <v>997</v>
      </c>
      <c r="B44" s="143">
        <v>42922</v>
      </c>
      <c r="C44" t="s">
        <v>742</v>
      </c>
      <c r="D44">
        <v>432.56</v>
      </c>
      <c r="E44" t="s">
        <v>758</v>
      </c>
      <c r="F44" t="s">
        <v>761</v>
      </c>
      <c r="I44" t="s">
        <v>998</v>
      </c>
      <c r="J44" s="129"/>
    </row>
    <row r="45" spans="1:10" x14ac:dyDescent="0.2">
      <c r="A45" s="129" t="s">
        <v>997</v>
      </c>
      <c r="B45" s="143">
        <v>42922</v>
      </c>
      <c r="C45" t="s">
        <v>742</v>
      </c>
      <c r="D45">
        <v>74</v>
      </c>
      <c r="E45" t="s">
        <v>758</v>
      </c>
      <c r="F45" t="s">
        <v>776</v>
      </c>
      <c r="I45" t="s">
        <v>998</v>
      </c>
      <c r="J45" s="129"/>
    </row>
    <row r="46" spans="1:10" x14ac:dyDescent="0.2">
      <c r="A46" s="129" t="s">
        <v>997</v>
      </c>
      <c r="B46" s="143">
        <v>42922</v>
      </c>
      <c r="C46" t="s">
        <v>742</v>
      </c>
      <c r="D46">
        <v>428.29</v>
      </c>
      <c r="E46" t="s">
        <v>758</v>
      </c>
      <c r="F46" t="s">
        <v>765</v>
      </c>
      <c r="I46" t="s">
        <v>998</v>
      </c>
      <c r="J46" s="129"/>
    </row>
    <row r="47" spans="1:10" x14ac:dyDescent="0.2">
      <c r="A47" s="129" t="s">
        <v>997</v>
      </c>
      <c r="B47" s="143">
        <v>42922</v>
      </c>
      <c r="C47" t="s">
        <v>742</v>
      </c>
      <c r="D47">
        <v>17.63</v>
      </c>
      <c r="E47" t="s">
        <v>758</v>
      </c>
      <c r="F47" t="s">
        <v>778</v>
      </c>
      <c r="I47" t="s">
        <v>998</v>
      </c>
      <c r="J47" s="129"/>
    </row>
    <row r="48" spans="1:10" x14ac:dyDescent="0.2">
      <c r="A48" s="129" t="s">
        <v>997</v>
      </c>
      <c r="B48" s="143">
        <v>42922</v>
      </c>
      <c r="C48" t="s">
        <v>742</v>
      </c>
      <c r="D48">
        <v>428.41</v>
      </c>
      <c r="E48" t="s">
        <v>758</v>
      </c>
      <c r="F48" t="s">
        <v>770</v>
      </c>
      <c r="I48" t="s">
        <v>998</v>
      </c>
      <c r="J48" s="129"/>
    </row>
    <row r="49" spans="1:10" x14ac:dyDescent="0.2">
      <c r="A49" s="129" t="s">
        <v>997</v>
      </c>
      <c r="B49" s="143">
        <v>42922</v>
      </c>
      <c r="C49" t="s">
        <v>742</v>
      </c>
      <c r="D49">
        <v>84.58</v>
      </c>
      <c r="E49" t="s">
        <v>758</v>
      </c>
      <c r="F49" t="s">
        <v>781</v>
      </c>
      <c r="I49" t="s">
        <v>998</v>
      </c>
      <c r="J49" s="129"/>
    </row>
    <row r="50" spans="1:10" x14ac:dyDescent="0.2">
      <c r="A50" s="129" t="s">
        <v>997</v>
      </c>
      <c r="B50" s="143">
        <v>42923</v>
      </c>
      <c r="C50" t="s">
        <v>742</v>
      </c>
      <c r="D50">
        <v>-20</v>
      </c>
      <c r="E50" t="s">
        <v>756</v>
      </c>
      <c r="F50" t="s">
        <v>818</v>
      </c>
      <c r="I50" t="s">
        <v>998</v>
      </c>
      <c r="J50" s="129"/>
    </row>
    <row r="51" spans="1:10" x14ac:dyDescent="0.2">
      <c r="A51" s="129" t="s">
        <v>997</v>
      </c>
      <c r="B51" s="143">
        <v>42923</v>
      </c>
      <c r="C51" t="s">
        <v>742</v>
      </c>
      <c r="D51">
        <v>-8</v>
      </c>
      <c r="E51" t="s">
        <v>756</v>
      </c>
      <c r="F51" t="s">
        <v>818</v>
      </c>
      <c r="I51" t="s">
        <v>998</v>
      </c>
      <c r="J51" s="129"/>
    </row>
    <row r="52" spans="1:10" x14ac:dyDescent="0.2">
      <c r="A52" s="129" t="s">
        <v>997</v>
      </c>
      <c r="B52" s="143">
        <v>42926</v>
      </c>
      <c r="C52" t="s">
        <v>742</v>
      </c>
      <c r="D52">
        <v>464</v>
      </c>
      <c r="E52" t="s">
        <v>758</v>
      </c>
      <c r="F52" t="s">
        <v>762</v>
      </c>
      <c r="I52" t="s">
        <v>998</v>
      </c>
      <c r="J52" s="129"/>
    </row>
    <row r="53" spans="1:10" x14ac:dyDescent="0.2">
      <c r="A53" s="129" t="s">
        <v>997</v>
      </c>
      <c r="B53" s="143">
        <v>42926</v>
      </c>
      <c r="C53" t="s">
        <v>742</v>
      </c>
      <c r="D53">
        <v>330.44</v>
      </c>
      <c r="E53" t="s">
        <v>758</v>
      </c>
      <c r="F53" t="s">
        <v>763</v>
      </c>
      <c r="I53" t="s">
        <v>998</v>
      </c>
      <c r="J53" s="129"/>
    </row>
    <row r="54" spans="1:10" x14ac:dyDescent="0.2">
      <c r="A54" s="129" t="s">
        <v>997</v>
      </c>
      <c r="B54" s="143">
        <v>42926</v>
      </c>
      <c r="C54" t="s">
        <v>742</v>
      </c>
      <c r="D54">
        <v>284.2</v>
      </c>
      <c r="E54" t="s">
        <v>758</v>
      </c>
      <c r="F54" t="s">
        <v>764</v>
      </c>
      <c r="I54" t="s">
        <v>998</v>
      </c>
      <c r="J54" s="129"/>
    </row>
    <row r="55" spans="1:10" x14ac:dyDescent="0.2">
      <c r="A55" s="129" t="s">
        <v>997</v>
      </c>
      <c r="B55" s="143">
        <v>42926</v>
      </c>
      <c r="C55" t="s">
        <v>742</v>
      </c>
      <c r="D55">
        <v>-8.6</v>
      </c>
      <c r="E55" t="s">
        <v>756</v>
      </c>
      <c r="F55" t="s">
        <v>819</v>
      </c>
      <c r="I55" t="s">
        <v>998</v>
      </c>
      <c r="J55" s="129"/>
    </row>
    <row r="56" spans="1:10" x14ac:dyDescent="0.2">
      <c r="A56" s="129" t="s">
        <v>997</v>
      </c>
      <c r="B56" s="143">
        <v>42926</v>
      </c>
      <c r="C56" t="s">
        <v>742</v>
      </c>
      <c r="D56">
        <v>-40</v>
      </c>
      <c r="E56" t="s">
        <v>757</v>
      </c>
      <c r="F56" t="s">
        <v>820</v>
      </c>
      <c r="I56" t="s">
        <v>998</v>
      </c>
      <c r="J56" s="129"/>
    </row>
    <row r="57" spans="1:10" x14ac:dyDescent="0.2">
      <c r="A57" s="129" t="s">
        <v>997</v>
      </c>
      <c r="B57" s="143">
        <v>42926</v>
      </c>
      <c r="C57" t="s">
        <v>742</v>
      </c>
      <c r="D57">
        <v>-42.45</v>
      </c>
      <c r="E57" t="s">
        <v>756</v>
      </c>
      <c r="F57" t="s">
        <v>821</v>
      </c>
      <c r="I57" t="s">
        <v>998</v>
      </c>
      <c r="J57" s="129"/>
    </row>
    <row r="58" spans="1:10" x14ac:dyDescent="0.2">
      <c r="A58" s="129" t="s">
        <v>997</v>
      </c>
      <c r="B58" s="143">
        <v>42926</v>
      </c>
      <c r="C58" t="s">
        <v>742</v>
      </c>
      <c r="D58">
        <v>-17.899999999999999</v>
      </c>
      <c r="E58" t="s">
        <v>751</v>
      </c>
      <c r="F58" t="s">
        <v>777</v>
      </c>
      <c r="I58" t="s">
        <v>999</v>
      </c>
      <c r="J58" s="129"/>
    </row>
    <row r="59" spans="1:10" x14ac:dyDescent="0.2">
      <c r="A59" s="129" t="s">
        <v>997</v>
      </c>
      <c r="B59" s="143">
        <v>42926</v>
      </c>
      <c r="C59" t="s">
        <v>742</v>
      </c>
      <c r="D59">
        <v>-61.95</v>
      </c>
      <c r="E59" t="s">
        <v>751</v>
      </c>
      <c r="F59" t="s">
        <v>780</v>
      </c>
      <c r="I59" t="s">
        <v>999</v>
      </c>
      <c r="J59" s="129"/>
    </row>
    <row r="60" spans="1:10" x14ac:dyDescent="0.2">
      <c r="A60" s="129" t="s">
        <v>997</v>
      </c>
      <c r="B60" s="143">
        <v>42928</v>
      </c>
      <c r="C60" t="s">
        <v>742</v>
      </c>
      <c r="D60">
        <v>589.6</v>
      </c>
      <c r="E60" t="s">
        <v>758</v>
      </c>
      <c r="F60" t="s">
        <v>786</v>
      </c>
      <c r="I60" t="s">
        <v>998</v>
      </c>
      <c r="J60" s="129"/>
    </row>
    <row r="61" spans="1:10" x14ac:dyDescent="0.2">
      <c r="A61" s="129" t="s">
        <v>997</v>
      </c>
      <c r="B61" s="143">
        <v>42928</v>
      </c>
      <c r="C61" t="s">
        <v>742</v>
      </c>
      <c r="D61">
        <v>410.66</v>
      </c>
      <c r="E61" t="s">
        <v>758</v>
      </c>
      <c r="F61" t="s">
        <v>778</v>
      </c>
      <c r="I61" t="s">
        <v>998</v>
      </c>
      <c r="J61" s="129"/>
    </row>
    <row r="62" spans="1:10" x14ac:dyDescent="0.2">
      <c r="A62" s="129" t="s">
        <v>997</v>
      </c>
      <c r="B62" s="143">
        <v>42928</v>
      </c>
      <c r="C62" t="s">
        <v>742</v>
      </c>
      <c r="D62">
        <v>278.39999999999998</v>
      </c>
      <c r="E62" t="s">
        <v>758</v>
      </c>
      <c r="F62" t="s">
        <v>766</v>
      </c>
      <c r="I62" t="s">
        <v>998</v>
      </c>
      <c r="J62" s="129"/>
    </row>
    <row r="63" spans="1:10" x14ac:dyDescent="0.2">
      <c r="A63" s="129" t="s">
        <v>997</v>
      </c>
      <c r="B63" s="143">
        <v>42928</v>
      </c>
      <c r="C63" t="s">
        <v>742</v>
      </c>
      <c r="D63">
        <v>-126.04</v>
      </c>
      <c r="E63" t="s">
        <v>751</v>
      </c>
      <c r="F63" t="s">
        <v>779</v>
      </c>
      <c r="I63" t="s">
        <v>999</v>
      </c>
      <c r="J63" s="129"/>
    </row>
    <row r="64" spans="1:10" x14ac:dyDescent="0.2">
      <c r="A64" s="129" t="s">
        <v>997</v>
      </c>
      <c r="B64" s="143">
        <v>42929</v>
      </c>
      <c r="C64" t="s">
        <v>742</v>
      </c>
      <c r="D64">
        <v>324.8</v>
      </c>
      <c r="E64" t="s">
        <v>758</v>
      </c>
      <c r="F64" t="s">
        <v>782</v>
      </c>
      <c r="I64" t="s">
        <v>998</v>
      </c>
      <c r="J64" s="129"/>
    </row>
    <row r="65" spans="1:10" x14ac:dyDescent="0.2">
      <c r="A65" s="129" t="s">
        <v>997</v>
      </c>
      <c r="B65" s="143">
        <v>42929</v>
      </c>
      <c r="C65" t="s">
        <v>742</v>
      </c>
      <c r="D65">
        <v>314.27999999999997</v>
      </c>
      <c r="E65" t="s">
        <v>758</v>
      </c>
      <c r="F65" t="s">
        <v>767</v>
      </c>
      <c r="I65" t="s">
        <v>998</v>
      </c>
      <c r="J65" s="129"/>
    </row>
    <row r="66" spans="1:10" x14ac:dyDescent="0.2">
      <c r="A66" s="129" t="s">
        <v>997</v>
      </c>
      <c r="B66" s="143">
        <v>42929</v>
      </c>
      <c r="C66" t="s">
        <v>742</v>
      </c>
      <c r="D66">
        <v>-480</v>
      </c>
      <c r="E66" t="s">
        <v>756</v>
      </c>
      <c r="F66" t="s">
        <v>822</v>
      </c>
      <c r="I66" t="s">
        <v>998</v>
      </c>
      <c r="J66" s="137"/>
    </row>
    <row r="67" spans="1:10" x14ac:dyDescent="0.2">
      <c r="A67" s="129" t="s">
        <v>997</v>
      </c>
      <c r="B67" s="143">
        <v>42930</v>
      </c>
      <c r="C67" t="s">
        <v>742</v>
      </c>
      <c r="D67">
        <v>283.70999999999998</v>
      </c>
      <c r="E67" t="s">
        <v>758</v>
      </c>
      <c r="F67" t="s">
        <v>781</v>
      </c>
      <c r="I67" t="s">
        <v>998</v>
      </c>
      <c r="J67" s="137"/>
    </row>
    <row r="68" spans="1:10" x14ac:dyDescent="0.2">
      <c r="A68" s="129" t="s">
        <v>997</v>
      </c>
      <c r="B68" s="143">
        <v>42933</v>
      </c>
      <c r="C68" t="s">
        <v>742</v>
      </c>
      <c r="D68">
        <v>460.4</v>
      </c>
      <c r="E68" t="s">
        <v>758</v>
      </c>
      <c r="F68" t="s">
        <v>783</v>
      </c>
      <c r="I68" t="s">
        <v>998</v>
      </c>
      <c r="J68" s="137"/>
    </row>
    <row r="69" spans="1:10" x14ac:dyDescent="0.2">
      <c r="A69" s="129" t="s">
        <v>997</v>
      </c>
      <c r="B69" s="143">
        <v>42933</v>
      </c>
      <c r="C69" t="s">
        <v>742</v>
      </c>
      <c r="D69">
        <v>-14.8</v>
      </c>
      <c r="E69" t="s">
        <v>756</v>
      </c>
      <c r="F69" t="s">
        <v>823</v>
      </c>
      <c r="I69" t="s">
        <v>998</v>
      </c>
      <c r="J69" s="137"/>
    </row>
    <row r="70" spans="1:10" x14ac:dyDescent="0.2">
      <c r="A70" s="129" t="s">
        <v>997</v>
      </c>
      <c r="B70" s="143">
        <v>42933</v>
      </c>
      <c r="C70" t="s">
        <v>742</v>
      </c>
      <c r="D70">
        <v>-61.75</v>
      </c>
      <c r="E70" t="s">
        <v>757</v>
      </c>
      <c r="F70" t="s">
        <v>824</v>
      </c>
      <c r="I70" t="s">
        <v>998</v>
      </c>
      <c r="J70" s="137"/>
    </row>
    <row r="71" spans="1:10" x14ac:dyDescent="0.2">
      <c r="A71" s="129" t="s">
        <v>997</v>
      </c>
      <c r="B71" s="143">
        <v>42933</v>
      </c>
      <c r="C71" t="s">
        <v>742</v>
      </c>
      <c r="D71">
        <v>-234.59</v>
      </c>
      <c r="E71" t="s">
        <v>756</v>
      </c>
      <c r="F71" t="s">
        <v>825</v>
      </c>
      <c r="I71" t="s">
        <v>998</v>
      </c>
      <c r="J71" s="137"/>
    </row>
    <row r="72" spans="1:10" x14ac:dyDescent="0.2">
      <c r="A72" s="129" t="s">
        <v>997</v>
      </c>
      <c r="B72" s="143">
        <v>42933</v>
      </c>
      <c r="C72" t="s">
        <v>742</v>
      </c>
      <c r="D72">
        <v>-30</v>
      </c>
      <c r="E72" t="s">
        <v>756</v>
      </c>
      <c r="F72" t="s">
        <v>826</v>
      </c>
      <c r="I72" t="s">
        <v>998</v>
      </c>
      <c r="J72" s="137"/>
    </row>
    <row r="73" spans="1:10" x14ac:dyDescent="0.2">
      <c r="A73" s="129" t="s">
        <v>997</v>
      </c>
      <c r="B73" s="143">
        <v>42933</v>
      </c>
      <c r="C73" t="s">
        <v>742</v>
      </c>
      <c r="D73">
        <v>-476.44</v>
      </c>
      <c r="E73" t="s">
        <v>751</v>
      </c>
      <c r="F73" t="s">
        <v>787</v>
      </c>
      <c r="I73" t="s">
        <v>998</v>
      </c>
      <c r="J73" s="137"/>
    </row>
    <row r="74" spans="1:10" x14ac:dyDescent="0.2">
      <c r="A74" s="129" t="s">
        <v>997</v>
      </c>
      <c r="B74" s="143">
        <v>42933</v>
      </c>
      <c r="C74" t="s">
        <v>742</v>
      </c>
      <c r="D74">
        <v>-13.17</v>
      </c>
      <c r="E74" t="s">
        <v>751</v>
      </c>
      <c r="F74" t="s">
        <v>790</v>
      </c>
      <c r="I74" t="s">
        <v>999</v>
      </c>
      <c r="J74" s="129"/>
    </row>
    <row r="75" spans="1:10" x14ac:dyDescent="0.2">
      <c r="A75" s="129" t="s">
        <v>997</v>
      </c>
      <c r="B75" s="143">
        <v>42933</v>
      </c>
      <c r="C75" t="s">
        <v>742</v>
      </c>
      <c r="D75">
        <v>-163.35</v>
      </c>
      <c r="E75" t="s">
        <v>751</v>
      </c>
      <c r="F75" t="s">
        <v>791</v>
      </c>
      <c r="I75" t="s">
        <v>999</v>
      </c>
      <c r="J75" s="141"/>
    </row>
    <row r="76" spans="1:10" x14ac:dyDescent="0.2">
      <c r="A76" s="129" t="s">
        <v>997</v>
      </c>
      <c r="B76" s="143">
        <v>42933</v>
      </c>
      <c r="C76" t="s">
        <v>742</v>
      </c>
      <c r="D76">
        <v>-197.26</v>
      </c>
      <c r="E76" t="s">
        <v>751</v>
      </c>
      <c r="F76" t="s">
        <v>788</v>
      </c>
      <c r="I76" t="s">
        <v>999</v>
      </c>
      <c r="J76" s="129"/>
    </row>
    <row r="77" spans="1:10" x14ac:dyDescent="0.2">
      <c r="A77" s="129" t="s">
        <v>997</v>
      </c>
      <c r="B77" s="143">
        <v>42933</v>
      </c>
      <c r="C77" t="s">
        <v>742</v>
      </c>
      <c r="D77">
        <v>-165.91</v>
      </c>
      <c r="E77" t="s">
        <v>751</v>
      </c>
      <c r="F77" t="s">
        <v>789</v>
      </c>
      <c r="I77" t="s">
        <v>999</v>
      </c>
      <c r="J77" s="129"/>
    </row>
    <row r="78" spans="1:10" x14ac:dyDescent="0.2">
      <c r="A78" s="129" t="s">
        <v>997</v>
      </c>
      <c r="B78" s="143">
        <v>42933</v>
      </c>
      <c r="C78" t="s">
        <v>742</v>
      </c>
      <c r="D78">
        <v>-1</v>
      </c>
      <c r="E78" t="s">
        <v>794</v>
      </c>
      <c r="F78" t="s">
        <v>827</v>
      </c>
      <c r="I78" t="s">
        <v>998</v>
      </c>
      <c r="J78" s="129"/>
    </row>
    <row r="79" spans="1:10" x14ac:dyDescent="0.2">
      <c r="A79" s="129" t="s">
        <v>997</v>
      </c>
      <c r="B79" s="143">
        <v>42934</v>
      </c>
      <c r="C79" t="s">
        <v>742</v>
      </c>
      <c r="D79">
        <v>464</v>
      </c>
      <c r="E79" t="s">
        <v>758</v>
      </c>
      <c r="F79" t="s">
        <v>784</v>
      </c>
      <c r="I79" t="s">
        <v>998</v>
      </c>
      <c r="J79" s="129"/>
    </row>
    <row r="80" spans="1:10" x14ac:dyDescent="0.2">
      <c r="A80" s="129" t="s">
        <v>997</v>
      </c>
      <c r="B80" s="143">
        <v>42934</v>
      </c>
      <c r="C80" t="s">
        <v>742</v>
      </c>
      <c r="D80">
        <v>298.39999999999998</v>
      </c>
      <c r="E80" t="s">
        <v>758</v>
      </c>
      <c r="F80" t="s">
        <v>769</v>
      </c>
      <c r="I80" t="s">
        <v>998</v>
      </c>
      <c r="J80" s="129"/>
    </row>
    <row r="81" spans="1:10" x14ac:dyDescent="0.2">
      <c r="A81" s="129" t="s">
        <v>997</v>
      </c>
      <c r="B81" s="143">
        <v>42934</v>
      </c>
      <c r="C81" t="s">
        <v>742</v>
      </c>
      <c r="D81">
        <v>106.46</v>
      </c>
      <c r="E81" t="s">
        <v>758</v>
      </c>
      <c r="F81" t="s">
        <v>772</v>
      </c>
      <c r="I81" t="s">
        <v>998</v>
      </c>
      <c r="J81" s="129"/>
    </row>
    <row r="82" spans="1:10" x14ac:dyDescent="0.2">
      <c r="A82" s="129" t="s">
        <v>997</v>
      </c>
      <c r="B82" s="143">
        <v>42934</v>
      </c>
      <c r="C82" t="s">
        <v>742</v>
      </c>
      <c r="D82">
        <v>106.44</v>
      </c>
      <c r="E82" t="s">
        <v>758</v>
      </c>
      <c r="F82" t="s">
        <v>773</v>
      </c>
      <c r="I82" t="s">
        <v>998</v>
      </c>
      <c r="J82" s="129"/>
    </row>
    <row r="83" spans="1:10" x14ac:dyDescent="0.2">
      <c r="A83" s="129" t="s">
        <v>997</v>
      </c>
      <c r="B83" s="143">
        <v>42934</v>
      </c>
      <c r="C83" t="s">
        <v>742</v>
      </c>
      <c r="D83">
        <v>-130.22999999999999</v>
      </c>
      <c r="E83" t="s">
        <v>751</v>
      </c>
      <c r="F83" t="s">
        <v>793</v>
      </c>
      <c r="I83" t="s">
        <v>999</v>
      </c>
      <c r="J83" s="129"/>
    </row>
    <row r="84" spans="1:10" x14ac:dyDescent="0.2">
      <c r="A84" s="129" t="s">
        <v>997</v>
      </c>
      <c r="B84" s="143">
        <v>42935</v>
      </c>
      <c r="C84" t="s">
        <v>742</v>
      </c>
      <c r="D84">
        <v>288.04000000000002</v>
      </c>
      <c r="E84" t="s">
        <v>758</v>
      </c>
      <c r="F84" t="s">
        <v>792</v>
      </c>
      <c r="I84" t="s">
        <v>998</v>
      </c>
      <c r="J84" s="129"/>
    </row>
    <row r="85" spans="1:10" x14ac:dyDescent="0.2">
      <c r="A85" s="129" t="s">
        <v>997</v>
      </c>
      <c r="B85" s="143">
        <v>42935</v>
      </c>
      <c r="C85" t="s">
        <v>742</v>
      </c>
      <c r="D85">
        <v>167.59</v>
      </c>
      <c r="E85" t="s">
        <v>758</v>
      </c>
      <c r="F85" t="s">
        <v>774</v>
      </c>
      <c r="I85" t="s">
        <v>998</v>
      </c>
      <c r="J85" s="129"/>
    </row>
    <row r="86" spans="1:10" x14ac:dyDescent="0.2">
      <c r="A86" s="129" t="s">
        <v>997</v>
      </c>
      <c r="B86" s="143">
        <v>42935</v>
      </c>
      <c r="C86" t="s">
        <v>742</v>
      </c>
      <c r="D86">
        <v>128</v>
      </c>
      <c r="E86" t="s">
        <v>758</v>
      </c>
      <c r="F86" t="s">
        <v>785</v>
      </c>
      <c r="I86" t="s">
        <v>998</v>
      </c>
      <c r="J86" s="129"/>
    </row>
    <row r="87" spans="1:10" x14ac:dyDescent="0.2">
      <c r="A87" s="129" t="s">
        <v>997</v>
      </c>
      <c r="B87" s="143">
        <v>42935</v>
      </c>
      <c r="C87" t="s">
        <v>742</v>
      </c>
      <c r="D87">
        <v>-51.99</v>
      </c>
      <c r="E87" t="s">
        <v>757</v>
      </c>
      <c r="F87" t="s">
        <v>828</v>
      </c>
      <c r="I87" t="s">
        <v>998</v>
      </c>
      <c r="J87" s="129"/>
    </row>
    <row r="88" spans="1:10" x14ac:dyDescent="0.2">
      <c r="A88" s="129" t="s">
        <v>997</v>
      </c>
      <c r="B88" s="143">
        <v>42937</v>
      </c>
      <c r="C88" t="s">
        <v>742</v>
      </c>
      <c r="D88">
        <v>-7.25</v>
      </c>
      <c r="E88" t="s">
        <v>756</v>
      </c>
      <c r="F88" t="s">
        <v>829</v>
      </c>
      <c r="I88" t="s">
        <v>998</v>
      </c>
      <c r="J88" s="129"/>
    </row>
    <row r="89" spans="1:10" x14ac:dyDescent="0.2">
      <c r="A89" s="129" t="s">
        <v>997</v>
      </c>
      <c r="B89" s="143">
        <v>42937</v>
      </c>
      <c r="C89" t="s">
        <v>742</v>
      </c>
      <c r="D89">
        <v>-2.89</v>
      </c>
      <c r="E89" t="s">
        <v>756</v>
      </c>
      <c r="F89" t="s">
        <v>830</v>
      </c>
      <c r="I89" t="s">
        <v>998</v>
      </c>
      <c r="J89" s="129"/>
    </row>
    <row r="90" spans="1:10" x14ac:dyDescent="0.2">
      <c r="A90" s="129" t="s">
        <v>997</v>
      </c>
      <c r="B90" s="143">
        <v>42940</v>
      </c>
      <c r="C90" t="s">
        <v>742</v>
      </c>
      <c r="D90">
        <v>-6.76</v>
      </c>
      <c r="E90" t="s">
        <v>756</v>
      </c>
      <c r="F90" t="s">
        <v>831</v>
      </c>
      <c r="I90" t="s">
        <v>998</v>
      </c>
      <c r="J90" s="129"/>
    </row>
    <row r="91" spans="1:10" x14ac:dyDescent="0.2">
      <c r="A91" s="129" t="s">
        <v>997</v>
      </c>
      <c r="B91" s="143">
        <v>42940</v>
      </c>
      <c r="C91" t="s">
        <v>742</v>
      </c>
      <c r="D91">
        <v>-3.95</v>
      </c>
      <c r="E91" t="s">
        <v>756</v>
      </c>
      <c r="F91" t="s">
        <v>832</v>
      </c>
      <c r="I91" t="s">
        <v>998</v>
      </c>
      <c r="J91" s="129"/>
    </row>
    <row r="92" spans="1:10" x14ac:dyDescent="0.2">
      <c r="A92" s="129" t="s">
        <v>997</v>
      </c>
      <c r="B92" s="143">
        <v>42940</v>
      </c>
      <c r="C92" t="s">
        <v>742</v>
      </c>
      <c r="D92">
        <v>-72.5</v>
      </c>
      <c r="E92" t="s">
        <v>756</v>
      </c>
      <c r="F92" t="s">
        <v>833</v>
      </c>
      <c r="I92" t="s">
        <v>998</v>
      </c>
      <c r="J92" s="129"/>
    </row>
    <row r="93" spans="1:10" x14ac:dyDescent="0.2">
      <c r="A93" s="129" t="s">
        <v>997</v>
      </c>
      <c r="B93" s="143">
        <v>42940</v>
      </c>
      <c r="C93" t="s">
        <v>742</v>
      </c>
      <c r="D93">
        <v>-47.33</v>
      </c>
      <c r="E93" t="s">
        <v>756</v>
      </c>
      <c r="F93" t="s">
        <v>834</v>
      </c>
      <c r="I93" t="s">
        <v>998</v>
      </c>
      <c r="J93" s="129"/>
    </row>
    <row r="94" spans="1:10" x14ac:dyDescent="0.2">
      <c r="A94" s="129" t="s">
        <v>997</v>
      </c>
      <c r="B94" s="143">
        <v>42940</v>
      </c>
      <c r="C94" t="s">
        <v>742</v>
      </c>
      <c r="D94">
        <v>-46.5</v>
      </c>
      <c r="E94" t="s">
        <v>756</v>
      </c>
      <c r="F94" t="s">
        <v>835</v>
      </c>
      <c r="I94" t="s">
        <v>998</v>
      </c>
      <c r="J94" s="129"/>
    </row>
    <row r="95" spans="1:10" x14ac:dyDescent="0.2">
      <c r="A95" s="129" t="s">
        <v>997</v>
      </c>
      <c r="B95" s="143">
        <v>42940</v>
      </c>
      <c r="C95" t="s">
        <v>742</v>
      </c>
      <c r="D95">
        <v>-27.6</v>
      </c>
      <c r="E95" t="s">
        <v>756</v>
      </c>
      <c r="F95" t="s">
        <v>836</v>
      </c>
      <c r="I95" t="s">
        <v>998</v>
      </c>
      <c r="J95" s="129"/>
    </row>
    <row r="96" spans="1:10" x14ac:dyDescent="0.2">
      <c r="A96" s="129" t="s">
        <v>997</v>
      </c>
      <c r="B96" s="143">
        <v>42940</v>
      </c>
      <c r="C96" t="s">
        <v>742</v>
      </c>
      <c r="D96">
        <v>-2.6</v>
      </c>
      <c r="E96" t="s">
        <v>756</v>
      </c>
      <c r="F96" t="s">
        <v>837</v>
      </c>
      <c r="I96" t="s">
        <v>998</v>
      </c>
      <c r="J96" s="129"/>
    </row>
    <row r="97" spans="1:10" x14ac:dyDescent="0.2">
      <c r="A97" s="129" t="s">
        <v>997</v>
      </c>
      <c r="B97" s="143">
        <v>42940</v>
      </c>
      <c r="C97" t="s">
        <v>742</v>
      </c>
      <c r="D97">
        <v>-165.12</v>
      </c>
      <c r="E97" t="s">
        <v>751</v>
      </c>
      <c r="F97" t="s">
        <v>797</v>
      </c>
      <c r="I97" t="s">
        <v>999</v>
      </c>
      <c r="J97" s="137"/>
    </row>
    <row r="98" spans="1:10" x14ac:dyDescent="0.2">
      <c r="A98" s="129" t="s">
        <v>997</v>
      </c>
      <c r="B98" s="143">
        <v>42941</v>
      </c>
      <c r="C98" t="s">
        <v>742</v>
      </c>
      <c r="D98">
        <v>106.45</v>
      </c>
      <c r="E98" t="s">
        <v>758</v>
      </c>
      <c r="F98" t="s">
        <v>771</v>
      </c>
      <c r="I98" t="s">
        <v>998</v>
      </c>
      <c r="J98" s="129"/>
    </row>
    <row r="99" spans="1:10" x14ac:dyDescent="0.2">
      <c r="A99" s="129" t="s">
        <v>997</v>
      </c>
      <c r="B99" s="143">
        <v>42941</v>
      </c>
      <c r="C99" t="s">
        <v>742</v>
      </c>
      <c r="D99">
        <v>-102</v>
      </c>
      <c r="E99" t="s">
        <v>743</v>
      </c>
      <c r="F99" t="s">
        <v>799</v>
      </c>
      <c r="I99" t="s">
        <v>998</v>
      </c>
      <c r="J99" s="129"/>
    </row>
    <row r="100" spans="1:10" x14ac:dyDescent="0.2">
      <c r="A100" s="129" t="s">
        <v>997</v>
      </c>
      <c r="B100" s="143">
        <v>42942</v>
      </c>
      <c r="C100" t="s">
        <v>742</v>
      </c>
      <c r="D100">
        <v>232</v>
      </c>
      <c r="E100" t="s">
        <v>758</v>
      </c>
      <c r="F100" t="s">
        <v>785</v>
      </c>
      <c r="I100" t="s">
        <v>998</v>
      </c>
      <c r="J100" s="129"/>
    </row>
    <row r="101" spans="1:10" x14ac:dyDescent="0.2">
      <c r="A101" s="129" t="s">
        <v>997</v>
      </c>
      <c r="B101" s="143">
        <v>42943</v>
      </c>
      <c r="C101" t="s">
        <v>742</v>
      </c>
      <c r="D101">
        <v>464</v>
      </c>
      <c r="E101" t="s">
        <v>758</v>
      </c>
      <c r="F101" t="s">
        <v>800</v>
      </c>
      <c r="I101" t="s">
        <v>998</v>
      </c>
      <c r="J101" s="129"/>
    </row>
    <row r="102" spans="1:10" x14ac:dyDescent="0.2">
      <c r="A102" s="129" t="s">
        <v>997</v>
      </c>
      <c r="B102" s="143">
        <v>42943</v>
      </c>
      <c r="C102" t="s">
        <v>742</v>
      </c>
      <c r="D102">
        <v>185.6</v>
      </c>
      <c r="E102" t="s">
        <v>758</v>
      </c>
      <c r="F102" t="s">
        <v>796</v>
      </c>
      <c r="I102" t="s">
        <v>998</v>
      </c>
      <c r="J102" s="129"/>
    </row>
    <row r="103" spans="1:10" x14ac:dyDescent="0.2">
      <c r="A103" s="129" t="s">
        <v>997</v>
      </c>
      <c r="B103" s="143">
        <v>42943</v>
      </c>
      <c r="C103" t="s">
        <v>742</v>
      </c>
      <c r="D103">
        <v>-600</v>
      </c>
      <c r="E103" t="s">
        <v>798</v>
      </c>
      <c r="F103" t="s">
        <v>838</v>
      </c>
      <c r="I103" t="s">
        <v>998</v>
      </c>
      <c r="J103" s="129"/>
    </row>
    <row r="104" spans="1:10" x14ac:dyDescent="0.2">
      <c r="A104" s="129" t="s">
        <v>997</v>
      </c>
      <c r="B104" s="143">
        <v>42947</v>
      </c>
      <c r="C104" t="s">
        <v>742</v>
      </c>
      <c r="D104">
        <v>-19.899999999999999</v>
      </c>
      <c r="E104" t="s">
        <v>756</v>
      </c>
      <c r="F104" t="s">
        <v>839</v>
      </c>
      <c r="I104" t="s">
        <v>998</v>
      </c>
      <c r="J104" s="129"/>
    </row>
    <row r="105" spans="1:10" x14ac:dyDescent="0.2">
      <c r="A105" s="129" t="s">
        <v>997</v>
      </c>
      <c r="B105" s="143">
        <v>42947</v>
      </c>
      <c r="C105" t="s">
        <v>742</v>
      </c>
      <c r="D105">
        <v>-9.6999999999999993</v>
      </c>
      <c r="E105" t="s">
        <v>756</v>
      </c>
      <c r="F105" t="s">
        <v>840</v>
      </c>
      <c r="I105" t="s">
        <v>998</v>
      </c>
      <c r="J105" s="129"/>
    </row>
    <row r="106" spans="1:10" x14ac:dyDescent="0.2">
      <c r="A106" s="129" t="s">
        <v>997</v>
      </c>
      <c r="B106" s="143">
        <v>42947</v>
      </c>
      <c r="C106" t="s">
        <v>742</v>
      </c>
      <c r="D106">
        <v>-6.98</v>
      </c>
      <c r="E106" t="s">
        <v>756</v>
      </c>
      <c r="F106" t="s">
        <v>841</v>
      </c>
      <c r="I106" t="s">
        <v>998</v>
      </c>
      <c r="J106" s="129"/>
    </row>
    <row r="107" spans="1:10" x14ac:dyDescent="0.2">
      <c r="A107" s="129" t="s">
        <v>997</v>
      </c>
      <c r="B107" s="143">
        <v>42947</v>
      </c>
      <c r="C107" t="s">
        <v>742</v>
      </c>
      <c r="D107">
        <v>-116</v>
      </c>
      <c r="E107" t="s">
        <v>751</v>
      </c>
      <c r="F107" t="s">
        <v>801</v>
      </c>
      <c r="I107" t="s">
        <v>999</v>
      </c>
      <c r="J107" s="137"/>
    </row>
    <row r="108" spans="1:10" x14ac:dyDescent="0.2">
      <c r="A108" s="129" t="s">
        <v>997</v>
      </c>
      <c r="B108" s="143">
        <v>42947</v>
      </c>
      <c r="C108" t="s">
        <v>742</v>
      </c>
      <c r="D108">
        <v>-166.41</v>
      </c>
      <c r="E108" t="s">
        <v>751</v>
      </c>
      <c r="F108" t="s">
        <v>842</v>
      </c>
      <c r="I108" t="s">
        <v>999</v>
      </c>
      <c r="J108" s="137"/>
    </row>
    <row r="109" spans="1:10" x14ac:dyDescent="0.2">
      <c r="A109" s="129" t="s">
        <v>997</v>
      </c>
      <c r="B109" s="143">
        <v>42947</v>
      </c>
      <c r="C109" t="s">
        <v>742</v>
      </c>
      <c r="D109">
        <v>-173.32</v>
      </c>
      <c r="E109" t="s">
        <v>751</v>
      </c>
      <c r="F109" t="s">
        <v>843</v>
      </c>
      <c r="I109" t="s">
        <v>999</v>
      </c>
      <c r="J109" s="137"/>
    </row>
    <row r="110" spans="1:10" x14ac:dyDescent="0.2">
      <c r="A110" s="129" t="s">
        <v>997</v>
      </c>
      <c r="B110" s="143">
        <v>42947</v>
      </c>
      <c r="C110" t="s">
        <v>742</v>
      </c>
      <c r="D110">
        <v>-173.32</v>
      </c>
      <c r="E110" t="s">
        <v>751</v>
      </c>
      <c r="F110" t="s">
        <v>844</v>
      </c>
      <c r="I110" t="s">
        <v>999</v>
      </c>
      <c r="J110" s="137"/>
    </row>
    <row r="111" spans="1:10" x14ac:dyDescent="0.2">
      <c r="A111" s="129" t="s">
        <v>997</v>
      </c>
      <c r="B111" s="143">
        <v>42947</v>
      </c>
      <c r="C111" t="s">
        <v>742</v>
      </c>
      <c r="D111">
        <v>-173.32</v>
      </c>
      <c r="E111" t="s">
        <v>751</v>
      </c>
      <c r="F111" t="s">
        <v>845</v>
      </c>
      <c r="I111" t="s">
        <v>999</v>
      </c>
      <c r="J111" s="129"/>
    </row>
    <row r="112" spans="1:10" x14ac:dyDescent="0.2">
      <c r="A112" s="129" t="s">
        <v>997</v>
      </c>
      <c r="B112" s="143">
        <v>42947</v>
      </c>
      <c r="C112" t="s">
        <v>742</v>
      </c>
      <c r="D112">
        <v>-59.17</v>
      </c>
      <c r="E112" t="s">
        <v>751</v>
      </c>
      <c r="F112" t="s">
        <v>846</v>
      </c>
      <c r="I112" t="s">
        <v>998</v>
      </c>
      <c r="J112" s="129"/>
    </row>
    <row r="113" spans="1:10" x14ac:dyDescent="0.2">
      <c r="A113" s="129"/>
      <c r="B113" s="143"/>
      <c r="H113" s="129"/>
      <c r="J113" s="129"/>
    </row>
    <row r="114" spans="1:10" x14ac:dyDescent="0.2">
      <c r="A114" s="129"/>
      <c r="B114" s="143"/>
      <c r="H114" s="137"/>
      <c r="J114" s="137"/>
    </row>
    <row r="115" spans="1:10" x14ac:dyDescent="0.2">
      <c r="A115" s="129"/>
      <c r="B115" s="143"/>
      <c r="H115" s="137"/>
      <c r="J115" s="137"/>
    </row>
    <row r="116" spans="1:10" x14ac:dyDescent="0.2">
      <c r="A116" s="129"/>
      <c r="B116" s="143"/>
      <c r="H116" s="137"/>
      <c r="J116" s="137"/>
    </row>
    <row r="117" spans="1:10" x14ac:dyDescent="0.2">
      <c r="A117" s="129"/>
      <c r="B117" s="143"/>
      <c r="H117" s="137"/>
      <c r="J117" s="137"/>
    </row>
    <row r="118" spans="1:10" x14ac:dyDescent="0.2">
      <c r="A118" s="129"/>
      <c r="B118" s="143"/>
      <c r="H118" s="137"/>
      <c r="J118" s="129"/>
    </row>
    <row r="119" spans="1:10" x14ac:dyDescent="0.2">
      <c r="A119" s="129"/>
      <c r="B119" s="143"/>
      <c r="H119" s="137"/>
      <c r="J119" s="129"/>
    </row>
    <row r="120" spans="1:10" x14ac:dyDescent="0.2">
      <c r="A120" s="129"/>
      <c r="B120" s="143"/>
      <c r="H120" s="137"/>
      <c r="J120" s="129"/>
    </row>
    <row r="121" spans="1:10" x14ac:dyDescent="0.2">
      <c r="A121" s="129"/>
      <c r="B121" s="143"/>
      <c r="H121" s="137"/>
      <c r="J121" s="129"/>
    </row>
    <row r="122" spans="1:10" x14ac:dyDescent="0.2">
      <c r="A122" s="129"/>
      <c r="B122" s="143"/>
      <c r="H122" s="137"/>
      <c r="J122" s="129"/>
    </row>
    <row r="123" spans="1:10" x14ac:dyDescent="0.2">
      <c r="A123" s="129"/>
      <c r="B123" s="143"/>
      <c r="H123" s="137"/>
      <c r="J123" s="129"/>
    </row>
    <row r="124" spans="1:10" x14ac:dyDescent="0.2">
      <c r="A124" s="129"/>
      <c r="B124" s="143"/>
      <c r="H124" s="137"/>
      <c r="J124" s="129"/>
    </row>
    <row r="125" spans="1:10" x14ac:dyDescent="0.2">
      <c r="A125" s="129"/>
      <c r="B125" s="143"/>
      <c r="H125" s="137"/>
      <c r="J125" s="129"/>
    </row>
    <row r="126" spans="1:10" x14ac:dyDescent="0.2">
      <c r="A126" s="129"/>
      <c r="B126" s="143"/>
      <c r="H126" s="137"/>
      <c r="J126" s="129"/>
    </row>
    <row r="127" spans="1:10" x14ac:dyDescent="0.2">
      <c r="A127" s="129"/>
      <c r="B127" s="143"/>
      <c r="H127" s="137"/>
      <c r="J127" s="129"/>
    </row>
    <row r="128" spans="1:10" x14ac:dyDescent="0.2">
      <c r="A128" s="129"/>
      <c r="B128" s="143"/>
      <c r="H128" s="137"/>
      <c r="J128" s="129"/>
    </row>
    <row r="129" spans="1:10" x14ac:dyDescent="0.2">
      <c r="A129" s="129"/>
      <c r="B129" s="143"/>
      <c r="H129" s="137"/>
      <c r="J129" s="129"/>
    </row>
    <row r="130" spans="1:10" x14ac:dyDescent="0.2">
      <c r="A130" s="129"/>
      <c r="B130" s="142"/>
      <c r="C130" s="129"/>
      <c r="D130" s="129"/>
      <c r="E130" s="129"/>
      <c r="F130" s="129"/>
      <c r="G130" s="129"/>
      <c r="H130" s="137"/>
      <c r="I130" s="129"/>
      <c r="J130" s="129"/>
    </row>
    <row r="131" spans="1:10" x14ac:dyDescent="0.2">
      <c r="A131" s="129"/>
      <c r="B131" s="142"/>
      <c r="C131" s="129"/>
      <c r="D131" s="129"/>
      <c r="E131" s="129"/>
      <c r="F131" s="129"/>
      <c r="G131" s="129"/>
      <c r="H131" s="129"/>
      <c r="I131" s="129"/>
      <c r="J131" s="129"/>
    </row>
    <row r="132" spans="1:10" x14ac:dyDescent="0.2">
      <c r="A132" s="129"/>
      <c r="B132" s="142"/>
      <c r="C132" s="129"/>
      <c r="D132" s="129"/>
      <c r="E132" s="129"/>
      <c r="F132" s="129"/>
      <c r="G132" s="129"/>
      <c r="H132" s="137"/>
      <c r="I132" s="129"/>
      <c r="J132" s="129"/>
    </row>
    <row r="133" spans="1:10" x14ac:dyDescent="0.2">
      <c r="A133" s="129"/>
      <c r="B133" s="142"/>
      <c r="C133" s="129"/>
      <c r="D133" s="129"/>
      <c r="E133" s="129"/>
      <c r="F133" s="129"/>
      <c r="G133" s="129"/>
      <c r="H133" s="129"/>
      <c r="I133" s="129"/>
      <c r="J133" s="129"/>
    </row>
    <row r="134" spans="1:10" x14ac:dyDescent="0.2">
      <c r="A134" s="129"/>
      <c r="B134" s="142"/>
      <c r="C134" s="129"/>
      <c r="D134" s="129"/>
      <c r="E134" s="129"/>
      <c r="F134" s="129"/>
      <c r="G134" s="129"/>
      <c r="H134" s="129"/>
      <c r="I134" s="129"/>
      <c r="J134" s="129"/>
    </row>
    <row r="135" spans="1:10" x14ac:dyDescent="0.2">
      <c r="A135" s="129"/>
      <c r="B135" s="142"/>
      <c r="C135" s="129"/>
      <c r="D135" s="129"/>
      <c r="E135" s="129"/>
      <c r="F135" s="129"/>
      <c r="G135" s="129"/>
      <c r="H135" s="137"/>
      <c r="I135" s="129"/>
      <c r="J135" s="137"/>
    </row>
    <row r="136" spans="1:10" x14ac:dyDescent="0.2">
      <c r="A136" s="129"/>
      <c r="B136" s="142"/>
      <c r="C136" s="129"/>
      <c r="D136" s="129"/>
      <c r="E136" s="129"/>
      <c r="F136" s="129"/>
      <c r="G136" s="129"/>
      <c r="H136" s="137"/>
      <c r="I136" s="129"/>
      <c r="J136" s="129"/>
    </row>
    <row r="137" spans="1:10" x14ac:dyDescent="0.2">
      <c r="A137" s="129"/>
      <c r="B137" s="142"/>
      <c r="C137" s="129"/>
      <c r="D137" s="129"/>
      <c r="E137" s="129"/>
      <c r="F137" s="129"/>
      <c r="G137" s="129"/>
      <c r="H137" s="137"/>
      <c r="I137" s="129"/>
      <c r="J137" s="129"/>
    </row>
    <row r="138" spans="1:10" x14ac:dyDescent="0.2">
      <c r="A138" s="129"/>
      <c r="B138" s="142"/>
      <c r="C138" s="129"/>
      <c r="D138" s="129"/>
      <c r="E138" s="129"/>
      <c r="F138" s="129"/>
      <c r="G138" s="129"/>
      <c r="H138" s="137"/>
      <c r="I138" s="129"/>
      <c r="J138" s="129"/>
    </row>
    <row r="139" spans="1:10" x14ac:dyDescent="0.2">
      <c r="A139" s="129"/>
      <c r="B139" s="142"/>
      <c r="C139" s="129"/>
      <c r="D139" s="129"/>
      <c r="E139" s="129"/>
      <c r="F139" s="129"/>
      <c r="G139" s="129"/>
      <c r="H139" s="137"/>
      <c r="I139" s="129"/>
      <c r="J139" s="129"/>
    </row>
    <row r="140" spans="1:10" x14ac:dyDescent="0.2">
      <c r="A140" s="129"/>
      <c r="B140" s="142"/>
      <c r="C140" s="129"/>
      <c r="D140" s="129"/>
      <c r="E140" s="129"/>
      <c r="F140" s="129"/>
      <c r="G140" s="129"/>
      <c r="H140" s="137"/>
      <c r="I140" s="129"/>
      <c r="J140" s="129"/>
    </row>
    <row r="141" spans="1:10" x14ac:dyDescent="0.2">
      <c r="A141" s="129"/>
      <c r="B141" s="142"/>
      <c r="C141" s="129"/>
      <c r="D141" s="129"/>
      <c r="E141" s="129"/>
      <c r="F141" s="129"/>
      <c r="G141" s="129"/>
      <c r="H141" s="137"/>
      <c r="I141" s="129"/>
      <c r="J141" s="129"/>
    </row>
    <row r="142" spans="1:10" x14ac:dyDescent="0.2">
      <c r="A142" s="129"/>
      <c r="B142" s="142"/>
      <c r="C142" s="129"/>
      <c r="D142" s="129"/>
      <c r="E142" s="129"/>
      <c r="F142" s="129"/>
      <c r="G142" s="129"/>
      <c r="H142" s="129"/>
      <c r="I142" s="129"/>
      <c r="J142" s="129"/>
    </row>
    <row r="143" spans="1:10" x14ac:dyDescent="0.2">
      <c r="A143" s="129"/>
      <c r="B143" s="142"/>
      <c r="C143" s="129"/>
      <c r="D143" s="129"/>
      <c r="E143" s="129"/>
      <c r="F143" s="129"/>
      <c r="G143" s="129"/>
      <c r="H143" s="129"/>
      <c r="I143" s="129"/>
      <c r="J143" s="129"/>
    </row>
    <row r="144" spans="1:10" x14ac:dyDescent="0.2">
      <c r="A144" s="129"/>
      <c r="B144" s="142"/>
      <c r="C144" s="129"/>
      <c r="D144" s="129"/>
      <c r="E144" s="129"/>
      <c r="F144" s="129"/>
      <c r="G144" s="129"/>
      <c r="H144" s="137"/>
      <c r="I144" s="129"/>
      <c r="J144" s="137"/>
    </row>
    <row r="145" spans="1:10" x14ac:dyDescent="0.2">
      <c r="A145" s="129"/>
      <c r="B145" s="142"/>
      <c r="C145" s="129"/>
      <c r="D145" s="129"/>
      <c r="E145" s="129"/>
      <c r="F145" s="129"/>
      <c r="G145" s="129"/>
      <c r="H145" s="137"/>
      <c r="I145" s="129"/>
      <c r="J145" s="137"/>
    </row>
    <row r="146" spans="1:10" x14ac:dyDescent="0.2">
      <c r="A146" s="129"/>
      <c r="B146" s="142"/>
      <c r="C146" s="129"/>
      <c r="D146" s="129"/>
      <c r="E146" s="129"/>
      <c r="F146" s="129"/>
      <c r="G146" s="129"/>
      <c r="H146" s="137"/>
      <c r="I146" s="129"/>
      <c r="J146" s="137"/>
    </row>
    <row r="147" spans="1:10" x14ac:dyDescent="0.2">
      <c r="A147" s="129"/>
      <c r="B147" s="142"/>
      <c r="C147" s="129"/>
      <c r="D147" s="129"/>
      <c r="E147" s="129"/>
      <c r="F147" s="129"/>
      <c r="G147" s="129"/>
      <c r="H147" s="137"/>
      <c r="I147" s="129"/>
      <c r="J147" s="137"/>
    </row>
    <row r="148" spans="1:10" x14ac:dyDescent="0.2">
      <c r="A148" s="129"/>
      <c r="B148" s="142"/>
      <c r="C148" s="129"/>
      <c r="D148" s="129"/>
      <c r="E148" s="129"/>
      <c r="F148" s="129"/>
      <c r="G148" s="129"/>
      <c r="H148" s="137"/>
      <c r="I148" s="129"/>
      <c r="J148" s="137"/>
    </row>
    <row r="149" spans="1:10" x14ac:dyDescent="0.2">
      <c r="A149" s="129"/>
      <c r="B149" s="142"/>
      <c r="C149" s="129"/>
      <c r="D149" s="129"/>
      <c r="E149" s="129"/>
      <c r="F149" s="129"/>
      <c r="G149" s="129"/>
      <c r="H149" s="137"/>
      <c r="I149" s="129"/>
      <c r="J149" s="137"/>
    </row>
    <row r="150" spans="1:10" x14ac:dyDescent="0.2">
      <c r="A150" s="129"/>
      <c r="B150" s="142"/>
      <c r="C150" s="129"/>
      <c r="D150" s="129"/>
      <c r="E150" s="129"/>
      <c r="F150" s="129"/>
      <c r="G150" s="129"/>
      <c r="H150" s="137"/>
      <c r="I150" s="129"/>
      <c r="J150" s="137"/>
    </row>
    <row r="151" spans="1:10" x14ac:dyDescent="0.2">
      <c r="A151" s="129"/>
      <c r="B151" s="142"/>
      <c r="C151" s="129"/>
      <c r="D151" s="129"/>
      <c r="E151" s="129"/>
      <c r="F151" s="129"/>
      <c r="G151" s="129"/>
      <c r="H151" s="137"/>
      <c r="I151" s="129"/>
      <c r="J151" s="137"/>
    </row>
    <row r="152" spans="1:10" x14ac:dyDescent="0.2">
      <c r="A152" s="129"/>
      <c r="B152" s="142"/>
      <c r="C152" s="129"/>
      <c r="D152" s="129"/>
      <c r="E152" s="129"/>
      <c r="F152" s="129"/>
      <c r="G152" s="129"/>
      <c r="H152" s="137"/>
      <c r="I152" s="129"/>
      <c r="J152" s="137"/>
    </row>
    <row r="153" spans="1:10" x14ac:dyDescent="0.2">
      <c r="A153" s="129"/>
      <c r="B153" s="142"/>
      <c r="C153" s="129"/>
      <c r="D153" s="129"/>
      <c r="E153" s="129"/>
      <c r="F153" s="129"/>
      <c r="G153" s="129"/>
      <c r="H153" s="137"/>
      <c r="I153" s="129"/>
      <c r="J153" s="137"/>
    </row>
    <row r="154" spans="1:10" x14ac:dyDescent="0.2">
      <c r="A154" s="129"/>
      <c r="B154" s="142"/>
      <c r="C154" s="129"/>
      <c r="D154" s="129"/>
      <c r="E154" s="129"/>
      <c r="F154" s="129"/>
      <c r="G154" s="129"/>
      <c r="H154" s="137"/>
      <c r="I154" s="129"/>
      <c r="J154" s="129"/>
    </row>
    <row r="155" spans="1:10" x14ac:dyDescent="0.2">
      <c r="A155" s="129"/>
      <c r="B155" s="142"/>
      <c r="C155" s="129"/>
      <c r="D155" s="129"/>
      <c r="E155" s="129"/>
      <c r="F155" s="129"/>
      <c r="G155" s="129"/>
      <c r="H155" s="129"/>
      <c r="I155" s="129"/>
      <c r="J155" s="129"/>
    </row>
    <row r="156" spans="1:10" x14ac:dyDescent="0.2">
      <c r="A156" s="129"/>
      <c r="B156" s="142"/>
      <c r="C156" s="129"/>
      <c r="D156" s="129"/>
      <c r="E156" s="129"/>
      <c r="F156" s="129"/>
      <c r="G156" s="129"/>
      <c r="H156" s="129"/>
      <c r="I156" s="129"/>
      <c r="J156" s="129"/>
    </row>
    <row r="157" spans="1:10" x14ac:dyDescent="0.2">
      <c r="A157" s="129"/>
      <c r="B157" s="142"/>
      <c r="C157" s="129"/>
      <c r="D157" s="129"/>
      <c r="E157" s="129"/>
      <c r="F157" s="129"/>
      <c r="G157" s="129"/>
      <c r="H157" s="137"/>
      <c r="I157" s="129"/>
      <c r="J157" s="137"/>
    </row>
    <row r="158" spans="1:10" x14ac:dyDescent="0.2">
      <c r="A158" s="129"/>
      <c r="B158" s="142"/>
      <c r="C158" s="129"/>
      <c r="D158" s="129"/>
      <c r="E158" s="129"/>
      <c r="F158" s="129"/>
      <c r="G158" s="129"/>
      <c r="H158" s="137"/>
      <c r="I158" s="129"/>
      <c r="J158" s="137"/>
    </row>
    <row r="159" spans="1:10" x14ac:dyDescent="0.2">
      <c r="A159" s="129"/>
      <c r="B159" s="142"/>
      <c r="C159" s="129"/>
      <c r="D159" s="129"/>
      <c r="E159" s="129"/>
      <c r="F159" s="129"/>
      <c r="G159" s="129"/>
      <c r="H159" s="129"/>
      <c r="I159" s="129"/>
      <c r="J159" s="129"/>
    </row>
    <row r="160" spans="1:10" x14ac:dyDescent="0.2">
      <c r="A160" s="129"/>
      <c r="B160" s="142"/>
      <c r="C160" s="129"/>
      <c r="D160" s="129"/>
      <c r="E160" s="129"/>
      <c r="F160" s="129"/>
      <c r="G160" s="129"/>
      <c r="H160" s="129"/>
      <c r="I160" s="129"/>
      <c r="J160" s="129"/>
    </row>
    <row r="161" spans="1:10" x14ac:dyDescent="0.2">
      <c r="A161" s="129"/>
      <c r="B161" s="142"/>
      <c r="C161" s="129"/>
      <c r="D161" s="129"/>
      <c r="E161" s="129"/>
      <c r="F161" s="129"/>
      <c r="G161" s="129"/>
      <c r="H161" s="129"/>
      <c r="I161" s="129"/>
      <c r="J161" s="129"/>
    </row>
    <row r="162" spans="1:10" x14ac:dyDescent="0.2">
      <c r="A162" s="129"/>
      <c r="B162" s="142"/>
      <c r="C162" s="129"/>
      <c r="D162" s="129"/>
      <c r="E162" s="129"/>
      <c r="F162" s="129"/>
      <c r="G162" s="129"/>
      <c r="H162" s="129"/>
      <c r="I162" s="129"/>
      <c r="J162" s="129"/>
    </row>
    <row r="163" spans="1:10" x14ac:dyDescent="0.2">
      <c r="A163" s="129"/>
      <c r="B163" s="129"/>
      <c r="C163" s="129"/>
      <c r="D163" s="129"/>
      <c r="E163" s="129"/>
      <c r="F163" s="129"/>
      <c r="G163" s="129"/>
      <c r="H163" s="129"/>
      <c r="I163" s="129"/>
      <c r="J163" s="129"/>
    </row>
    <row r="164" spans="1:10" x14ac:dyDescent="0.2">
      <c r="A164" s="129"/>
      <c r="B164" s="129"/>
      <c r="C164" s="129"/>
      <c r="D164" s="129"/>
      <c r="E164" s="129"/>
      <c r="F164" s="129"/>
      <c r="G164" s="129"/>
      <c r="H164" s="129"/>
      <c r="I164" s="129"/>
      <c r="J164" s="129"/>
    </row>
    <row r="165" spans="1:10" x14ac:dyDescent="0.2">
      <c r="A165" s="129"/>
      <c r="B165" s="129"/>
      <c r="C165" s="129"/>
      <c r="D165" s="129"/>
      <c r="E165" s="129"/>
      <c r="F165" s="129"/>
      <c r="G165" s="129"/>
      <c r="H165" s="129"/>
      <c r="I165" s="129"/>
      <c r="J165" s="129"/>
    </row>
    <row r="166" spans="1:10" x14ac:dyDescent="0.2">
      <c r="A166" s="129"/>
      <c r="B166" s="129"/>
      <c r="C166" s="129"/>
      <c r="D166" s="129"/>
      <c r="E166" s="129"/>
      <c r="F166" s="129"/>
      <c r="G166" s="129"/>
      <c r="H166" s="129"/>
      <c r="I166" s="129"/>
      <c r="J166" s="129"/>
    </row>
    <row r="167" spans="1:10" x14ac:dyDescent="0.2">
      <c r="A167" s="129"/>
      <c r="B167" s="129"/>
      <c r="C167" s="129"/>
      <c r="D167" s="129"/>
      <c r="E167" s="129"/>
      <c r="F167" s="129"/>
      <c r="G167" s="129"/>
      <c r="H167" s="129"/>
      <c r="I167" s="129"/>
      <c r="J167" s="129"/>
    </row>
    <row r="168" spans="1:10" x14ac:dyDescent="0.2">
      <c r="A168" s="129"/>
      <c r="B168" s="129"/>
      <c r="C168" s="129"/>
      <c r="D168" s="129"/>
      <c r="E168" s="129"/>
      <c r="F168" s="129"/>
      <c r="G168" s="129"/>
      <c r="H168" s="129"/>
      <c r="I168" s="129"/>
      <c r="J168" s="129"/>
    </row>
    <row r="169" spans="1:10" x14ac:dyDescent="0.2">
      <c r="A169" s="129"/>
      <c r="B169" s="129"/>
      <c r="C169" s="129"/>
      <c r="D169" s="129"/>
      <c r="E169" s="129"/>
      <c r="F169" s="129"/>
      <c r="G169" s="129"/>
      <c r="H169" s="129"/>
      <c r="I169" s="129"/>
      <c r="J169" s="129"/>
    </row>
  </sheetData>
  <autoFilter ref="A1:I12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97"/>
  <sheetViews>
    <sheetView zoomScale="85" zoomScaleNormal="85" workbookViewId="0">
      <selection activeCell="E31" sqref="E31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B2" s="143">
        <v>42919</v>
      </c>
      <c r="C2" t="s">
        <v>847</v>
      </c>
      <c r="D2">
        <v>2609.16</v>
      </c>
      <c r="E2" t="s">
        <v>848</v>
      </c>
      <c r="F2" t="s">
        <v>849</v>
      </c>
      <c r="I2" t="s">
        <v>998</v>
      </c>
      <c r="K2" s="129"/>
    </row>
    <row r="3" spans="1:11" x14ac:dyDescent="0.2">
      <c r="B3" s="143">
        <v>42919</v>
      </c>
      <c r="C3" t="s">
        <v>847</v>
      </c>
      <c r="D3">
        <v>-50</v>
      </c>
      <c r="E3" t="s">
        <v>743</v>
      </c>
      <c r="F3" t="s">
        <v>850</v>
      </c>
      <c r="I3" t="s">
        <v>998</v>
      </c>
      <c r="K3" s="129"/>
    </row>
    <row r="4" spans="1:11" x14ac:dyDescent="0.2">
      <c r="B4" s="143">
        <v>42919</v>
      </c>
      <c r="C4" t="s">
        <v>847</v>
      </c>
      <c r="D4">
        <v>-50</v>
      </c>
      <c r="E4" t="s">
        <v>743</v>
      </c>
      <c r="F4" t="s">
        <v>747</v>
      </c>
      <c r="I4" t="s">
        <v>998</v>
      </c>
      <c r="K4" s="129"/>
    </row>
    <row r="5" spans="1:11" x14ac:dyDescent="0.2">
      <c r="B5" s="143">
        <v>42919</v>
      </c>
      <c r="C5" t="s">
        <v>847</v>
      </c>
      <c r="D5">
        <v>-160</v>
      </c>
      <c r="E5" t="s">
        <v>743</v>
      </c>
      <c r="F5" t="s">
        <v>851</v>
      </c>
      <c r="I5" t="s">
        <v>998</v>
      </c>
      <c r="K5" s="129"/>
    </row>
    <row r="6" spans="1:11" x14ac:dyDescent="0.2">
      <c r="B6" s="143">
        <v>42919</v>
      </c>
      <c r="C6" t="s">
        <v>847</v>
      </c>
      <c r="D6">
        <v>-157.5</v>
      </c>
      <c r="E6" t="s">
        <v>743</v>
      </c>
      <c r="F6" t="s">
        <v>852</v>
      </c>
      <c r="I6" t="s">
        <v>998</v>
      </c>
      <c r="K6" s="129"/>
    </row>
    <row r="7" spans="1:11" x14ac:dyDescent="0.2">
      <c r="B7" s="143">
        <v>42919</v>
      </c>
      <c r="C7" t="s">
        <v>847</v>
      </c>
      <c r="D7">
        <v>-232.5</v>
      </c>
      <c r="E7" t="s">
        <v>743</v>
      </c>
      <c r="F7" t="s">
        <v>853</v>
      </c>
      <c r="I7" t="s">
        <v>998</v>
      </c>
      <c r="K7" s="129"/>
    </row>
    <row r="8" spans="1:11" x14ac:dyDescent="0.2">
      <c r="B8" s="143">
        <v>42919</v>
      </c>
      <c r="C8" t="s">
        <v>847</v>
      </c>
      <c r="D8">
        <v>482.56</v>
      </c>
      <c r="E8" t="s">
        <v>758</v>
      </c>
      <c r="F8" t="s">
        <v>854</v>
      </c>
      <c r="I8" t="s">
        <v>998</v>
      </c>
      <c r="K8" s="129"/>
    </row>
    <row r="9" spans="1:11" x14ac:dyDescent="0.2">
      <c r="B9" s="143">
        <v>42919</v>
      </c>
      <c r="C9" t="s">
        <v>847</v>
      </c>
      <c r="D9">
        <v>-279.26</v>
      </c>
      <c r="E9" t="s">
        <v>751</v>
      </c>
      <c r="F9" t="s">
        <v>855</v>
      </c>
      <c r="I9" t="s">
        <v>998</v>
      </c>
      <c r="K9" s="129"/>
    </row>
    <row r="10" spans="1:11" x14ac:dyDescent="0.2">
      <c r="B10" s="143">
        <v>42919</v>
      </c>
      <c r="C10" t="s">
        <v>847</v>
      </c>
      <c r="D10">
        <v>-1298</v>
      </c>
      <c r="E10" t="s">
        <v>751</v>
      </c>
      <c r="F10" t="s">
        <v>856</v>
      </c>
      <c r="I10" t="s">
        <v>998</v>
      </c>
      <c r="K10" s="129"/>
    </row>
    <row r="11" spans="1:11" x14ac:dyDescent="0.2">
      <c r="B11" s="143">
        <v>42919</v>
      </c>
      <c r="C11" t="s">
        <v>847</v>
      </c>
      <c r="D11">
        <v>-1126.23</v>
      </c>
      <c r="E11" t="s">
        <v>751</v>
      </c>
      <c r="F11" t="s">
        <v>857</v>
      </c>
      <c r="I11" t="s">
        <v>998</v>
      </c>
      <c r="K11" s="129"/>
    </row>
    <row r="12" spans="1:11" x14ac:dyDescent="0.2">
      <c r="B12" s="143">
        <v>42919</v>
      </c>
      <c r="C12" t="s">
        <v>847</v>
      </c>
      <c r="D12">
        <v>-203.36</v>
      </c>
      <c r="E12" t="s">
        <v>751</v>
      </c>
      <c r="F12" t="s">
        <v>858</v>
      </c>
      <c r="I12" t="s">
        <v>999</v>
      </c>
      <c r="K12" s="129"/>
    </row>
    <row r="13" spans="1:11" x14ac:dyDescent="0.2">
      <c r="B13" s="143">
        <v>42919</v>
      </c>
      <c r="C13" t="s">
        <v>847</v>
      </c>
      <c r="D13">
        <v>-165.45</v>
      </c>
      <c r="E13" t="s">
        <v>751</v>
      </c>
      <c r="F13" t="s">
        <v>859</v>
      </c>
      <c r="I13" t="s">
        <v>999</v>
      </c>
      <c r="K13" s="129"/>
    </row>
    <row r="14" spans="1:11" x14ac:dyDescent="0.2">
      <c r="B14" s="143">
        <v>42919</v>
      </c>
      <c r="C14" t="s">
        <v>847</v>
      </c>
      <c r="D14">
        <v>-496.98</v>
      </c>
      <c r="E14" t="s">
        <v>751</v>
      </c>
      <c r="F14" t="s">
        <v>860</v>
      </c>
      <c r="I14" t="s">
        <v>999</v>
      </c>
      <c r="K14" s="129"/>
    </row>
    <row r="15" spans="1:11" x14ac:dyDescent="0.2">
      <c r="B15" s="143">
        <v>42919</v>
      </c>
      <c r="C15" t="s">
        <v>847</v>
      </c>
      <c r="D15">
        <v>-37.950000000000003</v>
      </c>
      <c r="E15" t="s">
        <v>751</v>
      </c>
      <c r="F15" t="s">
        <v>861</v>
      </c>
      <c r="I15" t="s">
        <v>998</v>
      </c>
      <c r="K15" s="129"/>
    </row>
    <row r="16" spans="1:11" x14ac:dyDescent="0.2">
      <c r="B16" s="143">
        <v>42919</v>
      </c>
      <c r="C16" t="s">
        <v>847</v>
      </c>
      <c r="D16">
        <v>-195.72</v>
      </c>
      <c r="E16" t="s">
        <v>751</v>
      </c>
      <c r="F16" t="s">
        <v>862</v>
      </c>
      <c r="I16" t="s">
        <v>999</v>
      </c>
      <c r="K16" s="129"/>
    </row>
    <row r="17" spans="1:11" x14ac:dyDescent="0.2">
      <c r="B17" s="143">
        <v>42919</v>
      </c>
      <c r="C17" t="s">
        <v>847</v>
      </c>
      <c r="D17">
        <v>-197.32</v>
      </c>
      <c r="E17" t="s">
        <v>751</v>
      </c>
      <c r="F17" t="s">
        <v>863</v>
      </c>
      <c r="I17" t="s">
        <v>999</v>
      </c>
      <c r="K17" s="129"/>
    </row>
    <row r="18" spans="1:11" x14ac:dyDescent="0.2">
      <c r="B18" s="143">
        <v>42919</v>
      </c>
      <c r="C18" t="s">
        <v>847</v>
      </c>
      <c r="D18">
        <v>-348.23</v>
      </c>
      <c r="E18" t="s">
        <v>751</v>
      </c>
      <c r="F18" t="s">
        <v>864</v>
      </c>
      <c r="I18" t="s">
        <v>999</v>
      </c>
      <c r="K18" s="129"/>
    </row>
    <row r="19" spans="1:11" x14ac:dyDescent="0.2">
      <c r="B19" s="143">
        <v>42919</v>
      </c>
      <c r="C19" t="s">
        <v>847</v>
      </c>
      <c r="D19">
        <v>-356.87</v>
      </c>
      <c r="E19" t="s">
        <v>751</v>
      </c>
      <c r="F19" t="s">
        <v>865</v>
      </c>
      <c r="I19" t="s">
        <v>999</v>
      </c>
      <c r="K19" s="129"/>
    </row>
    <row r="20" spans="1:11" x14ac:dyDescent="0.2">
      <c r="B20" s="143">
        <v>42920</v>
      </c>
      <c r="C20" t="s">
        <v>847</v>
      </c>
      <c r="D20">
        <v>-75</v>
      </c>
      <c r="E20" t="s">
        <v>743</v>
      </c>
      <c r="F20" t="s">
        <v>866</v>
      </c>
      <c r="I20" t="s">
        <v>998</v>
      </c>
      <c r="K20" s="129"/>
    </row>
    <row r="21" spans="1:11" x14ac:dyDescent="0.2">
      <c r="B21" s="143">
        <v>42920</v>
      </c>
      <c r="C21" t="s">
        <v>847</v>
      </c>
      <c r="D21">
        <v>-75</v>
      </c>
      <c r="E21" t="s">
        <v>751</v>
      </c>
      <c r="F21" t="s">
        <v>867</v>
      </c>
      <c r="I21" t="s">
        <v>998</v>
      </c>
      <c r="K21" s="129"/>
    </row>
    <row r="22" spans="1:11" x14ac:dyDescent="0.2">
      <c r="B22" s="143">
        <v>42922</v>
      </c>
      <c r="C22" t="s">
        <v>847</v>
      </c>
      <c r="D22">
        <v>314.39999999999998</v>
      </c>
      <c r="E22" t="s">
        <v>758</v>
      </c>
      <c r="F22" t="s">
        <v>868</v>
      </c>
      <c r="I22" t="s">
        <v>998</v>
      </c>
      <c r="K22" s="129"/>
    </row>
    <row r="23" spans="1:11" x14ac:dyDescent="0.2">
      <c r="B23" s="143">
        <v>42922</v>
      </c>
      <c r="C23" t="s">
        <v>847</v>
      </c>
      <c r="D23">
        <v>286.12</v>
      </c>
      <c r="E23" t="s">
        <v>758</v>
      </c>
      <c r="F23" t="s">
        <v>869</v>
      </c>
      <c r="I23" t="s">
        <v>998</v>
      </c>
      <c r="K23" s="129"/>
    </row>
    <row r="24" spans="1:11" x14ac:dyDescent="0.2">
      <c r="B24" s="143">
        <v>42922</v>
      </c>
      <c r="C24" t="s">
        <v>847</v>
      </c>
      <c r="D24">
        <v>321.83</v>
      </c>
      <c r="E24" t="s">
        <v>758</v>
      </c>
      <c r="F24" t="s">
        <v>870</v>
      </c>
      <c r="I24" t="s">
        <v>998</v>
      </c>
      <c r="K24" s="129"/>
    </row>
    <row r="25" spans="1:11" x14ac:dyDescent="0.2">
      <c r="B25" s="143">
        <v>42922</v>
      </c>
      <c r="C25" t="s">
        <v>847</v>
      </c>
      <c r="D25">
        <v>252.56</v>
      </c>
      <c r="E25" t="s">
        <v>758</v>
      </c>
      <c r="F25" t="s">
        <v>871</v>
      </c>
      <c r="I25" t="s">
        <v>998</v>
      </c>
      <c r="K25" s="129"/>
    </row>
    <row r="26" spans="1:11" x14ac:dyDescent="0.2">
      <c r="B26" s="143">
        <v>42922</v>
      </c>
      <c r="C26" t="s">
        <v>847</v>
      </c>
      <c r="D26">
        <v>345.3</v>
      </c>
      <c r="E26" t="s">
        <v>758</v>
      </c>
      <c r="F26" t="s">
        <v>872</v>
      </c>
      <c r="I26" t="s">
        <v>998</v>
      </c>
      <c r="K26" s="129"/>
    </row>
    <row r="27" spans="1:11" x14ac:dyDescent="0.2">
      <c r="B27" s="143">
        <v>42922</v>
      </c>
      <c r="C27" t="s">
        <v>847</v>
      </c>
      <c r="D27">
        <v>428.28</v>
      </c>
      <c r="E27" t="s">
        <v>758</v>
      </c>
      <c r="F27" t="s">
        <v>873</v>
      </c>
      <c r="I27" t="s">
        <v>998</v>
      </c>
      <c r="K27" s="129"/>
    </row>
    <row r="28" spans="1:11" x14ac:dyDescent="0.2">
      <c r="B28" s="143">
        <v>42922</v>
      </c>
      <c r="C28" t="s">
        <v>847</v>
      </c>
      <c r="D28">
        <v>67.56</v>
      </c>
      <c r="E28" t="s">
        <v>758</v>
      </c>
      <c r="F28" t="s">
        <v>874</v>
      </c>
      <c r="I28" t="s">
        <v>998</v>
      </c>
      <c r="K28" s="129"/>
    </row>
    <row r="29" spans="1:11" x14ac:dyDescent="0.2">
      <c r="B29" s="143">
        <v>42922</v>
      </c>
      <c r="C29" t="s">
        <v>847</v>
      </c>
      <c r="D29">
        <v>91.78</v>
      </c>
      <c r="E29" t="s">
        <v>758</v>
      </c>
      <c r="F29" t="s">
        <v>875</v>
      </c>
      <c r="I29" t="s">
        <v>998</v>
      </c>
      <c r="K29" s="129"/>
    </row>
    <row r="30" spans="1:11" x14ac:dyDescent="0.2">
      <c r="B30" s="143">
        <v>42926</v>
      </c>
      <c r="C30" t="s">
        <v>847</v>
      </c>
      <c r="D30">
        <v>-196.17</v>
      </c>
      <c r="E30" t="s">
        <v>751</v>
      </c>
      <c r="F30" t="s">
        <v>877</v>
      </c>
      <c r="I30" t="s">
        <v>999</v>
      </c>
      <c r="K30" s="129"/>
    </row>
    <row r="31" spans="1:11" x14ac:dyDescent="0.2">
      <c r="B31" s="143">
        <v>42927</v>
      </c>
      <c r="C31" t="s">
        <v>847</v>
      </c>
      <c r="D31">
        <v>-500</v>
      </c>
      <c r="E31" t="s">
        <v>794</v>
      </c>
      <c r="F31" t="s">
        <v>878</v>
      </c>
      <c r="I31" t="s">
        <v>998</v>
      </c>
      <c r="K31" s="129"/>
    </row>
    <row r="32" spans="1:11" x14ac:dyDescent="0.2">
      <c r="A32" t="s">
        <v>876</v>
      </c>
      <c r="B32" s="143">
        <v>42928</v>
      </c>
      <c r="C32" t="s">
        <v>847</v>
      </c>
      <c r="D32">
        <v>360.71</v>
      </c>
      <c r="E32" t="s">
        <v>758</v>
      </c>
      <c r="F32" t="s">
        <v>879</v>
      </c>
      <c r="I32" t="s">
        <v>998</v>
      </c>
      <c r="K32" s="129"/>
    </row>
    <row r="33" spans="1:11" x14ac:dyDescent="0.2">
      <c r="A33" t="s">
        <v>876</v>
      </c>
      <c r="B33" s="143">
        <v>42928</v>
      </c>
      <c r="C33" t="s">
        <v>847</v>
      </c>
      <c r="D33">
        <v>106.46</v>
      </c>
      <c r="E33" t="s">
        <v>758</v>
      </c>
      <c r="F33" t="s">
        <v>870</v>
      </c>
      <c r="I33" t="s">
        <v>998</v>
      </c>
      <c r="K33" s="129"/>
    </row>
    <row r="34" spans="1:11" x14ac:dyDescent="0.2">
      <c r="A34" t="s">
        <v>876</v>
      </c>
      <c r="B34" s="143">
        <v>42928</v>
      </c>
      <c r="C34" t="s">
        <v>847</v>
      </c>
      <c r="D34">
        <v>-37.68</v>
      </c>
      <c r="E34" t="s">
        <v>751</v>
      </c>
      <c r="F34" t="s">
        <v>880</v>
      </c>
      <c r="I34" t="s">
        <v>998</v>
      </c>
      <c r="K34" s="129"/>
    </row>
    <row r="35" spans="1:11" x14ac:dyDescent="0.2">
      <c r="A35" t="s">
        <v>876</v>
      </c>
      <c r="B35" s="143">
        <v>42928</v>
      </c>
      <c r="C35" t="s">
        <v>847</v>
      </c>
      <c r="D35">
        <v>-70.709999999999994</v>
      </c>
      <c r="E35" t="s">
        <v>751</v>
      </c>
      <c r="F35" t="s">
        <v>881</v>
      </c>
      <c r="I35" t="s">
        <v>998</v>
      </c>
      <c r="K35" s="129"/>
    </row>
    <row r="36" spans="1:11" x14ac:dyDescent="0.2">
      <c r="A36" t="s">
        <v>876</v>
      </c>
      <c r="B36" s="143">
        <v>42930</v>
      </c>
      <c r="C36" t="s">
        <v>847</v>
      </c>
      <c r="D36">
        <v>-53.99</v>
      </c>
      <c r="E36" t="s">
        <v>751</v>
      </c>
      <c r="F36" t="s">
        <v>882</v>
      </c>
      <c r="I36" t="s">
        <v>998</v>
      </c>
      <c r="K36" s="129"/>
    </row>
    <row r="37" spans="1:11" x14ac:dyDescent="0.2">
      <c r="A37" t="s">
        <v>876</v>
      </c>
      <c r="B37" s="143">
        <v>42933</v>
      </c>
      <c r="C37" t="s">
        <v>847</v>
      </c>
      <c r="D37">
        <v>-165.41</v>
      </c>
      <c r="E37" t="s">
        <v>751</v>
      </c>
      <c r="F37" t="s">
        <v>883</v>
      </c>
      <c r="I37" t="s">
        <v>999</v>
      </c>
      <c r="K37" s="129"/>
    </row>
    <row r="38" spans="1:11" x14ac:dyDescent="0.2">
      <c r="A38" t="s">
        <v>876</v>
      </c>
      <c r="B38" s="143">
        <v>42933</v>
      </c>
      <c r="C38" t="s">
        <v>847</v>
      </c>
      <c r="D38">
        <v>-171.17</v>
      </c>
      <c r="E38" t="s">
        <v>751</v>
      </c>
      <c r="F38" t="s">
        <v>884</v>
      </c>
      <c r="I38" t="s">
        <v>999</v>
      </c>
      <c r="K38" s="129"/>
    </row>
    <row r="39" spans="1:11" x14ac:dyDescent="0.2">
      <c r="A39" t="s">
        <v>876</v>
      </c>
      <c r="B39" s="143">
        <v>42933</v>
      </c>
      <c r="C39" t="s">
        <v>847</v>
      </c>
      <c r="D39">
        <v>-171.17</v>
      </c>
      <c r="E39" t="s">
        <v>751</v>
      </c>
      <c r="F39" t="s">
        <v>885</v>
      </c>
      <c r="I39" t="s">
        <v>999</v>
      </c>
      <c r="K39" s="129"/>
    </row>
    <row r="40" spans="1:11" x14ac:dyDescent="0.2">
      <c r="A40" t="s">
        <v>876</v>
      </c>
      <c r="B40" s="143">
        <v>42933</v>
      </c>
      <c r="C40" t="s">
        <v>847</v>
      </c>
      <c r="D40">
        <v>-165.44</v>
      </c>
      <c r="E40" t="s">
        <v>751</v>
      </c>
      <c r="F40" t="s">
        <v>886</v>
      </c>
      <c r="I40" t="s">
        <v>999</v>
      </c>
      <c r="K40" s="129"/>
    </row>
    <row r="41" spans="1:11" x14ac:dyDescent="0.2">
      <c r="A41" t="s">
        <v>876</v>
      </c>
      <c r="B41" s="143">
        <v>42933</v>
      </c>
      <c r="C41" t="s">
        <v>847</v>
      </c>
      <c r="D41">
        <v>-165.41</v>
      </c>
      <c r="E41" t="s">
        <v>751</v>
      </c>
      <c r="F41" t="s">
        <v>887</v>
      </c>
      <c r="I41" t="s">
        <v>999</v>
      </c>
      <c r="K41" s="129"/>
    </row>
    <row r="42" spans="1:11" x14ac:dyDescent="0.2">
      <c r="A42" t="s">
        <v>876</v>
      </c>
      <c r="B42" s="143">
        <v>42933</v>
      </c>
      <c r="C42" t="s">
        <v>847</v>
      </c>
      <c r="D42">
        <v>-165.47</v>
      </c>
      <c r="E42" t="s">
        <v>751</v>
      </c>
      <c r="F42" t="s">
        <v>888</v>
      </c>
      <c r="I42" t="s">
        <v>999</v>
      </c>
      <c r="K42" s="129"/>
    </row>
    <row r="43" spans="1:11" x14ac:dyDescent="0.2">
      <c r="A43" t="s">
        <v>876</v>
      </c>
      <c r="B43" s="143">
        <v>42933</v>
      </c>
      <c r="C43" t="s">
        <v>847</v>
      </c>
      <c r="D43">
        <v>-165.44</v>
      </c>
      <c r="E43" t="s">
        <v>751</v>
      </c>
      <c r="F43" t="s">
        <v>889</v>
      </c>
      <c r="I43" t="s">
        <v>999</v>
      </c>
      <c r="K43" s="129"/>
    </row>
    <row r="44" spans="1:11" x14ac:dyDescent="0.2">
      <c r="A44" t="s">
        <v>876</v>
      </c>
      <c r="B44" s="143">
        <v>42933</v>
      </c>
      <c r="C44" t="s">
        <v>847</v>
      </c>
      <c r="D44">
        <v>-165.91</v>
      </c>
      <c r="E44" t="s">
        <v>751</v>
      </c>
      <c r="F44" t="s">
        <v>890</v>
      </c>
      <c r="I44" t="s">
        <v>999</v>
      </c>
      <c r="K44" s="129"/>
    </row>
    <row r="45" spans="1:11" x14ac:dyDescent="0.2">
      <c r="A45" t="s">
        <v>876</v>
      </c>
      <c r="B45" s="143">
        <v>42934</v>
      </c>
      <c r="C45" t="s">
        <v>847</v>
      </c>
      <c r="D45">
        <v>482.48</v>
      </c>
      <c r="E45" t="s">
        <v>758</v>
      </c>
      <c r="F45" t="s">
        <v>891</v>
      </c>
      <c r="I45" t="s">
        <v>998</v>
      </c>
      <c r="K45" s="129"/>
    </row>
    <row r="46" spans="1:11" x14ac:dyDescent="0.2">
      <c r="A46" t="s">
        <v>876</v>
      </c>
      <c r="B46" s="143">
        <v>42934</v>
      </c>
      <c r="C46" t="s">
        <v>847</v>
      </c>
      <c r="D46">
        <v>432.56</v>
      </c>
      <c r="E46" t="s">
        <v>758</v>
      </c>
      <c r="F46" t="s">
        <v>892</v>
      </c>
      <c r="I46" t="s">
        <v>998</v>
      </c>
      <c r="K46" s="129"/>
    </row>
    <row r="47" spans="1:11" x14ac:dyDescent="0.2">
      <c r="A47" t="s">
        <v>876</v>
      </c>
      <c r="B47" s="143">
        <v>42934</v>
      </c>
      <c r="C47" t="s">
        <v>847</v>
      </c>
      <c r="D47">
        <v>-200</v>
      </c>
      <c r="E47" t="s">
        <v>798</v>
      </c>
      <c r="F47" t="s">
        <v>893</v>
      </c>
      <c r="I47" t="s">
        <v>998</v>
      </c>
      <c r="K47" s="129"/>
    </row>
    <row r="48" spans="1:11" x14ac:dyDescent="0.2">
      <c r="A48" t="s">
        <v>876</v>
      </c>
      <c r="B48" s="143">
        <v>42937</v>
      </c>
      <c r="C48" t="s">
        <v>847</v>
      </c>
      <c r="D48">
        <v>179.99</v>
      </c>
      <c r="E48" t="s">
        <v>758</v>
      </c>
      <c r="F48" t="s">
        <v>871</v>
      </c>
      <c r="I48" t="s">
        <v>998</v>
      </c>
      <c r="K48" s="129"/>
    </row>
    <row r="49" spans="1:11" x14ac:dyDescent="0.2">
      <c r="A49" t="s">
        <v>876</v>
      </c>
      <c r="B49" s="143">
        <v>42937</v>
      </c>
      <c r="C49" t="s">
        <v>847</v>
      </c>
      <c r="D49">
        <v>142.16999999999999</v>
      </c>
      <c r="E49" t="s">
        <v>758</v>
      </c>
      <c r="F49" t="s">
        <v>869</v>
      </c>
      <c r="I49" t="s">
        <v>998</v>
      </c>
      <c r="K49" s="129"/>
    </row>
    <row r="50" spans="1:11" x14ac:dyDescent="0.2">
      <c r="A50" t="s">
        <v>1000</v>
      </c>
      <c r="B50" s="143">
        <v>42937</v>
      </c>
      <c r="C50" t="s">
        <v>847</v>
      </c>
      <c r="D50">
        <v>-64</v>
      </c>
      <c r="E50" t="s">
        <v>894</v>
      </c>
      <c r="F50" t="s">
        <v>1000</v>
      </c>
      <c r="I50" t="s">
        <v>998</v>
      </c>
      <c r="K50" s="129"/>
    </row>
    <row r="51" spans="1:11" x14ac:dyDescent="0.2">
      <c r="A51" t="s">
        <v>876</v>
      </c>
      <c r="B51" s="143">
        <v>42937</v>
      </c>
      <c r="C51" t="s">
        <v>847</v>
      </c>
      <c r="D51">
        <v>-300</v>
      </c>
      <c r="E51" t="s">
        <v>794</v>
      </c>
      <c r="F51" t="s">
        <v>878</v>
      </c>
      <c r="I51" t="s">
        <v>998</v>
      </c>
      <c r="K51" s="129"/>
    </row>
    <row r="52" spans="1:11" x14ac:dyDescent="0.2">
      <c r="A52" t="s">
        <v>876</v>
      </c>
      <c r="B52" s="143">
        <v>42942</v>
      </c>
      <c r="C52" t="s">
        <v>847</v>
      </c>
      <c r="D52">
        <v>105.35</v>
      </c>
      <c r="E52" t="s">
        <v>758</v>
      </c>
      <c r="F52" t="s">
        <v>868</v>
      </c>
      <c r="I52" t="s">
        <v>998</v>
      </c>
      <c r="K52" s="129"/>
    </row>
    <row r="53" spans="1:11" x14ac:dyDescent="0.2">
      <c r="A53" t="s">
        <v>876</v>
      </c>
      <c r="B53" s="143">
        <v>42943</v>
      </c>
      <c r="C53" t="s">
        <v>847</v>
      </c>
      <c r="D53">
        <v>649.6</v>
      </c>
      <c r="E53" t="s">
        <v>758</v>
      </c>
      <c r="F53" t="s">
        <v>895</v>
      </c>
      <c r="I53" t="s">
        <v>998</v>
      </c>
      <c r="K53" s="129"/>
    </row>
    <row r="54" spans="1:11" x14ac:dyDescent="0.2">
      <c r="A54" t="s">
        <v>876</v>
      </c>
      <c r="B54" s="143">
        <v>42943</v>
      </c>
      <c r="C54" t="s">
        <v>847</v>
      </c>
      <c r="D54">
        <v>111.36</v>
      </c>
      <c r="E54" t="s">
        <v>758</v>
      </c>
      <c r="F54" t="s">
        <v>892</v>
      </c>
      <c r="I54" t="s">
        <v>998</v>
      </c>
      <c r="K54" s="129"/>
    </row>
    <row r="55" spans="1:11" x14ac:dyDescent="0.2">
      <c r="A55" t="s">
        <v>876</v>
      </c>
      <c r="B55" s="143">
        <v>42943</v>
      </c>
      <c r="C55" t="s">
        <v>847</v>
      </c>
      <c r="D55">
        <v>-1200</v>
      </c>
      <c r="E55" t="s">
        <v>743</v>
      </c>
      <c r="F55" t="s">
        <v>896</v>
      </c>
      <c r="I55" t="s">
        <v>998</v>
      </c>
      <c r="K55" s="129"/>
    </row>
    <row r="56" spans="1:11" x14ac:dyDescent="0.2">
      <c r="A56" t="s">
        <v>876</v>
      </c>
      <c r="B56" s="143">
        <v>42944</v>
      </c>
      <c r="C56" t="s">
        <v>847</v>
      </c>
      <c r="D56">
        <v>-33</v>
      </c>
      <c r="E56" t="s">
        <v>751</v>
      </c>
      <c r="F56" t="s">
        <v>897</v>
      </c>
      <c r="I56" t="s">
        <v>998</v>
      </c>
      <c r="K56" s="129"/>
    </row>
    <row r="57" spans="1:11" x14ac:dyDescent="0.2">
      <c r="A57" t="s">
        <v>1001</v>
      </c>
      <c r="B57" s="143">
        <v>42944</v>
      </c>
      <c r="C57" t="s">
        <v>847</v>
      </c>
      <c r="D57">
        <v>-355</v>
      </c>
      <c r="E57" t="s">
        <v>894</v>
      </c>
      <c r="F57" t="s">
        <v>1001</v>
      </c>
      <c r="G57" s="62" t="s">
        <v>507</v>
      </c>
      <c r="H57" s="56" t="s">
        <v>996</v>
      </c>
      <c r="I57" t="s">
        <v>1002</v>
      </c>
      <c r="K57" s="129"/>
    </row>
    <row r="58" spans="1:11" x14ac:dyDescent="0.2">
      <c r="B58" s="140"/>
      <c r="H58" s="129"/>
      <c r="J58" s="129"/>
      <c r="K58" s="129"/>
    </row>
    <row r="59" spans="1:11" x14ac:dyDescent="0.2">
      <c r="B59" s="140"/>
      <c r="H59" s="129"/>
      <c r="J59" s="129"/>
      <c r="K59" s="129"/>
    </row>
    <row r="60" spans="1:11" x14ac:dyDescent="0.2">
      <c r="B60" s="140"/>
      <c r="H60" s="129"/>
      <c r="J60" s="129"/>
      <c r="K60" s="129"/>
    </row>
    <row r="61" spans="1:11" x14ac:dyDescent="0.2">
      <c r="B61" s="140"/>
      <c r="H61" s="129"/>
      <c r="J61" s="129"/>
      <c r="K61" s="129"/>
    </row>
    <row r="62" spans="1:11" x14ac:dyDescent="0.2">
      <c r="B62" s="139"/>
      <c r="H62" s="129"/>
      <c r="J62" s="129"/>
      <c r="K62" s="129"/>
    </row>
    <row r="63" spans="1:11" x14ac:dyDescent="0.2">
      <c r="B63" s="139"/>
    </row>
    <row r="64" spans="1:11" x14ac:dyDescent="0.2">
      <c r="B64" s="139"/>
    </row>
    <row r="65" spans="2:2" x14ac:dyDescent="0.2">
      <c r="B65" s="138"/>
    </row>
    <row r="66" spans="2:2" x14ac:dyDescent="0.2">
      <c r="B66" s="138"/>
    </row>
    <row r="67" spans="2:2" x14ac:dyDescent="0.2">
      <c r="B67" s="138"/>
    </row>
    <row r="68" spans="2:2" x14ac:dyDescent="0.2">
      <c r="B68" s="138"/>
    </row>
    <row r="69" spans="2:2" x14ac:dyDescent="0.2">
      <c r="B69" s="138"/>
    </row>
    <row r="70" spans="2:2" x14ac:dyDescent="0.2">
      <c r="B70" s="138"/>
    </row>
    <row r="71" spans="2:2" x14ac:dyDescent="0.2">
      <c r="B71" s="138"/>
    </row>
    <row r="72" spans="2:2" x14ac:dyDescent="0.2">
      <c r="B72" s="138"/>
    </row>
    <row r="73" spans="2:2" x14ac:dyDescent="0.2">
      <c r="B73" s="138"/>
    </row>
    <row r="74" spans="2:2" x14ac:dyDescent="0.2">
      <c r="B74" s="138"/>
    </row>
    <row r="75" spans="2:2" x14ac:dyDescent="0.2">
      <c r="B75" s="138"/>
    </row>
    <row r="76" spans="2:2" x14ac:dyDescent="0.2">
      <c r="B76" s="138"/>
    </row>
    <row r="77" spans="2:2" x14ac:dyDescent="0.2">
      <c r="B77" s="138"/>
    </row>
    <row r="78" spans="2:2" x14ac:dyDescent="0.2">
      <c r="B78" s="138"/>
    </row>
    <row r="79" spans="2:2" x14ac:dyDescent="0.2">
      <c r="B79" s="138"/>
    </row>
    <row r="80" spans="2:2" x14ac:dyDescent="0.2">
      <c r="B80" s="138"/>
    </row>
    <row r="81" spans="2:2" x14ac:dyDescent="0.2">
      <c r="B81" s="138"/>
    </row>
    <row r="82" spans="2:2" x14ac:dyDescent="0.2">
      <c r="B82" s="138"/>
    </row>
    <row r="83" spans="2:2" x14ac:dyDescent="0.2">
      <c r="B83" s="138"/>
    </row>
    <row r="84" spans="2:2" x14ac:dyDescent="0.2">
      <c r="B84" s="138"/>
    </row>
    <row r="85" spans="2:2" x14ac:dyDescent="0.2">
      <c r="B85" s="138"/>
    </row>
    <row r="86" spans="2:2" x14ac:dyDescent="0.2">
      <c r="B86" s="138"/>
    </row>
    <row r="87" spans="2:2" x14ac:dyDescent="0.2">
      <c r="B87" s="138"/>
    </row>
    <row r="88" spans="2:2" x14ac:dyDescent="0.2">
      <c r="B88" s="138"/>
    </row>
    <row r="89" spans="2:2" x14ac:dyDescent="0.2">
      <c r="B89" s="138"/>
    </row>
    <row r="90" spans="2:2" x14ac:dyDescent="0.2">
      <c r="B90" s="138"/>
    </row>
    <row r="91" spans="2:2" x14ac:dyDescent="0.2">
      <c r="B91" s="138"/>
    </row>
    <row r="92" spans="2:2" x14ac:dyDescent="0.2">
      <c r="B92" s="138"/>
    </row>
    <row r="93" spans="2:2" x14ac:dyDescent="0.2">
      <c r="B93" s="138"/>
    </row>
    <row r="94" spans="2:2" x14ac:dyDescent="0.2">
      <c r="B94" s="138"/>
    </row>
    <row r="95" spans="2:2" x14ac:dyDescent="0.2">
      <c r="B95" s="138"/>
    </row>
    <row r="96" spans="2:2" x14ac:dyDescent="0.2">
      <c r="B96" s="138"/>
    </row>
    <row r="97" spans="2:2" x14ac:dyDescent="0.2">
      <c r="B97" s="138"/>
    </row>
  </sheetData>
  <autoFilter ref="A1:I57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35"/>
  <sheetViews>
    <sheetView topLeftCell="A67" zoomScale="85" zoomScaleNormal="85" workbookViewId="0">
      <selection activeCell="H41" sqref="H41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B2" s="143">
        <v>42919</v>
      </c>
      <c r="C2" t="s">
        <v>898</v>
      </c>
      <c r="D2">
        <v>-25.8</v>
      </c>
      <c r="E2" t="s">
        <v>756</v>
      </c>
      <c r="F2" t="s">
        <v>899</v>
      </c>
      <c r="J2" s="129"/>
    </row>
    <row r="3" spans="1:10" x14ac:dyDescent="0.2">
      <c r="B3" s="143">
        <v>42919</v>
      </c>
      <c r="C3" t="s">
        <v>898</v>
      </c>
      <c r="D3">
        <v>-160</v>
      </c>
      <c r="E3" t="s">
        <v>757</v>
      </c>
      <c r="F3" t="s">
        <v>900</v>
      </c>
      <c r="J3" s="129"/>
    </row>
    <row r="4" spans="1:10" x14ac:dyDescent="0.2">
      <c r="B4" s="143">
        <v>42919</v>
      </c>
      <c r="C4" t="s">
        <v>898</v>
      </c>
      <c r="D4">
        <v>-74.290000000000006</v>
      </c>
      <c r="E4" t="s">
        <v>756</v>
      </c>
      <c r="F4" t="s">
        <v>901</v>
      </c>
      <c r="J4" s="129"/>
    </row>
    <row r="5" spans="1:10" x14ac:dyDescent="0.2">
      <c r="B5" s="143">
        <v>42919</v>
      </c>
      <c r="C5" t="s">
        <v>898</v>
      </c>
      <c r="D5">
        <v>-37.25</v>
      </c>
      <c r="E5" t="s">
        <v>756</v>
      </c>
      <c r="F5" t="s">
        <v>902</v>
      </c>
      <c r="J5" s="129"/>
    </row>
    <row r="6" spans="1:10" x14ac:dyDescent="0.2">
      <c r="B6" s="143">
        <v>42919</v>
      </c>
      <c r="C6" t="s">
        <v>898</v>
      </c>
      <c r="D6">
        <v>-10.95</v>
      </c>
      <c r="E6" t="s">
        <v>756</v>
      </c>
      <c r="F6" t="s">
        <v>903</v>
      </c>
      <c r="J6" s="129"/>
    </row>
    <row r="7" spans="1:10" x14ac:dyDescent="0.2">
      <c r="B7" s="143">
        <v>42919</v>
      </c>
      <c r="C7" t="s">
        <v>898</v>
      </c>
      <c r="D7">
        <v>-4</v>
      </c>
      <c r="E7" t="s">
        <v>756</v>
      </c>
      <c r="F7" t="s">
        <v>904</v>
      </c>
      <c r="J7" s="129"/>
    </row>
    <row r="8" spans="1:10" x14ac:dyDescent="0.2">
      <c r="B8" s="143">
        <v>42919</v>
      </c>
      <c r="C8" t="s">
        <v>898</v>
      </c>
      <c r="D8">
        <v>-11.2</v>
      </c>
      <c r="E8" t="s">
        <v>756</v>
      </c>
      <c r="F8" t="s">
        <v>905</v>
      </c>
      <c r="J8" s="129"/>
    </row>
    <row r="9" spans="1:10" x14ac:dyDescent="0.2">
      <c r="B9" s="143">
        <v>42919</v>
      </c>
      <c r="C9" t="s">
        <v>898</v>
      </c>
      <c r="D9">
        <v>-27.55</v>
      </c>
      <c r="E9" t="s">
        <v>756</v>
      </c>
      <c r="F9" t="s">
        <v>905</v>
      </c>
      <c r="J9" s="129"/>
    </row>
    <row r="10" spans="1:10" x14ac:dyDescent="0.2">
      <c r="B10" s="143">
        <v>42919</v>
      </c>
      <c r="C10" t="s">
        <v>898</v>
      </c>
      <c r="D10">
        <v>-10</v>
      </c>
      <c r="E10" t="s">
        <v>756</v>
      </c>
      <c r="F10" t="s">
        <v>906</v>
      </c>
      <c r="J10" s="129"/>
    </row>
    <row r="11" spans="1:10" x14ac:dyDescent="0.2">
      <c r="B11" s="143">
        <v>42919</v>
      </c>
      <c r="C11" t="s">
        <v>898</v>
      </c>
      <c r="D11">
        <v>-20</v>
      </c>
      <c r="E11" t="s">
        <v>756</v>
      </c>
      <c r="F11" t="s">
        <v>906</v>
      </c>
      <c r="J11" s="129"/>
    </row>
    <row r="12" spans="1:10" x14ac:dyDescent="0.2">
      <c r="B12" s="143">
        <v>42920</v>
      </c>
      <c r="C12" t="s">
        <v>898</v>
      </c>
      <c r="D12">
        <v>-1</v>
      </c>
      <c r="E12" t="s">
        <v>756</v>
      </c>
      <c r="F12" t="s">
        <v>907</v>
      </c>
      <c r="J12" s="129"/>
    </row>
    <row r="13" spans="1:10" x14ac:dyDescent="0.2">
      <c r="B13" s="143">
        <v>42920</v>
      </c>
      <c r="C13" t="s">
        <v>898</v>
      </c>
      <c r="D13">
        <v>-12.3</v>
      </c>
      <c r="E13" t="s">
        <v>756</v>
      </c>
      <c r="F13" t="s">
        <v>907</v>
      </c>
      <c r="J13" s="129"/>
    </row>
    <row r="14" spans="1:10" x14ac:dyDescent="0.2">
      <c r="B14" s="143">
        <v>42920</v>
      </c>
      <c r="C14" t="s">
        <v>898</v>
      </c>
      <c r="D14">
        <v>-9.17</v>
      </c>
      <c r="E14" t="s">
        <v>756</v>
      </c>
      <c r="F14" t="s">
        <v>908</v>
      </c>
      <c r="J14" s="129"/>
    </row>
    <row r="15" spans="1:10" x14ac:dyDescent="0.2">
      <c r="B15" s="143">
        <v>42920</v>
      </c>
      <c r="C15" t="s">
        <v>898</v>
      </c>
      <c r="D15">
        <v>-2.95</v>
      </c>
      <c r="E15" t="s">
        <v>756</v>
      </c>
      <c r="F15" t="s">
        <v>909</v>
      </c>
      <c r="J15" s="129"/>
    </row>
    <row r="16" spans="1:10" x14ac:dyDescent="0.2">
      <c r="B16" s="143">
        <v>42920</v>
      </c>
      <c r="C16" t="s">
        <v>898</v>
      </c>
      <c r="D16">
        <v>-2.95</v>
      </c>
      <c r="E16" t="s">
        <v>756</v>
      </c>
      <c r="F16" t="s">
        <v>909</v>
      </c>
      <c r="J16" s="129"/>
    </row>
    <row r="17" spans="2:10" x14ac:dyDescent="0.2">
      <c r="B17" s="143">
        <v>42920</v>
      </c>
      <c r="C17" t="s">
        <v>898</v>
      </c>
      <c r="D17">
        <v>-17.55</v>
      </c>
      <c r="E17" t="s">
        <v>756</v>
      </c>
      <c r="F17" t="s">
        <v>909</v>
      </c>
      <c r="J17" s="129"/>
    </row>
    <row r="18" spans="2:10" x14ac:dyDescent="0.2">
      <c r="B18" s="143">
        <v>42920</v>
      </c>
      <c r="C18" t="s">
        <v>898</v>
      </c>
      <c r="D18">
        <v>-15.2</v>
      </c>
      <c r="E18" t="s">
        <v>756</v>
      </c>
      <c r="F18" t="s">
        <v>910</v>
      </c>
      <c r="J18" s="129"/>
    </row>
    <row r="19" spans="2:10" x14ac:dyDescent="0.2">
      <c r="B19" s="143">
        <v>42921</v>
      </c>
      <c r="C19" t="s">
        <v>898</v>
      </c>
      <c r="D19">
        <v>-9.99</v>
      </c>
      <c r="E19" t="s">
        <v>756</v>
      </c>
      <c r="F19" t="s">
        <v>911</v>
      </c>
      <c r="J19" s="129"/>
    </row>
    <row r="20" spans="2:10" x14ac:dyDescent="0.2">
      <c r="B20" s="143">
        <v>42921</v>
      </c>
      <c r="C20" t="s">
        <v>898</v>
      </c>
      <c r="D20">
        <v>-21.05</v>
      </c>
      <c r="E20" t="s">
        <v>756</v>
      </c>
      <c r="F20" t="s">
        <v>912</v>
      </c>
      <c r="J20" s="129"/>
    </row>
    <row r="21" spans="2:10" x14ac:dyDescent="0.2">
      <c r="B21" s="143">
        <v>42921</v>
      </c>
      <c r="C21" t="s">
        <v>898</v>
      </c>
      <c r="D21">
        <v>-2</v>
      </c>
      <c r="E21" t="s">
        <v>756</v>
      </c>
      <c r="F21" t="s">
        <v>913</v>
      </c>
      <c r="J21" s="129"/>
    </row>
    <row r="22" spans="2:10" x14ac:dyDescent="0.2">
      <c r="B22" s="143">
        <v>42921</v>
      </c>
      <c r="C22" t="s">
        <v>898</v>
      </c>
      <c r="D22">
        <v>-40.85</v>
      </c>
      <c r="E22" t="s">
        <v>756</v>
      </c>
      <c r="F22" t="s">
        <v>914</v>
      </c>
      <c r="J22" s="129"/>
    </row>
    <row r="23" spans="2:10" x14ac:dyDescent="0.2">
      <c r="B23" s="143">
        <v>42922</v>
      </c>
      <c r="C23" t="s">
        <v>898</v>
      </c>
      <c r="D23">
        <v>-4.8</v>
      </c>
      <c r="E23" t="s">
        <v>756</v>
      </c>
      <c r="F23" t="s">
        <v>915</v>
      </c>
      <c r="J23" s="129"/>
    </row>
    <row r="24" spans="2:10" x14ac:dyDescent="0.2">
      <c r="B24" s="143">
        <v>42922</v>
      </c>
      <c r="C24" t="s">
        <v>898</v>
      </c>
      <c r="D24">
        <v>-139.94999999999999</v>
      </c>
      <c r="E24" t="s">
        <v>756</v>
      </c>
      <c r="F24" t="s">
        <v>916</v>
      </c>
      <c r="J24" s="129"/>
    </row>
    <row r="25" spans="2:10" x14ac:dyDescent="0.2">
      <c r="B25" s="143">
        <v>42922</v>
      </c>
      <c r="C25" t="s">
        <v>898</v>
      </c>
      <c r="D25">
        <v>-28.83</v>
      </c>
      <c r="E25" t="s">
        <v>756</v>
      </c>
      <c r="F25" t="s">
        <v>917</v>
      </c>
      <c r="J25" s="129"/>
    </row>
    <row r="26" spans="2:10" x14ac:dyDescent="0.2">
      <c r="B26" s="143">
        <v>42922</v>
      </c>
      <c r="C26" t="s">
        <v>898</v>
      </c>
      <c r="D26">
        <v>-67.17</v>
      </c>
      <c r="E26" t="s">
        <v>756</v>
      </c>
      <c r="F26" t="s">
        <v>918</v>
      </c>
      <c r="J26" s="129"/>
    </row>
    <row r="27" spans="2:10" x14ac:dyDescent="0.2">
      <c r="B27" s="143">
        <v>42922</v>
      </c>
      <c r="C27" t="s">
        <v>898</v>
      </c>
      <c r="D27">
        <v>-12.84</v>
      </c>
      <c r="E27" t="s">
        <v>756</v>
      </c>
      <c r="F27" t="s">
        <v>919</v>
      </c>
      <c r="J27" s="129"/>
    </row>
    <row r="28" spans="2:10" x14ac:dyDescent="0.2">
      <c r="B28" s="143">
        <v>42922</v>
      </c>
      <c r="C28" t="s">
        <v>898</v>
      </c>
      <c r="D28">
        <v>-20.38</v>
      </c>
      <c r="E28" t="s">
        <v>756</v>
      </c>
      <c r="F28" t="s">
        <v>920</v>
      </c>
      <c r="J28" s="129"/>
    </row>
    <row r="29" spans="2:10" x14ac:dyDescent="0.2">
      <c r="B29" s="143">
        <v>42923</v>
      </c>
      <c r="C29" t="s">
        <v>898</v>
      </c>
      <c r="D29">
        <v>-23.02</v>
      </c>
      <c r="E29" t="s">
        <v>756</v>
      </c>
      <c r="F29" t="s">
        <v>921</v>
      </c>
      <c r="J29" s="129"/>
    </row>
    <row r="30" spans="2:10" x14ac:dyDescent="0.2">
      <c r="B30" s="143">
        <v>42923</v>
      </c>
      <c r="C30" t="s">
        <v>898</v>
      </c>
      <c r="D30">
        <v>-9.9499999999999993</v>
      </c>
      <c r="E30" t="s">
        <v>756</v>
      </c>
      <c r="F30" t="s">
        <v>922</v>
      </c>
      <c r="J30" s="129"/>
    </row>
    <row r="31" spans="2:10" x14ac:dyDescent="0.2">
      <c r="B31" s="143">
        <v>42923</v>
      </c>
      <c r="C31" t="s">
        <v>898</v>
      </c>
      <c r="D31">
        <v>-7.27</v>
      </c>
      <c r="E31" t="s">
        <v>756</v>
      </c>
      <c r="F31" t="s">
        <v>923</v>
      </c>
      <c r="J31" s="129"/>
    </row>
    <row r="32" spans="2:10" x14ac:dyDescent="0.2">
      <c r="B32" s="143">
        <v>42923</v>
      </c>
      <c r="C32" t="s">
        <v>898</v>
      </c>
      <c r="D32">
        <v>-159.94999999999999</v>
      </c>
      <c r="E32" t="s">
        <v>756</v>
      </c>
      <c r="F32" t="s">
        <v>924</v>
      </c>
      <c r="J32" s="129"/>
    </row>
    <row r="33" spans="2:10" x14ac:dyDescent="0.2">
      <c r="B33" s="143">
        <v>42926</v>
      </c>
      <c r="C33" t="s">
        <v>898</v>
      </c>
      <c r="D33">
        <v>30</v>
      </c>
      <c r="E33" t="s">
        <v>795</v>
      </c>
      <c r="F33" t="s">
        <v>925</v>
      </c>
      <c r="J33" s="129"/>
    </row>
    <row r="34" spans="2:10" x14ac:dyDescent="0.2">
      <c r="B34" s="143">
        <v>42926</v>
      </c>
      <c r="C34" t="s">
        <v>898</v>
      </c>
      <c r="D34">
        <v>-26.04</v>
      </c>
      <c r="E34" t="s">
        <v>756</v>
      </c>
      <c r="F34" t="s">
        <v>926</v>
      </c>
      <c r="J34" s="129"/>
    </row>
    <row r="35" spans="2:10" x14ac:dyDescent="0.2">
      <c r="B35" s="143">
        <v>42926</v>
      </c>
      <c r="C35" t="s">
        <v>898</v>
      </c>
      <c r="D35">
        <v>-13.98</v>
      </c>
      <c r="E35" t="s">
        <v>756</v>
      </c>
      <c r="F35" t="s">
        <v>927</v>
      </c>
      <c r="J35" s="129"/>
    </row>
    <row r="36" spans="2:10" x14ac:dyDescent="0.2">
      <c r="B36" s="143">
        <v>42926</v>
      </c>
      <c r="C36" t="s">
        <v>898</v>
      </c>
      <c r="D36">
        <v>-13.41</v>
      </c>
      <c r="E36" t="s">
        <v>756</v>
      </c>
      <c r="F36" t="s">
        <v>928</v>
      </c>
      <c r="J36" s="129"/>
    </row>
    <row r="37" spans="2:10" x14ac:dyDescent="0.2">
      <c r="B37" s="143">
        <v>42926</v>
      </c>
      <c r="C37" t="s">
        <v>898</v>
      </c>
      <c r="D37">
        <v>-12.17</v>
      </c>
      <c r="E37" t="s">
        <v>756</v>
      </c>
      <c r="F37" t="s">
        <v>929</v>
      </c>
      <c r="J37" s="129"/>
    </row>
    <row r="38" spans="2:10" x14ac:dyDescent="0.2">
      <c r="B38" s="143">
        <v>42926</v>
      </c>
      <c r="C38" t="s">
        <v>898</v>
      </c>
      <c r="D38">
        <v>-10</v>
      </c>
      <c r="E38" t="s">
        <v>756</v>
      </c>
      <c r="F38" t="s">
        <v>930</v>
      </c>
      <c r="J38" s="129"/>
    </row>
    <row r="39" spans="2:10" x14ac:dyDescent="0.2">
      <c r="B39" s="143">
        <v>42926</v>
      </c>
      <c r="C39" t="s">
        <v>898</v>
      </c>
      <c r="D39">
        <v>-8.6999999999999993</v>
      </c>
      <c r="E39" t="s">
        <v>756</v>
      </c>
      <c r="F39" t="s">
        <v>931</v>
      </c>
      <c r="J39" s="129"/>
    </row>
    <row r="40" spans="2:10" x14ac:dyDescent="0.2">
      <c r="B40" s="143">
        <v>42926</v>
      </c>
      <c r="C40" t="s">
        <v>898</v>
      </c>
      <c r="D40">
        <v>-4.5</v>
      </c>
      <c r="E40" t="s">
        <v>756</v>
      </c>
      <c r="F40" t="s">
        <v>932</v>
      </c>
      <c r="J40" s="129"/>
    </row>
    <row r="41" spans="2:10" x14ac:dyDescent="0.2">
      <c r="B41" s="143">
        <v>42926</v>
      </c>
      <c r="C41" t="s">
        <v>898</v>
      </c>
      <c r="D41">
        <v>-52.07</v>
      </c>
      <c r="E41" t="s">
        <v>756</v>
      </c>
      <c r="F41" t="s">
        <v>933</v>
      </c>
      <c r="J41" s="129"/>
    </row>
    <row r="42" spans="2:10" x14ac:dyDescent="0.2">
      <c r="B42" s="143">
        <v>42926</v>
      </c>
      <c r="C42" t="s">
        <v>898</v>
      </c>
      <c r="D42">
        <v>-35.049999999999997</v>
      </c>
      <c r="E42" t="s">
        <v>756</v>
      </c>
      <c r="F42" t="s">
        <v>934</v>
      </c>
      <c r="J42" s="129"/>
    </row>
    <row r="43" spans="2:10" x14ac:dyDescent="0.2">
      <c r="B43" s="143">
        <v>42926</v>
      </c>
      <c r="C43" t="s">
        <v>898</v>
      </c>
      <c r="D43">
        <v>-34.35</v>
      </c>
      <c r="E43" t="s">
        <v>756</v>
      </c>
      <c r="F43" t="s">
        <v>935</v>
      </c>
      <c r="J43" s="129"/>
    </row>
    <row r="44" spans="2:10" x14ac:dyDescent="0.2">
      <c r="B44" s="143">
        <v>42926</v>
      </c>
      <c r="C44" t="s">
        <v>898</v>
      </c>
      <c r="D44">
        <v>-25.3</v>
      </c>
      <c r="E44" t="s">
        <v>756</v>
      </c>
      <c r="F44" t="s">
        <v>936</v>
      </c>
      <c r="J44" s="129"/>
    </row>
    <row r="45" spans="2:10" x14ac:dyDescent="0.2">
      <c r="B45" s="143">
        <v>42926</v>
      </c>
      <c r="C45" t="s">
        <v>898</v>
      </c>
      <c r="D45">
        <v>-4.55</v>
      </c>
      <c r="E45" t="s">
        <v>756</v>
      </c>
      <c r="F45" t="s">
        <v>937</v>
      </c>
      <c r="J45" s="129"/>
    </row>
    <row r="46" spans="2:10" x14ac:dyDescent="0.2">
      <c r="B46" s="143">
        <v>42927</v>
      </c>
      <c r="C46" t="s">
        <v>898</v>
      </c>
      <c r="D46">
        <v>15</v>
      </c>
      <c r="E46" t="s">
        <v>795</v>
      </c>
      <c r="F46" t="s">
        <v>938</v>
      </c>
      <c r="J46" s="129"/>
    </row>
    <row r="47" spans="2:10" x14ac:dyDescent="0.2">
      <c r="B47" s="143">
        <v>42927</v>
      </c>
      <c r="C47" t="s">
        <v>898</v>
      </c>
      <c r="D47">
        <v>500</v>
      </c>
      <c r="E47" t="s">
        <v>794</v>
      </c>
      <c r="F47" t="s">
        <v>939</v>
      </c>
      <c r="J47" s="129"/>
    </row>
    <row r="48" spans="2:10" x14ac:dyDescent="0.2">
      <c r="B48" s="143">
        <v>42927</v>
      </c>
      <c r="C48" t="s">
        <v>898</v>
      </c>
      <c r="D48">
        <v>-22.28</v>
      </c>
      <c r="E48" t="s">
        <v>756</v>
      </c>
      <c r="F48" t="s">
        <v>940</v>
      </c>
      <c r="J48" s="129"/>
    </row>
    <row r="49" spans="2:10" x14ac:dyDescent="0.2">
      <c r="B49" s="143">
        <v>42927</v>
      </c>
      <c r="C49" t="s">
        <v>898</v>
      </c>
      <c r="D49">
        <v>-14.95</v>
      </c>
      <c r="E49" t="s">
        <v>756</v>
      </c>
      <c r="F49" t="s">
        <v>941</v>
      </c>
      <c r="J49" s="129"/>
    </row>
    <row r="50" spans="2:10" x14ac:dyDescent="0.2">
      <c r="B50" s="143">
        <v>42927</v>
      </c>
      <c r="C50" t="s">
        <v>898</v>
      </c>
      <c r="D50">
        <v>-106.66</v>
      </c>
      <c r="E50" t="s">
        <v>756</v>
      </c>
      <c r="F50" t="s">
        <v>942</v>
      </c>
      <c r="J50" s="129"/>
    </row>
    <row r="51" spans="2:10" x14ac:dyDescent="0.2">
      <c r="B51" s="143">
        <v>42927</v>
      </c>
      <c r="C51" t="s">
        <v>898</v>
      </c>
      <c r="D51">
        <v>-38.700000000000003</v>
      </c>
      <c r="E51" t="s">
        <v>756</v>
      </c>
      <c r="F51" t="s">
        <v>943</v>
      </c>
      <c r="J51" s="129"/>
    </row>
    <row r="52" spans="2:10" x14ac:dyDescent="0.2">
      <c r="B52" s="143">
        <v>42927</v>
      </c>
      <c r="C52" t="s">
        <v>898</v>
      </c>
      <c r="D52">
        <v>-6</v>
      </c>
      <c r="E52" t="s">
        <v>756</v>
      </c>
      <c r="F52" t="s">
        <v>942</v>
      </c>
      <c r="J52" s="129"/>
    </row>
    <row r="53" spans="2:10" x14ac:dyDescent="0.2">
      <c r="B53" s="143">
        <v>42928</v>
      </c>
      <c r="C53" t="s">
        <v>898</v>
      </c>
      <c r="D53">
        <v>-26</v>
      </c>
      <c r="E53" t="s">
        <v>756</v>
      </c>
      <c r="F53" t="s">
        <v>944</v>
      </c>
      <c r="J53" s="129"/>
    </row>
    <row r="54" spans="2:10" x14ac:dyDescent="0.2">
      <c r="B54" s="143">
        <v>42928</v>
      </c>
      <c r="C54" t="s">
        <v>898</v>
      </c>
      <c r="D54">
        <v>-14.85</v>
      </c>
      <c r="E54" t="s">
        <v>756</v>
      </c>
      <c r="F54" t="s">
        <v>945</v>
      </c>
      <c r="J54" s="129"/>
    </row>
    <row r="55" spans="2:10" x14ac:dyDescent="0.2">
      <c r="B55" s="143">
        <v>42928</v>
      </c>
      <c r="C55" t="s">
        <v>898</v>
      </c>
      <c r="D55">
        <v>-5.17</v>
      </c>
      <c r="E55" t="s">
        <v>756</v>
      </c>
      <c r="F55" t="s">
        <v>946</v>
      </c>
      <c r="J55" s="129"/>
    </row>
    <row r="56" spans="2:10" x14ac:dyDescent="0.2">
      <c r="B56" s="143">
        <v>42928</v>
      </c>
      <c r="C56" t="s">
        <v>898</v>
      </c>
      <c r="D56">
        <v>-4.18</v>
      </c>
      <c r="E56" t="s">
        <v>756</v>
      </c>
      <c r="F56" t="s">
        <v>947</v>
      </c>
      <c r="J56" s="129"/>
    </row>
    <row r="57" spans="2:10" x14ac:dyDescent="0.2">
      <c r="B57" s="143">
        <v>42929</v>
      </c>
      <c r="C57" t="s">
        <v>898</v>
      </c>
      <c r="D57">
        <v>-87.99</v>
      </c>
      <c r="E57" t="s">
        <v>756</v>
      </c>
      <c r="F57" t="s">
        <v>948</v>
      </c>
      <c r="J57" s="129"/>
    </row>
    <row r="58" spans="2:10" x14ac:dyDescent="0.2">
      <c r="B58" s="143">
        <v>42929</v>
      </c>
      <c r="C58" t="s">
        <v>898</v>
      </c>
      <c r="D58">
        <v>-54.14</v>
      </c>
      <c r="E58" t="s">
        <v>756</v>
      </c>
      <c r="F58" t="s">
        <v>949</v>
      </c>
      <c r="J58" s="129"/>
    </row>
    <row r="59" spans="2:10" x14ac:dyDescent="0.2">
      <c r="B59" s="143">
        <v>42929</v>
      </c>
      <c r="C59" t="s">
        <v>898</v>
      </c>
      <c r="D59">
        <v>-33.39</v>
      </c>
      <c r="E59" t="s">
        <v>756</v>
      </c>
      <c r="F59" t="s">
        <v>950</v>
      </c>
      <c r="J59" s="129"/>
    </row>
    <row r="60" spans="2:10" x14ac:dyDescent="0.2">
      <c r="B60" s="143">
        <v>42929</v>
      </c>
      <c r="C60" t="s">
        <v>898</v>
      </c>
      <c r="D60">
        <v>-0.79</v>
      </c>
      <c r="E60" t="s">
        <v>756</v>
      </c>
      <c r="F60" t="s">
        <v>951</v>
      </c>
      <c r="J60" s="129"/>
    </row>
    <row r="61" spans="2:10" x14ac:dyDescent="0.2">
      <c r="B61" s="143">
        <v>42930</v>
      </c>
      <c r="C61" t="s">
        <v>898</v>
      </c>
      <c r="D61">
        <v>-13.75</v>
      </c>
      <c r="E61" t="s">
        <v>756</v>
      </c>
      <c r="F61" t="s">
        <v>952</v>
      </c>
      <c r="J61" s="129"/>
    </row>
    <row r="62" spans="2:10" x14ac:dyDescent="0.2">
      <c r="B62" s="143">
        <v>42930</v>
      </c>
      <c r="C62" t="s">
        <v>898</v>
      </c>
      <c r="D62">
        <v>-11.05</v>
      </c>
      <c r="E62" t="s">
        <v>756</v>
      </c>
      <c r="F62" t="s">
        <v>953</v>
      </c>
      <c r="J62" s="129"/>
    </row>
    <row r="63" spans="2:10" x14ac:dyDescent="0.2">
      <c r="B63" s="143">
        <v>42930</v>
      </c>
      <c r="C63" t="s">
        <v>898</v>
      </c>
      <c r="D63">
        <v>-8.8699999999999992</v>
      </c>
      <c r="E63" t="s">
        <v>756</v>
      </c>
      <c r="F63" t="s">
        <v>954</v>
      </c>
      <c r="J63" s="129"/>
    </row>
    <row r="64" spans="2:10" x14ac:dyDescent="0.2">
      <c r="B64" s="143">
        <v>42930</v>
      </c>
      <c r="C64" t="s">
        <v>898</v>
      </c>
      <c r="D64">
        <v>-6.77</v>
      </c>
      <c r="E64" t="s">
        <v>756</v>
      </c>
      <c r="F64" t="s">
        <v>952</v>
      </c>
      <c r="J64" s="129"/>
    </row>
    <row r="65" spans="2:10" x14ac:dyDescent="0.2">
      <c r="B65" s="143">
        <v>42930</v>
      </c>
      <c r="C65" t="s">
        <v>898</v>
      </c>
      <c r="D65">
        <v>-68.099999999999994</v>
      </c>
      <c r="E65" t="s">
        <v>756</v>
      </c>
      <c r="F65" t="s">
        <v>955</v>
      </c>
      <c r="J65" s="129"/>
    </row>
    <row r="66" spans="2:10" x14ac:dyDescent="0.2">
      <c r="B66" s="143">
        <v>42930</v>
      </c>
      <c r="C66" t="s">
        <v>898</v>
      </c>
      <c r="D66">
        <v>-44.26</v>
      </c>
      <c r="E66" t="s">
        <v>756</v>
      </c>
      <c r="F66" t="s">
        <v>956</v>
      </c>
      <c r="J66" s="129"/>
    </row>
    <row r="67" spans="2:10" x14ac:dyDescent="0.2">
      <c r="B67" s="143">
        <v>42930</v>
      </c>
      <c r="C67" t="s">
        <v>898</v>
      </c>
      <c r="D67">
        <v>-8.98</v>
      </c>
      <c r="E67" t="s">
        <v>756</v>
      </c>
      <c r="F67" t="s">
        <v>957</v>
      </c>
      <c r="J67" s="129"/>
    </row>
    <row r="68" spans="2:10" x14ac:dyDescent="0.2">
      <c r="B68" s="143">
        <v>42933</v>
      </c>
      <c r="C68" t="s">
        <v>898</v>
      </c>
      <c r="D68">
        <v>1</v>
      </c>
      <c r="E68" t="s">
        <v>794</v>
      </c>
      <c r="F68" t="s">
        <v>958</v>
      </c>
      <c r="J68" s="129"/>
    </row>
    <row r="69" spans="2:10" x14ac:dyDescent="0.2">
      <c r="B69" s="143">
        <v>42933</v>
      </c>
      <c r="C69" t="s">
        <v>898</v>
      </c>
      <c r="D69">
        <v>-21.41</v>
      </c>
      <c r="E69" t="s">
        <v>756</v>
      </c>
      <c r="F69" t="s">
        <v>959</v>
      </c>
      <c r="J69" s="129"/>
    </row>
    <row r="70" spans="2:10" x14ac:dyDescent="0.2">
      <c r="B70" s="143">
        <v>42933</v>
      </c>
      <c r="C70" t="s">
        <v>898</v>
      </c>
      <c r="D70">
        <v>-6</v>
      </c>
      <c r="E70" t="s">
        <v>756</v>
      </c>
      <c r="F70" t="s">
        <v>960</v>
      </c>
      <c r="J70" s="129"/>
    </row>
    <row r="71" spans="2:10" x14ac:dyDescent="0.2">
      <c r="B71" s="143">
        <v>42933</v>
      </c>
      <c r="C71" t="s">
        <v>898</v>
      </c>
      <c r="D71">
        <v>-1</v>
      </c>
      <c r="E71" t="s">
        <v>756</v>
      </c>
      <c r="F71" t="s">
        <v>961</v>
      </c>
      <c r="J71" s="129"/>
    </row>
    <row r="72" spans="2:10" x14ac:dyDescent="0.2">
      <c r="B72" s="143">
        <v>42933</v>
      </c>
      <c r="C72" t="s">
        <v>898</v>
      </c>
      <c r="D72">
        <v>-57.77</v>
      </c>
      <c r="E72" t="s">
        <v>756</v>
      </c>
      <c r="F72" t="s">
        <v>962</v>
      </c>
      <c r="J72" s="129"/>
    </row>
    <row r="73" spans="2:10" x14ac:dyDescent="0.2">
      <c r="B73" s="143">
        <v>42933</v>
      </c>
      <c r="C73" t="s">
        <v>898</v>
      </c>
      <c r="D73">
        <v>-61.5</v>
      </c>
      <c r="E73" t="s">
        <v>751</v>
      </c>
      <c r="F73" t="s">
        <v>963</v>
      </c>
      <c r="J73" s="129"/>
    </row>
    <row r="74" spans="2:10" x14ac:dyDescent="0.2">
      <c r="B74" s="143">
        <v>42934</v>
      </c>
      <c r="C74" t="s">
        <v>898</v>
      </c>
      <c r="D74">
        <v>200</v>
      </c>
      <c r="E74" t="s">
        <v>798</v>
      </c>
      <c r="F74" t="s">
        <v>964</v>
      </c>
      <c r="J74" s="129"/>
    </row>
    <row r="75" spans="2:10" x14ac:dyDescent="0.2">
      <c r="B75" s="143">
        <v>42935</v>
      </c>
      <c r="C75" t="s">
        <v>898</v>
      </c>
      <c r="D75">
        <v>-26.32</v>
      </c>
      <c r="E75" t="s">
        <v>756</v>
      </c>
      <c r="F75" t="s">
        <v>965</v>
      </c>
      <c r="J75" s="129"/>
    </row>
    <row r="76" spans="2:10" x14ac:dyDescent="0.2">
      <c r="B76" s="143">
        <v>42935</v>
      </c>
      <c r="C76" t="s">
        <v>898</v>
      </c>
      <c r="D76">
        <v>-3.49</v>
      </c>
      <c r="E76" t="s">
        <v>756</v>
      </c>
      <c r="F76" t="s">
        <v>966</v>
      </c>
      <c r="J76" s="129"/>
    </row>
    <row r="77" spans="2:10" x14ac:dyDescent="0.2">
      <c r="B77" s="143">
        <v>42935</v>
      </c>
      <c r="C77" t="s">
        <v>898</v>
      </c>
      <c r="D77">
        <v>-7.06</v>
      </c>
      <c r="E77" t="s">
        <v>756</v>
      </c>
      <c r="F77" t="s">
        <v>967</v>
      </c>
      <c r="J77" s="129"/>
    </row>
    <row r="78" spans="2:10" x14ac:dyDescent="0.2">
      <c r="B78" s="143">
        <v>42936</v>
      </c>
      <c r="C78" t="s">
        <v>898</v>
      </c>
      <c r="D78">
        <v>-21.75</v>
      </c>
      <c r="E78" t="s">
        <v>756</v>
      </c>
      <c r="F78" t="s">
        <v>968</v>
      </c>
      <c r="J78" s="129"/>
    </row>
    <row r="79" spans="2:10" x14ac:dyDescent="0.2">
      <c r="B79" s="143">
        <v>42937</v>
      </c>
      <c r="C79" t="s">
        <v>898</v>
      </c>
      <c r="D79">
        <v>300</v>
      </c>
      <c r="E79" t="s">
        <v>794</v>
      </c>
      <c r="F79" t="s">
        <v>939</v>
      </c>
      <c r="J79" s="129"/>
    </row>
    <row r="80" spans="2:10" x14ac:dyDescent="0.2">
      <c r="B80" s="143">
        <v>42937</v>
      </c>
      <c r="C80" t="s">
        <v>898</v>
      </c>
      <c r="D80">
        <v>-12.7</v>
      </c>
      <c r="E80" t="s">
        <v>756</v>
      </c>
      <c r="F80" t="s">
        <v>969</v>
      </c>
      <c r="J80" s="129"/>
    </row>
    <row r="81" spans="2:10" x14ac:dyDescent="0.2">
      <c r="B81" s="143">
        <v>42937</v>
      </c>
      <c r="C81" t="s">
        <v>898</v>
      </c>
      <c r="D81">
        <v>-6.5</v>
      </c>
      <c r="E81" t="s">
        <v>756</v>
      </c>
      <c r="F81" t="s">
        <v>969</v>
      </c>
      <c r="J81" s="129"/>
    </row>
    <row r="82" spans="2:10" x14ac:dyDescent="0.2">
      <c r="B82" s="143">
        <v>42937</v>
      </c>
      <c r="C82" t="s">
        <v>898</v>
      </c>
      <c r="D82">
        <v>-5.95</v>
      </c>
      <c r="E82" t="s">
        <v>756</v>
      </c>
      <c r="F82" t="s">
        <v>969</v>
      </c>
      <c r="J82" s="129"/>
    </row>
    <row r="83" spans="2:10" x14ac:dyDescent="0.2">
      <c r="B83" s="143">
        <v>42937</v>
      </c>
      <c r="C83" t="s">
        <v>898</v>
      </c>
      <c r="D83">
        <v>-3.9</v>
      </c>
      <c r="E83" t="s">
        <v>756</v>
      </c>
      <c r="F83" t="s">
        <v>969</v>
      </c>
      <c r="J83" s="129"/>
    </row>
    <row r="84" spans="2:10" x14ac:dyDescent="0.2">
      <c r="B84" s="143">
        <v>42937</v>
      </c>
      <c r="C84" t="s">
        <v>898</v>
      </c>
      <c r="D84">
        <v>-1.99</v>
      </c>
      <c r="E84" t="s">
        <v>756</v>
      </c>
      <c r="F84" t="s">
        <v>951</v>
      </c>
      <c r="J84" s="129"/>
    </row>
    <row r="85" spans="2:10" x14ac:dyDescent="0.2">
      <c r="B85" s="143">
        <v>42940</v>
      </c>
      <c r="C85" t="s">
        <v>898</v>
      </c>
      <c r="D85">
        <v>-28.82</v>
      </c>
      <c r="E85" t="s">
        <v>756</v>
      </c>
      <c r="F85" t="s">
        <v>970</v>
      </c>
      <c r="J85" s="129"/>
    </row>
    <row r="86" spans="2:10" x14ac:dyDescent="0.2">
      <c r="B86" s="143">
        <v>42940</v>
      </c>
      <c r="C86" t="s">
        <v>898</v>
      </c>
      <c r="D86">
        <v>-28.42</v>
      </c>
      <c r="E86" t="s">
        <v>756</v>
      </c>
      <c r="F86" t="s">
        <v>971</v>
      </c>
      <c r="J86" s="129"/>
    </row>
    <row r="87" spans="2:10" x14ac:dyDescent="0.2">
      <c r="B87" s="143">
        <v>42940</v>
      </c>
      <c r="C87" t="s">
        <v>898</v>
      </c>
      <c r="D87">
        <v>-17.100000000000001</v>
      </c>
      <c r="E87" t="s">
        <v>756</v>
      </c>
      <c r="F87" t="s">
        <v>972</v>
      </c>
      <c r="J87" s="129"/>
    </row>
    <row r="88" spans="2:10" x14ac:dyDescent="0.2">
      <c r="B88" s="143">
        <v>42940</v>
      </c>
      <c r="C88" t="s">
        <v>898</v>
      </c>
      <c r="D88">
        <v>-13.3</v>
      </c>
      <c r="E88" t="s">
        <v>756</v>
      </c>
      <c r="F88" t="s">
        <v>973</v>
      </c>
      <c r="J88" s="129"/>
    </row>
    <row r="89" spans="2:10" x14ac:dyDescent="0.2">
      <c r="B89" s="143">
        <v>42940</v>
      </c>
      <c r="C89" t="s">
        <v>898</v>
      </c>
      <c r="D89">
        <v>-10.64</v>
      </c>
      <c r="E89" t="s">
        <v>756</v>
      </c>
      <c r="F89" t="s">
        <v>974</v>
      </c>
      <c r="J89" s="129"/>
    </row>
    <row r="90" spans="2:10" x14ac:dyDescent="0.2">
      <c r="B90" s="143">
        <v>42940</v>
      </c>
      <c r="C90" t="s">
        <v>898</v>
      </c>
      <c r="D90">
        <v>-8.1</v>
      </c>
      <c r="E90" t="s">
        <v>756</v>
      </c>
      <c r="F90" t="s">
        <v>836</v>
      </c>
      <c r="J90" s="129"/>
    </row>
    <row r="91" spans="2:10" x14ac:dyDescent="0.2">
      <c r="B91" s="143">
        <v>42941</v>
      </c>
      <c r="C91" t="s">
        <v>898</v>
      </c>
      <c r="D91">
        <v>-5.32</v>
      </c>
      <c r="E91" t="s">
        <v>756</v>
      </c>
      <c r="F91" t="s">
        <v>975</v>
      </c>
      <c r="J91" s="129"/>
    </row>
    <row r="92" spans="2:10" x14ac:dyDescent="0.2">
      <c r="B92" s="143">
        <v>42941</v>
      </c>
      <c r="C92" t="s">
        <v>898</v>
      </c>
      <c r="D92">
        <v>-72.16</v>
      </c>
      <c r="E92" t="s">
        <v>756</v>
      </c>
      <c r="F92" t="s">
        <v>976</v>
      </c>
      <c r="J92" s="129"/>
    </row>
    <row r="93" spans="2:10" x14ac:dyDescent="0.2">
      <c r="B93" s="143">
        <v>42941</v>
      </c>
      <c r="C93" t="s">
        <v>898</v>
      </c>
      <c r="D93">
        <v>-55</v>
      </c>
      <c r="E93" t="s">
        <v>756</v>
      </c>
      <c r="F93" t="s">
        <v>977</v>
      </c>
      <c r="J93" s="129"/>
    </row>
    <row r="94" spans="2:10" x14ac:dyDescent="0.2">
      <c r="B94" s="143">
        <v>42941</v>
      </c>
      <c r="C94" t="s">
        <v>898</v>
      </c>
      <c r="D94">
        <v>-37.270000000000003</v>
      </c>
      <c r="E94" t="s">
        <v>756</v>
      </c>
      <c r="F94" t="s">
        <v>978</v>
      </c>
      <c r="J94" s="129"/>
    </row>
    <row r="95" spans="2:10" x14ac:dyDescent="0.2">
      <c r="B95" s="143">
        <v>42942</v>
      </c>
      <c r="C95" t="s">
        <v>898</v>
      </c>
      <c r="D95">
        <v>-25.34</v>
      </c>
      <c r="E95" t="s">
        <v>756</v>
      </c>
      <c r="F95" t="s">
        <v>979</v>
      </c>
      <c r="J95" s="129"/>
    </row>
    <row r="96" spans="2:10" x14ac:dyDescent="0.2">
      <c r="B96" s="143">
        <v>42942</v>
      </c>
      <c r="C96" t="s">
        <v>898</v>
      </c>
      <c r="D96">
        <v>-10.050000000000001</v>
      </c>
      <c r="E96" t="s">
        <v>756</v>
      </c>
      <c r="F96" t="s">
        <v>979</v>
      </c>
      <c r="J96" s="129"/>
    </row>
    <row r="97" spans="2:10" x14ac:dyDescent="0.2">
      <c r="B97" s="143">
        <v>42942</v>
      </c>
      <c r="C97" t="s">
        <v>898</v>
      </c>
      <c r="D97">
        <v>-4.95</v>
      </c>
      <c r="E97" t="s">
        <v>756</v>
      </c>
      <c r="F97" t="s">
        <v>980</v>
      </c>
      <c r="J97" s="129"/>
    </row>
    <row r="98" spans="2:10" x14ac:dyDescent="0.2">
      <c r="B98" s="143">
        <v>42942</v>
      </c>
      <c r="C98" t="s">
        <v>898</v>
      </c>
      <c r="D98">
        <v>-3.37</v>
      </c>
      <c r="E98" t="s">
        <v>756</v>
      </c>
      <c r="F98" t="s">
        <v>981</v>
      </c>
      <c r="J98" s="129"/>
    </row>
    <row r="99" spans="2:10" x14ac:dyDescent="0.2">
      <c r="B99" s="143">
        <v>42943</v>
      </c>
      <c r="C99" t="s">
        <v>898</v>
      </c>
      <c r="D99">
        <v>1200</v>
      </c>
      <c r="E99" t="s">
        <v>848</v>
      </c>
      <c r="F99" t="s">
        <v>982</v>
      </c>
      <c r="J99" s="129"/>
    </row>
    <row r="100" spans="2:10" x14ac:dyDescent="0.2">
      <c r="B100" s="143">
        <v>42943</v>
      </c>
      <c r="C100" t="s">
        <v>898</v>
      </c>
      <c r="D100">
        <v>-12.91</v>
      </c>
      <c r="E100" t="s">
        <v>756</v>
      </c>
      <c r="F100" t="s">
        <v>983</v>
      </c>
      <c r="J100" s="129"/>
    </row>
    <row r="101" spans="2:10" x14ac:dyDescent="0.2">
      <c r="B101" s="143">
        <v>42943</v>
      </c>
      <c r="C101" t="s">
        <v>898</v>
      </c>
      <c r="D101">
        <v>-42.56</v>
      </c>
      <c r="E101" t="s">
        <v>756</v>
      </c>
      <c r="F101" t="s">
        <v>984</v>
      </c>
      <c r="J101" s="129"/>
    </row>
    <row r="102" spans="2:10" x14ac:dyDescent="0.2">
      <c r="B102" s="143">
        <v>42944</v>
      </c>
      <c r="C102" t="s">
        <v>898</v>
      </c>
      <c r="D102">
        <v>-13.05</v>
      </c>
      <c r="E102" t="s">
        <v>756</v>
      </c>
      <c r="F102" t="s">
        <v>985</v>
      </c>
      <c r="J102" s="129"/>
    </row>
    <row r="103" spans="2:10" x14ac:dyDescent="0.2">
      <c r="B103" s="143">
        <v>42944</v>
      </c>
      <c r="C103" t="s">
        <v>898</v>
      </c>
      <c r="D103">
        <v>-10.050000000000001</v>
      </c>
      <c r="E103" t="s">
        <v>756</v>
      </c>
      <c r="F103" t="s">
        <v>985</v>
      </c>
      <c r="J103" s="129"/>
    </row>
    <row r="104" spans="2:10" x14ac:dyDescent="0.2">
      <c r="B104" s="143">
        <v>42944</v>
      </c>
      <c r="C104" t="s">
        <v>898</v>
      </c>
      <c r="D104">
        <v>-7.75</v>
      </c>
      <c r="E104" t="s">
        <v>756</v>
      </c>
      <c r="F104" t="s">
        <v>986</v>
      </c>
      <c r="J104" s="129"/>
    </row>
    <row r="105" spans="2:10" x14ac:dyDescent="0.2">
      <c r="B105" s="143">
        <v>42944</v>
      </c>
      <c r="C105" t="s">
        <v>898</v>
      </c>
      <c r="D105">
        <v>-2.5299999999999998</v>
      </c>
      <c r="E105" t="s">
        <v>756</v>
      </c>
      <c r="F105" t="s">
        <v>987</v>
      </c>
      <c r="J105" s="129"/>
    </row>
    <row r="106" spans="2:10" x14ac:dyDescent="0.2">
      <c r="B106" s="143">
        <v>42944</v>
      </c>
      <c r="C106" t="s">
        <v>898</v>
      </c>
      <c r="D106">
        <v>-33.35</v>
      </c>
      <c r="E106" t="s">
        <v>756</v>
      </c>
      <c r="F106" t="s">
        <v>988</v>
      </c>
      <c r="J106" s="129"/>
    </row>
    <row r="107" spans="2:10" x14ac:dyDescent="0.2">
      <c r="B107" s="143">
        <v>42944</v>
      </c>
      <c r="C107" t="s">
        <v>898</v>
      </c>
      <c r="D107">
        <v>-3</v>
      </c>
      <c r="E107" t="s">
        <v>756</v>
      </c>
      <c r="F107" t="s">
        <v>988</v>
      </c>
      <c r="J107" s="129"/>
    </row>
    <row r="108" spans="2:10" x14ac:dyDescent="0.2">
      <c r="B108" s="143">
        <v>42944</v>
      </c>
      <c r="C108" t="s">
        <v>898</v>
      </c>
      <c r="D108">
        <v>-1.98</v>
      </c>
      <c r="E108" t="s">
        <v>756</v>
      </c>
      <c r="F108" t="s">
        <v>951</v>
      </c>
      <c r="J108" s="129"/>
    </row>
    <row r="109" spans="2:10" x14ac:dyDescent="0.2">
      <c r="B109" s="143">
        <v>42947</v>
      </c>
      <c r="C109" t="s">
        <v>898</v>
      </c>
      <c r="D109">
        <v>-14.03</v>
      </c>
      <c r="E109" t="s">
        <v>756</v>
      </c>
      <c r="F109" t="s">
        <v>989</v>
      </c>
      <c r="J109" s="129"/>
    </row>
    <row r="110" spans="2:10" x14ac:dyDescent="0.2">
      <c r="B110" s="143">
        <v>42947</v>
      </c>
      <c r="C110" t="s">
        <v>898</v>
      </c>
      <c r="D110">
        <v>-12.55</v>
      </c>
      <c r="E110" t="s">
        <v>756</v>
      </c>
      <c r="F110" t="s">
        <v>990</v>
      </c>
      <c r="J110" s="129"/>
    </row>
    <row r="111" spans="2:10" x14ac:dyDescent="0.2">
      <c r="B111" s="143">
        <v>42947</v>
      </c>
      <c r="C111" t="s">
        <v>898</v>
      </c>
      <c r="D111">
        <v>-11.25</v>
      </c>
      <c r="E111" t="s">
        <v>756</v>
      </c>
      <c r="F111" t="s">
        <v>991</v>
      </c>
      <c r="J111" s="129"/>
    </row>
    <row r="112" spans="2:10" x14ac:dyDescent="0.2">
      <c r="B112" s="143">
        <v>42947</v>
      </c>
      <c r="C112" t="s">
        <v>898</v>
      </c>
      <c r="D112">
        <v>-7.56</v>
      </c>
      <c r="E112" t="s">
        <v>756</v>
      </c>
      <c r="F112" t="s">
        <v>992</v>
      </c>
      <c r="J112" s="129"/>
    </row>
    <row r="113" spans="2:6" x14ac:dyDescent="0.2">
      <c r="B113" s="143">
        <v>42947</v>
      </c>
      <c r="C113" t="s">
        <v>898</v>
      </c>
      <c r="D113">
        <v>-62.6</v>
      </c>
      <c r="E113" t="s">
        <v>756</v>
      </c>
      <c r="F113" t="s">
        <v>993</v>
      </c>
    </row>
    <row r="114" spans="2:6" x14ac:dyDescent="0.2">
      <c r="B114" s="143">
        <v>42947</v>
      </c>
      <c r="C114" t="s">
        <v>898</v>
      </c>
      <c r="D114">
        <v>-40.229999999999997</v>
      </c>
      <c r="E114" t="s">
        <v>756</v>
      </c>
      <c r="F114" t="s">
        <v>994</v>
      </c>
    </row>
    <row r="115" spans="2:6" x14ac:dyDescent="0.2">
      <c r="B115" s="143">
        <v>42947</v>
      </c>
      <c r="C115" t="s">
        <v>898</v>
      </c>
      <c r="D115">
        <v>-9</v>
      </c>
      <c r="E115" t="s">
        <v>751</v>
      </c>
      <c r="F115" t="s">
        <v>995</v>
      </c>
    </row>
    <row r="116" spans="2:6" x14ac:dyDescent="0.2">
      <c r="B116" s="139"/>
    </row>
    <row r="117" spans="2:6" x14ac:dyDescent="0.2">
      <c r="B117" s="139"/>
    </row>
    <row r="118" spans="2:6" x14ac:dyDescent="0.2">
      <c r="B118" s="139"/>
    </row>
    <row r="119" spans="2:6" x14ac:dyDescent="0.2">
      <c r="B119" s="139"/>
    </row>
    <row r="120" spans="2:6" x14ac:dyDescent="0.2">
      <c r="B120" s="139"/>
    </row>
    <row r="121" spans="2:6" x14ac:dyDescent="0.2">
      <c r="B121" s="139"/>
    </row>
    <row r="122" spans="2:6" x14ac:dyDescent="0.2">
      <c r="B122" s="139"/>
    </row>
    <row r="123" spans="2:6" x14ac:dyDescent="0.2">
      <c r="B123" s="139"/>
    </row>
    <row r="124" spans="2:6" x14ac:dyDescent="0.2">
      <c r="B124" s="139"/>
    </row>
    <row r="125" spans="2:6" x14ac:dyDescent="0.2">
      <c r="B125" s="139"/>
    </row>
    <row r="126" spans="2:6" x14ac:dyDescent="0.2">
      <c r="B126" s="139"/>
    </row>
    <row r="127" spans="2:6" x14ac:dyDescent="0.2">
      <c r="B127" s="139"/>
    </row>
    <row r="128" spans="2:6" x14ac:dyDescent="0.2">
      <c r="B128" s="139"/>
    </row>
    <row r="129" spans="2:2" x14ac:dyDescent="0.2">
      <c r="B129" s="139"/>
    </row>
    <row r="130" spans="2:2" x14ac:dyDescent="0.2">
      <c r="B130" s="139"/>
    </row>
    <row r="131" spans="2:2" x14ac:dyDescent="0.2">
      <c r="B131" s="139"/>
    </row>
    <row r="132" spans="2:2" x14ac:dyDescent="0.2">
      <c r="B132" s="139"/>
    </row>
    <row r="133" spans="2:2" x14ac:dyDescent="0.2">
      <c r="B133" s="139"/>
    </row>
    <row r="134" spans="2:2" x14ac:dyDescent="0.2">
      <c r="B134" s="139"/>
    </row>
    <row r="135" spans="2:2" x14ac:dyDescent="0.2">
      <c r="B135" s="139"/>
    </row>
  </sheetData>
  <sortState ref="A2:I112">
    <sortCondition ref="B2:B11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1"/>
  <sheetViews>
    <sheetView zoomScale="85" zoomScaleNormal="85" workbookViewId="0">
      <selection activeCell="L24" sqref="L24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6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t="s">
        <v>465</v>
      </c>
      <c r="F1" t="s">
        <v>466</v>
      </c>
      <c r="G1" t="s">
        <v>467</v>
      </c>
      <c r="H1" t="s">
        <v>468</v>
      </c>
    </row>
    <row r="2" spans="1:10" x14ac:dyDescent="0.2">
      <c r="A2" t="s">
        <v>490</v>
      </c>
      <c r="B2">
        <v>411971</v>
      </c>
      <c r="C2" s="80">
        <v>42919.470046296294</v>
      </c>
      <c r="D2" t="s">
        <v>565</v>
      </c>
      <c r="F2">
        <v>0</v>
      </c>
      <c r="G2">
        <v>0</v>
      </c>
      <c r="H2">
        <v>100</v>
      </c>
      <c r="J2" t="s">
        <v>1003</v>
      </c>
    </row>
    <row r="3" spans="1:10" x14ac:dyDescent="0.2">
      <c r="A3" t="s">
        <v>490</v>
      </c>
      <c r="B3">
        <v>411971</v>
      </c>
      <c r="C3" s="80">
        <v>42919.470046296294</v>
      </c>
      <c r="D3" t="s">
        <v>566</v>
      </c>
      <c r="E3" t="s">
        <v>567</v>
      </c>
      <c r="F3">
        <v>126165</v>
      </c>
      <c r="G3">
        <v>7.2</v>
      </c>
      <c r="H3">
        <v>0</v>
      </c>
      <c r="J3" t="s">
        <v>1004</v>
      </c>
    </row>
    <row r="4" spans="1:10" x14ac:dyDescent="0.2">
      <c r="A4" t="s">
        <v>490</v>
      </c>
      <c r="B4">
        <v>411971</v>
      </c>
      <c r="C4" s="80">
        <v>42919.470046296294</v>
      </c>
      <c r="D4" t="s">
        <v>568</v>
      </c>
      <c r="F4">
        <v>0</v>
      </c>
      <c r="G4">
        <v>0</v>
      </c>
      <c r="H4">
        <v>150</v>
      </c>
      <c r="J4" t="s">
        <v>1003</v>
      </c>
    </row>
    <row r="5" spans="1:10" x14ac:dyDescent="0.2">
      <c r="A5" t="s">
        <v>490</v>
      </c>
      <c r="B5">
        <v>411971</v>
      </c>
      <c r="C5" s="80">
        <v>42919.470046296294</v>
      </c>
      <c r="D5" t="s">
        <v>566</v>
      </c>
      <c r="E5" t="s">
        <v>567</v>
      </c>
      <c r="F5">
        <v>126165</v>
      </c>
      <c r="G5">
        <v>10.8</v>
      </c>
      <c r="H5">
        <v>0</v>
      </c>
      <c r="J5" t="s">
        <v>1004</v>
      </c>
    </row>
    <row r="6" spans="1:10" x14ac:dyDescent="0.2">
      <c r="A6" t="s">
        <v>490</v>
      </c>
      <c r="B6">
        <v>411985</v>
      </c>
      <c r="C6" s="80">
        <v>42919.473495370374</v>
      </c>
      <c r="D6" t="s">
        <v>569</v>
      </c>
      <c r="E6" t="s">
        <v>570</v>
      </c>
      <c r="F6">
        <v>108861</v>
      </c>
      <c r="G6">
        <v>232</v>
      </c>
      <c r="H6">
        <v>0</v>
      </c>
      <c r="J6" t="s">
        <v>1005</v>
      </c>
    </row>
    <row r="7" spans="1:10" x14ac:dyDescent="0.2">
      <c r="A7" t="s">
        <v>490</v>
      </c>
      <c r="B7">
        <v>413984</v>
      </c>
      <c r="C7" s="80">
        <v>42923.453530092593</v>
      </c>
      <c r="D7" t="s">
        <v>571</v>
      </c>
      <c r="E7" t="s">
        <v>572</v>
      </c>
      <c r="F7">
        <v>4072017</v>
      </c>
      <c r="G7">
        <v>336</v>
      </c>
      <c r="H7">
        <v>0</v>
      </c>
      <c r="J7" t="s">
        <v>1006</v>
      </c>
    </row>
    <row r="8" spans="1:10" x14ac:dyDescent="0.2">
      <c r="A8" t="s">
        <v>490</v>
      </c>
      <c r="B8">
        <v>415121</v>
      </c>
      <c r="C8" s="80">
        <v>42928.631168981483</v>
      </c>
      <c r="D8" t="s">
        <v>565</v>
      </c>
      <c r="F8">
        <v>0</v>
      </c>
      <c r="G8">
        <v>0</v>
      </c>
      <c r="H8">
        <v>250</v>
      </c>
      <c r="J8" t="s">
        <v>1003</v>
      </c>
    </row>
    <row r="9" spans="1:10" x14ac:dyDescent="0.2">
      <c r="A9" t="s">
        <v>490</v>
      </c>
      <c r="B9">
        <v>415121</v>
      </c>
      <c r="C9" s="80">
        <v>42928.631168981483</v>
      </c>
      <c r="D9" t="s">
        <v>566</v>
      </c>
      <c r="E9" t="s">
        <v>567</v>
      </c>
      <c r="F9">
        <v>127271</v>
      </c>
      <c r="G9">
        <v>18</v>
      </c>
      <c r="H9">
        <v>0</v>
      </c>
      <c r="J9" t="s">
        <v>1004</v>
      </c>
    </row>
    <row r="10" spans="1:10" x14ac:dyDescent="0.2">
      <c r="A10" t="s">
        <v>490</v>
      </c>
      <c r="B10">
        <v>416488</v>
      </c>
      <c r="C10" s="80">
        <v>42933.604791666665</v>
      </c>
      <c r="D10" t="s">
        <v>565</v>
      </c>
      <c r="F10">
        <v>0</v>
      </c>
      <c r="G10">
        <v>0</v>
      </c>
      <c r="H10">
        <v>250</v>
      </c>
      <c r="J10" t="s">
        <v>1003</v>
      </c>
    </row>
    <row r="11" spans="1:10" x14ac:dyDescent="0.2">
      <c r="A11" t="s">
        <v>490</v>
      </c>
      <c r="B11">
        <v>416488</v>
      </c>
      <c r="C11" s="80">
        <v>42933.604791666665</v>
      </c>
      <c r="D11" t="s">
        <v>566</v>
      </c>
      <c r="E11" t="s">
        <v>567</v>
      </c>
      <c r="F11">
        <v>127581</v>
      </c>
      <c r="G11">
        <v>18</v>
      </c>
      <c r="H11">
        <v>0</v>
      </c>
      <c r="J11" t="s">
        <v>1004</v>
      </c>
    </row>
    <row r="12" spans="1:10" x14ac:dyDescent="0.2">
      <c r="A12" t="s">
        <v>490</v>
      </c>
      <c r="B12">
        <v>416496</v>
      </c>
      <c r="C12" s="80">
        <v>42933.608136574076</v>
      </c>
      <c r="D12" t="s">
        <v>569</v>
      </c>
      <c r="E12" t="s">
        <v>570</v>
      </c>
      <c r="F12">
        <v>110260</v>
      </c>
      <c r="G12">
        <v>128</v>
      </c>
      <c r="H12">
        <v>0</v>
      </c>
      <c r="J12" t="s">
        <v>1005</v>
      </c>
    </row>
    <row r="13" spans="1:10" x14ac:dyDescent="0.2">
      <c r="A13" t="s">
        <v>490</v>
      </c>
      <c r="B13">
        <v>418032</v>
      </c>
      <c r="C13" s="80">
        <v>42940.632905092592</v>
      </c>
      <c r="D13" t="s">
        <v>573</v>
      </c>
      <c r="F13">
        <v>0</v>
      </c>
      <c r="G13">
        <v>0</v>
      </c>
      <c r="H13">
        <v>250</v>
      </c>
      <c r="J13" t="s">
        <v>1003</v>
      </c>
    </row>
    <row r="14" spans="1:10" x14ac:dyDescent="0.2">
      <c r="A14" t="s">
        <v>490</v>
      </c>
      <c r="B14">
        <v>418032</v>
      </c>
      <c r="C14" s="80">
        <v>42940.632905092592</v>
      </c>
      <c r="D14" t="s">
        <v>566</v>
      </c>
      <c r="E14" t="s">
        <v>567</v>
      </c>
      <c r="F14">
        <v>128142</v>
      </c>
      <c r="G14">
        <v>18</v>
      </c>
      <c r="H14">
        <v>0</v>
      </c>
      <c r="J14" t="s">
        <v>1004</v>
      </c>
    </row>
    <row r="15" spans="1:10" x14ac:dyDescent="0.2">
      <c r="A15" t="s">
        <v>490</v>
      </c>
      <c r="B15">
        <v>418037</v>
      </c>
      <c r="C15" s="80">
        <v>42940.634212962963</v>
      </c>
      <c r="D15" t="s">
        <v>569</v>
      </c>
      <c r="E15" t="s">
        <v>570</v>
      </c>
      <c r="F15">
        <v>110648</v>
      </c>
      <c r="G15">
        <v>232</v>
      </c>
      <c r="H15">
        <v>0</v>
      </c>
      <c r="J15" t="s">
        <v>1005</v>
      </c>
    </row>
    <row r="16" spans="1:10" x14ac:dyDescent="0.2">
      <c r="A16" t="s">
        <v>490</v>
      </c>
      <c r="B16">
        <v>420023</v>
      </c>
      <c r="C16" s="80">
        <v>42947.681909722225</v>
      </c>
      <c r="D16" t="s">
        <v>573</v>
      </c>
      <c r="F16">
        <v>0</v>
      </c>
      <c r="G16">
        <v>0</v>
      </c>
      <c r="H16">
        <v>250</v>
      </c>
      <c r="J16" t="s">
        <v>1003</v>
      </c>
    </row>
    <row r="17" spans="1:10" x14ac:dyDescent="0.2">
      <c r="A17" t="s">
        <v>490</v>
      </c>
      <c r="B17">
        <v>420023</v>
      </c>
      <c r="C17" s="80">
        <v>42947.681909722225</v>
      </c>
      <c r="D17" t="s">
        <v>566</v>
      </c>
      <c r="E17" t="s">
        <v>567</v>
      </c>
      <c r="F17">
        <v>128717</v>
      </c>
      <c r="G17">
        <v>18</v>
      </c>
      <c r="H17">
        <v>0</v>
      </c>
      <c r="J17" t="s">
        <v>1004</v>
      </c>
    </row>
    <row r="18" spans="1:10" x14ac:dyDescent="0.2">
      <c r="A18" t="s">
        <v>490</v>
      </c>
      <c r="B18">
        <v>420034</v>
      </c>
      <c r="C18" s="80">
        <v>42947.685555555552</v>
      </c>
      <c r="D18" t="s">
        <v>569</v>
      </c>
      <c r="E18" t="s">
        <v>570</v>
      </c>
      <c r="F18">
        <v>111078</v>
      </c>
      <c r="G18">
        <v>232</v>
      </c>
      <c r="H18">
        <v>0</v>
      </c>
      <c r="J18" t="s">
        <v>1005</v>
      </c>
    </row>
    <row r="19" spans="1:10" x14ac:dyDescent="0.2">
      <c r="A19" t="s">
        <v>489</v>
      </c>
      <c r="B19">
        <v>411969</v>
      </c>
      <c r="C19" s="80">
        <v>42919.470046296294</v>
      </c>
      <c r="D19" t="s">
        <v>574</v>
      </c>
      <c r="F19">
        <v>0</v>
      </c>
      <c r="G19">
        <v>0</v>
      </c>
      <c r="H19">
        <v>210</v>
      </c>
      <c r="J19" t="s">
        <v>1003</v>
      </c>
    </row>
    <row r="20" spans="1:10" x14ac:dyDescent="0.2">
      <c r="A20" t="s">
        <v>489</v>
      </c>
      <c r="B20">
        <v>411969</v>
      </c>
      <c r="C20" s="80">
        <v>42919.470046296294</v>
      </c>
      <c r="D20" t="s">
        <v>575</v>
      </c>
      <c r="E20" t="s">
        <v>567</v>
      </c>
      <c r="F20">
        <v>126163</v>
      </c>
      <c r="G20">
        <v>15.12</v>
      </c>
      <c r="H20">
        <v>0</v>
      </c>
      <c r="J20" t="s">
        <v>1004</v>
      </c>
    </row>
    <row r="21" spans="1:10" x14ac:dyDescent="0.2">
      <c r="A21" t="s">
        <v>489</v>
      </c>
      <c r="B21">
        <v>411985</v>
      </c>
      <c r="C21" s="80">
        <v>42919.473495370374</v>
      </c>
      <c r="D21" t="s">
        <v>576</v>
      </c>
      <c r="E21" t="s">
        <v>570</v>
      </c>
      <c r="F21">
        <v>108859</v>
      </c>
      <c r="G21">
        <v>194.88</v>
      </c>
      <c r="H21">
        <v>0</v>
      </c>
      <c r="J21" t="s">
        <v>1005</v>
      </c>
    </row>
    <row r="22" spans="1:10" x14ac:dyDescent="0.2">
      <c r="A22" t="s">
        <v>489</v>
      </c>
      <c r="B22">
        <v>418352</v>
      </c>
      <c r="C22" s="80">
        <v>42941.595451388886</v>
      </c>
      <c r="D22" t="s">
        <v>577</v>
      </c>
      <c r="F22">
        <v>0</v>
      </c>
      <c r="G22">
        <v>0</v>
      </c>
      <c r="H22">
        <v>160</v>
      </c>
      <c r="J22" t="s">
        <v>1003</v>
      </c>
    </row>
    <row r="23" spans="1:10" x14ac:dyDescent="0.2">
      <c r="A23" t="s">
        <v>489</v>
      </c>
      <c r="B23">
        <v>418352</v>
      </c>
      <c r="C23" s="80">
        <v>42941.595451388886</v>
      </c>
      <c r="D23" t="s">
        <v>575</v>
      </c>
      <c r="E23" t="s">
        <v>567</v>
      </c>
      <c r="F23">
        <v>128238</v>
      </c>
      <c r="G23">
        <v>11.52</v>
      </c>
      <c r="H23">
        <v>0</v>
      </c>
      <c r="J23" t="s">
        <v>1004</v>
      </c>
    </row>
    <row r="24" spans="1:10" x14ac:dyDescent="0.2">
      <c r="A24" t="s">
        <v>489</v>
      </c>
      <c r="B24">
        <v>418352</v>
      </c>
      <c r="C24" s="80">
        <v>42941.595451388886</v>
      </c>
      <c r="D24" t="s">
        <v>574</v>
      </c>
      <c r="F24">
        <v>0</v>
      </c>
      <c r="G24">
        <v>0</v>
      </c>
      <c r="H24">
        <v>40</v>
      </c>
      <c r="J24" t="s">
        <v>1003</v>
      </c>
    </row>
    <row r="25" spans="1:10" x14ac:dyDescent="0.2">
      <c r="A25" t="s">
        <v>489</v>
      </c>
      <c r="B25">
        <v>418352</v>
      </c>
      <c r="C25" s="80">
        <v>42941.595451388886</v>
      </c>
      <c r="D25" t="s">
        <v>575</v>
      </c>
      <c r="E25" t="s">
        <v>567</v>
      </c>
      <c r="F25">
        <v>128238</v>
      </c>
      <c r="G25">
        <v>2.88</v>
      </c>
      <c r="H25">
        <v>0</v>
      </c>
      <c r="J25" t="s">
        <v>1004</v>
      </c>
    </row>
    <row r="26" spans="1:10" x14ac:dyDescent="0.2">
      <c r="A26" t="s">
        <v>489</v>
      </c>
      <c r="B26">
        <v>418368</v>
      </c>
      <c r="C26" s="80">
        <v>42941.597905092596</v>
      </c>
      <c r="D26" t="s">
        <v>576</v>
      </c>
      <c r="E26" t="s">
        <v>570</v>
      </c>
      <c r="F26">
        <v>110730</v>
      </c>
      <c r="G26">
        <v>185.6</v>
      </c>
      <c r="H26">
        <v>0</v>
      </c>
      <c r="J26" t="s">
        <v>1005</v>
      </c>
    </row>
    <row r="27" spans="1:10" x14ac:dyDescent="0.2">
      <c r="A27" t="s">
        <v>489</v>
      </c>
      <c r="B27">
        <v>420020</v>
      </c>
      <c r="C27" s="80">
        <v>42947.681909722225</v>
      </c>
      <c r="D27" t="s">
        <v>577</v>
      </c>
      <c r="F27">
        <v>0</v>
      </c>
      <c r="G27">
        <v>0</v>
      </c>
      <c r="H27">
        <v>450</v>
      </c>
      <c r="J27" t="s">
        <v>1003</v>
      </c>
    </row>
    <row r="28" spans="1:10" x14ac:dyDescent="0.2">
      <c r="A28" t="s">
        <v>489</v>
      </c>
      <c r="B28">
        <v>420020</v>
      </c>
      <c r="C28" s="80">
        <v>42947.681909722225</v>
      </c>
      <c r="D28" t="s">
        <v>575</v>
      </c>
      <c r="E28" t="s">
        <v>567</v>
      </c>
      <c r="F28">
        <v>128714</v>
      </c>
      <c r="G28">
        <v>32.4</v>
      </c>
      <c r="H28">
        <v>0</v>
      </c>
      <c r="J28" t="s">
        <v>1004</v>
      </c>
    </row>
    <row r="29" spans="1:10" x14ac:dyDescent="0.2">
      <c r="A29" t="s">
        <v>489</v>
      </c>
      <c r="B29">
        <v>420034</v>
      </c>
      <c r="C29" s="80">
        <v>42947.685555555552</v>
      </c>
      <c r="D29" t="s">
        <v>576</v>
      </c>
      <c r="E29" t="s">
        <v>570</v>
      </c>
      <c r="F29">
        <v>111075</v>
      </c>
      <c r="G29">
        <v>417.6</v>
      </c>
      <c r="H29">
        <v>0</v>
      </c>
      <c r="J29" t="s">
        <v>1005</v>
      </c>
    </row>
    <row r="30" spans="1:10" x14ac:dyDescent="0.2">
      <c r="A30" t="s">
        <v>487</v>
      </c>
      <c r="B30">
        <v>412866</v>
      </c>
      <c r="C30" s="80">
        <v>42920.653668981482</v>
      </c>
      <c r="D30" t="s">
        <v>578</v>
      </c>
      <c r="F30">
        <v>0</v>
      </c>
      <c r="G30">
        <v>0</v>
      </c>
      <c r="H30">
        <v>122.86</v>
      </c>
      <c r="J30" t="s">
        <v>1003</v>
      </c>
    </row>
    <row r="31" spans="1:10" x14ac:dyDescent="0.2">
      <c r="A31" t="s">
        <v>487</v>
      </c>
      <c r="B31">
        <v>412866</v>
      </c>
      <c r="C31" s="80">
        <v>42920.653668981482</v>
      </c>
      <c r="D31" t="s">
        <v>579</v>
      </c>
      <c r="E31" t="s">
        <v>567</v>
      </c>
      <c r="F31">
        <v>126326</v>
      </c>
      <c r="G31">
        <v>8.84</v>
      </c>
      <c r="H31">
        <v>0</v>
      </c>
      <c r="J31" t="s">
        <v>1004</v>
      </c>
    </row>
    <row r="32" spans="1:10" x14ac:dyDescent="0.2">
      <c r="A32" t="s">
        <v>487</v>
      </c>
      <c r="B32">
        <v>413213</v>
      </c>
      <c r="C32" s="80">
        <v>42920.691412037035</v>
      </c>
      <c r="D32" t="s">
        <v>580</v>
      </c>
      <c r="E32" t="s">
        <v>570</v>
      </c>
      <c r="F32">
        <v>108957</v>
      </c>
      <c r="G32">
        <v>114.02</v>
      </c>
      <c r="H32">
        <v>0</v>
      </c>
      <c r="J32" t="s">
        <v>1005</v>
      </c>
    </row>
    <row r="33" spans="1:10" x14ac:dyDescent="0.2">
      <c r="A33" t="s">
        <v>487</v>
      </c>
      <c r="B33">
        <v>414851</v>
      </c>
      <c r="C33" s="80">
        <v>42927.581736111111</v>
      </c>
      <c r="D33" t="s">
        <v>581</v>
      </c>
      <c r="F33">
        <v>0</v>
      </c>
      <c r="G33">
        <v>0</v>
      </c>
      <c r="H33">
        <v>338.66</v>
      </c>
      <c r="J33" t="s">
        <v>1003</v>
      </c>
    </row>
    <row r="34" spans="1:10" x14ac:dyDescent="0.2">
      <c r="A34" t="s">
        <v>487</v>
      </c>
      <c r="B34">
        <v>414851</v>
      </c>
      <c r="C34" s="80">
        <v>42927.581736111111</v>
      </c>
      <c r="D34" t="s">
        <v>579</v>
      </c>
      <c r="E34" t="s">
        <v>567</v>
      </c>
      <c r="F34">
        <v>127181</v>
      </c>
      <c r="G34">
        <v>24.38</v>
      </c>
      <c r="H34">
        <v>0</v>
      </c>
      <c r="J34" t="s">
        <v>1004</v>
      </c>
    </row>
    <row r="35" spans="1:10" x14ac:dyDescent="0.2">
      <c r="A35" t="s">
        <v>487</v>
      </c>
      <c r="B35">
        <v>414870</v>
      </c>
      <c r="C35" s="80">
        <v>42927.584606481483</v>
      </c>
      <c r="D35" t="s">
        <v>580</v>
      </c>
      <c r="E35" t="s">
        <v>570</v>
      </c>
      <c r="F35">
        <v>109702</v>
      </c>
      <c r="G35">
        <v>314.27999999999997</v>
      </c>
      <c r="H35">
        <v>0</v>
      </c>
      <c r="J35" t="s">
        <v>1005</v>
      </c>
    </row>
    <row r="36" spans="1:10" x14ac:dyDescent="0.2">
      <c r="A36" t="s">
        <v>488</v>
      </c>
      <c r="B36">
        <v>412867</v>
      </c>
      <c r="C36" s="80">
        <v>42920.653668981482</v>
      </c>
      <c r="D36" t="s">
        <v>582</v>
      </c>
      <c r="F36">
        <v>0</v>
      </c>
      <c r="G36">
        <v>0</v>
      </c>
      <c r="H36">
        <v>346.8</v>
      </c>
      <c r="J36" t="s">
        <v>1003</v>
      </c>
    </row>
    <row r="37" spans="1:10" x14ac:dyDescent="0.2">
      <c r="A37" t="s">
        <v>488</v>
      </c>
      <c r="B37">
        <v>412867</v>
      </c>
      <c r="C37" s="80">
        <v>42920.653668981482</v>
      </c>
      <c r="D37" t="s">
        <v>583</v>
      </c>
      <c r="E37" t="s">
        <v>567</v>
      </c>
      <c r="F37">
        <v>126327</v>
      </c>
      <c r="G37">
        <v>24.97</v>
      </c>
      <c r="H37">
        <v>0</v>
      </c>
      <c r="J37" t="s">
        <v>1004</v>
      </c>
    </row>
    <row r="38" spans="1:10" x14ac:dyDescent="0.2">
      <c r="A38" t="s">
        <v>488</v>
      </c>
      <c r="B38">
        <v>413213</v>
      </c>
      <c r="C38" s="80">
        <v>42920.691412037035</v>
      </c>
      <c r="D38" t="s">
        <v>584</v>
      </c>
      <c r="E38" t="s">
        <v>570</v>
      </c>
      <c r="F38">
        <v>108958</v>
      </c>
      <c r="G38">
        <v>321.83</v>
      </c>
      <c r="H38">
        <v>0</v>
      </c>
      <c r="J38" t="s">
        <v>1005</v>
      </c>
    </row>
    <row r="39" spans="1:10" x14ac:dyDescent="0.2">
      <c r="A39" t="s">
        <v>488</v>
      </c>
      <c r="B39">
        <v>414755</v>
      </c>
      <c r="C39" s="80">
        <v>42927.542071759257</v>
      </c>
      <c r="D39" t="s">
        <v>585</v>
      </c>
      <c r="E39" t="s">
        <v>572</v>
      </c>
      <c r="G39">
        <v>5</v>
      </c>
      <c r="H39">
        <v>0</v>
      </c>
      <c r="J39" t="s">
        <v>1006</v>
      </c>
    </row>
    <row r="40" spans="1:10" x14ac:dyDescent="0.2">
      <c r="A40" t="s">
        <v>488</v>
      </c>
      <c r="B40">
        <v>420019</v>
      </c>
      <c r="C40" s="80">
        <v>42947.681909722225</v>
      </c>
      <c r="D40" t="s">
        <v>586</v>
      </c>
      <c r="F40">
        <v>0</v>
      </c>
      <c r="G40">
        <v>0</v>
      </c>
      <c r="H40">
        <v>114.72</v>
      </c>
      <c r="J40" t="s">
        <v>1003</v>
      </c>
    </row>
    <row r="41" spans="1:10" x14ac:dyDescent="0.2">
      <c r="A41" t="s">
        <v>488</v>
      </c>
      <c r="B41">
        <v>420019</v>
      </c>
      <c r="C41" s="80">
        <v>42947.681909722225</v>
      </c>
      <c r="D41" t="s">
        <v>583</v>
      </c>
      <c r="E41" t="s">
        <v>567</v>
      </c>
      <c r="F41">
        <v>128713</v>
      </c>
      <c r="G41">
        <v>8.26</v>
      </c>
      <c r="H41">
        <v>0</v>
      </c>
      <c r="J41" t="s">
        <v>1004</v>
      </c>
    </row>
    <row r="42" spans="1:10" x14ac:dyDescent="0.2">
      <c r="A42" t="s">
        <v>488</v>
      </c>
      <c r="B42">
        <v>420034</v>
      </c>
      <c r="C42" s="80">
        <v>42947.685555555552</v>
      </c>
      <c r="D42" t="s">
        <v>584</v>
      </c>
      <c r="E42" t="s">
        <v>570</v>
      </c>
      <c r="F42">
        <v>111074</v>
      </c>
      <c r="G42">
        <v>101.46</v>
      </c>
      <c r="H42">
        <v>0</v>
      </c>
      <c r="J42" t="s">
        <v>1005</v>
      </c>
    </row>
    <row r="43" spans="1:10" x14ac:dyDescent="0.2">
      <c r="A43" t="s">
        <v>496</v>
      </c>
      <c r="B43">
        <v>412857</v>
      </c>
      <c r="C43" s="80">
        <v>42920.653668981482</v>
      </c>
      <c r="D43" t="s">
        <v>587</v>
      </c>
      <c r="F43">
        <v>0</v>
      </c>
      <c r="G43">
        <v>0</v>
      </c>
      <c r="H43">
        <v>346.81</v>
      </c>
      <c r="J43" t="s">
        <v>1003</v>
      </c>
    </row>
    <row r="44" spans="1:10" x14ac:dyDescent="0.2">
      <c r="A44" t="s">
        <v>496</v>
      </c>
      <c r="B44">
        <v>412857</v>
      </c>
      <c r="C44" s="80">
        <v>42920.653668981482</v>
      </c>
      <c r="D44" t="s">
        <v>588</v>
      </c>
      <c r="E44" t="s">
        <v>567</v>
      </c>
      <c r="F44">
        <v>126317</v>
      </c>
      <c r="G44">
        <v>24.97</v>
      </c>
      <c r="H44">
        <v>0</v>
      </c>
      <c r="J44" t="s">
        <v>1004</v>
      </c>
    </row>
    <row r="45" spans="1:10" x14ac:dyDescent="0.2">
      <c r="A45" t="s">
        <v>496</v>
      </c>
      <c r="B45">
        <v>413213</v>
      </c>
      <c r="C45" s="80">
        <v>42920.691412037035</v>
      </c>
      <c r="D45" t="s">
        <v>589</v>
      </c>
      <c r="E45" t="s">
        <v>570</v>
      </c>
      <c r="F45">
        <v>108948</v>
      </c>
      <c r="G45">
        <v>181.84</v>
      </c>
      <c r="H45">
        <v>0</v>
      </c>
      <c r="J45" t="s">
        <v>1005</v>
      </c>
    </row>
    <row r="46" spans="1:10" x14ac:dyDescent="0.2">
      <c r="A46" t="s">
        <v>496</v>
      </c>
      <c r="B46">
        <v>417680</v>
      </c>
      <c r="C46" s="80">
        <v>42937.522951388892</v>
      </c>
      <c r="D46" t="s">
        <v>590</v>
      </c>
      <c r="F46">
        <v>0</v>
      </c>
      <c r="G46">
        <v>0</v>
      </c>
      <c r="H46">
        <v>114.71</v>
      </c>
      <c r="J46" t="s">
        <v>1003</v>
      </c>
    </row>
    <row r="47" spans="1:10" x14ac:dyDescent="0.2">
      <c r="A47" t="s">
        <v>496</v>
      </c>
      <c r="B47">
        <v>417680</v>
      </c>
      <c r="C47" s="80">
        <v>42937.522951388892</v>
      </c>
      <c r="D47" t="s">
        <v>588</v>
      </c>
      <c r="E47" t="s">
        <v>567</v>
      </c>
      <c r="F47">
        <v>127969</v>
      </c>
      <c r="G47">
        <v>8.26</v>
      </c>
      <c r="H47">
        <v>0</v>
      </c>
      <c r="J47" t="s">
        <v>1004</v>
      </c>
    </row>
    <row r="48" spans="1:10" x14ac:dyDescent="0.2">
      <c r="A48" t="s">
        <v>496</v>
      </c>
      <c r="B48">
        <v>417701</v>
      </c>
      <c r="C48" s="80">
        <v>42937.527442129627</v>
      </c>
      <c r="D48" t="s">
        <v>589</v>
      </c>
      <c r="E48" t="s">
        <v>570</v>
      </c>
      <c r="F48">
        <v>110578</v>
      </c>
      <c r="G48">
        <v>106.45</v>
      </c>
      <c r="H48">
        <v>0</v>
      </c>
      <c r="J48" t="s">
        <v>1005</v>
      </c>
    </row>
    <row r="49" spans="1:10" x14ac:dyDescent="0.2">
      <c r="A49" t="s">
        <v>498</v>
      </c>
      <c r="B49">
        <v>413823</v>
      </c>
      <c r="C49" s="80">
        <v>42922.632592592592</v>
      </c>
      <c r="D49" t="s">
        <v>591</v>
      </c>
      <c r="F49">
        <v>0</v>
      </c>
      <c r="G49">
        <v>0</v>
      </c>
      <c r="H49">
        <v>500</v>
      </c>
      <c r="J49" t="s">
        <v>1003</v>
      </c>
    </row>
    <row r="50" spans="1:10" x14ac:dyDescent="0.2">
      <c r="A50" t="s">
        <v>498</v>
      </c>
      <c r="B50">
        <v>413823</v>
      </c>
      <c r="C50" s="80">
        <v>42922.632592592592</v>
      </c>
      <c r="D50" t="s">
        <v>592</v>
      </c>
      <c r="E50" t="s">
        <v>567</v>
      </c>
      <c r="F50">
        <v>126859</v>
      </c>
      <c r="G50">
        <v>36</v>
      </c>
      <c r="H50">
        <v>0</v>
      </c>
      <c r="J50" t="s">
        <v>1004</v>
      </c>
    </row>
    <row r="51" spans="1:10" x14ac:dyDescent="0.2">
      <c r="A51" t="s">
        <v>498</v>
      </c>
      <c r="B51">
        <v>413833</v>
      </c>
      <c r="C51" s="80">
        <v>42922.635277777779</v>
      </c>
      <c r="D51" t="s">
        <v>593</v>
      </c>
      <c r="E51" t="s">
        <v>570</v>
      </c>
      <c r="F51">
        <v>109432</v>
      </c>
      <c r="G51">
        <v>464</v>
      </c>
      <c r="H51">
        <v>0</v>
      </c>
      <c r="J51" t="s">
        <v>1005</v>
      </c>
    </row>
    <row r="52" spans="1:10" x14ac:dyDescent="0.2">
      <c r="A52" t="s">
        <v>511</v>
      </c>
      <c r="B52">
        <v>412884</v>
      </c>
      <c r="C52" s="80">
        <v>42920.653668981482</v>
      </c>
      <c r="D52" t="s">
        <v>594</v>
      </c>
      <c r="F52">
        <v>0</v>
      </c>
      <c r="G52">
        <v>0</v>
      </c>
      <c r="H52">
        <v>130.05000000000001</v>
      </c>
      <c r="J52" t="s">
        <v>1003</v>
      </c>
    </row>
    <row r="53" spans="1:10" x14ac:dyDescent="0.2">
      <c r="A53" t="s">
        <v>511</v>
      </c>
      <c r="B53">
        <v>412884</v>
      </c>
      <c r="C53" s="80">
        <v>42920.653668981482</v>
      </c>
      <c r="D53" t="s">
        <v>595</v>
      </c>
      <c r="E53" t="s">
        <v>567</v>
      </c>
      <c r="F53">
        <v>126342</v>
      </c>
      <c r="G53">
        <v>9.36</v>
      </c>
      <c r="H53">
        <v>0</v>
      </c>
      <c r="J53" t="s">
        <v>1004</v>
      </c>
    </row>
    <row r="54" spans="1:10" x14ac:dyDescent="0.2">
      <c r="A54" t="s">
        <v>511</v>
      </c>
      <c r="B54">
        <v>413213</v>
      </c>
      <c r="C54" s="80">
        <v>42920.691412037035</v>
      </c>
      <c r="D54" t="s">
        <v>596</v>
      </c>
      <c r="E54" t="s">
        <v>570</v>
      </c>
      <c r="F54">
        <v>108975</v>
      </c>
      <c r="G54">
        <v>120.69</v>
      </c>
      <c r="H54">
        <v>0</v>
      </c>
      <c r="J54" t="s">
        <v>1005</v>
      </c>
    </row>
    <row r="55" spans="1:10" x14ac:dyDescent="0.2">
      <c r="A55" t="s">
        <v>511</v>
      </c>
      <c r="B55">
        <v>413824</v>
      </c>
      <c r="C55" s="80">
        <v>42922.632592592592</v>
      </c>
      <c r="D55" t="s">
        <v>597</v>
      </c>
      <c r="F55">
        <v>0</v>
      </c>
      <c r="G55">
        <v>0</v>
      </c>
      <c r="H55">
        <v>356.07</v>
      </c>
      <c r="J55" t="s">
        <v>1003</v>
      </c>
    </row>
    <row r="56" spans="1:10" x14ac:dyDescent="0.2">
      <c r="A56" t="s">
        <v>511</v>
      </c>
      <c r="B56">
        <v>413824</v>
      </c>
      <c r="C56" s="80">
        <v>42922.632592592592</v>
      </c>
      <c r="D56" t="s">
        <v>595</v>
      </c>
      <c r="E56" t="s">
        <v>567</v>
      </c>
      <c r="F56">
        <v>126860</v>
      </c>
      <c r="G56">
        <v>25.63</v>
      </c>
      <c r="H56">
        <v>0</v>
      </c>
      <c r="J56" t="s">
        <v>1004</v>
      </c>
    </row>
    <row r="57" spans="1:10" x14ac:dyDescent="0.2">
      <c r="A57" t="s">
        <v>511</v>
      </c>
      <c r="B57">
        <v>413833</v>
      </c>
      <c r="C57" s="80">
        <v>42922.635277777779</v>
      </c>
      <c r="D57" t="s">
        <v>596</v>
      </c>
      <c r="E57" t="s">
        <v>570</v>
      </c>
      <c r="F57">
        <v>109433</v>
      </c>
      <c r="G57">
        <v>330.44</v>
      </c>
      <c r="H57">
        <v>0</v>
      </c>
      <c r="I57" s="56"/>
      <c r="J57" t="s">
        <v>1005</v>
      </c>
    </row>
    <row r="58" spans="1:10" x14ac:dyDescent="0.2">
      <c r="A58" t="s">
        <v>502</v>
      </c>
      <c r="B58">
        <v>412893</v>
      </c>
      <c r="C58" s="80">
        <v>42920.653668981482</v>
      </c>
      <c r="D58" t="s">
        <v>598</v>
      </c>
      <c r="F58">
        <v>0</v>
      </c>
      <c r="G58">
        <v>0</v>
      </c>
      <c r="H58">
        <v>155.80000000000001</v>
      </c>
      <c r="J58" t="s">
        <v>1003</v>
      </c>
    </row>
    <row r="59" spans="1:10" x14ac:dyDescent="0.2">
      <c r="A59" t="s">
        <v>502</v>
      </c>
      <c r="B59">
        <v>412893</v>
      </c>
      <c r="C59" s="80">
        <v>42920.653668981482</v>
      </c>
      <c r="D59" t="s">
        <v>599</v>
      </c>
      <c r="E59" t="s">
        <v>567</v>
      </c>
      <c r="F59">
        <v>126351</v>
      </c>
      <c r="G59">
        <v>11.22</v>
      </c>
      <c r="H59">
        <v>0</v>
      </c>
      <c r="J59" t="s">
        <v>1004</v>
      </c>
    </row>
    <row r="60" spans="1:10" x14ac:dyDescent="0.2">
      <c r="A60" t="s">
        <v>502</v>
      </c>
      <c r="B60">
        <v>413213</v>
      </c>
      <c r="C60" s="80">
        <v>42920.691412037035</v>
      </c>
      <c r="D60" t="s">
        <v>600</v>
      </c>
      <c r="E60" t="s">
        <v>570</v>
      </c>
      <c r="F60">
        <v>108984</v>
      </c>
      <c r="G60">
        <v>84.58</v>
      </c>
      <c r="H60">
        <v>0</v>
      </c>
      <c r="J60" t="s">
        <v>1005</v>
      </c>
    </row>
    <row r="61" spans="1:10" x14ac:dyDescent="0.2">
      <c r="A61" t="s">
        <v>502</v>
      </c>
      <c r="B61">
        <v>415126</v>
      </c>
      <c r="C61" s="80">
        <v>42928.631168981483</v>
      </c>
      <c r="D61" t="s">
        <v>601</v>
      </c>
      <c r="F61">
        <v>0</v>
      </c>
      <c r="G61">
        <v>0</v>
      </c>
      <c r="H61">
        <v>305.72000000000003</v>
      </c>
      <c r="J61" t="s">
        <v>1003</v>
      </c>
    </row>
    <row r="62" spans="1:10" x14ac:dyDescent="0.2">
      <c r="A62" t="s">
        <v>502</v>
      </c>
      <c r="B62">
        <v>415126</v>
      </c>
      <c r="C62" s="80">
        <v>42928.631168981483</v>
      </c>
      <c r="D62" t="s">
        <v>599</v>
      </c>
      <c r="E62" t="s">
        <v>567</v>
      </c>
      <c r="F62">
        <v>127276</v>
      </c>
      <c r="G62">
        <v>22.01</v>
      </c>
      <c r="H62">
        <v>0</v>
      </c>
      <c r="J62" t="s">
        <v>1004</v>
      </c>
    </row>
    <row r="63" spans="1:10" x14ac:dyDescent="0.2">
      <c r="A63" t="s">
        <v>502</v>
      </c>
      <c r="B63">
        <v>415132</v>
      </c>
      <c r="C63" s="80">
        <v>42928.634120370371</v>
      </c>
      <c r="D63" t="s">
        <v>600</v>
      </c>
      <c r="E63" t="s">
        <v>570</v>
      </c>
      <c r="F63">
        <v>109794</v>
      </c>
      <c r="G63">
        <v>283.70999999999998</v>
      </c>
      <c r="H63">
        <v>0</v>
      </c>
      <c r="J63" t="s">
        <v>1005</v>
      </c>
    </row>
    <row r="64" spans="1:10" x14ac:dyDescent="0.2">
      <c r="A64" t="s">
        <v>500</v>
      </c>
      <c r="B64">
        <v>414488</v>
      </c>
      <c r="C64" s="80">
        <v>42926.641712962963</v>
      </c>
      <c r="D64" t="s">
        <v>602</v>
      </c>
      <c r="F64">
        <v>0</v>
      </c>
      <c r="G64">
        <v>0</v>
      </c>
      <c r="H64">
        <v>650</v>
      </c>
      <c r="J64" t="s">
        <v>1003</v>
      </c>
    </row>
    <row r="65" spans="1:10" x14ac:dyDescent="0.2">
      <c r="A65" t="s">
        <v>500</v>
      </c>
      <c r="B65">
        <v>414488</v>
      </c>
      <c r="C65" s="80">
        <v>42926.641712962963</v>
      </c>
      <c r="D65" t="s">
        <v>603</v>
      </c>
      <c r="E65" t="s">
        <v>567</v>
      </c>
      <c r="F65">
        <v>127057</v>
      </c>
      <c r="G65">
        <v>46.8</v>
      </c>
      <c r="H65">
        <v>0</v>
      </c>
      <c r="J65" t="s">
        <v>1004</v>
      </c>
    </row>
    <row r="66" spans="1:10" x14ac:dyDescent="0.2">
      <c r="A66" t="s">
        <v>500</v>
      </c>
      <c r="B66">
        <v>414488</v>
      </c>
      <c r="C66" s="80">
        <v>42926.641712962963</v>
      </c>
      <c r="D66" t="s">
        <v>604</v>
      </c>
      <c r="F66">
        <v>0</v>
      </c>
      <c r="G66">
        <v>0</v>
      </c>
      <c r="H66">
        <v>50</v>
      </c>
      <c r="J66" t="s">
        <v>1003</v>
      </c>
    </row>
    <row r="67" spans="1:10" x14ac:dyDescent="0.2">
      <c r="A67" t="s">
        <v>500</v>
      </c>
      <c r="B67">
        <v>414488</v>
      </c>
      <c r="C67" s="80">
        <v>42926.641712962963</v>
      </c>
      <c r="D67" t="s">
        <v>603</v>
      </c>
      <c r="E67" t="s">
        <v>567</v>
      </c>
      <c r="F67">
        <v>127057</v>
      </c>
      <c r="G67">
        <v>3.6</v>
      </c>
      <c r="H67">
        <v>0</v>
      </c>
      <c r="J67" t="s">
        <v>1004</v>
      </c>
    </row>
    <row r="68" spans="1:10" x14ac:dyDescent="0.2">
      <c r="A68" t="s">
        <v>500</v>
      </c>
      <c r="B68">
        <v>414508</v>
      </c>
      <c r="C68" s="80">
        <v>42926.645902777775</v>
      </c>
      <c r="D68" t="s">
        <v>605</v>
      </c>
      <c r="E68" t="s">
        <v>570</v>
      </c>
      <c r="F68">
        <v>109589</v>
      </c>
      <c r="G68">
        <v>589.6</v>
      </c>
      <c r="H68">
        <v>0</v>
      </c>
      <c r="J68" t="s">
        <v>1005</v>
      </c>
    </row>
    <row r="69" spans="1:10" x14ac:dyDescent="0.2">
      <c r="A69" t="s">
        <v>504</v>
      </c>
      <c r="B69">
        <v>413383</v>
      </c>
      <c r="C69" s="80">
        <v>42921.552442129629</v>
      </c>
      <c r="D69" t="s">
        <v>606</v>
      </c>
      <c r="E69" t="s">
        <v>572</v>
      </c>
      <c r="F69">
        <v>26232</v>
      </c>
      <c r="G69">
        <v>50</v>
      </c>
      <c r="H69">
        <v>0</v>
      </c>
      <c r="J69" t="s">
        <v>1006</v>
      </c>
    </row>
    <row r="70" spans="1:10" x14ac:dyDescent="0.2">
      <c r="A70" t="s">
        <v>504</v>
      </c>
      <c r="B70">
        <v>415732</v>
      </c>
      <c r="C70" s="80">
        <v>42929.632488425923</v>
      </c>
      <c r="D70" t="s">
        <v>607</v>
      </c>
      <c r="F70">
        <v>0</v>
      </c>
      <c r="G70">
        <v>0</v>
      </c>
      <c r="H70">
        <v>550</v>
      </c>
      <c r="J70" t="s">
        <v>1003</v>
      </c>
    </row>
    <row r="71" spans="1:10" x14ac:dyDescent="0.2">
      <c r="A71" t="s">
        <v>504</v>
      </c>
      <c r="B71">
        <v>415732</v>
      </c>
      <c r="C71" s="80">
        <v>42929.632488425923</v>
      </c>
      <c r="D71" t="s">
        <v>608</v>
      </c>
      <c r="E71" t="s">
        <v>567</v>
      </c>
      <c r="F71">
        <v>127384</v>
      </c>
      <c r="G71">
        <v>39.6</v>
      </c>
      <c r="H71">
        <v>0</v>
      </c>
      <c r="J71" t="s">
        <v>1004</v>
      </c>
    </row>
    <row r="72" spans="1:10" x14ac:dyDescent="0.2">
      <c r="A72" t="s">
        <v>504</v>
      </c>
      <c r="B72">
        <v>415747</v>
      </c>
      <c r="C72" s="80">
        <v>42929.635034722225</v>
      </c>
      <c r="D72" t="s">
        <v>609</v>
      </c>
      <c r="E72" t="s">
        <v>570</v>
      </c>
      <c r="F72">
        <v>110028</v>
      </c>
      <c r="G72">
        <v>460.4</v>
      </c>
      <c r="H72">
        <v>0</v>
      </c>
      <c r="J72" t="s">
        <v>1005</v>
      </c>
    </row>
    <row r="73" spans="1:10" x14ac:dyDescent="0.2">
      <c r="A73" t="s">
        <v>504</v>
      </c>
      <c r="B73">
        <v>416136</v>
      </c>
      <c r="C73" s="80">
        <v>42930.733148148145</v>
      </c>
      <c r="D73" t="s">
        <v>610</v>
      </c>
      <c r="E73" t="s">
        <v>572</v>
      </c>
      <c r="F73">
        <v>372</v>
      </c>
      <c r="G73">
        <v>179</v>
      </c>
      <c r="H73">
        <v>0</v>
      </c>
      <c r="J73" t="s">
        <v>1006</v>
      </c>
    </row>
    <row r="74" spans="1:10" x14ac:dyDescent="0.2">
      <c r="A74" t="s">
        <v>506</v>
      </c>
      <c r="B74">
        <v>412862</v>
      </c>
      <c r="C74" s="80">
        <v>42920.653668981482</v>
      </c>
      <c r="D74" t="s">
        <v>611</v>
      </c>
      <c r="F74">
        <v>0</v>
      </c>
      <c r="G74">
        <v>0</v>
      </c>
      <c r="H74">
        <v>114.72</v>
      </c>
      <c r="J74" t="s">
        <v>1003</v>
      </c>
    </row>
    <row r="75" spans="1:10" x14ac:dyDescent="0.2">
      <c r="A75" t="s">
        <v>506</v>
      </c>
      <c r="B75">
        <v>412862</v>
      </c>
      <c r="C75" s="80">
        <v>42920.653668981482</v>
      </c>
      <c r="D75" t="s">
        <v>612</v>
      </c>
      <c r="E75" t="s">
        <v>567</v>
      </c>
      <c r="F75">
        <v>126322</v>
      </c>
      <c r="G75">
        <v>8.26</v>
      </c>
      <c r="H75">
        <v>0</v>
      </c>
      <c r="J75" t="s">
        <v>1004</v>
      </c>
    </row>
    <row r="76" spans="1:10" x14ac:dyDescent="0.2">
      <c r="A76" t="s">
        <v>506</v>
      </c>
      <c r="B76">
        <v>412862</v>
      </c>
      <c r="C76" s="80">
        <v>42920.653668981482</v>
      </c>
      <c r="D76" t="s">
        <v>613</v>
      </c>
      <c r="F76">
        <v>0</v>
      </c>
      <c r="G76">
        <v>0</v>
      </c>
      <c r="H76">
        <v>346.8</v>
      </c>
      <c r="J76" t="s">
        <v>1003</v>
      </c>
    </row>
    <row r="77" spans="1:10" x14ac:dyDescent="0.2">
      <c r="A77" t="s">
        <v>506</v>
      </c>
      <c r="B77">
        <v>412862</v>
      </c>
      <c r="C77" s="80">
        <v>42920.653668981482</v>
      </c>
      <c r="D77" t="s">
        <v>612</v>
      </c>
      <c r="E77" t="s">
        <v>567</v>
      </c>
      <c r="F77">
        <v>126322</v>
      </c>
      <c r="G77">
        <v>24.97</v>
      </c>
      <c r="H77">
        <v>0</v>
      </c>
      <c r="J77" t="s">
        <v>1004</v>
      </c>
    </row>
    <row r="78" spans="1:10" x14ac:dyDescent="0.2">
      <c r="A78" t="s">
        <v>506</v>
      </c>
      <c r="B78">
        <v>413213</v>
      </c>
      <c r="C78" s="80">
        <v>42920.691412037035</v>
      </c>
      <c r="D78" t="s">
        <v>614</v>
      </c>
      <c r="E78" t="s">
        <v>570</v>
      </c>
      <c r="F78">
        <v>108953</v>
      </c>
      <c r="G78">
        <v>428.29</v>
      </c>
      <c r="H78">
        <v>0</v>
      </c>
      <c r="J78" t="s">
        <v>1005</v>
      </c>
    </row>
    <row r="79" spans="1:10" x14ac:dyDescent="0.2">
      <c r="A79" t="s">
        <v>469</v>
      </c>
      <c r="B79">
        <v>412850</v>
      </c>
      <c r="C79" s="80">
        <v>42920.653668981482</v>
      </c>
      <c r="D79" t="s">
        <v>615</v>
      </c>
      <c r="F79">
        <v>0</v>
      </c>
      <c r="G79">
        <v>0</v>
      </c>
      <c r="H79">
        <v>346.8</v>
      </c>
      <c r="J79" t="s">
        <v>1003</v>
      </c>
    </row>
    <row r="80" spans="1:10" x14ac:dyDescent="0.2">
      <c r="A80" t="s">
        <v>469</v>
      </c>
      <c r="B80">
        <v>412850</v>
      </c>
      <c r="C80" s="80">
        <v>42920.653668981482</v>
      </c>
      <c r="D80" t="s">
        <v>616</v>
      </c>
      <c r="E80" t="s">
        <v>567</v>
      </c>
      <c r="F80">
        <v>126311</v>
      </c>
      <c r="G80">
        <v>24.97</v>
      </c>
      <c r="H80">
        <v>0</v>
      </c>
      <c r="J80" t="s">
        <v>1004</v>
      </c>
    </row>
    <row r="81" spans="1:10" x14ac:dyDescent="0.2">
      <c r="A81" t="s">
        <v>469</v>
      </c>
      <c r="B81">
        <v>413213</v>
      </c>
      <c r="C81" s="80">
        <v>42920.691412037035</v>
      </c>
      <c r="D81" t="s">
        <v>617</v>
      </c>
      <c r="E81" t="s">
        <v>570</v>
      </c>
      <c r="F81">
        <v>108942</v>
      </c>
      <c r="G81">
        <v>74</v>
      </c>
      <c r="H81">
        <v>0</v>
      </c>
      <c r="J81" t="s">
        <v>1005</v>
      </c>
    </row>
    <row r="82" spans="1:10" x14ac:dyDescent="0.2">
      <c r="A82" t="s">
        <v>469</v>
      </c>
      <c r="B82">
        <v>415145</v>
      </c>
      <c r="C82" s="80">
        <v>42928.689699074072</v>
      </c>
      <c r="D82" t="s">
        <v>618</v>
      </c>
      <c r="E82" t="s">
        <v>572</v>
      </c>
      <c r="F82">
        <v>705</v>
      </c>
      <c r="G82">
        <v>130</v>
      </c>
      <c r="H82">
        <v>0</v>
      </c>
      <c r="J82" t="s">
        <v>1006</v>
      </c>
    </row>
    <row r="83" spans="1:10" x14ac:dyDescent="0.2">
      <c r="A83" t="s">
        <v>563</v>
      </c>
      <c r="B83">
        <v>412874</v>
      </c>
      <c r="C83" s="80">
        <v>42920.653668981482</v>
      </c>
      <c r="D83" t="s">
        <v>619</v>
      </c>
      <c r="F83">
        <v>0</v>
      </c>
      <c r="G83">
        <v>0</v>
      </c>
      <c r="H83">
        <v>107.49</v>
      </c>
      <c r="J83" t="s">
        <v>1003</v>
      </c>
    </row>
    <row r="84" spans="1:10" x14ac:dyDescent="0.2">
      <c r="A84" t="s">
        <v>563</v>
      </c>
      <c r="B84">
        <v>412874</v>
      </c>
      <c r="C84" s="80">
        <v>42920.653668981482</v>
      </c>
      <c r="D84" t="s">
        <v>620</v>
      </c>
      <c r="E84" t="s">
        <v>567</v>
      </c>
      <c r="F84">
        <v>126333</v>
      </c>
      <c r="G84">
        <v>7.74</v>
      </c>
      <c r="H84">
        <v>0</v>
      </c>
      <c r="J84" t="s">
        <v>1004</v>
      </c>
    </row>
    <row r="85" spans="1:10" x14ac:dyDescent="0.2">
      <c r="A85" t="s">
        <v>563</v>
      </c>
      <c r="B85">
        <v>413213</v>
      </c>
      <c r="C85" s="80">
        <v>42920.691412037035</v>
      </c>
      <c r="D85" t="s">
        <v>621</v>
      </c>
      <c r="E85" t="s">
        <v>570</v>
      </c>
      <c r="F85">
        <v>108965</v>
      </c>
      <c r="G85">
        <v>99.75</v>
      </c>
      <c r="H85">
        <v>0</v>
      </c>
      <c r="J85" t="s">
        <v>1005</v>
      </c>
    </row>
    <row r="86" spans="1:10" x14ac:dyDescent="0.2">
      <c r="A86" t="s">
        <v>563</v>
      </c>
      <c r="B86">
        <v>414492</v>
      </c>
      <c r="C86" s="80">
        <v>42926.641712962963</v>
      </c>
      <c r="D86" t="s">
        <v>619</v>
      </c>
      <c r="F86">
        <v>0</v>
      </c>
      <c r="G86">
        <v>0</v>
      </c>
      <c r="H86">
        <v>300</v>
      </c>
      <c r="J86" t="s">
        <v>1003</v>
      </c>
    </row>
    <row r="87" spans="1:10" x14ac:dyDescent="0.2">
      <c r="A87" t="s">
        <v>563</v>
      </c>
      <c r="B87">
        <v>414492</v>
      </c>
      <c r="C87" s="80">
        <v>42926.641712962963</v>
      </c>
      <c r="D87" t="s">
        <v>620</v>
      </c>
      <c r="E87" t="s">
        <v>567</v>
      </c>
      <c r="F87">
        <v>127061</v>
      </c>
      <c r="G87">
        <v>21.6</v>
      </c>
      <c r="H87">
        <v>0</v>
      </c>
      <c r="J87" t="s">
        <v>1004</v>
      </c>
    </row>
    <row r="88" spans="1:10" x14ac:dyDescent="0.2">
      <c r="A88" t="s">
        <v>563</v>
      </c>
      <c r="B88">
        <v>414508</v>
      </c>
      <c r="C88" s="80">
        <v>42926.645902777775</v>
      </c>
      <c r="D88" t="s">
        <v>621</v>
      </c>
      <c r="E88" t="s">
        <v>570</v>
      </c>
      <c r="F88">
        <v>109593</v>
      </c>
      <c r="G88">
        <v>278.39999999999998</v>
      </c>
      <c r="H88">
        <v>0</v>
      </c>
      <c r="J88" t="s">
        <v>1005</v>
      </c>
    </row>
    <row r="89" spans="1:10" x14ac:dyDescent="0.2">
      <c r="A89" t="s">
        <v>563</v>
      </c>
      <c r="B89">
        <v>416184</v>
      </c>
      <c r="C89" s="80">
        <v>42930.746990740743</v>
      </c>
      <c r="D89" t="s">
        <v>622</v>
      </c>
      <c r="E89" t="s">
        <v>572</v>
      </c>
      <c r="F89">
        <v>26466</v>
      </c>
      <c r="G89">
        <v>65</v>
      </c>
      <c r="H89">
        <v>0</v>
      </c>
      <c r="J89" t="s">
        <v>1006</v>
      </c>
    </row>
    <row r="90" spans="1:10" x14ac:dyDescent="0.2">
      <c r="A90" t="s">
        <v>470</v>
      </c>
      <c r="B90">
        <v>412882</v>
      </c>
      <c r="C90" s="80">
        <v>42920.653668981482</v>
      </c>
      <c r="D90" t="s">
        <v>623</v>
      </c>
      <c r="F90">
        <v>0</v>
      </c>
      <c r="G90">
        <v>0</v>
      </c>
      <c r="H90">
        <v>228.14</v>
      </c>
      <c r="J90" t="s">
        <v>1003</v>
      </c>
    </row>
    <row r="91" spans="1:10" x14ac:dyDescent="0.2">
      <c r="A91" t="s">
        <v>470</v>
      </c>
      <c r="B91">
        <v>412882</v>
      </c>
      <c r="C91" s="80">
        <v>42920.653668981482</v>
      </c>
      <c r="D91" t="s">
        <v>624</v>
      </c>
      <c r="E91" t="s">
        <v>567</v>
      </c>
      <c r="F91">
        <v>126340</v>
      </c>
      <c r="G91">
        <v>16.43</v>
      </c>
      <c r="H91">
        <v>0</v>
      </c>
      <c r="J91" t="s">
        <v>1004</v>
      </c>
    </row>
    <row r="92" spans="1:10" x14ac:dyDescent="0.2">
      <c r="A92" t="s">
        <v>470</v>
      </c>
      <c r="B92">
        <v>412882</v>
      </c>
      <c r="C92" s="80">
        <v>42920.653668981482</v>
      </c>
      <c r="D92" t="s">
        <v>625</v>
      </c>
      <c r="F92">
        <v>0</v>
      </c>
      <c r="G92">
        <v>0</v>
      </c>
      <c r="H92">
        <v>237.98</v>
      </c>
      <c r="J92" t="s">
        <v>1003</v>
      </c>
    </row>
    <row r="93" spans="1:10" x14ac:dyDescent="0.2">
      <c r="A93" t="s">
        <v>470</v>
      </c>
      <c r="B93">
        <v>412882</v>
      </c>
      <c r="C93" s="80">
        <v>42920.653668981482</v>
      </c>
      <c r="D93" t="s">
        <v>624</v>
      </c>
      <c r="E93" t="s">
        <v>567</v>
      </c>
      <c r="F93">
        <v>126340</v>
      </c>
      <c r="G93">
        <v>17.14</v>
      </c>
      <c r="H93">
        <v>0</v>
      </c>
      <c r="J93" t="s">
        <v>1004</v>
      </c>
    </row>
    <row r="94" spans="1:10" x14ac:dyDescent="0.2">
      <c r="A94" t="s">
        <v>470</v>
      </c>
      <c r="B94">
        <v>413213</v>
      </c>
      <c r="C94" s="80">
        <v>42920.691412037035</v>
      </c>
      <c r="D94" t="s">
        <v>626</v>
      </c>
      <c r="E94" t="s">
        <v>570</v>
      </c>
      <c r="F94">
        <v>108973</v>
      </c>
      <c r="G94">
        <v>428.41</v>
      </c>
      <c r="H94">
        <v>0</v>
      </c>
      <c r="J94" t="s">
        <v>1005</v>
      </c>
    </row>
    <row r="95" spans="1:10" x14ac:dyDescent="0.2">
      <c r="A95" t="s">
        <v>471</v>
      </c>
      <c r="B95">
        <v>412886</v>
      </c>
      <c r="C95" s="80">
        <v>42920.653668981482</v>
      </c>
      <c r="D95" t="s">
        <v>627</v>
      </c>
      <c r="F95">
        <v>0</v>
      </c>
      <c r="G95">
        <v>0</v>
      </c>
      <c r="H95">
        <v>346.8</v>
      </c>
      <c r="J95" t="s">
        <v>1003</v>
      </c>
    </row>
    <row r="96" spans="1:10" x14ac:dyDescent="0.2">
      <c r="A96" t="s">
        <v>471</v>
      </c>
      <c r="B96">
        <v>412886</v>
      </c>
      <c r="C96" s="80">
        <v>42920.653668981482</v>
      </c>
      <c r="D96" t="s">
        <v>628</v>
      </c>
      <c r="E96" t="s">
        <v>567</v>
      </c>
      <c r="F96">
        <v>126344</v>
      </c>
      <c r="G96">
        <v>24.97</v>
      </c>
      <c r="H96">
        <v>0</v>
      </c>
      <c r="J96" t="s">
        <v>1004</v>
      </c>
    </row>
    <row r="97" spans="1:10" x14ac:dyDescent="0.2">
      <c r="A97" t="s">
        <v>471</v>
      </c>
      <c r="B97">
        <v>413213</v>
      </c>
      <c r="C97" s="80">
        <v>42920.691412037035</v>
      </c>
      <c r="D97" t="s">
        <v>629</v>
      </c>
      <c r="E97" t="s">
        <v>570</v>
      </c>
      <c r="F97">
        <v>108977</v>
      </c>
      <c r="G97">
        <v>321.83</v>
      </c>
      <c r="H97">
        <v>0</v>
      </c>
      <c r="J97" t="s">
        <v>1005</v>
      </c>
    </row>
    <row r="98" spans="1:10" x14ac:dyDescent="0.2">
      <c r="A98" t="s">
        <v>478</v>
      </c>
      <c r="B98">
        <v>412885</v>
      </c>
      <c r="C98" s="80">
        <v>42920.653668981482</v>
      </c>
      <c r="D98" t="s">
        <v>630</v>
      </c>
      <c r="F98">
        <v>0</v>
      </c>
      <c r="G98">
        <v>0</v>
      </c>
      <c r="H98">
        <v>184</v>
      </c>
      <c r="J98" t="s">
        <v>1003</v>
      </c>
    </row>
    <row r="99" spans="1:10" x14ac:dyDescent="0.2">
      <c r="A99" t="s">
        <v>478</v>
      </c>
      <c r="B99">
        <v>412885</v>
      </c>
      <c r="C99" s="80">
        <v>42920.653668981482</v>
      </c>
      <c r="D99" t="s">
        <v>631</v>
      </c>
      <c r="E99" t="s">
        <v>567</v>
      </c>
      <c r="F99">
        <v>126343</v>
      </c>
      <c r="G99">
        <v>13.25</v>
      </c>
      <c r="H99">
        <v>0</v>
      </c>
      <c r="J99" t="s">
        <v>1004</v>
      </c>
    </row>
    <row r="100" spans="1:10" x14ac:dyDescent="0.2">
      <c r="A100" t="s">
        <v>478</v>
      </c>
      <c r="B100">
        <v>413213</v>
      </c>
      <c r="C100" s="80">
        <v>42920.691412037035</v>
      </c>
      <c r="D100" t="s">
        <v>632</v>
      </c>
      <c r="E100" t="s">
        <v>570</v>
      </c>
      <c r="F100">
        <v>108976</v>
      </c>
      <c r="G100">
        <v>170.75</v>
      </c>
      <c r="H100">
        <v>0</v>
      </c>
      <c r="J100" t="s">
        <v>1005</v>
      </c>
    </row>
    <row r="101" spans="1:10" x14ac:dyDescent="0.2">
      <c r="A101" t="s">
        <v>478</v>
      </c>
      <c r="B101">
        <v>416490</v>
      </c>
      <c r="C101" s="80">
        <v>42933.604791666665</v>
      </c>
      <c r="D101" t="s">
        <v>633</v>
      </c>
      <c r="F101">
        <v>0</v>
      </c>
      <c r="G101">
        <v>0</v>
      </c>
      <c r="H101">
        <v>180.6</v>
      </c>
      <c r="J101" t="s">
        <v>1003</v>
      </c>
    </row>
    <row r="102" spans="1:10" x14ac:dyDescent="0.2">
      <c r="A102" t="s">
        <v>478</v>
      </c>
      <c r="B102">
        <v>416490</v>
      </c>
      <c r="C102" s="80">
        <v>42933.604791666665</v>
      </c>
      <c r="D102" t="s">
        <v>631</v>
      </c>
      <c r="E102" t="s">
        <v>567</v>
      </c>
      <c r="F102">
        <v>127583</v>
      </c>
      <c r="G102">
        <v>13.01</v>
      </c>
      <c r="H102">
        <v>0</v>
      </c>
      <c r="J102" t="s">
        <v>1004</v>
      </c>
    </row>
    <row r="103" spans="1:10" x14ac:dyDescent="0.2">
      <c r="A103" t="s">
        <v>478</v>
      </c>
      <c r="B103">
        <v>416496</v>
      </c>
      <c r="C103" s="80">
        <v>42933.608136574076</v>
      </c>
      <c r="D103" t="s">
        <v>632</v>
      </c>
      <c r="E103" t="s">
        <v>570</v>
      </c>
      <c r="F103">
        <v>110262</v>
      </c>
      <c r="G103">
        <v>167.59</v>
      </c>
      <c r="H103">
        <v>0</v>
      </c>
      <c r="J103" t="s">
        <v>1005</v>
      </c>
    </row>
    <row r="104" spans="1:10" x14ac:dyDescent="0.2">
      <c r="A104" t="s">
        <v>474</v>
      </c>
      <c r="B104">
        <v>412871</v>
      </c>
      <c r="C104" s="80">
        <v>42920.653668981482</v>
      </c>
      <c r="D104" t="s">
        <v>634</v>
      </c>
      <c r="F104">
        <v>0</v>
      </c>
      <c r="G104">
        <v>0</v>
      </c>
      <c r="H104">
        <v>109.9</v>
      </c>
      <c r="J104" t="s">
        <v>1003</v>
      </c>
    </row>
    <row r="105" spans="1:10" x14ac:dyDescent="0.2">
      <c r="A105" t="s">
        <v>474</v>
      </c>
      <c r="B105">
        <v>412871</v>
      </c>
      <c r="C105" s="80">
        <v>42920.653668981482</v>
      </c>
      <c r="D105" t="s">
        <v>635</v>
      </c>
      <c r="E105" t="s">
        <v>567</v>
      </c>
      <c r="F105">
        <v>126330</v>
      </c>
      <c r="G105">
        <v>7.91</v>
      </c>
      <c r="H105">
        <v>0</v>
      </c>
      <c r="J105" t="s">
        <v>1004</v>
      </c>
    </row>
    <row r="106" spans="1:10" x14ac:dyDescent="0.2">
      <c r="A106" t="s">
        <v>474</v>
      </c>
      <c r="B106">
        <v>412871</v>
      </c>
      <c r="C106" s="80">
        <v>42920.653668981482</v>
      </c>
      <c r="D106" t="s">
        <v>636</v>
      </c>
      <c r="F106">
        <v>0</v>
      </c>
      <c r="G106">
        <v>0</v>
      </c>
      <c r="H106">
        <v>351.62</v>
      </c>
      <c r="J106" t="s">
        <v>1003</v>
      </c>
    </row>
    <row r="107" spans="1:10" x14ac:dyDescent="0.2">
      <c r="A107" t="s">
        <v>474</v>
      </c>
      <c r="B107">
        <v>412871</v>
      </c>
      <c r="C107" s="80">
        <v>42920.653668981482</v>
      </c>
      <c r="D107" t="s">
        <v>635</v>
      </c>
      <c r="E107" t="s">
        <v>567</v>
      </c>
      <c r="F107">
        <v>126330</v>
      </c>
      <c r="G107">
        <v>25.32</v>
      </c>
      <c r="H107">
        <v>0</v>
      </c>
      <c r="J107" t="s">
        <v>1004</v>
      </c>
    </row>
    <row r="108" spans="1:10" x14ac:dyDescent="0.2">
      <c r="A108" t="s">
        <v>474</v>
      </c>
      <c r="B108">
        <v>413213</v>
      </c>
      <c r="C108" s="80">
        <v>42920.691412037035</v>
      </c>
      <c r="D108" t="s">
        <v>637</v>
      </c>
      <c r="E108" t="s">
        <v>570</v>
      </c>
      <c r="F108">
        <v>108962</v>
      </c>
      <c r="G108">
        <v>428.29</v>
      </c>
      <c r="H108">
        <v>0</v>
      </c>
      <c r="J108" t="s">
        <v>1005</v>
      </c>
    </row>
    <row r="109" spans="1:10" x14ac:dyDescent="0.2">
      <c r="A109" t="s">
        <v>474</v>
      </c>
      <c r="B109">
        <v>418622</v>
      </c>
      <c r="C109" s="80">
        <v>42942.534930555557</v>
      </c>
      <c r="D109" t="s">
        <v>638</v>
      </c>
      <c r="E109" t="s">
        <v>572</v>
      </c>
      <c r="F109" t="s">
        <v>639</v>
      </c>
      <c r="G109">
        <v>60</v>
      </c>
      <c r="H109">
        <v>0</v>
      </c>
      <c r="J109" t="s">
        <v>1006</v>
      </c>
    </row>
    <row r="110" spans="1:10" x14ac:dyDescent="0.2">
      <c r="A110" t="s">
        <v>509</v>
      </c>
      <c r="B110">
        <v>418357</v>
      </c>
      <c r="C110" s="80">
        <v>42941.595451388886</v>
      </c>
      <c r="D110" t="s">
        <v>640</v>
      </c>
      <c r="F110">
        <v>0</v>
      </c>
      <c r="G110">
        <v>0</v>
      </c>
      <c r="H110">
        <v>500</v>
      </c>
      <c r="J110" t="s">
        <v>1003</v>
      </c>
    </row>
    <row r="111" spans="1:10" x14ac:dyDescent="0.2">
      <c r="A111" t="s">
        <v>509</v>
      </c>
      <c r="B111">
        <v>418357</v>
      </c>
      <c r="C111" s="80">
        <v>42941.595451388886</v>
      </c>
      <c r="D111" t="s">
        <v>641</v>
      </c>
      <c r="E111" t="s">
        <v>567</v>
      </c>
      <c r="F111">
        <v>128243</v>
      </c>
      <c r="G111">
        <v>36</v>
      </c>
      <c r="H111">
        <v>0</v>
      </c>
      <c r="J111" t="s">
        <v>1004</v>
      </c>
    </row>
    <row r="112" spans="1:10" x14ac:dyDescent="0.2">
      <c r="A112" t="s">
        <v>509</v>
      </c>
      <c r="B112">
        <v>418368</v>
      </c>
      <c r="C112" s="80">
        <v>42941.597905092596</v>
      </c>
      <c r="D112" t="s">
        <v>642</v>
      </c>
      <c r="E112" t="s">
        <v>570</v>
      </c>
      <c r="F112">
        <v>110735</v>
      </c>
      <c r="G112">
        <v>464</v>
      </c>
      <c r="H112">
        <v>0</v>
      </c>
      <c r="J112" t="s">
        <v>1005</v>
      </c>
    </row>
    <row r="113" spans="1:10" x14ac:dyDescent="0.2">
      <c r="A113" t="s">
        <v>473</v>
      </c>
      <c r="B113">
        <v>412870</v>
      </c>
      <c r="C113" s="80">
        <v>42920.653668981482</v>
      </c>
      <c r="D113" t="s">
        <v>643</v>
      </c>
      <c r="F113">
        <v>0</v>
      </c>
      <c r="G113">
        <v>0</v>
      </c>
      <c r="H113">
        <v>346.8</v>
      </c>
      <c r="J113" t="s">
        <v>1003</v>
      </c>
    </row>
    <row r="114" spans="1:10" x14ac:dyDescent="0.2">
      <c r="A114" t="s">
        <v>473</v>
      </c>
      <c r="B114">
        <v>412870</v>
      </c>
      <c r="C114" s="80">
        <v>42920.653668981482</v>
      </c>
      <c r="D114" t="s">
        <v>644</v>
      </c>
      <c r="E114" t="s">
        <v>567</v>
      </c>
      <c r="F114">
        <v>126329</v>
      </c>
      <c r="G114">
        <v>24.97</v>
      </c>
      <c r="H114">
        <v>0</v>
      </c>
      <c r="J114" t="s">
        <v>1004</v>
      </c>
    </row>
    <row r="115" spans="1:10" x14ac:dyDescent="0.2">
      <c r="A115" t="s">
        <v>473</v>
      </c>
      <c r="B115">
        <v>413213</v>
      </c>
      <c r="C115" s="80">
        <v>42920.691412037035</v>
      </c>
      <c r="D115" t="s">
        <v>645</v>
      </c>
      <c r="E115" t="s">
        <v>570</v>
      </c>
      <c r="F115">
        <v>108961</v>
      </c>
      <c r="G115">
        <v>321.83</v>
      </c>
      <c r="H115">
        <v>0</v>
      </c>
      <c r="J115" t="s">
        <v>1005</v>
      </c>
    </row>
    <row r="116" spans="1:10" x14ac:dyDescent="0.2">
      <c r="A116" t="s">
        <v>473</v>
      </c>
      <c r="B116">
        <v>416065</v>
      </c>
      <c r="C116" s="80">
        <v>42930.522164351853</v>
      </c>
      <c r="D116" t="s">
        <v>646</v>
      </c>
      <c r="F116">
        <v>0</v>
      </c>
      <c r="G116">
        <v>0</v>
      </c>
      <c r="H116">
        <v>114.72</v>
      </c>
      <c r="J116" t="s">
        <v>1003</v>
      </c>
    </row>
    <row r="117" spans="1:10" x14ac:dyDescent="0.2">
      <c r="A117" t="s">
        <v>473</v>
      </c>
      <c r="B117">
        <v>416065</v>
      </c>
      <c r="C117" s="80">
        <v>42930.522164351853</v>
      </c>
      <c r="D117" t="s">
        <v>644</v>
      </c>
      <c r="E117" t="s">
        <v>567</v>
      </c>
      <c r="F117">
        <v>127449</v>
      </c>
      <c r="G117">
        <v>8.26</v>
      </c>
      <c r="H117">
        <v>0</v>
      </c>
      <c r="J117" t="s">
        <v>1004</v>
      </c>
    </row>
    <row r="118" spans="1:10" x14ac:dyDescent="0.2">
      <c r="A118" t="s">
        <v>473</v>
      </c>
      <c r="B118">
        <v>416077</v>
      </c>
      <c r="C118" s="80">
        <v>42930.524456018517</v>
      </c>
      <c r="D118" t="s">
        <v>645</v>
      </c>
      <c r="E118" t="s">
        <v>570</v>
      </c>
      <c r="F118">
        <v>110175</v>
      </c>
      <c r="G118">
        <v>106.46</v>
      </c>
      <c r="H118">
        <v>0</v>
      </c>
      <c r="J118" t="s">
        <v>1005</v>
      </c>
    </row>
    <row r="119" spans="1:10" x14ac:dyDescent="0.2">
      <c r="A119" t="s">
        <v>472</v>
      </c>
      <c r="B119">
        <v>412848</v>
      </c>
      <c r="C119" s="80">
        <v>42920.653668981482</v>
      </c>
      <c r="D119" t="s">
        <v>647</v>
      </c>
      <c r="F119">
        <v>0</v>
      </c>
      <c r="G119">
        <v>0</v>
      </c>
      <c r="H119">
        <v>466.12</v>
      </c>
      <c r="J119" t="s">
        <v>1003</v>
      </c>
    </row>
    <row r="120" spans="1:10" x14ac:dyDescent="0.2">
      <c r="A120" t="s">
        <v>472</v>
      </c>
      <c r="B120">
        <v>412848</v>
      </c>
      <c r="C120" s="80">
        <v>42920.653668981482</v>
      </c>
      <c r="D120" t="s">
        <v>648</v>
      </c>
      <c r="E120" t="s">
        <v>567</v>
      </c>
      <c r="F120">
        <v>126309</v>
      </c>
      <c r="G120">
        <v>33.56</v>
      </c>
      <c r="H120">
        <v>0</v>
      </c>
      <c r="J120" t="s">
        <v>1004</v>
      </c>
    </row>
    <row r="121" spans="1:10" x14ac:dyDescent="0.2">
      <c r="A121" t="s">
        <v>472</v>
      </c>
      <c r="B121">
        <v>413213</v>
      </c>
      <c r="C121" s="80">
        <v>42920.691412037035</v>
      </c>
      <c r="D121" t="s">
        <v>649</v>
      </c>
      <c r="E121" t="s">
        <v>570</v>
      </c>
      <c r="F121">
        <v>108940</v>
      </c>
      <c r="G121">
        <v>432.56</v>
      </c>
      <c r="H121">
        <v>0</v>
      </c>
      <c r="J121" t="s">
        <v>1005</v>
      </c>
    </row>
    <row r="122" spans="1:10" x14ac:dyDescent="0.2">
      <c r="A122" t="s">
        <v>472</v>
      </c>
      <c r="B122">
        <v>415144</v>
      </c>
      <c r="C122" s="80">
        <v>42928.689328703702</v>
      </c>
      <c r="D122" t="s">
        <v>650</v>
      </c>
      <c r="E122" t="s">
        <v>572</v>
      </c>
      <c r="F122">
        <v>701</v>
      </c>
      <c r="G122">
        <v>115</v>
      </c>
      <c r="H122">
        <v>0</v>
      </c>
      <c r="J122" t="s">
        <v>1006</v>
      </c>
    </row>
    <row r="123" spans="1:10" x14ac:dyDescent="0.2">
      <c r="A123" t="s">
        <v>472</v>
      </c>
      <c r="B123">
        <v>419298</v>
      </c>
      <c r="C123" s="80">
        <v>42944.496863425928</v>
      </c>
      <c r="D123" t="s">
        <v>651</v>
      </c>
      <c r="E123" t="s">
        <v>572</v>
      </c>
      <c r="F123">
        <v>723</v>
      </c>
      <c r="G123">
        <v>90</v>
      </c>
      <c r="H123">
        <v>0</v>
      </c>
      <c r="J123" t="s">
        <v>1006</v>
      </c>
    </row>
    <row r="124" spans="1:10" x14ac:dyDescent="0.2">
      <c r="A124" t="s">
        <v>479</v>
      </c>
      <c r="B124">
        <v>414865</v>
      </c>
      <c r="C124" s="80">
        <v>42927.581736111111</v>
      </c>
      <c r="D124" t="s">
        <v>652</v>
      </c>
      <c r="F124">
        <v>0</v>
      </c>
      <c r="G124">
        <v>0</v>
      </c>
      <c r="H124">
        <v>350</v>
      </c>
      <c r="J124" t="s">
        <v>1003</v>
      </c>
    </row>
    <row r="125" spans="1:10" x14ac:dyDescent="0.2">
      <c r="A125" t="s">
        <v>479</v>
      </c>
      <c r="B125">
        <v>414865</v>
      </c>
      <c r="C125" s="80">
        <v>42927.581736111111</v>
      </c>
      <c r="D125" t="s">
        <v>653</v>
      </c>
      <c r="E125" t="s">
        <v>567</v>
      </c>
      <c r="F125">
        <v>127195</v>
      </c>
      <c r="G125">
        <v>25.2</v>
      </c>
      <c r="H125">
        <v>0</v>
      </c>
      <c r="J125" t="s">
        <v>1004</v>
      </c>
    </row>
    <row r="126" spans="1:10" x14ac:dyDescent="0.2">
      <c r="A126" t="s">
        <v>479</v>
      </c>
      <c r="B126">
        <v>414870</v>
      </c>
      <c r="C126" s="80">
        <v>42927.584606481483</v>
      </c>
      <c r="D126" t="s">
        <v>654</v>
      </c>
      <c r="E126" t="s">
        <v>570</v>
      </c>
      <c r="F126">
        <v>109716</v>
      </c>
      <c r="G126">
        <v>324.8</v>
      </c>
      <c r="H126">
        <v>0</v>
      </c>
      <c r="J126" t="s">
        <v>1005</v>
      </c>
    </row>
    <row r="127" spans="1:10" x14ac:dyDescent="0.2">
      <c r="A127" t="s">
        <v>564</v>
      </c>
      <c r="B127">
        <v>412982</v>
      </c>
      <c r="C127" s="80">
        <v>42920.672673611109</v>
      </c>
      <c r="D127" t="s">
        <v>655</v>
      </c>
      <c r="F127">
        <v>0</v>
      </c>
      <c r="G127">
        <v>0</v>
      </c>
      <c r="H127">
        <v>520</v>
      </c>
      <c r="J127" t="s">
        <v>1003</v>
      </c>
    </row>
    <row r="128" spans="1:10" x14ac:dyDescent="0.2">
      <c r="A128" t="s">
        <v>564</v>
      </c>
      <c r="B128">
        <v>412982</v>
      </c>
      <c r="C128" s="80">
        <v>42920.672673611109</v>
      </c>
      <c r="D128" t="s">
        <v>656</v>
      </c>
      <c r="E128" t="s">
        <v>567</v>
      </c>
      <c r="F128">
        <v>126434</v>
      </c>
      <c r="G128">
        <v>37.44</v>
      </c>
      <c r="H128">
        <v>0</v>
      </c>
      <c r="J128" t="s">
        <v>1004</v>
      </c>
    </row>
    <row r="129" spans="1:10" x14ac:dyDescent="0.2">
      <c r="A129" t="s">
        <v>564</v>
      </c>
      <c r="B129">
        <v>413213</v>
      </c>
      <c r="C129" s="80">
        <v>42920.691412037035</v>
      </c>
      <c r="D129" t="s">
        <v>657</v>
      </c>
      <c r="E129" t="s">
        <v>570</v>
      </c>
      <c r="F129">
        <v>109068</v>
      </c>
      <c r="G129">
        <v>482.56</v>
      </c>
      <c r="H129">
        <v>0</v>
      </c>
      <c r="J129" t="s">
        <v>1005</v>
      </c>
    </row>
    <row r="130" spans="1:10" x14ac:dyDescent="0.2">
      <c r="A130" t="s">
        <v>484</v>
      </c>
      <c r="B130">
        <v>412894</v>
      </c>
      <c r="C130" s="80">
        <v>42920.653668981482</v>
      </c>
      <c r="D130" t="s">
        <v>658</v>
      </c>
      <c r="F130">
        <v>0</v>
      </c>
      <c r="G130">
        <v>0</v>
      </c>
      <c r="H130">
        <v>19</v>
      </c>
      <c r="J130" t="s">
        <v>1003</v>
      </c>
    </row>
    <row r="131" spans="1:10" x14ac:dyDescent="0.2">
      <c r="A131" t="s">
        <v>484</v>
      </c>
      <c r="B131">
        <v>412894</v>
      </c>
      <c r="C131" s="80">
        <v>42920.653668981482</v>
      </c>
      <c r="D131" t="s">
        <v>659</v>
      </c>
      <c r="E131" t="s">
        <v>567</v>
      </c>
      <c r="F131">
        <v>126352</v>
      </c>
      <c r="G131">
        <v>1.37</v>
      </c>
      <c r="H131">
        <v>0</v>
      </c>
      <c r="J131" t="s">
        <v>1004</v>
      </c>
    </row>
    <row r="132" spans="1:10" x14ac:dyDescent="0.2">
      <c r="A132" t="s">
        <v>484</v>
      </c>
      <c r="B132">
        <v>413213</v>
      </c>
      <c r="C132" s="80">
        <v>42920.691412037035</v>
      </c>
      <c r="D132" t="s">
        <v>660</v>
      </c>
      <c r="E132" t="s">
        <v>570</v>
      </c>
      <c r="F132">
        <v>108985</v>
      </c>
      <c r="G132">
        <v>17.63</v>
      </c>
      <c r="H132">
        <v>0</v>
      </c>
      <c r="J132" t="s">
        <v>1005</v>
      </c>
    </row>
    <row r="133" spans="1:10" x14ac:dyDescent="0.2">
      <c r="A133" t="s">
        <v>484</v>
      </c>
      <c r="B133">
        <v>414496</v>
      </c>
      <c r="C133" s="80">
        <v>42926.641712962963</v>
      </c>
      <c r="D133" t="s">
        <v>661</v>
      </c>
      <c r="F133">
        <v>0</v>
      </c>
      <c r="G133">
        <v>0</v>
      </c>
      <c r="H133">
        <v>442.52</v>
      </c>
      <c r="J133" t="s">
        <v>1003</v>
      </c>
    </row>
    <row r="134" spans="1:10" x14ac:dyDescent="0.2">
      <c r="A134" t="s">
        <v>484</v>
      </c>
      <c r="B134">
        <v>414496</v>
      </c>
      <c r="C134" s="80">
        <v>42926.641712962963</v>
      </c>
      <c r="D134" t="s">
        <v>659</v>
      </c>
      <c r="E134" t="s">
        <v>567</v>
      </c>
      <c r="F134">
        <v>127065</v>
      </c>
      <c r="G134">
        <v>31.86</v>
      </c>
      <c r="H134">
        <v>0</v>
      </c>
      <c r="J134" t="s">
        <v>1004</v>
      </c>
    </row>
    <row r="135" spans="1:10" x14ac:dyDescent="0.2">
      <c r="A135" t="s">
        <v>484</v>
      </c>
      <c r="B135">
        <v>414508</v>
      </c>
      <c r="C135" s="80">
        <v>42926.645902777775</v>
      </c>
      <c r="D135" t="s">
        <v>660</v>
      </c>
      <c r="E135" t="s">
        <v>570</v>
      </c>
      <c r="F135">
        <v>109597</v>
      </c>
      <c r="G135">
        <v>410.66</v>
      </c>
      <c r="H135">
        <v>0</v>
      </c>
      <c r="J135" t="s">
        <v>1005</v>
      </c>
    </row>
    <row r="136" spans="1:10" x14ac:dyDescent="0.2">
      <c r="A136" t="s">
        <v>483</v>
      </c>
      <c r="B136">
        <v>412891</v>
      </c>
      <c r="C136" s="80">
        <v>42920.653668981482</v>
      </c>
      <c r="D136" t="s">
        <v>662</v>
      </c>
      <c r="F136">
        <v>0</v>
      </c>
      <c r="G136">
        <v>0</v>
      </c>
      <c r="H136">
        <v>144.57</v>
      </c>
      <c r="J136" t="s">
        <v>1003</v>
      </c>
    </row>
    <row r="137" spans="1:10" x14ac:dyDescent="0.2">
      <c r="A137" t="s">
        <v>483</v>
      </c>
      <c r="B137">
        <v>412891</v>
      </c>
      <c r="C137" s="80">
        <v>42920.653668981482</v>
      </c>
      <c r="D137" t="s">
        <v>663</v>
      </c>
      <c r="E137" t="s">
        <v>567</v>
      </c>
      <c r="F137">
        <v>126349</v>
      </c>
      <c r="G137">
        <v>10.4</v>
      </c>
      <c r="H137">
        <v>0</v>
      </c>
      <c r="J137" t="s">
        <v>1004</v>
      </c>
    </row>
    <row r="138" spans="1:10" x14ac:dyDescent="0.2">
      <c r="A138" t="s">
        <v>483</v>
      </c>
      <c r="B138">
        <v>413213</v>
      </c>
      <c r="C138" s="80">
        <v>42920.691412037035</v>
      </c>
      <c r="D138" t="s">
        <v>664</v>
      </c>
      <c r="E138" t="s">
        <v>570</v>
      </c>
      <c r="F138">
        <v>108982</v>
      </c>
      <c r="G138">
        <v>134.16999999999999</v>
      </c>
      <c r="H138">
        <v>0</v>
      </c>
      <c r="J138" t="s">
        <v>1005</v>
      </c>
    </row>
    <row r="139" spans="1:10" x14ac:dyDescent="0.2">
      <c r="A139" t="s">
        <v>483</v>
      </c>
      <c r="B139">
        <v>416070</v>
      </c>
      <c r="C139" s="80">
        <v>42930.522164351853</v>
      </c>
      <c r="D139" t="s">
        <v>665</v>
      </c>
      <c r="F139">
        <v>0</v>
      </c>
      <c r="G139">
        <v>0</v>
      </c>
      <c r="H139">
        <v>321.55</v>
      </c>
      <c r="J139" t="s">
        <v>1003</v>
      </c>
    </row>
    <row r="140" spans="1:10" x14ac:dyDescent="0.2">
      <c r="A140" t="s">
        <v>483</v>
      </c>
      <c r="B140">
        <v>416070</v>
      </c>
      <c r="C140" s="80">
        <v>42930.522164351853</v>
      </c>
      <c r="D140" t="s">
        <v>663</v>
      </c>
      <c r="E140" t="s">
        <v>567</v>
      </c>
      <c r="F140">
        <v>127452</v>
      </c>
      <c r="G140">
        <v>23.15</v>
      </c>
      <c r="H140">
        <v>0</v>
      </c>
      <c r="J140" t="s">
        <v>1004</v>
      </c>
    </row>
    <row r="141" spans="1:10" x14ac:dyDescent="0.2">
      <c r="A141" t="s">
        <v>483</v>
      </c>
      <c r="B141">
        <v>416077</v>
      </c>
      <c r="C141" s="80">
        <v>42930.524456018517</v>
      </c>
      <c r="D141" t="s">
        <v>664</v>
      </c>
      <c r="E141" t="s">
        <v>570</v>
      </c>
      <c r="F141">
        <v>110180</v>
      </c>
      <c r="G141">
        <v>298.39999999999998</v>
      </c>
      <c r="H141">
        <v>0</v>
      </c>
      <c r="J141" t="s">
        <v>1005</v>
      </c>
    </row>
    <row r="142" spans="1:10" x14ac:dyDescent="0.2">
      <c r="A142" t="s">
        <v>481</v>
      </c>
      <c r="B142">
        <v>416036</v>
      </c>
      <c r="C142" s="80">
        <v>42930.522164351853</v>
      </c>
      <c r="D142" t="s">
        <v>666</v>
      </c>
      <c r="F142">
        <v>0</v>
      </c>
      <c r="G142">
        <v>0</v>
      </c>
      <c r="H142">
        <v>500</v>
      </c>
      <c r="J142" t="s">
        <v>1003</v>
      </c>
    </row>
    <row r="143" spans="1:10" x14ac:dyDescent="0.2">
      <c r="A143" t="s">
        <v>481</v>
      </c>
      <c r="B143">
        <v>416036</v>
      </c>
      <c r="C143" s="80">
        <v>42930.522164351853</v>
      </c>
      <c r="D143" t="s">
        <v>667</v>
      </c>
      <c r="E143" t="s">
        <v>567</v>
      </c>
      <c r="F143">
        <v>127422</v>
      </c>
      <c r="G143">
        <v>36</v>
      </c>
      <c r="H143">
        <v>0</v>
      </c>
      <c r="J143" t="s">
        <v>1004</v>
      </c>
    </row>
    <row r="144" spans="1:10" x14ac:dyDescent="0.2">
      <c r="A144" t="s">
        <v>481</v>
      </c>
      <c r="B144">
        <v>416077</v>
      </c>
      <c r="C144" s="80">
        <v>42930.524456018517</v>
      </c>
      <c r="D144" t="s">
        <v>668</v>
      </c>
      <c r="E144" t="s">
        <v>570</v>
      </c>
      <c r="F144">
        <v>110146</v>
      </c>
      <c r="G144">
        <v>464</v>
      </c>
      <c r="H144">
        <v>0</v>
      </c>
      <c r="J144" t="s">
        <v>1005</v>
      </c>
    </row>
    <row r="145" spans="1:10" x14ac:dyDescent="0.2">
      <c r="A145" t="s">
        <v>477</v>
      </c>
      <c r="B145">
        <v>414092</v>
      </c>
      <c r="C145" s="80">
        <v>42923.519409722219</v>
      </c>
      <c r="D145" t="s">
        <v>669</v>
      </c>
      <c r="F145">
        <v>0</v>
      </c>
      <c r="G145">
        <v>0</v>
      </c>
      <c r="H145">
        <v>311.01</v>
      </c>
      <c r="J145" t="s">
        <v>1003</v>
      </c>
    </row>
    <row r="146" spans="1:10" x14ac:dyDescent="0.2">
      <c r="A146" t="s">
        <v>477</v>
      </c>
      <c r="B146">
        <v>414092</v>
      </c>
      <c r="C146" s="80">
        <v>42923.519409722219</v>
      </c>
      <c r="D146" t="s">
        <v>670</v>
      </c>
      <c r="E146" t="s">
        <v>567</v>
      </c>
      <c r="F146">
        <v>126946</v>
      </c>
      <c r="G146">
        <v>22.39</v>
      </c>
      <c r="H146">
        <v>0</v>
      </c>
      <c r="J146" t="s">
        <v>1004</v>
      </c>
    </row>
    <row r="147" spans="1:10" x14ac:dyDescent="0.2">
      <c r="A147" t="s">
        <v>477</v>
      </c>
      <c r="B147">
        <v>416067</v>
      </c>
      <c r="C147" s="80">
        <v>42930.522164351853</v>
      </c>
      <c r="D147" t="s">
        <v>671</v>
      </c>
      <c r="F147">
        <v>0</v>
      </c>
      <c r="G147">
        <v>0</v>
      </c>
      <c r="H147">
        <v>104.39</v>
      </c>
      <c r="J147" t="s">
        <v>1003</v>
      </c>
    </row>
    <row r="148" spans="1:10" x14ac:dyDescent="0.2">
      <c r="A148" t="s">
        <v>477</v>
      </c>
      <c r="B148">
        <v>416067</v>
      </c>
      <c r="C148" s="80">
        <v>42930.522164351853</v>
      </c>
      <c r="D148" t="s">
        <v>670</v>
      </c>
      <c r="E148" t="s">
        <v>567</v>
      </c>
      <c r="F148">
        <v>127450</v>
      </c>
      <c r="G148">
        <v>7.51</v>
      </c>
      <c r="H148">
        <v>0</v>
      </c>
      <c r="J148" t="s">
        <v>1004</v>
      </c>
    </row>
    <row r="149" spans="1:10" x14ac:dyDescent="0.2">
      <c r="A149" t="s">
        <v>495</v>
      </c>
      <c r="B149">
        <v>412897</v>
      </c>
      <c r="C149" s="80">
        <v>42920.653668981482</v>
      </c>
      <c r="D149" t="s">
        <v>672</v>
      </c>
      <c r="F149">
        <v>0</v>
      </c>
      <c r="G149">
        <v>0</v>
      </c>
      <c r="H149">
        <v>346.82</v>
      </c>
      <c r="J149" t="s">
        <v>1003</v>
      </c>
    </row>
    <row r="150" spans="1:10" x14ac:dyDescent="0.2">
      <c r="A150" t="s">
        <v>495</v>
      </c>
      <c r="B150">
        <v>412897</v>
      </c>
      <c r="C150" s="80">
        <v>42920.653668981482</v>
      </c>
      <c r="D150" t="s">
        <v>673</v>
      </c>
      <c r="E150" t="s">
        <v>567</v>
      </c>
      <c r="F150">
        <v>126355</v>
      </c>
      <c r="G150">
        <v>24.97</v>
      </c>
      <c r="H150">
        <v>0</v>
      </c>
      <c r="J150" t="s">
        <v>1004</v>
      </c>
    </row>
    <row r="151" spans="1:10" x14ac:dyDescent="0.2">
      <c r="A151" t="s">
        <v>495</v>
      </c>
      <c r="B151">
        <v>413213</v>
      </c>
      <c r="C151" s="80">
        <v>42920.691412037035</v>
      </c>
      <c r="D151" t="s">
        <v>674</v>
      </c>
      <c r="E151" t="s">
        <v>570</v>
      </c>
      <c r="F151">
        <v>108988</v>
      </c>
      <c r="G151">
        <v>321.85000000000002</v>
      </c>
      <c r="H151">
        <v>0</v>
      </c>
      <c r="J151" t="s">
        <v>1005</v>
      </c>
    </row>
    <row r="152" spans="1:10" x14ac:dyDescent="0.2">
      <c r="A152" t="s">
        <v>495</v>
      </c>
      <c r="B152">
        <v>416074</v>
      </c>
      <c r="C152" s="80">
        <v>42930.522164351853</v>
      </c>
      <c r="D152" t="s">
        <v>675</v>
      </c>
      <c r="F152">
        <v>0</v>
      </c>
      <c r="G152">
        <v>0</v>
      </c>
      <c r="H152">
        <v>114.7</v>
      </c>
      <c r="J152" t="s">
        <v>1003</v>
      </c>
    </row>
    <row r="153" spans="1:10" x14ac:dyDescent="0.2">
      <c r="A153" t="s">
        <v>495</v>
      </c>
      <c r="B153">
        <v>416074</v>
      </c>
      <c r="C153" s="80">
        <v>42930.522164351853</v>
      </c>
      <c r="D153" t="s">
        <v>673</v>
      </c>
      <c r="E153" t="s">
        <v>567</v>
      </c>
      <c r="F153">
        <v>127456</v>
      </c>
      <c r="G153">
        <v>8.26</v>
      </c>
      <c r="H153">
        <v>0</v>
      </c>
      <c r="J153" t="s">
        <v>1004</v>
      </c>
    </row>
    <row r="154" spans="1:10" x14ac:dyDescent="0.2">
      <c r="A154" t="s">
        <v>495</v>
      </c>
      <c r="B154">
        <v>416077</v>
      </c>
      <c r="C154" s="80">
        <v>42930.524456018517</v>
      </c>
      <c r="D154" t="s">
        <v>674</v>
      </c>
      <c r="E154" t="s">
        <v>570</v>
      </c>
      <c r="F154">
        <v>110184</v>
      </c>
      <c r="G154">
        <v>106.44</v>
      </c>
      <c r="H154">
        <v>0</v>
      </c>
      <c r="J154" t="s">
        <v>1005</v>
      </c>
    </row>
    <row r="155" spans="1:10" x14ac:dyDescent="0.2">
      <c r="A155" t="s">
        <v>495</v>
      </c>
      <c r="B155">
        <v>416271</v>
      </c>
      <c r="C155" s="80">
        <v>42933.375104166669</v>
      </c>
      <c r="D155" t="s">
        <v>676</v>
      </c>
      <c r="E155" t="s">
        <v>572</v>
      </c>
      <c r="F155">
        <v>706</v>
      </c>
      <c r="G155">
        <v>105</v>
      </c>
      <c r="H155">
        <v>0</v>
      </c>
      <c r="J155" t="s">
        <v>1006</v>
      </c>
    </row>
    <row r="156" spans="1:10" x14ac:dyDescent="0.2">
      <c r="A156" t="s">
        <v>476</v>
      </c>
      <c r="B156">
        <v>412869</v>
      </c>
      <c r="C156" s="80">
        <v>42920.653668981482</v>
      </c>
      <c r="D156" t="s">
        <v>677</v>
      </c>
      <c r="F156">
        <v>0</v>
      </c>
      <c r="G156">
        <v>0</v>
      </c>
      <c r="H156">
        <v>155.74</v>
      </c>
      <c r="J156" t="s">
        <v>1003</v>
      </c>
    </row>
    <row r="157" spans="1:10" x14ac:dyDescent="0.2">
      <c r="A157" t="s">
        <v>476</v>
      </c>
      <c r="B157">
        <v>412869</v>
      </c>
      <c r="C157" s="80">
        <v>42920.653668981482</v>
      </c>
      <c r="D157" t="s">
        <v>678</v>
      </c>
      <c r="E157" t="s">
        <v>567</v>
      </c>
      <c r="F157">
        <v>126328</v>
      </c>
      <c r="G157">
        <v>11.21</v>
      </c>
      <c r="H157">
        <v>0</v>
      </c>
      <c r="J157" t="s">
        <v>1004</v>
      </c>
    </row>
    <row r="158" spans="1:10" x14ac:dyDescent="0.2">
      <c r="A158" t="s">
        <v>476</v>
      </c>
      <c r="B158">
        <v>413213</v>
      </c>
      <c r="C158" s="80">
        <v>42920.691412037035</v>
      </c>
      <c r="D158" t="s">
        <v>679</v>
      </c>
      <c r="E158" t="s">
        <v>570</v>
      </c>
      <c r="F158">
        <v>108960</v>
      </c>
      <c r="G158">
        <v>54.53</v>
      </c>
      <c r="H158">
        <v>0</v>
      </c>
      <c r="J158" t="s">
        <v>1005</v>
      </c>
    </row>
    <row r="159" spans="1:10" x14ac:dyDescent="0.2">
      <c r="A159" t="s">
        <v>476</v>
      </c>
      <c r="B159">
        <v>416487</v>
      </c>
      <c r="C159" s="80">
        <v>42933.604791666665</v>
      </c>
      <c r="D159" t="s">
        <v>680</v>
      </c>
      <c r="F159">
        <v>0</v>
      </c>
      <c r="G159">
        <v>0</v>
      </c>
      <c r="H159">
        <v>310.38</v>
      </c>
      <c r="J159" t="s">
        <v>1003</v>
      </c>
    </row>
    <row r="160" spans="1:10" x14ac:dyDescent="0.2">
      <c r="A160" t="s">
        <v>476</v>
      </c>
      <c r="B160">
        <v>416487</v>
      </c>
      <c r="C160" s="80">
        <v>42933.604791666665</v>
      </c>
      <c r="D160" t="s">
        <v>678</v>
      </c>
      <c r="E160" t="s">
        <v>567</v>
      </c>
      <c r="F160">
        <v>127580</v>
      </c>
      <c r="G160">
        <v>22.34</v>
      </c>
      <c r="H160">
        <v>0</v>
      </c>
      <c r="J160" t="s">
        <v>1004</v>
      </c>
    </row>
    <row r="161" spans="1:10" x14ac:dyDescent="0.2">
      <c r="A161" t="s">
        <v>476</v>
      </c>
      <c r="B161">
        <v>416496</v>
      </c>
      <c r="C161" s="80">
        <v>42933.608136574076</v>
      </c>
      <c r="D161" t="s">
        <v>679</v>
      </c>
      <c r="E161" t="s">
        <v>570</v>
      </c>
      <c r="F161">
        <v>110259</v>
      </c>
      <c r="G161">
        <v>288.04000000000002</v>
      </c>
      <c r="H161">
        <v>0</v>
      </c>
      <c r="J161" t="s">
        <v>1005</v>
      </c>
    </row>
    <row r="162" spans="1:10" x14ac:dyDescent="0.2">
      <c r="A162" t="s">
        <v>476</v>
      </c>
      <c r="B162">
        <v>416536</v>
      </c>
      <c r="C162" s="80">
        <v>42933.746689814812</v>
      </c>
      <c r="D162" t="s">
        <v>681</v>
      </c>
      <c r="E162" t="s">
        <v>572</v>
      </c>
      <c r="G162">
        <v>20</v>
      </c>
      <c r="H162">
        <v>0</v>
      </c>
      <c r="J162" t="s">
        <v>1006</v>
      </c>
    </row>
    <row r="163" spans="1:10" x14ac:dyDescent="0.2">
      <c r="A163" t="s">
        <v>682</v>
      </c>
      <c r="B163">
        <v>413819</v>
      </c>
      <c r="C163" s="80">
        <v>42922.632592592592</v>
      </c>
      <c r="D163" t="s">
        <v>683</v>
      </c>
      <c r="F163">
        <v>0</v>
      </c>
      <c r="G163">
        <v>0</v>
      </c>
      <c r="H163">
        <v>306.24</v>
      </c>
      <c r="J163" t="s">
        <v>1003</v>
      </c>
    </row>
    <row r="164" spans="1:10" x14ac:dyDescent="0.2">
      <c r="A164" t="s">
        <v>682</v>
      </c>
      <c r="B164">
        <v>413819</v>
      </c>
      <c r="C164" s="80">
        <v>42922.632592592592</v>
      </c>
      <c r="D164" t="s">
        <v>684</v>
      </c>
      <c r="E164" t="s">
        <v>567</v>
      </c>
      <c r="F164">
        <v>126855</v>
      </c>
      <c r="G164">
        <v>22.04</v>
      </c>
      <c r="H164">
        <v>0</v>
      </c>
      <c r="J164" t="s">
        <v>1004</v>
      </c>
    </row>
    <row r="165" spans="1:10" x14ac:dyDescent="0.2">
      <c r="A165" t="s">
        <v>682</v>
      </c>
      <c r="B165">
        <v>413833</v>
      </c>
      <c r="C165" s="80">
        <v>42922.635277777779</v>
      </c>
      <c r="D165" t="s">
        <v>685</v>
      </c>
      <c r="E165" t="s">
        <v>570</v>
      </c>
      <c r="F165">
        <v>109428</v>
      </c>
      <c r="G165">
        <v>284.2</v>
      </c>
      <c r="H165">
        <v>0</v>
      </c>
      <c r="J165" t="s">
        <v>1005</v>
      </c>
    </row>
    <row r="166" spans="1:10" x14ac:dyDescent="0.2">
      <c r="A166" t="s">
        <v>682</v>
      </c>
      <c r="B166">
        <v>416272</v>
      </c>
      <c r="C166" s="80">
        <v>42933.376064814816</v>
      </c>
      <c r="D166" t="s">
        <v>686</v>
      </c>
      <c r="E166" t="s">
        <v>572</v>
      </c>
      <c r="F166">
        <v>708</v>
      </c>
      <c r="G166">
        <v>636</v>
      </c>
      <c r="H166">
        <v>0</v>
      </c>
      <c r="J166" t="s">
        <v>1006</v>
      </c>
    </row>
    <row r="167" spans="1:10" x14ac:dyDescent="0.2">
      <c r="A167" t="s">
        <v>480</v>
      </c>
      <c r="B167">
        <v>416028</v>
      </c>
      <c r="C167" s="80">
        <v>42930.522164351853</v>
      </c>
      <c r="D167" t="s">
        <v>687</v>
      </c>
      <c r="F167">
        <v>0</v>
      </c>
      <c r="G167">
        <v>0</v>
      </c>
      <c r="H167">
        <v>424.48</v>
      </c>
      <c r="J167" t="s">
        <v>1003</v>
      </c>
    </row>
    <row r="168" spans="1:10" x14ac:dyDescent="0.2">
      <c r="A168" t="s">
        <v>480</v>
      </c>
      <c r="B168">
        <v>416028</v>
      </c>
      <c r="C168" s="80">
        <v>42930.522164351853</v>
      </c>
      <c r="D168" t="s">
        <v>688</v>
      </c>
      <c r="E168" t="s">
        <v>567</v>
      </c>
      <c r="F168">
        <v>127415</v>
      </c>
      <c r="G168">
        <v>30.56</v>
      </c>
      <c r="H168">
        <v>0</v>
      </c>
      <c r="J168" t="s">
        <v>1004</v>
      </c>
    </row>
    <row r="169" spans="1:10" x14ac:dyDescent="0.2">
      <c r="A169" t="s">
        <v>480</v>
      </c>
      <c r="B169">
        <v>416028</v>
      </c>
      <c r="C169" s="80">
        <v>42930.522164351853</v>
      </c>
      <c r="D169" t="s">
        <v>689</v>
      </c>
      <c r="F169">
        <v>0</v>
      </c>
      <c r="G169">
        <v>0</v>
      </c>
      <c r="H169">
        <v>41.64</v>
      </c>
      <c r="J169" t="s">
        <v>1003</v>
      </c>
    </row>
    <row r="170" spans="1:10" x14ac:dyDescent="0.2">
      <c r="A170" t="s">
        <v>480</v>
      </c>
      <c r="B170">
        <v>416028</v>
      </c>
      <c r="C170" s="80">
        <v>42930.522164351853</v>
      </c>
      <c r="D170" t="s">
        <v>688</v>
      </c>
      <c r="E170" t="s">
        <v>567</v>
      </c>
      <c r="F170">
        <v>127415</v>
      </c>
      <c r="G170">
        <v>3</v>
      </c>
      <c r="H170">
        <v>0</v>
      </c>
      <c r="J170" t="s">
        <v>1004</v>
      </c>
    </row>
    <row r="171" spans="1:10" x14ac:dyDescent="0.2">
      <c r="A171" t="s">
        <v>480</v>
      </c>
      <c r="B171">
        <v>416077</v>
      </c>
      <c r="C171" s="80">
        <v>42930.524456018517</v>
      </c>
      <c r="D171" t="s">
        <v>690</v>
      </c>
      <c r="E171" t="s">
        <v>570</v>
      </c>
      <c r="F171">
        <v>110138</v>
      </c>
      <c r="G171">
        <v>432.56</v>
      </c>
      <c r="H171">
        <v>0</v>
      </c>
      <c r="J171" t="s">
        <v>1005</v>
      </c>
    </row>
    <row r="172" spans="1:10" x14ac:dyDescent="0.2">
      <c r="A172" t="s">
        <v>480</v>
      </c>
      <c r="B172">
        <v>418296</v>
      </c>
      <c r="C172" s="80">
        <v>42941.595451388886</v>
      </c>
      <c r="D172" t="s">
        <v>687</v>
      </c>
      <c r="F172">
        <v>0</v>
      </c>
      <c r="G172">
        <v>0</v>
      </c>
      <c r="H172">
        <v>120</v>
      </c>
      <c r="J172" t="s">
        <v>1003</v>
      </c>
    </row>
    <row r="173" spans="1:10" x14ac:dyDescent="0.2">
      <c r="A173" t="s">
        <v>480</v>
      </c>
      <c r="B173">
        <v>418296</v>
      </c>
      <c r="C173" s="80">
        <v>42941.595451388886</v>
      </c>
      <c r="D173" t="s">
        <v>688</v>
      </c>
      <c r="E173" t="s">
        <v>567</v>
      </c>
      <c r="F173">
        <v>128187</v>
      </c>
      <c r="G173">
        <v>8.64</v>
      </c>
      <c r="H173">
        <v>0</v>
      </c>
      <c r="J173" t="s">
        <v>1004</v>
      </c>
    </row>
    <row r="174" spans="1:10" x14ac:dyDescent="0.2">
      <c r="A174" t="s">
        <v>480</v>
      </c>
      <c r="B174">
        <v>418368</v>
      </c>
      <c r="C174" s="80">
        <v>42941.597905092596</v>
      </c>
      <c r="D174" t="s">
        <v>690</v>
      </c>
      <c r="E174" t="s">
        <v>570</v>
      </c>
      <c r="F174">
        <v>110674</v>
      </c>
      <c r="G174">
        <v>111.36</v>
      </c>
      <c r="H174">
        <v>0</v>
      </c>
      <c r="J174" t="s">
        <v>1005</v>
      </c>
    </row>
    <row r="175" spans="1:10" x14ac:dyDescent="0.2">
      <c r="A175" t="s">
        <v>482</v>
      </c>
      <c r="B175">
        <v>416037</v>
      </c>
      <c r="C175" s="80">
        <v>42930.522164351853</v>
      </c>
      <c r="D175" t="s">
        <v>691</v>
      </c>
      <c r="F175">
        <v>0</v>
      </c>
      <c r="G175">
        <v>0</v>
      </c>
      <c r="H175">
        <v>660</v>
      </c>
      <c r="J175" t="s">
        <v>1003</v>
      </c>
    </row>
    <row r="176" spans="1:10" x14ac:dyDescent="0.2">
      <c r="A176" t="s">
        <v>482</v>
      </c>
      <c r="B176">
        <v>416037</v>
      </c>
      <c r="C176" s="80">
        <v>42930.522164351853</v>
      </c>
      <c r="D176" t="s">
        <v>692</v>
      </c>
      <c r="E176" t="s">
        <v>567</v>
      </c>
      <c r="F176">
        <v>127423</v>
      </c>
      <c r="G176">
        <v>47.52</v>
      </c>
      <c r="H176">
        <v>0</v>
      </c>
      <c r="J176" t="s">
        <v>1004</v>
      </c>
    </row>
    <row r="177" spans="1:10" x14ac:dyDescent="0.2">
      <c r="A177" t="s">
        <v>482</v>
      </c>
      <c r="B177">
        <v>416077</v>
      </c>
      <c r="C177" s="80">
        <v>42930.524456018517</v>
      </c>
      <c r="D177" t="s">
        <v>693</v>
      </c>
      <c r="E177" t="s">
        <v>570</v>
      </c>
      <c r="F177">
        <v>110147</v>
      </c>
      <c r="G177">
        <v>482.48</v>
      </c>
      <c r="H177">
        <v>0</v>
      </c>
      <c r="J177" t="s">
        <v>1005</v>
      </c>
    </row>
    <row r="178" spans="1:10" x14ac:dyDescent="0.2">
      <c r="A178" t="s">
        <v>485</v>
      </c>
      <c r="B178">
        <v>414094</v>
      </c>
      <c r="C178" s="80">
        <v>42923.519409722219</v>
      </c>
      <c r="D178" t="s">
        <v>694</v>
      </c>
      <c r="F178">
        <v>0</v>
      </c>
      <c r="G178">
        <v>0</v>
      </c>
      <c r="H178">
        <v>476.85</v>
      </c>
      <c r="J178" t="s">
        <v>1003</v>
      </c>
    </row>
    <row r="179" spans="1:10" x14ac:dyDescent="0.2">
      <c r="A179" t="s">
        <v>485</v>
      </c>
      <c r="B179">
        <v>414094</v>
      </c>
      <c r="C179" s="80">
        <v>42923.519409722219</v>
      </c>
      <c r="D179" t="s">
        <v>695</v>
      </c>
      <c r="E179" t="s">
        <v>567</v>
      </c>
      <c r="F179">
        <v>126948</v>
      </c>
      <c r="G179">
        <v>34.33</v>
      </c>
      <c r="H179">
        <v>0</v>
      </c>
      <c r="J179" t="s">
        <v>1004</v>
      </c>
    </row>
    <row r="180" spans="1:10" x14ac:dyDescent="0.2">
      <c r="A180" t="s">
        <v>486</v>
      </c>
      <c r="B180">
        <v>414498</v>
      </c>
      <c r="C180" s="80">
        <v>42926.641712962963</v>
      </c>
      <c r="D180" t="s">
        <v>696</v>
      </c>
      <c r="F180">
        <v>0</v>
      </c>
      <c r="G180">
        <v>0</v>
      </c>
      <c r="H180">
        <v>388.69</v>
      </c>
      <c r="J180" t="s">
        <v>1003</v>
      </c>
    </row>
    <row r="181" spans="1:10" x14ac:dyDescent="0.2">
      <c r="A181" t="s">
        <v>486</v>
      </c>
      <c r="B181">
        <v>414498</v>
      </c>
      <c r="C181" s="80">
        <v>42926.641712962963</v>
      </c>
      <c r="D181" t="s">
        <v>697</v>
      </c>
      <c r="E181" t="s">
        <v>567</v>
      </c>
      <c r="F181">
        <v>127067</v>
      </c>
      <c r="G181">
        <v>27.98</v>
      </c>
      <c r="H181">
        <v>0</v>
      </c>
      <c r="J181" t="s">
        <v>1004</v>
      </c>
    </row>
    <row r="182" spans="1:10" x14ac:dyDescent="0.2">
      <c r="A182" t="s">
        <v>486</v>
      </c>
      <c r="B182">
        <v>414508</v>
      </c>
      <c r="C182" s="80">
        <v>42926.645902777775</v>
      </c>
      <c r="D182" t="s">
        <v>698</v>
      </c>
      <c r="E182" t="s">
        <v>570</v>
      </c>
      <c r="F182">
        <v>109599</v>
      </c>
      <c r="G182">
        <v>360.71</v>
      </c>
      <c r="H182">
        <v>0</v>
      </c>
      <c r="J182" t="s">
        <v>1005</v>
      </c>
    </row>
    <row r="183" spans="1:10" x14ac:dyDescent="0.2">
      <c r="A183" t="s">
        <v>491</v>
      </c>
      <c r="B183">
        <v>420024</v>
      </c>
      <c r="C183" s="80">
        <v>42947.681909722225</v>
      </c>
      <c r="D183" t="s">
        <v>699</v>
      </c>
      <c r="F183">
        <v>0</v>
      </c>
      <c r="G183">
        <v>0</v>
      </c>
      <c r="H183">
        <v>520</v>
      </c>
      <c r="J183" t="s">
        <v>1003</v>
      </c>
    </row>
    <row r="184" spans="1:10" x14ac:dyDescent="0.2">
      <c r="A184" t="s">
        <v>491</v>
      </c>
      <c r="B184">
        <v>420024</v>
      </c>
      <c r="C184" s="80">
        <v>42947.681909722225</v>
      </c>
      <c r="D184" t="s">
        <v>700</v>
      </c>
      <c r="E184" t="s">
        <v>567</v>
      </c>
      <c r="F184">
        <v>128718</v>
      </c>
      <c r="G184">
        <v>37.44</v>
      </c>
      <c r="H184">
        <v>0</v>
      </c>
      <c r="J184" t="s">
        <v>1004</v>
      </c>
    </row>
    <row r="185" spans="1:10" x14ac:dyDescent="0.2">
      <c r="A185" t="s">
        <v>491</v>
      </c>
      <c r="B185">
        <v>420034</v>
      </c>
      <c r="C185" s="80">
        <v>42947.685555555552</v>
      </c>
      <c r="D185" t="s">
        <v>701</v>
      </c>
      <c r="E185" t="s">
        <v>570</v>
      </c>
      <c r="F185">
        <v>111079</v>
      </c>
      <c r="G185">
        <v>482.56</v>
      </c>
      <c r="H185">
        <v>0</v>
      </c>
      <c r="J185" t="s">
        <v>1005</v>
      </c>
    </row>
    <row r="186" spans="1:10" x14ac:dyDescent="0.2">
      <c r="A186" t="s">
        <v>492</v>
      </c>
      <c r="B186">
        <v>412879</v>
      </c>
      <c r="C186" s="80">
        <v>42920.653668981482</v>
      </c>
      <c r="D186" t="s">
        <v>702</v>
      </c>
      <c r="F186">
        <v>0</v>
      </c>
      <c r="G186">
        <v>0</v>
      </c>
      <c r="H186">
        <v>372.08</v>
      </c>
      <c r="J186" t="s">
        <v>1003</v>
      </c>
    </row>
    <row r="187" spans="1:10" x14ac:dyDescent="0.2">
      <c r="A187" t="s">
        <v>492</v>
      </c>
      <c r="B187">
        <v>412879</v>
      </c>
      <c r="C187" s="80">
        <v>42920.653668981482</v>
      </c>
      <c r="D187" t="s">
        <v>703</v>
      </c>
      <c r="E187" t="s">
        <v>567</v>
      </c>
      <c r="F187">
        <v>126337</v>
      </c>
      <c r="G187">
        <v>26.78</v>
      </c>
      <c r="H187">
        <v>0</v>
      </c>
      <c r="J187" t="s">
        <v>1004</v>
      </c>
    </row>
    <row r="188" spans="1:10" x14ac:dyDescent="0.2">
      <c r="A188" t="s">
        <v>492</v>
      </c>
      <c r="B188">
        <v>413213</v>
      </c>
      <c r="C188" s="80">
        <v>42920.691412037035</v>
      </c>
      <c r="D188" t="s">
        <v>704</v>
      </c>
      <c r="E188" t="s">
        <v>570</v>
      </c>
      <c r="F188">
        <v>108970</v>
      </c>
      <c r="G188">
        <v>345.3</v>
      </c>
      <c r="H188">
        <v>0</v>
      </c>
      <c r="J188" t="s">
        <v>1005</v>
      </c>
    </row>
    <row r="189" spans="1:10" x14ac:dyDescent="0.2">
      <c r="A189" t="s">
        <v>510</v>
      </c>
      <c r="B189">
        <v>418355</v>
      </c>
      <c r="C189" s="80">
        <v>42941.595451388886</v>
      </c>
      <c r="D189" t="s">
        <v>705</v>
      </c>
      <c r="F189">
        <v>0</v>
      </c>
      <c r="G189">
        <v>0</v>
      </c>
      <c r="H189">
        <v>500</v>
      </c>
      <c r="J189" t="s">
        <v>1003</v>
      </c>
    </row>
    <row r="190" spans="1:10" x14ac:dyDescent="0.2">
      <c r="A190" t="s">
        <v>510</v>
      </c>
      <c r="B190">
        <v>418355</v>
      </c>
      <c r="C190" s="80">
        <v>42941.595451388886</v>
      </c>
      <c r="D190" t="s">
        <v>706</v>
      </c>
      <c r="E190" t="s">
        <v>567</v>
      </c>
      <c r="F190">
        <v>128241</v>
      </c>
      <c r="G190">
        <v>36</v>
      </c>
      <c r="H190">
        <v>0</v>
      </c>
      <c r="J190" t="s">
        <v>1004</v>
      </c>
    </row>
    <row r="191" spans="1:10" x14ac:dyDescent="0.2">
      <c r="A191" t="s">
        <v>510</v>
      </c>
      <c r="B191">
        <v>418355</v>
      </c>
      <c r="C191" s="80">
        <v>42941.595451388886</v>
      </c>
      <c r="D191" t="s">
        <v>707</v>
      </c>
      <c r="F191">
        <v>0</v>
      </c>
      <c r="G191">
        <v>0</v>
      </c>
      <c r="H191">
        <v>200</v>
      </c>
      <c r="J191" t="s">
        <v>1003</v>
      </c>
    </row>
    <row r="192" spans="1:10" x14ac:dyDescent="0.2">
      <c r="A192" t="s">
        <v>510</v>
      </c>
      <c r="B192">
        <v>418355</v>
      </c>
      <c r="C192" s="80">
        <v>42941.595451388886</v>
      </c>
      <c r="D192" t="s">
        <v>706</v>
      </c>
      <c r="E192" t="s">
        <v>567</v>
      </c>
      <c r="F192">
        <v>128241</v>
      </c>
      <c r="G192">
        <v>14.4</v>
      </c>
      <c r="H192">
        <v>0</v>
      </c>
      <c r="J192" t="s">
        <v>1004</v>
      </c>
    </row>
    <row r="193" spans="1:10" x14ac:dyDescent="0.2">
      <c r="A193" t="s">
        <v>510</v>
      </c>
      <c r="B193">
        <v>418368</v>
      </c>
      <c r="C193" s="80">
        <v>42941.597905092596</v>
      </c>
      <c r="D193" t="s">
        <v>708</v>
      </c>
      <c r="E193" t="s">
        <v>570</v>
      </c>
      <c r="F193">
        <v>110733</v>
      </c>
      <c r="G193">
        <v>649.6</v>
      </c>
      <c r="H193">
        <v>0</v>
      </c>
      <c r="J193" t="s">
        <v>1005</v>
      </c>
    </row>
    <row r="194" spans="1:10" x14ac:dyDescent="0.2">
      <c r="A194" t="s">
        <v>493</v>
      </c>
      <c r="B194">
        <v>417683</v>
      </c>
      <c r="C194" s="80">
        <v>42937.522951388892</v>
      </c>
      <c r="D194" t="s">
        <v>709</v>
      </c>
      <c r="F194">
        <v>0</v>
      </c>
      <c r="G194">
        <v>0</v>
      </c>
      <c r="H194">
        <v>525</v>
      </c>
      <c r="J194" t="s">
        <v>1003</v>
      </c>
    </row>
    <row r="195" spans="1:10" x14ac:dyDescent="0.2">
      <c r="A195" t="s">
        <v>493</v>
      </c>
      <c r="B195">
        <v>417683</v>
      </c>
      <c r="C195" s="80">
        <v>42937.522951388892</v>
      </c>
      <c r="D195" t="s">
        <v>710</v>
      </c>
      <c r="E195" t="s">
        <v>567</v>
      </c>
      <c r="F195">
        <v>127972</v>
      </c>
      <c r="G195">
        <v>37.799999999999997</v>
      </c>
      <c r="H195">
        <v>0</v>
      </c>
      <c r="J195" t="s">
        <v>1004</v>
      </c>
    </row>
    <row r="196" spans="1:10" x14ac:dyDescent="0.2">
      <c r="A196" t="s">
        <v>493</v>
      </c>
      <c r="B196">
        <v>417855</v>
      </c>
      <c r="C196" s="80">
        <v>42938.518865740742</v>
      </c>
      <c r="D196" t="s">
        <v>711</v>
      </c>
      <c r="E196" t="s">
        <v>572</v>
      </c>
      <c r="F196">
        <v>421</v>
      </c>
      <c r="G196">
        <v>45</v>
      </c>
      <c r="H196">
        <v>0</v>
      </c>
      <c r="J196" t="s">
        <v>1006</v>
      </c>
    </row>
    <row r="197" spans="1:10" x14ac:dyDescent="0.2">
      <c r="A197" t="s">
        <v>493</v>
      </c>
      <c r="B197">
        <v>418630</v>
      </c>
      <c r="C197" s="80">
        <v>42942.542592592596</v>
      </c>
      <c r="D197" t="s">
        <v>712</v>
      </c>
      <c r="E197" t="s">
        <v>572</v>
      </c>
      <c r="F197" t="s">
        <v>713</v>
      </c>
      <c r="G197">
        <v>60</v>
      </c>
      <c r="H197">
        <v>0</v>
      </c>
      <c r="J197" t="s">
        <v>1006</v>
      </c>
    </row>
    <row r="198" spans="1:10" x14ac:dyDescent="0.2">
      <c r="A198" t="s">
        <v>494</v>
      </c>
      <c r="B198">
        <v>412890</v>
      </c>
      <c r="C198" s="80">
        <v>42920.653668981482</v>
      </c>
      <c r="D198" t="s">
        <v>714</v>
      </c>
      <c r="F198">
        <v>0</v>
      </c>
      <c r="G198">
        <v>0</v>
      </c>
      <c r="H198">
        <v>338.8</v>
      </c>
      <c r="J198" t="s">
        <v>1003</v>
      </c>
    </row>
    <row r="199" spans="1:10" x14ac:dyDescent="0.2">
      <c r="A199" t="s">
        <v>494</v>
      </c>
      <c r="B199">
        <v>412890</v>
      </c>
      <c r="C199" s="80">
        <v>42920.653668981482</v>
      </c>
      <c r="D199" t="s">
        <v>715</v>
      </c>
      <c r="E199" t="s">
        <v>567</v>
      </c>
      <c r="F199">
        <v>126348</v>
      </c>
      <c r="G199">
        <v>24.4</v>
      </c>
      <c r="H199">
        <v>0</v>
      </c>
      <c r="J199" t="s">
        <v>1004</v>
      </c>
    </row>
    <row r="200" spans="1:10" x14ac:dyDescent="0.2">
      <c r="A200" t="s">
        <v>494</v>
      </c>
      <c r="B200">
        <v>413213</v>
      </c>
      <c r="C200" s="80">
        <v>42920.691412037035</v>
      </c>
      <c r="D200" t="s">
        <v>716</v>
      </c>
      <c r="E200" t="s">
        <v>570</v>
      </c>
      <c r="F200">
        <v>108981</v>
      </c>
      <c r="G200">
        <v>314.39999999999998</v>
      </c>
      <c r="H200">
        <v>0</v>
      </c>
      <c r="J200" t="s">
        <v>1005</v>
      </c>
    </row>
    <row r="201" spans="1:10" x14ac:dyDescent="0.2">
      <c r="A201" t="s">
        <v>494</v>
      </c>
      <c r="B201">
        <v>418033</v>
      </c>
      <c r="C201" s="80">
        <v>42940.632905092592</v>
      </c>
      <c r="D201" t="s">
        <v>717</v>
      </c>
      <c r="F201">
        <v>0</v>
      </c>
      <c r="G201">
        <v>0</v>
      </c>
      <c r="H201">
        <v>113.52</v>
      </c>
      <c r="J201" t="s">
        <v>1003</v>
      </c>
    </row>
    <row r="202" spans="1:10" x14ac:dyDescent="0.2">
      <c r="A202" t="s">
        <v>494</v>
      </c>
      <c r="B202">
        <v>418033</v>
      </c>
      <c r="C202" s="80">
        <v>42940.632905092592</v>
      </c>
      <c r="D202" t="s">
        <v>715</v>
      </c>
      <c r="E202" t="s">
        <v>567</v>
      </c>
      <c r="F202">
        <v>128143</v>
      </c>
      <c r="G202">
        <v>8.17</v>
      </c>
      <c r="H202">
        <v>0</v>
      </c>
      <c r="J202" t="s">
        <v>1004</v>
      </c>
    </row>
    <row r="203" spans="1:10" x14ac:dyDescent="0.2">
      <c r="A203" t="s">
        <v>494</v>
      </c>
      <c r="B203">
        <v>418037</v>
      </c>
      <c r="C203" s="80">
        <v>42940.634212962963</v>
      </c>
      <c r="D203" t="s">
        <v>716</v>
      </c>
      <c r="E203" t="s">
        <v>570</v>
      </c>
      <c r="F203">
        <v>110649</v>
      </c>
      <c r="G203">
        <v>105.35</v>
      </c>
      <c r="H203">
        <v>0</v>
      </c>
      <c r="J203" t="s">
        <v>1005</v>
      </c>
    </row>
    <row r="204" spans="1:10" x14ac:dyDescent="0.2">
      <c r="A204" t="s">
        <v>497</v>
      </c>
      <c r="B204">
        <v>412859</v>
      </c>
      <c r="C204" s="80">
        <v>42920.653668981482</v>
      </c>
      <c r="D204" t="s">
        <v>718</v>
      </c>
      <c r="F204">
        <v>0</v>
      </c>
      <c r="G204">
        <v>0</v>
      </c>
      <c r="H204">
        <v>308.32</v>
      </c>
      <c r="J204" t="s">
        <v>1003</v>
      </c>
    </row>
    <row r="205" spans="1:10" x14ac:dyDescent="0.2">
      <c r="A205" t="s">
        <v>497</v>
      </c>
      <c r="B205">
        <v>412859</v>
      </c>
      <c r="C205" s="80">
        <v>42920.653668981482</v>
      </c>
      <c r="D205" t="s">
        <v>719</v>
      </c>
      <c r="E205" t="s">
        <v>567</v>
      </c>
      <c r="F205">
        <v>126319</v>
      </c>
      <c r="G205">
        <v>22.2</v>
      </c>
      <c r="H205">
        <v>0</v>
      </c>
      <c r="J205" t="s">
        <v>1004</v>
      </c>
    </row>
    <row r="206" spans="1:10" x14ac:dyDescent="0.2">
      <c r="A206" t="s">
        <v>497</v>
      </c>
      <c r="B206">
        <v>413213</v>
      </c>
      <c r="C206" s="80">
        <v>42920.691412037035</v>
      </c>
      <c r="D206" t="s">
        <v>720</v>
      </c>
      <c r="E206" t="s">
        <v>570</v>
      </c>
      <c r="F206">
        <v>108950</v>
      </c>
      <c r="G206">
        <v>286.12</v>
      </c>
      <c r="H206">
        <v>0</v>
      </c>
      <c r="J206" t="s">
        <v>1005</v>
      </c>
    </row>
    <row r="207" spans="1:10" x14ac:dyDescent="0.2">
      <c r="A207" t="s">
        <v>497</v>
      </c>
      <c r="B207">
        <v>417156</v>
      </c>
      <c r="C207" s="80">
        <v>42935.663611111115</v>
      </c>
      <c r="D207" t="s">
        <v>721</v>
      </c>
      <c r="F207">
        <v>0</v>
      </c>
      <c r="G207">
        <v>0</v>
      </c>
      <c r="H207">
        <v>153.19999999999999</v>
      </c>
      <c r="J207" t="s">
        <v>1003</v>
      </c>
    </row>
    <row r="208" spans="1:10" x14ac:dyDescent="0.2">
      <c r="A208" t="s">
        <v>497</v>
      </c>
      <c r="B208">
        <v>417156</v>
      </c>
      <c r="C208" s="80">
        <v>42935.663611111115</v>
      </c>
      <c r="D208" t="s">
        <v>719</v>
      </c>
      <c r="E208" t="s">
        <v>567</v>
      </c>
      <c r="F208">
        <v>127800</v>
      </c>
      <c r="G208">
        <v>11.03</v>
      </c>
      <c r="H208">
        <v>0</v>
      </c>
      <c r="J208" t="s">
        <v>1004</v>
      </c>
    </row>
    <row r="209" spans="1:10" x14ac:dyDescent="0.2">
      <c r="A209" t="s">
        <v>497</v>
      </c>
      <c r="B209">
        <v>417161</v>
      </c>
      <c r="C209" s="80">
        <v>42935.665543981479</v>
      </c>
      <c r="D209" t="s">
        <v>720</v>
      </c>
      <c r="E209" t="s">
        <v>570</v>
      </c>
      <c r="F209">
        <v>110444</v>
      </c>
      <c r="G209">
        <v>142.16999999999999</v>
      </c>
      <c r="H209">
        <v>0</v>
      </c>
      <c r="J209" t="s">
        <v>1005</v>
      </c>
    </row>
    <row r="210" spans="1:10" x14ac:dyDescent="0.2">
      <c r="A210" t="s">
        <v>499</v>
      </c>
      <c r="B210">
        <v>412864</v>
      </c>
      <c r="C210" s="80">
        <v>42920.653668981482</v>
      </c>
      <c r="D210" t="s">
        <v>722</v>
      </c>
      <c r="F210">
        <v>0</v>
      </c>
      <c r="G210">
        <v>0</v>
      </c>
      <c r="H210">
        <v>345.6</v>
      </c>
      <c r="J210" t="s">
        <v>1003</v>
      </c>
    </row>
    <row r="211" spans="1:10" x14ac:dyDescent="0.2">
      <c r="A211" t="s">
        <v>499</v>
      </c>
      <c r="B211">
        <v>412864</v>
      </c>
      <c r="C211" s="80">
        <v>42920.653668981482</v>
      </c>
      <c r="D211" t="s">
        <v>723</v>
      </c>
      <c r="E211" t="s">
        <v>567</v>
      </c>
      <c r="F211">
        <v>126324</v>
      </c>
      <c r="G211">
        <v>24.89</v>
      </c>
      <c r="H211">
        <v>0</v>
      </c>
      <c r="J211" t="s">
        <v>1004</v>
      </c>
    </row>
    <row r="212" spans="1:10" x14ac:dyDescent="0.2">
      <c r="A212" t="s">
        <v>499</v>
      </c>
      <c r="B212">
        <v>412864</v>
      </c>
      <c r="C212" s="80">
        <v>42920.653668981482</v>
      </c>
      <c r="D212" t="s">
        <v>724</v>
      </c>
      <c r="F212">
        <v>0</v>
      </c>
      <c r="G212">
        <v>0</v>
      </c>
      <c r="H212">
        <v>115.92</v>
      </c>
      <c r="J212" t="s">
        <v>1003</v>
      </c>
    </row>
    <row r="213" spans="1:10" x14ac:dyDescent="0.2">
      <c r="A213" t="s">
        <v>499</v>
      </c>
      <c r="B213">
        <v>412864</v>
      </c>
      <c r="C213" s="80">
        <v>42920.653668981482</v>
      </c>
      <c r="D213" t="s">
        <v>723</v>
      </c>
      <c r="E213" t="s">
        <v>567</v>
      </c>
      <c r="F213">
        <v>126324</v>
      </c>
      <c r="G213">
        <v>8.35</v>
      </c>
      <c r="H213">
        <v>0</v>
      </c>
      <c r="J213" t="s">
        <v>1004</v>
      </c>
    </row>
    <row r="214" spans="1:10" x14ac:dyDescent="0.2">
      <c r="A214" t="s">
        <v>499</v>
      </c>
      <c r="B214">
        <v>413213</v>
      </c>
      <c r="C214" s="80">
        <v>42920.691412037035</v>
      </c>
      <c r="D214" t="s">
        <v>725</v>
      </c>
      <c r="E214" t="s">
        <v>570</v>
      </c>
      <c r="F214">
        <v>108955</v>
      </c>
      <c r="G214">
        <v>428.28</v>
      </c>
      <c r="H214">
        <v>0</v>
      </c>
      <c r="J214" t="s">
        <v>1005</v>
      </c>
    </row>
    <row r="215" spans="1:10" x14ac:dyDescent="0.2">
      <c r="A215" t="s">
        <v>501</v>
      </c>
      <c r="B215">
        <v>412881</v>
      </c>
      <c r="C215" s="80">
        <v>42920.653668981482</v>
      </c>
      <c r="D215" t="s">
        <v>726</v>
      </c>
      <c r="F215">
        <v>0</v>
      </c>
      <c r="G215">
        <v>0</v>
      </c>
      <c r="H215">
        <v>98.9</v>
      </c>
      <c r="J215" t="s">
        <v>1003</v>
      </c>
    </row>
    <row r="216" spans="1:10" x14ac:dyDescent="0.2">
      <c r="A216" t="s">
        <v>501</v>
      </c>
      <c r="B216">
        <v>412881</v>
      </c>
      <c r="C216" s="80">
        <v>42920.653668981482</v>
      </c>
      <c r="D216" t="s">
        <v>727</v>
      </c>
      <c r="E216" t="s">
        <v>567</v>
      </c>
      <c r="F216">
        <v>126339</v>
      </c>
      <c r="G216">
        <v>7.12</v>
      </c>
      <c r="H216">
        <v>0</v>
      </c>
      <c r="J216" t="s">
        <v>1004</v>
      </c>
    </row>
    <row r="217" spans="1:10" x14ac:dyDescent="0.2">
      <c r="A217" t="s">
        <v>501</v>
      </c>
      <c r="B217">
        <v>413213</v>
      </c>
      <c r="C217" s="80">
        <v>42920.691412037035</v>
      </c>
      <c r="D217" t="s">
        <v>728</v>
      </c>
      <c r="E217" t="s">
        <v>570</v>
      </c>
      <c r="F217">
        <v>108972</v>
      </c>
      <c r="G217">
        <v>91.78</v>
      </c>
      <c r="H217">
        <v>0</v>
      </c>
      <c r="J217" t="s">
        <v>1005</v>
      </c>
    </row>
    <row r="218" spans="1:10" x14ac:dyDescent="0.2">
      <c r="A218" t="s">
        <v>503</v>
      </c>
      <c r="B218">
        <v>412900</v>
      </c>
      <c r="C218" s="80">
        <v>42920.653668981482</v>
      </c>
      <c r="D218" t="s">
        <v>729</v>
      </c>
      <c r="F218">
        <v>0</v>
      </c>
      <c r="G218">
        <v>0</v>
      </c>
      <c r="H218">
        <v>346.8</v>
      </c>
      <c r="J218" t="s">
        <v>1003</v>
      </c>
    </row>
    <row r="219" spans="1:10" x14ac:dyDescent="0.2">
      <c r="A219" t="s">
        <v>503</v>
      </c>
      <c r="B219">
        <v>412900</v>
      </c>
      <c r="C219" s="80">
        <v>42920.653668981482</v>
      </c>
      <c r="D219" t="s">
        <v>730</v>
      </c>
      <c r="E219" t="s">
        <v>567</v>
      </c>
      <c r="F219">
        <v>126356</v>
      </c>
      <c r="G219">
        <v>24.97</v>
      </c>
      <c r="H219">
        <v>0</v>
      </c>
      <c r="J219" t="s">
        <v>1004</v>
      </c>
    </row>
    <row r="220" spans="1:10" x14ac:dyDescent="0.2">
      <c r="A220" t="s">
        <v>503</v>
      </c>
      <c r="B220">
        <v>413213</v>
      </c>
      <c r="C220" s="80">
        <v>42920.691412037035</v>
      </c>
      <c r="D220" t="s">
        <v>731</v>
      </c>
      <c r="E220" t="s">
        <v>570</v>
      </c>
      <c r="F220">
        <v>108989</v>
      </c>
      <c r="G220">
        <v>321.83</v>
      </c>
      <c r="H220">
        <v>0</v>
      </c>
      <c r="J220" t="s">
        <v>1005</v>
      </c>
    </row>
    <row r="221" spans="1:10" x14ac:dyDescent="0.2">
      <c r="A221" t="s">
        <v>503</v>
      </c>
      <c r="B221">
        <v>414497</v>
      </c>
      <c r="C221" s="80">
        <v>42926.641712962963</v>
      </c>
      <c r="D221" t="s">
        <v>732</v>
      </c>
      <c r="F221">
        <v>0</v>
      </c>
      <c r="G221">
        <v>0</v>
      </c>
      <c r="H221">
        <v>114.72</v>
      </c>
      <c r="J221" t="s">
        <v>1003</v>
      </c>
    </row>
    <row r="222" spans="1:10" x14ac:dyDescent="0.2">
      <c r="A222" t="s">
        <v>503</v>
      </c>
      <c r="B222">
        <v>414497</v>
      </c>
      <c r="C222" s="80">
        <v>42926.641712962963</v>
      </c>
      <c r="D222" t="s">
        <v>730</v>
      </c>
      <c r="E222" t="s">
        <v>567</v>
      </c>
      <c r="F222">
        <v>127066</v>
      </c>
      <c r="G222">
        <v>8.26</v>
      </c>
      <c r="H222">
        <v>0</v>
      </c>
      <c r="J222" t="s">
        <v>1004</v>
      </c>
    </row>
    <row r="223" spans="1:10" x14ac:dyDescent="0.2">
      <c r="A223" t="s">
        <v>503</v>
      </c>
      <c r="B223">
        <v>414508</v>
      </c>
      <c r="C223" s="80">
        <v>42926.645902777775</v>
      </c>
      <c r="D223" t="s">
        <v>731</v>
      </c>
      <c r="E223" t="s">
        <v>570</v>
      </c>
      <c r="F223">
        <v>109598</v>
      </c>
      <c r="G223">
        <v>106.46</v>
      </c>
      <c r="H223">
        <v>0</v>
      </c>
      <c r="J223" t="s">
        <v>1005</v>
      </c>
    </row>
    <row r="224" spans="1:10" x14ac:dyDescent="0.2">
      <c r="A224" t="s">
        <v>505</v>
      </c>
      <c r="B224">
        <v>412860</v>
      </c>
      <c r="C224" s="80">
        <v>42920.653668981482</v>
      </c>
      <c r="D224" t="s">
        <v>733</v>
      </c>
      <c r="F224">
        <v>0</v>
      </c>
      <c r="G224">
        <v>0</v>
      </c>
      <c r="H224">
        <v>272.16000000000003</v>
      </c>
      <c r="J224" t="s">
        <v>1003</v>
      </c>
    </row>
    <row r="225" spans="1:10" x14ac:dyDescent="0.2">
      <c r="A225" t="s">
        <v>505</v>
      </c>
      <c r="B225">
        <v>412860</v>
      </c>
      <c r="C225" s="80">
        <v>42920.653668981482</v>
      </c>
      <c r="D225" t="s">
        <v>734</v>
      </c>
      <c r="E225" t="s">
        <v>567</v>
      </c>
      <c r="F225">
        <v>126320</v>
      </c>
      <c r="G225">
        <v>19.600000000000001</v>
      </c>
      <c r="H225">
        <v>0</v>
      </c>
      <c r="J225" t="s">
        <v>1004</v>
      </c>
    </row>
    <row r="226" spans="1:10" x14ac:dyDescent="0.2">
      <c r="A226" t="s">
        <v>505</v>
      </c>
      <c r="B226">
        <v>413213</v>
      </c>
      <c r="C226" s="80">
        <v>42920.691412037035</v>
      </c>
      <c r="D226" t="s">
        <v>735</v>
      </c>
      <c r="E226" t="s">
        <v>570</v>
      </c>
      <c r="F226">
        <v>108951</v>
      </c>
      <c r="G226">
        <v>252.56</v>
      </c>
      <c r="H226">
        <v>0</v>
      </c>
      <c r="J226" t="s">
        <v>1005</v>
      </c>
    </row>
    <row r="227" spans="1:10" x14ac:dyDescent="0.2">
      <c r="A227" t="s">
        <v>505</v>
      </c>
      <c r="B227">
        <v>417157</v>
      </c>
      <c r="C227" s="80">
        <v>42935.663611111115</v>
      </c>
      <c r="D227" t="s">
        <v>736</v>
      </c>
      <c r="F227">
        <v>0</v>
      </c>
      <c r="G227">
        <v>0</v>
      </c>
      <c r="H227">
        <v>193.96</v>
      </c>
      <c r="J227" t="s">
        <v>1003</v>
      </c>
    </row>
    <row r="228" spans="1:10" x14ac:dyDescent="0.2">
      <c r="A228" t="s">
        <v>505</v>
      </c>
      <c r="B228">
        <v>417157</v>
      </c>
      <c r="C228" s="80">
        <v>42935.663611111115</v>
      </c>
      <c r="D228" t="s">
        <v>734</v>
      </c>
      <c r="E228" t="s">
        <v>567</v>
      </c>
      <c r="F228">
        <v>127801</v>
      </c>
      <c r="G228">
        <v>13.97</v>
      </c>
      <c r="H228">
        <v>0</v>
      </c>
      <c r="J228" t="s">
        <v>1004</v>
      </c>
    </row>
    <row r="229" spans="1:10" x14ac:dyDescent="0.2">
      <c r="A229" t="s">
        <v>505</v>
      </c>
      <c r="B229">
        <v>417161</v>
      </c>
      <c r="C229" s="80">
        <v>42935.665543981479</v>
      </c>
      <c r="D229" t="s">
        <v>735</v>
      </c>
      <c r="E229" t="s">
        <v>570</v>
      </c>
      <c r="F229">
        <v>110445</v>
      </c>
      <c r="G229">
        <v>179.99</v>
      </c>
      <c r="H229">
        <v>0</v>
      </c>
      <c r="J229" t="s">
        <v>1005</v>
      </c>
    </row>
    <row r="230" spans="1:10" x14ac:dyDescent="0.2">
      <c r="A230" t="s">
        <v>507</v>
      </c>
      <c r="B230">
        <v>412865</v>
      </c>
      <c r="C230" s="80">
        <v>42920.653668981482</v>
      </c>
      <c r="D230" t="s">
        <v>737</v>
      </c>
      <c r="F230">
        <v>0</v>
      </c>
      <c r="G230">
        <v>0</v>
      </c>
      <c r="H230">
        <v>72.8</v>
      </c>
      <c r="J230" t="s">
        <v>1003</v>
      </c>
    </row>
    <row r="231" spans="1:10" x14ac:dyDescent="0.2">
      <c r="A231" t="s">
        <v>507</v>
      </c>
      <c r="B231">
        <v>412865</v>
      </c>
      <c r="C231" s="80">
        <v>42920.653668981482</v>
      </c>
      <c r="D231" t="s">
        <v>738</v>
      </c>
      <c r="E231" t="s">
        <v>567</v>
      </c>
      <c r="F231">
        <v>126325</v>
      </c>
      <c r="G231">
        <v>5.24</v>
      </c>
      <c r="H231">
        <v>0</v>
      </c>
      <c r="J231" t="s">
        <v>1004</v>
      </c>
    </row>
    <row r="232" spans="1:10" x14ac:dyDescent="0.2">
      <c r="A232" t="s">
        <v>507</v>
      </c>
      <c r="B232">
        <v>413213</v>
      </c>
      <c r="C232" s="80">
        <v>42920.691412037035</v>
      </c>
      <c r="D232" t="s">
        <v>739</v>
      </c>
      <c r="E232" t="s">
        <v>570</v>
      </c>
      <c r="F232">
        <v>108956</v>
      </c>
      <c r="G232">
        <v>67.56</v>
      </c>
      <c r="H232">
        <v>0</v>
      </c>
      <c r="J232" t="s">
        <v>1005</v>
      </c>
    </row>
    <row r="233" spans="1:10" x14ac:dyDescent="0.2">
      <c r="A233" t="s">
        <v>475</v>
      </c>
      <c r="B233">
        <v>415122</v>
      </c>
      <c r="C233" s="80">
        <v>42928.631168981483</v>
      </c>
      <c r="D233" t="s">
        <v>740</v>
      </c>
      <c r="F233">
        <v>0</v>
      </c>
      <c r="G233">
        <v>0</v>
      </c>
      <c r="H233">
        <v>500</v>
      </c>
      <c r="J233" t="s">
        <v>1003</v>
      </c>
    </row>
    <row r="234" spans="1:10" x14ac:dyDescent="0.2">
      <c r="A234" t="s">
        <v>475</v>
      </c>
      <c r="B234">
        <v>415122</v>
      </c>
      <c r="C234" s="80">
        <v>42928.631168981483</v>
      </c>
      <c r="D234" t="s">
        <v>741</v>
      </c>
      <c r="E234" t="s">
        <v>567</v>
      </c>
      <c r="F234">
        <v>127272</v>
      </c>
      <c r="G234">
        <v>36</v>
      </c>
      <c r="H234">
        <v>0</v>
      </c>
      <c r="J234" t="s">
        <v>1004</v>
      </c>
    </row>
    <row r="235" spans="1:10" x14ac:dyDescent="0.2">
      <c r="C235" s="80"/>
    </row>
    <row r="236" spans="1:10" x14ac:dyDescent="0.2">
      <c r="C236" s="80"/>
    </row>
    <row r="237" spans="1:10" x14ac:dyDescent="0.2">
      <c r="C237" s="80"/>
    </row>
    <row r="238" spans="1:10" x14ac:dyDescent="0.2">
      <c r="C238" s="80"/>
    </row>
    <row r="239" spans="1:10" x14ac:dyDescent="0.2">
      <c r="C239" s="80"/>
    </row>
    <row r="240" spans="1:10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</sheetData>
  <autoFilter ref="A1:H23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zoomScale="70" workbookViewId="0">
      <selection activeCell="E13" sqref="E13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563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682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564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28</vt:i4>
      </vt:variant>
    </vt:vector>
  </HeadingPairs>
  <TitlesOfParts>
    <vt:vector size="41" baseType="lpstr">
      <vt:lpstr>Rent Statement</vt:lpstr>
      <vt:lpstr>Import</vt:lpstr>
      <vt:lpstr>Statistics</vt:lpstr>
      <vt:lpstr>Statistics-1</vt:lpstr>
      <vt:lpstr>Statistics-2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2017-11-07T17:09:55Z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