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25F3C196-6D28-44FF-9646-EC176E6BB332}" xr6:coauthVersionLast="45" xr6:coauthVersionMax="45" xr10:uidLastSave="{00000000-0000-0000-0000-000000000000}"/>
  <bookViews>
    <workbookView xWindow="-1374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Beals!$A$1:$J$220</definedName>
    <definedName name="_xlnm._FilterDatabase" localSheetId="4" hidden="1">IV!$A$1:$I$77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MT!$A$1:$J$255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MT!$D$2:$D$537</definedName>
    <definedName name="MT_BankRef">MT!$F$2:$F$537</definedName>
    <definedName name="MT_Desc">MT!$H$2:$H$537</definedName>
    <definedName name="MT_Include">MT!$J$2:$J$537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8" i="31688" l="1"/>
  <c r="D47" i="31688"/>
  <c r="D46" i="31688"/>
  <c r="D45" i="31688"/>
  <c r="D44" i="31688"/>
  <c r="D43" i="31688"/>
  <c r="D42" i="31688"/>
  <c r="D41" i="31688"/>
  <c r="D40" i="31688"/>
  <c r="D39" i="31688"/>
  <c r="D38" i="31688"/>
  <c r="D37" i="31688"/>
  <c r="D36" i="31688"/>
  <c r="D35" i="31688"/>
  <c r="D34" i="31688"/>
  <c r="D33" i="31688"/>
  <c r="D32" i="31688"/>
  <c r="D31" i="31688"/>
  <c r="D30" i="31688"/>
  <c r="D29" i="31688"/>
  <c r="D28" i="31688"/>
  <c r="D27" i="31688"/>
  <c r="D26" i="31688"/>
  <c r="D25" i="31688"/>
  <c r="D24" i="31688"/>
  <c r="D23" i="31688"/>
  <c r="D22" i="31688"/>
  <c r="D21" i="31688"/>
  <c r="D20" i="31688"/>
  <c r="D19" i="31688"/>
  <c r="D18" i="31688"/>
  <c r="D17" i="31688"/>
  <c r="D16" i="31688"/>
  <c r="D15" i="31688"/>
  <c r="D14" i="31688"/>
  <c r="D13" i="31688"/>
  <c r="D12" i="31688"/>
  <c r="D11" i="31688"/>
  <c r="D10" i="31688"/>
  <c r="D9" i="31688"/>
  <c r="D8" i="31688"/>
  <c r="D7" i="31688"/>
  <c r="D6" i="31688"/>
  <c r="D5" i="31688"/>
  <c r="B33" i="31690" l="1"/>
  <c r="B18" i="31690"/>
  <c r="B29" i="31690"/>
  <c r="C25" i="31690"/>
  <c r="B32" i="31690"/>
  <c r="B30" i="31690"/>
  <c r="C32" i="31690"/>
  <c r="C26" i="31690"/>
  <c r="B21" i="31690"/>
  <c r="C18" i="31690"/>
  <c r="B25" i="31690"/>
  <c r="E39" i="31690"/>
  <c r="B17" i="31690"/>
  <c r="C33" i="31690"/>
  <c r="C17" i="31690"/>
  <c r="B22" i="31690"/>
  <c r="C29" i="31690"/>
  <c r="B26" i="31690"/>
  <c r="B31" i="31690"/>
  <c r="B24" i="31690"/>
  <c r="C30" i="31690"/>
  <c r="C34" i="31690"/>
  <c r="B34" i="31690"/>
  <c r="C21" i="31690"/>
  <c r="C22" i="31690"/>
  <c r="C24" i="31690"/>
  <c r="C31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<sst xmlns="http://schemas.openxmlformats.org/spreadsheetml/2006/main" count="4772" uniqueCount="1152">
  <si>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</si>
  <si>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</si>
  <si>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</si>
  <si>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</si>
  <si>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</si>
  <si>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</si>
  <si>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</si>
  <si>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</si>
  <si>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</si>
  <si>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</si>
  <si>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</si>
  <si>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</si>
  <si>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</si>
  <si>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</si>
  <si>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</si>
  <si>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</si>
  <si>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</si>
  <si>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</si>
  <si>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</si>
  <si>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</si>
  <si>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</si>
  <si>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</si>
  <si>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</si>
  <si>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</si>
  <si>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</si>
  <si>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</si>
  <si>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</si>
  <si>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</si>
  <si>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</si>
  <si>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</si>
  <si>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</si>
  <si>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</si>
  <si>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</si>
  <si>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</si>
  <si>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</si>
  <si>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</si>
  <si>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</si>
  <si>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</si>
  <si>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</si>
  <si>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</si>
  <si>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</si>
  <si>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</si>
  <si>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</si>
  <si>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</si>
  <si>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</si>
  <si>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</si>
  <si>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</si>
  <si>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</si>
  <si>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</si>
  <si>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</si>
  <si>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</si>
  <si>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</si>
  <si>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</si>
  <si>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</si>
  <si>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</si>
  <si>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</si>
  <si>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</si>
  <si>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</si>
  <si>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</si>
  <si>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</si>
  <si>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</si>
  <si>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</si>
  <si>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</si>
  <si>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</si>
  <si>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</si>
  <si>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</si>
  <si>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</si>
  <si>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</si>
  <si>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</si>
  <si>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</si>
  <si>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</si>
  <si>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</si>
  <si>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</si>
  <si>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</si>
  <si>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</si>
  <si>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</si>
  <si>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</si>
  <si>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</si>
  <si>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</si>
  <si>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</si>
  <si>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</si>
  <si>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</si>
  <si>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</si>
  <si>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</si>
  <si>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</si>
  <si>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</si>
  <si>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</si>
  <si>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</si>
  <si>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</si>
  <si>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</si>
  <si>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</si>
  <si>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</si>
  <si>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</si>
  <si>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</si>
  <si>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</si>
  <si>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</si>
  <si>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</si>
  <si>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</si>
  <si>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</si>
  <si>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</si>
  <si>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</si>
  <si>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</si>
  <si>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</si>
  <si>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</si>
  <si>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</si>
  <si>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</si>
  <si>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</si>
  <si>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</si>
  <si>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</si>
  <si>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</si>
  <si>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</si>
  <si>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</si>
  <si>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</si>
  <si>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</si>
  <si>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</si>
  <si>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</si>
  <si>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</si>
  <si>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</si>
  <si>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</si>
  <si>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</si>
  <si>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</si>
  <si>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</si>
  <si>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</si>
  <si>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</si>
  <si>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</si>
  <si>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</si>
  <si>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</si>
  <si>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</si>
  <si>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</si>
  <si>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</si>
  <si>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</si>
  <si>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</si>
  <si>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</si>
  <si>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</si>
  <si>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</si>
  <si>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</si>
  <si>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</si>
  <si>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</si>
  <si>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</si>
  <si>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</si>
  <si>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</si>
  <si>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</si>
  <si>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</si>
  <si>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</si>
  <si>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</si>
  <si>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</si>
  <si>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</si>
  <si>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</si>
  <si>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</si>
  <si>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</si>
  <si>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</si>
  <si>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</si>
  <si>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</si>
  <si>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</si>
  <si>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</si>
  <si>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</si>
  <si>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</si>
  <si>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</si>
  <si>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</si>
  <si>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</si>
  <si>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</si>
  <si>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</si>
  <si>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</si>
  <si>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</si>
  <si>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</si>
  <si>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</si>
  <si>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</si>
  <si>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</si>
  <si>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</si>
  <si>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</si>
  <si>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</si>
  <si>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</si>
  <si>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</si>
  <si>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</si>
  <si>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</si>
  <si>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</si>
  <si>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</si>
  <si>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</si>
  <si>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</si>
  <si>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</si>
  <si>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</si>
  <si>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</si>
  <si>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</si>
  <si>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</si>
  <si>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</si>
  <si>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</si>
  <si>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</si>
  <si>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</si>
  <si>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</si>
  <si>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</si>
  <si>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</si>
  <si>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</si>
  <si>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</si>
  <si>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</si>
  <si>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</si>
  <si>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</si>
  <si>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</si>
  <si>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</si>
  <si>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</si>
  <si>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</si>
  <si>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</si>
  <si>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</si>
  <si>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</si>
  <si>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</si>
  <si>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</si>
  <si>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</si>
  <si>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</si>
  <si>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</si>
  <si>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</si>
  <si>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</si>
  <si>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</si>
  <si>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</si>
  <si>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</si>
  <si>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</si>
  <si>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</si>
  <si>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</si>
  <si>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</si>
  <si>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</si>
  <si>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</si>
  <si>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</si>
  <si>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</si>
  <si>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</si>
  <si>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</si>
  <si>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</si>
  <si>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</si>
  <si>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</si>
  <si>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</si>
  <si>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</si>
  <si>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</si>
  <si>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</si>
  <si>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</si>
  <si>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</si>
  <si>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</si>
  <si>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</si>
  <si>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</si>
  <si>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</si>
  <si>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</si>
  <si>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</si>
  <si>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</si>
  <si>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</si>
  <si>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</si>
  <si>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</si>
  <si>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</si>
  <si>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</si>
  <si>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</si>
  <si>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</si>
  <si>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</si>
  <si>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</si>
  <si>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</si>
  <si>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</si>
  <si>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</si>
  <si>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</si>
  <si>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</si>
  <si>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</si>
  <si>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</si>
  <si>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</si>
  <si>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</si>
  <si>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</si>
  <si>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</si>
  <si>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</si>
  <si>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</si>
  <si>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</si>
  <si>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</si>
  <si>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</si>
  <si>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</si>
  <si>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</si>
  <si>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</si>
  <si>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</si>
  <si>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</si>
  <si>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</si>
  <si>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</si>
  <si>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</si>
  <si>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</si>
  <si>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</si>
  <si>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</si>
  <si>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</si>
  <si>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</si>
  <si>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</si>
  <si>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</si>
  <si>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</si>
  <si>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</si>
  <si>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</si>
  <si>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</si>
  <si>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</si>
  <si>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</si>
  <si>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</si>
  <si>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</si>
  <si>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</si>
  <si>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</si>
  <si>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</si>
  <si>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</si>
  <si>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</si>
  <si>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</si>
  <si>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</si>
  <si>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</si>
  <si>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</si>
  <si>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</si>
  <si>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</si>
  <si>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</si>
  <si>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</si>
  <si>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</si>
  <si>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</si>
  <si>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</si>
  <si>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</si>
  <si>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</si>
  <si>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</si>
  <si>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</si>
  <si>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</si>
  <si>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</si>
  <si>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</si>
  <si>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</si>
  <si>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</si>
  <si>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</si>
  <si>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</si>
  <si>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</si>
  <si>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</si>
  <si>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</si>
  <si>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</si>
  <si>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</si>
  <si>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</si>
  <si>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</si>
  <si>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</si>
  <si>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</si>
  <si>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</si>
  <si>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</si>
  <si>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</si>
  <si>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</si>
  <si>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</si>
  <si>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</si>
  <si>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</si>
  <si>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</si>
  <si>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</si>
  <si>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</si>
  <si>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</si>
  <si>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</si>
  <si>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</si>
  <si>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</si>
  <si>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</si>
  <si>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</si>
  <si>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</si>
  <si>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</si>
  <si>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</si>
  <si>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</si>
  <si>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</si>
  <si>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</si>
  <si>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</si>
  <si>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</si>
  <si>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</si>
  <si>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</si>
  <si>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</si>
  <si>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</si>
  <si>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</si>
  <si>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</si>
  <si>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</si>
  <si>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</si>
  <si>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</si>
  <si>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</si>
  <si>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</si>
  <si>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</si>
  <si>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</si>
  <si>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</si>
  <si>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</si>
  <si>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</si>
  <si>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</si>
  <si>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</si>
  <si>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</si>
  <si>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</si>
  <si>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</si>
  <si>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</si>
  <si>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</si>
  <si>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</si>
  <si>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</si>
  <si>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</si>
  <si>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</si>
  <si>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</si>
  <si>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</si>
  <si>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</si>
  <si>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</si>
  <si>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</si>
  <si>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</si>
  <si>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</si>
  <si>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</si>
  <si>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</si>
  <si>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</si>
  <si>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</si>
  <si>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</si>
  <si>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</si>
  <si>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</si>
  <si>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</si>
  <si>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</si>
  <si>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</si>
  <si>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</si>
  <si>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</si>
  <si>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</si>
  <si>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</si>
  <si>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</si>
  <si>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</si>
  <si>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</si>
  <si>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</si>
  <si>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</si>
  <si>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</si>
  <si>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</si>
  <si>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</si>
  <si>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</si>
  <si>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</si>
  <si>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</si>
  <si>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</si>
  <si>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</si>
  <si>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</si>
  <si>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</si>
  <si>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</si>
  <si>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</si>
  <si>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</si>
  <si>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</si>
  <si>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</si>
  <si>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</si>
  <si>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</si>
  <si>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</si>
  <si>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</si>
  <si>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</si>
  <si>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</si>
  <si>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</si>
  <si>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</si>
  <si>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</si>
  <si>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</si>
  <si>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</si>
  <si>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</si>
  <si>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</si>
  <si>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</si>
  <si>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</si>
  <si>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</si>
  <si>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</si>
  <si>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</si>
  <si>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</si>
  <si>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</si>
  <si>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</si>
  <si>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</si>
  <si>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</si>
  <si>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</si>
  <si>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</si>
  <si>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</si>
  <si>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</si>
  <si>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</si>
  <si>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</si>
  <si>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</si>
  <si>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</si>
  <si>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</si>
  <si>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</si>
  <si>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</si>
  <si>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</si>
  <si>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</si>
  <si>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</si>
  <si>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</si>
  <si>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</si>
  <si>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</si>
  <si>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</si>
  <si>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</si>
  <si>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</si>
  <si>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</si>
  <si>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</si>
  <si>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</si>
  <si>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</si>
  <si>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</si>
  <si>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</si>
  <si>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</si>
  <si>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</si>
  <si>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</si>
  <si>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</si>
  <si>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</si>
  <si>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</si>
  <si>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</si>
  <si>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</si>
  <si>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</si>
  <si>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</si>
  <si>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</si>
  <si>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</si>
  <si>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</si>
  <si>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</si>
  <si>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</si>
  <si>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</si>
  <si>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</si>
  <si>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</si>
  <si>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</si>
  <si>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</si>
  <si>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</si>
  <si>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</si>
  <si>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</si>
  <si>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</si>
  <si>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</si>
  <si>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</si>
  <si>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</si>
  <si>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</si>
  <si>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</si>
  <si>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</si>
  <si>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</si>
  <si>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</si>
  <si>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</si>
  <si>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</si>
  <si>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</si>
  <si>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</si>
  <si>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</si>
  <si>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</si>
  <si>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</si>
  <si>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</si>
  <si>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</si>
  <si>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</si>
  <si>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</si>
  <si>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</si>
  <si>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</si>
  <si>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</si>
  <si>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</si>
  <si>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</si>
  <si>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</si>
  <si>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</si>
  <si>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</si>
  <si>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</si>
  <si>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</si>
  <si>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</si>
  <si>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</si>
  <si>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</si>
  <si>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</si>
  <si>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</si>
  <si>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</si>
  <si>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</si>
  <si>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</si>
  <si>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</si>
  <si>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</si>
  <si>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</si>
  <si>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</si>
  <si>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</si>
  <si>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</si>
  <si>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</si>
  <si>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</si>
  <si>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</si>
  <si>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</si>
  <si>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</si>
  <si>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</si>
  <si>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</si>
  <si>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</si>
  <si>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</si>
  <si>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</si>
  <si>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</si>
  <si>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</si>
  <si>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</si>
  <si>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</si>
  <si>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</si>
  <si>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</si>
  <si>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</si>
  <si>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</si>
  <si>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</si>
  <si>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</si>
  <si>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</si>
  <si>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</si>
  <si>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</si>
  <si>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</si>
  <si>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</si>
  <si>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</si>
  <si>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</si>
  <si>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</si>
  <si>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</si>
  <si>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</si>
  <si>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</si>
  <si>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</si>
  <si>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</si>
  <si>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IVANA TO CHASE UP NON PAID owes 1400 guarantor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</si>
  <si>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</si>
  <si>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</si>
  <si>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</si>
  <si>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</si>
  <si>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</si>
  <si>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</si>
  <si>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</si>
  <si>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</si>
  <si>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Not paid in Oct - please check - Dates do not continue Set, Oct, Dec</t>
  </si>
  <si>
    <t>paid up until feb 2019</t>
  </si>
  <si>
    <t>163FRA</t>
  </si>
  <si>
    <t>For sale</t>
  </si>
  <si>
    <t>ID Check</t>
  </si>
  <si>
    <t/>
  </si>
  <si>
    <t>Beals</t>
  </si>
  <si>
    <t>Sharon Briscoe not paid</t>
  </si>
  <si>
    <t>Need to serve notice</t>
  </si>
  <si>
    <t>Sold 22/2</t>
  </si>
  <si>
    <t>Not full amount</t>
  </si>
  <si>
    <t>Maja Zuzanna Olczak</t>
  </si>
  <si>
    <t>Olczak (28/02/2019 -  present)</t>
  </si>
  <si>
    <t>Check tenant name and details is correct in pap, also check move out date of J Hill</t>
  </si>
  <si>
    <t>Check eviction - how do we evict</t>
  </si>
  <si>
    <t>To be evicted 2/5</t>
  </si>
  <si>
    <t>Check Fox and Sons payment</t>
  </si>
  <si>
    <t>Empty due to damp problems</t>
  </si>
  <si>
    <t>Paid to Jan in advance, not paid after</t>
  </si>
  <si>
    <t>Carry forward from FEB</t>
  </si>
  <si>
    <t>20-74-09 60458872</t>
  </si>
  <si>
    <t>PAYMENT</t>
  </si>
  <si>
    <t>DIRECTDEP</t>
  </si>
  <si>
    <t>BEALS ESTATE AGENT    FLAT 204-6 ALHAMBR BGC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</si>
  <si>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</si>
  <si>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</si>
  <si>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</si>
  <si>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</si>
  <si>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</si>
  <si>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</si>
  <si>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</si>
  <si>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</si>
  <si>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</si>
  <si>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</si>
  <si>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</si>
  <si>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</si>
  <si>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</si>
  <si>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</si>
  <si>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</si>
  <si>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BEALS ESTATE AGENT    FLAT 174-6 ALHAMBR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</si>
  <si>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</si>
  <si>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</si>
  <si>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</si>
  <si>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</si>
  <si>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</si>
  <si>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</si>
  <si>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</si>
  <si>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</si>
  <si>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</si>
  <si>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</si>
  <si>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</si>
  <si>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 xml:space="preserve">FT 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</si>
  <si>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</si>
  <si>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</si>
  <si>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</si>
  <si>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</si>
  <si>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</si>
  <si>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</si>
  <si>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</si>
  <si>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</si>
  <si>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</si>
  <si>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</si>
  <si>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</si>
  <si>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</si>
  <si>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</si>
  <si>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</si>
  <si>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</si>
  <si>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</si>
  <si>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BOOTS</t>
  </si>
  <si>
    <t>PLATFORM FUNDING      01050228979115     DDR</t>
  </si>
  <si>
    <t>PLATFORM FUNDING      01050228957650     DDR</t>
  </si>
  <si>
    <t>LAND ROVER FS         579452160          DDR</t>
  </si>
  <si>
    <t>MARK JONES PAINTER    TUCKERVALENTINO    BBP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</si>
  <si>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</si>
  <si>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</si>
  <si>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</si>
  <si>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</si>
  <si>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</si>
  <si>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</si>
  <si>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</si>
  <si>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G&amp;F VALENTINO         MTUCKER            STO</t>
  </si>
  <si>
    <t>BEALS ESTATE AGENT    FLAT 3169 FAWCETT  BGC</t>
  </si>
  <si>
    <t>BEALS ESTATE AGENT    FLAT 1171 FAWCETT  BGC</t>
  </si>
  <si>
    <t>20-74-09 40406538</t>
  </si>
  <si>
    <t>CASH</t>
  </si>
  <si>
    <t xml:space="preserve">205397 30728691       OPTIONAL           FT </t>
  </si>
  <si>
    <t xml:space="preserve">TESCO                 TESCO BEDFORD CARD    </t>
  </si>
  <si>
    <t xml:space="preserve">CLAUDIA TOLLETT       THANKS             FT </t>
  </si>
  <si>
    <t>STO</t>
  </si>
  <si>
    <t>TUCK&amp;VALEN HSE%0 P    207409 40406538    STO</t>
  </si>
  <si>
    <t xml:space="preserve">POST OFFICE           108-112 QUEENS DRI    </t>
  </si>
  <si>
    <t>20-53-97 30728691</t>
  </si>
  <si>
    <t>OTH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</si>
  <si>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</si>
  <si>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</si>
  <si>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</si>
  <si>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</si>
  <si>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</si>
  <si>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</si>
  <si>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</si>
  <si>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MORTGAGE EXPRESS      MEC02005/480016104 DDR</t>
  </si>
  <si>
    <t>TOPAZ FIN JASPER      PRU00010/190859005 DDR</t>
  </si>
  <si>
    <t>AMBER HOMELOANS       AHG00001/480441702 DDR</t>
  </si>
  <si>
    <t>NRAM                  24935234           DDR</t>
  </si>
  <si>
    <t>THE HARPUR TRUST D    TUCKMS  GVALS1     DDR</t>
  </si>
  <si>
    <t>THE HARPUR TRUST D    TUCKM8  PVALA1     DDR</t>
  </si>
  <si>
    <t>THE HARPUR TRUST D    TUCKM8  BVALR8     DDR</t>
  </si>
  <si>
    <t>BEALS ESTATE AGENT    FLAT 214-6 ALHAMBR BGC</t>
  </si>
  <si>
    <t>BEALS ESTATE AGENT    FLAT 78 ALHAMBRA R BGC</t>
  </si>
  <si>
    <t>LEGAL &amp; GEN MI C/L    011439921-5        DDR</t>
  </si>
  <si>
    <t>BEALS ESTATE AGENT    23C HAMPSHIRE TERR BGC</t>
  </si>
  <si>
    <t>BEALS ESTATE AGENT    FLAT 316-18 ALHAMB BGC</t>
  </si>
  <si>
    <t>BEALS ESTATE AGENT    FLAT 88 ALHAMBRA R BGC</t>
  </si>
  <si>
    <t>TOPAZ FIN JASPER      PRU00010/191462710 DDR</t>
  </si>
  <si>
    <t>BEALS ESTATE AGENT    196B KINGSTON ROAD BGC</t>
  </si>
  <si>
    <t>BEALS ESTATE AGENT    FLAT 1112-14 ALHAM BGC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</si>
  <si>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</si>
  <si>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</si>
  <si>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</si>
  <si>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</si>
  <si>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</si>
  <si>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</si>
  <si>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3171 FAWCETT  BGC</t>
  </si>
  <si>
    <t>BEALS ESTATE AGENT    FLAT 1612-14 ALHAM BGC</t>
  </si>
  <si>
    <t>BEALS ESTATE AGENT    FLAT 716-18 ALHAMB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</si>
  <si>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</si>
  <si>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</si>
  <si>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</si>
  <si>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</si>
  <si>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</si>
  <si>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</si>
  <si>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</si>
  <si>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</si>
  <si>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</si>
  <si>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</si>
  <si>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</si>
  <si>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</si>
  <si>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</si>
  <si>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</si>
  <si>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I</t>
  </si>
  <si>
    <t>Deposit</t>
  </si>
  <si>
    <t xml:space="preserve">209254 13686035       POST BOX 16-18     FT </t>
  </si>
  <si>
    <t xml:space="preserve">209254 23534332       POST BOXES 12-14   FT </t>
  </si>
  <si>
    <t>COTSWOLD BARRISTER    00622              BBP</t>
  </si>
  <si>
    <t>CYCLEWORX             ON 01 JUN          CLP</t>
  </si>
  <si>
    <t>NEW COUNTY SERVICE    ON 02 JUN          CLP</t>
  </si>
  <si>
    <t>BUDGENS               ON 01 JUN          CLP</t>
  </si>
  <si>
    <t>SAINSBURY'S S/MKT     ON 01 JUN          BCC</t>
  </si>
  <si>
    <t>HOMEBASE LTD 049      ON 01 JUN          BCC</t>
  </si>
  <si>
    <t>MERCEDES BENZ PART    ON 03 JUN          CLP</t>
  </si>
  <si>
    <t>LETTERBOX4YOU LIMI    ON 03 JUN          BCC</t>
  </si>
  <si>
    <t>MERCEDES BENZ B/SH    ON 03 JUN          BCC</t>
  </si>
  <si>
    <t xml:space="preserve">209254 13686035       BLOCK 16-18 PAINT  FT </t>
  </si>
  <si>
    <t>CITY DAMP             FL1 16-18 PLASTER  BBP</t>
  </si>
  <si>
    <t>MARK JONES PAINTER    ALHAMBRA PAINTING  BBP</t>
  </si>
  <si>
    <t>STARBUCKS WISLEY S    ON 04 JUN          CLP</t>
  </si>
  <si>
    <t>MARKS&amp;SPENCER PLC     ON 04 JUN          CLP</t>
  </si>
  <si>
    <t>TESCO STORES 5475     ON 04 JUN          CLP</t>
  </si>
  <si>
    <t>BARTON ROAD SERVIC    ON 04 JUN          BCC</t>
  </si>
  <si>
    <t>NYA*Express Vendin    ON 06 JUN          CLP</t>
  </si>
  <si>
    <t>NEW COUNTY SERVICE    ON 06 JUN          BCC</t>
  </si>
  <si>
    <t>NOWTV.COM/BILLINGH    ON 06 JUN          BCC</t>
  </si>
  <si>
    <t>DMZ CLEANING          2248 19 4-6 CLEAN  BBP</t>
  </si>
  <si>
    <t>PITCHER &amp; PIANO       ON 07 JUN          CLP</t>
  </si>
  <si>
    <t>NYA*Express Vendin    ON 07 JUN          CLP</t>
  </si>
  <si>
    <t>Audible.co.uk         ON 07 JUN          BCC</t>
  </si>
  <si>
    <t>MARKS&amp;SPENCER PLC     ON 10 JUN          CLP</t>
  </si>
  <si>
    <t>NYA*Express Vendin    ON 10 JUN          CLP</t>
  </si>
  <si>
    <t>STARBUCKS             ON 10 JUN          CLP</t>
  </si>
  <si>
    <t>WWW.SPORTANDLEISUR    ON 10 JUN          BCC</t>
  </si>
  <si>
    <t>SCOTT VETERINARY C    ON 09 JUN          BCC</t>
  </si>
  <si>
    <t>THE HIGHLANDER PUB    ON 11 JUN          CLP</t>
  </si>
  <si>
    <t>NYA*Express Vendin    ON 11 JUN          CLP</t>
  </si>
  <si>
    <t>Provacan              ON 10 JUN          BCC</t>
  </si>
  <si>
    <t xml:space="preserve">Amazon.co.uk*M63YC    LUXEMBOURG            </t>
  </si>
  <si>
    <t>STARBUCKS             ON 12 JUN          CLP</t>
  </si>
  <si>
    <t>NYA*Express Vendin    ON 12 JUN          CLP</t>
  </si>
  <si>
    <t>A BECK PLUMBING       GASSAF 4 12-14     BBP</t>
  </si>
  <si>
    <t>Spotify P0B532E8A6    ON 13 JUN          BCC</t>
  </si>
  <si>
    <t>Microsoft*Store       ON 14 JUN          BCC</t>
  </si>
  <si>
    <t>AMZNMKTPLACE AMAZO    ON 13 JUN          BCC</t>
  </si>
  <si>
    <t xml:space="preserve">Prime Video*M60DR9    LUXEMBOURG            </t>
  </si>
  <si>
    <t>BEALS ESTATE AGENT    FLAT 194-6 ALHAMBR BGC</t>
  </si>
  <si>
    <t>DANIEL WELLS          143 F2 321 DOORS   BBP</t>
  </si>
  <si>
    <t>MARKS&amp;SPENCER PLC     ON 19 JUN          CLP</t>
  </si>
  <si>
    <t>WWW.ARGOS.CO.UK       ON 18 JUN          BCC</t>
  </si>
  <si>
    <t>BP WISLEY SOUTH       ON 22 JUN          CLP</t>
  </si>
  <si>
    <t>CO OPERATIVE FOOD     ON 23 JUN          CLP</t>
  </si>
  <si>
    <t xml:space="preserve">CARDTRONICS UK LTD    BP - A3 RIPLEY BY-    </t>
  </si>
  <si>
    <t>NEW COUNTY SERVICE    ON 22 JUN          BCC</t>
  </si>
  <si>
    <t>PUSH DOCTOR PREMIU    ON 21 JUN          BCC</t>
  </si>
  <si>
    <t>PORTSMOUTH CITY CO    ON 22 JUN          BCC</t>
  </si>
  <si>
    <t>MARKS&amp;SPENCER PLC     ON 24 JUN          CLP</t>
  </si>
  <si>
    <t>STARBUCKS             ON 25 JUN          CLP</t>
  </si>
  <si>
    <t>NYA*Express Vendin    ON 25 JUN          CLP</t>
  </si>
  <si>
    <t>CLASSIC CARPET        9930 19 4-6ALHA    BBP</t>
  </si>
  <si>
    <t>TOBY STOKES           19 4-6  CARPETFIT  BBP</t>
  </si>
  <si>
    <t>A BECK PLUMBING       5210 1 171FAWCET   BBP</t>
  </si>
  <si>
    <t>A BECK PLUMBING       5218 11 1214GS     BBP</t>
  </si>
  <si>
    <t>A BECK PLUMBING       5217 6 1618 GS     BBP</t>
  </si>
  <si>
    <t>NYA*Express Vendin    ON 26 JUN          CLP</t>
  </si>
  <si>
    <t>MORTGAGE TRUST        002197389 10107730 DDR</t>
  </si>
  <si>
    <t>MORTGAGE TRUST        002186357 10107730 DDR</t>
  </si>
  <si>
    <t>MORTGAGE TRUST        002186356 10107730 DDR</t>
  </si>
  <si>
    <t>MORTGAGE TRUST        002186317 10107730 DDR</t>
  </si>
  <si>
    <t>WWW.HAPURTRUST.ORG    ON 27 JUN          BCC</t>
  </si>
  <si>
    <t xml:space="preserve">STANCU E              HOUSE RENT         FT </t>
  </si>
  <si>
    <t>THE HARPUR TRUST D    TUCKM8  BVALR8     UNP</t>
  </si>
  <si>
    <t xml:space="preserve">PCC COLLECTION ACC    104782557             </t>
  </si>
  <si>
    <t>VLS RE KLARNA BANK    273295205904438    DDR</t>
  </si>
  <si>
    <t>A BECK  PLUMBING      4813 22 4-6 SINK   BBP</t>
  </si>
  <si>
    <t xml:space="preserve">205397 00796751       23 4-6 RENT OZIMEK FT </t>
  </si>
  <si>
    <t>E G STANCU            ELECTRIC           BBP</t>
  </si>
  <si>
    <t>E G STANCU            OVERPAYMENT DEPOSI BBP</t>
  </si>
  <si>
    <t>CHQ</t>
  </si>
  <si>
    <t>A BECK  PLUMBING      5143 GS 5 12-14    BBP</t>
  </si>
  <si>
    <t>A BECK  PLUMBING      5114 GS 12 16-18   BBP</t>
  </si>
  <si>
    <t>BT GROUP PLC          GB14092007-000057  DDR</t>
  </si>
  <si>
    <t>PCC COLLECTION ACC    104637393          DDR</t>
  </si>
  <si>
    <t>PCC COLLECTION ACC    104587475          DDR</t>
  </si>
  <si>
    <t>WWW.JOHNLEWIS.COM     ON 19 JUN          BCC</t>
  </si>
  <si>
    <t>BCC</t>
  </si>
  <si>
    <t>WWW.JOHNLEWIS.COM     ON 21 JUN          BCC</t>
  </si>
  <si>
    <t>CHARGES               UNPAID FEE       £8.00</t>
  </si>
  <si>
    <t>CO-OP GROUP FOOD      ON 22 JUN          BCC</t>
  </si>
  <si>
    <t>POST OFFICE COUNTE    ON 24 JUN          CLP</t>
  </si>
  <si>
    <t>TIMPSON LTD           ON 24 JUN          BCC</t>
  </si>
  <si>
    <t>H3G                   980404269602240619 DDR</t>
  </si>
  <si>
    <t>A BECK  PLUMBING      5214 8 8ALH SINK   BBP</t>
  </si>
  <si>
    <t>CO OPERATIVE FOOD     ON 01 JUN          CLP</t>
  </si>
  <si>
    <t>MCDONALDS             ON 31 MAY          CLP</t>
  </si>
  <si>
    <t>SCOTT VETERINARY C    ON 30 MAY          BCC</t>
  </si>
  <si>
    <t>CO OPERATIVE FOOD     ON 01 JUN          BCC</t>
  </si>
  <si>
    <t>MARKS&amp;SPENCER PLC     ON 31 MAY          BCC</t>
  </si>
  <si>
    <t>BP BEDFORD EXPRESS    ON 30 MAY          BCC</t>
  </si>
  <si>
    <t>T K MAXX              ON 03 JUN          CLP</t>
  </si>
  <si>
    <t>TESCO STORE 2105      ON 03 JUN          CLP</t>
  </si>
  <si>
    <t>MARKS&amp;SPENCER PLC     ON 03 JUN          CLP</t>
  </si>
  <si>
    <t>OUTFIT                ON 03 JUN          CLP</t>
  </si>
  <si>
    <t>COSTA COFFEE 43035    ON 03 JUN          CLP</t>
  </si>
  <si>
    <t>T K MAXX              ON 03 JUN          BCC</t>
  </si>
  <si>
    <t>COSTA COFFEE 43035    ON 05 JUN          CLP</t>
  </si>
  <si>
    <t>W M MORRISON STORE    ON 05 JUN          BCC</t>
  </si>
  <si>
    <t>200574 06JUN 09.21    BEDFORD 5          ATM</t>
  </si>
  <si>
    <t>09.10 on 06/06/19     M4 BEDFORD         ASD</t>
  </si>
  <si>
    <t>COSTA COFFEE 43034    ON 06 JUN          CLP</t>
  </si>
  <si>
    <t>COSTA COFFEE 43035    ON 06 JUN          CLP</t>
  </si>
  <si>
    <t>PHONEANDPAY.CO.UK     ON 06 JUN          BCC</t>
  </si>
  <si>
    <t>PRIMARK 434           ON 08 JUN          CLP</t>
  </si>
  <si>
    <t>BP BEDFORD EXPRESS    ON 07 JUN          CLP</t>
  </si>
  <si>
    <t>Lush UK               ON 08 JUN          CLP</t>
  </si>
  <si>
    <t>POST OFFICE COUNTE    ON 07 JUN          CLP</t>
  </si>
  <si>
    <t>CLAIRE'S ACCESSORI    ON 08 JUN          CLP</t>
  </si>
  <si>
    <t>COSTA COFFEE 43035    ON 08 JUN          CLP</t>
  </si>
  <si>
    <t>CO OPERATIVE FOOD     ON 09 JUN          CLP</t>
  </si>
  <si>
    <t>SUBWAY                ON 08 JUN          CLP</t>
  </si>
  <si>
    <t>PRET A MANGER         ON 08 JUN          CLP</t>
  </si>
  <si>
    <t>JOHN LEWIS            ON 08 JUN          BCC</t>
  </si>
  <si>
    <t>MKC PARKING RINGGO    ON 08 JUN          BCC</t>
  </si>
  <si>
    <t>BP BEDFORD EXPRESS    ON 09 JUN          CLP</t>
  </si>
  <si>
    <t>BP BEDFORD EXPRESS    ON 09 JUN          BCC</t>
  </si>
  <si>
    <t>BP BEDFORD EXPRESS    ON 10 JUN          CLP</t>
  </si>
  <si>
    <t>BP NEWHAM AVENUE C    ON 10 JUN          CLP</t>
  </si>
  <si>
    <t>TESCO STORE 2105      ON 11 JUN          CLP</t>
  </si>
  <si>
    <t>Subway                ON 10 JUN          CLP</t>
  </si>
  <si>
    <t>COSTA COFFEE 43035    ON 11 JUN          CLP</t>
  </si>
  <si>
    <t>LATCHFORD AND LATC    ON 11 JUN          BCC</t>
  </si>
  <si>
    <t>TESCO STORE 2105      ON 11 JUN          BCC</t>
  </si>
  <si>
    <t>BP BEDFORD EXPRESS    ON 11 JUN          CLP</t>
  </si>
  <si>
    <t>TESCO STORE 2105      ON 12 JUN          CLP</t>
  </si>
  <si>
    <t>NO LIMITZ             ON 12 JUN          BCC</t>
  </si>
  <si>
    <t>TESCO STORE 2105      ON 12 JUN          BCC</t>
  </si>
  <si>
    <t>T K MAXX              ON 13 JUN          BCC</t>
  </si>
  <si>
    <t>T K MAXX              ON 13 JUN          CLP</t>
  </si>
  <si>
    <t>TESCO STORE 2105      ON 13 JUN          CLP</t>
  </si>
  <si>
    <t>LAKESIDE FISH AND     ON 13 JUN          CLP</t>
  </si>
  <si>
    <t>BOOTS 6407            ON 13 JUN          CLP</t>
  </si>
  <si>
    <t>IZ *THE PAVILION T    ON 13 JUN          CLP</t>
  </si>
  <si>
    <t>COSTA COFFEE 43035    ON 13 JUN          CLP</t>
  </si>
  <si>
    <t>WILKO BEDFORD INT     ON 13 JUN          BCC</t>
  </si>
  <si>
    <t>MARKS&amp;SPENCER PLC     ON 14 JUN          CLP</t>
  </si>
  <si>
    <t>BP NEWHAM AVENUE C    ON 15 JUN          CLP</t>
  </si>
  <si>
    <t>MCDONALDS             ON 14 JUN          CLP</t>
  </si>
  <si>
    <t>BP BEDFORD EXPRESS    ON 13 JUN          BCC</t>
  </si>
  <si>
    <t>TESCO STORE 2105      ON 15 JUN          BCC</t>
  </si>
  <si>
    <t>TESCO STORE 2105      ON 17 JUN          CLP</t>
  </si>
  <si>
    <t>MARKS&amp;SPENCER PLC     ON 17 JUN          CLP</t>
  </si>
  <si>
    <t>COSTA COFFEE 43035    ON 17 JUN          CLP</t>
  </si>
  <si>
    <t>CURRYS S/S            ON 18 JUN          CLP</t>
  </si>
  <si>
    <t>COSTA COFFEE 43035    ON 18 JUN          CLP</t>
  </si>
  <si>
    <t>DUNELM (SOFT FURNI    ON 18 JUN          BCC</t>
  </si>
  <si>
    <t>SUBWAY                ON 19 JUN          CLP</t>
  </si>
  <si>
    <t>MCDONALDS 1548        ON 19 JUN          CLP</t>
  </si>
  <si>
    <t>STARBUCKS             ON 19 JUN          CLP</t>
  </si>
  <si>
    <t>BP BEDFORD EXPRESS    ON 18 JUN          BCC</t>
  </si>
  <si>
    <t>DUNELM (SOFT FURNI    ON 19 JUN          BCC</t>
  </si>
  <si>
    <t>LAKESIDE FISH AND     ON 20 JUN          CLP</t>
  </si>
  <si>
    <t>BP BEDFORD EXPRESS    ON 19 JUN          CLP</t>
  </si>
  <si>
    <t>COSTA COFFEE 43035    ON 20 JUN          CLP</t>
  </si>
  <si>
    <t>BP NEWHAM AVENUE C    ON 20 JUN          CLP</t>
  </si>
  <si>
    <t>NEXT RETAIL LTD       ON 21 JUN          CLP</t>
  </si>
  <si>
    <t>BP BEDFORD EXPRESS    ON 20 JUN          CLP</t>
  </si>
  <si>
    <t>PRET A MANGER         ON 21 JUN          CLP</t>
  </si>
  <si>
    <t xml:space="preserve">CARDTRONICS UK LTD    BP POTTERS BAR CON    </t>
  </si>
  <si>
    <t>NEW COUNTY SERVICE    ON 23 JUN          BCC</t>
  </si>
  <si>
    <t>ZARA                  ON 21 JUN          BCC</t>
  </si>
  <si>
    <t>MKC PARKING RINGGO    ON 21 JUN          BCC</t>
  </si>
  <si>
    <t>TESCO STORE 2547      ON 24 JUN          CLP</t>
  </si>
  <si>
    <t>TESCO STORE 2547      ON 24 JUN          BCC</t>
  </si>
  <si>
    <t xml:space="preserve">L GREENWOOD           ROCCO GIFT         FT </t>
  </si>
  <si>
    <t>TESCO STORE 2105      ON 25 JUN          CLP</t>
  </si>
  <si>
    <t>BP BEDFORD EXPRESS    ON 24 JUN          CLP</t>
  </si>
  <si>
    <t>MCDONALDS             ON 25 JUN          CLP</t>
  </si>
  <si>
    <t>TESCO STORE 2105      ON 26 JUN          CLP</t>
  </si>
  <si>
    <t>MARKS&amp;SPENCER PLC     ON 26 JUN          CLP</t>
  </si>
  <si>
    <t>CO OPERATIVE FOOD     ON 27 JUN          CLP</t>
  </si>
  <si>
    <t>TESCO STORE 2105      ON 27 JUN          CLP</t>
  </si>
  <si>
    <t>NATIONAL LOTTERY I    ON 27 JUN          BCC</t>
  </si>
  <si>
    <t>ALHAMBRA POSTBOXES</t>
  </si>
  <si>
    <t>LLP</t>
  </si>
  <si>
    <t>Ivana car</t>
  </si>
  <si>
    <t>F1 16-18 City Damp</t>
  </si>
  <si>
    <t>Rocco trampoline</t>
  </si>
  <si>
    <t>Dog vet</t>
  </si>
  <si>
    <t>CBD Oil</t>
  </si>
  <si>
    <t>Dog toothpast</t>
  </si>
  <si>
    <t>Desk risers</t>
  </si>
  <si>
    <t>Parking</t>
  </si>
  <si>
    <t>Ivana clothes</t>
  </si>
  <si>
    <t>F3 171 Olsen Court Docs</t>
  </si>
  <si>
    <t>What is this?</t>
  </si>
  <si>
    <t>DMZ Cleaning Flat 19</t>
  </si>
  <si>
    <t>A Beck 5131</t>
  </si>
  <si>
    <t>D Wells. london road new door, kick boards and sliding door</t>
  </si>
  <si>
    <t>Carpets</t>
  </si>
  <si>
    <t>Carpets invoice 9330</t>
  </si>
  <si>
    <t>A Beck 5210 flat 1 171 fawcett road  kitchen sink and taps</t>
  </si>
  <si>
    <t>A Beck invoice 5218 flat 11 12-14 alhambra GSC</t>
  </si>
  <si>
    <t>A Beck invoice 5217 flat 6 16-18 alhambra road GSC</t>
  </si>
  <si>
    <t>A Beck invoice 4813 new sink taps and trap</t>
  </si>
  <si>
    <t>Electric</t>
  </si>
  <si>
    <t>A Beck GSC gas safety  certificate -INV 5114</t>
  </si>
  <si>
    <t>A Beck GSC gas safety inv 5143</t>
  </si>
  <si>
    <t>A Beck invoice 5214 3 radiator thermostatic valves</t>
  </si>
  <si>
    <t>Mark Jones</t>
  </si>
  <si>
    <t>Mark Jones - 16-18 Alhambra Rd</t>
  </si>
  <si>
    <t>SPLIT</t>
  </si>
  <si>
    <t>£7800 LLP divide by 44</t>
  </si>
  <si>
    <t>Rent for period 14/05/2019 - 13/06/2019 from Mr John Sharpe - 196b Kingston Road, Portsmouth</t>
  </si>
  <si>
    <t>Management Fee at 6% - 196b Kingston Road, Portsmouth</t>
  </si>
  <si>
    <t>Invoice</t>
  </si>
  <si>
    <t>Amount payable to Ms Ivana Valentino - 196b Kingston Road, Portsmouth</t>
  </si>
  <si>
    <t>Statement</t>
  </si>
  <si>
    <t>Legislation &amp; Compliance  - 196b Kingston Road, Portsmouth</t>
  </si>
  <si>
    <t>Rent for period 01/06/2019 - 30/06/2019 from Miss Phoebe Louise Ranger - 23c Hampshire Terrace, Portsmouth</t>
  </si>
  <si>
    <t>Management Fee at 6% - 23c Hampshire Terrace, Portsmouth</t>
  </si>
  <si>
    <t>Amount payable to Ms Ivana Valentino - 23c Hampshire Terrace, Portsmouth</t>
  </si>
  <si>
    <t>Legislation &amp; Compliance  - 23c Hampshire Terrace, Portsmouth</t>
  </si>
  <si>
    <t>Rent for period 26/05/2019 - 25/06/2019 from Ms Lisa Pegg - Flat 8, 8 Alhambra Road, Southsea</t>
  </si>
  <si>
    <t>Management Fee at 6% - Flat 8, 8 Alhambra Road, Southsea</t>
  </si>
  <si>
    <t>Amount payable to Ms Ivana Valentino - Flat 8, 8 Alhambra Road, Southsea</t>
  </si>
  <si>
    <t>Legislation &amp; Compliance  - Flat 8, 8 Alhambra Road, Southsea</t>
  </si>
  <si>
    <t>Rent for period 14/05/2019 - 13/06/2019 from Mr Christian John Bartlett - Flat 21, 4-6 Alhambra Road, Southsea</t>
  </si>
  <si>
    <t>Management Fee at 6% - Flat 21, 4-6 Alhambra Road, Southsea</t>
  </si>
  <si>
    <t>Amount payable to Ms Ivana Valentino - Flat 21, 4-6 Alhambra Road, Southsea</t>
  </si>
  <si>
    <t>Rent for period 14/06/2019 - 13/07/2019 from Mr Christian John Bartlett - Flat 21, 4-6 Alhambra Road, Southsea</t>
  </si>
  <si>
    <t>Legislation &amp; Compliance  - Flat 21, 4-6 Alhambra Road, Southsea</t>
  </si>
  <si>
    <t>Rent for period 18/05/2019 - 17/06/2019 from Mr Andrew Greer - Flat 3, 12-14 Alhambra Road, Southsea</t>
  </si>
  <si>
    <t>Management Fee at 6% - Flat 3, 12-14 Alhambra Road, Southsea</t>
  </si>
  <si>
    <t>Rent for period 18/04/2019 - 17/05/2019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</si>
  <si>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</si>
  <si>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</si>
  <si>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23/05/2019 - 22/06/2019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</si>
  <si>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</si>
  <si>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</si>
  <si>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23/06/2019 - 22/07/2019 from Mr Michael Valverde - Flat 5, 12-14 Alhambra Road, Southsea</t>
  </si>
  <si>
    <t>Legislation &amp; Compliance  - Flat 5, 12-14 Alhambra Road, Southsea</t>
  </si>
  <si>
    <t>Rent for period 19/05/2019 - 18/06/2019 from Mr Aubrey Milligan - Flat 16, 12-14 Alhambra Road, Southsea</t>
  </si>
  <si>
    <t>Management Fee at 6% - Flat 16, 12-14 Alhambra Road, Southsea</t>
  </si>
  <si>
    <t>Rent for period 19/04/2019 - 18/05/2019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</si>
  <si>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</si>
  <si>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</si>
  <si>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28/05/2019 - 27/06/2019 from Miss Julie Betteridge - Flat 3, 16-18 Alhambra Road, Southsea</t>
  </si>
  <si>
    <t>Management Fee at 6% - Flat 3, 16-18 Alhambra Road, Southsea</t>
  </si>
  <si>
    <t>Amount payable to Ms Ivana Valentino - Flat 3, 16-18 Alhambra Road, Southsea</t>
  </si>
  <si>
    <t>Legislation &amp; Compliance  - Flat 3, 16-18 Alhambra Road, Southsea</t>
  </si>
  <si>
    <t>Rent for period 08/05/2019 - 07/06/2019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</si>
  <si>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</si>
  <si>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</si>
  <si>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08/06/2019 - 07/07/2019 from Mr Alan Young - Flat 7, 16-18 Alhambra Road, Southsea</t>
  </si>
  <si>
    <t>Legislation &amp; Compliance  - Flat 7, 16-18 Alhambra Road, Southsea</t>
  </si>
  <si>
    <t>Rent for period 19/05/2019 - 18/06/2019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</si>
  <si>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</si>
  <si>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</si>
  <si>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19/06/2019 - 18/07/2019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</si>
  <si>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</si>
  <si>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</si>
  <si>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28/06/2019 - 27/07/2019 from Mr Peter Gradon - Flat 16, 16-18 Alhambra Road, Southsea</t>
  </si>
  <si>
    <t>Management Fee at 6% - Flat 16, 16-18 Alhambra Road, Southsea</t>
  </si>
  <si>
    <t>Amount payable to Ms Ivana Valentino - Flat 16, 16-18 Alhambra Road, Southsea</t>
  </si>
  <si>
    <t>Rent for period 09/03/2019 - 08/04/2019 from Mr Nick Olsen - Flat 3, 171 Fawcett Road, Southsea</t>
  </si>
  <si>
    <t>Management Fee at 6% - Flat 3, 171 Fawcett Road, Southsea</t>
  </si>
  <si>
    <t>Rent for period 09/04/2019 - 08/05/2019 from Mr Nick Olsen - Flat 3, 171 Fawcett Road, Southsea</t>
  </si>
  <si>
    <t>Amount payable to Ms Ivana Valentino - Flat 3, 171 Fawcett Road, Southsea</t>
  </si>
  <si>
    <t>Legislation &amp; Compliance  - Flat 3, 171 Fawcett Road, Southsea</t>
  </si>
  <si>
    <t>Rent for period 16/05/2019 - 15/06/2019 from Miss Ausra Baziukiene - Flat 20, 4-6 Alhambra Road, Southsea</t>
  </si>
  <si>
    <t>Management Fee at 6% - Flat 20, 4-6 Alhambra Road, Southsea</t>
  </si>
  <si>
    <t>Amount payable to Mr Mathew Tucker - Flat 20, 4-6 Alhambra Road, Southsea</t>
  </si>
  <si>
    <t>Legislation &amp; Compliance  - Flat 20, 4-6 Alhambra Road, Southsea</t>
  </si>
  <si>
    <t>Rent for period 20/09/2018 - 19/10/2018 from Miss Sinead OBrien - Flat 19, 4-6 Alhambra Road, Southsea</t>
  </si>
  <si>
    <t>Management Fee at 6% - Flat 19, 4-6 Alhambra Road, Southsea</t>
  </si>
  <si>
    <t>Rent for period 20/08/2018 - 19/09/2018 from Miss Sinead OBrien - Flat 19, 4-6 Alhambra Road, Southsea</t>
  </si>
  <si>
    <t>Amount payable to Mr Mathew Tucker - Flat 19, 4-6 Alhambra Road, Southsea</t>
  </si>
  <si>
    <t>Legislation &amp; Compliance  - Flat 19, 4-6 Alhambra Road, Southsea</t>
  </si>
  <si>
    <t>Rent for period 01/06/2019 - 30/06/2019 from Miss Maja Zuzanna Olczak - Flat 17, 4-6 Alhambra Road, Southsea</t>
  </si>
  <si>
    <t>Management Fee at 6% - Flat 17, 4-6 Alhambra Road, Southsea</t>
  </si>
  <si>
    <t>Amount payable to Mr Mathew Tucker - Flat 17, 4-6 Alhambra Road, Southsea</t>
  </si>
  <si>
    <t>Rent for period 26/05/2019 - 25/06/2019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</si>
  <si>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</si>
  <si>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</si>
  <si>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26/06/2019 - 25/07/2019 from Mrs Dionne McLaughlin - Flat 18, 4-6 Alhambra Road, Southsea</t>
  </si>
  <si>
    <t>Legislation &amp; Compliance  - Flat 18, 4-6 Alhambra Road, Southsea</t>
  </si>
  <si>
    <t>Rent for period 20/05/2019 - 19/06/2019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</si>
  <si>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</si>
  <si>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</si>
  <si>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20/06/2019 - 19/07/2019 from Mr Andrew England - Flat 10, 12-14 Alhambra Road, Southsea</t>
  </si>
  <si>
    <t>Legislation &amp; Compliance  - Flat 10, 12-14 Alhambra Road, Southsea</t>
  </si>
  <si>
    <t>Rent for period 06/06/2019 - 05/07/2019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</si>
  <si>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</si>
  <si>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</si>
  <si>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</si>
  <si>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06/05/2019 - 05/06/2019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</si>
  <si>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</si>
  <si>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</si>
  <si>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06/06/2019 - 05/07/2019 from Mr Tony Di-Marco - Flat 4, 12-14 Alhambra Road, Southsea</t>
  </si>
  <si>
    <t>Legislation &amp; Compliance  - Flat 4, 12-14 Alhambra Road, Southsea</t>
  </si>
  <si>
    <t>Rent for period 12/05/2019 - 11/06/2019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</si>
  <si>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</si>
  <si>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</si>
  <si>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12/06/2019 - 11/07/2019 from Mr Peter Taperek - Flat 6, 16-18 Alhambra Road, Southsea</t>
  </si>
  <si>
    <t>Legislation &amp; Compliance  - Flat 6, 16-18 Alhambra Road, Southsea</t>
  </si>
  <si>
    <t>Rent for period 12/06/2019 - 11/07/2019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</si>
  <si>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</si>
  <si>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</si>
  <si>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</si>
  <si>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</si>
  <si>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28/06/2019 - 27/07/2019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</si>
  <si>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</si>
  <si>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</si>
  <si>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25/06/2019 - 24/07/2019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</si>
  <si>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</si>
  <si>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</si>
  <si>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</si>
  <si>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15/05/2019 - 14/06/2019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</si>
  <si>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</si>
  <si>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</si>
  <si>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</si>
  <si>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26/05/2019 - 25/06/2019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</si>
  <si>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</si>
  <si>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</si>
  <si>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26/06/2019 - 25/07/2019 from Miss Carol Carrington - Flat 4, 321 London Road, Portsmouth</t>
  </si>
  <si>
    <t>Legislation &amp; Compliance  - Flat 4, 321 London Road, Portsmouth</t>
  </si>
  <si>
    <t>Rent for period 02/05/2019 - 01/06/2019 from Mr Michael Pedace - Flat 2, 171 Fawcett Road, Southsea</t>
  </si>
  <si>
    <t>Management Fee at 6% - Flat 2, 171 Fawcett Road, Southsea</t>
  </si>
  <si>
    <t>Rent for period 02/06/2019 - 01/07/2019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</si>
  <si>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</si>
  <si>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</si>
  <si>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15/06/2019 - 14/07/2019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</si>
  <si>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</si>
  <si>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</si>
  <si>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</si>
  <si>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06/05/2019 - 05/06/2019 from Ms Susan Parkinson - Flat 1, 169 Fawcett Road, Southsea</t>
  </si>
  <si>
    <t>Management Fee at 6% - Flat 1, 169 Fawcett Road, Southsea</t>
  </si>
  <si>
    <t>Amount payable to Mr Mathew Tucker - Flat 1, 169 Fawcett Road, Southsea</t>
  </si>
  <si>
    <t>Rent for period 06/06/2019 - 05/07/2019 from Ms Susan Parkinson - Flat 1, 169 Fawcett Road, Southsea</t>
  </si>
  <si>
    <t>Legislation &amp; Compliance  - Flat 1, 169 Fawcett Road, Southsea</t>
  </si>
  <si>
    <t>Rent for period 11/06/2019 - 10/07/2019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</si>
  <si>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</si>
  <si>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</si>
  <si>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</si>
  <si>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01/06/2019 - 30/06/2019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</si>
  <si>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</si>
  <si>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</si>
  <si>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</si>
  <si>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08/06/2019 - 07/07/2019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</si>
  <si>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</si>
  <si>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</si>
  <si>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</si>
  <si>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14/05/2019 - 13/06/2019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</si>
  <si>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</si>
  <si>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</si>
  <si>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14/06/2019 - 13/07/2019 from Ms Sharon Smith - Flat 5, 8 Alhambra Road, Southsea</t>
  </si>
  <si>
    <t>Legislation &amp; Compliance  - Flat 5, 8 Alhambra Road, Southsea</t>
  </si>
  <si>
    <t>AD Bedroom Radiator - United P H Limited - 23b Hampshire Terrace, Portsmouth</t>
  </si>
  <si>
    <t>Supplier</t>
  </si>
  <si>
    <t>Legislation &amp; Compliance  - 23b Hampshire Terrace, Portsmouth</t>
  </si>
  <si>
    <t>Rent for period 14/05/2019 - 13/06/2019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</si>
  <si>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</si>
  <si>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</si>
  <si>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14/06/2019 - 13/07/2019 from Mr Martin Brett - Flat 3, 163 Fratton Road, Portsmouth</t>
  </si>
  <si>
    <t>Legislation &amp; Compliance  - Flat 3, 163 Fratton Road, Portsmouth</t>
  </si>
  <si>
    <t>Rent for period 14/05/2019 - 13/06/2019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</si>
  <si>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</si>
  <si>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</si>
  <si>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14/06/2019 - 13/07/2019 from Mr Aleksandra Radzevics - Flat 7, 12-14 Alhambra Road, Southsea</t>
  </si>
  <si>
    <t>Legislation &amp; Compliance  - Flat 7, 12-14 Alhambra Road, Southsea</t>
  </si>
  <si>
    <t>Rent for period 06/06/2019 - 05/07/2019 from Ms Kirstine Aldridge - Flat 1, 171 Fawcett Road, Southsea</t>
  </si>
  <si>
    <t>Management Fee at 6% - Flat 1, 171 Fawcett Road, Southsea</t>
  </si>
  <si>
    <t>Rent for period 06/05/2019 - 05/06/2019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</si>
  <si>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</si>
  <si>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</si>
  <si>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Oven. Not sure what property this is.</t>
  </si>
  <si>
    <t>Rent for period 03/06/2019 - 03/07/2019 from Mr A Stancu - Flat 22, 4-6 Alhambra Road, Southsea</t>
  </si>
  <si>
    <t>Rent for period 10/06/2019 - 10/07/2019 from Mr A Ozimek - Flat 23, 4-6 Alhambra Road, Southsea</t>
  </si>
  <si>
    <t>BK</t>
  </si>
  <si>
    <t>BK,PM,EX</t>
  </si>
  <si>
    <t>BK,MT</t>
  </si>
  <si>
    <t>BK,PM,RT</t>
  </si>
  <si>
    <t>100115</t>
  </si>
  <si>
    <t>RT</t>
  </si>
  <si>
    <t>MF</t>
  </si>
  <si>
    <t>PM</t>
  </si>
  <si>
    <t>EX</t>
  </si>
  <si>
    <t>Sharon Briscoe (25/01/2019 - present)</t>
  </si>
  <si>
    <t>Nathalie Rockmer (15/09/2018 - present)</t>
  </si>
  <si>
    <t>Carrington (26/11/2010 - present)</t>
  </si>
  <si>
    <t>Susan Parkinson (06/11/2016 -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</si>
  <si>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</si>
  <si>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</si>
  <si>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</si>
  <si>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</si>
  <si>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</si>
  <si>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Martin Gliszczynski (SIE-SOF T/A Pol Help) (11/12/2016 - present)</t>
  </si>
  <si>
    <t>Ms J Henson (01/02/2016 - present)</t>
  </si>
  <si>
    <t>Mr John Sharpe (14/10/2015 - 17/06/2019)</t>
  </si>
  <si>
    <t>Phoebe Louise Ranger (01/08/2018 - present)</t>
  </si>
  <si>
    <t>Miss S Smith (14/10/2016 - present)</t>
  </si>
  <si>
    <t>Mr Hinks (08/11/2013 - present)</t>
  </si>
  <si>
    <t>Ms Pegg (26/08/2015 - present)</t>
  </si>
  <si>
    <t>Maja Zuzanna Olczak (28/03/2019 - present)</t>
  </si>
  <si>
    <t>Dionne McLaughlin (26/06/2009 - present)</t>
  </si>
  <si>
    <t>Sinead OBrien (20/12/2016 - present)</t>
  </si>
  <si>
    <t>Ms Baziukiene (16/09/2015 - present)</t>
  </si>
  <si>
    <t>Christian John Bartlett (14/12/2018 - present)</t>
  </si>
  <si>
    <t>A Stancu (03/06/2019 - present)</t>
  </si>
  <si>
    <t>A Ozimek (10/06/2019 -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</si>
  <si>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</si>
  <si>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</si>
  <si>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</si>
  <si>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</si>
  <si>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Andrew England (20/11/2009 - present)</t>
  </si>
  <si>
    <t>Paul McIlwraith (06/12/2016 - present)</t>
  </si>
  <si>
    <t>Mr Milligan (19/03/2015 -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</si>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</sst>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Protection="1">
      <protection locked="0"/>
    </xf>
    <xf numFmtId="0" fontId="23" fillId="10" borderId="6" xfId="1" applyBorder="1"/>
    <xf numFmtId="0" fontId="24" fillId="11" borderId="6" xfId="2" applyBorder="1"/>
    <xf numFmtId="0" fontId="25" fillId="11" borderId="6" xfId="2" applyFont="1" applyBorder="1"/>
    <xf numFmtId="0" fontId="2" fillId="6" borderId="0" xfId="0" applyFont="1" applyFill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0" fillId="6" borderId="21" xfId="0" applyFont="1" applyFill="1" applyBorder="1"/>
    <xf numFmtId="0" fontId="0" fillId="6" borderId="22" xfId="0" applyFill="1" applyBorder="1"/>
    <xf numFmtId="0" fontId="5" fillId="6" borderId="17" xfId="0" applyFont="1" applyFill="1" applyBorder="1"/>
    <xf numFmtId="0" fontId="2" fillId="6" borderId="17" xfId="0" applyFont="1" applyFill="1" applyBorder="1"/>
    <xf numFmtId="0" fontId="2" fillId="6" borderId="18" xfId="0" applyFont="1" applyFill="1" applyBorder="1"/>
    <xf numFmtId="0" fontId="2" fillId="6" borderId="19" xfId="0" applyFont="1" applyFill="1" applyBorder="1"/>
    <xf numFmtId="0" fontId="26" fillId="6" borderId="0" xfId="0" applyFont="1" applyFill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7" fillId="0" borderId="0" xfId="0" applyFont="1"/>
    <xf numFmtId="14" fontId="0" fillId="0" borderId="0" xfId="0" applyNumberFormat="1"/>
    <xf numFmtId="0" fontId="3" fillId="12" borderId="9" xfId="0" applyFont="1" applyFill="1" applyBorder="1"/>
    <xf numFmtId="0" fontId="0" fillId="12" borderId="0" xfId="0" applyFill="1" applyProtection="1">
      <protection locked="0"/>
    </xf>
    <xf numFmtId="0" fontId="0" fillId="12" borderId="7" xfId="0" applyFill="1" applyBorder="1"/>
    <xf numFmtId="167" fontId="5" fillId="12" borderId="6" xfId="0" applyNumberFormat="1" applyFont="1" applyFill="1" applyBorder="1" applyProtection="1">
      <protection locked="0"/>
    </xf>
    <xf numFmtId="167" fontId="5" fillId="12" borderId="9" xfId="0" applyNumberFormat="1" applyFont="1" applyFill="1" applyBorder="1" applyProtection="1">
      <protection locked="0"/>
    </xf>
    <xf numFmtId="166" fontId="5" fillId="12" borderId="9" xfId="0" applyNumberFormat="1" applyFont="1" applyFill="1" applyBorder="1" applyAlignment="1" applyProtection="1">
      <alignment horizontal="center"/>
      <protection locked="0"/>
    </xf>
    <xf numFmtId="166" fontId="0" fillId="12" borderId="6" xfId="0" applyNumberFormat="1" applyFill="1" applyBorder="1" applyAlignment="1">
      <alignment horizontal="center"/>
    </xf>
    <xf numFmtId="166" fontId="4" fillId="12" borderId="6" xfId="0" applyNumberFormat="1" applyFont="1" applyFill="1" applyBorder="1" applyAlignment="1">
      <alignment horizontal="center" wrapText="1"/>
    </xf>
    <xf numFmtId="166" fontId="15" fillId="12" borderId="6" xfId="0" applyNumberFormat="1" applyFont="1" applyFill="1" applyBorder="1" applyAlignment="1">
      <alignment horizontal="center"/>
    </xf>
    <xf numFmtId="166" fontId="5" fillId="12" borderId="6" xfId="0" applyNumberFormat="1" applyFont="1" applyFill="1" applyBorder="1" applyAlignment="1">
      <alignment horizontal="center"/>
    </xf>
    <xf numFmtId="0" fontId="0" fillId="12" borderId="6" xfId="0" applyFill="1" applyBorder="1" applyProtection="1">
      <protection locked="0"/>
    </xf>
    <xf numFmtId="166" fontId="0" fillId="12" borderId="9" xfId="0" applyNumberFormat="1" applyFill="1" applyBorder="1"/>
    <xf numFmtId="2" fontId="5" fillId="12" borderId="6" xfId="0" applyNumberFormat="1" applyFont="1" applyFill="1" applyBorder="1" applyAlignment="1" applyProtection="1">
      <alignment horizontal="right"/>
      <protection locked="0"/>
    </xf>
    <xf numFmtId="0" fontId="5" fillId="12" borderId="6" xfId="0" applyFont="1" applyFill="1" applyBorder="1" applyProtection="1">
      <protection locked="0"/>
    </xf>
    <xf numFmtId="0" fontId="0" fillId="12" borderId="9" xfId="0" applyFill="1" applyBorder="1"/>
    <xf numFmtId="0" fontId="0" fillId="12" borderId="6" xfId="0" applyFill="1" applyBorder="1"/>
    <xf numFmtId="0" fontId="0" fillId="12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166" fontId="5" fillId="6" borderId="6" xfId="0" applyNumberFormat="1" applyFont="1" applyFill="1" applyBorder="1" applyProtection="1">
      <protection locked="0"/>
    </xf>
    <xf numFmtId="0" fontId="0" fillId="8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0" fillId="13" borderId="0" xfId="0" applyFill="1"/>
    <xf numFmtId="0" fontId="0" fillId="14" borderId="0" xfId="0" applyFill="1"/>
    <xf numFmtId="0" fontId="5" fillId="15" borderId="0" xfId="0" applyFont="1" applyFill="1"/>
    <xf numFmtId="0" fontId="0" fillId="16" borderId="0" xfId="0" applyFill="1"/>
    <xf numFmtId="0" fontId="5" fillId="16" borderId="0" xfId="0" applyFont="1" applyFill="1"/>
    <xf numFmtId="2" fontId="0" fillId="0" borderId="0" xfId="0" applyNumberFormat="1" applyFill="1"/>
    <xf numFmtId="0" fontId="28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O16" sqref="O16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M1" s="138" t="s">
        <v>572</v>
      </c>
      <c r="N1" s="139"/>
      <c r="O1" s="139"/>
      <c r="P1" s="140"/>
      <c r="Q1" s="141"/>
      <c r="R1" s="130"/>
      <c r="S1" s="130"/>
      <c r="T1" s="130"/>
      <c r="U1" s="130"/>
      <c r="V1" s="52"/>
      <c r="W1" s="52"/>
    </row>
    <row r="2" spans="1:23" ht="18.75" thickBot="1" x14ac:dyDescent="0.3">
      <c r="M2" s="134"/>
      <c r="N2" s="135" t="s">
        <v>569</v>
      </c>
      <c r="O2" s="135"/>
      <c r="P2" s="136"/>
    </row>
    <row r="3" spans="1:23" ht="15.75" thickBot="1" x14ac:dyDescent="0.25">
      <c r="A3" s="7" t="s">
        <v>31</v>
      </c>
      <c r="B3" s="79">
        <v>43646</v>
      </c>
    </row>
    <row r="4" spans="1:23" ht="14.25" x14ac:dyDescent="0.2">
      <c r="A4" s="7"/>
      <c r="B4" s="7"/>
      <c r="M4" s="131"/>
      <c r="N4" s="132"/>
      <c r="O4" s="132"/>
      <c r="P4" s="133"/>
      <c r="Q4" s="137" t="s">
        <v>570</v>
      </c>
      <c r="R4" s="132"/>
      <c r="S4" s="132"/>
      <c r="T4" s="133"/>
    </row>
    <row r="5" spans="1:23" ht="14.25" customHeight="1" thickBot="1" x14ac:dyDescent="0.3">
      <c r="A5" s="47" t="s">
        <v>547</v>
      </c>
      <c r="B5" s="36"/>
      <c r="M5" s="134"/>
      <c r="N5" s="135" t="s">
        <v>569</v>
      </c>
      <c r="O5" s="135"/>
      <c r="P5" s="136"/>
      <c r="Q5" s="134"/>
      <c r="R5" s="135" t="s">
        <v>571</v>
      </c>
      <c r="S5" s="135"/>
      <c r="T5" s="136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/>
      <c r="B9" s="37"/>
      <c r="C9" s="38"/>
      <c r="D9" s="68"/>
      <c r="E9" s="68"/>
      <c r="F9" s="69"/>
      <c r="G9" s="70"/>
      <c r="H9" s="70"/>
      <c r="I9" s="71"/>
      <c r="J9" s="74"/>
      <c r="K9" s="72"/>
      <c r="L9" s="71"/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567</v>
      </c>
    </row>
    <row r="10" spans="1:23" ht="12.75" customHeight="1" x14ac:dyDescent="0.2">
      <c r="A10" s="22" t="s">
        <v>53</v>
      </c>
      <c r="B10" s="16" t="s">
        <v>1096</v>
      </c>
      <c r="C10" s="20" t="s">
        <v>579</v>
      </c>
      <c r="D10" s="68">
        <v>43641</v>
      </c>
      <c r="E10" s="72">
        <v>43670</v>
      </c>
      <c r="F10" s="73">
        <v>491.38</v>
      </c>
      <c r="G10" s="70">
        <v>29.48</v>
      </c>
      <c r="H10" s="70">
        <v>5.9</v>
      </c>
      <c r="I10" s="71">
        <v>12</v>
      </c>
      <c r="J10" s="74">
        <v>444</v>
      </c>
      <c r="K10" s="72">
        <v>43641.674305555556</v>
      </c>
      <c r="L10" s="71">
        <v>177.27</v>
      </c>
      <c r="M10" s="104">
        <f t="shared" ref="M10:M63" si="1">IF(F10-G10-H10-I10-L10&lt;&gt;0, F10-G10-H10-I10-L10,"")</f>
        <v>266.73</v>
      </c>
      <c r="N10" s="40" t="s">
        <v>203</v>
      </c>
      <c r="O10" s="73">
        <v>177.04</v>
      </c>
      <c r="P10" s="39">
        <f t="shared" si="0"/>
        <v>89.690000000000026</v>
      </c>
      <c r="Q10" s="120">
        <f t="shared" ref="Q10:Q63" si="2">IF(F10&lt;&gt;"",-(F10-G10-H10-I10-J10),0)</f>
        <v>0</v>
      </c>
      <c r="R10" s="126" t="s">
        <v>580</v>
      </c>
      <c r="S10" s="62" t="s">
        <v>197</v>
      </c>
      <c r="T10" s="19" t="s">
        <v>406</v>
      </c>
      <c r="U10" s="19" t="s">
        <v>416</v>
      </c>
      <c r="V10" s="19">
        <v>1</v>
      </c>
    </row>
    <row r="11" spans="1:23" ht="12.75" customHeight="1" x14ac:dyDescent="0.2">
      <c r="A11" s="22" t="s">
        <v>54</v>
      </c>
      <c r="B11" s="16" t="s">
        <v>578</v>
      </c>
      <c r="C11" s="20"/>
      <c r="D11" s="68"/>
      <c r="E11" s="72"/>
      <c r="F11" s="73"/>
      <c r="G11" s="70"/>
      <c r="H11" s="70"/>
      <c r="I11" s="71"/>
      <c r="J11" s="74"/>
      <c r="K11" s="72"/>
      <c r="L11" s="71">
        <v>1184.27</v>
      </c>
      <c r="M11" s="104">
        <f t="shared" si="1"/>
        <v>-1184.27</v>
      </c>
      <c r="N11" s="40" t="s">
        <v>202</v>
      </c>
      <c r="O11" s="73">
        <v>159.83000000000001</v>
      </c>
      <c r="P11" s="39">
        <f t="shared" si="0"/>
        <v>-1344.1</v>
      </c>
      <c r="Q11" s="120">
        <f t="shared" si="2"/>
        <v>0</v>
      </c>
      <c r="R11" s="55" t="s">
        <v>568</v>
      </c>
      <c r="S11" s="62" t="s">
        <v>197</v>
      </c>
      <c r="T11" s="19" t="s">
        <v>407</v>
      </c>
      <c r="U11" s="19" t="s">
        <v>417</v>
      </c>
      <c r="V11" s="19">
        <v>14</v>
      </c>
    </row>
    <row r="12" spans="1:23" ht="12.75" customHeight="1" x14ac:dyDescent="0.2">
      <c r="A12" s="22" t="s">
        <v>55</v>
      </c>
      <c r="B12" s="16" t="s">
        <v>1097</v>
      </c>
      <c r="C12" s="20" t="s">
        <v>579</v>
      </c>
      <c r="D12" s="68">
        <v>43600</v>
      </c>
      <c r="E12" s="72">
        <v>43630</v>
      </c>
      <c r="F12" s="73">
        <v>600</v>
      </c>
      <c r="G12" s="70">
        <v>36</v>
      </c>
      <c r="H12" s="70">
        <v>7.2</v>
      </c>
      <c r="I12" s="71">
        <v>6</v>
      </c>
      <c r="J12" s="74">
        <v>550.79999999999995</v>
      </c>
      <c r="K12" s="72">
        <v>43630.657638888886</v>
      </c>
      <c r="L12" s="71">
        <v>177.27</v>
      </c>
      <c r="M12" s="104">
        <f t="shared" si="1"/>
        <v>373.53</v>
      </c>
      <c r="N12" s="40" t="s">
        <v>203</v>
      </c>
      <c r="O12" s="125">
        <v>124.68</v>
      </c>
      <c r="P12" s="39">
        <f t="shared" si="0"/>
        <v>248.84999999999997</v>
      </c>
      <c r="Q12" s="120">
        <f t="shared" si="2"/>
        <v>0</v>
      </c>
      <c r="R12" s="143" t="s">
        <v>203</v>
      </c>
      <c r="S12" s="62" t="s">
        <v>197</v>
      </c>
      <c r="T12" s="19" t="s">
        <v>408</v>
      </c>
      <c r="U12" s="19" t="s">
        <v>418</v>
      </c>
      <c r="V12" s="19">
        <v>3</v>
      </c>
    </row>
    <row r="13" spans="1:23" ht="12.75" customHeight="1" x14ac:dyDescent="0.2">
      <c r="A13" s="22" t="s">
        <v>56</v>
      </c>
      <c r="B13" s="16" t="s">
        <v>1098</v>
      </c>
      <c r="C13" s="20" t="s">
        <v>95</v>
      </c>
      <c r="D13" s="68">
        <v>43611</v>
      </c>
      <c r="E13" s="72">
        <v>43671</v>
      </c>
      <c r="F13" s="73">
        <v>461.52</v>
      </c>
      <c r="G13" s="70">
        <v>27.69</v>
      </c>
      <c r="H13" s="70">
        <v>5.54</v>
      </c>
      <c r="I13" s="71">
        <v>6</v>
      </c>
      <c r="J13" s="74">
        <v>422.29</v>
      </c>
      <c r="K13" s="72">
        <v>43620.706250000003</v>
      </c>
      <c r="L13" s="71">
        <v>177.27</v>
      </c>
      <c r="M13" s="104">
        <f t="shared" si="1"/>
        <v>245.01999999999995</v>
      </c>
      <c r="N13" s="40" t="s">
        <v>6</v>
      </c>
      <c r="O13" s="73">
        <v>177.08</v>
      </c>
      <c r="P13" s="39">
        <f t="shared" si="0"/>
        <v>67.939999999999941</v>
      </c>
      <c r="Q13" s="120">
        <f t="shared" si="2"/>
        <v>5.6843418860808015E-14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r="14" spans="1:23" ht="12.75" customHeight="1" x14ac:dyDescent="0.2">
      <c r="A14" s="41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t="shared" si="1"/>
        <v/>
      </c>
      <c r="N14" s="40"/>
      <c r="O14" s="69"/>
      <c r="P14" s="39">
        <f t="shared" si="0"/>
        <v>0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1099</v>
      </c>
      <c r="C15" s="20" t="s">
        <v>579</v>
      </c>
      <c r="D15" s="68">
        <v>43591</v>
      </c>
      <c r="E15" s="68">
        <v>43651</v>
      </c>
      <c r="F15" s="73">
        <v>466.12</v>
      </c>
      <c r="G15" s="70">
        <v>27.97</v>
      </c>
      <c r="H15" s="70">
        <v>5.59</v>
      </c>
      <c r="I15" s="71">
        <v>6</v>
      </c>
      <c r="J15" s="74">
        <v>426.56</v>
      </c>
      <c r="K15" s="72">
        <v>43620.706250000003</v>
      </c>
      <c r="L15" s="71">
        <v>177.27</v>
      </c>
      <c r="M15" s="104">
        <f t="shared" si="1"/>
        <v>249.29</v>
      </c>
      <c r="N15" s="40" t="s">
        <v>6</v>
      </c>
      <c r="O15" s="73">
        <v>159.5</v>
      </c>
      <c r="P15" s="39">
        <f t="shared" si="0"/>
        <v>89.789999999999992</v>
      </c>
      <c r="Q15" s="120">
        <f t="shared" si="2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r="16" spans="1:23" ht="12.75" customHeight="1" x14ac:dyDescent="0.2">
      <c r="A16" s="22" t="s">
        <v>58</v>
      </c>
      <c r="B16" s="16" t="s">
        <v>578</v>
      </c>
      <c r="C16" s="20"/>
      <c r="D16" s="68"/>
      <c r="E16" s="72"/>
      <c r="F16" s="73"/>
      <c r="G16" s="70"/>
      <c r="H16" s="70"/>
      <c r="I16" s="71"/>
      <c r="J16" s="74"/>
      <c r="K16" s="72"/>
      <c r="L16" s="71">
        <v>177.27</v>
      </c>
      <c r="M16" s="104">
        <f t="shared" si="1"/>
        <v>-177.27</v>
      </c>
      <c r="N16" s="40" t="s">
        <v>6</v>
      </c>
      <c r="O16" s="125">
        <v>125.34</v>
      </c>
      <c r="P16" s="39">
        <f t="shared" si="0"/>
        <v>-302.61</v>
      </c>
      <c r="Q16" s="120">
        <f t="shared" si="2"/>
        <v>0</v>
      </c>
      <c r="R16" s="55"/>
      <c r="S16" s="62" t="s">
        <v>197</v>
      </c>
      <c r="T16" s="19" t="s">
        <v>408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1100</v>
      </c>
      <c r="C17" s="20" t="s">
        <v>95</v>
      </c>
      <c r="D17" s="68">
        <v>43631</v>
      </c>
      <c r="E17" s="72">
        <v>43660</v>
      </c>
      <c r="F17" s="73">
        <v>500</v>
      </c>
      <c r="G17" s="70">
        <v>30</v>
      </c>
      <c r="H17" s="70">
        <v>6</v>
      </c>
      <c r="I17" s="71">
        <v>6</v>
      </c>
      <c r="J17" s="74">
        <v>458</v>
      </c>
      <c r="K17" s="72">
        <v>43641.674305555556</v>
      </c>
      <c r="L17" s="71">
        <v>177.27</v>
      </c>
      <c r="M17" s="104">
        <f t="shared" si="1"/>
        <v>280.73</v>
      </c>
      <c r="N17" s="40" t="s">
        <v>6</v>
      </c>
      <c r="O17" s="73">
        <v>153.87</v>
      </c>
      <c r="P17" s="39">
        <f t="shared" si="0"/>
        <v>126.86000000000001</v>
      </c>
      <c r="Q17" s="120">
        <f t="shared" si="2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r="18" spans="1:22" ht="12.75" customHeight="1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395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1101</v>
      </c>
      <c r="C19" s="20" t="s">
        <v>95</v>
      </c>
      <c r="D19" s="68">
        <v>43591</v>
      </c>
      <c r="E19" s="68">
        <v>43651</v>
      </c>
      <c r="F19" s="73">
        <v>600</v>
      </c>
      <c r="G19" s="70">
        <v>36</v>
      </c>
      <c r="H19" s="70">
        <v>7.2</v>
      </c>
      <c r="I19" s="71"/>
      <c r="J19" s="74">
        <v>556.79999999999995</v>
      </c>
      <c r="K19" s="72">
        <v>43641.674305555556</v>
      </c>
      <c r="L19" s="71">
        <v>297.27</v>
      </c>
      <c r="M19" s="104">
        <f t="shared" si="1"/>
        <v>259.52999999999997</v>
      </c>
      <c r="N19" s="40" t="s">
        <v>6</v>
      </c>
      <c r="O19" s="73">
        <v>236.44</v>
      </c>
      <c r="P19" s="39">
        <f t="shared" si="0"/>
        <v>23.089999999999975</v>
      </c>
      <c r="Q19" s="120">
        <f t="shared" si="2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r="20" spans="1:22" ht="12.75" customHeight="1" x14ac:dyDescent="0.2">
      <c r="A20" s="22" t="s">
        <v>187</v>
      </c>
      <c r="B20" s="16" t="s">
        <v>1102</v>
      </c>
      <c r="C20" s="20" t="s">
        <v>95</v>
      </c>
      <c r="D20" s="68">
        <v>43587</v>
      </c>
      <c r="E20" s="72">
        <v>43647</v>
      </c>
      <c r="F20" s="73">
        <v>461.52</v>
      </c>
      <c r="G20" s="70">
        <v>27.69</v>
      </c>
      <c r="H20" s="70">
        <v>5.54</v>
      </c>
      <c r="I20" s="71">
        <v>6</v>
      </c>
      <c r="J20" s="74">
        <v>422.29</v>
      </c>
      <c r="K20" s="72">
        <v>43620.706250000003</v>
      </c>
      <c r="L20" s="71">
        <v>177.27</v>
      </c>
      <c r="M20" s="104">
        <f t="shared" si="1"/>
        <v>245.01999999999995</v>
      </c>
      <c r="N20" s="40" t="s">
        <v>6</v>
      </c>
      <c r="O20" s="73">
        <v>209.16</v>
      </c>
      <c r="P20" s="39">
        <f t="shared" si="0"/>
        <v>35.859999999999957</v>
      </c>
      <c r="Q20" s="120">
        <f t="shared" si="2"/>
        <v>5.6843418860808015E-14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r="21" spans="1:22" ht="12.75" customHeight="1" x14ac:dyDescent="0.2">
      <c r="A21" s="22" t="s">
        <v>188</v>
      </c>
      <c r="B21" s="16" t="s">
        <v>1103</v>
      </c>
      <c r="C21" s="20" t="s">
        <v>95</v>
      </c>
      <c r="D21" s="68">
        <v>43533</v>
      </c>
      <c r="E21" s="72">
        <v>43593</v>
      </c>
      <c r="F21" s="73">
        <v>362.62</v>
      </c>
      <c r="G21" s="70">
        <v>21.75</v>
      </c>
      <c r="H21" s="70">
        <v>4.3499999999999996</v>
      </c>
      <c r="I21" s="71">
        <v>6</v>
      </c>
      <c r="J21" s="74">
        <v>330.52</v>
      </c>
      <c r="K21" s="72">
        <v>43620.706250000003</v>
      </c>
      <c r="L21" s="71">
        <v>532.27</v>
      </c>
      <c r="M21" s="104">
        <f t="shared" si="1"/>
        <v>-201.75</v>
      </c>
      <c r="N21" s="40" t="s">
        <v>6</v>
      </c>
      <c r="O21" s="73">
        <v>254.22</v>
      </c>
      <c r="P21" s="39">
        <f>IFERROR(IF(M21-O21&lt;&gt;0,M21-O21,""),-O21)</f>
        <v>-455.97</v>
      </c>
      <c r="Q21" s="120">
        <f t="shared" si="2"/>
        <v>0</v>
      </c>
      <c r="R21" s="124" t="s">
        <v>581</v>
      </c>
      <c r="S21" s="62" t="s">
        <v>396</v>
      </c>
      <c r="T21" s="19" t="s">
        <v>406</v>
      </c>
      <c r="U21" s="19" t="s">
        <v>424</v>
      </c>
      <c r="V21" s="19">
        <v>75</v>
      </c>
    </row>
    <row r="22" spans="1:22" ht="12.75" customHeight="1" x14ac:dyDescent="0.2">
      <c r="A22" s="41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t="shared" si="1"/>
        <v/>
      </c>
      <c r="N22" s="40"/>
      <c r="O22" s="69"/>
      <c r="P22" s="39">
        <f t="shared" ref="P22:P63" si="3">IFERROR(IF(M22-O22&lt;&gt;0,M22-O22,""),-O22)</f>
        <v>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68" customFormat="1" ht="12.75" customHeight="1" x14ac:dyDescent="0.2">
      <c r="A23" s="152"/>
      <c r="B23" s="153"/>
      <c r="C23" s="154"/>
      <c r="D23" s="155"/>
      <c r="E23" s="156"/>
      <c r="F23" s="157"/>
      <c r="G23" s="158"/>
      <c r="H23" s="158"/>
      <c r="I23" s="159"/>
      <c r="J23" s="160"/>
      <c r="K23" s="156"/>
      <c r="L23" s="159"/>
      <c r="M23" s="161" t="str">
        <f t="shared" si="1"/>
        <v/>
      </c>
      <c r="N23" s="162" t="s">
        <v>202</v>
      </c>
      <c r="O23" s="157"/>
      <c r="P23" s="163">
        <f t="shared" si="3"/>
        <v>0</v>
      </c>
      <c r="Q23" s="164">
        <f t="shared" si="2"/>
        <v>0</v>
      </c>
      <c r="R23" s="165" t="s">
        <v>582</v>
      </c>
      <c r="S23" s="166" t="s">
        <v>197</v>
      </c>
      <c r="T23" s="167" t="s">
        <v>406</v>
      </c>
      <c r="U23" s="167" t="s">
        <v>425</v>
      </c>
      <c r="V23" s="167">
        <v>9</v>
      </c>
    </row>
    <row r="24" spans="1:22" ht="12.75" customHeight="1" x14ac:dyDescent="0.2">
      <c r="A24" s="22" t="s">
        <v>61</v>
      </c>
      <c r="B24" s="16" t="s">
        <v>1104</v>
      </c>
      <c r="C24" s="20" t="s">
        <v>95</v>
      </c>
      <c r="D24" s="68">
        <v>43599</v>
      </c>
      <c r="E24" s="72">
        <v>43659</v>
      </c>
      <c r="F24" s="73">
        <v>415.4</v>
      </c>
      <c r="G24" s="70">
        <v>24.92</v>
      </c>
      <c r="H24" s="70">
        <v>4.9800000000000004</v>
      </c>
      <c r="I24" s="71">
        <v>6</v>
      </c>
      <c r="J24" s="74">
        <v>379.5</v>
      </c>
      <c r="K24" s="72">
        <v>43620.706250000003</v>
      </c>
      <c r="L24" s="71">
        <v>177.27</v>
      </c>
      <c r="M24" s="104">
        <f t="shared" si="1"/>
        <v>202.22999999999993</v>
      </c>
      <c r="N24" s="40" t="s">
        <v>6</v>
      </c>
      <c r="O24" s="73">
        <v>161.62</v>
      </c>
      <c r="P24" s="39">
        <f t="shared" si="3"/>
        <v>40.609999999999928</v>
      </c>
      <c r="Q24" s="120">
        <f t="shared" si="2"/>
        <v>5.6843418860808015E-14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r="25" spans="1:22" ht="12.75" customHeight="1" x14ac:dyDescent="0.2">
      <c r="A25" s="22" t="s">
        <v>62</v>
      </c>
      <c r="B25" s="16" t="s">
        <v>578</v>
      </c>
      <c r="C25" s="20"/>
      <c r="D25" s="68"/>
      <c r="E25" s="72"/>
      <c r="F25" s="73"/>
      <c r="G25" s="70"/>
      <c r="H25" s="70"/>
      <c r="I25" s="71"/>
      <c r="J25" s="74"/>
      <c r="K25" s="72"/>
      <c r="L25" s="71">
        <v>177.27</v>
      </c>
      <c r="M25" s="104">
        <f t="shared" si="1"/>
        <v>-177.27</v>
      </c>
      <c r="N25" s="40" t="s">
        <v>202</v>
      </c>
      <c r="O25" s="73"/>
      <c r="P25" s="39">
        <f t="shared" si="3"/>
        <v>-177.27</v>
      </c>
      <c r="Q25" s="120">
        <f t="shared" si="2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r="26" spans="1:22" ht="12.75" customHeight="1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1105</v>
      </c>
      <c r="C27" s="20" t="s">
        <v>579</v>
      </c>
      <c r="D27" s="68">
        <v>43627</v>
      </c>
      <c r="E27" s="68">
        <v>43656</v>
      </c>
      <c r="F27" s="69">
        <v>350</v>
      </c>
      <c r="G27" s="70">
        <v>21</v>
      </c>
      <c r="H27" s="70">
        <v>4.2</v>
      </c>
      <c r="I27" s="71">
        <v>6</v>
      </c>
      <c r="J27" s="74">
        <v>318.8</v>
      </c>
      <c r="K27" s="72">
        <v>43627.616666666669</v>
      </c>
      <c r="L27" s="71">
        <v>177.27</v>
      </c>
      <c r="M27" s="104">
        <f t="shared" si="1"/>
        <v>141.53</v>
      </c>
      <c r="N27" s="40" t="s">
        <v>6</v>
      </c>
      <c r="O27" s="108">
        <v>140</v>
      </c>
      <c r="P27" s="39">
        <f t="shared" si="3"/>
        <v>1.5300000000000011</v>
      </c>
      <c r="Q27" s="120">
        <f t="shared" si="2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1106</v>
      </c>
      <c r="C28" s="20" t="s">
        <v>95</v>
      </c>
      <c r="D28" s="68">
        <v>43617</v>
      </c>
      <c r="E28" s="68">
        <v>43646</v>
      </c>
      <c r="F28" s="69">
        <v>520</v>
      </c>
      <c r="G28" s="70">
        <v>31.2</v>
      </c>
      <c r="H28" s="70">
        <v>6.24</v>
      </c>
      <c r="I28" s="71">
        <v>6</v>
      </c>
      <c r="J28" s="74">
        <v>476.56</v>
      </c>
      <c r="K28" s="72">
        <v>43620.706250000003</v>
      </c>
      <c r="L28" s="71">
        <v>177.27</v>
      </c>
      <c r="M28" s="104">
        <f t="shared" si="1"/>
        <v>299.28999999999996</v>
      </c>
      <c r="N28" s="40" t="s">
        <v>6</v>
      </c>
      <c r="O28" s="69">
        <v>202.32</v>
      </c>
      <c r="P28" s="39">
        <f t="shared" si="3"/>
        <v>96.96999999999997</v>
      </c>
      <c r="Q28" s="120">
        <f t="shared" si="2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r="29" spans="1:22" ht="12.75" customHeight="1" x14ac:dyDescent="0.25">
      <c r="A29" s="22" t="s">
        <v>65</v>
      </c>
      <c r="B29" s="16" t="s">
        <v>1107</v>
      </c>
      <c r="C29" s="20" t="s">
        <v>95</v>
      </c>
      <c r="D29" s="68">
        <v>43599</v>
      </c>
      <c r="E29" s="68">
        <v>43629</v>
      </c>
      <c r="F29" s="73">
        <v>274.35000000000002</v>
      </c>
      <c r="G29" s="70">
        <v>16.46</v>
      </c>
      <c r="H29" s="70">
        <v>3.29</v>
      </c>
      <c r="I29" s="71">
        <v>6</v>
      </c>
      <c r="J29" s="74">
        <v>248.6</v>
      </c>
      <c r="K29" s="72">
        <v>43620.706250000003</v>
      </c>
      <c r="L29" s="71">
        <v>177.27</v>
      </c>
      <c r="M29" s="104">
        <f t="shared" si="1"/>
        <v>71.330000000000041</v>
      </c>
      <c r="N29" s="40" t="s">
        <v>6</v>
      </c>
      <c r="O29" s="73">
        <v>240.52</v>
      </c>
      <c r="P29" s="39">
        <f t="shared" si="3"/>
        <v>-169.18999999999997</v>
      </c>
      <c r="Q29" s="120">
        <f t="shared" si="2"/>
        <v>-5.6843418860808015E-14</v>
      </c>
      <c r="R29" s="55"/>
      <c r="S29" s="62" t="s">
        <v>396</v>
      </c>
      <c r="T29" s="19" t="s">
        <v>407</v>
      </c>
      <c r="U29" s="127" t="s">
        <v>430</v>
      </c>
      <c r="V29" s="127">
        <v>16</v>
      </c>
    </row>
    <row r="30" spans="1:22" ht="12.75" customHeight="1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397</v>
      </c>
      <c r="T30" s="19"/>
      <c r="U30" s="19"/>
      <c r="V30" s="19">
        <v>18</v>
      </c>
    </row>
    <row r="31" spans="1:22" ht="12.75" customHeight="1" x14ac:dyDescent="0.2">
      <c r="A31" s="22" t="s">
        <v>99</v>
      </c>
      <c r="B31" s="16" t="s">
        <v>578</v>
      </c>
      <c r="C31" s="20"/>
      <c r="D31" s="68"/>
      <c r="E31" s="68"/>
      <c r="F31" s="69"/>
      <c r="G31" s="70"/>
      <c r="H31" s="70"/>
      <c r="I31" s="71"/>
      <c r="J31" s="74"/>
      <c r="K31" s="72"/>
      <c r="L31" s="71">
        <v>177.27</v>
      </c>
      <c r="M31" s="104">
        <f t="shared" si="1"/>
        <v>-177.27</v>
      </c>
      <c r="N31" s="40" t="s">
        <v>6</v>
      </c>
      <c r="O31" s="69">
        <v>217.44</v>
      </c>
      <c r="P31" s="39">
        <f t="shared" si="3"/>
        <v>-394.71000000000004</v>
      </c>
      <c r="Q31" s="120">
        <f t="shared" si="2"/>
        <v>0</v>
      </c>
      <c r="R31" s="51" t="s">
        <v>565</v>
      </c>
      <c r="S31" s="62" t="s">
        <v>197</v>
      </c>
      <c r="T31" s="19" t="s">
        <v>407</v>
      </c>
      <c r="U31" s="19" t="s">
        <v>431</v>
      </c>
      <c r="V31" s="19">
        <v>19</v>
      </c>
    </row>
    <row r="32" spans="1:22" ht="12.75" customHeight="1" x14ac:dyDescent="0.25">
      <c r="A32" s="22" t="s">
        <v>102</v>
      </c>
      <c r="B32" s="16" t="s">
        <v>1108</v>
      </c>
      <c r="C32" s="20" t="s">
        <v>579</v>
      </c>
      <c r="D32" s="68">
        <v>43617</v>
      </c>
      <c r="E32" s="68">
        <v>43646</v>
      </c>
      <c r="F32" s="73">
        <v>720</v>
      </c>
      <c r="G32" s="70">
        <v>43.2</v>
      </c>
      <c r="H32" s="70">
        <v>8.64</v>
      </c>
      <c r="I32" s="71">
        <v>6</v>
      </c>
      <c r="J32" s="74">
        <v>662.16</v>
      </c>
      <c r="K32" s="72">
        <v>43617.511111111111</v>
      </c>
      <c r="L32" s="71">
        <v>177.27</v>
      </c>
      <c r="M32" s="104">
        <f t="shared" si="1"/>
        <v>484.89</v>
      </c>
      <c r="N32" s="40" t="s">
        <v>6</v>
      </c>
      <c r="O32" s="73">
        <v>551.52</v>
      </c>
      <c r="P32" s="39">
        <f t="shared" si="3"/>
        <v>-66.63</v>
      </c>
      <c r="Q32" s="120">
        <f t="shared" si="2"/>
        <v>0</v>
      </c>
      <c r="R32" s="40" t="s">
        <v>564</v>
      </c>
      <c r="S32" s="62" t="s">
        <v>396</v>
      </c>
      <c r="T32" s="19" t="s">
        <v>410</v>
      </c>
      <c r="U32" s="128" t="s">
        <v>432</v>
      </c>
      <c r="V32" s="128">
        <v>34</v>
      </c>
    </row>
    <row r="33" spans="1:22" ht="12.75" customHeight="1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399</v>
      </c>
      <c r="T33" s="64"/>
      <c r="U33" s="64"/>
      <c r="V33" s="64">
        <v>20</v>
      </c>
    </row>
    <row r="34" spans="1:22" ht="12.75" customHeight="1" x14ac:dyDescent="0.2">
      <c r="A34" s="22" t="s">
        <v>103</v>
      </c>
      <c r="B34" s="16" t="s">
        <v>1109</v>
      </c>
      <c r="C34" s="20" t="s">
        <v>95</v>
      </c>
      <c r="D34" s="68">
        <v>43599</v>
      </c>
      <c r="E34" s="72">
        <v>43659</v>
      </c>
      <c r="F34" s="73">
        <v>466.16</v>
      </c>
      <c r="G34" s="70">
        <v>27.98</v>
      </c>
      <c r="H34" s="70">
        <v>5.59</v>
      </c>
      <c r="I34" s="71">
        <v>6</v>
      </c>
      <c r="J34" s="74">
        <v>426.59</v>
      </c>
      <c r="K34" s="68">
        <v>43620.706250000003</v>
      </c>
      <c r="L34" s="71">
        <v>177.27</v>
      </c>
      <c r="M34" s="104">
        <f t="shared" si="1"/>
        <v>249.32000000000002</v>
      </c>
      <c r="N34" s="50" t="s">
        <v>6</v>
      </c>
      <c r="O34" s="73">
        <v>211.68</v>
      </c>
      <c r="P34" s="39">
        <f t="shared" si="3"/>
        <v>37.640000000000015</v>
      </c>
      <c r="Q34" s="120">
        <f t="shared" si="2"/>
        <v>-5.6843418860808015E-14</v>
      </c>
      <c r="R34" s="124" t="s">
        <v>583</v>
      </c>
      <c r="S34" s="62" t="s">
        <v>197</v>
      </c>
      <c r="T34" s="19" t="s">
        <v>411</v>
      </c>
      <c r="U34" s="19" t="s">
        <v>433</v>
      </c>
      <c r="V34" s="19">
        <v>31</v>
      </c>
    </row>
    <row r="35" spans="1:22" ht="12.75" customHeight="1" x14ac:dyDescent="0.2">
      <c r="A35" s="22" t="s">
        <v>66</v>
      </c>
      <c r="B35" s="16" t="s">
        <v>1110</v>
      </c>
      <c r="C35" s="20" t="s">
        <v>95</v>
      </c>
      <c r="D35" s="68">
        <v>43624</v>
      </c>
      <c r="E35" s="68">
        <v>43653</v>
      </c>
      <c r="F35" s="69">
        <v>480.52</v>
      </c>
      <c r="G35" s="70">
        <v>28.83</v>
      </c>
      <c r="H35" s="70">
        <v>5.77</v>
      </c>
      <c r="I35" s="71">
        <v>6</v>
      </c>
      <c r="J35" s="74">
        <v>439.92</v>
      </c>
      <c r="K35" s="68">
        <v>43626.632638888892</v>
      </c>
      <c r="L35" s="71">
        <v>177.27</v>
      </c>
      <c r="M35" s="104">
        <f t="shared" si="1"/>
        <v>262.64999999999998</v>
      </c>
      <c r="N35" s="50" t="s">
        <v>6</v>
      </c>
      <c r="O35" s="69">
        <v>203.62</v>
      </c>
      <c r="P35" s="39">
        <f t="shared" si="3"/>
        <v>59.029999999999973</v>
      </c>
      <c r="Q35" s="120">
        <f t="shared" si="2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r="36" spans="1:22" ht="12.75" customHeight="1" x14ac:dyDescent="0.2">
      <c r="A36" s="22" t="s">
        <v>105</v>
      </c>
      <c r="B36" s="16" t="s">
        <v>578</v>
      </c>
      <c r="C36" s="20"/>
      <c r="D36" s="72"/>
      <c r="E36" s="72"/>
      <c r="F36" s="73"/>
      <c r="G36" s="70"/>
      <c r="H36" s="70"/>
      <c r="I36" s="71"/>
      <c r="J36" s="74"/>
      <c r="K36" s="72"/>
      <c r="L36" s="71">
        <v>177.27</v>
      </c>
      <c r="M36" s="104">
        <f t="shared" si="1"/>
        <v>-177.27</v>
      </c>
      <c r="N36" s="50" t="s">
        <v>6</v>
      </c>
      <c r="O36" s="73">
        <v>203.62</v>
      </c>
      <c r="P36" s="39">
        <f t="shared" si="3"/>
        <v>-380.89</v>
      </c>
      <c r="Q36" s="120">
        <f t="shared" si="2"/>
        <v>0</v>
      </c>
      <c r="R36" s="124" t="s">
        <v>583</v>
      </c>
      <c r="S36" s="62" t="s">
        <v>396</v>
      </c>
      <c r="T36" s="19" t="s">
        <v>412</v>
      </c>
      <c r="U36" s="19" t="s">
        <v>435</v>
      </c>
      <c r="V36" s="19">
        <v>33</v>
      </c>
    </row>
    <row r="37" spans="1:22" ht="12.75" customHeight="1" x14ac:dyDescent="0.25">
      <c r="A37" s="22" t="s">
        <v>106</v>
      </c>
      <c r="B37" s="16" t="s">
        <v>1111</v>
      </c>
      <c r="C37" s="20" t="s">
        <v>95</v>
      </c>
      <c r="D37" s="68">
        <v>43611</v>
      </c>
      <c r="E37" s="68">
        <v>43641</v>
      </c>
      <c r="F37" s="73">
        <v>505</v>
      </c>
      <c r="G37" s="70">
        <v>30.3</v>
      </c>
      <c r="H37" s="70">
        <v>6.06</v>
      </c>
      <c r="I37" s="71">
        <v>6</v>
      </c>
      <c r="J37" s="74">
        <v>462.64</v>
      </c>
      <c r="K37" s="72">
        <v>43623.539583333331</v>
      </c>
      <c r="L37" s="71">
        <v>333.27</v>
      </c>
      <c r="M37" s="104">
        <f t="shared" si="1"/>
        <v>129.37</v>
      </c>
      <c r="N37" s="40" t="s">
        <v>6</v>
      </c>
      <c r="O37" s="73">
        <v>375.8</v>
      </c>
      <c r="P37" s="39">
        <f t="shared" si="3"/>
        <v>-246.43</v>
      </c>
      <c r="Q37" s="120">
        <f t="shared" si="2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r="38" spans="1:22" ht="12.75" customHeight="1" x14ac:dyDescent="0.2">
      <c r="A38" s="22" t="s">
        <v>224</v>
      </c>
      <c r="B38" s="16" t="s">
        <v>1112</v>
      </c>
      <c r="C38" s="20" t="s">
        <v>579</v>
      </c>
      <c r="D38" s="72">
        <v>43617</v>
      </c>
      <c r="E38" s="72">
        <v>43646</v>
      </c>
      <c r="F38" s="69">
        <v>500</v>
      </c>
      <c r="G38" s="70">
        <v>30.01</v>
      </c>
      <c r="H38" s="70">
        <v>6</v>
      </c>
      <c r="I38" s="71"/>
      <c r="J38" s="74">
        <v>463.99</v>
      </c>
      <c r="K38" s="72">
        <v>43617.511111111111</v>
      </c>
      <c r="L38" s="71">
        <v>177.27</v>
      </c>
      <c r="M38" s="104">
        <f t="shared" si="1"/>
        <v>286.72000000000003</v>
      </c>
      <c r="N38" s="40" t="s">
        <v>6</v>
      </c>
      <c r="O38" s="69">
        <v>211.68</v>
      </c>
      <c r="P38" s="39">
        <f t="shared" si="3"/>
        <v>75.04000000000002</v>
      </c>
      <c r="Q38" s="120">
        <f t="shared" si="2"/>
        <v>0</v>
      </c>
      <c r="R38" s="55" t="s">
        <v>586</v>
      </c>
      <c r="S38" s="62" t="s">
        <v>197</v>
      </c>
      <c r="T38" s="19" t="s">
        <v>411</v>
      </c>
      <c r="U38" s="19" t="s">
        <v>437</v>
      </c>
      <c r="V38" s="19">
        <v>26</v>
      </c>
    </row>
    <row r="39" spans="1:22" ht="12.75" customHeight="1" x14ac:dyDescent="0.2">
      <c r="A39" s="22" t="s">
        <v>226</v>
      </c>
      <c r="B39" s="16" t="s">
        <v>1113</v>
      </c>
      <c r="C39" s="20" t="s">
        <v>95</v>
      </c>
      <c r="D39" s="72">
        <v>43611</v>
      </c>
      <c r="E39" s="72">
        <v>43671</v>
      </c>
      <c r="F39" s="69">
        <v>461.52</v>
      </c>
      <c r="G39" s="70">
        <v>27.68</v>
      </c>
      <c r="H39" s="70">
        <v>5.54</v>
      </c>
      <c r="I39" s="71"/>
      <c r="J39" s="74">
        <v>428.3</v>
      </c>
      <c r="K39" s="68">
        <v>43620.706250000003</v>
      </c>
      <c r="L39" s="71">
        <v>177.27</v>
      </c>
      <c r="M39" s="104">
        <f t="shared" si="1"/>
        <v>251.02999999999994</v>
      </c>
      <c r="N39" s="40" t="s">
        <v>6</v>
      </c>
      <c r="O39" s="69">
        <v>211.68</v>
      </c>
      <c r="P39" s="39">
        <f t="shared" si="3"/>
        <v>39.349999999999937</v>
      </c>
      <c r="Q39" s="120">
        <f t="shared" si="2"/>
        <v>5.6843418860808015E-14</v>
      </c>
      <c r="R39" s="124" t="s">
        <v>587</v>
      </c>
      <c r="S39" s="62" t="s">
        <v>197</v>
      </c>
      <c r="T39" s="19" t="s">
        <v>411</v>
      </c>
      <c r="U39" s="19" t="s">
        <v>438</v>
      </c>
      <c r="V39" s="19">
        <v>22</v>
      </c>
    </row>
    <row r="40" spans="1:22" ht="12.75" customHeight="1" x14ac:dyDescent="0.2">
      <c r="A40" s="22" t="s">
        <v>227</v>
      </c>
      <c r="B40" s="16" t="s">
        <v>1114</v>
      </c>
      <c r="C40" s="20" t="s">
        <v>579</v>
      </c>
      <c r="D40" s="72">
        <v>43332</v>
      </c>
      <c r="E40" s="72">
        <v>43392</v>
      </c>
      <c r="F40" s="73">
        <v>610</v>
      </c>
      <c r="G40" s="70">
        <v>36.6</v>
      </c>
      <c r="H40" s="70">
        <v>7.32</v>
      </c>
      <c r="I40" s="71">
        <v>18</v>
      </c>
      <c r="J40" s="74">
        <v>548.08000000000004</v>
      </c>
      <c r="K40" s="72">
        <v>43634.602083333331</v>
      </c>
      <c r="L40" s="71">
        <v>868.27</v>
      </c>
      <c r="M40" s="104">
        <f t="shared" si="1"/>
        <v>-320.19000000000005</v>
      </c>
      <c r="N40" s="40" t="s">
        <v>258</v>
      </c>
      <c r="O40" s="73">
        <v>242.09</v>
      </c>
      <c r="P40" s="39">
        <f t="shared" si="3"/>
        <v>-562.28000000000009</v>
      </c>
      <c r="Q40" s="120">
        <f t="shared" si="2"/>
        <v>1.1368683772161603E-13</v>
      </c>
      <c r="R40" s="126" t="s">
        <v>588</v>
      </c>
      <c r="S40" s="62" t="s">
        <v>197</v>
      </c>
      <c r="T40" s="19" t="s">
        <v>412</v>
      </c>
      <c r="U40" s="19" t="s">
        <v>439</v>
      </c>
      <c r="V40" s="19">
        <v>21</v>
      </c>
    </row>
    <row r="41" spans="1:22" ht="12.75" customHeight="1" x14ac:dyDescent="0.2">
      <c r="A41" s="22" t="s">
        <v>228</v>
      </c>
      <c r="B41" s="16" t="s">
        <v>1115</v>
      </c>
      <c r="C41" s="20" t="s">
        <v>95</v>
      </c>
      <c r="D41" s="68">
        <v>43601</v>
      </c>
      <c r="E41" s="68">
        <v>43631</v>
      </c>
      <c r="F41" s="69">
        <v>600</v>
      </c>
      <c r="G41" s="70">
        <v>36</v>
      </c>
      <c r="H41" s="70">
        <v>7.2</v>
      </c>
      <c r="I41" s="71">
        <v>6</v>
      </c>
      <c r="J41" s="74">
        <v>550.79999999999995</v>
      </c>
      <c r="K41" s="68">
        <v>43622.665277777778</v>
      </c>
      <c r="L41" s="71">
        <v>177.27</v>
      </c>
      <c r="M41" s="104">
        <f t="shared" si="1"/>
        <v>373.53</v>
      </c>
      <c r="N41" s="40" t="s">
        <v>6</v>
      </c>
      <c r="O41" s="69">
        <v>240.21</v>
      </c>
      <c r="P41" s="39">
        <f t="shared" si="3"/>
        <v>133.31999999999996</v>
      </c>
      <c r="Q41" s="120">
        <f t="shared" si="2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r="42" spans="1:22" ht="12.75" customHeight="1" x14ac:dyDescent="0.25">
      <c r="A42" s="22" t="s">
        <v>107</v>
      </c>
      <c r="B42" s="16" t="s">
        <v>1116</v>
      </c>
      <c r="C42" s="20" t="s">
        <v>579</v>
      </c>
      <c r="D42" s="68">
        <v>43599</v>
      </c>
      <c r="E42" s="68">
        <v>43659</v>
      </c>
      <c r="F42" s="73">
        <v>1000</v>
      </c>
      <c r="G42" s="70">
        <v>60</v>
      </c>
      <c r="H42" s="70">
        <v>12</v>
      </c>
      <c r="I42" s="71">
        <v>6</v>
      </c>
      <c r="J42" s="74">
        <v>922</v>
      </c>
      <c r="K42" s="72">
        <v>43628.65347222222</v>
      </c>
      <c r="L42" s="71">
        <v>177.27</v>
      </c>
      <c r="M42" s="104">
        <f t="shared" si="1"/>
        <v>744.73</v>
      </c>
      <c r="N42" s="40" t="s">
        <v>6</v>
      </c>
      <c r="O42" s="73">
        <v>386.17</v>
      </c>
      <c r="P42" s="39">
        <f t="shared" si="3"/>
        <v>358.56</v>
      </c>
      <c r="Q42" s="120">
        <f t="shared" si="2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r="43" spans="1:22" ht="12.75" customHeight="1" x14ac:dyDescent="0.25">
      <c r="A43" s="22" t="s">
        <v>67</v>
      </c>
      <c r="B43" s="16" t="s">
        <v>1117</v>
      </c>
      <c r="C43" s="20" t="s">
        <v>130</v>
      </c>
      <c r="D43" s="68">
        <v>43619</v>
      </c>
      <c r="E43" s="68">
        <v>43649</v>
      </c>
      <c r="F43" s="73">
        <v>600</v>
      </c>
      <c r="G43" s="70"/>
      <c r="H43" s="70"/>
      <c r="I43" s="71"/>
      <c r="J43" s="74">
        <v>600</v>
      </c>
      <c r="K43" s="72">
        <v>43619</v>
      </c>
      <c r="L43" s="71">
        <v>348.96</v>
      </c>
      <c r="M43" s="104">
        <f t="shared" si="1"/>
        <v>251.04000000000002</v>
      </c>
      <c r="N43" s="40" t="s">
        <v>6</v>
      </c>
      <c r="O43" s="73">
        <v>240.21</v>
      </c>
      <c r="P43" s="39">
        <f t="shared" si="3"/>
        <v>10.830000000000013</v>
      </c>
      <c r="Q43" s="120">
        <f t="shared" si="2"/>
        <v>0</v>
      </c>
      <c r="R43" s="51" t="s">
        <v>576</v>
      </c>
      <c r="S43" s="62" t="s">
        <v>396</v>
      </c>
      <c r="T43" s="19" t="s">
        <v>412</v>
      </c>
      <c r="U43" s="128" t="s">
        <v>442</v>
      </c>
      <c r="V43" s="128">
        <v>23</v>
      </c>
    </row>
    <row r="44" spans="1:22" ht="12.75" customHeight="1" x14ac:dyDescent="0.25">
      <c r="A44" s="22" t="s">
        <v>109</v>
      </c>
      <c r="B44" s="16" t="s">
        <v>1118</v>
      </c>
      <c r="C44" s="20" t="s">
        <v>130</v>
      </c>
      <c r="D44" s="68">
        <v>43626</v>
      </c>
      <c r="E44" s="68">
        <v>43656</v>
      </c>
      <c r="F44" s="73">
        <v>700</v>
      </c>
      <c r="G44" s="70"/>
      <c r="H44" s="70"/>
      <c r="I44" s="71"/>
      <c r="J44" s="74">
        <v>700</v>
      </c>
      <c r="K44" s="72">
        <v>43626</v>
      </c>
      <c r="L44" s="71">
        <v>177.27</v>
      </c>
      <c r="M44" s="104">
        <f t="shared" si="1"/>
        <v>522.73</v>
      </c>
      <c r="N44" s="40" t="s">
        <v>6</v>
      </c>
      <c r="O44" s="73">
        <v>242.16</v>
      </c>
      <c r="P44" s="39">
        <f t="shared" si="3"/>
        <v>280.57000000000005</v>
      </c>
      <c r="Q44" s="120">
        <f t="shared" si="2"/>
        <v>0</v>
      </c>
      <c r="R44" s="124" t="s">
        <v>589</v>
      </c>
      <c r="S44" s="62" t="s">
        <v>396</v>
      </c>
      <c r="T44" s="19" t="s">
        <v>412</v>
      </c>
      <c r="U44" s="129" t="s">
        <v>443</v>
      </c>
      <c r="V44" s="129">
        <v>27</v>
      </c>
    </row>
    <row r="45" spans="1:22" ht="12.75" customHeight="1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399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1119</v>
      </c>
      <c r="C46" s="20" t="s">
        <v>579</v>
      </c>
      <c r="D46" s="68">
        <v>43573</v>
      </c>
      <c r="E46" s="68">
        <v>43633</v>
      </c>
      <c r="F46" s="73">
        <v>480.12</v>
      </c>
      <c r="G46" s="70">
        <v>28.81</v>
      </c>
      <c r="H46" s="70">
        <v>5.76</v>
      </c>
      <c r="I46" s="71">
        <v>6</v>
      </c>
      <c r="J46" s="74">
        <v>439.55</v>
      </c>
      <c r="K46" s="72">
        <v>43620.706250000003</v>
      </c>
      <c r="L46" s="71">
        <v>177.27</v>
      </c>
      <c r="M46" s="104">
        <f t="shared" si="1"/>
        <v>262.27999999999997</v>
      </c>
      <c r="N46" s="40" t="s">
        <v>6</v>
      </c>
      <c r="O46" s="73">
        <v>206.85</v>
      </c>
      <c r="P46" s="39">
        <f t="shared" si="3"/>
        <v>55.429999999999978</v>
      </c>
      <c r="Q46" s="120">
        <f t="shared" si="2"/>
        <v>0</v>
      </c>
      <c r="R46" s="40"/>
      <c r="S46" s="62" t="s">
        <v>396</v>
      </c>
      <c r="T46" s="19" t="s">
        <v>406</v>
      </c>
      <c r="U46" s="127" t="s">
        <v>444</v>
      </c>
      <c r="V46" s="127">
        <v>46</v>
      </c>
    </row>
    <row r="47" spans="1:22" ht="12.75" customHeight="1" x14ac:dyDescent="0.2">
      <c r="A47" s="22" t="s">
        <v>69</v>
      </c>
      <c r="B47" s="16" t="s">
        <v>1120</v>
      </c>
      <c r="C47" s="20" t="s">
        <v>579</v>
      </c>
      <c r="D47" s="68">
        <v>43591</v>
      </c>
      <c r="E47" s="68">
        <v>43651</v>
      </c>
      <c r="F47" s="69">
        <v>480.12</v>
      </c>
      <c r="G47" s="70">
        <v>28.8</v>
      </c>
      <c r="H47" s="70">
        <v>5.76</v>
      </c>
      <c r="I47" s="71">
        <v>6</v>
      </c>
      <c r="J47" s="74">
        <v>439.56</v>
      </c>
      <c r="K47" s="72">
        <v>43620.706250000003</v>
      </c>
      <c r="L47" s="71">
        <v>225.27</v>
      </c>
      <c r="M47" s="104">
        <f t="shared" si="1"/>
        <v>214.29</v>
      </c>
      <c r="N47" s="40" t="s">
        <v>6</v>
      </c>
      <c r="O47" s="69">
        <v>103.25</v>
      </c>
      <c r="P47" s="39">
        <f t="shared" si="3"/>
        <v>111.03999999999999</v>
      </c>
      <c r="Q47" s="120">
        <f t="shared" si="2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r="48" spans="1:22" ht="12.75" customHeight="1" x14ac:dyDescent="0.25">
      <c r="A48" s="22" t="s">
        <v>86</v>
      </c>
      <c r="B48" s="16" t="s">
        <v>1121</v>
      </c>
      <c r="C48" s="20" t="s">
        <v>95</v>
      </c>
      <c r="D48" s="68">
        <v>43608</v>
      </c>
      <c r="E48" s="68">
        <v>43668</v>
      </c>
      <c r="F48" s="73">
        <v>452.32</v>
      </c>
      <c r="G48" s="70">
        <v>27.14</v>
      </c>
      <c r="H48" s="70">
        <v>5.43</v>
      </c>
      <c r="I48" s="71">
        <v>6</v>
      </c>
      <c r="J48" s="74">
        <v>413.75</v>
      </c>
      <c r="K48" s="72">
        <v>43620.706250000003</v>
      </c>
      <c r="L48" s="71">
        <v>231.27</v>
      </c>
      <c r="M48" s="104">
        <f t="shared" si="1"/>
        <v>182.48</v>
      </c>
      <c r="N48" s="40" t="s">
        <v>6</v>
      </c>
      <c r="O48" s="73">
        <v>206.81</v>
      </c>
      <c r="P48" s="39">
        <f t="shared" si="3"/>
        <v>-24.330000000000013</v>
      </c>
      <c r="Q48" s="120">
        <f t="shared" si="2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1122</v>
      </c>
      <c r="C49" s="20" t="s">
        <v>95</v>
      </c>
      <c r="D49" s="72">
        <v>43599</v>
      </c>
      <c r="E49" s="72">
        <v>43659</v>
      </c>
      <c r="F49" s="73">
        <v>461.52</v>
      </c>
      <c r="G49" s="70">
        <v>27.68</v>
      </c>
      <c r="H49" s="70">
        <v>5.54</v>
      </c>
      <c r="I49" s="71">
        <v>6</v>
      </c>
      <c r="J49" s="74">
        <v>422.3</v>
      </c>
      <c r="K49" s="72">
        <v>43620.706250000003</v>
      </c>
      <c r="L49" s="71">
        <v>177.27</v>
      </c>
      <c r="M49" s="104">
        <f t="shared" si="1"/>
        <v>245.02999999999994</v>
      </c>
      <c r="N49" s="40" t="s">
        <v>6</v>
      </c>
      <c r="O49" s="73">
        <v>207.56</v>
      </c>
      <c r="P49" s="39">
        <f t="shared" si="3"/>
        <v>37.469999999999942</v>
      </c>
      <c r="Q49" s="120">
        <f t="shared" si="2"/>
        <v>5.6843418860808015E-14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r="50" spans="1:22" ht="12.75" customHeight="1" x14ac:dyDescent="0.2">
      <c r="A50" s="22" t="s">
        <v>231</v>
      </c>
      <c r="B50" s="16" t="s">
        <v>578</v>
      </c>
      <c r="C50" s="20"/>
      <c r="D50" s="68"/>
      <c r="E50" s="68"/>
      <c r="F50" s="69"/>
      <c r="G50" s="70"/>
      <c r="H50" s="70"/>
      <c r="I50" s="71"/>
      <c r="J50" s="74"/>
      <c r="K50" s="72"/>
      <c r="L50" s="71">
        <v>177.27</v>
      </c>
      <c r="M50" s="104">
        <f t="shared" si="1"/>
        <v>-177.27</v>
      </c>
      <c r="N50" s="40" t="s">
        <v>6</v>
      </c>
      <c r="O50" s="69">
        <v>206.8</v>
      </c>
      <c r="P50" s="39">
        <f t="shared" si="3"/>
        <v>-384.07000000000005</v>
      </c>
      <c r="Q50" s="120">
        <f t="shared" si="2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r="51" spans="1:22" ht="12.75" customHeight="1" x14ac:dyDescent="0.25">
      <c r="A51" s="22" t="s">
        <v>70</v>
      </c>
      <c r="B51" s="16" t="s">
        <v>1123</v>
      </c>
      <c r="C51" s="20" t="s">
        <v>95</v>
      </c>
      <c r="D51" s="68">
        <v>43605</v>
      </c>
      <c r="E51" s="68">
        <v>43665</v>
      </c>
      <c r="F51" s="73">
        <v>461.52</v>
      </c>
      <c r="G51" s="70">
        <v>27.68</v>
      </c>
      <c r="H51" s="70">
        <v>5.54</v>
      </c>
      <c r="I51" s="71">
        <v>6</v>
      </c>
      <c r="J51" s="74">
        <v>422.3</v>
      </c>
      <c r="K51" s="72">
        <v>43620.706250000003</v>
      </c>
      <c r="L51" s="71">
        <v>177.27</v>
      </c>
      <c r="M51" s="104">
        <f t="shared" si="1"/>
        <v>245.02999999999994</v>
      </c>
      <c r="N51" s="40" t="s">
        <v>6</v>
      </c>
      <c r="O51" s="73">
        <v>206.82</v>
      </c>
      <c r="P51" s="39">
        <f t="shared" si="3"/>
        <v>38.209999999999951</v>
      </c>
      <c r="Q51" s="120">
        <f t="shared" si="2"/>
        <v>5.6843418860808015E-14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r="52" spans="1:22" ht="12.75" customHeight="1" x14ac:dyDescent="0.2">
      <c r="A52" s="22" t="s">
        <v>71</v>
      </c>
      <c r="B52" s="16" t="s">
        <v>1124</v>
      </c>
      <c r="C52" s="20" t="s">
        <v>579</v>
      </c>
      <c r="D52" s="68">
        <v>43622</v>
      </c>
      <c r="E52" s="68">
        <v>43651</v>
      </c>
      <c r="F52" s="69">
        <v>500</v>
      </c>
      <c r="G52" s="70">
        <v>30</v>
      </c>
      <c r="H52" s="70">
        <v>6</v>
      </c>
      <c r="I52" s="71">
        <v>6</v>
      </c>
      <c r="J52" s="74">
        <v>458</v>
      </c>
      <c r="K52" s="72">
        <v>43622.665277777778</v>
      </c>
      <c r="L52" s="71">
        <v>177.27</v>
      </c>
      <c r="M52" s="104">
        <f t="shared" si="1"/>
        <v>280.73</v>
      </c>
      <c r="N52" s="40" t="s">
        <v>6</v>
      </c>
      <c r="O52" s="69">
        <v>260.98</v>
      </c>
      <c r="P52" s="39">
        <f t="shared" si="3"/>
        <v>19.75</v>
      </c>
      <c r="Q52" s="120">
        <f t="shared" si="2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r="53" spans="1:22" ht="12.75" customHeight="1" x14ac:dyDescent="0.25">
      <c r="A53" s="22" t="s">
        <v>72</v>
      </c>
      <c r="B53" s="16" t="s">
        <v>1125</v>
      </c>
      <c r="C53" s="20" t="s">
        <v>95</v>
      </c>
      <c r="D53" s="68">
        <v>43574</v>
      </c>
      <c r="E53" s="68">
        <v>43634</v>
      </c>
      <c r="F53" s="73">
        <v>461.52</v>
      </c>
      <c r="G53" s="70">
        <v>27.7</v>
      </c>
      <c r="H53" s="70">
        <v>5.54</v>
      </c>
      <c r="I53" s="71">
        <v>6</v>
      </c>
      <c r="J53" s="74">
        <v>422.28</v>
      </c>
      <c r="K53" s="72">
        <v>43620.706250000003</v>
      </c>
      <c r="L53" s="71">
        <v>177.27</v>
      </c>
      <c r="M53" s="104">
        <f t="shared" si="1"/>
        <v>245.00999999999996</v>
      </c>
      <c r="N53" s="40" t="s">
        <v>6</v>
      </c>
      <c r="O53" s="73">
        <v>213.98</v>
      </c>
      <c r="P53" s="39">
        <f t="shared" si="3"/>
        <v>31.029999999999973</v>
      </c>
      <c r="Q53" s="120">
        <f t="shared" si="2"/>
        <v>0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r="54" spans="1:22" ht="12.75" customHeight="1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399</v>
      </c>
      <c r="T54" s="64"/>
      <c r="U54" s="64"/>
      <c r="V54" s="64">
        <v>61</v>
      </c>
    </row>
    <row r="55" spans="1:22" ht="12.75" customHeight="1" x14ac:dyDescent="0.2">
      <c r="A55" s="22" t="s">
        <v>73</v>
      </c>
      <c r="B55" s="16" t="s">
        <v>578</v>
      </c>
      <c r="C55" s="20"/>
      <c r="D55" s="68"/>
      <c r="E55" s="68"/>
      <c r="F55" s="69"/>
      <c r="G55" s="70"/>
      <c r="H55" s="70"/>
      <c r="I55" s="71"/>
      <c r="J55" s="74"/>
      <c r="K55" s="72"/>
      <c r="L55" s="71">
        <v>1377.27</v>
      </c>
      <c r="M55" s="104">
        <f t="shared" si="1"/>
        <v>-1377.27</v>
      </c>
      <c r="N55" s="40" t="s">
        <v>202</v>
      </c>
      <c r="O55" s="69">
        <v>251.78</v>
      </c>
      <c r="P55" s="39">
        <f t="shared" si="3"/>
        <v>-1629.05</v>
      </c>
      <c r="Q55" s="120">
        <f t="shared" si="2"/>
        <v>0</v>
      </c>
      <c r="R55" s="51" t="s">
        <v>590</v>
      </c>
      <c r="S55" s="62" t="s">
        <v>197</v>
      </c>
      <c r="T55" s="19" t="s">
        <v>406</v>
      </c>
      <c r="U55" s="19" t="s">
        <v>452</v>
      </c>
      <c r="V55" s="19">
        <v>66</v>
      </c>
    </row>
    <row r="56" spans="1:22" ht="12.75" customHeight="1" x14ac:dyDescent="0.25">
      <c r="A56" s="22" t="s">
        <v>112</v>
      </c>
      <c r="B56" s="16" t="s">
        <v>1126</v>
      </c>
      <c r="C56" s="20" t="s">
        <v>579</v>
      </c>
      <c r="D56" s="68">
        <v>43613</v>
      </c>
      <c r="E56" s="68">
        <v>43643</v>
      </c>
      <c r="F56" s="73">
        <v>600</v>
      </c>
      <c r="G56" s="70">
        <v>36</v>
      </c>
      <c r="H56" s="70">
        <v>7.2</v>
      </c>
      <c r="I56" s="71">
        <v>6</v>
      </c>
      <c r="J56" s="74">
        <v>550.79999999999995</v>
      </c>
      <c r="K56" s="72">
        <v>43623.539583333331</v>
      </c>
      <c r="L56" s="71">
        <v>296.20999999999998</v>
      </c>
      <c r="M56" s="104">
        <f t="shared" si="1"/>
        <v>254.58999999999997</v>
      </c>
      <c r="N56" s="40" t="s">
        <v>6</v>
      </c>
      <c r="O56" s="73">
        <v>206.82</v>
      </c>
      <c r="P56" s="39">
        <f t="shared" si="3"/>
        <v>47.769999999999982</v>
      </c>
      <c r="Q56" s="120">
        <f t="shared" si="2"/>
        <v>0</v>
      </c>
      <c r="R56" s="51" t="s">
        <v>574</v>
      </c>
      <c r="S56" s="62" t="s">
        <v>396</v>
      </c>
      <c r="T56" s="19" t="s">
        <v>406</v>
      </c>
      <c r="U56" s="128" t="s">
        <v>453</v>
      </c>
      <c r="V56" s="128">
        <v>67</v>
      </c>
    </row>
    <row r="57" spans="1:22" ht="12.75" customHeight="1" x14ac:dyDescent="0.2">
      <c r="A57" s="22" t="s">
        <v>115</v>
      </c>
      <c r="B57" s="16" t="s">
        <v>1127</v>
      </c>
      <c r="C57" s="20" t="s">
        <v>95</v>
      </c>
      <c r="D57" s="68">
        <v>43597</v>
      </c>
      <c r="E57" s="68">
        <v>43657</v>
      </c>
      <c r="F57" s="69">
        <v>461.52</v>
      </c>
      <c r="G57" s="70">
        <v>27.68</v>
      </c>
      <c r="H57" s="70">
        <v>5.54</v>
      </c>
      <c r="I57" s="71">
        <v>6</v>
      </c>
      <c r="J57" s="74">
        <v>422.3</v>
      </c>
      <c r="K57" s="72">
        <v>43620.706250000003</v>
      </c>
      <c r="L57" s="71">
        <v>231.27</v>
      </c>
      <c r="M57" s="104">
        <f t="shared" si="1"/>
        <v>191.02999999999994</v>
      </c>
      <c r="N57" s="40" t="s">
        <v>6</v>
      </c>
      <c r="O57" s="69">
        <v>221.36</v>
      </c>
      <c r="P57" s="39">
        <f t="shared" si="3"/>
        <v>-30.330000000000069</v>
      </c>
      <c r="Q57" s="120">
        <f t="shared" si="2"/>
        <v>5.6843418860808015E-14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r="58" spans="1:22" ht="15" x14ac:dyDescent="0.25">
      <c r="A58" s="22" t="s">
        <v>117</v>
      </c>
      <c r="B58" s="16" t="s">
        <v>1128</v>
      </c>
      <c r="C58" s="20" t="s">
        <v>95</v>
      </c>
      <c r="D58" s="68">
        <v>43593</v>
      </c>
      <c r="E58" s="68">
        <v>43653</v>
      </c>
      <c r="F58" s="73">
        <v>461.52</v>
      </c>
      <c r="G58" s="70">
        <v>27.69</v>
      </c>
      <c r="H58" s="70">
        <v>5.54</v>
      </c>
      <c r="I58" s="71">
        <v>6</v>
      </c>
      <c r="J58" s="74">
        <v>422.29</v>
      </c>
      <c r="K58" s="72">
        <v>43620.706250000003</v>
      </c>
      <c r="L58" s="71">
        <v>177.27</v>
      </c>
      <c r="M58" s="104">
        <f t="shared" si="1"/>
        <v>245.01999999999995</v>
      </c>
      <c r="N58" s="40" t="s">
        <v>6</v>
      </c>
      <c r="O58" s="73">
        <v>206.77</v>
      </c>
      <c r="P58" s="39">
        <f t="shared" si="3"/>
        <v>38.249999999999943</v>
      </c>
      <c r="Q58" s="120">
        <f t="shared" si="2"/>
        <v>5.6843418860808015E-14</v>
      </c>
      <c r="R58" s="40"/>
      <c r="S58" s="62" t="s">
        <v>396</v>
      </c>
      <c r="T58" s="19" t="s">
        <v>406</v>
      </c>
      <c r="U58" s="127" t="s">
        <v>455</v>
      </c>
      <c r="V58" s="127">
        <v>68</v>
      </c>
    </row>
    <row r="59" spans="1:22" ht="12.75" customHeight="1" x14ac:dyDescent="0.2">
      <c r="A59" s="22" t="s">
        <v>74</v>
      </c>
      <c r="B59" s="16" t="s">
        <v>1129</v>
      </c>
      <c r="C59" s="20" t="s">
        <v>579</v>
      </c>
      <c r="D59" s="68">
        <v>43628</v>
      </c>
      <c r="E59" s="68">
        <v>43657</v>
      </c>
      <c r="F59" s="69">
        <v>550</v>
      </c>
      <c r="G59" s="70">
        <v>33</v>
      </c>
      <c r="H59" s="70">
        <v>6.6</v>
      </c>
      <c r="I59" s="71">
        <v>6</v>
      </c>
      <c r="J59" s="74">
        <v>504.4</v>
      </c>
      <c r="K59" s="72">
        <v>43629.60833333333</v>
      </c>
      <c r="L59" s="71">
        <v>231.27</v>
      </c>
      <c r="M59" s="104">
        <f t="shared" si="1"/>
        <v>273.13</v>
      </c>
      <c r="N59" s="40" t="s">
        <v>6</v>
      </c>
      <c r="O59" s="69">
        <v>206.93</v>
      </c>
      <c r="P59" s="39">
        <f t="shared" si="3"/>
        <v>66.199999999999989</v>
      </c>
      <c r="Q59" s="120">
        <f t="shared" si="2"/>
        <v>0</v>
      </c>
      <c r="R59" s="172" t="s">
        <v>573</v>
      </c>
      <c r="S59" s="62" t="s">
        <v>197</v>
      </c>
      <c r="T59" s="19" t="s">
        <v>406</v>
      </c>
      <c r="U59" s="19" t="s">
        <v>456</v>
      </c>
      <c r="V59" s="19">
        <v>64</v>
      </c>
    </row>
    <row r="60" spans="1:22" ht="12.75" customHeight="1" x14ac:dyDescent="0.25">
      <c r="A60" s="22" t="s">
        <v>118</v>
      </c>
      <c r="B60" s="16" t="s">
        <v>1130</v>
      </c>
      <c r="C60" s="20" t="s">
        <v>95</v>
      </c>
      <c r="D60" s="68">
        <v>43604</v>
      </c>
      <c r="E60" s="68">
        <v>43664</v>
      </c>
      <c r="F60" s="73">
        <v>466.16</v>
      </c>
      <c r="G60" s="70">
        <v>27.98</v>
      </c>
      <c r="H60" s="70">
        <v>5.59</v>
      </c>
      <c r="I60" s="71">
        <v>6</v>
      </c>
      <c r="J60" s="74">
        <v>426.59</v>
      </c>
      <c r="K60" s="72">
        <v>43620.706250000003</v>
      </c>
      <c r="L60" s="71">
        <v>231.27</v>
      </c>
      <c r="M60" s="104">
        <f t="shared" si="1"/>
        <v>195.32000000000002</v>
      </c>
      <c r="N60" s="40" t="s">
        <v>6</v>
      </c>
      <c r="O60" s="73">
        <v>206.77</v>
      </c>
      <c r="P60" s="39">
        <f t="shared" si="3"/>
        <v>-11.449999999999989</v>
      </c>
      <c r="Q60" s="120">
        <f t="shared" si="2"/>
        <v>-5.6843418860808015E-14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r="61" spans="1:22" ht="12.75" customHeight="1" x14ac:dyDescent="0.2">
      <c r="A61" s="22" t="s">
        <v>119</v>
      </c>
      <c r="B61" s="16" t="s">
        <v>1131</v>
      </c>
      <c r="C61" s="33" t="s">
        <v>579</v>
      </c>
      <c r="D61" s="68">
        <v>43644</v>
      </c>
      <c r="E61" s="68">
        <v>43673</v>
      </c>
      <c r="F61" s="69">
        <v>550</v>
      </c>
      <c r="G61" s="70">
        <v>33</v>
      </c>
      <c r="H61" s="70">
        <v>6.6</v>
      </c>
      <c r="I61" s="71">
        <v>6</v>
      </c>
      <c r="J61" s="74">
        <v>504.4</v>
      </c>
      <c r="K61" s="72">
        <v>43644.554166666669</v>
      </c>
      <c r="L61" s="71">
        <v>177.27</v>
      </c>
      <c r="M61" s="104">
        <f t="shared" si="1"/>
        <v>327.13</v>
      </c>
      <c r="N61" s="40" t="s">
        <v>203</v>
      </c>
      <c r="O61" s="69">
        <v>251.96</v>
      </c>
      <c r="P61" s="39">
        <f t="shared" si="3"/>
        <v>75.169999999999987</v>
      </c>
      <c r="Q61" s="120">
        <f t="shared" si="2"/>
        <v>0</v>
      </c>
      <c r="R61" s="143" t="s">
        <v>591</v>
      </c>
      <c r="S61" s="62" t="s">
        <v>197</v>
      </c>
      <c r="T61" s="19" t="s">
        <v>406</v>
      </c>
      <c r="U61" s="19" t="s">
        <v>458</v>
      </c>
      <c r="V61" s="19">
        <v>70</v>
      </c>
    </row>
    <row r="62" spans="1:22" ht="12.75" customHeight="1" x14ac:dyDescent="0.25">
      <c r="A62" s="22" t="s">
        <v>75</v>
      </c>
      <c r="B62" s="16" t="s">
        <v>1132</v>
      </c>
      <c r="C62" s="20" t="s">
        <v>579</v>
      </c>
      <c r="D62" s="68">
        <v>43644</v>
      </c>
      <c r="E62" s="68">
        <v>43673</v>
      </c>
      <c r="F62" s="73">
        <v>525</v>
      </c>
      <c r="G62" s="70">
        <v>31.5</v>
      </c>
      <c r="H62" s="70">
        <v>6.3</v>
      </c>
      <c r="I62" s="71">
        <v>6</v>
      </c>
      <c r="J62" s="74">
        <v>481.2</v>
      </c>
      <c r="K62" s="72">
        <v>43644.554166666669</v>
      </c>
      <c r="L62" s="71">
        <v>177.27</v>
      </c>
      <c r="M62" s="104">
        <f t="shared" si="1"/>
        <v>303.92999999999995</v>
      </c>
      <c r="N62" s="40" t="s">
        <v>6</v>
      </c>
      <c r="O62" s="73">
        <v>213.98</v>
      </c>
      <c r="P62" s="39">
        <f t="shared" si="3"/>
        <v>89.94999999999996</v>
      </c>
      <c r="Q62" s="120">
        <f t="shared" si="2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1"/>
      <c r="B65" s="11"/>
      <c r="C65" s="11"/>
      <c r="E65" s="12" t="s">
        <v>19</v>
      </c>
      <c r="F65" s="35">
        <f>SUM(F9:F63)</f>
        <v>19057.430000000004</v>
      </c>
      <c r="G65" s="35">
        <f>SUM(G9:G63)</f>
        <v>1065.4199999999998</v>
      </c>
      <c r="H65" s="35">
        <f>SUM(H9:H63)</f>
        <v>213.08999999999997</v>
      </c>
      <c r="I65" s="35">
        <f>SUM(I9:I63)</f>
        <v>210</v>
      </c>
      <c r="J65" s="35">
        <f>SUM(J9:J63)</f>
        <v>17568.919999999998</v>
      </c>
      <c r="K65" s="34"/>
      <c r="L65" s="35">
        <f>SUM(L9:L63)</f>
        <v>11883.510000000009</v>
      </c>
      <c r="M65" s="35">
        <f>SUM(M9:M63)</f>
        <v>5685.409999999998</v>
      </c>
      <c r="N65" s="34"/>
      <c r="O65" s="35">
        <f>SUM(O9:O63)</f>
        <v>9438.92</v>
      </c>
      <c r="P65" s="35">
        <f>SUM(P9:P63)</f>
        <v>-3753.5100000000016</v>
      </c>
      <c r="R65" s="34"/>
    </row>
    <row r="66" spans="1:18" ht="13.5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C50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520</v>
      </c>
      <c r="B1" s="86"/>
    </row>
    <row r="2" spans="1:9" ht="15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19057.430000000004</v>
      </c>
      <c r="E5" s="34">
        <f>SUMIF('Rent Statement'!S9:S63,"=Mathew Tucker", 'Rent Statement'!F9:F63)</f>
        <v>10987.300000000003</v>
      </c>
      <c r="H5" s="34">
        <f>SUMIF('Rent Statement'!S9:S63,"Ivana Valentino", 'Rent Statement'!F9:F63)</f>
        <v>8070.130000000001</v>
      </c>
    </row>
    <row r="6" spans="1:9" x14ac:dyDescent="0.2">
      <c r="A6" t="s">
        <v>214</v>
      </c>
      <c r="C6" s="46">
        <f>-SUM('Rent Statement'!O9:O63)</f>
        <v>-9438.92</v>
      </c>
      <c r="F6" s="46">
        <f>-SUMIF('Rent Statement'!S9:S63,"Mathew Tucker",'Rent Statement'!O9:O63)</f>
        <v>-5275.9</v>
      </c>
      <c r="I6" s="46">
        <f>-SUMIF('Rent Statement'!S9:S63,"Ivana Valentino",'Rent Statement'!O9:O63)</f>
        <v>-4163.0199999999995</v>
      </c>
    </row>
    <row r="7" spans="1:9" x14ac:dyDescent="0.2">
      <c r="A7" t="s">
        <v>213</v>
      </c>
      <c r="C7" s="46">
        <f>-SUM('Rent Statement'!G9:G63)</f>
        <v>-1065.4199999999998</v>
      </c>
      <c r="F7" s="46">
        <f>-SUMIF('Rent Statement'!S9:S63,"Mathew Tucker",'Rent Statement'!G9:G63)</f>
        <v>-659.20999999999992</v>
      </c>
      <c r="I7" s="46">
        <f>-SUMIF('Rent Statement'!S9:S63,"Ivana Valentino",'Rent Statement'!G9:G63)</f>
        <v>-406.21</v>
      </c>
    </row>
    <row r="8" spans="1:9" x14ac:dyDescent="0.2">
      <c r="A8" t="s">
        <v>212</v>
      </c>
      <c r="C8" s="46">
        <f>-SUM('Rent Statement'!H9:H63)</f>
        <v>-213.08999999999997</v>
      </c>
      <c r="F8" s="46">
        <f>-SUMIF('Rent Statement'!S9:S63,"Mathew Tucker",'Rent Statement'!H9:H63)</f>
        <v>-131.85000000000002</v>
      </c>
      <c r="I8" s="46">
        <f>-SUMIF('Rent Statement'!S9:S63,"Ivana Valentino",'Rent Statement'!H9:H63)</f>
        <v>-81.240000000000009</v>
      </c>
    </row>
    <row r="9" spans="1:9" x14ac:dyDescent="0.2">
      <c r="A9" t="s">
        <v>211</v>
      </c>
      <c r="C9" s="46">
        <f>-SUM('Rent Statement'!I9:I63)-SUM('Rent Statement'!L9:L63)</f>
        <v>-12093.510000000009</v>
      </c>
      <c r="F9" s="46">
        <f>-SUMIF('Rent Statement'!S9:S63,"Mathew Tucker",'Rent Statement'!I9:I63)-SUMIF('Rent Statement'!S9:S63,"Mathew Tucker",'Rent Statement'!L9:L63)</f>
        <v>-8269.5600000000049</v>
      </c>
      <c r="I9" s="46">
        <f>-SUMIF('Rent Statement'!S9:S63,"Ivana Valentino",'Rent Statement'!I9:I63)-SUMIF('Rent Statement'!S9:S63,"Ivana Valentino",'Rent Statement'!L9:L63)</f>
        <v>-3823.95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-3753.5100000000057</v>
      </c>
      <c r="D12" s="44"/>
      <c r="E12" s="111">
        <f>E5+SUM(F6:F10)</f>
        <v>-3349.2200000000012</v>
      </c>
      <c r="H12" s="111">
        <f>H5+SUM(I6:I10)</f>
        <v>-404.28999999999724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r="15" spans="1:9" ht="15" x14ac:dyDescent="0.25">
      <c r="A15" s="87" t="s">
        <v>523</v>
      </c>
      <c r="B15" s="84">
        <f>E12</f>
        <v>-3349.2200000000012</v>
      </c>
      <c r="C15" s="84">
        <f>H12</f>
        <v>-404.28999999999724</v>
      </c>
      <c r="D15" s="91"/>
      <c r="E15" s="174">
        <v>0.5</v>
      </c>
      <c r="F15" s="175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-4924.0200000000004</v>
      </c>
      <c r="C17" s="84">
        <f>EVAL("SUM(SUMIFS(IV_Amount, IV_BankRef," &amp;$H17&amp; "))")</f>
        <v>-4163.0200000000004</v>
      </c>
      <c r="D17" s="96"/>
      <c r="E17" s="97"/>
      <c r="F17" s="98"/>
      <c r="G17" s="47"/>
      <c r="H17" s="47" t="s">
        <v>566</v>
      </c>
    </row>
    <row r="18" spans="1:17" x14ac:dyDescent="0.2">
      <c r="A18" t="s">
        <v>25</v>
      </c>
      <c r="B18" s="84">
        <f>EVAL("SUM(SUMIFS(MT_Amount, MT_BankRef," &amp;$H18&amp; "))")</f>
        <v>9982.14</v>
      </c>
      <c r="C18" s="84">
        <f>EVAL("SUM(SUMIFS(IV_Amount, IV_BankRef," &amp;$H18&amp; "))")</f>
        <v>6263.58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5058.119999999999</v>
      </c>
      <c r="C19" s="85">
        <f>SUM(C17:C18)</f>
        <v>2100.5599999999995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0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-2637.4</v>
      </c>
      <c r="D30" s="96">
        <f t="shared" si="1"/>
        <v>-2637.4</v>
      </c>
      <c r="E30" s="97">
        <f t="shared" ref="E30:F35" si="2">IFERROR(($D30)*E$15,"")</f>
        <v>-1318.7</v>
      </c>
      <c r="F30" s="98">
        <f t="shared" si="2"/>
        <v>-1318.7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t="shared" si="1"/>
        <v>-58.99</v>
      </c>
      <c r="E32" s="97">
        <f t="shared" si="2"/>
        <v>-29.495000000000001</v>
      </c>
      <c r="F32" s="98">
        <f t="shared" si="2"/>
        <v>-29.495000000000001</v>
      </c>
      <c r="H32" t="s">
        <v>537</v>
      </c>
    </row>
    <row r="33" spans="1:8" ht="15" x14ac:dyDescent="0.25">
      <c r="A33" s="83" t="s">
        <v>538</v>
      </c>
      <c r="B33" s="122">
        <f>SUMIFS(MT_Amount, MT_Include,"I")</f>
        <v>-991.6</v>
      </c>
      <c r="C33" s="84">
        <f>EVAL("SUM(SUMIFS(IV_Amount, IV_BankRef," &amp;$H33&amp; "))")-SUMIFS(IV_Amount_4040, IV_BankRef_4040,"=X")</f>
        <v>-2393</v>
      </c>
      <c r="D33" s="96">
        <f t="shared" si="1"/>
        <v>-3384.6</v>
      </c>
      <c r="E33" s="97">
        <f t="shared" si="2"/>
        <v>-1692.3</v>
      </c>
      <c r="F33" s="98">
        <f t="shared" si="2"/>
        <v>-1692.3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-991.6</v>
      </c>
      <c r="C36" s="99">
        <f>SUBTOTAL(9,C29:C35)</f>
        <v>-5327.34</v>
      </c>
      <c r="D36" s="100">
        <f>SUBTOTAL(9,D20:D35)</f>
        <v>-6318.94</v>
      </c>
      <c r="E36" s="101">
        <f>SUBTOTAL(9,E29:E35)</f>
        <v>-3159.47</v>
      </c>
      <c r="F36" s="99">
        <f>SUBTOTAL(9,F29:F35)</f>
        <v>-3159.47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-991.6</v>
      </c>
      <c r="F38" s="84">
        <f>SUM(C29:C35)</f>
        <v>-5327.34</v>
      </c>
    </row>
    <row r="39" spans="1:8" x14ac:dyDescent="0.2">
      <c r="A39" s="107" t="s">
        <v>554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441.28999999999996</v>
      </c>
      <c r="F41" s="101">
        <f>F36-F38-F39</f>
        <v>-441.28999999999951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592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2705.95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42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82" t="s">
        <v>1133</v>
      </c>
    </row>
    <row r="4" spans="1:9" x14ac:dyDescent="0.2">
      <c r="A4" t="s">
        <v>1134</v>
      </c>
      <c r="B4">
        <v>36</v>
      </c>
    </row>
    <row r="5" spans="1:9" x14ac:dyDescent="0.2">
      <c r="A5" t="s">
        <v>1135</v>
      </c>
      <c r="B5">
        <v>57</v>
      </c>
    </row>
    <row r="6" spans="1:9" x14ac:dyDescent="0.2">
      <c r="A6" t="s">
        <v>1136</v>
      </c>
      <c r="B6">
        <v>57</v>
      </c>
    </row>
    <row r="7" spans="1:9" x14ac:dyDescent="0.2">
      <c r="A7" t="s">
        <v>1137</v>
      </c>
      <c r="B7">
        <v>51</v>
      </c>
    </row>
    <row r="8" spans="1:9" x14ac:dyDescent="0.2">
      <c r="A8" t="s">
        <v>1138</v>
      </c>
      <c r="B8">
        <v>32</v>
      </c>
    </row>
    <row r="9" spans="1:9" x14ac:dyDescent="0.2">
      <c r="A9" t="s">
        <v>1139</v>
      </c>
      <c r="B9">
        <v>34</v>
      </c>
    </row>
    <row r="11" spans="1:9" ht="15" x14ac:dyDescent="0.25">
      <c r="A11" s="182" t="s">
        <v>24</v>
      </c>
      <c r="B11" s="182" t="s">
        <v>513</v>
      </c>
      <c r="C11" s="182" t="s">
        <v>515</v>
      </c>
      <c r="D11" s="182" t="s">
        <v>548</v>
      </c>
      <c r="E11" s="182" t="s">
        <v>1140</v>
      </c>
      <c r="F11" s="182" t="s">
        <v>1141</v>
      </c>
    </row>
    <row r="12" spans="1:9" x14ac:dyDescent="0.2">
      <c r="A12" t="s">
        <v>65</v>
      </c>
      <c r="B12" s="183">
        <v>43613.024652777778</v>
      </c>
      <c r="C12">
        <v>-6</v>
      </c>
      <c r="D12" t="s">
        <v>926</v>
      </c>
      <c r="E12">
        <v>202689</v>
      </c>
      <c r="F12" t="s">
        <v>1142</v>
      </c>
    </row>
    <row r="13" spans="1:9" x14ac:dyDescent="0.2">
      <c r="A13" t="s">
        <v>102</v>
      </c>
      <c r="B13" s="183">
        <v>43613.024652777778</v>
      </c>
      <c r="C13">
        <v>-6</v>
      </c>
      <c r="D13" t="s">
        <v>930</v>
      </c>
      <c r="E13">
        <v>202693</v>
      </c>
      <c r="F13" t="s">
        <v>1142</v>
      </c>
    </row>
    <row r="14" spans="1:9" x14ac:dyDescent="0.2">
      <c r="A14" t="s">
        <v>106</v>
      </c>
      <c r="B14" s="183">
        <v>43613.024652777778</v>
      </c>
      <c r="C14">
        <v>-6</v>
      </c>
      <c r="D14" t="s">
        <v>934</v>
      </c>
      <c r="E14">
        <v>202701</v>
      </c>
      <c r="F14" t="s">
        <v>1142</v>
      </c>
    </row>
    <row r="15" spans="1:9" x14ac:dyDescent="0.2">
      <c r="A15" t="s">
        <v>107</v>
      </c>
      <c r="B15" s="183">
        <v>43613.024652777778</v>
      </c>
      <c r="C15">
        <v>-6</v>
      </c>
      <c r="D15" t="s">
        <v>939</v>
      </c>
      <c r="E15">
        <v>202705</v>
      </c>
      <c r="F15" t="s">
        <v>1142</v>
      </c>
    </row>
    <row r="16" spans="1:9" x14ac:dyDescent="0.2">
      <c r="A16" t="s">
        <v>68</v>
      </c>
      <c r="B16" s="183">
        <v>43613.024652777778</v>
      </c>
      <c r="C16">
        <v>-6</v>
      </c>
      <c r="D16" t="s">
        <v>944</v>
      </c>
      <c r="E16">
        <v>202714</v>
      </c>
      <c r="F16" t="s">
        <v>1142</v>
      </c>
    </row>
    <row r="17" spans="1:6" x14ac:dyDescent="0.2">
      <c r="A17" t="s">
        <v>86</v>
      </c>
      <c r="B17" s="183">
        <v>43613.024652777778</v>
      </c>
      <c r="C17">
        <v>-6</v>
      </c>
      <c r="D17" t="s">
        <v>949</v>
      </c>
      <c r="E17">
        <v>202721</v>
      </c>
      <c r="F17" t="s">
        <v>1142</v>
      </c>
    </row>
    <row r="18" spans="1:6" x14ac:dyDescent="0.2">
      <c r="A18" t="s">
        <v>72</v>
      </c>
      <c r="B18" s="183">
        <v>43613.024652777778</v>
      </c>
      <c r="C18">
        <v>-6</v>
      </c>
      <c r="D18" t="s">
        <v>954</v>
      </c>
      <c r="E18">
        <v>202731</v>
      </c>
      <c r="F18" t="s">
        <v>1142</v>
      </c>
    </row>
    <row r="19" spans="1:6" x14ac:dyDescent="0.2">
      <c r="A19" t="s">
        <v>112</v>
      </c>
      <c r="B19" s="183">
        <v>43613.024652777778</v>
      </c>
      <c r="C19">
        <v>-6</v>
      </c>
      <c r="D19" t="s">
        <v>958</v>
      </c>
      <c r="E19">
        <v>202735</v>
      </c>
      <c r="F19" t="s">
        <v>1142</v>
      </c>
    </row>
    <row r="20" spans="1:6" x14ac:dyDescent="0.2">
      <c r="A20" t="s">
        <v>117</v>
      </c>
      <c r="B20" s="183">
        <v>43613.024652777778</v>
      </c>
      <c r="C20">
        <v>-6</v>
      </c>
      <c r="D20" t="s">
        <v>963</v>
      </c>
      <c r="E20">
        <v>202741</v>
      </c>
      <c r="F20" t="s">
        <v>1142</v>
      </c>
    </row>
    <row r="21" spans="1:6" x14ac:dyDescent="0.2">
      <c r="A21" t="s">
        <v>118</v>
      </c>
      <c r="B21" s="183">
        <v>43613.024652777778</v>
      </c>
      <c r="C21">
        <v>-6</v>
      </c>
      <c r="D21" t="s">
        <v>968</v>
      </c>
      <c r="E21">
        <v>202748</v>
      </c>
      <c r="F21" t="s">
        <v>1142</v>
      </c>
    </row>
    <row r="22" spans="1:6" x14ac:dyDescent="0.2">
      <c r="A22" t="s">
        <v>188</v>
      </c>
      <c r="B22" s="183">
        <v>43613.024652777778</v>
      </c>
      <c r="C22">
        <v>-6</v>
      </c>
      <c r="D22" t="s">
        <v>977</v>
      </c>
      <c r="E22">
        <v>202758</v>
      </c>
      <c r="F22" t="s">
        <v>1142</v>
      </c>
    </row>
    <row r="23" spans="1:6" x14ac:dyDescent="0.2">
      <c r="A23" t="s">
        <v>228</v>
      </c>
      <c r="B23" s="183">
        <v>43613.024652777778</v>
      </c>
      <c r="C23">
        <v>-6</v>
      </c>
      <c r="D23" t="s">
        <v>981</v>
      </c>
      <c r="E23">
        <v>202768</v>
      </c>
      <c r="F23" t="s">
        <v>1142</v>
      </c>
    </row>
    <row r="24" spans="1:6" x14ac:dyDescent="0.2">
      <c r="A24" t="s">
        <v>227</v>
      </c>
      <c r="B24" s="183">
        <v>43613.024652777778</v>
      </c>
      <c r="C24">
        <v>-6</v>
      </c>
      <c r="D24" t="s">
        <v>986</v>
      </c>
      <c r="E24">
        <v>202769</v>
      </c>
      <c r="F24" t="s">
        <v>1142</v>
      </c>
    </row>
    <row r="25" spans="1:6" x14ac:dyDescent="0.2">
      <c r="A25" t="s">
        <v>227</v>
      </c>
      <c r="B25" s="183">
        <v>43583.02443287037</v>
      </c>
      <c r="C25">
        <v>-6</v>
      </c>
      <c r="D25" t="s">
        <v>986</v>
      </c>
      <c r="E25">
        <v>201298</v>
      </c>
      <c r="F25" t="s">
        <v>1142</v>
      </c>
    </row>
    <row r="26" spans="1:6" x14ac:dyDescent="0.2">
      <c r="A26" t="s">
        <v>227</v>
      </c>
      <c r="B26" s="183">
        <v>43552.02611111111</v>
      </c>
      <c r="C26">
        <v>-6</v>
      </c>
      <c r="D26" t="s">
        <v>986</v>
      </c>
      <c r="E26">
        <v>200676</v>
      </c>
      <c r="F26" t="s">
        <v>1142</v>
      </c>
    </row>
    <row r="27" spans="1:6" x14ac:dyDescent="0.2">
      <c r="A27" t="s">
        <v>70</v>
      </c>
      <c r="B27" s="183">
        <v>43613.024652777778</v>
      </c>
      <c r="C27">
        <v>-6</v>
      </c>
      <c r="D27" t="s">
        <v>999</v>
      </c>
      <c r="E27">
        <v>202786</v>
      </c>
      <c r="F27" t="s">
        <v>1142</v>
      </c>
    </row>
    <row r="28" spans="1:6" x14ac:dyDescent="0.2">
      <c r="A28" t="s">
        <v>71</v>
      </c>
      <c r="B28" s="183">
        <v>43613.024652777778</v>
      </c>
      <c r="C28">
        <v>-6</v>
      </c>
      <c r="D28" t="s">
        <v>1003</v>
      </c>
      <c r="E28">
        <v>202790</v>
      </c>
      <c r="F28" t="s">
        <v>1142</v>
      </c>
    </row>
    <row r="29" spans="1:6" x14ac:dyDescent="0.2">
      <c r="A29" t="s">
        <v>69</v>
      </c>
      <c r="B29" s="183">
        <v>43613.024652777778</v>
      </c>
      <c r="C29">
        <v>-6</v>
      </c>
      <c r="D29" t="s">
        <v>1008</v>
      </c>
      <c r="E29">
        <v>202796</v>
      </c>
      <c r="F29" t="s">
        <v>1142</v>
      </c>
    </row>
    <row r="30" spans="1:6" x14ac:dyDescent="0.2">
      <c r="A30" t="s">
        <v>115</v>
      </c>
      <c r="B30" s="183">
        <v>43613.024652777778</v>
      </c>
      <c r="C30">
        <v>-6</v>
      </c>
      <c r="D30" t="s">
        <v>1013</v>
      </c>
      <c r="E30">
        <v>202803</v>
      </c>
      <c r="F30" t="s">
        <v>1142</v>
      </c>
    </row>
    <row r="31" spans="1:6" x14ac:dyDescent="0.2">
      <c r="A31" t="s">
        <v>74</v>
      </c>
      <c r="B31" s="183">
        <v>43613.024652777778</v>
      </c>
      <c r="C31">
        <v>-6</v>
      </c>
      <c r="D31" t="s">
        <v>1017</v>
      </c>
      <c r="E31">
        <v>202807</v>
      </c>
      <c r="F31" t="s">
        <v>1142</v>
      </c>
    </row>
    <row r="32" spans="1:6" x14ac:dyDescent="0.2">
      <c r="A32" t="s">
        <v>53</v>
      </c>
      <c r="B32" s="183">
        <v>43613.024652777778</v>
      </c>
      <c r="C32">
        <v>-12</v>
      </c>
      <c r="D32" t="s">
        <v>1025</v>
      </c>
      <c r="E32">
        <v>202818</v>
      </c>
      <c r="F32" t="s">
        <v>1142</v>
      </c>
    </row>
    <row r="33" spans="1:6" x14ac:dyDescent="0.2">
      <c r="A33" t="s">
        <v>55</v>
      </c>
      <c r="B33" s="183">
        <v>43613.024652777778</v>
      </c>
      <c r="C33">
        <v>-6</v>
      </c>
      <c r="D33" t="s">
        <v>1029</v>
      </c>
      <c r="E33">
        <v>202822</v>
      </c>
      <c r="F33" t="s">
        <v>1142</v>
      </c>
    </row>
    <row r="34" spans="1:6" x14ac:dyDescent="0.2">
      <c r="A34" t="s">
        <v>56</v>
      </c>
      <c r="B34" s="183">
        <v>43613.024652777778</v>
      </c>
      <c r="C34">
        <v>-6</v>
      </c>
      <c r="D34" t="s">
        <v>1034</v>
      </c>
      <c r="E34">
        <v>202829</v>
      </c>
      <c r="F34" t="s">
        <v>1142</v>
      </c>
    </row>
    <row r="35" spans="1:6" x14ac:dyDescent="0.2">
      <c r="A35" t="s">
        <v>187</v>
      </c>
      <c r="B35" s="183">
        <v>43613.024652777778</v>
      </c>
      <c r="C35">
        <v>-6</v>
      </c>
      <c r="D35" t="s">
        <v>1039</v>
      </c>
      <c r="E35">
        <v>202835</v>
      </c>
      <c r="F35" t="s">
        <v>1142</v>
      </c>
    </row>
    <row r="36" spans="1:6" x14ac:dyDescent="0.2">
      <c r="A36" t="s">
        <v>59</v>
      </c>
      <c r="B36" s="183">
        <v>43613.024652777778</v>
      </c>
      <c r="C36">
        <v>-6</v>
      </c>
      <c r="D36" t="s">
        <v>1043</v>
      </c>
      <c r="E36">
        <v>202839</v>
      </c>
      <c r="F36" t="s">
        <v>1142</v>
      </c>
    </row>
    <row r="37" spans="1:6" x14ac:dyDescent="0.2">
      <c r="A37" t="s">
        <v>57</v>
      </c>
      <c r="B37" s="183">
        <v>43613.024652777778</v>
      </c>
      <c r="C37">
        <v>-6</v>
      </c>
      <c r="D37" t="s">
        <v>1048</v>
      </c>
      <c r="E37">
        <v>202846</v>
      </c>
      <c r="F37" t="s">
        <v>1142</v>
      </c>
    </row>
    <row r="38" spans="1:6" x14ac:dyDescent="0.2">
      <c r="A38" t="s">
        <v>63</v>
      </c>
      <c r="B38" s="183">
        <v>43613.024652777778</v>
      </c>
      <c r="C38">
        <v>-6</v>
      </c>
      <c r="D38" t="s">
        <v>1052</v>
      </c>
      <c r="E38">
        <v>202850</v>
      </c>
      <c r="F38" t="s">
        <v>1142</v>
      </c>
    </row>
    <row r="39" spans="1:6" x14ac:dyDescent="0.2">
      <c r="A39" t="s">
        <v>64</v>
      </c>
      <c r="B39" s="183">
        <v>43613.024652777778</v>
      </c>
      <c r="C39">
        <v>-6</v>
      </c>
      <c r="D39" t="s">
        <v>1056</v>
      </c>
      <c r="E39">
        <v>202854</v>
      </c>
      <c r="F39" t="s">
        <v>1142</v>
      </c>
    </row>
    <row r="40" spans="1:6" x14ac:dyDescent="0.2">
      <c r="A40" t="s">
        <v>66</v>
      </c>
      <c r="B40" s="183">
        <v>43613.024652777778</v>
      </c>
      <c r="C40">
        <v>-6</v>
      </c>
      <c r="D40" t="s">
        <v>1060</v>
      </c>
      <c r="E40">
        <v>202858</v>
      </c>
      <c r="F40" t="s">
        <v>1142</v>
      </c>
    </row>
    <row r="41" spans="1:6" x14ac:dyDescent="0.2">
      <c r="A41" t="s">
        <v>103</v>
      </c>
      <c r="B41" s="183">
        <v>43613.024652777778</v>
      </c>
      <c r="C41">
        <v>-6</v>
      </c>
      <c r="D41" t="s">
        <v>1065</v>
      </c>
      <c r="E41">
        <v>202865</v>
      </c>
      <c r="F41" t="s">
        <v>1142</v>
      </c>
    </row>
    <row r="42" spans="1:6" x14ac:dyDescent="0.2">
      <c r="A42" t="s">
        <v>61</v>
      </c>
      <c r="B42" s="183">
        <v>43613.024652777778</v>
      </c>
      <c r="C42">
        <v>-6</v>
      </c>
      <c r="D42" t="s">
        <v>1073</v>
      </c>
      <c r="E42">
        <v>202873</v>
      </c>
      <c r="F42" t="s">
        <v>1142</v>
      </c>
    </row>
    <row r="43" spans="1:6" x14ac:dyDescent="0.2">
      <c r="A43" t="s">
        <v>111</v>
      </c>
      <c r="B43" s="183">
        <v>43613.024652777778</v>
      </c>
      <c r="C43">
        <v>-6</v>
      </c>
      <c r="D43" t="s">
        <v>1078</v>
      </c>
      <c r="E43">
        <v>202880</v>
      </c>
      <c r="F43" t="s">
        <v>1142</v>
      </c>
    </row>
    <row r="44" spans="1:6" x14ac:dyDescent="0.2">
      <c r="A44" t="s">
        <v>65</v>
      </c>
      <c r="B44" s="183">
        <v>43644.024305555555</v>
      </c>
      <c r="C44">
        <v>-6</v>
      </c>
      <c r="D44" t="s">
        <v>926</v>
      </c>
      <c r="E44">
        <v>203656</v>
      </c>
      <c r="F44" t="s">
        <v>1143</v>
      </c>
    </row>
    <row r="45" spans="1:6" x14ac:dyDescent="0.2">
      <c r="A45" t="s">
        <v>102</v>
      </c>
      <c r="B45" s="183">
        <v>43644.024305555555</v>
      </c>
      <c r="C45">
        <v>-6</v>
      </c>
      <c r="D45" t="s">
        <v>930</v>
      </c>
      <c r="E45">
        <v>203660</v>
      </c>
      <c r="F45" t="s">
        <v>1143</v>
      </c>
    </row>
    <row r="46" spans="1:6" x14ac:dyDescent="0.2">
      <c r="A46" t="s">
        <v>106</v>
      </c>
      <c r="B46" s="183">
        <v>43644.024305555555</v>
      </c>
      <c r="C46">
        <v>-6</v>
      </c>
      <c r="D46" t="s">
        <v>934</v>
      </c>
      <c r="E46">
        <v>203664</v>
      </c>
      <c r="F46" t="s">
        <v>1143</v>
      </c>
    </row>
    <row r="47" spans="1:6" x14ac:dyDescent="0.2">
      <c r="A47" t="s">
        <v>107</v>
      </c>
      <c r="B47" s="183">
        <v>43644.024305555555</v>
      </c>
      <c r="C47">
        <v>-6</v>
      </c>
      <c r="D47" t="s">
        <v>939</v>
      </c>
      <c r="E47">
        <v>203671</v>
      </c>
      <c r="F47" t="s">
        <v>1143</v>
      </c>
    </row>
    <row r="48" spans="1:6" x14ac:dyDescent="0.2">
      <c r="A48" t="s">
        <v>68</v>
      </c>
      <c r="B48" s="183">
        <v>43644.024305555555</v>
      </c>
      <c r="C48">
        <v>-6</v>
      </c>
      <c r="D48" t="s">
        <v>944</v>
      </c>
      <c r="E48">
        <v>203677</v>
      </c>
      <c r="F48" t="s">
        <v>1143</v>
      </c>
    </row>
    <row r="49" spans="1:6" x14ac:dyDescent="0.2">
      <c r="A49" t="s">
        <v>86</v>
      </c>
      <c r="B49" s="183">
        <v>43644.024305555555</v>
      </c>
      <c r="C49">
        <v>-6</v>
      </c>
      <c r="D49" t="s">
        <v>949</v>
      </c>
      <c r="E49">
        <v>203684</v>
      </c>
      <c r="F49" t="s">
        <v>1143</v>
      </c>
    </row>
    <row r="50" spans="1:6" x14ac:dyDescent="0.2">
      <c r="A50" t="s">
        <v>72</v>
      </c>
      <c r="B50" s="183">
        <v>43644.024305555555</v>
      </c>
      <c r="C50">
        <v>-6</v>
      </c>
      <c r="D50" t="s">
        <v>954</v>
      </c>
      <c r="E50">
        <v>203690</v>
      </c>
      <c r="F50" t="s">
        <v>1143</v>
      </c>
    </row>
    <row r="51" spans="1:6" x14ac:dyDescent="0.2">
      <c r="A51" t="s">
        <v>112</v>
      </c>
      <c r="B51" s="183">
        <v>43644.024305555555</v>
      </c>
      <c r="C51">
        <v>-6</v>
      </c>
      <c r="D51" t="s">
        <v>958</v>
      </c>
      <c r="E51">
        <v>203694</v>
      </c>
      <c r="F51" t="s">
        <v>1143</v>
      </c>
    </row>
    <row r="52" spans="1:6" x14ac:dyDescent="0.2">
      <c r="A52" t="s">
        <v>117</v>
      </c>
      <c r="B52" s="183">
        <v>43644.024305555555</v>
      </c>
      <c r="C52">
        <v>-6</v>
      </c>
      <c r="D52" t="s">
        <v>963</v>
      </c>
      <c r="E52">
        <v>203701</v>
      </c>
      <c r="F52" t="s">
        <v>1143</v>
      </c>
    </row>
    <row r="53" spans="1:6" x14ac:dyDescent="0.2">
      <c r="A53" t="s">
        <v>118</v>
      </c>
      <c r="B53" s="183">
        <v>43644.024305555555</v>
      </c>
      <c r="C53">
        <v>-6</v>
      </c>
      <c r="D53" t="s">
        <v>968</v>
      </c>
      <c r="E53">
        <v>203708</v>
      </c>
      <c r="F53" t="s">
        <v>1143</v>
      </c>
    </row>
    <row r="54" spans="1:6" x14ac:dyDescent="0.2">
      <c r="A54" t="s">
        <v>188</v>
      </c>
      <c r="B54" s="183">
        <v>43644.024305555555</v>
      </c>
      <c r="C54">
        <v>-6</v>
      </c>
      <c r="D54" t="s">
        <v>977</v>
      </c>
      <c r="E54">
        <v>203718</v>
      </c>
      <c r="F54" t="s">
        <v>1143</v>
      </c>
    </row>
    <row r="55" spans="1:6" x14ac:dyDescent="0.2">
      <c r="A55" t="s">
        <v>228</v>
      </c>
      <c r="B55" s="183">
        <v>43644.024305555555</v>
      </c>
      <c r="C55">
        <v>-6</v>
      </c>
      <c r="D55" t="s">
        <v>981</v>
      </c>
      <c r="E55">
        <v>203728</v>
      </c>
      <c r="F55" t="s">
        <v>1143</v>
      </c>
    </row>
    <row r="56" spans="1:6" x14ac:dyDescent="0.2">
      <c r="A56" t="s">
        <v>227</v>
      </c>
      <c r="B56" s="183">
        <v>43644.024305555555</v>
      </c>
      <c r="C56">
        <v>-6</v>
      </c>
      <c r="D56" t="s">
        <v>986</v>
      </c>
      <c r="E56">
        <v>203734</v>
      </c>
      <c r="F56" t="s">
        <v>1143</v>
      </c>
    </row>
    <row r="57" spans="1:6" x14ac:dyDescent="0.2">
      <c r="A57" t="s">
        <v>226</v>
      </c>
      <c r="B57" s="183">
        <v>43644.024305555555</v>
      </c>
      <c r="C57">
        <v>-6</v>
      </c>
      <c r="D57" t="s">
        <v>994</v>
      </c>
      <c r="E57">
        <v>203747</v>
      </c>
      <c r="F57" t="s">
        <v>1143</v>
      </c>
    </row>
    <row r="58" spans="1:6" x14ac:dyDescent="0.2">
      <c r="A58" t="s">
        <v>70</v>
      </c>
      <c r="B58" s="183">
        <v>43644.024305555555</v>
      </c>
      <c r="C58">
        <v>-6</v>
      </c>
      <c r="D58" t="s">
        <v>999</v>
      </c>
      <c r="E58">
        <v>203754</v>
      </c>
      <c r="F58" t="s">
        <v>1143</v>
      </c>
    </row>
    <row r="59" spans="1:6" x14ac:dyDescent="0.2">
      <c r="A59" t="s">
        <v>71</v>
      </c>
      <c r="B59" s="183">
        <v>43644.024305555555</v>
      </c>
      <c r="C59">
        <v>-6</v>
      </c>
      <c r="D59" t="s">
        <v>1003</v>
      </c>
      <c r="E59">
        <v>203758</v>
      </c>
      <c r="F59" t="s">
        <v>1143</v>
      </c>
    </row>
    <row r="60" spans="1:6" x14ac:dyDescent="0.2">
      <c r="A60" t="s">
        <v>69</v>
      </c>
      <c r="B60" s="183">
        <v>43644.024305555555</v>
      </c>
      <c r="C60">
        <v>-6</v>
      </c>
      <c r="D60" t="s">
        <v>1008</v>
      </c>
      <c r="E60">
        <v>203765</v>
      </c>
      <c r="F60" t="s">
        <v>1143</v>
      </c>
    </row>
    <row r="61" spans="1:6" x14ac:dyDescent="0.2">
      <c r="A61" t="s">
        <v>115</v>
      </c>
      <c r="B61" s="183">
        <v>43644.024305555555</v>
      </c>
      <c r="C61">
        <v>-6</v>
      </c>
      <c r="D61" t="s">
        <v>1013</v>
      </c>
      <c r="E61">
        <v>203772</v>
      </c>
      <c r="F61" t="s">
        <v>1143</v>
      </c>
    </row>
    <row r="62" spans="1:6" x14ac:dyDescent="0.2">
      <c r="A62" t="s">
        <v>74</v>
      </c>
      <c r="B62" s="183">
        <v>43644.024305555555</v>
      </c>
      <c r="C62">
        <v>-6</v>
      </c>
      <c r="D62" t="s">
        <v>1017</v>
      </c>
      <c r="E62">
        <v>203776</v>
      </c>
      <c r="F62" t="s">
        <v>1143</v>
      </c>
    </row>
    <row r="63" spans="1:6" x14ac:dyDescent="0.2">
      <c r="A63" t="s">
        <v>53</v>
      </c>
      <c r="B63" s="183">
        <v>43644.024305555555</v>
      </c>
      <c r="C63">
        <v>-12</v>
      </c>
      <c r="D63" t="s">
        <v>1025</v>
      </c>
      <c r="E63">
        <v>203784</v>
      </c>
      <c r="F63" t="s">
        <v>1143</v>
      </c>
    </row>
    <row r="64" spans="1:6" x14ac:dyDescent="0.2">
      <c r="A64" t="s">
        <v>55</v>
      </c>
      <c r="B64" s="183">
        <v>43644.024305555555</v>
      </c>
      <c r="C64">
        <v>-6</v>
      </c>
      <c r="D64" t="s">
        <v>1029</v>
      </c>
      <c r="E64">
        <v>203788</v>
      </c>
      <c r="F64" t="s">
        <v>1143</v>
      </c>
    </row>
    <row r="65" spans="1:6" x14ac:dyDescent="0.2">
      <c r="A65" t="s">
        <v>56</v>
      </c>
      <c r="B65" s="183">
        <v>43644.024305555555</v>
      </c>
      <c r="C65">
        <v>-6</v>
      </c>
      <c r="D65" t="s">
        <v>1034</v>
      </c>
      <c r="E65">
        <v>203795</v>
      </c>
      <c r="F65" t="s">
        <v>1143</v>
      </c>
    </row>
    <row r="66" spans="1:6" x14ac:dyDescent="0.2">
      <c r="A66" t="s">
        <v>187</v>
      </c>
      <c r="B66" s="183">
        <v>43644.024305555555</v>
      </c>
      <c r="C66">
        <v>-6</v>
      </c>
      <c r="D66" t="s">
        <v>1039</v>
      </c>
      <c r="E66">
        <v>203801</v>
      </c>
      <c r="F66" t="s">
        <v>1143</v>
      </c>
    </row>
    <row r="67" spans="1:6" x14ac:dyDescent="0.2">
      <c r="A67" t="s">
        <v>59</v>
      </c>
      <c r="B67" s="183">
        <v>43644.024305555555</v>
      </c>
      <c r="C67">
        <v>-6</v>
      </c>
      <c r="D67" t="s">
        <v>1043</v>
      </c>
      <c r="E67">
        <v>203805</v>
      </c>
      <c r="F67" t="s">
        <v>1143</v>
      </c>
    </row>
    <row r="68" spans="1:6" x14ac:dyDescent="0.2">
      <c r="A68" t="s">
        <v>57</v>
      </c>
      <c r="B68" s="183">
        <v>43644.024305555555</v>
      </c>
      <c r="C68">
        <v>-6</v>
      </c>
      <c r="D68" t="s">
        <v>1048</v>
      </c>
      <c r="E68">
        <v>203812</v>
      </c>
      <c r="F68" t="s">
        <v>1143</v>
      </c>
    </row>
    <row r="69" spans="1:6" x14ac:dyDescent="0.2">
      <c r="A69" t="s">
        <v>63</v>
      </c>
      <c r="B69" s="183">
        <v>43644.024305555555</v>
      </c>
      <c r="C69">
        <v>-6</v>
      </c>
      <c r="D69" t="s">
        <v>1052</v>
      </c>
      <c r="E69">
        <v>203816</v>
      </c>
      <c r="F69" t="s">
        <v>1143</v>
      </c>
    </row>
    <row r="70" spans="1:6" x14ac:dyDescent="0.2">
      <c r="A70" t="s">
        <v>64</v>
      </c>
      <c r="B70" s="183">
        <v>43644.024305555555</v>
      </c>
      <c r="C70">
        <v>-6</v>
      </c>
      <c r="D70" t="s">
        <v>1056</v>
      </c>
      <c r="E70">
        <v>203820</v>
      </c>
      <c r="F70" t="s">
        <v>1143</v>
      </c>
    </row>
    <row r="71" spans="1:6" x14ac:dyDescent="0.2">
      <c r="A71" t="s">
        <v>66</v>
      </c>
      <c r="B71" s="183">
        <v>43644.024305555555</v>
      </c>
      <c r="C71">
        <v>-6</v>
      </c>
      <c r="D71" t="s">
        <v>1060</v>
      </c>
      <c r="E71">
        <v>203824</v>
      </c>
      <c r="F71" t="s">
        <v>1143</v>
      </c>
    </row>
    <row r="72" spans="1:6" x14ac:dyDescent="0.2">
      <c r="A72" t="s">
        <v>103</v>
      </c>
      <c r="B72" s="183">
        <v>43644.024305555555</v>
      </c>
      <c r="C72">
        <v>-6</v>
      </c>
      <c r="D72" t="s">
        <v>1065</v>
      </c>
      <c r="E72">
        <v>203831</v>
      </c>
      <c r="F72" t="s">
        <v>1143</v>
      </c>
    </row>
    <row r="73" spans="1:6" x14ac:dyDescent="0.2">
      <c r="A73" t="s">
        <v>99</v>
      </c>
      <c r="B73" s="183">
        <v>43622.67291666667</v>
      </c>
      <c r="C73">
        <v>-54</v>
      </c>
      <c r="D73" t="s">
        <v>1066</v>
      </c>
      <c r="E73">
        <v>203832</v>
      </c>
      <c r="F73" t="s">
        <v>1143</v>
      </c>
    </row>
    <row r="74" spans="1:6" x14ac:dyDescent="0.2">
      <c r="A74" t="s">
        <v>99</v>
      </c>
      <c r="B74" s="183">
        <v>43644.024305555555</v>
      </c>
      <c r="C74">
        <v>-6</v>
      </c>
      <c r="D74" t="s">
        <v>1068</v>
      </c>
      <c r="E74">
        <v>203833</v>
      </c>
      <c r="F74" t="s">
        <v>1143</v>
      </c>
    </row>
    <row r="75" spans="1:6" x14ac:dyDescent="0.2">
      <c r="A75" t="s">
        <v>61</v>
      </c>
      <c r="B75" s="183">
        <v>43644.024305555555</v>
      </c>
      <c r="C75">
        <v>-6</v>
      </c>
      <c r="D75" t="s">
        <v>1073</v>
      </c>
      <c r="E75">
        <v>203840</v>
      </c>
      <c r="F75" t="s">
        <v>1143</v>
      </c>
    </row>
    <row r="76" spans="1:6" x14ac:dyDescent="0.2">
      <c r="A76" t="s">
        <v>111</v>
      </c>
      <c r="B76" s="183">
        <v>43644.024305555555</v>
      </c>
      <c r="C76">
        <v>-6</v>
      </c>
      <c r="D76" t="s">
        <v>1078</v>
      </c>
      <c r="E76">
        <v>203847</v>
      </c>
      <c r="F76" t="s">
        <v>1143</v>
      </c>
    </row>
    <row r="77" spans="1:6" x14ac:dyDescent="0.2">
      <c r="A77" t="s">
        <v>186</v>
      </c>
      <c r="B77" s="183">
        <v>43644.024305555555</v>
      </c>
      <c r="C77">
        <v>-6</v>
      </c>
      <c r="D77" t="s">
        <v>1083</v>
      </c>
      <c r="E77">
        <v>203853</v>
      </c>
      <c r="F77" t="s">
        <v>1143</v>
      </c>
    </row>
    <row r="78" spans="1:6" x14ac:dyDescent="0.2">
      <c r="B78" s="151"/>
    </row>
    <row r="79" spans="1:6" ht="15" x14ac:dyDescent="0.25">
      <c r="A79" s="182" t="s">
        <v>1144</v>
      </c>
    </row>
    <row r="80" spans="1:6" x14ac:dyDescent="0.2">
      <c r="A80" t="s">
        <v>1145</v>
      </c>
      <c r="B80" t="s">
        <v>521</v>
      </c>
    </row>
    <row r="81" spans="1:3" x14ac:dyDescent="0.2">
      <c r="A81" t="s">
        <v>1146</v>
      </c>
      <c r="B81">
        <v>188</v>
      </c>
    </row>
    <row r="82" spans="1:3" x14ac:dyDescent="0.2">
      <c r="A82" t="s">
        <v>1147</v>
      </c>
      <c r="B82">
        <v>188</v>
      </c>
    </row>
    <row r="83" spans="1:3" x14ac:dyDescent="0.2">
      <c r="A83" t="s">
        <v>1148</v>
      </c>
      <c r="B83">
        <v>0</v>
      </c>
    </row>
    <row r="84" spans="1:3" x14ac:dyDescent="0.2">
      <c r="A84" t="s">
        <v>1149</v>
      </c>
      <c r="B84">
        <v>188</v>
      </c>
      <c r="C84">
        <v>184</v>
      </c>
    </row>
    <row r="85" spans="1:3" x14ac:dyDescent="0.2">
      <c r="A85" t="s">
        <v>1150</v>
      </c>
      <c r="B85">
        <v>55</v>
      </c>
      <c r="C85">
        <v>55</v>
      </c>
    </row>
    <row r="86" spans="1:3" x14ac:dyDescent="0.2">
      <c r="A86" t="s">
        <v>1151</v>
      </c>
      <c r="B86">
        <v>26</v>
      </c>
      <c r="C86">
        <v>26</v>
      </c>
    </row>
    <row r="87" spans="1:3" x14ac:dyDescent="0.2">
      <c r="B87" s="151"/>
    </row>
    <row r="88" spans="1:3" x14ac:dyDescent="0.2">
      <c r="A88" t="s">
        <v>1145</v>
      </c>
      <c r="B88" t="s">
        <v>522</v>
      </c>
    </row>
    <row r="89" spans="1:3" x14ac:dyDescent="0.2">
      <c r="A89" t="s">
        <v>1146</v>
      </c>
      <c r="B89">
        <v>76</v>
      </c>
    </row>
    <row r="90" spans="1:3" x14ac:dyDescent="0.2">
      <c r="A90" t="s">
        <v>1147</v>
      </c>
      <c r="B90">
        <v>76</v>
      </c>
    </row>
    <row r="91" spans="1:3" x14ac:dyDescent="0.2">
      <c r="A91" t="s">
        <v>1148</v>
      </c>
      <c r="B91">
        <v>0</v>
      </c>
    </row>
    <row r="92" spans="1:3" x14ac:dyDescent="0.2">
      <c r="A92" t="s">
        <v>1149</v>
      </c>
      <c r="B92">
        <v>76</v>
      </c>
      <c r="C92">
        <v>76</v>
      </c>
    </row>
    <row r="93" spans="1:3" x14ac:dyDescent="0.2">
      <c r="A93" t="s">
        <v>1150</v>
      </c>
      <c r="B93">
        <v>7</v>
      </c>
      <c r="C93">
        <v>7</v>
      </c>
    </row>
    <row r="94" spans="1:3" x14ac:dyDescent="0.2">
      <c r="A94" t="s">
        <v>1151</v>
      </c>
      <c r="B94">
        <v>16</v>
      </c>
      <c r="C94">
        <v>16</v>
      </c>
    </row>
    <row r="95" spans="1:3" x14ac:dyDescent="0.2">
      <c r="B95" s="151"/>
    </row>
    <row r="96" spans="1:3" x14ac:dyDescent="0.2">
      <c r="B96" s="151"/>
    </row>
    <row r="97" spans="1:2" x14ac:dyDescent="0.2">
      <c r="B97" s="151"/>
    </row>
    <row r="98" spans="1:2" x14ac:dyDescent="0.2">
      <c r="B98" s="151"/>
    </row>
    <row r="99" spans="1:2" x14ac:dyDescent="0.2">
      <c r="B99" s="151"/>
    </row>
    <row r="101" spans="1:2" ht="15" x14ac:dyDescent="0.25">
      <c r="A101" s="150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55"/>
  <sheetViews>
    <sheetView zoomScale="85" zoomScaleNormal="85" workbookViewId="0">
      <selection activeCell="I166" sqref="I166"/>
    </sheetView>
  </sheetViews>
  <sheetFormatPr defaultRowHeight="12.75" x14ac:dyDescent="0.2"/>
  <cols>
    <col min="1" max="2" width="10.28515625" style="144" bestFit="1" customWidth="1"/>
    <col min="3" max="3" width="17.28515625" style="144" bestFit="1" customWidth="1"/>
    <col min="4" max="4" width="12.85546875" style="144" bestFit="1" customWidth="1"/>
    <col min="5" max="5" width="14.28515625" style="144" bestFit="1" customWidth="1"/>
    <col min="6" max="6" width="50.140625" style="144" bestFit="1" customWidth="1"/>
    <col min="7" max="7" width="10.7109375" style="144" bestFit="1" customWidth="1"/>
    <col min="8" max="8" width="25.57031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B2" s="145">
        <v>43619</v>
      </c>
      <c r="C2" s="144" t="s">
        <v>593</v>
      </c>
      <c r="D2" s="144">
        <v>559.25</v>
      </c>
      <c r="E2" s="144" t="s">
        <v>624</v>
      </c>
      <c r="F2" s="144" t="s">
        <v>714</v>
      </c>
      <c r="G2" s="146"/>
      <c r="H2" s="148" t="s">
        <v>891</v>
      </c>
      <c r="I2" t="s">
        <v>1087</v>
      </c>
    </row>
    <row r="3" spans="1:9" x14ac:dyDescent="0.2">
      <c r="B3" s="145">
        <v>43619</v>
      </c>
      <c r="C3" s="144" t="s">
        <v>593</v>
      </c>
      <c r="D3" s="144">
        <v>559.25</v>
      </c>
      <c r="E3" s="144" t="s">
        <v>624</v>
      </c>
      <c r="F3" s="144" t="s">
        <v>715</v>
      </c>
      <c r="G3" s="146"/>
      <c r="H3" s="148" t="s">
        <v>891</v>
      </c>
      <c r="I3" t="s">
        <v>1087</v>
      </c>
    </row>
    <row r="4" spans="1:9" x14ac:dyDescent="0.2">
      <c r="B4" s="145">
        <v>43619</v>
      </c>
      <c r="C4" s="144" t="s">
        <v>593</v>
      </c>
      <c r="D4" s="144">
        <v>0</v>
      </c>
      <c r="E4" s="144" t="s">
        <v>594</v>
      </c>
      <c r="F4" s="146" t="s">
        <v>716</v>
      </c>
      <c r="G4" s="146"/>
      <c r="H4" s="146" t="s">
        <v>920</v>
      </c>
      <c r="I4" t="s">
        <v>1087</v>
      </c>
    </row>
    <row r="5" spans="1:9" x14ac:dyDescent="0.2">
      <c r="B5" s="145">
        <v>43619</v>
      </c>
      <c r="C5" s="144" t="s">
        <v>593</v>
      </c>
      <c r="D5" s="181">
        <f>-7800/44</f>
        <v>-177.27272727272728</v>
      </c>
      <c r="E5" s="148" t="s">
        <v>919</v>
      </c>
      <c r="F5" s="58" t="s">
        <v>53</v>
      </c>
      <c r="G5" t="s">
        <v>469</v>
      </c>
      <c r="H5" s="146" t="s">
        <v>892</v>
      </c>
      <c r="I5" t="s">
        <v>1088</v>
      </c>
    </row>
    <row r="6" spans="1:9" x14ac:dyDescent="0.2">
      <c r="B6" s="145">
        <v>43619</v>
      </c>
      <c r="C6" s="144" t="s">
        <v>593</v>
      </c>
      <c r="D6" s="181">
        <f t="shared" ref="D6:D48" si="0">-7800/44</f>
        <v>-177.27272727272728</v>
      </c>
      <c r="E6" s="148" t="s">
        <v>919</v>
      </c>
      <c r="F6" s="58" t="s">
        <v>54</v>
      </c>
      <c r="G6" s="47" t="s">
        <v>559</v>
      </c>
      <c r="H6" s="146" t="s">
        <v>892</v>
      </c>
      <c r="I6" t="s">
        <v>1088</v>
      </c>
    </row>
    <row r="7" spans="1:9" x14ac:dyDescent="0.2">
      <c r="B7" s="145">
        <v>43619</v>
      </c>
      <c r="C7" s="144" t="s">
        <v>593</v>
      </c>
      <c r="D7" s="181">
        <f t="shared" si="0"/>
        <v>-177.27272727272728</v>
      </c>
      <c r="E7" s="148" t="s">
        <v>919</v>
      </c>
      <c r="F7" s="58" t="s">
        <v>55</v>
      </c>
      <c r="G7" t="s">
        <v>470</v>
      </c>
      <c r="H7" s="146" t="s">
        <v>892</v>
      </c>
      <c r="I7" t="s">
        <v>1088</v>
      </c>
    </row>
    <row r="8" spans="1:9" x14ac:dyDescent="0.2">
      <c r="B8" s="145">
        <v>43619</v>
      </c>
      <c r="C8" s="144" t="s">
        <v>593</v>
      </c>
      <c r="D8" s="181">
        <f t="shared" si="0"/>
        <v>-177.27272727272728</v>
      </c>
      <c r="E8" s="148" t="s">
        <v>919</v>
      </c>
      <c r="F8" s="58" t="s">
        <v>56</v>
      </c>
      <c r="G8" t="s">
        <v>471</v>
      </c>
      <c r="H8" s="146" t="s">
        <v>892</v>
      </c>
      <c r="I8" t="s">
        <v>1088</v>
      </c>
    </row>
    <row r="9" spans="1:9" x14ac:dyDescent="0.2">
      <c r="B9" s="145">
        <v>43619</v>
      </c>
      <c r="C9" s="144" t="s">
        <v>593</v>
      </c>
      <c r="D9" s="181">
        <f t="shared" si="0"/>
        <v>-177.27272727272728</v>
      </c>
      <c r="E9" s="148" t="s">
        <v>919</v>
      </c>
      <c r="F9" s="58" t="s">
        <v>57</v>
      </c>
      <c r="G9" s="47" t="s">
        <v>472</v>
      </c>
      <c r="H9" s="146" t="s">
        <v>892</v>
      </c>
      <c r="I9" t="s">
        <v>1088</v>
      </c>
    </row>
    <row r="10" spans="1:9" x14ac:dyDescent="0.2">
      <c r="B10" s="145">
        <v>43619</v>
      </c>
      <c r="C10" s="144" t="s">
        <v>593</v>
      </c>
      <c r="D10" s="181">
        <f t="shared" si="0"/>
        <v>-177.27272727272728</v>
      </c>
      <c r="E10" s="148" t="s">
        <v>919</v>
      </c>
      <c r="F10" s="58" t="s">
        <v>58</v>
      </c>
      <c r="G10" t="s">
        <v>473</v>
      </c>
      <c r="H10" s="146" t="s">
        <v>892</v>
      </c>
      <c r="I10" t="s">
        <v>1088</v>
      </c>
    </row>
    <row r="11" spans="1:9" x14ac:dyDescent="0.2">
      <c r="B11" s="145">
        <v>43619</v>
      </c>
      <c r="C11" s="144" t="s">
        <v>593</v>
      </c>
      <c r="D11" s="181">
        <f t="shared" si="0"/>
        <v>-177.27272727272728</v>
      </c>
      <c r="E11" s="148" t="s">
        <v>919</v>
      </c>
      <c r="F11" s="58" t="s">
        <v>59</v>
      </c>
      <c r="G11" t="s">
        <v>509</v>
      </c>
      <c r="H11" s="146" t="s">
        <v>892</v>
      </c>
      <c r="I11" t="s">
        <v>1088</v>
      </c>
    </row>
    <row r="12" spans="1:9" x14ac:dyDescent="0.2">
      <c r="B12" s="145">
        <v>43619</v>
      </c>
      <c r="C12" s="144" t="s">
        <v>593</v>
      </c>
      <c r="D12" s="181">
        <f t="shared" si="0"/>
        <v>-177.27272727272728</v>
      </c>
      <c r="E12" s="148" t="s">
        <v>919</v>
      </c>
      <c r="F12" s="58" t="s">
        <v>186</v>
      </c>
      <c r="G12" s="47" t="s">
        <v>561</v>
      </c>
      <c r="H12" s="146" t="s">
        <v>892</v>
      </c>
      <c r="I12" t="s">
        <v>1088</v>
      </c>
    </row>
    <row r="13" spans="1:9" x14ac:dyDescent="0.2">
      <c r="B13" s="145">
        <v>43619</v>
      </c>
      <c r="C13" s="144" t="s">
        <v>593</v>
      </c>
      <c r="D13" s="181">
        <f t="shared" si="0"/>
        <v>-177.27272727272728</v>
      </c>
      <c r="E13" s="148" t="s">
        <v>919</v>
      </c>
      <c r="F13" s="58" t="s">
        <v>187</v>
      </c>
      <c r="G13" t="s">
        <v>474</v>
      </c>
      <c r="H13" s="146" t="s">
        <v>892</v>
      </c>
      <c r="I13" t="s">
        <v>1088</v>
      </c>
    </row>
    <row r="14" spans="1:9" x14ac:dyDescent="0.2">
      <c r="B14" s="145">
        <v>43619</v>
      </c>
      <c r="C14" s="144" t="s">
        <v>593</v>
      </c>
      <c r="D14" s="181">
        <f t="shared" si="0"/>
        <v>-177.27272727272728</v>
      </c>
      <c r="E14" s="148" t="s">
        <v>919</v>
      </c>
      <c r="F14" s="58" t="s">
        <v>188</v>
      </c>
      <c r="G14" t="s">
        <v>475</v>
      </c>
      <c r="H14" s="146" t="s">
        <v>892</v>
      </c>
      <c r="I14" t="s">
        <v>1088</v>
      </c>
    </row>
    <row r="15" spans="1:9" x14ac:dyDescent="0.2">
      <c r="B15" s="145">
        <v>43619</v>
      </c>
      <c r="C15" s="144" t="s">
        <v>593</v>
      </c>
      <c r="D15" s="181">
        <f t="shared" si="0"/>
        <v>-177.27272727272728</v>
      </c>
      <c r="E15" s="148" t="s">
        <v>919</v>
      </c>
      <c r="F15" s="58" t="s">
        <v>61</v>
      </c>
      <c r="G15" t="s">
        <v>477</v>
      </c>
      <c r="H15" s="146" t="s">
        <v>892</v>
      </c>
      <c r="I15" t="s">
        <v>1088</v>
      </c>
    </row>
    <row r="16" spans="1:9" x14ac:dyDescent="0.2">
      <c r="B16" s="145">
        <v>43619</v>
      </c>
      <c r="C16" s="144" t="s">
        <v>593</v>
      </c>
      <c r="D16" s="181">
        <f t="shared" si="0"/>
        <v>-177.27272727272728</v>
      </c>
      <c r="E16" s="148" t="s">
        <v>919</v>
      </c>
      <c r="F16" s="58" t="s">
        <v>62</v>
      </c>
      <c r="G16" t="s">
        <v>478</v>
      </c>
      <c r="H16" s="146" t="s">
        <v>892</v>
      </c>
      <c r="I16" t="s">
        <v>1088</v>
      </c>
    </row>
    <row r="17" spans="2:9" x14ac:dyDescent="0.2">
      <c r="B17" s="145">
        <v>43619</v>
      </c>
      <c r="C17" s="144" t="s">
        <v>593</v>
      </c>
      <c r="D17" s="181">
        <f t="shared" si="0"/>
        <v>-177.27272727272728</v>
      </c>
      <c r="E17" s="148" t="s">
        <v>919</v>
      </c>
      <c r="F17" s="58" t="s">
        <v>63</v>
      </c>
      <c r="G17" t="s">
        <v>479</v>
      </c>
      <c r="H17" s="146" t="s">
        <v>892</v>
      </c>
      <c r="I17" t="s">
        <v>1088</v>
      </c>
    </row>
    <row r="18" spans="2:9" x14ac:dyDescent="0.2">
      <c r="B18" s="145">
        <v>43619</v>
      </c>
      <c r="C18" s="144" t="s">
        <v>593</v>
      </c>
      <c r="D18" s="181">
        <f t="shared" si="0"/>
        <v>-177.27272727272728</v>
      </c>
      <c r="E18" s="148" t="s">
        <v>919</v>
      </c>
      <c r="F18" s="58" t="s">
        <v>64</v>
      </c>
      <c r="G18" s="47" t="s">
        <v>560</v>
      </c>
      <c r="H18" s="146" t="s">
        <v>892</v>
      </c>
      <c r="I18" t="s">
        <v>1088</v>
      </c>
    </row>
    <row r="19" spans="2:9" x14ac:dyDescent="0.2">
      <c r="B19" s="145">
        <v>43619</v>
      </c>
      <c r="C19" s="144" t="s">
        <v>593</v>
      </c>
      <c r="D19" s="181">
        <f t="shared" si="0"/>
        <v>-177.27272727272728</v>
      </c>
      <c r="E19" s="148" t="s">
        <v>919</v>
      </c>
      <c r="F19" s="58" t="s">
        <v>65</v>
      </c>
      <c r="G19" s="47" t="s">
        <v>480</v>
      </c>
      <c r="H19" s="146" t="s">
        <v>892</v>
      </c>
      <c r="I19" t="s">
        <v>1088</v>
      </c>
    </row>
    <row r="20" spans="2:9" x14ac:dyDescent="0.2">
      <c r="B20" s="145">
        <v>43619</v>
      </c>
      <c r="C20" s="144" t="s">
        <v>593</v>
      </c>
      <c r="D20" s="181">
        <f t="shared" si="0"/>
        <v>-177.27272727272728</v>
      </c>
      <c r="E20" s="148" t="s">
        <v>919</v>
      </c>
      <c r="F20" s="58" t="s">
        <v>99</v>
      </c>
      <c r="G20" t="s">
        <v>481</v>
      </c>
      <c r="H20" s="146" t="s">
        <v>892</v>
      </c>
      <c r="I20" t="s">
        <v>1088</v>
      </c>
    </row>
    <row r="21" spans="2:9" x14ac:dyDescent="0.2">
      <c r="B21" s="145">
        <v>43619</v>
      </c>
      <c r="C21" s="144" t="s">
        <v>593</v>
      </c>
      <c r="D21" s="181">
        <f t="shared" si="0"/>
        <v>-177.27272727272728</v>
      </c>
      <c r="E21" s="148" t="s">
        <v>919</v>
      </c>
      <c r="F21" s="58" t="s">
        <v>102</v>
      </c>
      <c r="G21" t="s">
        <v>482</v>
      </c>
      <c r="H21" s="146" t="s">
        <v>892</v>
      </c>
      <c r="I21" t="s">
        <v>1088</v>
      </c>
    </row>
    <row r="22" spans="2:9" x14ac:dyDescent="0.2">
      <c r="B22" s="145">
        <v>43619</v>
      </c>
      <c r="C22" s="144" t="s">
        <v>593</v>
      </c>
      <c r="D22" s="181">
        <f t="shared" si="0"/>
        <v>-177.27272727272728</v>
      </c>
      <c r="E22" s="148" t="s">
        <v>919</v>
      </c>
      <c r="F22" s="58" t="s">
        <v>103</v>
      </c>
      <c r="G22" s="47" t="s">
        <v>483</v>
      </c>
      <c r="H22" s="146" t="s">
        <v>892</v>
      </c>
      <c r="I22" t="s">
        <v>1088</v>
      </c>
    </row>
    <row r="23" spans="2:9" x14ac:dyDescent="0.2">
      <c r="B23" s="145">
        <v>43619</v>
      </c>
      <c r="C23" s="144" t="s">
        <v>593</v>
      </c>
      <c r="D23" s="181">
        <f t="shared" si="0"/>
        <v>-177.27272727272728</v>
      </c>
      <c r="E23" s="148" t="s">
        <v>919</v>
      </c>
      <c r="F23" s="58" t="s">
        <v>66</v>
      </c>
      <c r="G23" s="47" t="s">
        <v>484</v>
      </c>
      <c r="H23" s="146" t="s">
        <v>892</v>
      </c>
      <c r="I23" t="s">
        <v>1088</v>
      </c>
    </row>
    <row r="24" spans="2:9" x14ac:dyDescent="0.2">
      <c r="B24" s="145">
        <v>43619</v>
      </c>
      <c r="C24" s="144" t="s">
        <v>593</v>
      </c>
      <c r="D24" s="181">
        <f t="shared" si="0"/>
        <v>-177.27272727272728</v>
      </c>
      <c r="E24" s="148" t="s">
        <v>919</v>
      </c>
      <c r="F24" s="58" t="s">
        <v>105</v>
      </c>
      <c r="G24" s="47" t="s">
        <v>485</v>
      </c>
      <c r="H24" s="146" t="s">
        <v>892</v>
      </c>
      <c r="I24" t="s">
        <v>1088</v>
      </c>
    </row>
    <row r="25" spans="2:9" x14ac:dyDescent="0.2">
      <c r="B25" s="145">
        <v>43619</v>
      </c>
      <c r="C25" s="144" t="s">
        <v>593</v>
      </c>
      <c r="D25" s="181">
        <f t="shared" si="0"/>
        <v>-177.27272727272728</v>
      </c>
      <c r="E25" s="148" t="s">
        <v>919</v>
      </c>
      <c r="F25" s="58" t="s">
        <v>106</v>
      </c>
      <c r="G25" s="47" t="s">
        <v>486</v>
      </c>
      <c r="H25" s="146" t="s">
        <v>892</v>
      </c>
      <c r="I25" t="s">
        <v>1088</v>
      </c>
    </row>
    <row r="26" spans="2:9" x14ac:dyDescent="0.2">
      <c r="B26" s="145">
        <v>43619</v>
      </c>
      <c r="C26" s="144" t="s">
        <v>593</v>
      </c>
      <c r="D26" s="181">
        <f t="shared" si="0"/>
        <v>-177.27272727272728</v>
      </c>
      <c r="E26" s="148" t="s">
        <v>919</v>
      </c>
      <c r="F26" s="58" t="s">
        <v>224</v>
      </c>
      <c r="G26" t="s">
        <v>487</v>
      </c>
      <c r="H26" s="146" t="s">
        <v>892</v>
      </c>
      <c r="I26" t="s">
        <v>1088</v>
      </c>
    </row>
    <row r="27" spans="2:9" x14ac:dyDescent="0.2">
      <c r="B27" s="145">
        <v>43619</v>
      </c>
      <c r="C27" s="144" t="s">
        <v>593</v>
      </c>
      <c r="D27" s="181">
        <f t="shared" si="0"/>
        <v>-177.27272727272728</v>
      </c>
      <c r="E27" s="148" t="s">
        <v>919</v>
      </c>
      <c r="F27" s="58" t="s">
        <v>226</v>
      </c>
      <c r="G27" s="47" t="s">
        <v>488</v>
      </c>
      <c r="H27" s="146" t="s">
        <v>892</v>
      </c>
      <c r="I27" t="s">
        <v>1088</v>
      </c>
    </row>
    <row r="28" spans="2:9" x14ac:dyDescent="0.2">
      <c r="B28" s="145">
        <v>43619</v>
      </c>
      <c r="C28" s="144" t="s">
        <v>593</v>
      </c>
      <c r="D28" s="181">
        <f t="shared" si="0"/>
        <v>-177.27272727272728</v>
      </c>
      <c r="E28" s="148" t="s">
        <v>919</v>
      </c>
      <c r="F28" s="58" t="s">
        <v>227</v>
      </c>
      <c r="G28" s="47" t="s">
        <v>489</v>
      </c>
      <c r="H28" s="146" t="s">
        <v>892</v>
      </c>
      <c r="I28" t="s">
        <v>1088</v>
      </c>
    </row>
    <row r="29" spans="2:9" x14ac:dyDescent="0.2">
      <c r="B29" s="145">
        <v>43619</v>
      </c>
      <c r="C29" s="144" t="s">
        <v>593</v>
      </c>
      <c r="D29" s="181">
        <f t="shared" si="0"/>
        <v>-177.27272727272728</v>
      </c>
      <c r="E29" s="148" t="s">
        <v>919</v>
      </c>
      <c r="F29" s="58" t="s">
        <v>228</v>
      </c>
      <c r="G29" t="s">
        <v>490</v>
      </c>
      <c r="H29" s="146" t="s">
        <v>892</v>
      </c>
      <c r="I29" t="s">
        <v>1088</v>
      </c>
    </row>
    <row r="30" spans="2:9" x14ac:dyDescent="0.2">
      <c r="B30" s="145">
        <v>43619</v>
      </c>
      <c r="C30" s="144" t="s">
        <v>593</v>
      </c>
      <c r="D30" s="181">
        <f t="shared" si="0"/>
        <v>-177.27272727272728</v>
      </c>
      <c r="E30" s="148" t="s">
        <v>919</v>
      </c>
      <c r="F30" s="58" t="s">
        <v>107</v>
      </c>
      <c r="G30" t="s">
        <v>491</v>
      </c>
      <c r="H30" s="146" t="s">
        <v>892</v>
      </c>
      <c r="I30" t="s">
        <v>1088</v>
      </c>
    </row>
    <row r="31" spans="2:9" x14ac:dyDescent="0.2">
      <c r="B31" s="145">
        <v>43619</v>
      </c>
      <c r="C31" s="144" t="s">
        <v>593</v>
      </c>
      <c r="D31" s="181">
        <f t="shared" si="0"/>
        <v>-177.27272727272728</v>
      </c>
      <c r="E31" s="148" t="s">
        <v>919</v>
      </c>
      <c r="F31" s="58" t="s">
        <v>67</v>
      </c>
      <c r="G31" s="47" t="s">
        <v>492</v>
      </c>
      <c r="H31" s="146" t="s">
        <v>892</v>
      </c>
      <c r="I31" t="s">
        <v>1088</v>
      </c>
    </row>
    <row r="32" spans="2:9" x14ac:dyDescent="0.2">
      <c r="B32" s="145">
        <v>43619</v>
      </c>
      <c r="C32" s="144" t="s">
        <v>593</v>
      </c>
      <c r="D32" s="181">
        <f t="shared" si="0"/>
        <v>-177.27272727272728</v>
      </c>
      <c r="E32" s="148" t="s">
        <v>919</v>
      </c>
      <c r="F32" s="58" t="s">
        <v>109</v>
      </c>
      <c r="G32" s="47" t="s">
        <v>510</v>
      </c>
      <c r="H32" s="146" t="s">
        <v>892</v>
      </c>
      <c r="I32" t="s">
        <v>1088</v>
      </c>
    </row>
    <row r="33" spans="2:9" x14ac:dyDescent="0.2">
      <c r="B33" s="145">
        <v>43619</v>
      </c>
      <c r="C33" s="144" t="s">
        <v>593</v>
      </c>
      <c r="D33" s="181">
        <f t="shared" si="0"/>
        <v>-177.27272727272728</v>
      </c>
      <c r="E33" s="148" t="s">
        <v>919</v>
      </c>
      <c r="F33" s="58" t="s">
        <v>68</v>
      </c>
      <c r="G33" s="47" t="s">
        <v>493</v>
      </c>
      <c r="H33" s="146" t="s">
        <v>892</v>
      </c>
      <c r="I33" t="s">
        <v>1088</v>
      </c>
    </row>
    <row r="34" spans="2:9" x14ac:dyDescent="0.2">
      <c r="B34" s="145">
        <v>43619</v>
      </c>
      <c r="C34" s="144" t="s">
        <v>593</v>
      </c>
      <c r="D34" s="181">
        <f t="shared" si="0"/>
        <v>-177.27272727272728</v>
      </c>
      <c r="E34" s="148" t="s">
        <v>919</v>
      </c>
      <c r="F34" s="58" t="s">
        <v>69</v>
      </c>
      <c r="G34" s="47" t="s">
        <v>511</v>
      </c>
      <c r="H34" s="146" t="s">
        <v>892</v>
      </c>
      <c r="I34" t="s">
        <v>1088</v>
      </c>
    </row>
    <row r="35" spans="2:9" x14ac:dyDescent="0.2">
      <c r="B35" s="145">
        <v>43619</v>
      </c>
      <c r="C35" s="144" t="s">
        <v>593</v>
      </c>
      <c r="D35" s="181">
        <f t="shared" si="0"/>
        <v>-177.27272727272728</v>
      </c>
      <c r="E35" s="148" t="s">
        <v>919</v>
      </c>
      <c r="F35" s="58" t="s">
        <v>86</v>
      </c>
      <c r="G35" s="47" t="s">
        <v>494</v>
      </c>
      <c r="H35" s="146" t="s">
        <v>892</v>
      </c>
      <c r="I35" t="s">
        <v>1088</v>
      </c>
    </row>
    <row r="36" spans="2:9" x14ac:dyDescent="0.2">
      <c r="B36" s="145">
        <v>43619</v>
      </c>
      <c r="C36" s="144" t="s">
        <v>593</v>
      </c>
      <c r="D36" s="181">
        <f t="shared" si="0"/>
        <v>-177.27272727272728</v>
      </c>
      <c r="E36" s="148" t="s">
        <v>919</v>
      </c>
      <c r="F36" s="58" t="s">
        <v>111</v>
      </c>
      <c r="G36" s="47" t="s">
        <v>495</v>
      </c>
      <c r="H36" s="146" t="s">
        <v>892</v>
      </c>
      <c r="I36" t="s">
        <v>1088</v>
      </c>
    </row>
    <row r="37" spans="2:9" x14ac:dyDescent="0.2">
      <c r="B37" s="145">
        <v>43619</v>
      </c>
      <c r="C37" s="144" t="s">
        <v>593</v>
      </c>
      <c r="D37" s="181">
        <f t="shared" si="0"/>
        <v>-177.27272727272728</v>
      </c>
      <c r="E37" s="148" t="s">
        <v>919</v>
      </c>
      <c r="F37" s="58" t="s">
        <v>231</v>
      </c>
      <c r="G37" t="s">
        <v>497</v>
      </c>
      <c r="H37" s="146" t="s">
        <v>892</v>
      </c>
      <c r="I37" t="s">
        <v>1088</v>
      </c>
    </row>
    <row r="38" spans="2:9" x14ac:dyDescent="0.2">
      <c r="B38" s="145">
        <v>43619</v>
      </c>
      <c r="C38" s="144" t="s">
        <v>593</v>
      </c>
      <c r="D38" s="181">
        <f t="shared" si="0"/>
        <v>-177.27272727272728</v>
      </c>
      <c r="E38" s="148" t="s">
        <v>919</v>
      </c>
      <c r="F38" s="58" t="s">
        <v>70</v>
      </c>
      <c r="G38" s="47" t="s">
        <v>496</v>
      </c>
      <c r="H38" s="146" t="s">
        <v>892</v>
      </c>
      <c r="I38" t="s">
        <v>1088</v>
      </c>
    </row>
    <row r="39" spans="2:9" x14ac:dyDescent="0.2">
      <c r="B39" s="145">
        <v>43619</v>
      </c>
      <c r="C39" s="144" t="s">
        <v>593</v>
      </c>
      <c r="D39" s="181">
        <f t="shared" si="0"/>
        <v>-177.27272727272728</v>
      </c>
      <c r="E39" s="148" t="s">
        <v>919</v>
      </c>
      <c r="F39" s="58" t="s">
        <v>71</v>
      </c>
      <c r="G39" t="s">
        <v>498</v>
      </c>
      <c r="H39" s="146" t="s">
        <v>892</v>
      </c>
      <c r="I39" t="s">
        <v>1088</v>
      </c>
    </row>
    <row r="40" spans="2:9" x14ac:dyDescent="0.2">
      <c r="B40" s="145">
        <v>43619</v>
      </c>
      <c r="C40" s="144" t="s">
        <v>593</v>
      </c>
      <c r="D40" s="181">
        <f t="shared" si="0"/>
        <v>-177.27272727272728</v>
      </c>
      <c r="E40" s="148" t="s">
        <v>919</v>
      </c>
      <c r="F40" s="58" t="s">
        <v>72</v>
      </c>
      <c r="G40" s="47" t="s">
        <v>499</v>
      </c>
      <c r="H40" s="146" t="s">
        <v>892</v>
      </c>
      <c r="I40" t="s">
        <v>1088</v>
      </c>
    </row>
    <row r="41" spans="2:9" x14ac:dyDescent="0.2">
      <c r="B41" s="145">
        <v>43619</v>
      </c>
      <c r="C41" s="144" t="s">
        <v>593</v>
      </c>
      <c r="D41" s="181">
        <f t="shared" si="0"/>
        <v>-177.27272727272728</v>
      </c>
      <c r="E41" s="148" t="s">
        <v>919</v>
      </c>
      <c r="F41" s="58" t="s">
        <v>73</v>
      </c>
      <c r="G41" t="s">
        <v>500</v>
      </c>
      <c r="H41" s="146" t="s">
        <v>892</v>
      </c>
      <c r="I41" t="s">
        <v>1088</v>
      </c>
    </row>
    <row r="42" spans="2:9" x14ac:dyDescent="0.2">
      <c r="B42" s="145">
        <v>43619</v>
      </c>
      <c r="C42" s="144" t="s">
        <v>593</v>
      </c>
      <c r="D42" s="181">
        <f t="shared" si="0"/>
        <v>-177.27272727272728</v>
      </c>
      <c r="E42" s="148" t="s">
        <v>919</v>
      </c>
      <c r="F42" s="58" t="s">
        <v>112</v>
      </c>
      <c r="G42" s="47" t="s">
        <v>501</v>
      </c>
      <c r="H42" s="146" t="s">
        <v>892</v>
      </c>
      <c r="I42" t="s">
        <v>1088</v>
      </c>
    </row>
    <row r="43" spans="2:9" x14ac:dyDescent="0.2">
      <c r="B43" s="145">
        <v>43619</v>
      </c>
      <c r="C43" s="144" t="s">
        <v>593</v>
      </c>
      <c r="D43" s="181">
        <f t="shared" si="0"/>
        <v>-177.27272727272728</v>
      </c>
      <c r="E43" s="148" t="s">
        <v>919</v>
      </c>
      <c r="F43" s="58" t="s">
        <v>115</v>
      </c>
      <c r="G43" t="s">
        <v>502</v>
      </c>
      <c r="H43" s="146" t="s">
        <v>892</v>
      </c>
      <c r="I43" t="s">
        <v>1088</v>
      </c>
    </row>
    <row r="44" spans="2:9" x14ac:dyDescent="0.2">
      <c r="B44" s="145">
        <v>43619</v>
      </c>
      <c r="C44" s="144" t="s">
        <v>593</v>
      </c>
      <c r="D44" s="181">
        <f t="shared" si="0"/>
        <v>-177.27272727272728</v>
      </c>
      <c r="E44" s="148" t="s">
        <v>919</v>
      </c>
      <c r="F44" s="58" t="s">
        <v>117</v>
      </c>
      <c r="G44" t="s">
        <v>503</v>
      </c>
      <c r="H44" s="146" t="s">
        <v>892</v>
      </c>
      <c r="I44" t="s">
        <v>1088</v>
      </c>
    </row>
    <row r="45" spans="2:9" x14ac:dyDescent="0.2">
      <c r="B45" s="145">
        <v>43619</v>
      </c>
      <c r="C45" s="144" t="s">
        <v>593</v>
      </c>
      <c r="D45" s="181">
        <f t="shared" si="0"/>
        <v>-177.27272727272728</v>
      </c>
      <c r="E45" s="148" t="s">
        <v>919</v>
      </c>
      <c r="F45" s="58" t="s">
        <v>74</v>
      </c>
      <c r="G45" s="47" t="s">
        <v>504</v>
      </c>
      <c r="H45" s="146" t="s">
        <v>892</v>
      </c>
      <c r="I45" t="s">
        <v>1088</v>
      </c>
    </row>
    <row r="46" spans="2:9" x14ac:dyDescent="0.2">
      <c r="B46" s="145">
        <v>43619</v>
      </c>
      <c r="C46" s="144" t="s">
        <v>593</v>
      </c>
      <c r="D46" s="181">
        <f t="shared" si="0"/>
        <v>-177.27272727272728</v>
      </c>
      <c r="E46" s="148" t="s">
        <v>919</v>
      </c>
      <c r="F46" s="58" t="s">
        <v>118</v>
      </c>
      <c r="G46" s="47" t="s">
        <v>505</v>
      </c>
      <c r="H46" s="146" t="s">
        <v>892</v>
      </c>
      <c r="I46" t="s">
        <v>1088</v>
      </c>
    </row>
    <row r="47" spans="2:9" x14ac:dyDescent="0.2">
      <c r="B47" s="145">
        <v>43619</v>
      </c>
      <c r="C47" s="144" t="s">
        <v>593</v>
      </c>
      <c r="D47" s="181">
        <f t="shared" si="0"/>
        <v>-177.27272727272728</v>
      </c>
      <c r="E47" s="148" t="s">
        <v>919</v>
      </c>
      <c r="F47" s="58" t="s">
        <v>119</v>
      </c>
      <c r="G47" t="s">
        <v>506</v>
      </c>
      <c r="H47" s="146" t="s">
        <v>892</v>
      </c>
      <c r="I47" t="s">
        <v>1088</v>
      </c>
    </row>
    <row r="48" spans="2:9" x14ac:dyDescent="0.2">
      <c r="B48" s="145">
        <v>43619</v>
      </c>
      <c r="C48" s="144" t="s">
        <v>593</v>
      </c>
      <c r="D48" s="181">
        <f t="shared" si="0"/>
        <v>-177.27272727272728</v>
      </c>
      <c r="E48" s="148" t="s">
        <v>919</v>
      </c>
      <c r="F48" s="58" t="s">
        <v>75</v>
      </c>
      <c r="G48" t="s">
        <v>507</v>
      </c>
      <c r="H48" s="146" t="s">
        <v>892</v>
      </c>
      <c r="I48" t="s">
        <v>1088</v>
      </c>
    </row>
    <row r="49" spans="2:10" x14ac:dyDescent="0.2">
      <c r="B49" s="145">
        <v>43619</v>
      </c>
      <c r="C49" s="144" t="s">
        <v>593</v>
      </c>
      <c r="D49" s="144">
        <v>-10</v>
      </c>
      <c r="E49" s="144" t="s">
        <v>594</v>
      </c>
      <c r="F49" s="144" t="s">
        <v>717</v>
      </c>
      <c r="I49" t="s">
        <v>1087</v>
      </c>
    </row>
    <row r="50" spans="2:10" x14ac:dyDescent="0.2">
      <c r="B50" s="145">
        <v>43619</v>
      </c>
      <c r="C50" s="144" t="s">
        <v>593</v>
      </c>
      <c r="D50" s="144">
        <v>-6.06</v>
      </c>
      <c r="E50" s="144" t="s">
        <v>594</v>
      </c>
      <c r="F50" s="144" t="s">
        <v>718</v>
      </c>
      <c r="G50" s="146"/>
      <c r="H50" s="146"/>
      <c r="I50" t="s">
        <v>1087</v>
      </c>
    </row>
    <row r="51" spans="2:10" x14ac:dyDescent="0.2">
      <c r="B51" s="145">
        <v>43619</v>
      </c>
      <c r="C51" s="144" t="s">
        <v>593</v>
      </c>
      <c r="D51" s="144">
        <v>-3.08</v>
      </c>
      <c r="E51" s="144" t="s">
        <v>594</v>
      </c>
      <c r="F51" s="144" t="s">
        <v>719</v>
      </c>
      <c r="I51" t="s">
        <v>1087</v>
      </c>
    </row>
    <row r="52" spans="2:10" x14ac:dyDescent="0.2">
      <c r="B52" s="145">
        <v>43619</v>
      </c>
      <c r="C52" s="144" t="s">
        <v>593</v>
      </c>
      <c r="D52" s="144">
        <v>-209.6</v>
      </c>
      <c r="E52" s="144" t="s">
        <v>594</v>
      </c>
      <c r="F52" s="144" t="s">
        <v>720</v>
      </c>
      <c r="I52" t="s">
        <v>1087</v>
      </c>
      <c r="J52" s="146" t="s">
        <v>712</v>
      </c>
    </row>
    <row r="53" spans="2:10" x14ac:dyDescent="0.2">
      <c r="B53" s="145">
        <v>43619</v>
      </c>
      <c r="C53" s="144" t="s">
        <v>593</v>
      </c>
      <c r="D53" s="144">
        <v>-38.5</v>
      </c>
      <c r="E53" s="144" t="s">
        <v>594</v>
      </c>
      <c r="F53" s="144" t="s">
        <v>721</v>
      </c>
      <c r="I53" t="s">
        <v>1087</v>
      </c>
      <c r="J53" s="146" t="s">
        <v>712</v>
      </c>
    </row>
    <row r="54" spans="2:10" x14ac:dyDescent="0.2">
      <c r="B54" s="145">
        <v>43619</v>
      </c>
      <c r="C54" s="144" t="s">
        <v>593</v>
      </c>
      <c r="D54" s="144">
        <v>-2609.16</v>
      </c>
      <c r="E54" s="144" t="s">
        <v>597</v>
      </c>
      <c r="F54" s="144" t="s">
        <v>598</v>
      </c>
      <c r="I54" t="s">
        <v>1087</v>
      </c>
    </row>
    <row r="55" spans="2:10" x14ac:dyDescent="0.2">
      <c r="B55" s="145">
        <v>43619</v>
      </c>
      <c r="C55" s="144" t="s">
        <v>593</v>
      </c>
      <c r="D55" s="144">
        <v>-232.5</v>
      </c>
      <c r="E55" s="144" t="s">
        <v>597</v>
      </c>
      <c r="F55" s="144" t="s">
        <v>604</v>
      </c>
      <c r="I55" t="s">
        <v>1087</v>
      </c>
    </row>
    <row r="56" spans="2:10" x14ac:dyDescent="0.2">
      <c r="B56" s="145">
        <v>43619</v>
      </c>
      <c r="C56" s="144" t="s">
        <v>593</v>
      </c>
      <c r="D56" s="144">
        <v>-196.79</v>
      </c>
      <c r="E56" s="144" t="s">
        <v>597</v>
      </c>
      <c r="F56" s="144" t="s">
        <v>599</v>
      </c>
      <c r="I56" t="s">
        <v>1087</v>
      </c>
    </row>
    <row r="57" spans="2:10" x14ac:dyDescent="0.2">
      <c r="B57" s="145">
        <v>43619</v>
      </c>
      <c r="C57" s="144" t="s">
        <v>593</v>
      </c>
      <c r="D57" s="144">
        <v>-160</v>
      </c>
      <c r="E57" s="144" t="s">
        <v>597</v>
      </c>
      <c r="F57" s="144" t="s">
        <v>602</v>
      </c>
      <c r="I57" t="s">
        <v>1087</v>
      </c>
    </row>
    <row r="58" spans="2:10" x14ac:dyDescent="0.2">
      <c r="B58" s="145">
        <v>43619</v>
      </c>
      <c r="C58" s="144" t="s">
        <v>593</v>
      </c>
      <c r="D58" s="144">
        <v>-157.5</v>
      </c>
      <c r="E58" s="144" t="s">
        <v>597</v>
      </c>
      <c r="F58" s="144" t="s">
        <v>603</v>
      </c>
      <c r="H58" s="146"/>
      <c r="I58" t="s">
        <v>1087</v>
      </c>
    </row>
    <row r="59" spans="2:10" x14ac:dyDescent="0.2">
      <c r="B59" s="145">
        <v>43619</v>
      </c>
      <c r="C59" s="144" t="s">
        <v>593</v>
      </c>
      <c r="D59" s="144">
        <v>-50</v>
      </c>
      <c r="E59" s="144" t="s">
        <v>597</v>
      </c>
      <c r="F59" s="144" t="s">
        <v>600</v>
      </c>
      <c r="G59" s="146"/>
      <c r="H59" s="146"/>
      <c r="I59" t="s">
        <v>1087</v>
      </c>
    </row>
    <row r="60" spans="2:10" x14ac:dyDescent="0.2">
      <c r="B60" s="145">
        <v>43619</v>
      </c>
      <c r="C60" s="144" t="s">
        <v>593</v>
      </c>
      <c r="D60" s="144">
        <v>-50</v>
      </c>
      <c r="E60" s="144" t="s">
        <v>597</v>
      </c>
      <c r="F60" s="144" t="s">
        <v>601</v>
      </c>
      <c r="G60" s="146"/>
      <c r="I60" t="s">
        <v>1087</v>
      </c>
    </row>
    <row r="61" spans="2:10" x14ac:dyDescent="0.2">
      <c r="B61" s="145">
        <v>43619</v>
      </c>
      <c r="C61" s="144" t="s">
        <v>593</v>
      </c>
      <c r="D61" s="144">
        <v>-221.36</v>
      </c>
      <c r="E61" s="144" t="s">
        <v>605</v>
      </c>
      <c r="F61" s="144" t="s">
        <v>606</v>
      </c>
      <c r="I61" t="s">
        <v>1089</v>
      </c>
      <c r="J61" s="146"/>
    </row>
    <row r="62" spans="2:10" x14ac:dyDescent="0.2">
      <c r="B62" s="145">
        <v>43619</v>
      </c>
      <c r="C62" s="144" t="s">
        <v>593</v>
      </c>
      <c r="D62" s="144">
        <v>-240.21</v>
      </c>
      <c r="E62" s="144" t="s">
        <v>605</v>
      </c>
      <c r="F62" s="144" t="s">
        <v>607</v>
      </c>
      <c r="G62" s="146"/>
      <c r="H62" s="146"/>
      <c r="I62" t="s">
        <v>1089</v>
      </c>
      <c r="J62" s="146"/>
    </row>
    <row r="63" spans="2:10" x14ac:dyDescent="0.2">
      <c r="B63" s="145">
        <v>43619</v>
      </c>
      <c r="C63" s="144" t="s">
        <v>593</v>
      </c>
      <c r="D63" s="144">
        <v>-124.68</v>
      </c>
      <c r="E63" s="144" t="s">
        <v>605</v>
      </c>
      <c r="F63" s="146" t="s">
        <v>608</v>
      </c>
      <c r="I63" t="s">
        <v>1087</v>
      </c>
      <c r="J63" s="146"/>
    </row>
    <row r="64" spans="2:10" x14ac:dyDescent="0.2">
      <c r="B64" s="145">
        <v>43619</v>
      </c>
      <c r="C64" s="144" t="s">
        <v>593</v>
      </c>
      <c r="D64" s="144">
        <v>-125.34</v>
      </c>
      <c r="E64" s="144" t="s">
        <v>605</v>
      </c>
      <c r="F64" s="144" t="s">
        <v>609</v>
      </c>
      <c r="I64" t="s">
        <v>1087</v>
      </c>
      <c r="J64" s="146"/>
    </row>
    <row r="65" spans="2:10" x14ac:dyDescent="0.2">
      <c r="B65" s="145">
        <v>43619</v>
      </c>
      <c r="C65" s="144" t="s">
        <v>593</v>
      </c>
      <c r="D65" s="144">
        <v>-209.16</v>
      </c>
      <c r="E65" s="144" t="s">
        <v>605</v>
      </c>
      <c r="F65" s="144" t="s">
        <v>613</v>
      </c>
      <c r="I65" t="s">
        <v>1089</v>
      </c>
      <c r="J65" s="146"/>
    </row>
    <row r="66" spans="2:10" x14ac:dyDescent="0.2">
      <c r="B66" s="145">
        <v>43619</v>
      </c>
      <c r="C66" s="144" t="s">
        <v>593</v>
      </c>
      <c r="D66" s="144">
        <v>-236.44</v>
      </c>
      <c r="E66" s="144" t="s">
        <v>605</v>
      </c>
      <c r="F66" s="144" t="s">
        <v>614</v>
      </c>
      <c r="I66" t="s">
        <v>1089</v>
      </c>
      <c r="J66" s="146"/>
    </row>
    <row r="67" spans="2:10" x14ac:dyDescent="0.2">
      <c r="B67" s="145">
        <v>43619</v>
      </c>
      <c r="C67" s="144" t="s">
        <v>593</v>
      </c>
      <c r="D67" s="144">
        <v>-260.98</v>
      </c>
      <c r="E67" s="144" t="s">
        <v>605</v>
      </c>
      <c r="F67" s="144" t="s">
        <v>615</v>
      </c>
      <c r="I67" t="s">
        <v>1089</v>
      </c>
    </row>
    <row r="68" spans="2:10" x14ac:dyDescent="0.2">
      <c r="B68" s="145">
        <v>43619</v>
      </c>
      <c r="C68" s="144" t="s">
        <v>593</v>
      </c>
      <c r="D68" s="144">
        <v>-251.96</v>
      </c>
      <c r="E68" s="144" t="s">
        <v>605</v>
      </c>
      <c r="F68" s="144" t="s">
        <v>616</v>
      </c>
      <c r="I68" t="s">
        <v>1089</v>
      </c>
    </row>
    <row r="69" spans="2:10" x14ac:dyDescent="0.2">
      <c r="B69" s="145">
        <v>43619</v>
      </c>
      <c r="C69" s="144" t="s">
        <v>593</v>
      </c>
      <c r="D69" s="144">
        <v>-206.93</v>
      </c>
      <c r="E69" s="144" t="s">
        <v>605</v>
      </c>
      <c r="F69" s="144" t="s">
        <v>617</v>
      </c>
      <c r="H69" s="148"/>
      <c r="I69" t="s">
        <v>1089</v>
      </c>
      <c r="J69" s="146"/>
    </row>
    <row r="70" spans="2:10" x14ac:dyDescent="0.2">
      <c r="B70" s="145">
        <v>43619</v>
      </c>
      <c r="C70" s="144" t="s">
        <v>593</v>
      </c>
      <c r="D70" s="144">
        <v>-251.78</v>
      </c>
      <c r="E70" s="144" t="s">
        <v>605</v>
      </c>
      <c r="F70" s="144" t="s">
        <v>618</v>
      </c>
      <c r="I70" t="s">
        <v>1089</v>
      </c>
      <c r="J70" s="146"/>
    </row>
    <row r="71" spans="2:10" x14ac:dyDescent="0.2">
      <c r="B71" s="145">
        <v>43619</v>
      </c>
      <c r="C71" s="144" t="s">
        <v>593</v>
      </c>
      <c r="D71" s="144">
        <v>-206.8</v>
      </c>
      <c r="E71" s="144" t="s">
        <v>605</v>
      </c>
      <c r="F71" s="144" t="s">
        <v>619</v>
      </c>
      <c r="G71" s="146"/>
      <c r="I71" t="s">
        <v>1089</v>
      </c>
      <c r="J71" s="146"/>
    </row>
    <row r="72" spans="2:10" x14ac:dyDescent="0.2">
      <c r="B72" s="145">
        <v>43619</v>
      </c>
      <c r="C72" s="144" t="s">
        <v>593</v>
      </c>
      <c r="D72" s="144">
        <v>-159.5</v>
      </c>
      <c r="E72" s="144" t="s">
        <v>605</v>
      </c>
      <c r="F72" s="144" t="s">
        <v>620</v>
      </c>
      <c r="G72" s="146"/>
      <c r="H72" s="146"/>
      <c r="I72" t="s">
        <v>1089</v>
      </c>
    </row>
    <row r="73" spans="2:10" x14ac:dyDescent="0.2">
      <c r="B73" s="145">
        <v>43619</v>
      </c>
      <c r="C73" s="144" t="s">
        <v>593</v>
      </c>
      <c r="D73" s="144">
        <v>-177.04</v>
      </c>
      <c r="E73" s="144" t="s">
        <v>605</v>
      </c>
      <c r="F73" s="144" t="s">
        <v>621</v>
      </c>
      <c r="I73" t="s">
        <v>1089</v>
      </c>
      <c r="J73" s="146"/>
    </row>
    <row r="74" spans="2:10" x14ac:dyDescent="0.2">
      <c r="B74" s="145">
        <v>43619</v>
      </c>
      <c r="C74" s="144" t="s">
        <v>593</v>
      </c>
      <c r="D74" s="144">
        <v>-177.08</v>
      </c>
      <c r="E74" s="144" t="s">
        <v>605</v>
      </c>
      <c r="F74" s="144" t="s">
        <v>622</v>
      </c>
      <c r="H74" s="146"/>
      <c r="I74" t="s">
        <v>1089</v>
      </c>
    </row>
    <row r="75" spans="2:10" x14ac:dyDescent="0.2">
      <c r="B75" s="145">
        <v>43619</v>
      </c>
      <c r="C75" s="144" t="s">
        <v>593</v>
      </c>
      <c r="D75" s="144">
        <v>-161.62</v>
      </c>
      <c r="E75" s="144" t="s">
        <v>605</v>
      </c>
      <c r="F75" s="144" t="s">
        <v>623</v>
      </c>
      <c r="I75" t="s">
        <v>1089</v>
      </c>
    </row>
    <row r="76" spans="2:10" x14ac:dyDescent="0.2">
      <c r="B76" s="145">
        <v>43620</v>
      </c>
      <c r="C76" s="144" t="s">
        <v>593</v>
      </c>
      <c r="D76" s="144">
        <v>110.66</v>
      </c>
      <c r="E76" s="144" t="s">
        <v>595</v>
      </c>
      <c r="F76" s="144" t="s">
        <v>612</v>
      </c>
      <c r="I76" t="s">
        <v>1087</v>
      </c>
    </row>
    <row r="77" spans="2:10" x14ac:dyDescent="0.2">
      <c r="B77" s="145">
        <v>43620</v>
      </c>
      <c r="C77" s="144" t="s">
        <v>593</v>
      </c>
      <c r="D77" s="144">
        <v>-12.42</v>
      </c>
      <c r="E77" s="144" t="s">
        <v>594</v>
      </c>
      <c r="F77" s="144" t="s">
        <v>722</v>
      </c>
      <c r="H77" s="146"/>
      <c r="I77" t="s">
        <v>1087</v>
      </c>
      <c r="J77" s="146" t="s">
        <v>712</v>
      </c>
    </row>
    <row r="78" spans="2:10" x14ac:dyDescent="0.2">
      <c r="B78" s="145">
        <v>43620</v>
      </c>
      <c r="C78" s="144" t="s">
        <v>593</v>
      </c>
      <c r="D78" s="144">
        <v>-559.25</v>
      </c>
      <c r="E78" s="144" t="s">
        <v>594</v>
      </c>
      <c r="F78" s="144" t="s">
        <v>723</v>
      </c>
      <c r="H78" s="148" t="s">
        <v>891</v>
      </c>
      <c r="I78" t="s">
        <v>1087</v>
      </c>
    </row>
    <row r="79" spans="2:10" x14ac:dyDescent="0.2">
      <c r="B79" s="145">
        <v>43620</v>
      </c>
      <c r="C79" s="144" t="s">
        <v>593</v>
      </c>
      <c r="D79" s="144">
        <v>-559.25</v>
      </c>
      <c r="E79" s="144" t="s">
        <v>594</v>
      </c>
      <c r="F79" s="144" t="s">
        <v>723</v>
      </c>
      <c r="H79" s="148" t="s">
        <v>891</v>
      </c>
      <c r="I79" t="s">
        <v>1087</v>
      </c>
    </row>
    <row r="80" spans="2:10" x14ac:dyDescent="0.2">
      <c r="B80" s="145">
        <v>43620</v>
      </c>
      <c r="C80" s="144" t="s">
        <v>593</v>
      </c>
      <c r="D80" s="144">
        <v>-535.36</v>
      </c>
      <c r="E80" s="144" t="s">
        <v>594</v>
      </c>
      <c r="F80" s="144" t="s">
        <v>724</v>
      </c>
      <c r="H80" s="148" t="s">
        <v>893</v>
      </c>
      <c r="I80" t="s">
        <v>1087</v>
      </c>
      <c r="J80" s="148" t="s">
        <v>712</v>
      </c>
    </row>
    <row r="81" spans="2:10" x14ac:dyDescent="0.2">
      <c r="B81" s="145">
        <v>43621</v>
      </c>
      <c r="C81" s="144" t="s">
        <v>593</v>
      </c>
      <c r="D81" s="144">
        <v>2950</v>
      </c>
      <c r="E81" s="144" t="s">
        <v>624</v>
      </c>
      <c r="F81" s="144" t="s">
        <v>725</v>
      </c>
      <c r="G81" s="178"/>
      <c r="H81" s="47" t="s">
        <v>918</v>
      </c>
      <c r="I81" t="s">
        <v>1087</v>
      </c>
    </row>
    <row r="82" spans="2:10" x14ac:dyDescent="0.2">
      <c r="B82" s="145">
        <v>43621</v>
      </c>
      <c r="C82" s="144" t="s">
        <v>593</v>
      </c>
      <c r="D82" s="144">
        <v>-1200</v>
      </c>
      <c r="E82" s="144" t="s">
        <v>594</v>
      </c>
      <c r="F82" s="144" t="s">
        <v>726</v>
      </c>
      <c r="G82" s="144" t="s">
        <v>500</v>
      </c>
      <c r="H82" s="148" t="s">
        <v>894</v>
      </c>
      <c r="I82" t="s">
        <v>1088</v>
      </c>
    </row>
    <row r="83" spans="2:10" x14ac:dyDescent="0.2">
      <c r="B83" s="145">
        <v>43621</v>
      </c>
      <c r="C83" s="144" t="s">
        <v>593</v>
      </c>
      <c r="D83" s="144">
        <v>-1170</v>
      </c>
      <c r="E83" s="144" t="s">
        <v>594</v>
      </c>
      <c r="F83" s="144" t="s">
        <v>727</v>
      </c>
      <c r="G83" s="178"/>
      <c r="H83" s="47" t="s">
        <v>918</v>
      </c>
      <c r="I83" t="s">
        <v>1087</v>
      </c>
    </row>
    <row r="84" spans="2:10" x14ac:dyDescent="0.2">
      <c r="B84" s="145">
        <v>43621</v>
      </c>
      <c r="C84" s="144" t="s">
        <v>593</v>
      </c>
      <c r="D84" s="144">
        <v>-6.65</v>
      </c>
      <c r="E84" s="144" t="s">
        <v>594</v>
      </c>
      <c r="F84" s="144" t="s">
        <v>728</v>
      </c>
      <c r="I84" t="s">
        <v>1087</v>
      </c>
    </row>
    <row r="85" spans="2:10" x14ac:dyDescent="0.2">
      <c r="B85" s="145">
        <v>43621</v>
      </c>
      <c r="C85" s="144" t="s">
        <v>593</v>
      </c>
      <c r="D85" s="144">
        <v>-6.55</v>
      </c>
      <c r="E85" s="144" t="s">
        <v>594</v>
      </c>
      <c r="F85" s="144" t="s">
        <v>729</v>
      </c>
      <c r="I85" t="s">
        <v>1087</v>
      </c>
    </row>
    <row r="86" spans="2:10" x14ac:dyDescent="0.2">
      <c r="B86" s="145">
        <v>43621</v>
      </c>
      <c r="C86" s="144" t="s">
        <v>593</v>
      </c>
      <c r="D86" s="144">
        <v>-5.55</v>
      </c>
      <c r="E86" s="144" t="s">
        <v>594</v>
      </c>
      <c r="F86" s="144" t="s">
        <v>730</v>
      </c>
      <c r="H86" s="146"/>
      <c r="I86" t="s">
        <v>1087</v>
      </c>
    </row>
    <row r="87" spans="2:10" x14ac:dyDescent="0.2">
      <c r="B87" s="145">
        <v>43621</v>
      </c>
      <c r="C87" s="144" t="s">
        <v>593</v>
      </c>
      <c r="D87" s="144">
        <v>-1.95</v>
      </c>
      <c r="E87" s="144" t="s">
        <v>594</v>
      </c>
      <c r="F87" s="144" t="s">
        <v>729</v>
      </c>
      <c r="I87" t="s">
        <v>1087</v>
      </c>
      <c r="J87" s="146"/>
    </row>
    <row r="88" spans="2:10" x14ac:dyDescent="0.2">
      <c r="B88" s="145">
        <v>43621</v>
      </c>
      <c r="C88" s="144" t="s">
        <v>593</v>
      </c>
      <c r="D88" s="144">
        <v>-85.1</v>
      </c>
      <c r="E88" s="144" t="s">
        <v>594</v>
      </c>
      <c r="F88" s="144" t="s">
        <v>731</v>
      </c>
      <c r="H88" s="148"/>
      <c r="I88" t="s">
        <v>1087</v>
      </c>
      <c r="J88" s="146" t="s">
        <v>712</v>
      </c>
    </row>
    <row r="89" spans="2:10" x14ac:dyDescent="0.2">
      <c r="B89" s="145">
        <v>43622</v>
      </c>
      <c r="C89" s="144" t="s">
        <v>593</v>
      </c>
      <c r="D89" s="144">
        <v>476.56</v>
      </c>
      <c r="E89" s="144" t="s">
        <v>595</v>
      </c>
      <c r="F89" s="144" t="s">
        <v>611</v>
      </c>
      <c r="I89" t="s">
        <v>1087</v>
      </c>
      <c r="J89" s="146"/>
    </row>
    <row r="90" spans="2:10" x14ac:dyDescent="0.2">
      <c r="B90" s="145">
        <v>43622</v>
      </c>
      <c r="C90" s="144" t="s">
        <v>593</v>
      </c>
      <c r="D90" s="144">
        <v>422.7</v>
      </c>
      <c r="E90" s="144" t="s">
        <v>595</v>
      </c>
      <c r="F90" s="146" t="s">
        <v>630</v>
      </c>
      <c r="I90" t="s">
        <v>1087</v>
      </c>
      <c r="J90" s="146"/>
    </row>
    <row r="91" spans="2:10" x14ac:dyDescent="0.2">
      <c r="B91" s="145">
        <v>43622</v>
      </c>
      <c r="C91" s="144" t="s">
        <v>593</v>
      </c>
      <c r="D91" s="144">
        <v>422.29</v>
      </c>
      <c r="E91" s="144" t="s">
        <v>595</v>
      </c>
      <c r="F91" s="146" t="s">
        <v>632</v>
      </c>
      <c r="I91" t="s">
        <v>1087</v>
      </c>
      <c r="J91" s="146"/>
    </row>
    <row r="92" spans="2:10" x14ac:dyDescent="0.2">
      <c r="B92" s="145">
        <v>43622</v>
      </c>
      <c r="C92" s="144" t="s">
        <v>593</v>
      </c>
      <c r="D92" s="144">
        <v>353.33</v>
      </c>
      <c r="E92" s="144" t="s">
        <v>595</v>
      </c>
      <c r="F92" s="144" t="s">
        <v>612</v>
      </c>
      <c r="G92" s="146"/>
      <c r="H92" s="146"/>
      <c r="I92" t="s">
        <v>1087</v>
      </c>
    </row>
    <row r="93" spans="2:10" x14ac:dyDescent="0.2">
      <c r="B93" s="145">
        <v>43622</v>
      </c>
      <c r="C93" s="144" t="s">
        <v>593</v>
      </c>
      <c r="D93" s="144">
        <v>285.68</v>
      </c>
      <c r="E93" s="144" t="s">
        <v>595</v>
      </c>
      <c r="F93" s="146" t="s">
        <v>631</v>
      </c>
      <c r="I93" t="s">
        <v>1087</v>
      </c>
      <c r="J93" s="146"/>
    </row>
    <row r="94" spans="2:10" x14ac:dyDescent="0.2">
      <c r="B94" s="145">
        <v>43622</v>
      </c>
      <c r="C94" s="144" t="s">
        <v>593</v>
      </c>
      <c r="D94" s="144">
        <v>279.68</v>
      </c>
      <c r="E94" s="144" t="s">
        <v>595</v>
      </c>
      <c r="F94" s="144" t="s">
        <v>628</v>
      </c>
      <c r="H94" s="148"/>
      <c r="I94" t="s">
        <v>1087</v>
      </c>
      <c r="J94" s="148" t="s">
        <v>712</v>
      </c>
    </row>
    <row r="95" spans="2:10" x14ac:dyDescent="0.2">
      <c r="B95" s="145">
        <v>43622</v>
      </c>
      <c r="C95" s="144" t="s">
        <v>593</v>
      </c>
      <c r="D95" s="144">
        <v>279.68</v>
      </c>
      <c r="E95" s="144" t="s">
        <v>595</v>
      </c>
      <c r="F95" s="144" t="s">
        <v>629</v>
      </c>
      <c r="G95" s="146"/>
      <c r="I95" t="s">
        <v>1087</v>
      </c>
    </row>
    <row r="96" spans="2:10" x14ac:dyDescent="0.2">
      <c r="B96" s="145">
        <v>43622</v>
      </c>
      <c r="C96" s="144" t="s">
        <v>593</v>
      </c>
      <c r="D96" s="144">
        <v>243.97</v>
      </c>
      <c r="E96" s="144" t="s">
        <v>595</v>
      </c>
      <c r="F96" s="144" t="s">
        <v>634</v>
      </c>
      <c r="I96" t="s">
        <v>1087</v>
      </c>
    </row>
    <row r="97" spans="2:10" x14ac:dyDescent="0.2">
      <c r="B97" s="145">
        <v>43622</v>
      </c>
      <c r="C97" s="144" t="s">
        <v>593</v>
      </c>
      <c r="D97" s="144">
        <v>218.58</v>
      </c>
      <c r="E97" s="144" t="s">
        <v>595</v>
      </c>
      <c r="F97" s="144" t="s">
        <v>626</v>
      </c>
      <c r="I97" t="s">
        <v>1087</v>
      </c>
    </row>
    <row r="98" spans="2:10" x14ac:dyDescent="0.2">
      <c r="B98" s="145">
        <v>43622</v>
      </c>
      <c r="C98" s="144" t="s">
        <v>593</v>
      </c>
      <c r="D98" s="144">
        <v>103.32</v>
      </c>
      <c r="E98" s="144" t="s">
        <v>595</v>
      </c>
      <c r="F98" s="144" t="s">
        <v>638</v>
      </c>
      <c r="I98" t="s">
        <v>1087</v>
      </c>
    </row>
    <row r="99" spans="2:10" x14ac:dyDescent="0.2">
      <c r="B99" s="145">
        <v>43622</v>
      </c>
      <c r="C99" s="144" t="s">
        <v>593</v>
      </c>
      <c r="D99" s="144">
        <v>100.31</v>
      </c>
      <c r="E99" s="144" t="s">
        <v>595</v>
      </c>
      <c r="F99" s="146" t="s">
        <v>633</v>
      </c>
      <c r="G99" s="146"/>
      <c r="H99" s="146"/>
      <c r="I99" t="s">
        <v>1087</v>
      </c>
      <c r="J99" s="146"/>
    </row>
    <row r="100" spans="2:10" x14ac:dyDescent="0.2">
      <c r="B100" s="145">
        <v>43622</v>
      </c>
      <c r="C100" s="144" t="s">
        <v>593</v>
      </c>
      <c r="D100" s="144">
        <v>92.85</v>
      </c>
      <c r="E100" s="144" t="s">
        <v>595</v>
      </c>
      <c r="F100" s="144" t="s">
        <v>637</v>
      </c>
      <c r="I100" t="s">
        <v>1087</v>
      </c>
    </row>
    <row r="101" spans="2:10" x14ac:dyDescent="0.2">
      <c r="B101" s="145">
        <v>43623</v>
      </c>
      <c r="C101" s="144" t="s">
        <v>593</v>
      </c>
      <c r="D101" s="144">
        <v>-0.89</v>
      </c>
      <c r="E101" s="144" t="s">
        <v>594</v>
      </c>
      <c r="F101" s="144" t="s">
        <v>732</v>
      </c>
      <c r="H101" s="148"/>
      <c r="I101" t="s">
        <v>1087</v>
      </c>
      <c r="J101" s="146"/>
    </row>
    <row r="102" spans="2:10" x14ac:dyDescent="0.2">
      <c r="B102" s="145">
        <v>43623</v>
      </c>
      <c r="C102" s="144" t="s">
        <v>593</v>
      </c>
      <c r="D102" s="144">
        <v>-57.09</v>
      </c>
      <c r="E102" s="144" t="s">
        <v>594</v>
      </c>
      <c r="F102" s="144" t="s">
        <v>733</v>
      </c>
      <c r="H102" s="148"/>
      <c r="I102" t="s">
        <v>1087</v>
      </c>
      <c r="J102" s="146" t="s">
        <v>712</v>
      </c>
    </row>
    <row r="103" spans="2:10" x14ac:dyDescent="0.2">
      <c r="B103" s="145">
        <v>43623</v>
      </c>
      <c r="C103" s="144" t="s">
        <v>593</v>
      </c>
      <c r="D103" s="144">
        <v>-8.99</v>
      </c>
      <c r="E103" s="144" t="s">
        <v>594</v>
      </c>
      <c r="F103" s="144" t="s">
        <v>734</v>
      </c>
      <c r="I103" t="s">
        <v>1087</v>
      </c>
    </row>
    <row r="104" spans="2:10" x14ac:dyDescent="0.2">
      <c r="B104" s="145">
        <v>43626</v>
      </c>
      <c r="C104" s="144" t="s">
        <v>593</v>
      </c>
      <c r="D104" s="144">
        <v>458</v>
      </c>
      <c r="E104" s="144" t="s">
        <v>595</v>
      </c>
      <c r="F104" s="144" t="s">
        <v>625</v>
      </c>
      <c r="G104" s="146"/>
      <c r="I104" t="s">
        <v>1087</v>
      </c>
    </row>
    <row r="105" spans="2:10" x14ac:dyDescent="0.2">
      <c r="B105" s="145">
        <v>43626</v>
      </c>
      <c r="C105" s="144" t="s">
        <v>593</v>
      </c>
      <c r="D105" s="144">
        <v>365.2</v>
      </c>
      <c r="E105" s="144" t="s">
        <v>595</v>
      </c>
      <c r="F105" s="144" t="s">
        <v>596</v>
      </c>
      <c r="I105" t="s">
        <v>1087</v>
      </c>
    </row>
    <row r="106" spans="2:10" x14ac:dyDescent="0.2">
      <c r="B106" s="145">
        <v>43626</v>
      </c>
      <c r="C106" s="144" t="s">
        <v>593</v>
      </c>
      <c r="D106" s="144">
        <v>339.25</v>
      </c>
      <c r="E106" s="144" t="s">
        <v>595</v>
      </c>
      <c r="F106" s="144" t="s">
        <v>633</v>
      </c>
      <c r="I106" t="s">
        <v>1087</v>
      </c>
    </row>
    <row r="107" spans="2:10" x14ac:dyDescent="0.2">
      <c r="B107" s="145">
        <v>43626</v>
      </c>
      <c r="C107" s="144" t="s">
        <v>593</v>
      </c>
      <c r="D107" s="144">
        <v>-139</v>
      </c>
      <c r="E107" s="144" t="s">
        <v>594</v>
      </c>
      <c r="F107" s="144" t="s">
        <v>735</v>
      </c>
      <c r="G107" s="144" t="s">
        <v>489</v>
      </c>
      <c r="H107" s="146" t="s">
        <v>904</v>
      </c>
      <c r="I107" t="s">
        <v>1088</v>
      </c>
      <c r="J107" s="146"/>
    </row>
    <row r="108" spans="2:10" x14ac:dyDescent="0.2">
      <c r="B108" s="145">
        <v>43626</v>
      </c>
      <c r="C108" s="144" t="s">
        <v>593</v>
      </c>
      <c r="D108" s="144">
        <v>-15</v>
      </c>
      <c r="E108" s="144" t="s">
        <v>594</v>
      </c>
      <c r="F108" s="144" t="s">
        <v>736</v>
      </c>
      <c r="I108" t="s">
        <v>1087</v>
      </c>
      <c r="J108" s="146"/>
    </row>
    <row r="109" spans="2:10" x14ac:dyDescent="0.2">
      <c r="B109" s="145">
        <v>43626</v>
      </c>
      <c r="C109" s="144" t="s">
        <v>593</v>
      </c>
      <c r="D109" s="144">
        <v>-0.89</v>
      </c>
      <c r="E109" s="144" t="s">
        <v>594</v>
      </c>
      <c r="F109" s="144" t="s">
        <v>737</v>
      </c>
      <c r="H109" s="146"/>
      <c r="I109" t="s">
        <v>1087</v>
      </c>
      <c r="J109" s="146"/>
    </row>
    <row r="110" spans="2:10" x14ac:dyDescent="0.2">
      <c r="B110" s="145">
        <v>43626</v>
      </c>
      <c r="C110" s="144" t="s">
        <v>593</v>
      </c>
      <c r="D110" s="177">
        <v>-7.99</v>
      </c>
      <c r="E110" s="144" t="s">
        <v>594</v>
      </c>
      <c r="F110" s="144" t="s">
        <v>738</v>
      </c>
      <c r="H110" s="146"/>
      <c r="I110" t="s">
        <v>1087</v>
      </c>
    </row>
    <row r="111" spans="2:10" x14ac:dyDescent="0.2">
      <c r="B111" s="145">
        <v>43626</v>
      </c>
      <c r="C111" s="144" t="s">
        <v>593</v>
      </c>
      <c r="D111" s="144">
        <v>-21.97</v>
      </c>
      <c r="E111" s="144" t="s">
        <v>605</v>
      </c>
      <c r="F111" s="144" t="s">
        <v>635</v>
      </c>
      <c r="G111" s="147"/>
      <c r="H111" s="146"/>
      <c r="I111" t="s">
        <v>1089</v>
      </c>
    </row>
    <row r="112" spans="2:10" x14ac:dyDescent="0.2">
      <c r="B112" s="145">
        <v>43626</v>
      </c>
      <c r="C112" s="144" t="s">
        <v>593</v>
      </c>
      <c r="D112" s="144">
        <v>-103.25</v>
      </c>
      <c r="E112" s="144" t="s">
        <v>605</v>
      </c>
      <c r="F112" s="144" t="s">
        <v>636</v>
      </c>
      <c r="G112" s="147"/>
      <c r="H112" s="148"/>
      <c r="I112" t="s">
        <v>1089</v>
      </c>
    </row>
    <row r="113" spans="2:10" x14ac:dyDescent="0.2">
      <c r="B113" s="145">
        <v>43627</v>
      </c>
      <c r="C113" s="144" t="s">
        <v>593</v>
      </c>
      <c r="D113" s="144">
        <v>-12.23</v>
      </c>
      <c r="E113" s="144" t="s">
        <v>594</v>
      </c>
      <c r="F113" s="144" t="s">
        <v>739</v>
      </c>
      <c r="G113" s="146"/>
      <c r="H113" s="146"/>
      <c r="I113" t="s">
        <v>1087</v>
      </c>
      <c r="J113" s="146" t="s">
        <v>712</v>
      </c>
    </row>
    <row r="114" spans="2:10" x14ac:dyDescent="0.2">
      <c r="B114" s="145">
        <v>43627</v>
      </c>
      <c r="C114" s="144" t="s">
        <v>593</v>
      </c>
      <c r="D114" s="144">
        <v>-4.2300000000000004</v>
      </c>
      <c r="E114" s="144" t="s">
        <v>594</v>
      </c>
      <c r="F114" s="144" t="s">
        <v>740</v>
      </c>
      <c r="I114" t="s">
        <v>1087</v>
      </c>
    </row>
    <row r="115" spans="2:10" x14ac:dyDescent="0.2">
      <c r="B115" s="145">
        <v>43627</v>
      </c>
      <c r="C115" s="144" t="s">
        <v>593</v>
      </c>
      <c r="D115" s="144">
        <v>-3.99</v>
      </c>
      <c r="E115" s="144" t="s">
        <v>594</v>
      </c>
      <c r="F115" s="144" t="s">
        <v>741</v>
      </c>
      <c r="I115" t="s">
        <v>1087</v>
      </c>
    </row>
    <row r="116" spans="2:10" x14ac:dyDescent="0.2">
      <c r="B116" s="145">
        <v>43627</v>
      </c>
      <c r="C116" s="144" t="s">
        <v>593</v>
      </c>
      <c r="D116" s="144">
        <v>-2</v>
      </c>
      <c r="E116" s="144" t="s">
        <v>594</v>
      </c>
      <c r="F116" s="144" t="s">
        <v>740</v>
      </c>
      <c r="I116" t="s">
        <v>1087</v>
      </c>
    </row>
    <row r="117" spans="2:10" x14ac:dyDescent="0.2">
      <c r="B117" s="145">
        <v>43627</v>
      </c>
      <c r="C117" s="144" t="s">
        <v>593</v>
      </c>
      <c r="D117" s="144">
        <v>-329.99</v>
      </c>
      <c r="E117" s="144" t="s">
        <v>594</v>
      </c>
      <c r="F117" s="144" t="s">
        <v>742</v>
      </c>
      <c r="H117" s="148" t="s">
        <v>895</v>
      </c>
      <c r="I117" t="s">
        <v>1087</v>
      </c>
      <c r="J117" s="148" t="s">
        <v>712</v>
      </c>
    </row>
    <row r="118" spans="2:10" x14ac:dyDescent="0.2">
      <c r="B118" s="145">
        <v>43627</v>
      </c>
      <c r="C118" s="144" t="s">
        <v>593</v>
      </c>
      <c r="D118" s="144">
        <v>-165</v>
      </c>
      <c r="E118" s="144" t="s">
        <v>594</v>
      </c>
      <c r="F118" s="144" t="s">
        <v>743</v>
      </c>
      <c r="H118" s="148" t="s">
        <v>896</v>
      </c>
      <c r="I118" t="s">
        <v>1087</v>
      </c>
      <c r="J118" s="148" t="s">
        <v>712</v>
      </c>
    </row>
    <row r="119" spans="2:10" x14ac:dyDescent="0.2">
      <c r="B119" s="145">
        <v>43628</v>
      </c>
      <c r="C119" s="144" t="s">
        <v>593</v>
      </c>
      <c r="D119" s="144">
        <v>439.92</v>
      </c>
      <c r="E119" s="144" t="s">
        <v>595</v>
      </c>
      <c r="F119" s="144" t="s">
        <v>627</v>
      </c>
      <c r="I119" t="s">
        <v>1087</v>
      </c>
      <c r="J119" s="146" t="s">
        <v>712</v>
      </c>
    </row>
    <row r="120" spans="2:10" x14ac:dyDescent="0.2">
      <c r="B120" s="145">
        <v>43628</v>
      </c>
      <c r="C120" s="144" t="s">
        <v>593</v>
      </c>
      <c r="D120" s="144">
        <v>-14.25</v>
      </c>
      <c r="E120" s="144" t="s">
        <v>594</v>
      </c>
      <c r="F120" s="144" t="s">
        <v>744</v>
      </c>
      <c r="I120" t="s">
        <v>1087</v>
      </c>
      <c r="J120" s="146"/>
    </row>
    <row r="121" spans="2:10" x14ac:dyDescent="0.2">
      <c r="B121" s="145">
        <v>43628</v>
      </c>
      <c r="C121" s="144" t="s">
        <v>593</v>
      </c>
      <c r="D121" s="144">
        <v>-0.89</v>
      </c>
      <c r="E121" s="144" t="s">
        <v>594</v>
      </c>
      <c r="F121" s="144" t="s">
        <v>745</v>
      </c>
      <c r="I121" t="s">
        <v>1087</v>
      </c>
    </row>
    <row r="122" spans="2:10" x14ac:dyDescent="0.2">
      <c r="B122" s="145">
        <v>43628</v>
      </c>
      <c r="C122" s="144" t="s">
        <v>593</v>
      </c>
      <c r="D122" s="144">
        <v>-0.89</v>
      </c>
      <c r="E122" s="144" t="s">
        <v>594</v>
      </c>
      <c r="F122" s="144" t="s">
        <v>745</v>
      </c>
      <c r="H122" s="148" t="s">
        <v>897</v>
      </c>
      <c r="I122" t="s">
        <v>1087</v>
      </c>
      <c r="J122" s="146"/>
    </row>
    <row r="123" spans="2:10" x14ac:dyDescent="0.2">
      <c r="B123" s="145">
        <v>43628</v>
      </c>
      <c r="C123" s="144" t="s">
        <v>593</v>
      </c>
      <c r="D123" s="144">
        <v>-86.97</v>
      </c>
      <c r="E123" s="144" t="s">
        <v>594</v>
      </c>
      <c r="F123" s="144" t="s">
        <v>746</v>
      </c>
      <c r="I123" t="s">
        <v>1087</v>
      </c>
    </row>
    <row r="124" spans="2:10" x14ac:dyDescent="0.2">
      <c r="B124" s="145">
        <v>43628</v>
      </c>
      <c r="C124" s="144" t="s">
        <v>593</v>
      </c>
      <c r="D124" s="144">
        <v>-8.49</v>
      </c>
      <c r="E124" s="144" t="s">
        <v>594</v>
      </c>
      <c r="F124" s="144" t="s">
        <v>747</v>
      </c>
      <c r="H124" s="148" t="s">
        <v>898</v>
      </c>
      <c r="I124" t="s">
        <v>1087</v>
      </c>
      <c r="J124" s="146"/>
    </row>
    <row r="125" spans="2:10" x14ac:dyDescent="0.2">
      <c r="B125" s="145">
        <v>43628</v>
      </c>
      <c r="C125" s="144" t="s">
        <v>593</v>
      </c>
      <c r="D125" s="144">
        <v>-153.87</v>
      </c>
      <c r="E125" s="144" t="s">
        <v>605</v>
      </c>
      <c r="F125" s="144" t="s">
        <v>639</v>
      </c>
      <c r="I125" t="s">
        <v>1089</v>
      </c>
    </row>
    <row r="126" spans="2:10" x14ac:dyDescent="0.2">
      <c r="B126" s="145">
        <v>43629</v>
      </c>
      <c r="C126" s="144" t="s">
        <v>593</v>
      </c>
      <c r="D126" s="144">
        <v>318.8</v>
      </c>
      <c r="E126" s="144" t="s">
        <v>595</v>
      </c>
      <c r="F126" s="144" t="s">
        <v>650</v>
      </c>
      <c r="I126" t="s">
        <v>1087</v>
      </c>
      <c r="J126" s="146"/>
    </row>
    <row r="127" spans="2:10" x14ac:dyDescent="0.2">
      <c r="B127" s="145">
        <v>43629</v>
      </c>
      <c r="C127" s="144" t="s">
        <v>593</v>
      </c>
      <c r="D127" s="144">
        <v>-750</v>
      </c>
      <c r="E127" s="144" t="s">
        <v>594</v>
      </c>
      <c r="F127" s="144" t="s">
        <v>645</v>
      </c>
      <c r="G127" s="178" t="s">
        <v>559</v>
      </c>
      <c r="H127" s="47" t="s">
        <v>917</v>
      </c>
      <c r="I127" t="s">
        <v>1088</v>
      </c>
    </row>
    <row r="128" spans="2:10" x14ac:dyDescent="0.2">
      <c r="B128" s="145">
        <v>43629</v>
      </c>
      <c r="C128" s="144" t="s">
        <v>593</v>
      </c>
      <c r="D128" s="144">
        <v>-3.99</v>
      </c>
      <c r="E128" s="144" t="s">
        <v>594</v>
      </c>
      <c r="F128" s="144" t="s">
        <v>748</v>
      </c>
      <c r="G128" s="146"/>
      <c r="H128" s="146"/>
      <c r="I128" t="s">
        <v>1087</v>
      </c>
    </row>
    <row r="129" spans="2:10" x14ac:dyDescent="0.2">
      <c r="B129" s="145">
        <v>43629</v>
      </c>
      <c r="C129" s="144" t="s">
        <v>593</v>
      </c>
      <c r="D129" s="144">
        <v>-0.89</v>
      </c>
      <c r="E129" s="144" t="s">
        <v>594</v>
      </c>
      <c r="F129" s="144" t="s">
        <v>749</v>
      </c>
      <c r="I129" t="s">
        <v>1087</v>
      </c>
    </row>
    <row r="130" spans="2:10" x14ac:dyDescent="0.2">
      <c r="B130" s="145">
        <v>43630</v>
      </c>
      <c r="C130" s="144" t="s">
        <v>593</v>
      </c>
      <c r="D130" s="144">
        <v>318.98</v>
      </c>
      <c r="E130" s="144" t="s">
        <v>595</v>
      </c>
      <c r="F130" s="144" t="s">
        <v>638</v>
      </c>
      <c r="I130" t="s">
        <v>1087</v>
      </c>
    </row>
    <row r="131" spans="2:10" x14ac:dyDescent="0.2">
      <c r="B131" s="145">
        <v>43630</v>
      </c>
      <c r="C131" s="144" t="s">
        <v>593</v>
      </c>
      <c r="D131" s="144">
        <v>3.86</v>
      </c>
      <c r="E131" s="144" t="s">
        <v>595</v>
      </c>
      <c r="F131" s="144" t="s">
        <v>630</v>
      </c>
      <c r="H131" s="148"/>
      <c r="I131" t="s">
        <v>1087</v>
      </c>
      <c r="J131" s="148" t="s">
        <v>712</v>
      </c>
    </row>
    <row r="132" spans="2:10" x14ac:dyDescent="0.2">
      <c r="B132" s="145">
        <v>43630</v>
      </c>
      <c r="C132" s="144" t="s">
        <v>593</v>
      </c>
      <c r="D132" s="144">
        <v>-48</v>
      </c>
      <c r="E132" s="144" t="s">
        <v>594</v>
      </c>
      <c r="F132" s="144" t="s">
        <v>750</v>
      </c>
      <c r="G132" s="144" t="s">
        <v>511</v>
      </c>
      <c r="H132" s="148" t="s">
        <v>905</v>
      </c>
      <c r="I132" t="s">
        <v>1088</v>
      </c>
    </row>
    <row r="133" spans="2:10" x14ac:dyDescent="0.2">
      <c r="B133" s="145">
        <v>43630</v>
      </c>
      <c r="C133" s="144" t="s">
        <v>593</v>
      </c>
      <c r="D133" s="144">
        <v>-14.99</v>
      </c>
      <c r="E133" s="144" t="s">
        <v>594</v>
      </c>
      <c r="F133" s="144" t="s">
        <v>751</v>
      </c>
      <c r="I133" t="s">
        <v>1087</v>
      </c>
      <c r="J133" s="146"/>
    </row>
    <row r="134" spans="2:10" x14ac:dyDescent="0.2">
      <c r="B134" s="145">
        <v>43633</v>
      </c>
      <c r="C134" s="144" t="s">
        <v>593</v>
      </c>
      <c r="D134" s="144">
        <v>504.4</v>
      </c>
      <c r="E134" s="144" t="s">
        <v>595</v>
      </c>
      <c r="F134" s="144" t="s">
        <v>646</v>
      </c>
      <c r="H134" s="146"/>
      <c r="I134" t="s">
        <v>1087</v>
      </c>
    </row>
    <row r="135" spans="2:10" x14ac:dyDescent="0.2">
      <c r="B135" s="145">
        <v>43633</v>
      </c>
      <c r="C135" s="144" t="s">
        <v>593</v>
      </c>
      <c r="D135" s="144">
        <v>-25</v>
      </c>
      <c r="E135" s="144" t="s">
        <v>594</v>
      </c>
      <c r="F135" s="144" t="s">
        <v>752</v>
      </c>
      <c r="I135" t="s">
        <v>1087</v>
      </c>
    </row>
    <row r="136" spans="2:10" x14ac:dyDescent="0.2">
      <c r="B136" s="145">
        <v>43633</v>
      </c>
      <c r="C136" s="144" t="s">
        <v>593</v>
      </c>
      <c r="D136" s="176">
        <v>-16.989999999999998</v>
      </c>
      <c r="E136" s="144" t="s">
        <v>594</v>
      </c>
      <c r="F136" s="144" t="s">
        <v>753</v>
      </c>
      <c r="H136" s="148" t="s">
        <v>899</v>
      </c>
      <c r="I136" t="s">
        <v>1087</v>
      </c>
      <c r="J136" s="146"/>
    </row>
    <row r="137" spans="2:10" x14ac:dyDescent="0.2">
      <c r="B137" s="145">
        <v>43633</v>
      </c>
      <c r="C137" s="144" t="s">
        <v>593</v>
      </c>
      <c r="D137" s="144">
        <v>-2.4900000000000002</v>
      </c>
      <c r="E137" s="144" t="s">
        <v>594</v>
      </c>
      <c r="F137" s="144" t="s">
        <v>754</v>
      </c>
      <c r="G137" s="146"/>
      <c r="H137" s="146"/>
      <c r="I137" t="s">
        <v>1087</v>
      </c>
      <c r="J137" s="146" t="s">
        <v>712</v>
      </c>
    </row>
    <row r="138" spans="2:10" x14ac:dyDescent="0.2">
      <c r="B138" s="145">
        <v>43633</v>
      </c>
      <c r="C138" s="144" t="s">
        <v>593</v>
      </c>
      <c r="D138" s="144">
        <v>-476.44</v>
      </c>
      <c r="E138" s="144" t="s">
        <v>605</v>
      </c>
      <c r="F138" s="144" t="s">
        <v>644</v>
      </c>
      <c r="H138" s="148"/>
      <c r="I138" t="s">
        <v>1087</v>
      </c>
      <c r="J138" s="146"/>
    </row>
    <row r="139" spans="2:10" x14ac:dyDescent="0.2">
      <c r="B139" s="145">
        <v>43633</v>
      </c>
      <c r="C139" s="144" t="s">
        <v>593</v>
      </c>
      <c r="D139" s="144">
        <v>-16.170000000000002</v>
      </c>
      <c r="E139" s="144" t="s">
        <v>605</v>
      </c>
      <c r="F139" s="144" t="s">
        <v>648</v>
      </c>
      <c r="I139" t="s">
        <v>1089</v>
      </c>
    </row>
    <row r="140" spans="2:10" x14ac:dyDescent="0.2">
      <c r="B140" s="145">
        <v>43633</v>
      </c>
      <c r="C140" s="144" t="s">
        <v>593</v>
      </c>
      <c r="D140" s="144">
        <v>-217.44</v>
      </c>
      <c r="E140" s="144" t="s">
        <v>605</v>
      </c>
      <c r="F140" s="146" t="s">
        <v>649</v>
      </c>
      <c r="I140" t="s">
        <v>1089</v>
      </c>
    </row>
    <row r="141" spans="2:10" x14ac:dyDescent="0.2">
      <c r="B141" s="145">
        <v>43633</v>
      </c>
      <c r="C141" s="144" t="s">
        <v>593</v>
      </c>
      <c r="D141" s="144">
        <v>-242.09</v>
      </c>
      <c r="E141" s="144" t="s">
        <v>605</v>
      </c>
      <c r="F141" s="144" t="s">
        <v>642</v>
      </c>
      <c r="I141" t="s">
        <v>1089</v>
      </c>
    </row>
    <row r="142" spans="2:10" x14ac:dyDescent="0.2">
      <c r="B142" s="145">
        <v>43633</v>
      </c>
      <c r="C142" s="144" t="s">
        <v>593</v>
      </c>
      <c r="D142" s="144">
        <v>-203.62</v>
      </c>
      <c r="E142" s="144" t="s">
        <v>605</v>
      </c>
      <c r="F142" s="144" t="s">
        <v>643</v>
      </c>
      <c r="H142" s="146"/>
      <c r="I142" t="s">
        <v>1089</v>
      </c>
    </row>
    <row r="143" spans="2:10" x14ac:dyDescent="0.2">
      <c r="B143" s="145">
        <v>43634</v>
      </c>
      <c r="C143" s="144" t="s">
        <v>593</v>
      </c>
      <c r="D143" s="144">
        <v>550.79999999999995</v>
      </c>
      <c r="E143" s="144" t="s">
        <v>595</v>
      </c>
      <c r="F143" s="144" t="s">
        <v>647</v>
      </c>
      <c r="I143" t="s">
        <v>1087</v>
      </c>
    </row>
    <row r="144" spans="2:10" x14ac:dyDescent="0.2">
      <c r="B144" s="145">
        <v>43634</v>
      </c>
      <c r="C144" s="144" t="s">
        <v>593</v>
      </c>
      <c r="D144" s="144">
        <v>333.74</v>
      </c>
      <c r="E144" s="144" t="s">
        <v>595</v>
      </c>
      <c r="F144" s="144" t="s">
        <v>637</v>
      </c>
      <c r="I144" t="s">
        <v>1087</v>
      </c>
    </row>
    <row r="145" spans="2:10" x14ac:dyDescent="0.2">
      <c r="B145" s="145">
        <v>43634</v>
      </c>
      <c r="C145" s="144" t="s">
        <v>593</v>
      </c>
      <c r="D145" s="144">
        <v>160.91999999999999</v>
      </c>
      <c r="E145" s="144" t="s">
        <v>595</v>
      </c>
      <c r="F145" s="144" t="s">
        <v>626</v>
      </c>
      <c r="I145" t="s">
        <v>1087</v>
      </c>
    </row>
    <row r="146" spans="2:10" x14ac:dyDescent="0.2">
      <c r="B146" s="145">
        <v>43634</v>
      </c>
      <c r="C146" s="144" t="s">
        <v>593</v>
      </c>
      <c r="D146" s="144">
        <v>142.62</v>
      </c>
      <c r="E146" s="144" t="s">
        <v>595</v>
      </c>
      <c r="F146" s="144" t="s">
        <v>628</v>
      </c>
      <c r="I146" t="s">
        <v>1087</v>
      </c>
    </row>
    <row r="147" spans="2:10" x14ac:dyDescent="0.2">
      <c r="B147" s="145">
        <v>43634</v>
      </c>
      <c r="C147" s="144" t="s">
        <v>593</v>
      </c>
      <c r="D147" s="144">
        <v>92.8</v>
      </c>
      <c r="E147" s="144" t="s">
        <v>595</v>
      </c>
      <c r="F147" s="144" t="s">
        <v>596</v>
      </c>
      <c r="I147" t="s">
        <v>1087</v>
      </c>
    </row>
    <row r="148" spans="2:10" x14ac:dyDescent="0.2">
      <c r="B148" s="145">
        <v>43634</v>
      </c>
      <c r="C148" s="144" t="s">
        <v>593</v>
      </c>
      <c r="D148" s="144">
        <v>-9.99</v>
      </c>
      <c r="E148" s="144" t="s">
        <v>605</v>
      </c>
      <c r="F148" s="144" t="s">
        <v>640</v>
      </c>
      <c r="I148" t="s">
        <v>1087</v>
      </c>
    </row>
    <row r="149" spans="2:10" x14ac:dyDescent="0.2">
      <c r="B149" s="145">
        <v>43634</v>
      </c>
      <c r="C149" s="144" t="s">
        <v>593</v>
      </c>
      <c r="D149" s="144">
        <v>-159.83000000000001</v>
      </c>
      <c r="E149" s="144" t="s">
        <v>605</v>
      </c>
      <c r="F149" s="144" t="s">
        <v>651</v>
      </c>
      <c r="I149" t="s">
        <v>1089</v>
      </c>
    </row>
    <row r="150" spans="2:10" x14ac:dyDescent="0.2">
      <c r="B150" s="145">
        <v>43636</v>
      </c>
      <c r="C150" s="144" t="s">
        <v>593</v>
      </c>
      <c r="D150" s="144">
        <v>548.08000000000004</v>
      </c>
      <c r="E150" s="144" t="s">
        <v>595</v>
      </c>
      <c r="F150" s="144" t="s">
        <v>755</v>
      </c>
      <c r="I150" t="s">
        <v>1087</v>
      </c>
    </row>
    <row r="151" spans="2:10" x14ac:dyDescent="0.2">
      <c r="B151" s="145">
        <v>43636</v>
      </c>
      <c r="C151" s="144" t="s">
        <v>593</v>
      </c>
      <c r="D151" s="144">
        <v>-257</v>
      </c>
      <c r="E151" s="144" t="s">
        <v>594</v>
      </c>
      <c r="F151" s="144" t="s">
        <v>756</v>
      </c>
      <c r="G151" s="144" t="s">
        <v>559</v>
      </c>
      <c r="H151" s="146" t="s">
        <v>906</v>
      </c>
      <c r="I151" t="s">
        <v>1088</v>
      </c>
      <c r="J151" s="146"/>
    </row>
    <row r="152" spans="2:10" x14ac:dyDescent="0.2">
      <c r="B152" s="145">
        <v>43636</v>
      </c>
      <c r="C152" s="144" t="s">
        <v>593</v>
      </c>
      <c r="D152" s="144">
        <v>-13.31</v>
      </c>
      <c r="E152" s="144" t="s">
        <v>594</v>
      </c>
      <c r="F152" s="144" t="s">
        <v>757</v>
      </c>
      <c r="I152" t="s">
        <v>1087</v>
      </c>
      <c r="J152" s="146"/>
    </row>
    <row r="153" spans="2:10" x14ac:dyDescent="0.2">
      <c r="B153" s="145">
        <v>43636</v>
      </c>
      <c r="C153" s="144" t="s">
        <v>593</v>
      </c>
      <c r="D153" s="144">
        <v>-118.94</v>
      </c>
      <c r="E153" s="144" t="s">
        <v>594</v>
      </c>
      <c r="F153" s="144" t="s">
        <v>758</v>
      </c>
      <c r="G153" s="52" t="s">
        <v>501</v>
      </c>
      <c r="H153" s="146" t="s">
        <v>1084</v>
      </c>
      <c r="I153" t="s">
        <v>1088</v>
      </c>
      <c r="J153" s="148" t="s">
        <v>712</v>
      </c>
    </row>
    <row r="154" spans="2:10" x14ac:dyDescent="0.2">
      <c r="B154" s="145">
        <v>43640</v>
      </c>
      <c r="C154" s="144" t="s">
        <v>593</v>
      </c>
      <c r="D154" s="144">
        <v>92.8</v>
      </c>
      <c r="E154" s="144" t="s">
        <v>595</v>
      </c>
      <c r="F154" s="144" t="s">
        <v>596</v>
      </c>
      <c r="I154" t="s">
        <v>1087</v>
      </c>
    </row>
    <row r="155" spans="2:10" x14ac:dyDescent="0.2">
      <c r="B155" s="145">
        <v>43640</v>
      </c>
      <c r="C155" s="144" t="s">
        <v>593</v>
      </c>
      <c r="D155" s="144">
        <v>-22.25</v>
      </c>
      <c r="E155" s="144" t="s">
        <v>594</v>
      </c>
      <c r="F155" s="144" t="s">
        <v>759</v>
      </c>
      <c r="I155" t="s">
        <v>1087</v>
      </c>
      <c r="J155" s="146" t="s">
        <v>712</v>
      </c>
    </row>
    <row r="156" spans="2:10" x14ac:dyDescent="0.2">
      <c r="B156" s="145">
        <v>43640</v>
      </c>
      <c r="C156" s="144" t="s">
        <v>593</v>
      </c>
      <c r="D156" s="144">
        <v>-20.09</v>
      </c>
      <c r="E156" s="144" t="s">
        <v>594</v>
      </c>
      <c r="F156" s="144" t="s">
        <v>760</v>
      </c>
      <c r="H156" s="146"/>
      <c r="I156" t="s">
        <v>1087</v>
      </c>
      <c r="J156" s="146" t="s">
        <v>712</v>
      </c>
    </row>
    <row r="157" spans="2:10" x14ac:dyDescent="0.2">
      <c r="B157" s="145">
        <v>43640</v>
      </c>
      <c r="C157" s="144" t="s">
        <v>593</v>
      </c>
      <c r="D157" s="144">
        <v>-4</v>
      </c>
      <c r="E157" s="144" t="s">
        <v>594</v>
      </c>
      <c r="F157" s="144" t="s">
        <v>760</v>
      </c>
      <c r="I157" t="s">
        <v>1087</v>
      </c>
      <c r="J157" s="146" t="s">
        <v>712</v>
      </c>
    </row>
    <row r="158" spans="2:10" x14ac:dyDescent="0.2">
      <c r="B158" s="145">
        <v>43640</v>
      </c>
      <c r="C158" s="144" t="s">
        <v>593</v>
      </c>
      <c r="D158" s="144">
        <v>-50</v>
      </c>
      <c r="E158" s="144" t="s">
        <v>657</v>
      </c>
      <c r="F158" s="144" t="s">
        <v>761</v>
      </c>
      <c r="I158" t="s">
        <v>1087</v>
      </c>
    </row>
    <row r="159" spans="2:10" x14ac:dyDescent="0.2">
      <c r="B159" s="145">
        <v>43640</v>
      </c>
      <c r="C159" s="144" t="s">
        <v>593</v>
      </c>
      <c r="D159" s="144">
        <v>-62.68</v>
      </c>
      <c r="E159" s="144" t="s">
        <v>594</v>
      </c>
      <c r="F159" s="144" t="s">
        <v>762</v>
      </c>
      <c r="I159" t="s">
        <v>1087</v>
      </c>
    </row>
    <row r="160" spans="2:10" x14ac:dyDescent="0.2">
      <c r="B160" s="145">
        <v>43640</v>
      </c>
      <c r="C160" s="144" t="s">
        <v>593</v>
      </c>
      <c r="D160" s="144">
        <v>-20</v>
      </c>
      <c r="E160" s="144" t="s">
        <v>594</v>
      </c>
      <c r="F160" s="144" t="s">
        <v>763</v>
      </c>
      <c r="H160" s="148"/>
      <c r="I160" t="s">
        <v>1087</v>
      </c>
    </row>
    <row r="161" spans="2:10" x14ac:dyDescent="0.2">
      <c r="B161" s="145">
        <v>43640</v>
      </c>
      <c r="C161" s="144" t="s">
        <v>593</v>
      </c>
      <c r="D161" s="144">
        <v>-3.3</v>
      </c>
      <c r="E161" s="144" t="s">
        <v>594</v>
      </c>
      <c r="F161" s="144" t="s">
        <v>764</v>
      </c>
      <c r="H161" s="148" t="s">
        <v>900</v>
      </c>
      <c r="I161" t="s">
        <v>1087</v>
      </c>
      <c r="J161" s="146"/>
    </row>
    <row r="162" spans="2:10" x14ac:dyDescent="0.2">
      <c r="B162" s="145">
        <v>43640</v>
      </c>
      <c r="C162" s="144" t="s">
        <v>593</v>
      </c>
      <c r="D162" s="144">
        <v>-2</v>
      </c>
      <c r="E162" s="144" t="s">
        <v>594</v>
      </c>
      <c r="F162" s="144" t="s">
        <v>764</v>
      </c>
      <c r="G162" s="146"/>
      <c r="H162" s="148" t="s">
        <v>900</v>
      </c>
      <c r="I162" t="s">
        <v>1087</v>
      </c>
      <c r="J162" s="146"/>
    </row>
    <row r="163" spans="2:10" x14ac:dyDescent="0.2">
      <c r="B163" s="145">
        <v>43640</v>
      </c>
      <c r="C163" s="144" t="s">
        <v>593</v>
      </c>
      <c r="D163" s="144">
        <v>-202.32</v>
      </c>
      <c r="E163" s="144" t="s">
        <v>605</v>
      </c>
      <c r="F163" s="144" t="s">
        <v>652</v>
      </c>
      <c r="I163" t="s">
        <v>1089</v>
      </c>
      <c r="J163" s="146"/>
    </row>
    <row r="164" spans="2:10" x14ac:dyDescent="0.2">
      <c r="B164" s="145">
        <v>43641</v>
      </c>
      <c r="C164" s="144" t="s">
        <v>593</v>
      </c>
      <c r="D164" s="144">
        <v>142.62</v>
      </c>
      <c r="E164" s="144" t="s">
        <v>595</v>
      </c>
      <c r="F164" s="144" t="s">
        <v>629</v>
      </c>
      <c r="I164" t="s">
        <v>1087</v>
      </c>
      <c r="J164" s="146"/>
    </row>
    <row r="165" spans="2:10" x14ac:dyDescent="0.2">
      <c r="B165" s="145">
        <v>43641</v>
      </c>
      <c r="C165" s="144" t="s">
        <v>593</v>
      </c>
      <c r="D165" s="144">
        <v>-12.66</v>
      </c>
      <c r="E165" s="144" t="s">
        <v>594</v>
      </c>
      <c r="F165" s="144" t="s">
        <v>765</v>
      </c>
      <c r="I165" t="s">
        <v>1087</v>
      </c>
      <c r="J165" s="146"/>
    </row>
    <row r="166" spans="2:10" x14ac:dyDescent="0.2">
      <c r="B166" s="145">
        <v>43641</v>
      </c>
      <c r="C166" s="144" t="s">
        <v>593</v>
      </c>
      <c r="D166" s="144">
        <v>-102</v>
      </c>
      <c r="E166" s="144" t="s">
        <v>597</v>
      </c>
      <c r="F166" s="144" t="s">
        <v>653</v>
      </c>
      <c r="I166" t="s">
        <v>1087</v>
      </c>
      <c r="J166" s="146" t="s">
        <v>712</v>
      </c>
    </row>
    <row r="167" spans="2:10" x14ac:dyDescent="0.2">
      <c r="B167" s="145">
        <v>43642</v>
      </c>
      <c r="C167" s="144" t="s">
        <v>593</v>
      </c>
      <c r="D167" s="144">
        <v>-3.99</v>
      </c>
      <c r="E167" s="144" t="s">
        <v>594</v>
      </c>
      <c r="F167" s="146" t="s">
        <v>766</v>
      </c>
      <c r="G167" s="146"/>
      <c r="H167" s="146"/>
      <c r="I167" t="s">
        <v>1087</v>
      </c>
      <c r="J167" s="146"/>
    </row>
    <row r="168" spans="2:10" x14ac:dyDescent="0.2">
      <c r="B168" s="145">
        <v>43642</v>
      </c>
      <c r="C168" s="144" t="s">
        <v>593</v>
      </c>
      <c r="D168" s="144">
        <v>-1.29</v>
      </c>
      <c r="E168" s="144" t="s">
        <v>594</v>
      </c>
      <c r="F168" s="146" t="s">
        <v>767</v>
      </c>
      <c r="G168" s="147"/>
      <c r="I168" t="s">
        <v>1087</v>
      </c>
    </row>
    <row r="169" spans="2:10" x14ac:dyDescent="0.2">
      <c r="B169" s="145">
        <v>43642</v>
      </c>
      <c r="C169" s="144" t="s">
        <v>593</v>
      </c>
      <c r="D169" s="144">
        <v>-0.99</v>
      </c>
      <c r="E169" s="144" t="s">
        <v>594</v>
      </c>
      <c r="F169" s="144" t="s">
        <v>641</v>
      </c>
      <c r="I169" t="s">
        <v>1087</v>
      </c>
      <c r="J169" s="146"/>
    </row>
    <row r="170" spans="2:10" x14ac:dyDescent="0.2">
      <c r="B170" s="145">
        <v>43642</v>
      </c>
      <c r="C170" s="144" t="s">
        <v>593</v>
      </c>
      <c r="D170" s="144">
        <v>-0.89</v>
      </c>
      <c r="E170" s="144" t="s">
        <v>594</v>
      </c>
      <c r="F170" s="144" t="s">
        <v>767</v>
      </c>
      <c r="H170" s="146"/>
      <c r="I170" t="s">
        <v>1087</v>
      </c>
      <c r="J170" s="146"/>
    </row>
    <row r="171" spans="2:10" x14ac:dyDescent="0.2">
      <c r="B171" s="145">
        <v>43642</v>
      </c>
      <c r="C171" s="144" t="s">
        <v>593</v>
      </c>
      <c r="D171" s="144">
        <v>-0.89</v>
      </c>
      <c r="E171" s="144" t="s">
        <v>594</v>
      </c>
      <c r="F171" s="144" t="s">
        <v>767</v>
      </c>
      <c r="H171" s="146"/>
      <c r="I171" t="s">
        <v>1087</v>
      </c>
      <c r="J171" s="146"/>
    </row>
    <row r="172" spans="2:10" x14ac:dyDescent="0.2">
      <c r="B172" s="145">
        <v>43642</v>
      </c>
      <c r="C172" s="144" t="s">
        <v>593</v>
      </c>
      <c r="D172" s="144">
        <v>-13.29</v>
      </c>
      <c r="E172" s="144" t="s">
        <v>605</v>
      </c>
      <c r="F172" s="144" t="s">
        <v>640</v>
      </c>
      <c r="I172" t="s">
        <v>1087</v>
      </c>
      <c r="J172" s="146"/>
    </row>
    <row r="173" spans="2:10" x14ac:dyDescent="0.2">
      <c r="B173" s="145">
        <v>43643</v>
      </c>
      <c r="C173" s="144" t="s">
        <v>593</v>
      </c>
      <c r="D173" s="144">
        <v>556.79999999999995</v>
      </c>
      <c r="E173" s="144" t="s">
        <v>595</v>
      </c>
      <c r="F173" s="144" t="s">
        <v>655</v>
      </c>
      <c r="I173" t="s">
        <v>1087</v>
      </c>
      <c r="J173" s="146"/>
    </row>
    <row r="174" spans="2:10" x14ac:dyDescent="0.2">
      <c r="B174" s="145">
        <v>43643</v>
      </c>
      <c r="C174" s="144" t="s">
        <v>593</v>
      </c>
      <c r="D174" s="144">
        <v>458</v>
      </c>
      <c r="E174" s="144" t="s">
        <v>595</v>
      </c>
      <c r="F174" s="144" t="s">
        <v>654</v>
      </c>
      <c r="I174" t="s">
        <v>1087</v>
      </c>
      <c r="J174" s="146"/>
    </row>
    <row r="175" spans="2:10" x14ac:dyDescent="0.2">
      <c r="B175" s="145">
        <v>43643</v>
      </c>
      <c r="C175" s="144" t="s">
        <v>593</v>
      </c>
      <c r="D175" s="144">
        <v>444</v>
      </c>
      <c r="E175" s="144" t="s">
        <v>595</v>
      </c>
      <c r="F175" s="144" t="s">
        <v>610</v>
      </c>
      <c r="I175" t="s">
        <v>1087</v>
      </c>
      <c r="J175" s="146"/>
    </row>
    <row r="176" spans="2:10" x14ac:dyDescent="0.2">
      <c r="B176" s="145">
        <v>43643</v>
      </c>
      <c r="C176" s="144" t="s">
        <v>593</v>
      </c>
      <c r="D176" s="144">
        <v>-312</v>
      </c>
      <c r="E176" s="144" t="s">
        <v>594</v>
      </c>
      <c r="F176" s="144" t="s">
        <v>768</v>
      </c>
      <c r="G176" s="47" t="s">
        <v>489</v>
      </c>
      <c r="H176" s="146" t="s">
        <v>908</v>
      </c>
      <c r="I176" t="s">
        <v>1088</v>
      </c>
    </row>
    <row r="177" spans="2:10" x14ac:dyDescent="0.2">
      <c r="B177" s="145">
        <v>43643</v>
      </c>
      <c r="C177" s="144" t="s">
        <v>593</v>
      </c>
      <c r="D177" s="144">
        <v>-240</v>
      </c>
      <c r="E177" s="144" t="s">
        <v>594</v>
      </c>
      <c r="F177" s="144" t="s">
        <v>769</v>
      </c>
      <c r="G177" s="47" t="s">
        <v>489</v>
      </c>
      <c r="H177" s="146" t="s">
        <v>907</v>
      </c>
      <c r="I177" t="s">
        <v>1088</v>
      </c>
    </row>
    <row r="178" spans="2:10" x14ac:dyDescent="0.2">
      <c r="B178" s="145">
        <v>43643</v>
      </c>
      <c r="C178" s="144" t="s">
        <v>593</v>
      </c>
      <c r="D178" s="144">
        <v>-120</v>
      </c>
      <c r="E178" s="144" t="s">
        <v>594</v>
      </c>
      <c r="F178" s="144" t="s">
        <v>770</v>
      </c>
      <c r="G178" s="47" t="s">
        <v>561</v>
      </c>
      <c r="H178" s="146" t="s">
        <v>909</v>
      </c>
      <c r="I178" t="s">
        <v>1088</v>
      </c>
    </row>
    <row r="179" spans="2:10" x14ac:dyDescent="0.2">
      <c r="B179" s="145">
        <v>43643</v>
      </c>
      <c r="C179" s="144" t="s">
        <v>593</v>
      </c>
      <c r="D179" s="144">
        <v>-54</v>
      </c>
      <c r="E179" s="144" t="s">
        <v>594</v>
      </c>
      <c r="F179" s="144" t="s">
        <v>771</v>
      </c>
      <c r="G179" s="47" t="s">
        <v>504</v>
      </c>
      <c r="H179" s="146" t="s">
        <v>910</v>
      </c>
      <c r="I179" t="s">
        <v>1088</v>
      </c>
    </row>
    <row r="180" spans="2:10" x14ac:dyDescent="0.2">
      <c r="B180" s="145">
        <v>43643</v>
      </c>
      <c r="C180" s="144" t="s">
        <v>593</v>
      </c>
      <c r="D180" s="144">
        <v>-54</v>
      </c>
      <c r="E180" s="144" t="s">
        <v>594</v>
      </c>
      <c r="F180" s="144" t="s">
        <v>772</v>
      </c>
      <c r="G180" t="s">
        <v>502</v>
      </c>
      <c r="H180" s="146" t="s">
        <v>911</v>
      </c>
      <c r="I180" t="s">
        <v>1088</v>
      </c>
    </row>
    <row r="181" spans="2:10" x14ac:dyDescent="0.2">
      <c r="B181" s="145">
        <v>43643</v>
      </c>
      <c r="C181" s="144" t="s">
        <v>593</v>
      </c>
      <c r="D181" s="144">
        <v>-0.89</v>
      </c>
      <c r="E181" s="144" t="s">
        <v>594</v>
      </c>
      <c r="F181" s="144" t="s">
        <v>773</v>
      </c>
      <c r="H181" s="148"/>
      <c r="I181" t="s">
        <v>1087</v>
      </c>
      <c r="J181" s="146"/>
    </row>
    <row r="182" spans="2:10" x14ac:dyDescent="0.2">
      <c r="B182" s="145">
        <v>43643</v>
      </c>
      <c r="C182" s="144" t="s">
        <v>593</v>
      </c>
      <c r="D182" s="144">
        <v>-0.89</v>
      </c>
      <c r="E182" s="144" t="s">
        <v>594</v>
      </c>
      <c r="F182" s="144" t="s">
        <v>773</v>
      </c>
      <c r="I182" t="s">
        <v>1087</v>
      </c>
      <c r="J182" s="146"/>
    </row>
    <row r="183" spans="2:10" x14ac:dyDescent="0.2">
      <c r="B183" s="145">
        <v>43644</v>
      </c>
      <c r="C183" s="144" t="s">
        <v>593</v>
      </c>
      <c r="D183" s="144">
        <v>-207.56</v>
      </c>
      <c r="E183" s="144" t="s">
        <v>605</v>
      </c>
      <c r="F183" s="144" t="s">
        <v>774</v>
      </c>
      <c r="I183" t="s">
        <v>1089</v>
      </c>
    </row>
    <row r="184" spans="2:10" x14ac:dyDescent="0.2">
      <c r="B184" s="145">
        <v>43644</v>
      </c>
      <c r="C184" s="144" t="s">
        <v>593</v>
      </c>
      <c r="D184" s="144">
        <v>-211.68</v>
      </c>
      <c r="E184" s="144" t="s">
        <v>605</v>
      </c>
      <c r="F184" s="144" t="s">
        <v>775</v>
      </c>
      <c r="I184" t="s">
        <v>1089</v>
      </c>
      <c r="J184" s="146"/>
    </row>
    <row r="185" spans="2:10" x14ac:dyDescent="0.2">
      <c r="B185" s="145">
        <v>43644</v>
      </c>
      <c r="C185" s="144" t="s">
        <v>593</v>
      </c>
      <c r="D185" s="144">
        <v>-211.68</v>
      </c>
      <c r="E185" s="144" t="s">
        <v>605</v>
      </c>
      <c r="F185" s="144" t="s">
        <v>776</v>
      </c>
      <c r="H185" s="146"/>
      <c r="I185" t="s">
        <v>1089</v>
      </c>
      <c r="J185" s="146"/>
    </row>
    <row r="186" spans="2:10" x14ac:dyDescent="0.2">
      <c r="B186" s="145">
        <v>43644</v>
      </c>
      <c r="C186" s="144" t="s">
        <v>593</v>
      </c>
      <c r="D186" s="144">
        <v>-211.68</v>
      </c>
      <c r="E186" s="144" t="s">
        <v>605</v>
      </c>
      <c r="F186" s="144" t="s">
        <v>777</v>
      </c>
      <c r="H186" s="148"/>
      <c r="I186" t="s">
        <v>1089</v>
      </c>
    </row>
    <row r="187" spans="2:10" x14ac:dyDescent="0.2">
      <c r="B187" s="145">
        <v>43644</v>
      </c>
      <c r="C187" s="144" t="s">
        <v>593</v>
      </c>
      <c r="D187" s="144">
        <v>-1815.67</v>
      </c>
      <c r="E187" s="144" t="s">
        <v>594</v>
      </c>
      <c r="F187" s="144" t="s">
        <v>778</v>
      </c>
      <c r="H187" s="148"/>
      <c r="I187" t="s">
        <v>1087</v>
      </c>
    </row>
    <row r="188" spans="2:10" x14ac:dyDescent="0.2">
      <c r="B188" s="145">
        <v>43644</v>
      </c>
      <c r="C188" s="144" t="s">
        <v>593</v>
      </c>
      <c r="D188" s="144">
        <v>142.62</v>
      </c>
      <c r="E188" s="144" t="s">
        <v>595</v>
      </c>
      <c r="F188" s="144" t="s">
        <v>631</v>
      </c>
      <c r="H188" s="146"/>
      <c r="I188" t="s">
        <v>1087</v>
      </c>
    </row>
    <row r="189" spans="2:10" x14ac:dyDescent="0.2">
      <c r="B189" s="145">
        <v>43644</v>
      </c>
      <c r="C189" s="144" t="s">
        <v>593</v>
      </c>
      <c r="D189" s="144">
        <v>178.32</v>
      </c>
      <c r="E189" s="144" t="s">
        <v>595</v>
      </c>
      <c r="F189" s="144" t="s">
        <v>634</v>
      </c>
      <c r="H189" s="146"/>
      <c r="I189" t="s">
        <v>1087</v>
      </c>
    </row>
    <row r="190" spans="2:10" x14ac:dyDescent="0.2">
      <c r="B190" s="145"/>
      <c r="H190" s="146"/>
    </row>
    <row r="191" spans="2:10" x14ac:dyDescent="0.2">
      <c r="B191" s="145"/>
    </row>
    <row r="192" spans="2:10" x14ac:dyDescent="0.2">
      <c r="B192" s="145"/>
    </row>
    <row r="193" spans="2:10" x14ac:dyDescent="0.2">
      <c r="B193" s="145"/>
    </row>
    <row r="194" spans="2:10" x14ac:dyDescent="0.2">
      <c r="B194" s="145"/>
      <c r="H194" s="146"/>
      <c r="J194" s="146"/>
    </row>
    <row r="195" spans="2:10" x14ac:dyDescent="0.2">
      <c r="B195" s="145"/>
      <c r="H195" s="146"/>
    </row>
    <row r="196" spans="2:10" x14ac:dyDescent="0.2">
      <c r="B196" s="145"/>
    </row>
    <row r="197" spans="2:10" x14ac:dyDescent="0.2">
      <c r="B197" s="145"/>
    </row>
    <row r="198" spans="2:10" x14ac:dyDescent="0.2">
      <c r="B198" s="145"/>
      <c r="H198" s="146"/>
      <c r="J198" s="146"/>
    </row>
    <row r="199" spans="2:10" x14ac:dyDescent="0.2">
      <c r="B199" s="145"/>
      <c r="H199" s="146"/>
      <c r="J199" s="146"/>
    </row>
    <row r="200" spans="2:10" x14ac:dyDescent="0.2">
      <c r="B200" s="145"/>
    </row>
    <row r="201" spans="2:10" x14ac:dyDescent="0.2">
      <c r="B201" s="145"/>
    </row>
    <row r="202" spans="2:10" x14ac:dyDescent="0.2">
      <c r="B202" s="145"/>
      <c r="H202" s="146"/>
    </row>
    <row r="203" spans="2:10" x14ac:dyDescent="0.2">
      <c r="B203" s="145"/>
    </row>
    <row r="204" spans="2:10" x14ac:dyDescent="0.2">
      <c r="B204" s="145"/>
      <c r="H204" s="146"/>
    </row>
    <row r="205" spans="2:10" x14ac:dyDescent="0.2">
      <c r="B205" s="145"/>
    </row>
    <row r="206" spans="2:10" x14ac:dyDescent="0.2">
      <c r="B206" s="145"/>
      <c r="H206" s="146"/>
    </row>
    <row r="207" spans="2:10" x14ac:dyDescent="0.2">
      <c r="B207" s="145"/>
      <c r="G207" s="146"/>
      <c r="H207" s="146"/>
    </row>
    <row r="208" spans="2:10" x14ac:dyDescent="0.2">
      <c r="B208" s="145"/>
      <c r="H208" s="148"/>
    </row>
    <row r="209" spans="2:10" x14ac:dyDescent="0.2">
      <c r="B209" s="145"/>
      <c r="J209" s="146"/>
    </row>
    <row r="210" spans="2:10" x14ac:dyDescent="0.2">
      <c r="B210" s="145"/>
      <c r="J210" s="146"/>
    </row>
    <row r="211" spans="2:10" x14ac:dyDescent="0.2">
      <c r="B211" s="145"/>
      <c r="G211" s="146"/>
    </row>
    <row r="212" spans="2:10" x14ac:dyDescent="0.2">
      <c r="B212" s="145"/>
      <c r="H212" s="146"/>
      <c r="J212" s="146"/>
    </row>
    <row r="213" spans="2:10" x14ac:dyDescent="0.2">
      <c r="B213" s="145"/>
      <c r="H213" s="146"/>
      <c r="J213" s="146"/>
    </row>
    <row r="214" spans="2:10" x14ac:dyDescent="0.2">
      <c r="B214" s="145"/>
    </row>
    <row r="215" spans="2:10" x14ac:dyDescent="0.2">
      <c r="B215" s="145"/>
    </row>
    <row r="216" spans="2:10" x14ac:dyDescent="0.2">
      <c r="B216" s="145"/>
      <c r="F216" s="146"/>
    </row>
    <row r="217" spans="2:10" x14ac:dyDescent="0.2">
      <c r="B217" s="145"/>
      <c r="H217" s="146"/>
    </row>
    <row r="218" spans="2:10" x14ac:dyDescent="0.2">
      <c r="B218" s="145"/>
      <c r="J218" s="146"/>
    </row>
    <row r="219" spans="2:10" x14ac:dyDescent="0.2">
      <c r="B219" s="145"/>
      <c r="H219" s="148"/>
      <c r="J219" s="148"/>
    </row>
    <row r="220" spans="2:10" x14ac:dyDescent="0.2">
      <c r="B220" s="145"/>
    </row>
    <row r="221" spans="2:10" x14ac:dyDescent="0.2">
      <c r="B221" s="145"/>
      <c r="J221" s="146"/>
    </row>
    <row r="222" spans="2:10" x14ac:dyDescent="0.2">
      <c r="B222" s="145"/>
      <c r="H222" s="146"/>
      <c r="J222" s="146"/>
    </row>
    <row r="223" spans="2:10" x14ac:dyDescent="0.2">
      <c r="B223" s="145"/>
    </row>
    <row r="224" spans="2:10" x14ac:dyDescent="0.2">
      <c r="B224" s="145"/>
    </row>
    <row r="225" spans="2:10" x14ac:dyDescent="0.2">
      <c r="B225" s="145"/>
    </row>
    <row r="226" spans="2:10" x14ac:dyDescent="0.2">
      <c r="B226" s="145"/>
    </row>
    <row r="227" spans="2:10" x14ac:dyDescent="0.2">
      <c r="B227" s="145"/>
    </row>
    <row r="228" spans="2:10" x14ac:dyDescent="0.2">
      <c r="B228" s="145"/>
      <c r="J228" s="146"/>
    </row>
    <row r="229" spans="2:10" x14ac:dyDescent="0.2">
      <c r="B229" s="145"/>
      <c r="J229" s="146"/>
    </row>
    <row r="230" spans="2:10" x14ac:dyDescent="0.2">
      <c r="B230" s="145"/>
    </row>
    <row r="231" spans="2:10" x14ac:dyDescent="0.2">
      <c r="B231" s="145"/>
      <c r="H231" s="146"/>
    </row>
    <row r="232" spans="2:10" x14ac:dyDescent="0.2">
      <c r="B232" s="145"/>
    </row>
    <row r="233" spans="2:10" x14ac:dyDescent="0.2">
      <c r="B233" s="145"/>
    </row>
    <row r="234" spans="2:10" x14ac:dyDescent="0.2">
      <c r="B234" s="145"/>
    </row>
    <row r="235" spans="2:10" x14ac:dyDescent="0.2">
      <c r="B235" s="145"/>
    </row>
    <row r="236" spans="2:10" x14ac:dyDescent="0.2">
      <c r="B236" s="145"/>
    </row>
    <row r="237" spans="2:10" x14ac:dyDescent="0.2">
      <c r="B237" s="145"/>
    </row>
    <row r="238" spans="2:10" x14ac:dyDescent="0.2">
      <c r="B238" s="145"/>
    </row>
    <row r="239" spans="2:10" x14ac:dyDescent="0.2">
      <c r="B239" s="145"/>
    </row>
    <row r="240" spans="2:10" x14ac:dyDescent="0.2">
      <c r="B240" s="145"/>
      <c r="H240" s="146"/>
    </row>
    <row r="241" spans="2:10" x14ac:dyDescent="0.2">
      <c r="B241" s="145"/>
      <c r="H241" s="146"/>
      <c r="J241" s="146"/>
    </row>
    <row r="242" spans="2:10" x14ac:dyDescent="0.2">
      <c r="B242" s="145"/>
      <c r="H242" s="146"/>
      <c r="J242" s="146"/>
    </row>
    <row r="243" spans="2:10" x14ac:dyDescent="0.2">
      <c r="B243" s="145"/>
      <c r="J243" s="146"/>
    </row>
    <row r="244" spans="2:10" x14ac:dyDescent="0.2">
      <c r="B244" s="145"/>
      <c r="J244" s="146"/>
    </row>
    <row r="245" spans="2:10" x14ac:dyDescent="0.2">
      <c r="B245" s="145"/>
      <c r="G245" s="146"/>
      <c r="H245" s="146"/>
    </row>
    <row r="246" spans="2:10" x14ac:dyDescent="0.2">
      <c r="B246" s="145"/>
      <c r="J246" s="146"/>
    </row>
    <row r="247" spans="2:10" x14ac:dyDescent="0.2">
      <c r="B247" s="145"/>
      <c r="J247" s="146"/>
    </row>
    <row r="248" spans="2:10" x14ac:dyDescent="0.2">
      <c r="B248" s="145"/>
    </row>
    <row r="249" spans="2:10" x14ac:dyDescent="0.2">
      <c r="B249" s="145"/>
    </row>
    <row r="250" spans="2:10" x14ac:dyDescent="0.2">
      <c r="B250" s="145"/>
    </row>
    <row r="251" spans="2:10" x14ac:dyDescent="0.2">
      <c r="B251" s="145"/>
    </row>
    <row r="252" spans="2:10" x14ac:dyDescent="0.2">
      <c r="B252" s="145"/>
    </row>
    <row r="253" spans="2:10" x14ac:dyDescent="0.2">
      <c r="B253" s="145"/>
    </row>
    <row r="254" spans="2:10" x14ac:dyDescent="0.2">
      <c r="B254" s="145"/>
    </row>
    <row r="255" spans="2:10" x14ac:dyDescent="0.2">
      <c r="B255" s="145"/>
    </row>
  </sheetData>
  <autoFilter ref="A1:J255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7"/>
  <sheetViews>
    <sheetView zoomScale="85" zoomScaleNormal="85" workbookViewId="0">
      <selection activeCell="H22" sqref="H22"/>
    </sheetView>
  </sheetViews>
  <sheetFormatPr defaultRowHeight="12.75" x14ac:dyDescent="0.2"/>
  <cols>
    <col min="1" max="2" width="10.28515625" style="144" bestFit="1" customWidth="1"/>
    <col min="3" max="3" width="17.28515625" style="144" bestFit="1" customWidth="1"/>
    <col min="4" max="4" width="8.85546875" style="144" bestFit="1" customWidth="1"/>
    <col min="5" max="5" width="12.85546875" style="144" customWidth="1"/>
    <col min="6" max="6" width="50.140625" style="144" bestFit="1" customWidth="1"/>
    <col min="7" max="7" width="8" style="144" bestFit="1" customWidth="1"/>
    <col min="8" max="8" width="25.1406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A2" s="144" t="s">
        <v>578</v>
      </c>
      <c r="B2" s="151">
        <v>43619</v>
      </c>
      <c r="C2" t="s">
        <v>664</v>
      </c>
      <c r="D2">
        <v>600</v>
      </c>
      <c r="E2" t="s">
        <v>624</v>
      </c>
      <c r="F2" t="s">
        <v>779</v>
      </c>
      <c r="G2" s="180" t="s">
        <v>492</v>
      </c>
      <c r="H2" s="146" t="s">
        <v>1085</v>
      </c>
      <c r="I2" t="s">
        <v>1090</v>
      </c>
    </row>
    <row r="3" spans="1:9" x14ac:dyDescent="0.2">
      <c r="A3" s="144" t="s">
        <v>578</v>
      </c>
      <c r="B3" s="151">
        <v>43619</v>
      </c>
      <c r="C3" t="s">
        <v>664</v>
      </c>
      <c r="D3">
        <v>2609.16</v>
      </c>
      <c r="E3" t="s">
        <v>661</v>
      </c>
      <c r="F3" t="s">
        <v>666</v>
      </c>
      <c r="I3" t="s">
        <v>1087</v>
      </c>
    </row>
    <row r="4" spans="1:9" x14ac:dyDescent="0.2">
      <c r="A4" s="144" t="s">
        <v>578</v>
      </c>
      <c r="B4" s="151">
        <v>43619</v>
      </c>
      <c r="C4" t="s">
        <v>664</v>
      </c>
      <c r="D4">
        <v>1795.67</v>
      </c>
      <c r="E4" t="s">
        <v>665</v>
      </c>
      <c r="F4" t="s">
        <v>780</v>
      </c>
      <c r="I4" t="s">
        <v>1087</v>
      </c>
    </row>
    <row r="5" spans="1:9" x14ac:dyDescent="0.2">
      <c r="A5" s="144" t="s">
        <v>578</v>
      </c>
      <c r="B5" s="151">
        <v>43619</v>
      </c>
      <c r="C5" t="s">
        <v>664</v>
      </c>
      <c r="D5">
        <v>-232.5</v>
      </c>
      <c r="E5" t="s">
        <v>597</v>
      </c>
      <c r="F5" t="s">
        <v>670</v>
      </c>
      <c r="I5" t="s">
        <v>1087</v>
      </c>
    </row>
    <row r="6" spans="1:9" x14ac:dyDescent="0.2">
      <c r="A6" s="144" t="s">
        <v>578</v>
      </c>
      <c r="B6" s="151">
        <v>43619</v>
      </c>
      <c r="C6" t="s">
        <v>664</v>
      </c>
      <c r="D6">
        <v>-160</v>
      </c>
      <c r="E6" t="s">
        <v>597</v>
      </c>
      <c r="F6" t="s">
        <v>668</v>
      </c>
      <c r="I6" t="s">
        <v>1087</v>
      </c>
    </row>
    <row r="7" spans="1:9" x14ac:dyDescent="0.2">
      <c r="A7" s="144" t="s">
        <v>578</v>
      </c>
      <c r="B7" s="151">
        <v>43619</v>
      </c>
      <c r="C7" t="s">
        <v>664</v>
      </c>
      <c r="D7">
        <v>-157.5</v>
      </c>
      <c r="E7" t="s">
        <v>597</v>
      </c>
      <c r="F7" t="s">
        <v>669</v>
      </c>
      <c r="I7" t="s">
        <v>1087</v>
      </c>
    </row>
    <row r="8" spans="1:9" x14ac:dyDescent="0.2">
      <c r="A8" s="144" t="s">
        <v>578</v>
      </c>
      <c r="B8" s="151">
        <v>43619</v>
      </c>
      <c r="C8" t="s">
        <v>664</v>
      </c>
      <c r="D8">
        <v>-50</v>
      </c>
      <c r="E8" t="s">
        <v>597</v>
      </c>
      <c r="F8" t="s">
        <v>667</v>
      </c>
      <c r="I8" t="s">
        <v>1087</v>
      </c>
    </row>
    <row r="9" spans="1:9" x14ac:dyDescent="0.2">
      <c r="A9" s="144" t="s">
        <v>578</v>
      </c>
      <c r="B9" s="151">
        <v>43619</v>
      </c>
      <c r="C9" t="s">
        <v>664</v>
      </c>
      <c r="D9">
        <v>-50</v>
      </c>
      <c r="E9" t="s">
        <v>597</v>
      </c>
      <c r="F9" t="s">
        <v>601</v>
      </c>
      <c r="I9" t="s">
        <v>1087</v>
      </c>
    </row>
    <row r="10" spans="1:9" x14ac:dyDescent="0.2">
      <c r="A10" s="144" t="s">
        <v>578</v>
      </c>
      <c r="B10" s="151">
        <v>43619</v>
      </c>
      <c r="C10" t="s">
        <v>664</v>
      </c>
      <c r="D10">
        <v>-551.52</v>
      </c>
      <c r="E10" t="s">
        <v>605</v>
      </c>
      <c r="F10" t="s">
        <v>676</v>
      </c>
      <c r="I10" t="s">
        <v>1089</v>
      </c>
    </row>
    <row r="11" spans="1:9" x14ac:dyDescent="0.2">
      <c r="A11" s="144" t="s">
        <v>578</v>
      </c>
      <c r="B11" s="151">
        <v>43619</v>
      </c>
      <c r="C11" t="s">
        <v>664</v>
      </c>
      <c r="D11">
        <v>-37.950000000000003</v>
      </c>
      <c r="E11" t="s">
        <v>605</v>
      </c>
      <c r="F11" t="s">
        <v>682</v>
      </c>
      <c r="I11" t="s">
        <v>1087</v>
      </c>
    </row>
    <row r="12" spans="1:9" x14ac:dyDescent="0.2">
      <c r="A12" s="144" t="s">
        <v>578</v>
      </c>
      <c r="B12" s="151">
        <v>43619</v>
      </c>
      <c r="C12" t="s">
        <v>664</v>
      </c>
      <c r="D12">
        <v>-240.21</v>
      </c>
      <c r="E12" t="s">
        <v>605</v>
      </c>
      <c r="F12" t="s">
        <v>671</v>
      </c>
      <c r="I12" t="s">
        <v>1089</v>
      </c>
    </row>
    <row r="13" spans="1:9" x14ac:dyDescent="0.2">
      <c r="A13" s="144" t="s">
        <v>578</v>
      </c>
      <c r="B13" s="151">
        <v>43619</v>
      </c>
      <c r="C13" t="s">
        <v>664</v>
      </c>
      <c r="D13">
        <v>-242.16</v>
      </c>
      <c r="E13" t="s">
        <v>605</v>
      </c>
      <c r="F13" t="s">
        <v>672</v>
      </c>
      <c r="I13" t="s">
        <v>1089</v>
      </c>
    </row>
    <row r="14" spans="1:9" x14ac:dyDescent="0.2">
      <c r="A14" s="144" t="s">
        <v>578</v>
      </c>
      <c r="B14" s="151">
        <v>43619</v>
      </c>
      <c r="C14" t="s">
        <v>664</v>
      </c>
      <c r="D14">
        <v>-1144.27</v>
      </c>
      <c r="E14" t="s">
        <v>605</v>
      </c>
      <c r="F14" t="s">
        <v>678</v>
      </c>
      <c r="I14" t="s">
        <v>1087</v>
      </c>
    </row>
    <row r="15" spans="1:9" x14ac:dyDescent="0.2">
      <c r="A15" s="144" t="s">
        <v>578</v>
      </c>
      <c r="B15" s="151">
        <v>43619</v>
      </c>
      <c r="C15" t="s">
        <v>664</v>
      </c>
      <c r="D15">
        <v>-1795.67</v>
      </c>
      <c r="E15" t="s">
        <v>605</v>
      </c>
      <c r="F15" t="s">
        <v>679</v>
      </c>
      <c r="I15" t="s">
        <v>1087</v>
      </c>
    </row>
    <row r="16" spans="1:9" x14ac:dyDescent="0.2">
      <c r="A16" s="144" t="s">
        <v>578</v>
      </c>
      <c r="B16" s="151">
        <v>43619</v>
      </c>
      <c r="C16" t="s">
        <v>664</v>
      </c>
      <c r="D16">
        <v>-1493.13</v>
      </c>
      <c r="E16" t="s">
        <v>605</v>
      </c>
      <c r="F16" t="s">
        <v>677</v>
      </c>
      <c r="I16" t="s">
        <v>1087</v>
      </c>
    </row>
    <row r="17" spans="1:9" x14ac:dyDescent="0.2">
      <c r="A17" s="144" t="s">
        <v>578</v>
      </c>
      <c r="B17" s="151">
        <v>43619</v>
      </c>
      <c r="C17" t="s">
        <v>664</v>
      </c>
      <c r="D17">
        <v>-254.22</v>
      </c>
      <c r="E17" t="s">
        <v>605</v>
      </c>
      <c r="F17" t="s">
        <v>686</v>
      </c>
      <c r="I17" t="s">
        <v>1089</v>
      </c>
    </row>
    <row r="18" spans="1:9" x14ac:dyDescent="0.2">
      <c r="A18" s="144" t="s">
        <v>578</v>
      </c>
      <c r="B18" s="151">
        <v>43619</v>
      </c>
      <c r="C18" t="s">
        <v>664</v>
      </c>
      <c r="D18">
        <v>-206.82</v>
      </c>
      <c r="E18" t="s">
        <v>605</v>
      </c>
      <c r="F18" t="s">
        <v>674</v>
      </c>
      <c r="I18" t="s">
        <v>1089</v>
      </c>
    </row>
    <row r="19" spans="1:9" x14ac:dyDescent="0.2">
      <c r="A19" s="144" t="s">
        <v>578</v>
      </c>
      <c r="B19" s="151">
        <v>43619</v>
      </c>
      <c r="C19" t="s">
        <v>664</v>
      </c>
      <c r="D19">
        <v>-386.17</v>
      </c>
      <c r="E19" t="s">
        <v>605</v>
      </c>
      <c r="F19" t="s">
        <v>673</v>
      </c>
      <c r="G19" s="146"/>
      <c r="H19" s="146"/>
      <c r="I19" t="s">
        <v>1089</v>
      </c>
    </row>
    <row r="20" spans="1:9" x14ac:dyDescent="0.2">
      <c r="A20" s="144" t="s">
        <v>578</v>
      </c>
      <c r="B20" s="151">
        <v>43619</v>
      </c>
      <c r="C20" t="s">
        <v>664</v>
      </c>
      <c r="D20">
        <v>-375.8</v>
      </c>
      <c r="E20" t="s">
        <v>605</v>
      </c>
      <c r="F20" t="s">
        <v>675</v>
      </c>
      <c r="I20" t="s">
        <v>1089</v>
      </c>
    </row>
    <row r="21" spans="1:9" x14ac:dyDescent="0.2">
      <c r="A21" s="144" t="s">
        <v>578</v>
      </c>
      <c r="B21" s="151">
        <v>43619</v>
      </c>
      <c r="C21" t="s">
        <v>664</v>
      </c>
      <c r="D21">
        <v>-61.41</v>
      </c>
      <c r="E21" t="s">
        <v>605</v>
      </c>
      <c r="F21" t="s">
        <v>781</v>
      </c>
      <c r="I21" t="s">
        <v>1087</v>
      </c>
    </row>
    <row r="22" spans="1:9" x14ac:dyDescent="0.2">
      <c r="A22" s="144" t="s">
        <v>578</v>
      </c>
      <c r="B22" s="151">
        <v>43620</v>
      </c>
      <c r="C22" t="s">
        <v>664</v>
      </c>
      <c r="D22">
        <v>662.16</v>
      </c>
      <c r="E22" t="s">
        <v>595</v>
      </c>
      <c r="F22" t="s">
        <v>683</v>
      </c>
      <c r="I22" t="s">
        <v>1087</v>
      </c>
    </row>
    <row r="23" spans="1:9" x14ac:dyDescent="0.2">
      <c r="A23" s="144" t="s">
        <v>578</v>
      </c>
      <c r="B23" s="151">
        <v>43620</v>
      </c>
      <c r="C23" t="s">
        <v>664</v>
      </c>
      <c r="D23">
        <v>458</v>
      </c>
      <c r="E23" t="s">
        <v>595</v>
      </c>
      <c r="F23" t="s">
        <v>681</v>
      </c>
      <c r="H23" s="148"/>
      <c r="I23" t="s">
        <v>1087</v>
      </c>
    </row>
    <row r="24" spans="1:9" x14ac:dyDescent="0.2">
      <c r="A24" s="144" t="s">
        <v>578</v>
      </c>
      <c r="B24" s="151">
        <v>43620</v>
      </c>
      <c r="C24" t="s">
        <v>664</v>
      </c>
      <c r="D24">
        <v>-75</v>
      </c>
      <c r="E24" t="s">
        <v>597</v>
      </c>
      <c r="F24" t="s">
        <v>689</v>
      </c>
      <c r="I24" t="s">
        <v>1087</v>
      </c>
    </row>
    <row r="25" spans="1:9" x14ac:dyDescent="0.2">
      <c r="A25" s="144" t="s">
        <v>578</v>
      </c>
      <c r="B25" s="151">
        <v>43620</v>
      </c>
      <c r="C25" t="s">
        <v>664</v>
      </c>
      <c r="D25" s="173">
        <v>-32.58</v>
      </c>
      <c r="E25" t="s">
        <v>605</v>
      </c>
      <c r="F25" t="s">
        <v>782</v>
      </c>
      <c r="H25" s="148" t="s">
        <v>903</v>
      </c>
      <c r="I25" t="s">
        <v>1087</v>
      </c>
    </row>
    <row r="26" spans="1:9" x14ac:dyDescent="0.2">
      <c r="A26" s="144" t="s">
        <v>578</v>
      </c>
      <c r="B26" s="151">
        <v>43620</v>
      </c>
      <c r="C26" t="s">
        <v>664</v>
      </c>
      <c r="D26">
        <v>-75</v>
      </c>
      <c r="E26" t="s">
        <v>605</v>
      </c>
      <c r="F26" t="s">
        <v>690</v>
      </c>
      <c r="G26" s="146"/>
      <c r="H26" s="146"/>
      <c r="I26" t="s">
        <v>1087</v>
      </c>
    </row>
    <row r="27" spans="1:9" x14ac:dyDescent="0.2">
      <c r="A27" s="144" t="s">
        <v>578</v>
      </c>
      <c r="B27" s="151">
        <v>43622</v>
      </c>
      <c r="C27" t="s">
        <v>664</v>
      </c>
      <c r="D27">
        <v>504.4</v>
      </c>
      <c r="E27" t="s">
        <v>595</v>
      </c>
      <c r="F27" t="s">
        <v>688</v>
      </c>
      <c r="H27" s="146"/>
      <c r="I27" t="s">
        <v>1087</v>
      </c>
    </row>
    <row r="28" spans="1:9" x14ac:dyDescent="0.2">
      <c r="A28" s="144" t="s">
        <v>578</v>
      </c>
      <c r="B28" s="151">
        <v>43622</v>
      </c>
      <c r="C28" t="s">
        <v>664</v>
      </c>
      <c r="D28">
        <v>439.55</v>
      </c>
      <c r="E28" t="s">
        <v>595</v>
      </c>
      <c r="F28" t="s">
        <v>692</v>
      </c>
      <c r="I28" t="s">
        <v>1087</v>
      </c>
    </row>
    <row r="29" spans="1:9" x14ac:dyDescent="0.2">
      <c r="A29" s="144" t="s">
        <v>578</v>
      </c>
      <c r="B29" s="151">
        <v>43622</v>
      </c>
      <c r="C29" t="s">
        <v>664</v>
      </c>
      <c r="D29">
        <v>422.28</v>
      </c>
      <c r="E29" t="s">
        <v>595</v>
      </c>
      <c r="F29" t="s">
        <v>696</v>
      </c>
      <c r="H29" s="146"/>
      <c r="I29" t="s">
        <v>1087</v>
      </c>
    </row>
    <row r="30" spans="1:9" x14ac:dyDescent="0.2">
      <c r="A30" s="144" t="s">
        <v>578</v>
      </c>
      <c r="B30" s="151">
        <v>43622</v>
      </c>
      <c r="C30" t="s">
        <v>664</v>
      </c>
      <c r="D30">
        <v>330.52</v>
      </c>
      <c r="E30" t="s">
        <v>595</v>
      </c>
      <c r="F30" t="s">
        <v>695</v>
      </c>
      <c r="H30" s="146"/>
      <c r="I30" t="s">
        <v>1087</v>
      </c>
    </row>
    <row r="31" spans="1:9" x14ac:dyDescent="0.2">
      <c r="A31" s="144" t="s">
        <v>578</v>
      </c>
      <c r="B31" s="151">
        <v>43622</v>
      </c>
      <c r="C31" t="s">
        <v>664</v>
      </c>
      <c r="D31">
        <v>273.14</v>
      </c>
      <c r="E31" t="s">
        <v>595</v>
      </c>
      <c r="F31" t="s">
        <v>693</v>
      </c>
      <c r="H31" s="146"/>
      <c r="I31" t="s">
        <v>1087</v>
      </c>
    </row>
    <row r="32" spans="1:9" x14ac:dyDescent="0.2">
      <c r="A32" s="144" t="s">
        <v>578</v>
      </c>
      <c r="B32" s="151">
        <v>43622</v>
      </c>
      <c r="C32" t="s">
        <v>664</v>
      </c>
      <c r="D32">
        <v>262</v>
      </c>
      <c r="E32" t="s">
        <v>595</v>
      </c>
      <c r="F32" t="s">
        <v>697</v>
      </c>
      <c r="I32" t="s">
        <v>1087</v>
      </c>
    </row>
    <row r="33" spans="1:9" x14ac:dyDescent="0.2">
      <c r="A33" s="144" t="s">
        <v>578</v>
      </c>
      <c r="B33" s="151">
        <v>43622</v>
      </c>
      <c r="C33" t="s">
        <v>664</v>
      </c>
      <c r="D33">
        <v>248.6</v>
      </c>
      <c r="E33" t="s">
        <v>595</v>
      </c>
      <c r="F33" t="s">
        <v>687</v>
      </c>
      <c r="H33" s="146"/>
      <c r="I33" t="s">
        <v>1087</v>
      </c>
    </row>
    <row r="34" spans="1:9" x14ac:dyDescent="0.2">
      <c r="A34" s="144" t="s">
        <v>578</v>
      </c>
      <c r="B34" s="151">
        <v>43622</v>
      </c>
      <c r="C34" t="s">
        <v>664</v>
      </c>
      <c r="D34">
        <v>210.44</v>
      </c>
      <c r="E34" t="s">
        <v>595</v>
      </c>
      <c r="F34" t="s">
        <v>694</v>
      </c>
      <c r="I34" t="s">
        <v>1087</v>
      </c>
    </row>
    <row r="35" spans="1:9" x14ac:dyDescent="0.2">
      <c r="A35" s="144" t="s">
        <v>578</v>
      </c>
      <c r="B35" s="151">
        <v>43623</v>
      </c>
      <c r="C35" t="s">
        <v>664</v>
      </c>
      <c r="D35">
        <v>-150</v>
      </c>
      <c r="E35" t="s">
        <v>594</v>
      </c>
      <c r="F35" t="s">
        <v>783</v>
      </c>
      <c r="G35" s="144" t="s">
        <v>492</v>
      </c>
      <c r="H35" s="148" t="s">
        <v>912</v>
      </c>
      <c r="I35" t="s">
        <v>1088</v>
      </c>
    </row>
    <row r="36" spans="1:9" x14ac:dyDescent="0.2">
      <c r="A36" s="144" t="s">
        <v>578</v>
      </c>
      <c r="B36" s="151">
        <v>43626</v>
      </c>
      <c r="C36" t="s">
        <v>664</v>
      </c>
      <c r="D36">
        <v>700</v>
      </c>
      <c r="E36" t="s">
        <v>624</v>
      </c>
      <c r="F36" t="s">
        <v>784</v>
      </c>
      <c r="G36" s="179" t="s">
        <v>510</v>
      </c>
      <c r="H36" s="146" t="s">
        <v>1086</v>
      </c>
      <c r="I36" t="s">
        <v>1090</v>
      </c>
    </row>
    <row r="37" spans="1:9" x14ac:dyDescent="0.2">
      <c r="A37" s="144" t="s">
        <v>578</v>
      </c>
      <c r="B37" s="151">
        <v>43626</v>
      </c>
      <c r="C37" t="s">
        <v>664</v>
      </c>
      <c r="D37">
        <v>-14</v>
      </c>
      <c r="E37" t="s">
        <v>594</v>
      </c>
      <c r="F37" t="s">
        <v>785</v>
      </c>
      <c r="G37" s="144" t="s">
        <v>492</v>
      </c>
      <c r="H37" s="148" t="s">
        <v>913</v>
      </c>
      <c r="I37" t="s">
        <v>1088</v>
      </c>
    </row>
    <row r="38" spans="1:9" x14ac:dyDescent="0.2">
      <c r="A38" s="144" t="s">
        <v>578</v>
      </c>
      <c r="B38" s="151">
        <v>43626</v>
      </c>
      <c r="C38" t="s">
        <v>664</v>
      </c>
      <c r="D38">
        <v>-7.69</v>
      </c>
      <c r="E38" t="s">
        <v>594</v>
      </c>
      <c r="F38" t="s">
        <v>786</v>
      </c>
      <c r="G38" s="144" t="s">
        <v>492</v>
      </c>
      <c r="H38" s="146" t="s">
        <v>713</v>
      </c>
      <c r="I38" t="s">
        <v>1088</v>
      </c>
    </row>
    <row r="39" spans="1:9" x14ac:dyDescent="0.2">
      <c r="A39" s="144" t="s">
        <v>578</v>
      </c>
      <c r="B39" s="151">
        <v>43626</v>
      </c>
      <c r="C39" t="s">
        <v>664</v>
      </c>
      <c r="D39">
        <v>-240.52</v>
      </c>
      <c r="E39" t="s">
        <v>605</v>
      </c>
      <c r="F39" t="s">
        <v>691</v>
      </c>
      <c r="I39" t="s">
        <v>1089</v>
      </c>
    </row>
    <row r="40" spans="1:9" x14ac:dyDescent="0.2">
      <c r="A40" s="144" t="s">
        <v>578</v>
      </c>
      <c r="B40" s="151">
        <v>43627</v>
      </c>
      <c r="C40" t="s">
        <v>664</v>
      </c>
      <c r="D40">
        <v>550.79999999999995</v>
      </c>
      <c r="E40" t="s">
        <v>595</v>
      </c>
      <c r="F40" t="s">
        <v>684</v>
      </c>
      <c r="I40" t="s">
        <v>1087</v>
      </c>
    </row>
    <row r="41" spans="1:9" x14ac:dyDescent="0.2">
      <c r="A41" s="144" t="s">
        <v>578</v>
      </c>
      <c r="B41" s="151">
        <v>43627</v>
      </c>
      <c r="C41" t="s">
        <v>664</v>
      </c>
      <c r="D41">
        <v>462.64</v>
      </c>
      <c r="E41" t="s">
        <v>595</v>
      </c>
      <c r="F41" t="s">
        <v>685</v>
      </c>
      <c r="I41" t="s">
        <v>1087</v>
      </c>
    </row>
    <row r="42" spans="1:9" x14ac:dyDescent="0.2">
      <c r="A42" s="144" t="s">
        <v>578</v>
      </c>
      <c r="B42" s="151">
        <v>43627</v>
      </c>
      <c r="C42" t="s">
        <v>664</v>
      </c>
      <c r="D42">
        <v>-360</v>
      </c>
      <c r="E42" t="s">
        <v>624</v>
      </c>
      <c r="F42" t="s">
        <v>707</v>
      </c>
      <c r="I42" t="s">
        <v>1087</v>
      </c>
    </row>
    <row r="43" spans="1:9" x14ac:dyDescent="0.2">
      <c r="A43" s="144" t="s">
        <v>578</v>
      </c>
      <c r="B43" s="151">
        <v>43628</v>
      </c>
      <c r="C43" t="s">
        <v>664</v>
      </c>
      <c r="D43">
        <v>160.29</v>
      </c>
      <c r="E43" t="s">
        <v>595</v>
      </c>
      <c r="F43" t="s">
        <v>697</v>
      </c>
      <c r="I43" t="s">
        <v>1087</v>
      </c>
    </row>
    <row r="44" spans="1:9" x14ac:dyDescent="0.2">
      <c r="A44" s="144" t="s">
        <v>578</v>
      </c>
      <c r="B44" s="151">
        <v>43628</v>
      </c>
      <c r="C44" t="s">
        <v>664</v>
      </c>
      <c r="D44">
        <v>-37.68</v>
      </c>
      <c r="E44" t="s">
        <v>605</v>
      </c>
      <c r="F44" t="s">
        <v>698</v>
      </c>
      <c r="I44" t="s">
        <v>1087</v>
      </c>
    </row>
    <row r="45" spans="1:9" x14ac:dyDescent="0.2">
      <c r="A45" s="144" t="s">
        <v>578</v>
      </c>
      <c r="B45" s="151">
        <v>43629</v>
      </c>
      <c r="C45" t="s">
        <v>664</v>
      </c>
      <c r="D45">
        <v>-355</v>
      </c>
      <c r="E45" t="s">
        <v>787</v>
      </c>
      <c r="F45" t="s">
        <v>1091</v>
      </c>
      <c r="G45" s="144" t="s">
        <v>475</v>
      </c>
      <c r="H45" s="146" t="s">
        <v>902</v>
      </c>
      <c r="I45" t="s">
        <v>1088</v>
      </c>
    </row>
    <row r="46" spans="1:9" x14ac:dyDescent="0.2">
      <c r="A46" s="144" t="s">
        <v>578</v>
      </c>
      <c r="B46" s="151">
        <v>43630</v>
      </c>
      <c r="C46" t="s">
        <v>664</v>
      </c>
      <c r="D46">
        <v>458</v>
      </c>
      <c r="E46" t="s">
        <v>595</v>
      </c>
      <c r="F46" t="s">
        <v>680</v>
      </c>
      <c r="I46" t="s">
        <v>1087</v>
      </c>
    </row>
    <row r="47" spans="1:9" x14ac:dyDescent="0.2">
      <c r="A47" s="144" t="s">
        <v>578</v>
      </c>
      <c r="B47" s="151">
        <v>43630</v>
      </c>
      <c r="C47" t="s">
        <v>664</v>
      </c>
      <c r="D47">
        <v>-54</v>
      </c>
      <c r="E47" t="s">
        <v>594</v>
      </c>
      <c r="F47" t="s">
        <v>788</v>
      </c>
      <c r="G47" s="144" t="s">
        <v>494</v>
      </c>
      <c r="H47" s="148" t="s">
        <v>914</v>
      </c>
      <c r="I47" t="s">
        <v>1088</v>
      </c>
    </row>
    <row r="48" spans="1:9" x14ac:dyDescent="0.2">
      <c r="A48" s="144" t="s">
        <v>578</v>
      </c>
      <c r="B48" s="151">
        <v>43630</v>
      </c>
      <c r="C48" t="s">
        <v>664</v>
      </c>
      <c r="D48">
        <v>-54</v>
      </c>
      <c r="E48" t="s">
        <v>594</v>
      </c>
      <c r="F48" t="s">
        <v>789</v>
      </c>
      <c r="G48" s="144" t="s">
        <v>505</v>
      </c>
      <c r="H48" s="148" t="s">
        <v>915</v>
      </c>
      <c r="I48" t="s">
        <v>1088</v>
      </c>
    </row>
    <row r="49" spans="1:9" x14ac:dyDescent="0.2">
      <c r="A49" s="144" t="s">
        <v>578</v>
      </c>
      <c r="B49" s="151">
        <v>43630</v>
      </c>
      <c r="C49" t="s">
        <v>664</v>
      </c>
      <c r="D49">
        <v>-58.99</v>
      </c>
      <c r="E49" t="s">
        <v>605</v>
      </c>
      <c r="F49" t="s">
        <v>790</v>
      </c>
      <c r="I49" t="s">
        <v>1087</v>
      </c>
    </row>
    <row r="50" spans="1:9" x14ac:dyDescent="0.2">
      <c r="A50" s="144" t="s">
        <v>578</v>
      </c>
      <c r="B50" s="151">
        <v>43633</v>
      </c>
      <c r="C50" t="s">
        <v>664</v>
      </c>
      <c r="D50">
        <v>-20</v>
      </c>
      <c r="E50" t="s">
        <v>605</v>
      </c>
      <c r="F50" t="s">
        <v>791</v>
      </c>
      <c r="I50" t="s">
        <v>1087</v>
      </c>
    </row>
    <row r="51" spans="1:9" x14ac:dyDescent="0.2">
      <c r="A51" s="144" t="s">
        <v>578</v>
      </c>
      <c r="B51" s="151">
        <v>43633</v>
      </c>
      <c r="C51" t="s">
        <v>664</v>
      </c>
      <c r="D51">
        <v>-75</v>
      </c>
      <c r="E51" t="s">
        <v>605</v>
      </c>
      <c r="F51" t="s">
        <v>792</v>
      </c>
      <c r="I51" t="s">
        <v>1087</v>
      </c>
    </row>
    <row r="52" spans="1:9" x14ac:dyDescent="0.2">
      <c r="A52" s="144" t="s">
        <v>578</v>
      </c>
      <c r="B52" s="151">
        <v>43633</v>
      </c>
      <c r="C52" t="s">
        <v>664</v>
      </c>
      <c r="D52">
        <v>-203.62</v>
      </c>
      <c r="E52" t="s">
        <v>605</v>
      </c>
      <c r="F52" t="s">
        <v>706</v>
      </c>
      <c r="I52" t="s">
        <v>1089</v>
      </c>
    </row>
    <row r="53" spans="1:9" x14ac:dyDescent="0.2">
      <c r="A53" s="144" t="s">
        <v>578</v>
      </c>
      <c r="B53" s="151">
        <v>43633</v>
      </c>
      <c r="C53" t="s">
        <v>664</v>
      </c>
      <c r="D53">
        <v>-206.77</v>
      </c>
      <c r="E53" t="s">
        <v>605</v>
      </c>
      <c r="F53" t="s">
        <v>699</v>
      </c>
      <c r="I53" t="s">
        <v>1089</v>
      </c>
    </row>
    <row r="54" spans="1:9" x14ac:dyDescent="0.2">
      <c r="A54" s="144" t="s">
        <v>578</v>
      </c>
      <c r="B54" s="151">
        <v>43633</v>
      </c>
      <c r="C54" t="s">
        <v>664</v>
      </c>
      <c r="D54">
        <v>-213.98</v>
      </c>
      <c r="E54" t="s">
        <v>605</v>
      </c>
      <c r="F54" t="s">
        <v>700</v>
      </c>
      <c r="I54" t="s">
        <v>1089</v>
      </c>
    </row>
    <row r="55" spans="1:9" x14ac:dyDescent="0.2">
      <c r="A55" s="144" t="s">
        <v>578</v>
      </c>
      <c r="B55" s="151">
        <v>43633</v>
      </c>
      <c r="C55" t="s">
        <v>664</v>
      </c>
      <c r="D55">
        <v>-213.98</v>
      </c>
      <c r="E55" t="s">
        <v>605</v>
      </c>
      <c r="F55" t="s">
        <v>701</v>
      </c>
      <c r="I55" t="s">
        <v>1089</v>
      </c>
    </row>
    <row r="56" spans="1:9" x14ac:dyDescent="0.2">
      <c r="A56" s="144" t="s">
        <v>578</v>
      </c>
      <c r="B56" s="151">
        <v>43633</v>
      </c>
      <c r="C56" t="s">
        <v>664</v>
      </c>
      <c r="D56">
        <v>-206.82</v>
      </c>
      <c r="E56" t="s">
        <v>605</v>
      </c>
      <c r="F56" t="s">
        <v>702</v>
      </c>
      <c r="I56" t="s">
        <v>1089</v>
      </c>
    </row>
    <row r="57" spans="1:9" x14ac:dyDescent="0.2">
      <c r="A57" s="144" t="s">
        <v>578</v>
      </c>
      <c r="B57" s="151">
        <v>43633</v>
      </c>
      <c r="C57" t="s">
        <v>664</v>
      </c>
      <c r="D57">
        <v>-206.77</v>
      </c>
      <c r="E57" t="s">
        <v>605</v>
      </c>
      <c r="F57" t="s">
        <v>703</v>
      </c>
      <c r="H57" s="148"/>
      <c r="I57" t="s">
        <v>1089</v>
      </c>
    </row>
    <row r="58" spans="1:9" x14ac:dyDescent="0.2">
      <c r="A58" s="144" t="s">
        <v>578</v>
      </c>
      <c r="B58" s="151">
        <v>43633</v>
      </c>
      <c r="C58" t="s">
        <v>664</v>
      </c>
      <c r="D58">
        <v>-206.85</v>
      </c>
      <c r="E58" t="s">
        <v>605</v>
      </c>
      <c r="F58" t="s">
        <v>704</v>
      </c>
      <c r="I58" t="s">
        <v>1089</v>
      </c>
    </row>
    <row r="59" spans="1:9" x14ac:dyDescent="0.2">
      <c r="A59" s="144" t="s">
        <v>578</v>
      </c>
      <c r="B59" s="151">
        <v>43633</v>
      </c>
      <c r="C59" t="s">
        <v>664</v>
      </c>
      <c r="D59">
        <v>-206.81</v>
      </c>
      <c r="E59" t="s">
        <v>605</v>
      </c>
      <c r="F59" t="s">
        <v>705</v>
      </c>
      <c r="H59" s="148"/>
      <c r="I59" t="s">
        <v>1089</v>
      </c>
    </row>
    <row r="60" spans="1:9" x14ac:dyDescent="0.2">
      <c r="A60" s="144" t="s">
        <v>578</v>
      </c>
      <c r="B60" s="151">
        <v>43634</v>
      </c>
      <c r="C60" t="s">
        <v>664</v>
      </c>
      <c r="D60">
        <v>464</v>
      </c>
      <c r="E60" t="s">
        <v>595</v>
      </c>
      <c r="F60" t="s">
        <v>680</v>
      </c>
      <c r="G60" s="146"/>
      <c r="H60" s="146"/>
      <c r="I60" t="s">
        <v>1087</v>
      </c>
    </row>
    <row r="61" spans="1:9" x14ac:dyDescent="0.2">
      <c r="A61" s="144" t="s">
        <v>578</v>
      </c>
      <c r="B61" s="151">
        <v>43634</v>
      </c>
      <c r="C61" t="s">
        <v>664</v>
      </c>
      <c r="D61">
        <v>-300</v>
      </c>
      <c r="E61" t="s">
        <v>624</v>
      </c>
      <c r="F61" t="s">
        <v>707</v>
      </c>
      <c r="H61" s="146"/>
      <c r="I61" t="s">
        <v>1087</v>
      </c>
    </row>
    <row r="62" spans="1:9" x14ac:dyDescent="0.2">
      <c r="A62" s="144" t="s">
        <v>578</v>
      </c>
      <c r="B62" s="151">
        <v>43636</v>
      </c>
      <c r="C62" t="s">
        <v>664</v>
      </c>
      <c r="D62">
        <v>-700.95</v>
      </c>
      <c r="E62" t="s">
        <v>594</v>
      </c>
      <c r="F62" t="s">
        <v>793</v>
      </c>
      <c r="H62" s="146" t="s">
        <v>901</v>
      </c>
      <c r="I62" t="s">
        <v>1087</v>
      </c>
    </row>
    <row r="63" spans="1:9" x14ac:dyDescent="0.2">
      <c r="A63" s="144" t="s">
        <v>578</v>
      </c>
      <c r="B63" s="151">
        <v>43636</v>
      </c>
      <c r="C63" t="s">
        <v>664</v>
      </c>
      <c r="D63">
        <v>-31.88</v>
      </c>
      <c r="E63" t="s">
        <v>605</v>
      </c>
      <c r="F63" t="s">
        <v>708</v>
      </c>
      <c r="I63" t="s">
        <v>1087</v>
      </c>
    </row>
    <row r="64" spans="1:9" x14ac:dyDescent="0.2">
      <c r="B64" s="151">
        <v>43637</v>
      </c>
      <c r="C64" t="s">
        <v>664</v>
      </c>
      <c r="D64">
        <v>216.15</v>
      </c>
      <c r="E64" t="s">
        <v>595</v>
      </c>
      <c r="F64" t="s">
        <v>694</v>
      </c>
      <c r="I64" t="s">
        <v>1087</v>
      </c>
    </row>
    <row r="65" spans="1:9" x14ac:dyDescent="0.2">
      <c r="B65" s="151">
        <v>43640</v>
      </c>
      <c r="C65" t="s">
        <v>664</v>
      </c>
      <c r="D65">
        <v>697.5</v>
      </c>
      <c r="E65" t="s">
        <v>794</v>
      </c>
      <c r="F65" t="s">
        <v>795</v>
      </c>
      <c r="H65" s="146" t="s">
        <v>901</v>
      </c>
      <c r="I65" t="s">
        <v>1087</v>
      </c>
    </row>
    <row r="66" spans="1:9" x14ac:dyDescent="0.2">
      <c r="B66" s="151">
        <v>43640</v>
      </c>
      <c r="C66" t="s">
        <v>664</v>
      </c>
      <c r="D66">
        <v>-200</v>
      </c>
      <c r="E66" t="s">
        <v>624</v>
      </c>
      <c r="F66" t="s">
        <v>707</v>
      </c>
      <c r="I66" t="s">
        <v>1087</v>
      </c>
    </row>
    <row r="67" spans="1:9" x14ac:dyDescent="0.2">
      <c r="A67" s="145" t="s">
        <v>578</v>
      </c>
      <c r="B67" s="151">
        <v>43640</v>
      </c>
      <c r="C67" t="s">
        <v>664</v>
      </c>
      <c r="D67">
        <v>-101</v>
      </c>
      <c r="E67" t="s">
        <v>665</v>
      </c>
      <c r="F67" t="s">
        <v>796</v>
      </c>
      <c r="I67" t="s">
        <v>1087</v>
      </c>
    </row>
    <row r="68" spans="1:9" x14ac:dyDescent="0.2">
      <c r="A68" s="145" t="s">
        <v>578</v>
      </c>
      <c r="B68" s="151">
        <v>43640</v>
      </c>
      <c r="C68" t="s">
        <v>664</v>
      </c>
      <c r="D68">
        <v>-30</v>
      </c>
      <c r="E68" t="s">
        <v>594</v>
      </c>
      <c r="F68" t="s">
        <v>797</v>
      </c>
      <c r="I68" t="s">
        <v>1087</v>
      </c>
    </row>
    <row r="69" spans="1:9" x14ac:dyDescent="0.2">
      <c r="A69" s="145" t="s">
        <v>578</v>
      </c>
      <c r="B69" s="151">
        <v>43640</v>
      </c>
      <c r="C69" t="s">
        <v>664</v>
      </c>
      <c r="D69">
        <v>-5</v>
      </c>
      <c r="E69" t="s">
        <v>605</v>
      </c>
      <c r="F69" t="s">
        <v>709</v>
      </c>
      <c r="I69" t="s">
        <v>1087</v>
      </c>
    </row>
    <row r="70" spans="1:9" x14ac:dyDescent="0.2">
      <c r="A70" s="145" t="s">
        <v>578</v>
      </c>
      <c r="B70" s="151">
        <v>43641</v>
      </c>
      <c r="C70" t="s">
        <v>664</v>
      </c>
      <c r="D70">
        <v>-7.4</v>
      </c>
      <c r="E70" t="s">
        <v>594</v>
      </c>
      <c r="F70" t="s">
        <v>798</v>
      </c>
      <c r="I70" t="s">
        <v>1087</v>
      </c>
    </row>
    <row r="71" spans="1:9" x14ac:dyDescent="0.2">
      <c r="B71" s="151">
        <v>43641</v>
      </c>
      <c r="C71" t="s">
        <v>664</v>
      </c>
      <c r="D71">
        <v>-81.2</v>
      </c>
      <c r="E71" t="s">
        <v>594</v>
      </c>
      <c r="F71" t="s">
        <v>799</v>
      </c>
      <c r="I71" t="s">
        <v>1087</v>
      </c>
    </row>
    <row r="72" spans="1:9" x14ac:dyDescent="0.2">
      <c r="B72" s="151">
        <v>43642</v>
      </c>
      <c r="C72" t="s">
        <v>664</v>
      </c>
      <c r="D72">
        <v>140.61000000000001</v>
      </c>
      <c r="E72" t="s">
        <v>595</v>
      </c>
      <c r="F72" t="s">
        <v>693</v>
      </c>
      <c r="I72" t="s">
        <v>1087</v>
      </c>
    </row>
    <row r="73" spans="1:9" x14ac:dyDescent="0.2">
      <c r="B73" s="151">
        <v>43642</v>
      </c>
      <c r="C73" t="s">
        <v>664</v>
      </c>
      <c r="D73">
        <v>-300</v>
      </c>
      <c r="E73" t="s">
        <v>624</v>
      </c>
      <c r="F73" t="s">
        <v>707</v>
      </c>
      <c r="I73" t="s">
        <v>1087</v>
      </c>
    </row>
    <row r="74" spans="1:9" x14ac:dyDescent="0.2">
      <c r="B74" s="151">
        <v>43642</v>
      </c>
      <c r="C74" t="s">
        <v>664</v>
      </c>
      <c r="D74">
        <v>-14.57</v>
      </c>
      <c r="E74" t="s">
        <v>605</v>
      </c>
      <c r="F74" t="s">
        <v>800</v>
      </c>
      <c r="I74" t="s">
        <v>1087</v>
      </c>
    </row>
    <row r="75" spans="1:9" x14ac:dyDescent="0.2">
      <c r="B75" s="151">
        <v>43643</v>
      </c>
      <c r="C75" t="s">
        <v>664</v>
      </c>
      <c r="D75">
        <v>-156</v>
      </c>
      <c r="E75" t="s">
        <v>594</v>
      </c>
      <c r="F75" t="s">
        <v>801</v>
      </c>
      <c r="G75" s="146" t="s">
        <v>486</v>
      </c>
      <c r="H75" s="146" t="s">
        <v>916</v>
      </c>
      <c r="I75" t="s">
        <v>1088</v>
      </c>
    </row>
    <row r="76" spans="1:9" x14ac:dyDescent="0.2">
      <c r="B76" s="151">
        <v>43643</v>
      </c>
      <c r="C76" t="s">
        <v>664</v>
      </c>
      <c r="D76">
        <v>-1200</v>
      </c>
      <c r="E76" t="s">
        <v>597</v>
      </c>
      <c r="F76" t="s">
        <v>710</v>
      </c>
      <c r="I76" t="s">
        <v>1087</v>
      </c>
    </row>
    <row r="77" spans="1:9" x14ac:dyDescent="0.2">
      <c r="B77" s="151">
        <v>43644</v>
      </c>
      <c r="C77" t="s">
        <v>664</v>
      </c>
      <c r="D77">
        <v>-33</v>
      </c>
      <c r="E77" t="s">
        <v>605</v>
      </c>
      <c r="F77" t="s">
        <v>711</v>
      </c>
      <c r="I77" t="s">
        <v>1087</v>
      </c>
    </row>
  </sheetData>
  <autoFilter ref="A1:I77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E89" sqref="E89"/>
    </sheetView>
  </sheetViews>
  <sheetFormatPr defaultRowHeight="12.75" x14ac:dyDescent="0.2"/>
  <cols>
    <col min="1" max="1" width="9.140625" style="144"/>
    <col min="2" max="2" width="10.140625" style="144" bestFit="1" customWidth="1"/>
    <col min="3" max="3" width="17.28515625" style="144" bestFit="1" customWidth="1"/>
    <col min="4" max="4" width="9.140625" style="144"/>
    <col min="5" max="5" width="12.85546875" style="144" customWidth="1"/>
    <col min="6" max="6" width="50.140625" style="144" bestFit="1" customWidth="1"/>
    <col min="7" max="7" width="10.7109375" style="144" bestFit="1" customWidth="1"/>
    <col min="8" max="8" width="25.1406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B2" s="151">
        <v>43619</v>
      </c>
      <c r="C2" t="s">
        <v>656</v>
      </c>
      <c r="D2">
        <v>-21.9</v>
      </c>
      <c r="E2" t="s">
        <v>594</v>
      </c>
      <c r="F2" t="s">
        <v>802</v>
      </c>
    </row>
    <row r="3" spans="1:9" x14ac:dyDescent="0.2">
      <c r="B3" s="151">
        <v>43619</v>
      </c>
      <c r="C3" t="s">
        <v>656</v>
      </c>
      <c r="D3">
        <v>-7.83</v>
      </c>
      <c r="E3" t="s">
        <v>594</v>
      </c>
      <c r="F3" t="s">
        <v>803</v>
      </c>
    </row>
    <row r="4" spans="1:9" x14ac:dyDescent="0.2">
      <c r="B4" s="151">
        <v>43619</v>
      </c>
      <c r="C4" t="s">
        <v>656</v>
      </c>
      <c r="D4">
        <v>-20</v>
      </c>
      <c r="E4" t="s">
        <v>657</v>
      </c>
      <c r="F4" t="s">
        <v>659</v>
      </c>
    </row>
    <row r="5" spans="1:9" x14ac:dyDescent="0.2">
      <c r="B5" s="151">
        <v>43619</v>
      </c>
      <c r="C5" t="s">
        <v>656</v>
      </c>
      <c r="D5">
        <v>-40.450000000000003</v>
      </c>
      <c r="E5" t="s">
        <v>594</v>
      </c>
      <c r="F5" t="s">
        <v>804</v>
      </c>
    </row>
    <row r="6" spans="1:9" x14ac:dyDescent="0.2">
      <c r="B6" s="151">
        <v>43619</v>
      </c>
      <c r="C6" t="s">
        <v>656</v>
      </c>
      <c r="D6">
        <v>-33.979999999999997</v>
      </c>
      <c r="E6" t="s">
        <v>594</v>
      </c>
      <c r="F6" t="s">
        <v>805</v>
      </c>
    </row>
    <row r="7" spans="1:9" x14ac:dyDescent="0.2">
      <c r="B7" s="151">
        <v>43619</v>
      </c>
      <c r="C7" t="s">
        <v>656</v>
      </c>
      <c r="D7">
        <v>-33.22</v>
      </c>
      <c r="E7" t="s">
        <v>594</v>
      </c>
      <c r="F7" t="s">
        <v>806</v>
      </c>
    </row>
    <row r="8" spans="1:9" x14ac:dyDescent="0.2">
      <c r="B8" s="151">
        <v>43619</v>
      </c>
      <c r="C8" t="s">
        <v>656</v>
      </c>
      <c r="D8">
        <v>-32.590000000000003</v>
      </c>
      <c r="E8" t="s">
        <v>594</v>
      </c>
      <c r="F8" t="s">
        <v>807</v>
      </c>
    </row>
    <row r="9" spans="1:9" x14ac:dyDescent="0.2">
      <c r="B9" s="151">
        <v>43620</v>
      </c>
      <c r="C9" t="s">
        <v>656</v>
      </c>
      <c r="D9">
        <v>-19.989999999999998</v>
      </c>
      <c r="E9" t="s">
        <v>594</v>
      </c>
      <c r="F9" t="s">
        <v>808</v>
      </c>
    </row>
    <row r="10" spans="1:9" x14ac:dyDescent="0.2">
      <c r="B10" s="151">
        <v>43620</v>
      </c>
      <c r="C10" t="s">
        <v>656</v>
      </c>
      <c r="D10">
        <v>-19.899999999999999</v>
      </c>
      <c r="E10" t="s">
        <v>594</v>
      </c>
      <c r="F10" t="s">
        <v>809</v>
      </c>
    </row>
    <row r="11" spans="1:9" x14ac:dyDescent="0.2">
      <c r="B11" s="151">
        <v>43620</v>
      </c>
      <c r="C11" t="s">
        <v>656</v>
      </c>
      <c r="D11">
        <v>-16.8</v>
      </c>
      <c r="E11" t="s">
        <v>594</v>
      </c>
      <c r="F11" t="s">
        <v>810</v>
      </c>
    </row>
    <row r="12" spans="1:9" x14ac:dyDescent="0.2">
      <c r="B12" s="151">
        <v>43620</v>
      </c>
      <c r="C12" t="s">
        <v>656</v>
      </c>
      <c r="D12">
        <v>-15</v>
      </c>
      <c r="E12" t="s">
        <v>594</v>
      </c>
      <c r="F12" t="s">
        <v>811</v>
      </c>
    </row>
    <row r="13" spans="1:9" x14ac:dyDescent="0.2">
      <c r="B13" s="151">
        <v>43620</v>
      </c>
      <c r="C13" t="s">
        <v>656</v>
      </c>
      <c r="D13">
        <v>-14.99</v>
      </c>
      <c r="E13" t="s">
        <v>594</v>
      </c>
      <c r="F13" t="s">
        <v>808</v>
      </c>
    </row>
    <row r="14" spans="1:9" x14ac:dyDescent="0.2">
      <c r="B14" s="151">
        <v>43620</v>
      </c>
      <c r="C14" t="s">
        <v>656</v>
      </c>
      <c r="D14">
        <v>-4.0999999999999996</v>
      </c>
      <c r="E14" t="s">
        <v>594</v>
      </c>
      <c r="F14" t="s">
        <v>812</v>
      </c>
    </row>
    <row r="15" spans="1:9" x14ac:dyDescent="0.2">
      <c r="B15" s="151">
        <v>43620</v>
      </c>
      <c r="C15" t="s">
        <v>656</v>
      </c>
      <c r="D15">
        <v>-37.08</v>
      </c>
      <c r="E15" t="s">
        <v>594</v>
      </c>
      <c r="F15" t="s">
        <v>813</v>
      </c>
    </row>
    <row r="16" spans="1:9" x14ac:dyDescent="0.2">
      <c r="B16" s="151">
        <v>43622</v>
      </c>
      <c r="C16" t="s">
        <v>656</v>
      </c>
      <c r="D16">
        <v>-4.4000000000000004</v>
      </c>
      <c r="E16" t="s">
        <v>594</v>
      </c>
      <c r="F16" t="s">
        <v>814</v>
      </c>
    </row>
    <row r="17" spans="2:6" x14ac:dyDescent="0.2">
      <c r="B17" s="151">
        <v>43622</v>
      </c>
      <c r="C17" t="s">
        <v>656</v>
      </c>
      <c r="D17">
        <v>-41.79</v>
      </c>
      <c r="E17" t="s">
        <v>594</v>
      </c>
      <c r="F17" t="s">
        <v>815</v>
      </c>
    </row>
    <row r="18" spans="2:6" x14ac:dyDescent="0.2">
      <c r="B18" s="151">
        <v>43622</v>
      </c>
      <c r="C18" t="s">
        <v>656</v>
      </c>
      <c r="D18">
        <v>-20</v>
      </c>
      <c r="E18" t="s">
        <v>657</v>
      </c>
      <c r="F18" t="s">
        <v>816</v>
      </c>
    </row>
    <row r="19" spans="2:6" x14ac:dyDescent="0.2">
      <c r="B19" s="151">
        <v>43622</v>
      </c>
      <c r="C19" t="s">
        <v>656</v>
      </c>
      <c r="D19">
        <v>-50</v>
      </c>
      <c r="E19" t="s">
        <v>665</v>
      </c>
      <c r="F19" t="s">
        <v>817</v>
      </c>
    </row>
    <row r="20" spans="2:6" x14ac:dyDescent="0.2">
      <c r="B20" s="151">
        <v>43623</v>
      </c>
      <c r="C20" t="s">
        <v>656</v>
      </c>
      <c r="D20">
        <v>-7.15</v>
      </c>
      <c r="E20" t="s">
        <v>594</v>
      </c>
      <c r="F20" t="s">
        <v>818</v>
      </c>
    </row>
    <row r="21" spans="2:6" x14ac:dyDescent="0.2">
      <c r="B21" s="151">
        <v>43623</v>
      </c>
      <c r="C21" t="s">
        <v>656</v>
      </c>
      <c r="D21">
        <v>-2.1</v>
      </c>
      <c r="E21" t="s">
        <v>594</v>
      </c>
      <c r="F21" t="s">
        <v>819</v>
      </c>
    </row>
    <row r="22" spans="2:6" x14ac:dyDescent="0.2">
      <c r="B22" s="151">
        <v>43623</v>
      </c>
      <c r="C22" t="s">
        <v>656</v>
      </c>
      <c r="D22">
        <v>-1.8</v>
      </c>
      <c r="E22" t="s">
        <v>594</v>
      </c>
      <c r="F22" t="s">
        <v>820</v>
      </c>
    </row>
    <row r="23" spans="2:6" x14ac:dyDescent="0.2">
      <c r="B23" s="151">
        <v>43626</v>
      </c>
      <c r="C23" t="s">
        <v>656</v>
      </c>
      <c r="D23">
        <v>-23.5</v>
      </c>
      <c r="E23" t="s">
        <v>594</v>
      </c>
      <c r="F23" t="s">
        <v>821</v>
      </c>
    </row>
    <row r="24" spans="2:6" x14ac:dyDescent="0.2">
      <c r="B24" s="151">
        <v>43626</v>
      </c>
      <c r="C24" t="s">
        <v>656</v>
      </c>
      <c r="D24">
        <v>-23.39</v>
      </c>
      <c r="E24" t="s">
        <v>594</v>
      </c>
      <c r="F24" t="s">
        <v>822</v>
      </c>
    </row>
    <row r="25" spans="2:6" x14ac:dyDescent="0.2">
      <c r="B25" s="151">
        <v>43626</v>
      </c>
      <c r="C25" t="s">
        <v>656</v>
      </c>
      <c r="D25">
        <v>-19.95</v>
      </c>
      <c r="E25" t="s">
        <v>594</v>
      </c>
      <c r="F25" t="s">
        <v>823</v>
      </c>
    </row>
    <row r="26" spans="2:6" x14ac:dyDescent="0.2">
      <c r="B26" s="151">
        <v>43626</v>
      </c>
      <c r="C26" t="s">
        <v>656</v>
      </c>
      <c r="D26">
        <v>-19.28</v>
      </c>
      <c r="E26" t="s">
        <v>594</v>
      </c>
      <c r="F26" t="s">
        <v>824</v>
      </c>
    </row>
    <row r="27" spans="2:6" x14ac:dyDescent="0.2">
      <c r="B27" s="151">
        <v>43626</v>
      </c>
      <c r="C27" t="s">
        <v>656</v>
      </c>
      <c r="D27">
        <v>-8</v>
      </c>
      <c r="E27" t="s">
        <v>594</v>
      </c>
      <c r="F27" t="s">
        <v>825</v>
      </c>
    </row>
    <row r="28" spans="2:6" x14ac:dyDescent="0.2">
      <c r="B28" s="151">
        <v>43626</v>
      </c>
      <c r="C28" t="s">
        <v>656</v>
      </c>
      <c r="D28">
        <v>-7.35</v>
      </c>
      <c r="E28" t="s">
        <v>594</v>
      </c>
      <c r="F28" t="s">
        <v>826</v>
      </c>
    </row>
    <row r="29" spans="2:6" x14ac:dyDescent="0.2">
      <c r="B29" s="151">
        <v>43626</v>
      </c>
      <c r="C29" t="s">
        <v>656</v>
      </c>
      <c r="D29">
        <v>-5.78</v>
      </c>
      <c r="E29" t="s">
        <v>594</v>
      </c>
      <c r="F29" t="s">
        <v>827</v>
      </c>
    </row>
    <row r="30" spans="2:6" x14ac:dyDescent="0.2">
      <c r="B30" s="151">
        <v>43626</v>
      </c>
      <c r="C30" t="s">
        <v>656</v>
      </c>
      <c r="D30">
        <v>-4.1900000000000004</v>
      </c>
      <c r="E30" t="s">
        <v>594</v>
      </c>
      <c r="F30" t="s">
        <v>828</v>
      </c>
    </row>
    <row r="31" spans="2:6" x14ac:dyDescent="0.2">
      <c r="B31" s="151">
        <v>43626</v>
      </c>
      <c r="C31" t="s">
        <v>656</v>
      </c>
      <c r="D31">
        <v>-3.5</v>
      </c>
      <c r="E31" t="s">
        <v>594</v>
      </c>
      <c r="F31" t="s">
        <v>829</v>
      </c>
    </row>
    <row r="32" spans="2:6" x14ac:dyDescent="0.2">
      <c r="B32" s="151">
        <v>43626</v>
      </c>
      <c r="C32" t="s">
        <v>656</v>
      </c>
      <c r="D32">
        <v>-1.29</v>
      </c>
      <c r="E32" t="s">
        <v>594</v>
      </c>
      <c r="F32" t="s">
        <v>828</v>
      </c>
    </row>
    <row r="33" spans="2:8" x14ac:dyDescent="0.2">
      <c r="B33" s="151">
        <v>43626</v>
      </c>
      <c r="C33" t="s">
        <v>656</v>
      </c>
      <c r="D33">
        <v>-40.049999999999997</v>
      </c>
      <c r="E33" t="s">
        <v>594</v>
      </c>
      <c r="F33" t="s">
        <v>830</v>
      </c>
    </row>
    <row r="34" spans="2:8" x14ac:dyDescent="0.2">
      <c r="B34" s="151">
        <v>43626</v>
      </c>
      <c r="C34" t="s">
        <v>656</v>
      </c>
      <c r="D34">
        <v>-4.18</v>
      </c>
      <c r="E34" t="s">
        <v>594</v>
      </c>
      <c r="F34" t="s">
        <v>831</v>
      </c>
    </row>
    <row r="35" spans="2:8" x14ac:dyDescent="0.2">
      <c r="B35" s="151">
        <v>43627</v>
      </c>
      <c r="C35" t="s">
        <v>656</v>
      </c>
      <c r="D35">
        <v>360</v>
      </c>
      <c r="E35" t="s">
        <v>624</v>
      </c>
      <c r="F35" t="s">
        <v>658</v>
      </c>
    </row>
    <row r="36" spans="2:8" x14ac:dyDescent="0.2">
      <c r="B36" s="151">
        <v>43627</v>
      </c>
      <c r="C36" t="s">
        <v>656</v>
      </c>
      <c r="D36">
        <v>-25.64</v>
      </c>
      <c r="E36" t="s">
        <v>594</v>
      </c>
      <c r="F36" t="s">
        <v>832</v>
      </c>
    </row>
    <row r="37" spans="2:8" x14ac:dyDescent="0.2">
      <c r="B37" s="151">
        <v>43627</v>
      </c>
      <c r="C37" t="s">
        <v>656</v>
      </c>
      <c r="D37">
        <v>-52.51</v>
      </c>
      <c r="E37" t="s">
        <v>594</v>
      </c>
      <c r="F37" t="s">
        <v>833</v>
      </c>
    </row>
    <row r="38" spans="2:8" x14ac:dyDescent="0.2">
      <c r="B38" s="151">
        <v>43628</v>
      </c>
      <c r="C38" t="s">
        <v>656</v>
      </c>
      <c r="D38">
        <v>-21.22</v>
      </c>
      <c r="E38" t="s">
        <v>594</v>
      </c>
      <c r="F38" t="s">
        <v>834</v>
      </c>
    </row>
    <row r="39" spans="2:8" x14ac:dyDescent="0.2">
      <c r="B39" s="151">
        <v>43628</v>
      </c>
      <c r="C39" t="s">
        <v>656</v>
      </c>
      <c r="D39">
        <v>-10.63</v>
      </c>
      <c r="E39" t="s">
        <v>594</v>
      </c>
      <c r="F39" t="s">
        <v>835</v>
      </c>
    </row>
    <row r="40" spans="2:8" x14ac:dyDescent="0.2">
      <c r="B40" s="151">
        <v>43628</v>
      </c>
      <c r="C40" t="s">
        <v>656</v>
      </c>
      <c r="D40">
        <v>-7</v>
      </c>
      <c r="E40" t="s">
        <v>594</v>
      </c>
      <c r="F40" t="s">
        <v>836</v>
      </c>
    </row>
    <row r="41" spans="2:8" x14ac:dyDescent="0.2">
      <c r="B41" s="151">
        <v>43628</v>
      </c>
      <c r="C41" t="s">
        <v>656</v>
      </c>
      <c r="D41">
        <v>-6.98</v>
      </c>
      <c r="E41" t="s">
        <v>594</v>
      </c>
      <c r="F41" t="s">
        <v>837</v>
      </c>
    </row>
    <row r="42" spans="2:8" x14ac:dyDescent="0.2">
      <c r="B42" s="151">
        <v>43628</v>
      </c>
      <c r="C42" t="s">
        <v>656</v>
      </c>
      <c r="D42">
        <v>-2.1</v>
      </c>
      <c r="E42" t="s">
        <v>594</v>
      </c>
      <c r="F42" t="s">
        <v>838</v>
      </c>
    </row>
    <row r="43" spans="2:8" x14ac:dyDescent="0.2">
      <c r="B43" s="151">
        <v>43628</v>
      </c>
      <c r="C43" t="s">
        <v>656</v>
      </c>
      <c r="D43">
        <v>-115</v>
      </c>
      <c r="E43" t="s">
        <v>594</v>
      </c>
      <c r="F43" t="s">
        <v>839</v>
      </c>
    </row>
    <row r="44" spans="2:8" x14ac:dyDescent="0.2">
      <c r="B44" s="151">
        <v>43628</v>
      </c>
      <c r="C44" t="s">
        <v>656</v>
      </c>
      <c r="D44">
        <v>-34.83</v>
      </c>
      <c r="E44" t="s">
        <v>594</v>
      </c>
      <c r="F44" t="s">
        <v>840</v>
      </c>
    </row>
    <row r="45" spans="2:8" x14ac:dyDescent="0.2">
      <c r="B45" s="151">
        <v>43629</v>
      </c>
      <c r="C45" t="s">
        <v>656</v>
      </c>
      <c r="D45">
        <v>-11.83</v>
      </c>
      <c r="E45" t="s">
        <v>594</v>
      </c>
      <c r="F45" t="s">
        <v>841</v>
      </c>
    </row>
    <row r="46" spans="2:8" x14ac:dyDescent="0.2">
      <c r="B46" s="151">
        <v>43629</v>
      </c>
      <c r="C46" t="s">
        <v>656</v>
      </c>
      <c r="D46">
        <v>-1.35</v>
      </c>
      <c r="E46" t="s">
        <v>594</v>
      </c>
      <c r="F46" t="s">
        <v>842</v>
      </c>
    </row>
    <row r="47" spans="2:8" x14ac:dyDescent="0.2">
      <c r="B47" s="151">
        <v>43629</v>
      </c>
      <c r="C47" t="s">
        <v>656</v>
      </c>
      <c r="D47">
        <v>-54.99</v>
      </c>
      <c r="E47" t="s">
        <v>594</v>
      </c>
      <c r="F47" t="s">
        <v>843</v>
      </c>
      <c r="H47" s="148"/>
    </row>
    <row r="48" spans="2:8" x14ac:dyDescent="0.2">
      <c r="B48" s="151">
        <v>43629</v>
      </c>
      <c r="C48" t="s">
        <v>656</v>
      </c>
      <c r="D48">
        <v>-39.18</v>
      </c>
      <c r="E48" t="s">
        <v>594</v>
      </c>
      <c r="F48" t="s">
        <v>844</v>
      </c>
    </row>
    <row r="49" spans="2:6" x14ac:dyDescent="0.2">
      <c r="B49" s="151">
        <v>43630</v>
      </c>
      <c r="C49" t="s">
        <v>656</v>
      </c>
      <c r="D49">
        <v>28.99</v>
      </c>
      <c r="E49" t="s">
        <v>794</v>
      </c>
      <c r="F49" t="s">
        <v>845</v>
      </c>
    </row>
    <row r="50" spans="2:6" x14ac:dyDescent="0.2">
      <c r="B50" s="151">
        <v>43630</v>
      </c>
      <c r="C50" t="s">
        <v>656</v>
      </c>
      <c r="D50">
        <v>-28.97</v>
      </c>
      <c r="E50" t="s">
        <v>594</v>
      </c>
      <c r="F50" t="s">
        <v>846</v>
      </c>
    </row>
    <row r="51" spans="2:6" x14ac:dyDescent="0.2">
      <c r="B51" s="151">
        <v>43630</v>
      </c>
      <c r="C51" t="s">
        <v>656</v>
      </c>
      <c r="D51">
        <v>-28.85</v>
      </c>
      <c r="E51" t="s">
        <v>594</v>
      </c>
      <c r="F51" t="s">
        <v>847</v>
      </c>
    </row>
    <row r="52" spans="2:6" x14ac:dyDescent="0.2">
      <c r="B52" s="151">
        <v>43630</v>
      </c>
      <c r="C52" t="s">
        <v>656</v>
      </c>
      <c r="D52">
        <v>-18</v>
      </c>
      <c r="E52" t="s">
        <v>594</v>
      </c>
      <c r="F52" t="s">
        <v>848</v>
      </c>
    </row>
    <row r="53" spans="2:6" x14ac:dyDescent="0.2">
      <c r="B53" s="151">
        <v>43630</v>
      </c>
      <c r="C53" t="s">
        <v>656</v>
      </c>
      <c r="D53">
        <v>-7.94</v>
      </c>
      <c r="E53" t="s">
        <v>594</v>
      </c>
      <c r="F53" t="s">
        <v>849</v>
      </c>
    </row>
    <row r="54" spans="2:6" x14ac:dyDescent="0.2">
      <c r="B54" s="151">
        <v>43630</v>
      </c>
      <c r="C54" t="s">
        <v>656</v>
      </c>
      <c r="D54">
        <v>-4.8</v>
      </c>
      <c r="E54" t="s">
        <v>594</v>
      </c>
      <c r="F54" t="s">
        <v>850</v>
      </c>
    </row>
    <row r="55" spans="2:6" x14ac:dyDescent="0.2">
      <c r="B55" s="151">
        <v>43630</v>
      </c>
      <c r="C55" t="s">
        <v>656</v>
      </c>
      <c r="D55">
        <v>-2.1</v>
      </c>
      <c r="E55" t="s">
        <v>594</v>
      </c>
      <c r="F55" t="s">
        <v>851</v>
      </c>
    </row>
    <row r="56" spans="2:6" x14ac:dyDescent="0.2">
      <c r="B56" s="151">
        <v>43630</v>
      </c>
      <c r="C56" t="s">
        <v>656</v>
      </c>
      <c r="D56">
        <v>-33.5</v>
      </c>
      <c r="E56" t="s">
        <v>594</v>
      </c>
      <c r="F56" t="s">
        <v>852</v>
      </c>
    </row>
    <row r="57" spans="2:6" x14ac:dyDescent="0.2">
      <c r="B57" s="151">
        <v>43633</v>
      </c>
      <c r="C57" t="s">
        <v>656</v>
      </c>
      <c r="D57">
        <v>-19.75</v>
      </c>
      <c r="E57" t="s">
        <v>594</v>
      </c>
      <c r="F57" t="s">
        <v>853</v>
      </c>
    </row>
    <row r="58" spans="2:6" x14ac:dyDescent="0.2">
      <c r="B58" s="151">
        <v>43633</v>
      </c>
      <c r="C58" t="s">
        <v>656</v>
      </c>
      <c r="D58">
        <v>-15.23</v>
      </c>
      <c r="E58" t="s">
        <v>594</v>
      </c>
      <c r="F58" t="s">
        <v>854</v>
      </c>
    </row>
    <row r="59" spans="2:6" x14ac:dyDescent="0.2">
      <c r="B59" s="151">
        <v>43633</v>
      </c>
      <c r="C59" t="s">
        <v>656</v>
      </c>
      <c r="D59">
        <v>-14.45</v>
      </c>
      <c r="E59" t="s">
        <v>594</v>
      </c>
      <c r="F59" t="s">
        <v>855</v>
      </c>
    </row>
    <row r="60" spans="2:6" x14ac:dyDescent="0.2">
      <c r="B60" s="151">
        <v>43633</v>
      </c>
      <c r="C60" t="s">
        <v>656</v>
      </c>
      <c r="D60">
        <v>-12</v>
      </c>
      <c r="E60" t="s">
        <v>657</v>
      </c>
      <c r="F60" t="s">
        <v>663</v>
      </c>
    </row>
    <row r="61" spans="2:6" x14ac:dyDescent="0.2">
      <c r="B61" s="151">
        <v>43633</v>
      </c>
      <c r="C61" t="s">
        <v>656</v>
      </c>
      <c r="D61">
        <v>-64.5</v>
      </c>
      <c r="E61" t="s">
        <v>594</v>
      </c>
      <c r="F61" t="s">
        <v>856</v>
      </c>
    </row>
    <row r="62" spans="2:6" x14ac:dyDescent="0.2">
      <c r="B62" s="151">
        <v>43633</v>
      </c>
      <c r="C62" t="s">
        <v>656</v>
      </c>
      <c r="D62">
        <v>-51.28</v>
      </c>
      <c r="E62" t="s">
        <v>594</v>
      </c>
      <c r="F62" t="s">
        <v>857</v>
      </c>
    </row>
    <row r="63" spans="2:6" x14ac:dyDescent="0.2">
      <c r="B63" s="151">
        <v>43634</v>
      </c>
      <c r="C63" t="s">
        <v>656</v>
      </c>
      <c r="D63">
        <v>300</v>
      </c>
      <c r="E63" t="s">
        <v>624</v>
      </c>
      <c r="F63" t="s">
        <v>658</v>
      </c>
    </row>
    <row r="64" spans="2:6" x14ac:dyDescent="0.2">
      <c r="B64" s="151">
        <v>43634</v>
      </c>
      <c r="C64" t="s">
        <v>656</v>
      </c>
      <c r="D64">
        <v>-19.75</v>
      </c>
      <c r="E64" t="s">
        <v>594</v>
      </c>
      <c r="F64" t="s">
        <v>858</v>
      </c>
    </row>
    <row r="65" spans="2:6" x14ac:dyDescent="0.2">
      <c r="B65" s="151">
        <v>43634</v>
      </c>
      <c r="C65" t="s">
        <v>656</v>
      </c>
      <c r="D65">
        <v>-19.71</v>
      </c>
      <c r="E65" t="s">
        <v>594</v>
      </c>
      <c r="F65" t="s">
        <v>859</v>
      </c>
    </row>
    <row r="66" spans="2:6" x14ac:dyDescent="0.2">
      <c r="B66" s="151">
        <v>43634</v>
      </c>
      <c r="C66" t="s">
        <v>656</v>
      </c>
      <c r="D66">
        <v>-4.5999999999999996</v>
      </c>
      <c r="E66" t="s">
        <v>594</v>
      </c>
      <c r="F66" t="s">
        <v>860</v>
      </c>
    </row>
    <row r="67" spans="2:6" x14ac:dyDescent="0.2">
      <c r="B67" s="151">
        <v>43635</v>
      </c>
      <c r="C67" t="s">
        <v>656</v>
      </c>
      <c r="D67">
        <v>-19.989999999999998</v>
      </c>
      <c r="E67" t="s">
        <v>594</v>
      </c>
      <c r="F67" t="s">
        <v>861</v>
      </c>
    </row>
    <row r="68" spans="2:6" x14ac:dyDescent="0.2">
      <c r="B68" s="151">
        <v>43635</v>
      </c>
      <c r="C68" t="s">
        <v>656</v>
      </c>
      <c r="D68">
        <v>-4.5999999999999996</v>
      </c>
      <c r="E68" t="s">
        <v>594</v>
      </c>
      <c r="F68" t="s">
        <v>862</v>
      </c>
    </row>
    <row r="69" spans="2:6" x14ac:dyDescent="0.2">
      <c r="B69" s="151">
        <v>43635</v>
      </c>
      <c r="C69" t="s">
        <v>656</v>
      </c>
      <c r="D69">
        <v>-28.9</v>
      </c>
      <c r="E69" t="s">
        <v>594</v>
      </c>
      <c r="F69" t="s">
        <v>863</v>
      </c>
    </row>
    <row r="70" spans="2:6" x14ac:dyDescent="0.2">
      <c r="B70" s="151">
        <v>43636</v>
      </c>
      <c r="C70" t="s">
        <v>656</v>
      </c>
      <c r="D70">
        <v>-8.68</v>
      </c>
      <c r="E70" t="s">
        <v>594</v>
      </c>
      <c r="F70" t="s">
        <v>864</v>
      </c>
    </row>
    <row r="71" spans="2:6" x14ac:dyDescent="0.2">
      <c r="B71" s="151">
        <v>43636</v>
      </c>
      <c r="C71" t="s">
        <v>656</v>
      </c>
      <c r="D71">
        <v>-6.45</v>
      </c>
      <c r="E71" t="s">
        <v>594</v>
      </c>
      <c r="F71" t="s">
        <v>865</v>
      </c>
    </row>
    <row r="72" spans="2:6" x14ac:dyDescent="0.2">
      <c r="B72" s="151">
        <v>43636</v>
      </c>
      <c r="C72" t="s">
        <v>656</v>
      </c>
      <c r="D72">
        <v>-3.15</v>
      </c>
      <c r="E72" t="s">
        <v>594</v>
      </c>
      <c r="F72" t="s">
        <v>866</v>
      </c>
    </row>
    <row r="73" spans="2:6" x14ac:dyDescent="0.2">
      <c r="B73" s="151">
        <v>43636</v>
      </c>
      <c r="C73" t="s">
        <v>656</v>
      </c>
      <c r="D73">
        <v>-45.75</v>
      </c>
      <c r="E73" t="s">
        <v>594</v>
      </c>
      <c r="F73" t="s">
        <v>867</v>
      </c>
    </row>
    <row r="74" spans="2:6" x14ac:dyDescent="0.2">
      <c r="B74" s="151">
        <v>43636</v>
      </c>
      <c r="C74" t="s">
        <v>656</v>
      </c>
      <c r="D74">
        <v>-7</v>
      </c>
      <c r="E74" t="s">
        <v>594</v>
      </c>
      <c r="F74" t="s">
        <v>868</v>
      </c>
    </row>
    <row r="75" spans="2:6" x14ac:dyDescent="0.2">
      <c r="B75" s="151">
        <v>43637</v>
      </c>
      <c r="C75" t="s">
        <v>656</v>
      </c>
      <c r="D75">
        <v>-20</v>
      </c>
      <c r="E75" t="s">
        <v>624</v>
      </c>
      <c r="F75" t="s">
        <v>660</v>
      </c>
    </row>
    <row r="76" spans="2:6" x14ac:dyDescent="0.2">
      <c r="B76" s="151">
        <v>43637</v>
      </c>
      <c r="C76" t="s">
        <v>656</v>
      </c>
      <c r="D76">
        <v>-28.5</v>
      </c>
      <c r="E76" t="s">
        <v>594</v>
      </c>
      <c r="F76" t="s">
        <v>869</v>
      </c>
    </row>
    <row r="77" spans="2:6" x14ac:dyDescent="0.2">
      <c r="B77" s="151">
        <v>43637</v>
      </c>
      <c r="C77" t="s">
        <v>656</v>
      </c>
      <c r="D77">
        <v>-12.64</v>
      </c>
      <c r="E77" t="s">
        <v>594</v>
      </c>
      <c r="F77" t="s">
        <v>870</v>
      </c>
    </row>
    <row r="78" spans="2:6" x14ac:dyDescent="0.2">
      <c r="B78" s="151">
        <v>43637</v>
      </c>
      <c r="C78" t="s">
        <v>656</v>
      </c>
      <c r="D78">
        <v>-2.4</v>
      </c>
      <c r="E78" t="s">
        <v>594</v>
      </c>
      <c r="F78" t="s">
        <v>871</v>
      </c>
    </row>
    <row r="79" spans="2:6" x14ac:dyDescent="0.2">
      <c r="B79" s="151">
        <v>43640</v>
      </c>
      <c r="C79" t="s">
        <v>656</v>
      </c>
      <c r="D79">
        <v>200</v>
      </c>
      <c r="E79" t="s">
        <v>624</v>
      </c>
      <c r="F79" t="s">
        <v>658</v>
      </c>
    </row>
    <row r="80" spans="2:6" x14ac:dyDescent="0.2">
      <c r="B80" s="151">
        <v>43640</v>
      </c>
      <c r="C80" t="s">
        <v>656</v>
      </c>
      <c r="D80">
        <v>-16.78</v>
      </c>
      <c r="E80" t="s">
        <v>594</v>
      </c>
      <c r="F80" t="s">
        <v>872</v>
      </c>
    </row>
    <row r="81" spans="2:6" x14ac:dyDescent="0.2">
      <c r="B81" s="151">
        <v>43640</v>
      </c>
      <c r="C81" t="s">
        <v>656</v>
      </c>
      <c r="D81">
        <v>-11.05</v>
      </c>
      <c r="E81" t="s">
        <v>594</v>
      </c>
      <c r="F81" t="s">
        <v>873</v>
      </c>
    </row>
    <row r="82" spans="2:6" x14ac:dyDescent="0.2">
      <c r="B82" s="151">
        <v>43640</v>
      </c>
      <c r="C82" t="s">
        <v>656</v>
      </c>
      <c r="D82">
        <v>-6.44</v>
      </c>
      <c r="E82" t="s">
        <v>594</v>
      </c>
      <c r="F82" t="s">
        <v>874</v>
      </c>
    </row>
    <row r="83" spans="2:6" x14ac:dyDescent="0.2">
      <c r="B83" s="151">
        <v>43640</v>
      </c>
      <c r="C83" t="s">
        <v>656</v>
      </c>
      <c r="D83">
        <v>-5.4</v>
      </c>
      <c r="E83" t="s">
        <v>594</v>
      </c>
      <c r="F83" t="s">
        <v>875</v>
      </c>
    </row>
    <row r="84" spans="2:6" x14ac:dyDescent="0.2">
      <c r="B84" s="151">
        <v>43640</v>
      </c>
      <c r="C84" t="s">
        <v>656</v>
      </c>
      <c r="D84">
        <v>-30</v>
      </c>
      <c r="E84" t="s">
        <v>657</v>
      </c>
      <c r="F84" t="s">
        <v>876</v>
      </c>
    </row>
    <row r="85" spans="2:6" x14ac:dyDescent="0.2">
      <c r="B85" s="151">
        <v>43640</v>
      </c>
      <c r="C85" t="s">
        <v>656</v>
      </c>
      <c r="D85">
        <v>-65.87</v>
      </c>
      <c r="E85" t="s">
        <v>594</v>
      </c>
      <c r="F85" t="s">
        <v>877</v>
      </c>
    </row>
    <row r="86" spans="2:6" x14ac:dyDescent="0.2">
      <c r="B86" s="151">
        <v>43640</v>
      </c>
      <c r="C86" t="s">
        <v>656</v>
      </c>
      <c r="D86">
        <v>-39.99</v>
      </c>
      <c r="E86" t="s">
        <v>594</v>
      </c>
      <c r="F86" t="s">
        <v>878</v>
      </c>
    </row>
    <row r="87" spans="2:6" x14ac:dyDescent="0.2">
      <c r="B87" s="151">
        <v>43640</v>
      </c>
      <c r="C87" t="s">
        <v>656</v>
      </c>
      <c r="D87">
        <v>-4.18</v>
      </c>
      <c r="E87" t="s">
        <v>594</v>
      </c>
      <c r="F87" t="s">
        <v>879</v>
      </c>
    </row>
    <row r="88" spans="2:6" x14ac:dyDescent="0.2">
      <c r="B88" s="151">
        <v>43641</v>
      </c>
      <c r="C88" t="s">
        <v>656</v>
      </c>
      <c r="D88">
        <v>-16.5</v>
      </c>
      <c r="E88" t="s">
        <v>594</v>
      </c>
      <c r="F88" t="s">
        <v>880</v>
      </c>
    </row>
    <row r="89" spans="2:6" x14ac:dyDescent="0.2">
      <c r="B89" s="151">
        <v>43641</v>
      </c>
      <c r="C89" t="s">
        <v>656</v>
      </c>
      <c r="D89">
        <v>-50.98</v>
      </c>
      <c r="E89" t="s">
        <v>594</v>
      </c>
      <c r="F89" t="s">
        <v>881</v>
      </c>
    </row>
    <row r="90" spans="2:6" x14ac:dyDescent="0.2">
      <c r="B90" s="151">
        <v>43642</v>
      </c>
      <c r="C90" t="s">
        <v>656</v>
      </c>
      <c r="D90">
        <v>300</v>
      </c>
      <c r="E90" t="s">
        <v>624</v>
      </c>
      <c r="F90" t="s">
        <v>658</v>
      </c>
    </row>
    <row r="91" spans="2:6" x14ac:dyDescent="0.2">
      <c r="B91" s="151">
        <v>43642</v>
      </c>
      <c r="C91" t="s">
        <v>656</v>
      </c>
      <c r="D91">
        <v>-10</v>
      </c>
      <c r="E91" t="s">
        <v>624</v>
      </c>
      <c r="F91" t="s">
        <v>882</v>
      </c>
    </row>
    <row r="92" spans="2:6" x14ac:dyDescent="0.2">
      <c r="B92" s="151">
        <v>43642</v>
      </c>
      <c r="C92" t="s">
        <v>656</v>
      </c>
      <c r="D92">
        <v>-27.8</v>
      </c>
      <c r="E92" t="s">
        <v>594</v>
      </c>
      <c r="F92" t="s">
        <v>883</v>
      </c>
    </row>
    <row r="93" spans="2:6" x14ac:dyDescent="0.2">
      <c r="B93" s="151">
        <v>43642</v>
      </c>
      <c r="C93" t="s">
        <v>656</v>
      </c>
      <c r="D93">
        <v>-21.91</v>
      </c>
      <c r="E93" t="s">
        <v>594</v>
      </c>
      <c r="F93" t="s">
        <v>884</v>
      </c>
    </row>
    <row r="94" spans="2:6" x14ac:dyDescent="0.2">
      <c r="B94" s="151">
        <v>43642</v>
      </c>
      <c r="C94" t="s">
        <v>656</v>
      </c>
      <c r="D94">
        <v>-5.69</v>
      </c>
      <c r="E94" t="s">
        <v>594</v>
      </c>
      <c r="F94" t="s">
        <v>885</v>
      </c>
    </row>
    <row r="95" spans="2:6" x14ac:dyDescent="0.2">
      <c r="B95" s="151">
        <v>43643</v>
      </c>
      <c r="C95" t="s">
        <v>656</v>
      </c>
      <c r="D95">
        <v>1200</v>
      </c>
      <c r="E95" t="s">
        <v>661</v>
      </c>
      <c r="F95" t="s">
        <v>662</v>
      </c>
    </row>
    <row r="96" spans="2:6" x14ac:dyDescent="0.2">
      <c r="B96" s="151">
        <v>43643</v>
      </c>
      <c r="C96" t="s">
        <v>656</v>
      </c>
      <c r="D96">
        <v>-17.989999999999998</v>
      </c>
      <c r="E96" t="s">
        <v>594</v>
      </c>
      <c r="F96" t="s">
        <v>886</v>
      </c>
    </row>
    <row r="97" spans="2:8" x14ac:dyDescent="0.2">
      <c r="B97" s="151">
        <v>43643</v>
      </c>
      <c r="C97" t="s">
        <v>656</v>
      </c>
      <c r="D97">
        <v>-8.17</v>
      </c>
      <c r="E97" t="s">
        <v>594</v>
      </c>
      <c r="F97" t="s">
        <v>887</v>
      </c>
    </row>
    <row r="98" spans="2:8" x14ac:dyDescent="0.2">
      <c r="B98" s="151">
        <v>43644</v>
      </c>
      <c r="C98" t="s">
        <v>656</v>
      </c>
      <c r="D98">
        <v>-4.75</v>
      </c>
      <c r="E98" t="s">
        <v>594</v>
      </c>
      <c r="F98" t="s">
        <v>888</v>
      </c>
    </row>
    <row r="99" spans="2:8" x14ac:dyDescent="0.2">
      <c r="B99" s="151">
        <v>43644</v>
      </c>
      <c r="C99" t="s">
        <v>656</v>
      </c>
      <c r="D99">
        <v>-3.8</v>
      </c>
      <c r="E99" t="s">
        <v>594</v>
      </c>
      <c r="F99" t="s">
        <v>889</v>
      </c>
    </row>
    <row r="100" spans="2:8" x14ac:dyDescent="0.2">
      <c r="B100" s="151">
        <v>43644</v>
      </c>
      <c r="C100" t="s">
        <v>656</v>
      </c>
      <c r="D100">
        <v>-24</v>
      </c>
      <c r="E100" t="s">
        <v>594</v>
      </c>
      <c r="F100" t="s">
        <v>890</v>
      </c>
      <c r="H100" s="146"/>
    </row>
    <row r="101" spans="2:8" x14ac:dyDescent="0.2">
      <c r="B101" s="151">
        <v>43644</v>
      </c>
      <c r="C101" t="s">
        <v>656</v>
      </c>
      <c r="D101">
        <v>-25.54</v>
      </c>
      <c r="E101" t="s">
        <v>594</v>
      </c>
      <c r="F101" t="s">
        <v>889</v>
      </c>
    </row>
    <row r="102" spans="2:8" x14ac:dyDescent="0.2">
      <c r="B102" s="145"/>
    </row>
    <row r="103" spans="2:8" x14ac:dyDescent="0.2">
      <c r="B103" s="145"/>
    </row>
    <row r="104" spans="2:8" x14ac:dyDescent="0.2">
      <c r="B104" s="145"/>
    </row>
    <row r="105" spans="2:8" x14ac:dyDescent="0.2">
      <c r="B105" s="145"/>
    </row>
    <row r="106" spans="2:8" x14ac:dyDescent="0.2">
      <c r="B106" s="145"/>
    </row>
    <row r="107" spans="2:8" x14ac:dyDescent="0.2">
      <c r="B107" s="145"/>
    </row>
    <row r="108" spans="2:8" x14ac:dyDescent="0.2">
      <c r="B108" s="145"/>
    </row>
    <row r="109" spans="2:8" x14ac:dyDescent="0.2">
      <c r="B109" s="145"/>
    </row>
    <row r="110" spans="2:8" x14ac:dyDescent="0.2">
      <c r="B110" s="145"/>
    </row>
    <row r="111" spans="2:8" x14ac:dyDescent="0.2">
      <c r="B111" s="145"/>
    </row>
    <row r="112" spans="2:8" x14ac:dyDescent="0.2">
      <c r="B112" s="145"/>
    </row>
    <row r="113" spans="2:8" x14ac:dyDescent="0.2">
      <c r="B113" s="145"/>
      <c r="H113" s="146"/>
    </row>
    <row r="114" spans="2:8" x14ac:dyDescent="0.2">
      <c r="B114" s="145"/>
    </row>
    <row r="115" spans="2:8" x14ac:dyDescent="0.2">
      <c r="B115" s="145"/>
    </row>
    <row r="116" spans="2:8" x14ac:dyDescent="0.2">
      <c r="B116" s="145"/>
    </row>
    <row r="117" spans="2:8" x14ac:dyDescent="0.2">
      <c r="B117" s="145"/>
    </row>
    <row r="118" spans="2:8" x14ac:dyDescent="0.2">
      <c r="B118" s="145"/>
    </row>
    <row r="119" spans="2:8" x14ac:dyDescent="0.2">
      <c r="B119" s="145"/>
    </row>
    <row r="120" spans="2:8" x14ac:dyDescent="0.2">
      <c r="B120" s="145"/>
    </row>
    <row r="121" spans="2:8" x14ac:dyDescent="0.2">
      <c r="B121" s="145"/>
    </row>
    <row r="122" spans="2:8" x14ac:dyDescent="0.2">
      <c r="B122" s="145"/>
    </row>
    <row r="123" spans="2:8" x14ac:dyDescent="0.2">
      <c r="B123" s="145"/>
    </row>
    <row r="124" spans="2:8" x14ac:dyDescent="0.2">
      <c r="B124" s="145"/>
    </row>
    <row r="125" spans="2:8" x14ac:dyDescent="0.2">
      <c r="B125" s="145"/>
    </row>
    <row r="126" spans="2:8" x14ac:dyDescent="0.2">
      <c r="B126" s="145"/>
    </row>
    <row r="127" spans="2:8" x14ac:dyDescent="0.2">
      <c r="B127" s="145"/>
    </row>
    <row r="128" spans="2:8" x14ac:dyDescent="0.2">
      <c r="B128" s="145"/>
      <c r="H128" s="146"/>
    </row>
    <row r="129" spans="2:2" x14ac:dyDescent="0.2">
      <c r="B129" s="145"/>
    </row>
    <row r="130" spans="2:2" x14ac:dyDescent="0.2">
      <c r="B130" s="145"/>
    </row>
    <row r="131" spans="2:2" x14ac:dyDescent="0.2">
      <c r="B131" s="145"/>
    </row>
    <row r="132" spans="2:2" x14ac:dyDescent="0.2">
      <c r="B132" s="145"/>
    </row>
    <row r="133" spans="2:2" x14ac:dyDescent="0.2">
      <c r="B133" s="145"/>
    </row>
    <row r="134" spans="2:2" x14ac:dyDescent="0.2">
      <c r="B134" s="145"/>
    </row>
    <row r="135" spans="2:2" x14ac:dyDescent="0.2">
      <c r="B135" s="145"/>
    </row>
    <row r="136" spans="2:2" x14ac:dyDescent="0.2">
      <c r="B136" s="145"/>
    </row>
    <row r="137" spans="2:2" x14ac:dyDescent="0.2">
      <c r="B137" s="145"/>
    </row>
    <row r="138" spans="2:2" x14ac:dyDescent="0.2">
      <c r="B138" s="145"/>
    </row>
    <row r="139" spans="2:2" x14ac:dyDescent="0.2">
      <c r="B139" s="145"/>
    </row>
    <row r="140" spans="2:2" x14ac:dyDescent="0.2">
      <c r="B140" s="145"/>
    </row>
    <row r="141" spans="2:2" x14ac:dyDescent="0.2">
      <c r="B141" s="145"/>
    </row>
    <row r="142" spans="2:2" x14ac:dyDescent="0.2">
      <c r="B142" s="145"/>
    </row>
    <row r="143" spans="2:2" x14ac:dyDescent="0.2">
      <c r="B143" s="145"/>
    </row>
    <row r="144" spans="2:2" x14ac:dyDescent="0.2">
      <c r="B144" s="145"/>
    </row>
    <row r="145" spans="2:2" x14ac:dyDescent="0.2">
      <c r="B145" s="145"/>
    </row>
    <row r="146" spans="2:2" x14ac:dyDescent="0.2">
      <c r="B146" s="145"/>
    </row>
    <row r="147" spans="2:2" x14ac:dyDescent="0.2">
      <c r="B147" s="145"/>
    </row>
    <row r="148" spans="2:2" x14ac:dyDescent="0.2">
      <c r="B148" s="145"/>
    </row>
    <row r="149" spans="2:2" x14ac:dyDescent="0.2">
      <c r="B149" s="145"/>
    </row>
    <row r="150" spans="2:2" x14ac:dyDescent="0.2">
      <c r="B150" s="145"/>
    </row>
    <row r="151" spans="2:2" x14ac:dyDescent="0.2">
      <c r="B151" s="145"/>
    </row>
    <row r="152" spans="2:2" x14ac:dyDescent="0.2">
      <c r="B152" s="145"/>
    </row>
    <row r="153" spans="2:2" x14ac:dyDescent="0.2">
      <c r="B153" s="145"/>
    </row>
    <row r="154" spans="2:2" x14ac:dyDescent="0.2">
      <c r="B154" s="145"/>
    </row>
    <row r="155" spans="2:2" x14ac:dyDescent="0.2">
      <c r="B155" s="145"/>
    </row>
    <row r="156" spans="2:2" x14ac:dyDescent="0.2">
      <c r="B156" s="145"/>
    </row>
    <row r="157" spans="2:2" x14ac:dyDescent="0.2">
      <c r="B157" s="145"/>
    </row>
    <row r="158" spans="2:2" x14ac:dyDescent="0.2">
      <c r="B158" s="145"/>
    </row>
    <row r="159" spans="2:2" x14ac:dyDescent="0.2">
      <c r="B159" s="145"/>
    </row>
    <row r="160" spans="2:2" x14ac:dyDescent="0.2">
      <c r="B160" s="145"/>
    </row>
    <row r="161" spans="2:2" x14ac:dyDescent="0.2">
      <c r="B161" s="145"/>
    </row>
    <row r="162" spans="2:2" x14ac:dyDescent="0.2">
      <c r="B162" s="145"/>
    </row>
    <row r="163" spans="2:2" x14ac:dyDescent="0.2">
      <c r="B163" s="145"/>
    </row>
    <row r="164" spans="2:2" x14ac:dyDescent="0.2">
      <c r="B164" s="145"/>
    </row>
    <row r="165" spans="2:2" x14ac:dyDescent="0.2">
      <c r="B165" s="145"/>
    </row>
    <row r="166" spans="2:2" x14ac:dyDescent="0.2">
      <c r="B166" s="145"/>
    </row>
    <row r="167" spans="2:2" x14ac:dyDescent="0.2">
      <c r="B167" s="145"/>
    </row>
    <row r="168" spans="2:2" x14ac:dyDescent="0.2">
      <c r="B168" s="145"/>
    </row>
    <row r="169" spans="2:2" x14ac:dyDescent="0.2">
      <c r="B169" s="145"/>
    </row>
    <row r="170" spans="2:2" x14ac:dyDescent="0.2">
      <c r="B170" s="145"/>
    </row>
    <row r="171" spans="2:2" x14ac:dyDescent="0.2">
      <c r="B171" s="145"/>
    </row>
    <row r="172" spans="2:2" x14ac:dyDescent="0.2">
      <c r="B172" s="145"/>
    </row>
    <row r="173" spans="2:2" x14ac:dyDescent="0.2">
      <c r="B173" s="145"/>
    </row>
    <row r="174" spans="2:2" x14ac:dyDescent="0.2">
      <c r="B174" s="145"/>
    </row>
    <row r="175" spans="2:2" x14ac:dyDescent="0.2">
      <c r="B175" s="145"/>
    </row>
    <row r="176" spans="2:2" x14ac:dyDescent="0.2">
      <c r="B176" s="145"/>
    </row>
    <row r="177" spans="2:2" x14ac:dyDescent="0.2">
      <c r="B177" s="145"/>
    </row>
    <row r="178" spans="2:2" x14ac:dyDescent="0.2">
      <c r="B178" s="145"/>
    </row>
    <row r="179" spans="2:2" x14ac:dyDescent="0.2">
      <c r="B179" s="145"/>
    </row>
    <row r="180" spans="2:2" x14ac:dyDescent="0.2">
      <c r="B180" s="145"/>
    </row>
    <row r="181" spans="2:2" x14ac:dyDescent="0.2">
      <c r="B181" s="145"/>
    </row>
    <row r="182" spans="2:2" x14ac:dyDescent="0.2">
      <c r="B182" s="145"/>
    </row>
    <row r="183" spans="2:2" x14ac:dyDescent="0.2">
      <c r="B183" s="145"/>
    </row>
    <row r="184" spans="2:2" x14ac:dyDescent="0.2">
      <c r="B184" s="145"/>
    </row>
    <row r="185" spans="2:2" x14ac:dyDescent="0.2">
      <c r="B185" s="145"/>
    </row>
  </sheetData>
  <autoFilter ref="A1:I135" xr:uid="{7607D0D1-EE28-41D3-A21A-58034E62A422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2" sqref="A2:H202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577</v>
      </c>
    </row>
    <row r="2" spans="1:10" x14ac:dyDescent="0.2">
      <c r="A2" t="s">
        <v>480</v>
      </c>
      <c r="B2">
        <v>612825</v>
      </c>
      <c r="C2" s="67">
        <v>43620.65347222222</v>
      </c>
      <c r="D2" t="s">
        <v>921</v>
      </c>
      <c r="F2">
        <v>0</v>
      </c>
      <c r="G2">
        <v>0</v>
      </c>
      <c r="H2">
        <v>274.35000000000002</v>
      </c>
      <c r="J2" t="s">
        <v>1092</v>
      </c>
    </row>
    <row r="3" spans="1:10" x14ac:dyDescent="0.2">
      <c r="A3" t="s">
        <v>480</v>
      </c>
      <c r="B3">
        <v>612825</v>
      </c>
      <c r="C3" s="67">
        <v>43620.65347222222</v>
      </c>
      <c r="D3" t="s">
        <v>922</v>
      </c>
      <c r="E3" t="s">
        <v>923</v>
      </c>
      <c r="F3">
        <v>202504</v>
      </c>
      <c r="G3">
        <v>19.75</v>
      </c>
      <c r="H3">
        <v>0</v>
      </c>
      <c r="J3" t="s">
        <v>1093</v>
      </c>
    </row>
    <row r="4" spans="1:10" x14ac:dyDescent="0.2">
      <c r="A4" t="s">
        <v>480</v>
      </c>
      <c r="B4">
        <v>613096</v>
      </c>
      <c r="C4" s="67">
        <v>43620.706250000003</v>
      </c>
      <c r="D4" t="s">
        <v>924</v>
      </c>
      <c r="E4" t="s">
        <v>925</v>
      </c>
      <c r="F4">
        <v>168528</v>
      </c>
      <c r="G4">
        <v>248.6</v>
      </c>
      <c r="H4">
        <v>0</v>
      </c>
      <c r="J4" t="s">
        <v>1094</v>
      </c>
    </row>
    <row r="5" spans="1:10" x14ac:dyDescent="0.2">
      <c r="A5" t="s">
        <v>480</v>
      </c>
      <c r="B5">
        <v>619146</v>
      </c>
      <c r="C5" s="67">
        <v>43644.024305555555</v>
      </c>
      <c r="D5" t="s">
        <v>926</v>
      </c>
      <c r="E5" t="s">
        <v>923</v>
      </c>
      <c r="F5">
        <v>206003</v>
      </c>
      <c r="G5">
        <v>6</v>
      </c>
      <c r="H5">
        <v>0</v>
      </c>
      <c r="J5" t="s">
        <v>1095</v>
      </c>
    </row>
    <row r="6" spans="1:10" x14ac:dyDescent="0.2">
      <c r="A6" t="s">
        <v>482</v>
      </c>
      <c r="B6">
        <v>611980</v>
      </c>
      <c r="C6" s="67">
        <v>43617.504861111112</v>
      </c>
      <c r="D6" t="s">
        <v>927</v>
      </c>
      <c r="F6">
        <v>0</v>
      </c>
      <c r="G6">
        <v>0</v>
      </c>
      <c r="H6">
        <v>720</v>
      </c>
      <c r="J6" t="s">
        <v>1092</v>
      </c>
    </row>
    <row r="7" spans="1:10" x14ac:dyDescent="0.2">
      <c r="A7" t="s">
        <v>482</v>
      </c>
      <c r="B7">
        <v>611980</v>
      </c>
      <c r="C7" s="67">
        <v>43617.504861111112</v>
      </c>
      <c r="D7" t="s">
        <v>928</v>
      </c>
      <c r="E7" t="s">
        <v>923</v>
      </c>
      <c r="F7">
        <v>202285</v>
      </c>
      <c r="G7">
        <v>51.84</v>
      </c>
      <c r="H7">
        <v>0</v>
      </c>
      <c r="J7" t="s">
        <v>1093</v>
      </c>
    </row>
    <row r="8" spans="1:10" x14ac:dyDescent="0.2">
      <c r="A8" t="s">
        <v>482</v>
      </c>
      <c r="B8">
        <v>612063</v>
      </c>
      <c r="C8" s="67">
        <v>43617.511111111111</v>
      </c>
      <c r="D8" s="47" t="s">
        <v>929</v>
      </c>
      <c r="E8" t="s">
        <v>925</v>
      </c>
      <c r="F8">
        <v>168370</v>
      </c>
      <c r="G8">
        <v>662.16</v>
      </c>
      <c r="H8">
        <v>0</v>
      </c>
      <c r="J8" t="s">
        <v>1094</v>
      </c>
    </row>
    <row r="9" spans="1:10" x14ac:dyDescent="0.2">
      <c r="A9" t="s">
        <v>482</v>
      </c>
      <c r="B9">
        <v>619146</v>
      </c>
      <c r="C9" s="67">
        <v>43644.024305555555</v>
      </c>
      <c r="D9" t="s">
        <v>930</v>
      </c>
      <c r="E9" t="s">
        <v>923</v>
      </c>
      <c r="F9">
        <v>206051</v>
      </c>
      <c r="G9">
        <v>6</v>
      </c>
      <c r="H9">
        <v>0</v>
      </c>
      <c r="J9" t="s">
        <v>1095</v>
      </c>
    </row>
    <row r="10" spans="1:10" x14ac:dyDescent="0.2">
      <c r="A10" t="s">
        <v>486</v>
      </c>
      <c r="B10">
        <v>613903</v>
      </c>
      <c r="C10" s="67">
        <v>43623.531944444447</v>
      </c>
      <c r="D10" t="s">
        <v>931</v>
      </c>
      <c r="F10">
        <v>0</v>
      </c>
      <c r="G10">
        <v>0</v>
      </c>
      <c r="H10">
        <v>505</v>
      </c>
      <c r="J10" t="s">
        <v>1092</v>
      </c>
    </row>
    <row r="11" spans="1:10" x14ac:dyDescent="0.2">
      <c r="A11" t="s">
        <v>486</v>
      </c>
      <c r="B11">
        <v>613903</v>
      </c>
      <c r="C11" s="67">
        <v>43623.531944444447</v>
      </c>
      <c r="D11" t="s">
        <v>932</v>
      </c>
      <c r="E11" t="s">
        <v>923</v>
      </c>
      <c r="F11">
        <v>203028</v>
      </c>
      <c r="G11">
        <v>36.36</v>
      </c>
      <c r="H11">
        <v>0</v>
      </c>
      <c r="J11" t="s">
        <v>1093</v>
      </c>
    </row>
    <row r="12" spans="1:10" x14ac:dyDescent="0.2">
      <c r="A12" t="s">
        <v>486</v>
      </c>
      <c r="B12">
        <v>613916</v>
      </c>
      <c r="C12" s="67">
        <v>43623.539583333331</v>
      </c>
      <c r="D12" t="s">
        <v>933</v>
      </c>
      <c r="E12" t="s">
        <v>925</v>
      </c>
      <c r="F12">
        <v>169030</v>
      </c>
      <c r="G12">
        <v>462.64</v>
      </c>
      <c r="H12">
        <v>0</v>
      </c>
      <c r="J12" t="s">
        <v>1094</v>
      </c>
    </row>
    <row r="13" spans="1:10" x14ac:dyDescent="0.2">
      <c r="A13" t="s">
        <v>486</v>
      </c>
      <c r="B13">
        <v>619146</v>
      </c>
      <c r="C13" s="67">
        <v>43644.024305555555</v>
      </c>
      <c r="D13" t="s">
        <v>934</v>
      </c>
      <c r="E13" t="s">
        <v>923</v>
      </c>
      <c r="F13">
        <v>206170</v>
      </c>
      <c r="G13">
        <v>6</v>
      </c>
      <c r="H13">
        <v>0</v>
      </c>
      <c r="J13" t="s">
        <v>1095</v>
      </c>
    </row>
    <row r="14" spans="1:10" x14ac:dyDescent="0.2">
      <c r="A14" t="s">
        <v>491</v>
      </c>
      <c r="B14">
        <v>615306</v>
      </c>
      <c r="C14" s="67">
        <v>43628.644444444442</v>
      </c>
      <c r="D14" t="s">
        <v>935</v>
      </c>
      <c r="F14">
        <v>0</v>
      </c>
      <c r="G14">
        <v>0</v>
      </c>
      <c r="H14">
        <v>500</v>
      </c>
      <c r="J14" t="s">
        <v>1092</v>
      </c>
    </row>
    <row r="15" spans="1:10" x14ac:dyDescent="0.2">
      <c r="A15" t="s">
        <v>491</v>
      </c>
      <c r="B15">
        <v>615306</v>
      </c>
      <c r="C15" s="67">
        <v>43628.644444444442</v>
      </c>
      <c r="D15" t="s">
        <v>936</v>
      </c>
      <c r="E15" t="s">
        <v>923</v>
      </c>
      <c r="F15">
        <v>203464</v>
      </c>
      <c r="G15">
        <v>36</v>
      </c>
      <c r="H15">
        <v>0</v>
      </c>
      <c r="J15" t="s">
        <v>1093</v>
      </c>
    </row>
    <row r="16" spans="1:10" x14ac:dyDescent="0.2">
      <c r="A16" t="s">
        <v>491</v>
      </c>
      <c r="B16">
        <v>615322</v>
      </c>
      <c r="C16" s="67">
        <v>43628.65347222222</v>
      </c>
      <c r="D16" t="s">
        <v>937</v>
      </c>
      <c r="E16" t="s">
        <v>925</v>
      </c>
      <c r="F16">
        <v>169466</v>
      </c>
      <c r="G16">
        <v>458</v>
      </c>
      <c r="H16">
        <v>0</v>
      </c>
      <c r="J16" t="s">
        <v>1094</v>
      </c>
    </row>
    <row r="17" spans="1:10" x14ac:dyDescent="0.2">
      <c r="A17" t="s">
        <v>491</v>
      </c>
      <c r="B17">
        <v>615887</v>
      </c>
      <c r="C17" s="67">
        <v>43630.656944444447</v>
      </c>
      <c r="D17" t="s">
        <v>938</v>
      </c>
      <c r="F17">
        <v>0</v>
      </c>
      <c r="G17">
        <v>0</v>
      </c>
      <c r="H17">
        <v>500</v>
      </c>
      <c r="J17" t="s">
        <v>1092</v>
      </c>
    </row>
    <row r="18" spans="1:10" x14ac:dyDescent="0.2">
      <c r="A18" t="s">
        <v>491</v>
      </c>
      <c r="B18">
        <v>615887</v>
      </c>
      <c r="C18" s="67">
        <v>43630.656944444447</v>
      </c>
      <c r="D18" t="s">
        <v>936</v>
      </c>
      <c r="E18" t="s">
        <v>923</v>
      </c>
      <c r="F18">
        <v>203582</v>
      </c>
      <c r="G18">
        <v>36</v>
      </c>
      <c r="H18">
        <v>0</v>
      </c>
      <c r="J18" t="s">
        <v>1093</v>
      </c>
    </row>
    <row r="19" spans="1:10" x14ac:dyDescent="0.2">
      <c r="A19" t="s">
        <v>491</v>
      </c>
      <c r="B19">
        <v>615898</v>
      </c>
      <c r="C19" s="67">
        <v>43630.657638888886</v>
      </c>
      <c r="D19" t="s">
        <v>937</v>
      </c>
      <c r="E19" t="s">
        <v>925</v>
      </c>
      <c r="F19">
        <v>169735</v>
      </c>
      <c r="G19">
        <v>464</v>
      </c>
      <c r="H19">
        <v>0</v>
      </c>
      <c r="J19" t="s">
        <v>1094</v>
      </c>
    </row>
    <row r="20" spans="1:10" x14ac:dyDescent="0.2">
      <c r="A20" t="s">
        <v>491</v>
      </c>
      <c r="B20">
        <v>619146</v>
      </c>
      <c r="C20" s="67">
        <v>43644.024305555555</v>
      </c>
      <c r="D20" t="s">
        <v>939</v>
      </c>
      <c r="E20" t="s">
        <v>923</v>
      </c>
      <c r="F20">
        <v>206103</v>
      </c>
      <c r="G20">
        <v>6</v>
      </c>
      <c r="H20">
        <v>0</v>
      </c>
      <c r="J20" t="s">
        <v>1095</v>
      </c>
    </row>
    <row r="21" spans="1:10" x14ac:dyDescent="0.2">
      <c r="A21" t="s">
        <v>493</v>
      </c>
      <c r="B21">
        <v>613053</v>
      </c>
      <c r="C21" s="67">
        <v>43620.691666666666</v>
      </c>
      <c r="D21" t="s">
        <v>940</v>
      </c>
      <c r="F21">
        <v>0</v>
      </c>
      <c r="G21">
        <v>0</v>
      </c>
      <c r="H21">
        <v>380.17</v>
      </c>
      <c r="J21" t="s">
        <v>1092</v>
      </c>
    </row>
    <row r="22" spans="1:10" x14ac:dyDescent="0.2">
      <c r="A22" t="s">
        <v>493</v>
      </c>
      <c r="B22">
        <v>613053</v>
      </c>
      <c r="C22" s="67">
        <v>43620.691666666666</v>
      </c>
      <c r="D22" t="s">
        <v>941</v>
      </c>
      <c r="E22" t="s">
        <v>923</v>
      </c>
      <c r="F22">
        <v>202714</v>
      </c>
      <c r="G22">
        <v>27.37</v>
      </c>
      <c r="H22">
        <v>0</v>
      </c>
      <c r="J22" t="s">
        <v>1093</v>
      </c>
    </row>
    <row r="23" spans="1:10" x14ac:dyDescent="0.2">
      <c r="A23" t="s">
        <v>493</v>
      </c>
      <c r="B23">
        <v>613053</v>
      </c>
      <c r="C23" s="67">
        <v>43620.691666666666</v>
      </c>
      <c r="D23" t="s">
        <v>942</v>
      </c>
      <c r="F23">
        <v>0</v>
      </c>
      <c r="G23">
        <v>0</v>
      </c>
      <c r="H23">
        <v>99.95</v>
      </c>
      <c r="J23" t="s">
        <v>1092</v>
      </c>
    </row>
    <row r="24" spans="1:10" x14ac:dyDescent="0.2">
      <c r="A24" t="s">
        <v>493</v>
      </c>
      <c r="B24">
        <v>613053</v>
      </c>
      <c r="C24" s="67">
        <v>43620.691666666666</v>
      </c>
      <c r="D24" t="s">
        <v>941</v>
      </c>
      <c r="E24" t="s">
        <v>923</v>
      </c>
      <c r="F24">
        <v>202714</v>
      </c>
      <c r="G24">
        <v>7.2</v>
      </c>
      <c r="H24">
        <v>0</v>
      </c>
      <c r="J24" t="s">
        <v>1093</v>
      </c>
    </row>
    <row r="25" spans="1:10" x14ac:dyDescent="0.2">
      <c r="A25" t="s">
        <v>493</v>
      </c>
      <c r="B25">
        <v>613096</v>
      </c>
      <c r="C25" s="67">
        <v>43620.706250000003</v>
      </c>
      <c r="D25" t="s">
        <v>943</v>
      </c>
      <c r="E25" t="s">
        <v>925</v>
      </c>
      <c r="F25">
        <v>168746</v>
      </c>
      <c r="G25">
        <v>439.55</v>
      </c>
      <c r="H25">
        <v>0</v>
      </c>
      <c r="J25" t="s">
        <v>1094</v>
      </c>
    </row>
    <row r="26" spans="1:10" x14ac:dyDescent="0.2">
      <c r="A26" t="s">
        <v>493</v>
      </c>
      <c r="B26">
        <v>619146</v>
      </c>
      <c r="C26" s="67">
        <v>43644.024305555555</v>
      </c>
      <c r="D26" t="s">
        <v>944</v>
      </c>
      <c r="E26" t="s">
        <v>923</v>
      </c>
      <c r="F26">
        <v>205884</v>
      </c>
      <c r="G26">
        <v>6</v>
      </c>
      <c r="H26">
        <v>0</v>
      </c>
      <c r="J26" t="s">
        <v>1095</v>
      </c>
    </row>
    <row r="27" spans="1:10" x14ac:dyDescent="0.2">
      <c r="A27" t="s">
        <v>494</v>
      </c>
      <c r="B27">
        <v>613063</v>
      </c>
      <c r="C27" s="67">
        <v>43620.691666666666</v>
      </c>
      <c r="D27" t="s">
        <v>945</v>
      </c>
      <c r="F27">
        <v>0</v>
      </c>
      <c r="G27">
        <v>0</v>
      </c>
      <c r="H27">
        <v>300.8</v>
      </c>
      <c r="J27" t="s">
        <v>1092</v>
      </c>
    </row>
    <row r="28" spans="1:10" x14ac:dyDescent="0.2">
      <c r="A28" t="s">
        <v>494</v>
      </c>
      <c r="B28">
        <v>613063</v>
      </c>
      <c r="C28" s="67">
        <v>43620.691666666666</v>
      </c>
      <c r="D28" t="s">
        <v>946</v>
      </c>
      <c r="E28" t="s">
        <v>923</v>
      </c>
      <c r="F28">
        <v>202724</v>
      </c>
      <c r="G28">
        <v>21.66</v>
      </c>
      <c r="H28">
        <v>0</v>
      </c>
      <c r="J28" t="s">
        <v>1093</v>
      </c>
    </row>
    <row r="29" spans="1:10" x14ac:dyDescent="0.2">
      <c r="A29" t="s">
        <v>494</v>
      </c>
      <c r="B29">
        <v>613096</v>
      </c>
      <c r="C29" s="67">
        <v>43620.706250000003</v>
      </c>
      <c r="D29" t="s">
        <v>947</v>
      </c>
      <c r="E29" t="s">
        <v>925</v>
      </c>
      <c r="F29">
        <v>168756</v>
      </c>
      <c r="G29">
        <v>273.14</v>
      </c>
      <c r="H29">
        <v>0</v>
      </c>
      <c r="J29" t="s">
        <v>1094</v>
      </c>
    </row>
    <row r="30" spans="1:10" x14ac:dyDescent="0.2">
      <c r="A30" t="s">
        <v>494</v>
      </c>
      <c r="B30">
        <v>618222</v>
      </c>
      <c r="C30" s="67">
        <v>43640.638888888891</v>
      </c>
      <c r="D30" t="s">
        <v>948</v>
      </c>
      <c r="F30">
        <v>0</v>
      </c>
      <c r="G30">
        <v>0</v>
      </c>
      <c r="H30">
        <v>151.52000000000001</v>
      </c>
      <c r="J30" t="s">
        <v>1092</v>
      </c>
    </row>
    <row r="31" spans="1:10" x14ac:dyDescent="0.2">
      <c r="A31" t="s">
        <v>494</v>
      </c>
      <c r="B31">
        <v>618222</v>
      </c>
      <c r="C31" s="67">
        <v>43640.638888888891</v>
      </c>
      <c r="D31" s="47" t="s">
        <v>946</v>
      </c>
      <c r="E31" t="s">
        <v>923</v>
      </c>
      <c r="F31">
        <v>204315</v>
      </c>
      <c r="G31">
        <v>10.91</v>
      </c>
      <c r="H31">
        <v>0</v>
      </c>
      <c r="J31" t="s">
        <v>1093</v>
      </c>
    </row>
    <row r="32" spans="1:10" x14ac:dyDescent="0.2">
      <c r="A32" t="s">
        <v>494</v>
      </c>
      <c r="B32">
        <v>618231</v>
      </c>
      <c r="C32" s="67">
        <v>43640.647222222222</v>
      </c>
      <c r="D32" t="s">
        <v>947</v>
      </c>
      <c r="E32" t="s">
        <v>925</v>
      </c>
      <c r="F32">
        <v>170446</v>
      </c>
      <c r="G32">
        <v>140.61000000000001</v>
      </c>
      <c r="H32">
        <v>0</v>
      </c>
      <c r="J32" t="s">
        <v>1094</v>
      </c>
    </row>
    <row r="33" spans="1:10" x14ac:dyDescent="0.2">
      <c r="A33" t="s">
        <v>494</v>
      </c>
      <c r="B33">
        <v>619146</v>
      </c>
      <c r="C33" s="67">
        <v>43644.024305555555</v>
      </c>
      <c r="D33" t="s">
        <v>949</v>
      </c>
      <c r="E33" t="s">
        <v>923</v>
      </c>
      <c r="F33">
        <v>205887</v>
      </c>
      <c r="G33">
        <v>6</v>
      </c>
      <c r="H33">
        <v>0</v>
      </c>
      <c r="J33" t="s">
        <v>1095</v>
      </c>
    </row>
    <row r="34" spans="1:10" x14ac:dyDescent="0.2">
      <c r="A34" t="s">
        <v>499</v>
      </c>
      <c r="B34">
        <v>613044</v>
      </c>
      <c r="C34" s="67">
        <v>43620.691666666666</v>
      </c>
      <c r="D34" t="s">
        <v>950</v>
      </c>
      <c r="F34">
        <v>0</v>
      </c>
      <c r="G34">
        <v>0</v>
      </c>
      <c r="H34">
        <v>383.6</v>
      </c>
      <c r="J34" t="s">
        <v>1092</v>
      </c>
    </row>
    <row r="35" spans="1:10" x14ac:dyDescent="0.2">
      <c r="A35" t="s">
        <v>499</v>
      </c>
      <c r="B35">
        <v>613044</v>
      </c>
      <c r="C35" s="67">
        <v>43620.691666666666</v>
      </c>
      <c r="D35" t="s">
        <v>951</v>
      </c>
      <c r="E35" t="s">
        <v>923</v>
      </c>
      <c r="F35">
        <v>202705</v>
      </c>
      <c r="G35">
        <v>27.62</v>
      </c>
      <c r="H35">
        <v>0</v>
      </c>
      <c r="J35" t="s">
        <v>1093</v>
      </c>
    </row>
    <row r="36" spans="1:10" x14ac:dyDescent="0.2">
      <c r="A36" t="s">
        <v>499</v>
      </c>
      <c r="B36">
        <v>613044</v>
      </c>
      <c r="C36" s="67">
        <v>43620.691666666666</v>
      </c>
      <c r="D36" t="s">
        <v>952</v>
      </c>
      <c r="F36">
        <v>0</v>
      </c>
      <c r="G36">
        <v>0</v>
      </c>
      <c r="H36">
        <v>77.92</v>
      </c>
      <c r="J36" t="s">
        <v>1092</v>
      </c>
    </row>
    <row r="37" spans="1:10" x14ac:dyDescent="0.2">
      <c r="A37" t="s">
        <v>499</v>
      </c>
      <c r="B37">
        <v>613044</v>
      </c>
      <c r="C37" s="67">
        <v>43620.691666666666</v>
      </c>
      <c r="D37" t="s">
        <v>951</v>
      </c>
      <c r="E37" t="s">
        <v>923</v>
      </c>
      <c r="F37">
        <v>202705</v>
      </c>
      <c r="G37">
        <v>5.62</v>
      </c>
      <c r="H37">
        <v>0</v>
      </c>
      <c r="J37" t="s">
        <v>1093</v>
      </c>
    </row>
    <row r="38" spans="1:10" x14ac:dyDescent="0.2">
      <c r="A38" t="s">
        <v>499</v>
      </c>
      <c r="B38">
        <v>613096</v>
      </c>
      <c r="C38" s="67">
        <v>43620.706250000003</v>
      </c>
      <c r="D38" t="s">
        <v>953</v>
      </c>
      <c r="E38" t="s">
        <v>925</v>
      </c>
      <c r="F38">
        <v>168737</v>
      </c>
      <c r="G38">
        <v>422.28</v>
      </c>
      <c r="H38">
        <v>0</v>
      </c>
      <c r="J38" t="s">
        <v>1094</v>
      </c>
    </row>
    <row r="39" spans="1:10" x14ac:dyDescent="0.2">
      <c r="A39" t="s">
        <v>499</v>
      </c>
      <c r="B39">
        <v>619146</v>
      </c>
      <c r="C39" s="67">
        <v>43644.024305555555</v>
      </c>
      <c r="D39" t="s">
        <v>954</v>
      </c>
      <c r="E39" t="s">
        <v>923</v>
      </c>
      <c r="F39">
        <v>205883</v>
      </c>
      <c r="G39">
        <v>6</v>
      </c>
      <c r="H39">
        <v>0</v>
      </c>
      <c r="J39" t="s">
        <v>1095</v>
      </c>
    </row>
    <row r="40" spans="1:10" x14ac:dyDescent="0.2">
      <c r="A40" t="s">
        <v>501</v>
      </c>
      <c r="B40">
        <v>613899</v>
      </c>
      <c r="C40" s="67">
        <v>43623.531944444447</v>
      </c>
      <c r="D40" t="s">
        <v>955</v>
      </c>
      <c r="F40">
        <v>0</v>
      </c>
      <c r="G40">
        <v>0</v>
      </c>
      <c r="H40">
        <v>600</v>
      </c>
      <c r="J40" t="s">
        <v>1092</v>
      </c>
    </row>
    <row r="41" spans="1:10" x14ac:dyDescent="0.2">
      <c r="A41" t="s">
        <v>501</v>
      </c>
      <c r="B41">
        <v>613899</v>
      </c>
      <c r="C41" s="67">
        <v>43623.531944444447</v>
      </c>
      <c r="D41" t="s">
        <v>956</v>
      </c>
      <c r="E41" t="s">
        <v>923</v>
      </c>
      <c r="F41">
        <v>203024</v>
      </c>
      <c r="G41">
        <v>43.2</v>
      </c>
      <c r="H41">
        <v>0</v>
      </c>
      <c r="J41" t="s">
        <v>1093</v>
      </c>
    </row>
    <row r="42" spans="1:10" x14ac:dyDescent="0.2">
      <c r="A42" t="s">
        <v>501</v>
      </c>
      <c r="B42">
        <v>613916</v>
      </c>
      <c r="C42" s="67">
        <v>43623.539583333331</v>
      </c>
      <c r="D42" t="s">
        <v>957</v>
      </c>
      <c r="E42" t="s">
        <v>925</v>
      </c>
      <c r="F42">
        <v>169026</v>
      </c>
      <c r="G42">
        <v>550.79999999999995</v>
      </c>
      <c r="H42">
        <v>0</v>
      </c>
      <c r="J42" t="s">
        <v>1094</v>
      </c>
    </row>
    <row r="43" spans="1:10" x14ac:dyDescent="0.2">
      <c r="A43" t="s">
        <v>501</v>
      </c>
      <c r="B43">
        <v>619146</v>
      </c>
      <c r="C43" s="67">
        <v>43644.024305555555</v>
      </c>
      <c r="D43" t="s">
        <v>958</v>
      </c>
      <c r="E43" t="s">
        <v>923</v>
      </c>
      <c r="F43">
        <v>205952</v>
      </c>
      <c r="G43">
        <v>6</v>
      </c>
      <c r="H43">
        <v>0</v>
      </c>
      <c r="J43" t="s">
        <v>1095</v>
      </c>
    </row>
    <row r="44" spans="1:10" x14ac:dyDescent="0.2">
      <c r="A44" t="s">
        <v>503</v>
      </c>
      <c r="B44">
        <v>613070</v>
      </c>
      <c r="C44" s="67">
        <v>43620.691666666666</v>
      </c>
      <c r="D44" t="s">
        <v>959</v>
      </c>
      <c r="F44">
        <v>0</v>
      </c>
      <c r="G44">
        <v>0</v>
      </c>
      <c r="H44">
        <v>288.8</v>
      </c>
      <c r="J44" t="s">
        <v>1092</v>
      </c>
    </row>
    <row r="45" spans="1:10" x14ac:dyDescent="0.2">
      <c r="A45" t="s">
        <v>503</v>
      </c>
      <c r="B45">
        <v>613070</v>
      </c>
      <c r="C45" s="67">
        <v>43620.691666666666</v>
      </c>
      <c r="D45" t="s">
        <v>960</v>
      </c>
      <c r="E45" t="s">
        <v>923</v>
      </c>
      <c r="F45">
        <v>202731</v>
      </c>
      <c r="G45">
        <v>20.8</v>
      </c>
      <c r="H45">
        <v>0</v>
      </c>
      <c r="J45" t="s">
        <v>1093</v>
      </c>
    </row>
    <row r="46" spans="1:10" x14ac:dyDescent="0.2">
      <c r="A46" t="s">
        <v>503</v>
      </c>
      <c r="B46">
        <v>613096</v>
      </c>
      <c r="C46" s="67">
        <v>43620.706250000003</v>
      </c>
      <c r="D46" t="s">
        <v>961</v>
      </c>
      <c r="E46" t="s">
        <v>925</v>
      </c>
      <c r="F46">
        <v>168763</v>
      </c>
      <c r="G46">
        <v>262</v>
      </c>
      <c r="H46">
        <v>0</v>
      </c>
      <c r="J46" t="s">
        <v>1094</v>
      </c>
    </row>
    <row r="47" spans="1:10" x14ac:dyDescent="0.2">
      <c r="A47" t="s">
        <v>503</v>
      </c>
      <c r="B47">
        <v>614362</v>
      </c>
      <c r="C47" s="67">
        <v>43626.62777777778</v>
      </c>
      <c r="D47" t="s">
        <v>962</v>
      </c>
      <c r="F47">
        <v>0</v>
      </c>
      <c r="G47">
        <v>0</v>
      </c>
      <c r="H47">
        <v>172.72</v>
      </c>
      <c r="J47" t="s">
        <v>1092</v>
      </c>
    </row>
    <row r="48" spans="1:10" x14ac:dyDescent="0.2">
      <c r="A48" t="s">
        <v>503</v>
      </c>
      <c r="B48">
        <v>614362</v>
      </c>
      <c r="C48" s="67">
        <v>43626.62777777778</v>
      </c>
      <c r="D48" t="s">
        <v>960</v>
      </c>
      <c r="E48" t="s">
        <v>923</v>
      </c>
      <c r="F48">
        <v>203246</v>
      </c>
      <c r="G48">
        <v>12.43</v>
      </c>
      <c r="H48">
        <v>0</v>
      </c>
      <c r="J48" t="s">
        <v>1093</v>
      </c>
    </row>
    <row r="49" spans="1:10" x14ac:dyDescent="0.2">
      <c r="A49" t="s">
        <v>503</v>
      </c>
      <c r="B49">
        <v>614374</v>
      </c>
      <c r="C49" s="67">
        <v>43626.632638888892</v>
      </c>
      <c r="D49" t="s">
        <v>961</v>
      </c>
      <c r="E49" t="s">
        <v>925</v>
      </c>
      <c r="F49">
        <v>169248</v>
      </c>
      <c r="G49">
        <v>160.29</v>
      </c>
      <c r="H49">
        <v>0</v>
      </c>
      <c r="J49" t="s">
        <v>1094</v>
      </c>
    </row>
    <row r="50" spans="1:10" x14ac:dyDescent="0.2">
      <c r="A50" t="s">
        <v>503</v>
      </c>
      <c r="B50">
        <v>619146</v>
      </c>
      <c r="C50" s="67">
        <v>43644.024305555555</v>
      </c>
      <c r="D50" t="s">
        <v>963</v>
      </c>
      <c r="E50" t="s">
        <v>923</v>
      </c>
      <c r="F50">
        <v>205955</v>
      </c>
      <c r="G50">
        <v>6</v>
      </c>
      <c r="H50">
        <v>0</v>
      </c>
      <c r="J50" t="s">
        <v>1095</v>
      </c>
    </row>
    <row r="51" spans="1:10" x14ac:dyDescent="0.2">
      <c r="A51" t="s">
        <v>505</v>
      </c>
      <c r="B51">
        <v>613041</v>
      </c>
      <c r="C51" s="67">
        <v>43620.691666666666</v>
      </c>
      <c r="D51" t="s">
        <v>964</v>
      </c>
      <c r="F51">
        <v>0</v>
      </c>
      <c r="G51">
        <v>0</v>
      </c>
      <c r="H51">
        <v>233.23</v>
      </c>
      <c r="J51" t="s">
        <v>1092</v>
      </c>
    </row>
    <row r="52" spans="1:10" x14ac:dyDescent="0.2">
      <c r="A52" s="47" t="s">
        <v>505</v>
      </c>
      <c r="B52">
        <v>613041</v>
      </c>
      <c r="C52" s="67">
        <v>43620.691666666666</v>
      </c>
      <c r="D52" t="s">
        <v>965</v>
      </c>
      <c r="E52" t="s">
        <v>923</v>
      </c>
      <c r="F52">
        <v>202702</v>
      </c>
      <c r="G52">
        <v>16.79</v>
      </c>
      <c r="H52">
        <v>0</v>
      </c>
      <c r="J52" t="s">
        <v>1093</v>
      </c>
    </row>
    <row r="53" spans="1:10" x14ac:dyDescent="0.2">
      <c r="A53" s="47" t="s">
        <v>505</v>
      </c>
      <c r="B53">
        <v>613096</v>
      </c>
      <c r="C53" s="67">
        <v>43620.706250000003</v>
      </c>
      <c r="D53" t="s">
        <v>966</v>
      </c>
      <c r="E53" t="s">
        <v>925</v>
      </c>
      <c r="F53">
        <v>168734</v>
      </c>
      <c r="G53">
        <v>210.44</v>
      </c>
      <c r="H53">
        <v>0</v>
      </c>
      <c r="J53" t="s">
        <v>1094</v>
      </c>
    </row>
    <row r="54" spans="1:10" x14ac:dyDescent="0.2">
      <c r="A54" s="47" t="s">
        <v>505</v>
      </c>
      <c r="B54">
        <v>617056</v>
      </c>
      <c r="C54" s="67">
        <v>43635.584027777775</v>
      </c>
      <c r="D54" t="s">
        <v>967</v>
      </c>
      <c r="F54">
        <v>0</v>
      </c>
      <c r="G54">
        <v>0</v>
      </c>
      <c r="H54">
        <v>232.93</v>
      </c>
      <c r="J54" t="s">
        <v>1092</v>
      </c>
    </row>
    <row r="55" spans="1:10" x14ac:dyDescent="0.2">
      <c r="A55" s="47" t="s">
        <v>505</v>
      </c>
      <c r="B55">
        <v>617056</v>
      </c>
      <c r="C55" s="67">
        <v>43635.584027777775</v>
      </c>
      <c r="D55" t="s">
        <v>965</v>
      </c>
      <c r="E55" t="s">
        <v>923</v>
      </c>
      <c r="F55">
        <v>204004</v>
      </c>
      <c r="G55">
        <v>16.78</v>
      </c>
      <c r="H55">
        <v>0</v>
      </c>
      <c r="J55" t="s">
        <v>1093</v>
      </c>
    </row>
    <row r="56" spans="1:10" x14ac:dyDescent="0.2">
      <c r="A56" s="47" t="s">
        <v>505</v>
      </c>
      <c r="B56">
        <v>617062</v>
      </c>
      <c r="C56" s="67">
        <v>43635.586805555555</v>
      </c>
      <c r="D56" t="s">
        <v>966</v>
      </c>
      <c r="E56" t="s">
        <v>925</v>
      </c>
      <c r="F56">
        <v>170076</v>
      </c>
      <c r="G56">
        <v>216.15</v>
      </c>
      <c r="H56">
        <v>0</v>
      </c>
      <c r="J56" t="s">
        <v>1094</v>
      </c>
    </row>
    <row r="57" spans="1:10" x14ac:dyDescent="0.2">
      <c r="A57" s="47" t="s">
        <v>505</v>
      </c>
      <c r="B57">
        <v>619146</v>
      </c>
      <c r="C57" s="67">
        <v>43644.024305555555</v>
      </c>
      <c r="D57" t="s">
        <v>968</v>
      </c>
      <c r="E57" t="s">
        <v>923</v>
      </c>
      <c r="F57">
        <v>205943</v>
      </c>
      <c r="G57">
        <v>6</v>
      </c>
      <c r="H57">
        <v>0</v>
      </c>
      <c r="J57" t="s">
        <v>1095</v>
      </c>
    </row>
    <row r="58" spans="1:10" x14ac:dyDescent="0.2">
      <c r="A58" s="47" t="s">
        <v>507</v>
      </c>
      <c r="B58">
        <v>619146</v>
      </c>
      <c r="C58" s="67">
        <v>43644.024305555555</v>
      </c>
      <c r="D58" t="s">
        <v>969</v>
      </c>
      <c r="E58" t="s">
        <v>923</v>
      </c>
      <c r="F58">
        <v>205945</v>
      </c>
      <c r="G58">
        <v>6</v>
      </c>
      <c r="H58">
        <v>0</v>
      </c>
      <c r="J58" t="s">
        <v>1095</v>
      </c>
    </row>
    <row r="59" spans="1:10" x14ac:dyDescent="0.2">
      <c r="A59" t="s">
        <v>507</v>
      </c>
      <c r="B59">
        <v>619445</v>
      </c>
      <c r="C59" s="67">
        <v>43644.551388888889</v>
      </c>
      <c r="D59" t="s">
        <v>970</v>
      </c>
      <c r="F59">
        <v>0</v>
      </c>
      <c r="G59">
        <v>0</v>
      </c>
      <c r="H59">
        <v>525</v>
      </c>
      <c r="J59" t="s">
        <v>1092</v>
      </c>
    </row>
    <row r="60" spans="1:10" x14ac:dyDescent="0.2">
      <c r="A60" t="s">
        <v>507</v>
      </c>
      <c r="B60">
        <v>619445</v>
      </c>
      <c r="C60" s="67">
        <v>43644.551388888889</v>
      </c>
      <c r="D60" t="s">
        <v>971</v>
      </c>
      <c r="E60" t="s">
        <v>923</v>
      </c>
      <c r="F60">
        <v>206297</v>
      </c>
      <c r="G60">
        <v>37.799999999999997</v>
      </c>
      <c r="H60">
        <v>0</v>
      </c>
      <c r="J60" t="s">
        <v>1093</v>
      </c>
    </row>
    <row r="61" spans="1:10" x14ac:dyDescent="0.2">
      <c r="A61" t="s">
        <v>507</v>
      </c>
      <c r="B61">
        <v>619454</v>
      </c>
      <c r="C61" s="67">
        <v>43644.554166666669</v>
      </c>
      <c r="D61" t="s">
        <v>972</v>
      </c>
      <c r="E61" t="s">
        <v>925</v>
      </c>
      <c r="F61">
        <v>170744</v>
      </c>
      <c r="G61">
        <v>481.2</v>
      </c>
      <c r="H61">
        <v>0</v>
      </c>
      <c r="J61" t="s">
        <v>1094</v>
      </c>
    </row>
    <row r="62" spans="1:10" x14ac:dyDescent="0.2">
      <c r="A62" t="s">
        <v>475</v>
      </c>
      <c r="B62">
        <v>613055</v>
      </c>
      <c r="C62" s="67">
        <v>43620.691666666666</v>
      </c>
      <c r="D62" t="s">
        <v>973</v>
      </c>
      <c r="F62">
        <v>0</v>
      </c>
      <c r="G62">
        <v>0</v>
      </c>
      <c r="H62">
        <v>175.73</v>
      </c>
      <c r="J62" t="s">
        <v>1092</v>
      </c>
    </row>
    <row r="63" spans="1:10" x14ac:dyDescent="0.2">
      <c r="A63" t="s">
        <v>475</v>
      </c>
      <c r="B63">
        <v>613055</v>
      </c>
      <c r="C63" s="67">
        <v>43620.691666666666</v>
      </c>
      <c r="D63" t="s">
        <v>974</v>
      </c>
      <c r="E63" t="s">
        <v>923</v>
      </c>
      <c r="F63">
        <v>202716</v>
      </c>
      <c r="G63">
        <v>12.65</v>
      </c>
      <c r="H63">
        <v>0</v>
      </c>
      <c r="J63" t="s">
        <v>1093</v>
      </c>
    </row>
    <row r="64" spans="1:10" x14ac:dyDescent="0.2">
      <c r="A64" t="s">
        <v>475</v>
      </c>
      <c r="B64">
        <v>613055</v>
      </c>
      <c r="C64" s="67">
        <v>43620.691666666666</v>
      </c>
      <c r="D64" t="s">
        <v>975</v>
      </c>
      <c r="F64">
        <v>0</v>
      </c>
      <c r="G64">
        <v>0</v>
      </c>
      <c r="H64">
        <v>186.89</v>
      </c>
      <c r="J64" t="s">
        <v>1092</v>
      </c>
    </row>
    <row r="65" spans="1:10" x14ac:dyDescent="0.2">
      <c r="A65" t="s">
        <v>475</v>
      </c>
      <c r="B65">
        <v>613055</v>
      </c>
      <c r="C65" s="67">
        <v>43620.691666666666</v>
      </c>
      <c r="D65" t="s">
        <v>974</v>
      </c>
      <c r="E65" t="s">
        <v>923</v>
      </c>
      <c r="F65">
        <v>202716</v>
      </c>
      <c r="G65">
        <v>13.45</v>
      </c>
      <c r="H65">
        <v>0</v>
      </c>
      <c r="J65" t="s">
        <v>1093</v>
      </c>
    </row>
    <row r="66" spans="1:10" x14ac:dyDescent="0.2">
      <c r="A66" t="s">
        <v>475</v>
      </c>
      <c r="B66">
        <v>613096</v>
      </c>
      <c r="C66" s="67">
        <v>43620.706250000003</v>
      </c>
      <c r="D66" t="s">
        <v>976</v>
      </c>
      <c r="E66" t="s">
        <v>925</v>
      </c>
      <c r="F66">
        <v>168748</v>
      </c>
      <c r="G66">
        <v>330.52</v>
      </c>
      <c r="H66">
        <v>0</v>
      </c>
      <c r="J66" t="s">
        <v>1094</v>
      </c>
    </row>
    <row r="67" spans="1:10" x14ac:dyDescent="0.2">
      <c r="A67" t="s">
        <v>475</v>
      </c>
      <c r="B67">
        <v>619146</v>
      </c>
      <c r="C67" s="67">
        <v>43644.024305555555</v>
      </c>
      <c r="D67" t="s">
        <v>977</v>
      </c>
      <c r="E67" t="s">
        <v>923</v>
      </c>
      <c r="F67">
        <v>205979</v>
      </c>
      <c r="G67">
        <v>6</v>
      </c>
      <c r="H67">
        <v>0</v>
      </c>
      <c r="J67" t="s">
        <v>1095</v>
      </c>
    </row>
    <row r="68" spans="1:10" x14ac:dyDescent="0.2">
      <c r="A68" t="s">
        <v>490</v>
      </c>
      <c r="B68">
        <v>613649</v>
      </c>
      <c r="C68" s="67">
        <v>43622.662499999999</v>
      </c>
      <c r="D68" t="s">
        <v>978</v>
      </c>
      <c r="F68">
        <v>0</v>
      </c>
      <c r="G68">
        <v>0</v>
      </c>
      <c r="H68">
        <v>400</v>
      </c>
      <c r="J68" t="s">
        <v>1092</v>
      </c>
    </row>
    <row r="69" spans="1:10" x14ac:dyDescent="0.2">
      <c r="A69" t="s">
        <v>490</v>
      </c>
      <c r="B69">
        <v>613649</v>
      </c>
      <c r="C69" s="67">
        <v>43622.662499999999</v>
      </c>
      <c r="D69" t="s">
        <v>979</v>
      </c>
      <c r="E69" t="s">
        <v>923</v>
      </c>
      <c r="F69">
        <v>202935</v>
      </c>
      <c r="G69">
        <v>28.8</v>
      </c>
      <c r="H69">
        <v>0</v>
      </c>
      <c r="J69" t="s">
        <v>1093</v>
      </c>
    </row>
    <row r="70" spans="1:10" x14ac:dyDescent="0.2">
      <c r="A70" t="s">
        <v>490</v>
      </c>
      <c r="B70">
        <v>613654</v>
      </c>
      <c r="C70" s="67">
        <v>43622.665277777778</v>
      </c>
      <c r="D70" t="s">
        <v>980</v>
      </c>
      <c r="E70" t="s">
        <v>925</v>
      </c>
      <c r="F70">
        <v>168951</v>
      </c>
      <c r="G70">
        <v>365.2</v>
      </c>
      <c r="H70">
        <v>0</v>
      </c>
      <c r="J70" t="s">
        <v>1094</v>
      </c>
    </row>
    <row r="71" spans="1:10" x14ac:dyDescent="0.2">
      <c r="A71" t="s">
        <v>490</v>
      </c>
      <c r="B71">
        <v>615886</v>
      </c>
      <c r="C71" s="67">
        <v>43630.656944444447</v>
      </c>
      <c r="D71" t="s">
        <v>978</v>
      </c>
      <c r="F71">
        <v>0</v>
      </c>
      <c r="G71">
        <v>0</v>
      </c>
      <c r="H71">
        <v>100</v>
      </c>
      <c r="J71" t="s">
        <v>1092</v>
      </c>
    </row>
    <row r="72" spans="1:10" x14ac:dyDescent="0.2">
      <c r="A72" t="s">
        <v>490</v>
      </c>
      <c r="B72">
        <v>615886</v>
      </c>
      <c r="C72" s="67">
        <v>43630.656944444447</v>
      </c>
      <c r="D72" t="s">
        <v>979</v>
      </c>
      <c r="E72" t="s">
        <v>923</v>
      </c>
      <c r="F72">
        <v>203581</v>
      </c>
      <c r="G72">
        <v>7.2</v>
      </c>
      <c r="H72">
        <v>0</v>
      </c>
      <c r="J72" t="s">
        <v>1093</v>
      </c>
    </row>
    <row r="73" spans="1:10" x14ac:dyDescent="0.2">
      <c r="A73" t="s">
        <v>490</v>
      </c>
      <c r="B73">
        <v>615898</v>
      </c>
      <c r="C73" s="67">
        <v>43630.657638888886</v>
      </c>
      <c r="D73" t="s">
        <v>980</v>
      </c>
      <c r="E73" t="s">
        <v>925</v>
      </c>
      <c r="F73">
        <v>169734</v>
      </c>
      <c r="G73">
        <v>92.8</v>
      </c>
      <c r="H73">
        <v>0</v>
      </c>
      <c r="J73" t="s">
        <v>1094</v>
      </c>
    </row>
    <row r="74" spans="1:10" x14ac:dyDescent="0.2">
      <c r="A74" t="s">
        <v>490</v>
      </c>
      <c r="B74">
        <v>617626</v>
      </c>
      <c r="C74" s="67">
        <v>43636.674305555556</v>
      </c>
      <c r="D74" t="s">
        <v>978</v>
      </c>
      <c r="F74">
        <v>0</v>
      </c>
      <c r="G74">
        <v>0</v>
      </c>
      <c r="H74">
        <v>100</v>
      </c>
      <c r="J74" t="s">
        <v>1092</v>
      </c>
    </row>
    <row r="75" spans="1:10" x14ac:dyDescent="0.2">
      <c r="A75" t="s">
        <v>490</v>
      </c>
      <c r="B75">
        <v>617626</v>
      </c>
      <c r="C75" s="67">
        <v>43636.674305555556</v>
      </c>
      <c r="D75" t="s">
        <v>979</v>
      </c>
      <c r="E75" t="s">
        <v>923</v>
      </c>
      <c r="F75">
        <v>204097</v>
      </c>
      <c r="G75">
        <v>7.2</v>
      </c>
      <c r="H75">
        <v>0</v>
      </c>
      <c r="J75" t="s">
        <v>1093</v>
      </c>
    </row>
    <row r="76" spans="1:10" x14ac:dyDescent="0.2">
      <c r="A76" t="s">
        <v>490</v>
      </c>
      <c r="B76">
        <v>617634</v>
      </c>
      <c r="C76" s="67">
        <v>43636.677777777775</v>
      </c>
      <c r="D76" t="s">
        <v>980</v>
      </c>
      <c r="E76" t="s">
        <v>925</v>
      </c>
      <c r="F76">
        <v>170299</v>
      </c>
      <c r="G76">
        <v>92.8</v>
      </c>
      <c r="H76">
        <v>0</v>
      </c>
      <c r="J76" t="s">
        <v>1094</v>
      </c>
    </row>
    <row r="77" spans="1:10" x14ac:dyDescent="0.2">
      <c r="A77" t="s">
        <v>490</v>
      </c>
      <c r="B77">
        <v>619146</v>
      </c>
      <c r="C77" s="67">
        <v>43644.024305555555</v>
      </c>
      <c r="D77" t="s">
        <v>981</v>
      </c>
      <c r="E77" t="s">
        <v>923</v>
      </c>
      <c r="F77">
        <v>206102</v>
      </c>
      <c r="G77">
        <v>6</v>
      </c>
      <c r="H77">
        <v>0</v>
      </c>
      <c r="J77" t="s">
        <v>1095</v>
      </c>
    </row>
    <row r="78" spans="1:10" x14ac:dyDescent="0.2">
      <c r="A78" t="s">
        <v>489</v>
      </c>
      <c r="B78">
        <v>616744</v>
      </c>
      <c r="C78" s="67">
        <v>43634.598611111112</v>
      </c>
      <c r="D78" t="s">
        <v>982</v>
      </c>
      <c r="F78">
        <v>0</v>
      </c>
      <c r="G78">
        <v>0</v>
      </c>
      <c r="H78">
        <v>89.9</v>
      </c>
      <c r="J78" t="s">
        <v>1092</v>
      </c>
    </row>
    <row r="79" spans="1:10" x14ac:dyDescent="0.2">
      <c r="A79" t="s">
        <v>489</v>
      </c>
      <c r="B79">
        <v>616744</v>
      </c>
      <c r="C79" s="67">
        <v>43634.598611111112</v>
      </c>
      <c r="D79" t="s">
        <v>983</v>
      </c>
      <c r="E79" t="s">
        <v>923</v>
      </c>
      <c r="F79">
        <v>203885</v>
      </c>
      <c r="G79">
        <v>6.47</v>
      </c>
      <c r="H79">
        <v>0</v>
      </c>
      <c r="J79" t="s">
        <v>1093</v>
      </c>
    </row>
    <row r="80" spans="1:10" x14ac:dyDescent="0.2">
      <c r="A80" t="s">
        <v>489</v>
      </c>
      <c r="B80">
        <v>616744</v>
      </c>
      <c r="C80" s="67">
        <v>43634.598611111112</v>
      </c>
      <c r="D80" t="s">
        <v>984</v>
      </c>
      <c r="F80">
        <v>0</v>
      </c>
      <c r="G80">
        <v>0</v>
      </c>
      <c r="H80">
        <v>520.1</v>
      </c>
      <c r="J80" t="s">
        <v>1092</v>
      </c>
    </row>
    <row r="81" spans="1:10" x14ac:dyDescent="0.2">
      <c r="A81" t="s">
        <v>489</v>
      </c>
      <c r="B81">
        <v>616744</v>
      </c>
      <c r="C81" s="67">
        <v>43634.598611111112</v>
      </c>
      <c r="D81" t="s">
        <v>983</v>
      </c>
      <c r="E81" t="s">
        <v>923</v>
      </c>
      <c r="F81">
        <v>203885</v>
      </c>
      <c r="G81">
        <v>37.450000000000003</v>
      </c>
      <c r="H81">
        <v>0</v>
      </c>
      <c r="J81" t="s">
        <v>1093</v>
      </c>
    </row>
    <row r="82" spans="1:10" x14ac:dyDescent="0.2">
      <c r="A82" t="s">
        <v>489</v>
      </c>
      <c r="B82">
        <v>616760</v>
      </c>
      <c r="C82" s="67">
        <v>43634.602083333331</v>
      </c>
      <c r="D82" t="s">
        <v>985</v>
      </c>
      <c r="E82" t="s">
        <v>925</v>
      </c>
      <c r="F82">
        <v>169994</v>
      </c>
      <c r="G82">
        <v>548.08000000000004</v>
      </c>
      <c r="H82">
        <v>0</v>
      </c>
      <c r="J82" t="s">
        <v>1094</v>
      </c>
    </row>
    <row r="83" spans="1:10" x14ac:dyDescent="0.2">
      <c r="A83" t="s">
        <v>489</v>
      </c>
      <c r="B83">
        <v>619146</v>
      </c>
      <c r="C83" s="67">
        <v>43644.024305555555</v>
      </c>
      <c r="D83" t="s">
        <v>986</v>
      </c>
      <c r="E83" t="s">
        <v>923</v>
      </c>
      <c r="F83">
        <v>206101</v>
      </c>
      <c r="G83">
        <v>6</v>
      </c>
      <c r="H83">
        <v>0</v>
      </c>
      <c r="J83" t="s">
        <v>1095</v>
      </c>
    </row>
    <row r="84" spans="1:10" x14ac:dyDescent="0.2">
      <c r="A84" t="s">
        <v>487</v>
      </c>
      <c r="B84">
        <v>612053</v>
      </c>
      <c r="C84" s="67">
        <v>43617.504861111112</v>
      </c>
      <c r="D84" t="s">
        <v>987</v>
      </c>
      <c r="F84">
        <v>0</v>
      </c>
      <c r="G84">
        <v>0</v>
      </c>
      <c r="H84">
        <v>119.25</v>
      </c>
      <c r="J84" t="s">
        <v>1092</v>
      </c>
    </row>
    <row r="85" spans="1:10" x14ac:dyDescent="0.2">
      <c r="A85" t="s">
        <v>487</v>
      </c>
      <c r="B85">
        <v>612053</v>
      </c>
      <c r="C85" s="67">
        <v>43617.504861111112</v>
      </c>
      <c r="D85" t="s">
        <v>988</v>
      </c>
      <c r="E85" t="s">
        <v>923</v>
      </c>
      <c r="F85">
        <v>202355</v>
      </c>
      <c r="G85">
        <v>8.59</v>
      </c>
      <c r="H85">
        <v>0</v>
      </c>
      <c r="J85" t="s">
        <v>1093</v>
      </c>
    </row>
    <row r="86" spans="1:10" x14ac:dyDescent="0.2">
      <c r="A86" t="s">
        <v>487</v>
      </c>
      <c r="B86">
        <v>612063</v>
      </c>
      <c r="C86" s="67">
        <v>43617.511111111111</v>
      </c>
      <c r="D86" t="s">
        <v>989</v>
      </c>
      <c r="E86" t="s">
        <v>925</v>
      </c>
      <c r="F86">
        <v>168443</v>
      </c>
      <c r="G86">
        <v>110.66</v>
      </c>
      <c r="H86">
        <v>0</v>
      </c>
      <c r="J86" t="s">
        <v>1094</v>
      </c>
    </row>
    <row r="87" spans="1:10" x14ac:dyDescent="0.2">
      <c r="A87" t="s">
        <v>487</v>
      </c>
      <c r="B87">
        <v>613045</v>
      </c>
      <c r="C87" s="67">
        <v>43620.691666666666</v>
      </c>
      <c r="D87" t="s">
        <v>987</v>
      </c>
      <c r="F87">
        <v>0</v>
      </c>
      <c r="G87">
        <v>0</v>
      </c>
      <c r="H87">
        <v>380.75</v>
      </c>
      <c r="J87" t="s">
        <v>1092</v>
      </c>
    </row>
    <row r="88" spans="1:10" x14ac:dyDescent="0.2">
      <c r="A88" t="s">
        <v>487</v>
      </c>
      <c r="B88">
        <v>613045</v>
      </c>
      <c r="C88" s="67">
        <v>43620.691666666666</v>
      </c>
      <c r="D88" t="s">
        <v>988</v>
      </c>
      <c r="E88" t="s">
        <v>923</v>
      </c>
      <c r="F88">
        <v>202706</v>
      </c>
      <c r="G88">
        <v>27.42</v>
      </c>
      <c r="H88">
        <v>0</v>
      </c>
      <c r="J88" t="s">
        <v>1093</v>
      </c>
    </row>
    <row r="89" spans="1:10" x14ac:dyDescent="0.2">
      <c r="A89" t="s">
        <v>487</v>
      </c>
      <c r="B89">
        <v>613096</v>
      </c>
      <c r="C89" s="67">
        <v>43620.706250000003</v>
      </c>
      <c r="D89" t="s">
        <v>989</v>
      </c>
      <c r="E89" t="s">
        <v>925</v>
      </c>
      <c r="F89">
        <v>168738</v>
      </c>
      <c r="G89">
        <v>353.33</v>
      </c>
      <c r="H89">
        <v>0</v>
      </c>
      <c r="J89" t="s">
        <v>1094</v>
      </c>
    </row>
    <row r="90" spans="1:10" x14ac:dyDescent="0.2">
      <c r="A90" t="s">
        <v>488</v>
      </c>
      <c r="B90">
        <v>613046</v>
      </c>
      <c r="C90" s="67">
        <v>43620.691666666666</v>
      </c>
      <c r="D90" t="s">
        <v>990</v>
      </c>
      <c r="F90">
        <v>0</v>
      </c>
      <c r="G90">
        <v>0</v>
      </c>
      <c r="H90">
        <v>307.83999999999997</v>
      </c>
      <c r="J90" t="s">
        <v>1092</v>
      </c>
    </row>
    <row r="91" spans="1:10" x14ac:dyDescent="0.2">
      <c r="A91" t="s">
        <v>488</v>
      </c>
      <c r="B91">
        <v>613046</v>
      </c>
      <c r="C91" s="67">
        <v>43620.691666666666</v>
      </c>
      <c r="D91" t="s">
        <v>991</v>
      </c>
      <c r="E91" t="s">
        <v>923</v>
      </c>
      <c r="F91">
        <v>202707</v>
      </c>
      <c r="G91">
        <v>22.16</v>
      </c>
      <c r="H91">
        <v>0</v>
      </c>
      <c r="J91" t="s">
        <v>1093</v>
      </c>
    </row>
    <row r="92" spans="1:10" x14ac:dyDescent="0.2">
      <c r="A92" t="s">
        <v>488</v>
      </c>
      <c r="B92">
        <v>613096</v>
      </c>
      <c r="C92" s="67">
        <v>43620.706250000003</v>
      </c>
      <c r="D92" t="s">
        <v>992</v>
      </c>
      <c r="E92" t="s">
        <v>925</v>
      </c>
      <c r="F92">
        <v>168739</v>
      </c>
      <c r="G92">
        <v>285.68</v>
      </c>
      <c r="H92">
        <v>0</v>
      </c>
      <c r="J92" t="s">
        <v>1094</v>
      </c>
    </row>
    <row r="93" spans="1:10" x14ac:dyDescent="0.2">
      <c r="A93" t="s">
        <v>488</v>
      </c>
      <c r="B93">
        <v>618824</v>
      </c>
      <c r="C93" s="67">
        <v>43642.703472222223</v>
      </c>
      <c r="D93" t="s">
        <v>993</v>
      </c>
      <c r="F93">
        <v>0</v>
      </c>
      <c r="G93">
        <v>0</v>
      </c>
      <c r="H93">
        <v>153.68</v>
      </c>
      <c r="J93" t="s">
        <v>1092</v>
      </c>
    </row>
    <row r="94" spans="1:10" x14ac:dyDescent="0.2">
      <c r="A94" t="s">
        <v>488</v>
      </c>
      <c r="B94">
        <v>618824</v>
      </c>
      <c r="C94" s="67">
        <v>43642.703472222223</v>
      </c>
      <c r="D94" t="s">
        <v>991</v>
      </c>
      <c r="E94" t="s">
        <v>923</v>
      </c>
      <c r="F94">
        <v>204514</v>
      </c>
      <c r="G94">
        <v>11.06</v>
      </c>
      <c r="H94">
        <v>0</v>
      </c>
      <c r="J94" t="s">
        <v>1093</v>
      </c>
    </row>
    <row r="95" spans="1:10" x14ac:dyDescent="0.2">
      <c r="A95" t="s">
        <v>488</v>
      </c>
      <c r="B95">
        <v>618854</v>
      </c>
      <c r="C95" s="67">
        <v>43642.714583333334</v>
      </c>
      <c r="D95" t="s">
        <v>992</v>
      </c>
      <c r="E95" t="s">
        <v>925</v>
      </c>
      <c r="F95">
        <v>170582</v>
      </c>
      <c r="G95">
        <v>142.62</v>
      </c>
      <c r="H95">
        <v>0</v>
      </c>
      <c r="J95" t="s">
        <v>1094</v>
      </c>
    </row>
    <row r="96" spans="1:10" x14ac:dyDescent="0.2">
      <c r="A96" t="s">
        <v>488</v>
      </c>
      <c r="B96">
        <v>619146</v>
      </c>
      <c r="C96" s="67">
        <v>43644.024305555555</v>
      </c>
      <c r="D96" t="s">
        <v>994</v>
      </c>
      <c r="E96" t="s">
        <v>923</v>
      </c>
      <c r="F96">
        <v>206099</v>
      </c>
      <c r="G96">
        <v>6</v>
      </c>
      <c r="H96">
        <v>0</v>
      </c>
      <c r="J96" t="s">
        <v>1095</v>
      </c>
    </row>
    <row r="97" spans="1:10" x14ac:dyDescent="0.2">
      <c r="A97" t="s">
        <v>496</v>
      </c>
      <c r="B97">
        <v>613038</v>
      </c>
      <c r="C97" s="67">
        <v>43620.691666666666</v>
      </c>
      <c r="D97" t="s">
        <v>995</v>
      </c>
      <c r="E97" s="47" t="s">
        <v>578</v>
      </c>
      <c r="F97">
        <v>0</v>
      </c>
      <c r="G97">
        <v>0</v>
      </c>
      <c r="H97">
        <v>307.83999999999997</v>
      </c>
      <c r="J97" t="s">
        <v>1092</v>
      </c>
    </row>
    <row r="98" spans="1:10" x14ac:dyDescent="0.2">
      <c r="A98" t="s">
        <v>496</v>
      </c>
      <c r="B98">
        <v>613038</v>
      </c>
      <c r="C98" s="67">
        <v>43620.691666666666</v>
      </c>
      <c r="D98" t="s">
        <v>996</v>
      </c>
      <c r="E98" t="s">
        <v>923</v>
      </c>
      <c r="F98">
        <v>202699</v>
      </c>
      <c r="G98">
        <v>22.16</v>
      </c>
      <c r="H98">
        <v>0</v>
      </c>
      <c r="J98" t="s">
        <v>1093</v>
      </c>
    </row>
    <row r="99" spans="1:10" x14ac:dyDescent="0.2">
      <c r="A99" t="s">
        <v>496</v>
      </c>
      <c r="B99">
        <v>613096</v>
      </c>
      <c r="C99" s="67">
        <v>43620.706250000003</v>
      </c>
      <c r="D99" t="s">
        <v>997</v>
      </c>
      <c r="E99" t="s">
        <v>925</v>
      </c>
      <c r="F99">
        <v>168731</v>
      </c>
      <c r="G99">
        <v>279.68</v>
      </c>
      <c r="H99">
        <v>0</v>
      </c>
      <c r="J99" t="s">
        <v>1094</v>
      </c>
    </row>
    <row r="100" spans="1:10" x14ac:dyDescent="0.2">
      <c r="A100" t="s">
        <v>496</v>
      </c>
      <c r="B100">
        <v>617870</v>
      </c>
      <c r="C100" s="67">
        <v>43637.533333333333</v>
      </c>
      <c r="D100" s="47" t="s">
        <v>998</v>
      </c>
      <c r="E100" s="47" t="s">
        <v>578</v>
      </c>
      <c r="F100">
        <v>0</v>
      </c>
      <c r="G100">
        <v>0</v>
      </c>
      <c r="H100">
        <v>153.68</v>
      </c>
      <c r="J100" t="s">
        <v>1092</v>
      </c>
    </row>
    <row r="101" spans="1:10" x14ac:dyDescent="0.2">
      <c r="A101" t="s">
        <v>496</v>
      </c>
      <c r="B101">
        <v>617870</v>
      </c>
      <c r="C101" s="67">
        <v>43637.533333333333</v>
      </c>
      <c r="D101" t="s">
        <v>996</v>
      </c>
      <c r="E101" t="s">
        <v>923</v>
      </c>
      <c r="F101">
        <v>204173</v>
      </c>
      <c r="G101">
        <v>11.06</v>
      </c>
      <c r="H101">
        <v>0</v>
      </c>
      <c r="J101" t="s">
        <v>1093</v>
      </c>
    </row>
    <row r="102" spans="1:10" x14ac:dyDescent="0.2">
      <c r="A102" t="s">
        <v>496</v>
      </c>
      <c r="B102">
        <v>617876</v>
      </c>
      <c r="C102" s="67">
        <v>43637.534722222219</v>
      </c>
      <c r="D102" t="s">
        <v>997</v>
      </c>
      <c r="E102" t="s">
        <v>925</v>
      </c>
      <c r="F102">
        <v>170366</v>
      </c>
      <c r="G102">
        <v>142.62</v>
      </c>
      <c r="H102">
        <v>0</v>
      </c>
      <c r="J102" t="s">
        <v>1094</v>
      </c>
    </row>
    <row r="103" spans="1:10" x14ac:dyDescent="0.2">
      <c r="A103" t="s">
        <v>496</v>
      </c>
      <c r="B103">
        <v>619146</v>
      </c>
      <c r="C103" s="67">
        <v>43644.024305555555</v>
      </c>
      <c r="D103" t="s">
        <v>999</v>
      </c>
      <c r="E103" s="47" t="s">
        <v>923</v>
      </c>
      <c r="F103">
        <v>205871</v>
      </c>
      <c r="G103">
        <v>6</v>
      </c>
      <c r="H103">
        <v>0</v>
      </c>
      <c r="J103" t="s">
        <v>1095</v>
      </c>
    </row>
    <row r="104" spans="1:10" x14ac:dyDescent="0.2">
      <c r="A104" t="s">
        <v>498</v>
      </c>
      <c r="B104">
        <v>613648</v>
      </c>
      <c r="C104" s="67">
        <v>43622.662499999999</v>
      </c>
      <c r="D104" t="s">
        <v>1000</v>
      </c>
      <c r="F104">
        <v>0</v>
      </c>
      <c r="G104">
        <v>0</v>
      </c>
      <c r="H104">
        <v>500</v>
      </c>
      <c r="J104" t="s">
        <v>1092</v>
      </c>
    </row>
    <row r="105" spans="1:10" x14ac:dyDescent="0.2">
      <c r="A105" t="s">
        <v>498</v>
      </c>
      <c r="B105">
        <v>613648</v>
      </c>
      <c r="C105" s="67">
        <v>43622.662499999999</v>
      </c>
      <c r="D105" t="s">
        <v>1001</v>
      </c>
      <c r="E105" t="s">
        <v>923</v>
      </c>
      <c r="F105">
        <v>202934</v>
      </c>
      <c r="G105">
        <v>36</v>
      </c>
      <c r="H105">
        <v>0</v>
      </c>
      <c r="J105" t="s">
        <v>1093</v>
      </c>
    </row>
    <row r="106" spans="1:10" x14ac:dyDescent="0.2">
      <c r="A106" t="s">
        <v>498</v>
      </c>
      <c r="B106">
        <v>613654</v>
      </c>
      <c r="C106" s="67">
        <v>43622.665277777778</v>
      </c>
      <c r="D106" t="s">
        <v>1002</v>
      </c>
      <c r="E106" t="s">
        <v>925</v>
      </c>
      <c r="F106">
        <v>168950</v>
      </c>
      <c r="G106">
        <v>458</v>
      </c>
      <c r="H106">
        <v>0</v>
      </c>
      <c r="J106" t="s">
        <v>1094</v>
      </c>
    </row>
    <row r="107" spans="1:10" x14ac:dyDescent="0.2">
      <c r="A107" t="s">
        <v>498</v>
      </c>
      <c r="B107">
        <v>619146</v>
      </c>
      <c r="C107" s="67">
        <v>43644.024305555555</v>
      </c>
      <c r="D107" t="s">
        <v>1003</v>
      </c>
      <c r="E107" t="s">
        <v>923</v>
      </c>
      <c r="F107">
        <v>205880</v>
      </c>
      <c r="G107">
        <v>6</v>
      </c>
      <c r="H107">
        <v>0</v>
      </c>
      <c r="J107" t="s">
        <v>1095</v>
      </c>
    </row>
    <row r="108" spans="1:10" x14ac:dyDescent="0.2">
      <c r="A108" t="s">
        <v>511</v>
      </c>
      <c r="B108">
        <v>613059</v>
      </c>
      <c r="C108" s="67">
        <v>43620.691666666666</v>
      </c>
      <c r="D108" t="s">
        <v>1004</v>
      </c>
      <c r="F108">
        <v>0</v>
      </c>
      <c r="G108">
        <v>0</v>
      </c>
      <c r="H108">
        <v>114.55</v>
      </c>
      <c r="J108" t="s">
        <v>1092</v>
      </c>
    </row>
    <row r="109" spans="1:10" x14ac:dyDescent="0.2">
      <c r="A109" t="s">
        <v>511</v>
      </c>
      <c r="B109">
        <v>613059</v>
      </c>
      <c r="C109" s="67">
        <v>43620.691666666666</v>
      </c>
      <c r="D109" t="s">
        <v>1005</v>
      </c>
      <c r="E109" t="s">
        <v>923</v>
      </c>
      <c r="F109">
        <v>202720</v>
      </c>
      <c r="G109">
        <v>8.24</v>
      </c>
      <c r="H109">
        <v>0</v>
      </c>
      <c r="J109" t="s">
        <v>1093</v>
      </c>
    </row>
    <row r="110" spans="1:10" x14ac:dyDescent="0.2">
      <c r="A110" t="s">
        <v>511</v>
      </c>
      <c r="B110">
        <v>613096</v>
      </c>
      <c r="C110" s="67">
        <v>43620.706250000003</v>
      </c>
      <c r="D110" t="s">
        <v>1006</v>
      </c>
      <c r="E110" t="s">
        <v>925</v>
      </c>
      <c r="F110">
        <v>168752</v>
      </c>
      <c r="G110">
        <v>100.31</v>
      </c>
      <c r="H110">
        <v>0</v>
      </c>
      <c r="J110" t="s">
        <v>1094</v>
      </c>
    </row>
    <row r="111" spans="1:10" x14ac:dyDescent="0.2">
      <c r="A111" t="s">
        <v>511</v>
      </c>
      <c r="B111">
        <v>613650</v>
      </c>
      <c r="C111" s="67">
        <v>43622.662499999999</v>
      </c>
      <c r="D111" t="s">
        <v>1007</v>
      </c>
      <c r="F111">
        <v>0</v>
      </c>
      <c r="G111">
        <v>0</v>
      </c>
      <c r="H111">
        <v>365.57</v>
      </c>
      <c r="J111" t="s">
        <v>1092</v>
      </c>
    </row>
    <row r="112" spans="1:10" x14ac:dyDescent="0.2">
      <c r="A112" t="s">
        <v>511</v>
      </c>
      <c r="B112">
        <v>613650</v>
      </c>
      <c r="C112" s="67">
        <v>43622.662499999999</v>
      </c>
      <c r="D112" t="s">
        <v>1005</v>
      </c>
      <c r="E112" t="s">
        <v>923</v>
      </c>
      <c r="F112">
        <v>202936</v>
      </c>
      <c r="G112">
        <v>26.32</v>
      </c>
      <c r="H112">
        <v>0</v>
      </c>
      <c r="J112" t="s">
        <v>1093</v>
      </c>
    </row>
    <row r="113" spans="1:10" x14ac:dyDescent="0.2">
      <c r="A113" t="s">
        <v>511</v>
      </c>
      <c r="B113">
        <v>613654</v>
      </c>
      <c r="C113" s="67">
        <v>43622.665277777778</v>
      </c>
      <c r="D113" t="s">
        <v>1006</v>
      </c>
      <c r="E113" t="s">
        <v>925</v>
      </c>
      <c r="F113">
        <v>168952</v>
      </c>
      <c r="G113">
        <v>339.25</v>
      </c>
      <c r="H113">
        <v>0</v>
      </c>
      <c r="J113" t="s">
        <v>1094</v>
      </c>
    </row>
    <row r="114" spans="1:10" x14ac:dyDescent="0.2">
      <c r="A114" t="s">
        <v>511</v>
      </c>
      <c r="B114">
        <v>619146</v>
      </c>
      <c r="C114" s="67">
        <v>43644.024305555555</v>
      </c>
      <c r="D114" t="s">
        <v>1008</v>
      </c>
      <c r="E114" t="s">
        <v>923</v>
      </c>
      <c r="F114">
        <v>205886</v>
      </c>
      <c r="G114">
        <v>6</v>
      </c>
      <c r="H114">
        <v>0</v>
      </c>
      <c r="J114" t="s">
        <v>1095</v>
      </c>
    </row>
    <row r="115" spans="1:10" x14ac:dyDescent="0.2">
      <c r="A115" t="s">
        <v>502</v>
      </c>
      <c r="B115">
        <v>613067</v>
      </c>
      <c r="C115" s="67">
        <v>43620.691666666666</v>
      </c>
      <c r="D115" t="s">
        <v>1009</v>
      </c>
      <c r="F115">
        <v>0</v>
      </c>
      <c r="G115">
        <v>0</v>
      </c>
      <c r="H115">
        <v>117.8</v>
      </c>
      <c r="J115" t="s">
        <v>1092</v>
      </c>
    </row>
    <row r="116" spans="1:10" x14ac:dyDescent="0.2">
      <c r="A116" t="s">
        <v>502</v>
      </c>
      <c r="B116">
        <v>613067</v>
      </c>
      <c r="C116" s="67">
        <v>43620.691666666666</v>
      </c>
      <c r="D116" t="s">
        <v>1010</v>
      </c>
      <c r="E116" t="s">
        <v>923</v>
      </c>
      <c r="F116">
        <v>202728</v>
      </c>
      <c r="G116">
        <v>8.48</v>
      </c>
      <c r="H116">
        <v>0</v>
      </c>
      <c r="J116" t="s">
        <v>1093</v>
      </c>
    </row>
    <row r="117" spans="1:10" x14ac:dyDescent="0.2">
      <c r="A117" t="s">
        <v>502</v>
      </c>
      <c r="B117">
        <v>613096</v>
      </c>
      <c r="C117" s="67">
        <v>43620.706250000003</v>
      </c>
      <c r="D117" t="s">
        <v>1011</v>
      </c>
      <c r="E117" t="s">
        <v>925</v>
      </c>
      <c r="F117">
        <v>168760</v>
      </c>
      <c r="G117">
        <v>103.32</v>
      </c>
      <c r="H117">
        <v>0</v>
      </c>
      <c r="J117" t="s">
        <v>1094</v>
      </c>
    </row>
    <row r="118" spans="1:10" x14ac:dyDescent="0.2">
      <c r="A118" t="s">
        <v>502</v>
      </c>
      <c r="B118">
        <v>615308</v>
      </c>
      <c r="C118" s="67">
        <v>43628.644444444442</v>
      </c>
      <c r="D118" t="s">
        <v>1012</v>
      </c>
      <c r="F118">
        <v>0</v>
      </c>
      <c r="G118">
        <v>0</v>
      </c>
      <c r="H118">
        <v>343.72</v>
      </c>
      <c r="J118" t="s">
        <v>1092</v>
      </c>
    </row>
    <row r="119" spans="1:10" x14ac:dyDescent="0.2">
      <c r="A119" t="s">
        <v>502</v>
      </c>
      <c r="B119">
        <v>615308</v>
      </c>
      <c r="C119" s="67">
        <v>43628.644444444442</v>
      </c>
      <c r="D119" t="s">
        <v>1010</v>
      </c>
      <c r="E119" t="s">
        <v>923</v>
      </c>
      <c r="F119">
        <v>203466</v>
      </c>
      <c r="G119">
        <v>24.74</v>
      </c>
      <c r="H119">
        <v>0</v>
      </c>
      <c r="J119" t="s">
        <v>1093</v>
      </c>
    </row>
    <row r="120" spans="1:10" x14ac:dyDescent="0.2">
      <c r="A120" t="s">
        <v>502</v>
      </c>
      <c r="B120">
        <v>615322</v>
      </c>
      <c r="C120" s="67">
        <v>43628.65347222222</v>
      </c>
      <c r="D120" t="s">
        <v>1011</v>
      </c>
      <c r="E120" t="s">
        <v>925</v>
      </c>
      <c r="F120">
        <v>169468</v>
      </c>
      <c r="G120">
        <v>318.98</v>
      </c>
      <c r="H120">
        <v>0</v>
      </c>
      <c r="J120" t="s">
        <v>1094</v>
      </c>
    </row>
    <row r="121" spans="1:10" x14ac:dyDescent="0.2">
      <c r="A121" t="s">
        <v>502</v>
      </c>
      <c r="B121">
        <v>619146</v>
      </c>
      <c r="C121" s="67">
        <v>43644.024305555555</v>
      </c>
      <c r="D121" t="s">
        <v>1013</v>
      </c>
      <c r="E121" t="s">
        <v>923</v>
      </c>
      <c r="F121">
        <v>205954</v>
      </c>
      <c r="G121">
        <v>6</v>
      </c>
      <c r="H121">
        <v>0</v>
      </c>
      <c r="J121" t="s">
        <v>1095</v>
      </c>
    </row>
    <row r="122" spans="1:10" x14ac:dyDescent="0.2">
      <c r="A122" t="s">
        <v>504</v>
      </c>
      <c r="B122">
        <v>615679</v>
      </c>
      <c r="C122" s="67">
        <v>43629.597222222219</v>
      </c>
      <c r="D122" t="s">
        <v>1014</v>
      </c>
      <c r="F122">
        <v>0</v>
      </c>
      <c r="G122">
        <v>0</v>
      </c>
      <c r="H122">
        <v>550</v>
      </c>
      <c r="J122" t="s">
        <v>1092</v>
      </c>
    </row>
    <row r="123" spans="1:10" x14ac:dyDescent="0.2">
      <c r="A123" t="s">
        <v>504</v>
      </c>
      <c r="B123">
        <v>615679</v>
      </c>
      <c r="C123" s="67">
        <v>43629.597222222219</v>
      </c>
      <c r="D123" t="s">
        <v>1015</v>
      </c>
      <c r="E123" t="s">
        <v>923</v>
      </c>
      <c r="F123">
        <v>203524</v>
      </c>
      <c r="G123">
        <v>39.6</v>
      </c>
      <c r="H123">
        <v>0</v>
      </c>
      <c r="J123" t="s">
        <v>1093</v>
      </c>
    </row>
    <row r="124" spans="1:10" x14ac:dyDescent="0.2">
      <c r="A124" t="s">
        <v>504</v>
      </c>
      <c r="B124">
        <v>615691</v>
      </c>
      <c r="C124" s="67">
        <v>43629.60833333333</v>
      </c>
      <c r="D124" t="s">
        <v>1016</v>
      </c>
      <c r="E124" t="s">
        <v>925</v>
      </c>
      <c r="F124">
        <v>169684</v>
      </c>
      <c r="G124">
        <v>504.4</v>
      </c>
      <c r="H124">
        <v>0</v>
      </c>
      <c r="J124" t="s">
        <v>1094</v>
      </c>
    </row>
    <row r="125" spans="1:10" x14ac:dyDescent="0.2">
      <c r="A125" t="s">
        <v>504</v>
      </c>
      <c r="B125">
        <v>619146</v>
      </c>
      <c r="C125" s="67">
        <v>43644.024305555555</v>
      </c>
      <c r="D125" t="s">
        <v>1017</v>
      </c>
      <c r="E125" t="s">
        <v>923</v>
      </c>
      <c r="F125">
        <v>205942</v>
      </c>
      <c r="G125">
        <v>6</v>
      </c>
      <c r="H125">
        <v>0</v>
      </c>
      <c r="J125" t="s">
        <v>1095</v>
      </c>
    </row>
    <row r="126" spans="1:10" x14ac:dyDescent="0.2">
      <c r="A126" t="s">
        <v>506</v>
      </c>
      <c r="B126">
        <v>619146</v>
      </c>
      <c r="C126" s="67">
        <v>43644.024305555555</v>
      </c>
      <c r="D126" t="s">
        <v>1018</v>
      </c>
      <c r="E126" t="s">
        <v>923</v>
      </c>
      <c r="F126">
        <v>205944</v>
      </c>
      <c r="G126">
        <v>6</v>
      </c>
      <c r="H126">
        <v>0</v>
      </c>
      <c r="J126" t="s">
        <v>1095</v>
      </c>
    </row>
    <row r="127" spans="1:10" x14ac:dyDescent="0.2">
      <c r="A127" t="s">
        <v>506</v>
      </c>
      <c r="B127">
        <v>619444</v>
      </c>
      <c r="C127" s="67">
        <v>43644.551388888889</v>
      </c>
      <c r="D127" t="s">
        <v>1019</v>
      </c>
      <c r="F127">
        <v>0</v>
      </c>
      <c r="G127">
        <v>0</v>
      </c>
      <c r="H127">
        <v>550</v>
      </c>
      <c r="J127" t="s">
        <v>1092</v>
      </c>
    </row>
    <row r="128" spans="1:10" x14ac:dyDescent="0.2">
      <c r="A128" t="s">
        <v>506</v>
      </c>
      <c r="B128">
        <v>619444</v>
      </c>
      <c r="C128" s="67">
        <v>43644.551388888889</v>
      </c>
      <c r="D128" t="s">
        <v>1020</v>
      </c>
      <c r="E128" t="s">
        <v>923</v>
      </c>
      <c r="F128">
        <v>206296</v>
      </c>
      <c r="G128">
        <v>39.6</v>
      </c>
      <c r="H128">
        <v>0</v>
      </c>
      <c r="J128" t="s">
        <v>1093</v>
      </c>
    </row>
    <row r="129" spans="1:10" x14ac:dyDescent="0.2">
      <c r="A129" t="s">
        <v>506</v>
      </c>
      <c r="B129">
        <v>619454</v>
      </c>
      <c r="C129" s="67">
        <v>43644.554166666669</v>
      </c>
      <c r="D129" t="s">
        <v>1021</v>
      </c>
      <c r="E129" t="s">
        <v>925</v>
      </c>
      <c r="F129">
        <v>170743</v>
      </c>
      <c r="G129">
        <v>504.4</v>
      </c>
      <c r="H129">
        <v>0</v>
      </c>
      <c r="J129" t="s">
        <v>1094</v>
      </c>
    </row>
    <row r="130" spans="1:10" x14ac:dyDescent="0.2">
      <c r="A130" t="s">
        <v>469</v>
      </c>
      <c r="B130">
        <v>618592</v>
      </c>
      <c r="C130" s="67">
        <v>43641.661111111112</v>
      </c>
      <c r="D130" t="s">
        <v>1022</v>
      </c>
      <c r="F130">
        <v>0</v>
      </c>
      <c r="G130">
        <v>0</v>
      </c>
      <c r="H130">
        <v>491.38</v>
      </c>
      <c r="J130" t="s">
        <v>1092</v>
      </c>
    </row>
    <row r="131" spans="1:10" x14ac:dyDescent="0.2">
      <c r="A131" s="47" t="s">
        <v>469</v>
      </c>
      <c r="B131">
        <v>618592</v>
      </c>
      <c r="C131" s="67">
        <v>43641.661111111112</v>
      </c>
      <c r="D131" t="s">
        <v>1023</v>
      </c>
      <c r="E131" t="s">
        <v>923</v>
      </c>
      <c r="F131">
        <v>204417</v>
      </c>
      <c r="G131">
        <v>35.380000000000003</v>
      </c>
      <c r="H131">
        <v>0</v>
      </c>
      <c r="J131" t="s">
        <v>1093</v>
      </c>
    </row>
    <row r="132" spans="1:10" x14ac:dyDescent="0.2">
      <c r="A132" s="47" t="s">
        <v>469</v>
      </c>
      <c r="B132">
        <v>618604</v>
      </c>
      <c r="C132" s="67">
        <v>43641.674305555556</v>
      </c>
      <c r="D132" t="s">
        <v>1024</v>
      </c>
      <c r="E132" t="s">
        <v>925</v>
      </c>
      <c r="F132">
        <v>170529</v>
      </c>
      <c r="G132">
        <v>444</v>
      </c>
      <c r="H132">
        <v>0</v>
      </c>
      <c r="J132" t="s">
        <v>1094</v>
      </c>
    </row>
    <row r="133" spans="1:10" x14ac:dyDescent="0.2">
      <c r="A133" s="47" t="s">
        <v>469</v>
      </c>
      <c r="B133">
        <v>619146</v>
      </c>
      <c r="C133" s="67">
        <v>43644.024305555555</v>
      </c>
      <c r="D133" t="s">
        <v>1025</v>
      </c>
      <c r="E133" t="s">
        <v>923</v>
      </c>
      <c r="F133">
        <v>206077</v>
      </c>
      <c r="G133">
        <v>12</v>
      </c>
      <c r="H133">
        <v>0</v>
      </c>
      <c r="J133" t="s">
        <v>1095</v>
      </c>
    </row>
    <row r="134" spans="1:10" x14ac:dyDescent="0.2">
      <c r="A134" t="s">
        <v>470</v>
      </c>
      <c r="B134">
        <v>615889</v>
      </c>
      <c r="C134" s="67">
        <v>43630.656944444447</v>
      </c>
      <c r="D134" t="s">
        <v>1026</v>
      </c>
      <c r="E134" s="47" t="s">
        <v>578</v>
      </c>
      <c r="F134">
        <v>0</v>
      </c>
      <c r="G134">
        <v>0</v>
      </c>
      <c r="H134">
        <v>600</v>
      </c>
      <c r="J134" t="s">
        <v>1092</v>
      </c>
    </row>
    <row r="135" spans="1:10" x14ac:dyDescent="0.2">
      <c r="A135" t="s">
        <v>470</v>
      </c>
      <c r="B135">
        <v>615889</v>
      </c>
      <c r="C135" s="67">
        <v>43630.656944444447</v>
      </c>
      <c r="D135" t="s">
        <v>1027</v>
      </c>
      <c r="E135" t="s">
        <v>923</v>
      </c>
      <c r="F135">
        <v>203584</v>
      </c>
      <c r="G135">
        <v>43.2</v>
      </c>
      <c r="H135">
        <v>0</v>
      </c>
      <c r="J135" t="s">
        <v>1093</v>
      </c>
    </row>
    <row r="136" spans="1:10" x14ac:dyDescent="0.2">
      <c r="A136" t="s">
        <v>470</v>
      </c>
      <c r="B136">
        <v>615898</v>
      </c>
      <c r="C136" s="67">
        <v>43630.657638888886</v>
      </c>
      <c r="D136" t="s">
        <v>1028</v>
      </c>
      <c r="E136" t="s">
        <v>925</v>
      </c>
      <c r="F136">
        <v>169737</v>
      </c>
      <c r="G136">
        <v>550.79999999999995</v>
      </c>
      <c r="H136">
        <v>0</v>
      </c>
      <c r="J136" t="s">
        <v>1094</v>
      </c>
    </row>
    <row r="137" spans="1:10" x14ac:dyDescent="0.2">
      <c r="A137" t="s">
        <v>470</v>
      </c>
      <c r="B137">
        <v>619146</v>
      </c>
      <c r="C137" s="67">
        <v>43644.024305555555</v>
      </c>
      <c r="D137" t="s">
        <v>1029</v>
      </c>
      <c r="E137" t="s">
        <v>923</v>
      </c>
      <c r="F137">
        <v>206079</v>
      </c>
      <c r="G137">
        <v>6</v>
      </c>
      <c r="H137">
        <v>0</v>
      </c>
      <c r="J137" t="s">
        <v>1095</v>
      </c>
    </row>
    <row r="138" spans="1:10" x14ac:dyDescent="0.2">
      <c r="A138" t="s">
        <v>471</v>
      </c>
      <c r="B138">
        <v>613060</v>
      </c>
      <c r="C138" s="67">
        <v>43620.691666666666</v>
      </c>
      <c r="D138" t="s">
        <v>1030</v>
      </c>
      <c r="F138">
        <v>0</v>
      </c>
      <c r="G138">
        <v>0</v>
      </c>
      <c r="H138">
        <v>269.36</v>
      </c>
      <c r="J138" t="s">
        <v>1092</v>
      </c>
    </row>
    <row r="139" spans="1:10" x14ac:dyDescent="0.2">
      <c r="A139" t="s">
        <v>471</v>
      </c>
      <c r="B139">
        <v>613060</v>
      </c>
      <c r="C139" s="67">
        <v>43620.691666666666</v>
      </c>
      <c r="D139" t="s">
        <v>1031</v>
      </c>
      <c r="E139" t="s">
        <v>923</v>
      </c>
      <c r="F139">
        <v>202721</v>
      </c>
      <c r="G139">
        <v>19.39</v>
      </c>
      <c r="H139">
        <v>0</v>
      </c>
      <c r="J139" t="s">
        <v>1093</v>
      </c>
    </row>
    <row r="140" spans="1:10" x14ac:dyDescent="0.2">
      <c r="A140" t="s">
        <v>471</v>
      </c>
      <c r="B140">
        <v>613096</v>
      </c>
      <c r="C140" s="67">
        <v>43620.706250000003</v>
      </c>
      <c r="D140" t="s">
        <v>1032</v>
      </c>
      <c r="E140" t="s">
        <v>925</v>
      </c>
      <c r="F140">
        <v>168753</v>
      </c>
      <c r="G140">
        <v>243.97</v>
      </c>
      <c r="H140">
        <v>0</v>
      </c>
      <c r="J140" t="s">
        <v>1094</v>
      </c>
    </row>
    <row r="141" spans="1:10" x14ac:dyDescent="0.2">
      <c r="A141" t="s">
        <v>471</v>
      </c>
      <c r="B141">
        <v>618825</v>
      </c>
      <c r="C141" s="67">
        <v>43642.703472222223</v>
      </c>
      <c r="D141" t="s">
        <v>1033</v>
      </c>
      <c r="F141">
        <v>0</v>
      </c>
      <c r="G141">
        <v>0</v>
      </c>
      <c r="H141">
        <v>192.16</v>
      </c>
      <c r="J141" t="s">
        <v>1092</v>
      </c>
    </row>
    <row r="142" spans="1:10" x14ac:dyDescent="0.2">
      <c r="A142" t="s">
        <v>471</v>
      </c>
      <c r="B142">
        <v>618825</v>
      </c>
      <c r="C142" s="67">
        <v>43642.703472222223</v>
      </c>
      <c r="D142" t="s">
        <v>1031</v>
      </c>
      <c r="E142" t="s">
        <v>923</v>
      </c>
      <c r="F142">
        <v>204515</v>
      </c>
      <c r="G142">
        <v>13.84</v>
      </c>
      <c r="H142">
        <v>0</v>
      </c>
      <c r="J142" t="s">
        <v>1093</v>
      </c>
    </row>
    <row r="143" spans="1:10" x14ac:dyDescent="0.2">
      <c r="A143" t="s">
        <v>471</v>
      </c>
      <c r="B143">
        <v>618854</v>
      </c>
      <c r="C143" s="67">
        <v>43642.714583333334</v>
      </c>
      <c r="D143" t="s">
        <v>1032</v>
      </c>
      <c r="E143" t="s">
        <v>925</v>
      </c>
      <c r="F143">
        <v>170583</v>
      </c>
      <c r="G143">
        <v>178.32</v>
      </c>
      <c r="H143">
        <v>0</v>
      </c>
      <c r="J143" t="s">
        <v>1094</v>
      </c>
    </row>
    <row r="144" spans="1:10" x14ac:dyDescent="0.2">
      <c r="A144" t="s">
        <v>471</v>
      </c>
      <c r="B144">
        <v>619146</v>
      </c>
      <c r="C144" s="67">
        <v>43644.024305555555</v>
      </c>
      <c r="D144" t="s">
        <v>1034</v>
      </c>
      <c r="E144" t="s">
        <v>923</v>
      </c>
      <c r="F144">
        <v>206081</v>
      </c>
      <c r="G144">
        <v>6</v>
      </c>
      <c r="H144">
        <v>0</v>
      </c>
      <c r="J144" t="s">
        <v>1095</v>
      </c>
    </row>
    <row r="145" spans="1:10" x14ac:dyDescent="0.2">
      <c r="A145" t="s">
        <v>474</v>
      </c>
      <c r="B145">
        <v>613047</v>
      </c>
      <c r="C145" s="67">
        <v>43620.691666666666</v>
      </c>
      <c r="D145" t="s">
        <v>1035</v>
      </c>
      <c r="E145" s="47" t="s">
        <v>578</v>
      </c>
      <c r="F145">
        <v>0</v>
      </c>
      <c r="G145">
        <v>0</v>
      </c>
      <c r="H145">
        <v>230.88</v>
      </c>
      <c r="J145" t="s">
        <v>1092</v>
      </c>
    </row>
    <row r="146" spans="1:10" x14ac:dyDescent="0.2">
      <c r="A146" t="s">
        <v>474</v>
      </c>
      <c r="B146">
        <v>613047</v>
      </c>
      <c r="C146" s="67">
        <v>43620.691666666666</v>
      </c>
      <c r="D146" t="s">
        <v>1036</v>
      </c>
      <c r="E146" t="s">
        <v>923</v>
      </c>
      <c r="F146">
        <v>202708</v>
      </c>
      <c r="G146">
        <v>16.62</v>
      </c>
      <c r="H146">
        <v>0</v>
      </c>
      <c r="J146" t="s">
        <v>1093</v>
      </c>
    </row>
    <row r="147" spans="1:10" x14ac:dyDescent="0.2">
      <c r="A147" t="s">
        <v>474</v>
      </c>
      <c r="B147">
        <v>613047</v>
      </c>
      <c r="C147" s="67">
        <v>43620.691666666666</v>
      </c>
      <c r="D147" t="s">
        <v>1037</v>
      </c>
      <c r="F147">
        <v>0</v>
      </c>
      <c r="G147">
        <v>0</v>
      </c>
      <c r="H147">
        <v>230.64</v>
      </c>
      <c r="J147" t="s">
        <v>1092</v>
      </c>
    </row>
    <row r="148" spans="1:10" x14ac:dyDescent="0.2">
      <c r="A148" t="s">
        <v>474</v>
      </c>
      <c r="B148">
        <v>613047</v>
      </c>
      <c r="C148" s="67">
        <v>43620.691666666666</v>
      </c>
      <c r="D148" t="s">
        <v>1036</v>
      </c>
      <c r="E148" t="s">
        <v>923</v>
      </c>
      <c r="F148">
        <v>202708</v>
      </c>
      <c r="G148">
        <v>16.61</v>
      </c>
      <c r="H148">
        <v>0</v>
      </c>
      <c r="J148" t="s">
        <v>1093</v>
      </c>
    </row>
    <row r="149" spans="1:10" x14ac:dyDescent="0.2">
      <c r="A149" t="s">
        <v>474</v>
      </c>
      <c r="B149">
        <v>613096</v>
      </c>
      <c r="C149" s="67">
        <v>43620.706250000003</v>
      </c>
      <c r="D149" t="s">
        <v>1038</v>
      </c>
      <c r="E149" t="s">
        <v>925</v>
      </c>
      <c r="F149">
        <v>168740</v>
      </c>
      <c r="G149">
        <v>422.29</v>
      </c>
      <c r="H149">
        <v>0</v>
      </c>
      <c r="J149" t="s">
        <v>1094</v>
      </c>
    </row>
    <row r="150" spans="1:10" x14ac:dyDescent="0.2">
      <c r="A150" t="s">
        <v>474</v>
      </c>
      <c r="B150">
        <v>619146</v>
      </c>
      <c r="C150" s="67">
        <v>43644.024305555555</v>
      </c>
      <c r="D150" t="s">
        <v>1039</v>
      </c>
      <c r="E150" s="47" t="s">
        <v>923</v>
      </c>
      <c r="F150">
        <v>205977</v>
      </c>
      <c r="G150">
        <v>6</v>
      </c>
      <c r="H150">
        <v>0</v>
      </c>
      <c r="J150" t="s">
        <v>1095</v>
      </c>
    </row>
    <row r="151" spans="1:10" x14ac:dyDescent="0.2">
      <c r="A151" t="s">
        <v>509</v>
      </c>
      <c r="B151">
        <v>618597</v>
      </c>
      <c r="C151" s="67">
        <v>43641.661111111112</v>
      </c>
      <c r="D151" t="s">
        <v>1040</v>
      </c>
      <c r="F151">
        <v>0</v>
      </c>
      <c r="G151">
        <v>0</v>
      </c>
      <c r="H151">
        <v>500</v>
      </c>
      <c r="J151" t="s">
        <v>1092</v>
      </c>
    </row>
    <row r="152" spans="1:10" x14ac:dyDescent="0.2">
      <c r="A152" t="s">
        <v>509</v>
      </c>
      <c r="B152">
        <v>618597</v>
      </c>
      <c r="C152" s="67">
        <v>43641.661111111112</v>
      </c>
      <c r="D152" t="s">
        <v>1041</v>
      </c>
      <c r="E152" t="s">
        <v>923</v>
      </c>
      <c r="F152">
        <v>204422</v>
      </c>
      <c r="G152">
        <v>36</v>
      </c>
      <c r="H152">
        <v>0</v>
      </c>
      <c r="J152" t="s">
        <v>1093</v>
      </c>
    </row>
    <row r="153" spans="1:10" x14ac:dyDescent="0.2">
      <c r="A153" t="s">
        <v>509</v>
      </c>
      <c r="B153">
        <v>618604</v>
      </c>
      <c r="C153" s="67">
        <v>43641.674305555556</v>
      </c>
      <c r="D153" t="s">
        <v>1042</v>
      </c>
      <c r="E153" t="s">
        <v>925</v>
      </c>
      <c r="F153">
        <v>170534</v>
      </c>
      <c r="G153">
        <v>458</v>
      </c>
      <c r="H153">
        <v>0</v>
      </c>
      <c r="J153" t="s">
        <v>1094</v>
      </c>
    </row>
    <row r="154" spans="1:10" x14ac:dyDescent="0.2">
      <c r="A154" t="s">
        <v>509</v>
      </c>
      <c r="B154">
        <v>619146</v>
      </c>
      <c r="C154" s="67">
        <v>43644.024305555555</v>
      </c>
      <c r="D154" t="s">
        <v>1043</v>
      </c>
      <c r="E154" t="s">
        <v>923</v>
      </c>
      <c r="F154">
        <v>205969</v>
      </c>
      <c r="G154">
        <v>6</v>
      </c>
      <c r="H154">
        <v>0</v>
      </c>
      <c r="J154" t="s">
        <v>1095</v>
      </c>
    </row>
    <row r="155" spans="1:10" x14ac:dyDescent="0.2">
      <c r="A155" t="s">
        <v>472</v>
      </c>
      <c r="B155">
        <v>613034</v>
      </c>
      <c r="C155" s="67">
        <v>43620.691666666666</v>
      </c>
      <c r="D155" t="s">
        <v>1044</v>
      </c>
      <c r="F155">
        <v>0</v>
      </c>
      <c r="G155">
        <v>0</v>
      </c>
      <c r="H155">
        <v>461.96</v>
      </c>
      <c r="J155" t="s">
        <v>1092</v>
      </c>
    </row>
    <row r="156" spans="1:10" x14ac:dyDescent="0.2">
      <c r="A156" t="s">
        <v>472</v>
      </c>
      <c r="B156">
        <v>613034</v>
      </c>
      <c r="C156" s="67">
        <v>43620.691666666666</v>
      </c>
      <c r="D156" t="s">
        <v>1045</v>
      </c>
      <c r="E156" t="s">
        <v>923</v>
      </c>
      <c r="F156">
        <v>202695</v>
      </c>
      <c r="G156">
        <v>33.26</v>
      </c>
      <c r="H156">
        <v>0</v>
      </c>
      <c r="J156" t="s">
        <v>1093</v>
      </c>
    </row>
    <row r="157" spans="1:10" x14ac:dyDescent="0.2">
      <c r="A157" t="s">
        <v>472</v>
      </c>
      <c r="B157">
        <v>613096</v>
      </c>
      <c r="C157" s="67">
        <v>43620.706250000003</v>
      </c>
      <c r="D157" t="s">
        <v>1046</v>
      </c>
      <c r="E157" t="s">
        <v>925</v>
      </c>
      <c r="F157">
        <v>168727</v>
      </c>
      <c r="G157">
        <v>422.7</v>
      </c>
      <c r="H157">
        <v>0</v>
      </c>
      <c r="J157" t="s">
        <v>1094</v>
      </c>
    </row>
    <row r="158" spans="1:10" x14ac:dyDescent="0.2">
      <c r="A158" t="s">
        <v>472</v>
      </c>
      <c r="B158">
        <v>615305</v>
      </c>
      <c r="C158" s="67">
        <v>43628.644444444442</v>
      </c>
      <c r="D158" t="s">
        <v>1047</v>
      </c>
      <c r="F158">
        <v>0</v>
      </c>
      <c r="G158">
        <v>0</v>
      </c>
      <c r="H158">
        <v>4.16</v>
      </c>
      <c r="J158" t="s">
        <v>1092</v>
      </c>
    </row>
    <row r="159" spans="1:10" x14ac:dyDescent="0.2">
      <c r="A159" t="s">
        <v>472</v>
      </c>
      <c r="B159">
        <v>615305</v>
      </c>
      <c r="C159" s="67">
        <v>43628.644444444442</v>
      </c>
      <c r="D159" t="s">
        <v>1045</v>
      </c>
      <c r="E159" t="s">
        <v>923</v>
      </c>
      <c r="F159">
        <v>203463</v>
      </c>
      <c r="G159">
        <v>0.3</v>
      </c>
      <c r="H159">
        <v>0</v>
      </c>
      <c r="J159" t="s">
        <v>1093</v>
      </c>
    </row>
    <row r="160" spans="1:10" x14ac:dyDescent="0.2">
      <c r="A160" t="s">
        <v>472</v>
      </c>
      <c r="B160">
        <v>615322</v>
      </c>
      <c r="C160" s="67">
        <v>43628.65347222222</v>
      </c>
      <c r="D160" t="s">
        <v>1046</v>
      </c>
      <c r="E160" t="s">
        <v>925</v>
      </c>
      <c r="F160">
        <v>169465</v>
      </c>
      <c r="G160">
        <v>3.86</v>
      </c>
      <c r="H160">
        <v>0</v>
      </c>
      <c r="J160" t="s">
        <v>1094</v>
      </c>
    </row>
    <row r="161" spans="1:10" x14ac:dyDescent="0.2">
      <c r="A161" t="s">
        <v>472</v>
      </c>
      <c r="B161">
        <v>619146</v>
      </c>
      <c r="C161" s="67">
        <v>43644.024305555555</v>
      </c>
      <c r="D161" t="s">
        <v>1048</v>
      </c>
      <c r="E161" t="s">
        <v>923</v>
      </c>
      <c r="F161">
        <v>205967</v>
      </c>
      <c r="G161">
        <v>6</v>
      </c>
      <c r="H161">
        <v>0</v>
      </c>
      <c r="J161" t="s">
        <v>1095</v>
      </c>
    </row>
    <row r="162" spans="1:10" x14ac:dyDescent="0.2">
      <c r="A162" t="s">
        <v>479</v>
      </c>
      <c r="B162">
        <v>614824</v>
      </c>
      <c r="C162" s="67">
        <v>43627.611805555556</v>
      </c>
      <c r="D162" t="s">
        <v>1049</v>
      </c>
      <c r="F162">
        <v>0</v>
      </c>
      <c r="G162">
        <v>0</v>
      </c>
      <c r="H162">
        <v>350</v>
      </c>
      <c r="J162" t="s">
        <v>1092</v>
      </c>
    </row>
    <row r="163" spans="1:10" x14ac:dyDescent="0.2">
      <c r="A163" t="s">
        <v>479</v>
      </c>
      <c r="B163">
        <v>614824</v>
      </c>
      <c r="C163" s="67">
        <v>43627.611805555556</v>
      </c>
      <c r="D163" t="s">
        <v>1050</v>
      </c>
      <c r="E163" t="s">
        <v>923</v>
      </c>
      <c r="F163">
        <v>203382</v>
      </c>
      <c r="G163">
        <v>25.2</v>
      </c>
      <c r="H163">
        <v>0</v>
      </c>
      <c r="J163" t="s">
        <v>1093</v>
      </c>
    </row>
    <row r="164" spans="1:10" x14ac:dyDescent="0.2">
      <c r="A164" t="s">
        <v>479</v>
      </c>
      <c r="B164">
        <v>614829</v>
      </c>
      <c r="C164" s="67">
        <v>43627.616666666669</v>
      </c>
      <c r="D164" t="s">
        <v>1051</v>
      </c>
      <c r="E164" t="s">
        <v>925</v>
      </c>
      <c r="F164">
        <v>169375</v>
      </c>
      <c r="G164">
        <v>318.8</v>
      </c>
      <c r="H164">
        <v>0</v>
      </c>
      <c r="J164" t="s">
        <v>1094</v>
      </c>
    </row>
    <row r="165" spans="1:10" x14ac:dyDescent="0.2">
      <c r="A165" t="s">
        <v>479</v>
      </c>
      <c r="B165">
        <v>619146</v>
      </c>
      <c r="C165" s="67">
        <v>43644.024305555555</v>
      </c>
      <c r="D165" t="s">
        <v>1052</v>
      </c>
      <c r="E165" t="s">
        <v>923</v>
      </c>
      <c r="F165">
        <v>205999</v>
      </c>
      <c r="G165">
        <v>6</v>
      </c>
      <c r="H165">
        <v>0</v>
      </c>
      <c r="J165" t="s">
        <v>1095</v>
      </c>
    </row>
    <row r="166" spans="1:10" x14ac:dyDescent="0.2">
      <c r="A166" t="s">
        <v>560</v>
      </c>
      <c r="B166">
        <v>612824</v>
      </c>
      <c r="C166" s="67">
        <v>43620.65347222222</v>
      </c>
      <c r="D166" t="s">
        <v>1053</v>
      </c>
      <c r="F166">
        <v>0</v>
      </c>
      <c r="G166">
        <v>0</v>
      </c>
      <c r="H166">
        <v>520</v>
      </c>
      <c r="J166" t="s">
        <v>1092</v>
      </c>
    </row>
    <row r="167" spans="1:10" x14ac:dyDescent="0.2">
      <c r="A167" t="s">
        <v>560</v>
      </c>
      <c r="B167">
        <v>612824</v>
      </c>
      <c r="C167" s="67">
        <v>43620.65347222222</v>
      </c>
      <c r="D167" t="s">
        <v>1054</v>
      </c>
      <c r="E167" t="s">
        <v>923</v>
      </c>
      <c r="F167">
        <v>202503</v>
      </c>
      <c r="G167">
        <v>37.44</v>
      </c>
      <c r="H167">
        <v>0</v>
      </c>
      <c r="J167" t="s">
        <v>1093</v>
      </c>
    </row>
    <row r="168" spans="1:10" x14ac:dyDescent="0.2">
      <c r="A168" t="s">
        <v>560</v>
      </c>
      <c r="B168">
        <v>613096</v>
      </c>
      <c r="C168" s="67">
        <v>43620.706250000003</v>
      </c>
      <c r="D168" t="s">
        <v>1055</v>
      </c>
      <c r="E168" t="s">
        <v>925</v>
      </c>
      <c r="F168">
        <v>168527</v>
      </c>
      <c r="G168">
        <v>476.56</v>
      </c>
      <c r="H168">
        <v>0</v>
      </c>
      <c r="J168" t="s">
        <v>1094</v>
      </c>
    </row>
    <row r="169" spans="1:10" x14ac:dyDescent="0.2">
      <c r="A169" t="s">
        <v>560</v>
      </c>
      <c r="B169">
        <v>619146</v>
      </c>
      <c r="C169" s="67">
        <v>43644.024305555555</v>
      </c>
      <c r="D169" t="s">
        <v>1056</v>
      </c>
      <c r="E169" t="s">
        <v>923</v>
      </c>
      <c r="F169">
        <v>206001</v>
      </c>
      <c r="G169">
        <v>6</v>
      </c>
      <c r="H169">
        <v>0</v>
      </c>
      <c r="J169" t="s">
        <v>1095</v>
      </c>
    </row>
    <row r="170" spans="1:10" x14ac:dyDescent="0.2">
      <c r="A170" t="s">
        <v>484</v>
      </c>
      <c r="B170">
        <v>614361</v>
      </c>
      <c r="C170" s="67">
        <v>43626.62777777778</v>
      </c>
      <c r="D170" t="s">
        <v>1057</v>
      </c>
      <c r="F170">
        <v>0</v>
      </c>
      <c r="G170">
        <v>0</v>
      </c>
      <c r="H170">
        <v>480.52</v>
      </c>
      <c r="J170" t="s">
        <v>1092</v>
      </c>
    </row>
    <row r="171" spans="1:10" x14ac:dyDescent="0.2">
      <c r="A171" t="s">
        <v>484</v>
      </c>
      <c r="B171">
        <v>614361</v>
      </c>
      <c r="C171" s="67">
        <v>43626.62777777778</v>
      </c>
      <c r="D171" t="s">
        <v>1058</v>
      </c>
      <c r="E171" t="s">
        <v>923</v>
      </c>
      <c r="F171">
        <v>203245</v>
      </c>
      <c r="G171">
        <v>34.6</v>
      </c>
      <c r="H171">
        <v>0</v>
      </c>
      <c r="J171" t="s">
        <v>1093</v>
      </c>
    </row>
    <row r="172" spans="1:10" x14ac:dyDescent="0.2">
      <c r="A172" t="s">
        <v>484</v>
      </c>
      <c r="B172">
        <v>614374</v>
      </c>
      <c r="C172" s="67">
        <v>43626.632638888892</v>
      </c>
      <c r="D172" t="s">
        <v>1059</v>
      </c>
      <c r="E172" t="s">
        <v>925</v>
      </c>
      <c r="F172">
        <v>169247</v>
      </c>
      <c r="G172">
        <v>439.92</v>
      </c>
      <c r="H172">
        <v>0</v>
      </c>
      <c r="J172" t="s">
        <v>1094</v>
      </c>
    </row>
    <row r="173" spans="1:10" x14ac:dyDescent="0.2">
      <c r="A173" t="s">
        <v>484</v>
      </c>
      <c r="B173">
        <v>619146</v>
      </c>
      <c r="C173" s="67">
        <v>43644.024305555555</v>
      </c>
      <c r="D173" t="s">
        <v>1060</v>
      </c>
      <c r="E173" t="s">
        <v>923</v>
      </c>
      <c r="F173">
        <v>206168</v>
      </c>
      <c r="G173">
        <v>6</v>
      </c>
      <c r="H173">
        <v>0</v>
      </c>
      <c r="J173" t="s">
        <v>1095</v>
      </c>
    </row>
    <row r="174" spans="1:10" x14ac:dyDescent="0.2">
      <c r="A174" t="s">
        <v>483</v>
      </c>
      <c r="B174">
        <v>613065</v>
      </c>
      <c r="C174" s="67">
        <v>43620.691666666666</v>
      </c>
      <c r="D174" t="s">
        <v>1061</v>
      </c>
      <c r="F174">
        <v>0</v>
      </c>
      <c r="G174">
        <v>0</v>
      </c>
      <c r="H174">
        <v>106.52</v>
      </c>
      <c r="J174" t="s">
        <v>1092</v>
      </c>
    </row>
    <row r="175" spans="1:10" x14ac:dyDescent="0.2">
      <c r="A175" t="s">
        <v>483</v>
      </c>
      <c r="B175">
        <v>613065</v>
      </c>
      <c r="C175" s="67">
        <v>43620.691666666666</v>
      </c>
      <c r="D175" t="s">
        <v>1062</v>
      </c>
      <c r="E175" t="s">
        <v>923</v>
      </c>
      <c r="F175">
        <v>202726</v>
      </c>
      <c r="G175">
        <v>7.67</v>
      </c>
      <c r="H175">
        <v>0</v>
      </c>
      <c r="J175" t="s">
        <v>1093</v>
      </c>
    </row>
    <row r="176" spans="1:10" x14ac:dyDescent="0.2">
      <c r="A176" t="s">
        <v>483</v>
      </c>
      <c r="B176">
        <v>613096</v>
      </c>
      <c r="C176" s="67">
        <v>43620.706250000003</v>
      </c>
      <c r="D176" t="s">
        <v>1063</v>
      </c>
      <c r="E176" t="s">
        <v>925</v>
      </c>
      <c r="F176">
        <v>168758</v>
      </c>
      <c r="G176">
        <v>92.85</v>
      </c>
      <c r="H176">
        <v>0</v>
      </c>
      <c r="J176" t="s">
        <v>1094</v>
      </c>
    </row>
    <row r="177" spans="1:10" x14ac:dyDescent="0.2">
      <c r="A177" t="s">
        <v>483</v>
      </c>
      <c r="B177">
        <v>615891</v>
      </c>
      <c r="C177" s="67">
        <v>43630.656944444447</v>
      </c>
      <c r="D177" t="s">
        <v>1064</v>
      </c>
      <c r="F177">
        <v>0</v>
      </c>
      <c r="G177">
        <v>0</v>
      </c>
      <c r="H177">
        <v>359.64</v>
      </c>
      <c r="J177" t="s">
        <v>1092</v>
      </c>
    </row>
    <row r="178" spans="1:10" x14ac:dyDescent="0.2">
      <c r="A178" t="s">
        <v>483</v>
      </c>
      <c r="B178">
        <v>615891</v>
      </c>
      <c r="C178" s="67">
        <v>43630.656944444447</v>
      </c>
      <c r="D178" t="s">
        <v>1062</v>
      </c>
      <c r="E178" t="s">
        <v>923</v>
      </c>
      <c r="F178">
        <v>203586</v>
      </c>
      <c r="G178">
        <v>25.9</v>
      </c>
      <c r="H178">
        <v>0</v>
      </c>
      <c r="J178" t="s">
        <v>1093</v>
      </c>
    </row>
    <row r="179" spans="1:10" x14ac:dyDescent="0.2">
      <c r="A179" t="s">
        <v>483</v>
      </c>
      <c r="B179">
        <v>615898</v>
      </c>
      <c r="C179" s="67">
        <v>43630.657638888886</v>
      </c>
      <c r="D179" t="s">
        <v>1063</v>
      </c>
      <c r="E179" t="s">
        <v>925</v>
      </c>
      <c r="F179">
        <v>169739</v>
      </c>
      <c r="G179">
        <v>333.74</v>
      </c>
      <c r="H179">
        <v>0</v>
      </c>
      <c r="J179" t="s">
        <v>1094</v>
      </c>
    </row>
    <row r="180" spans="1:10" x14ac:dyDescent="0.2">
      <c r="A180" t="s">
        <v>483</v>
      </c>
      <c r="B180">
        <v>619146</v>
      </c>
      <c r="C180" s="67">
        <v>43644.024305555555</v>
      </c>
      <c r="D180" t="s">
        <v>1065</v>
      </c>
      <c r="E180" t="s">
        <v>923</v>
      </c>
      <c r="F180">
        <v>206167</v>
      </c>
      <c r="G180">
        <v>6</v>
      </c>
      <c r="H180">
        <v>0</v>
      </c>
      <c r="J180" t="s">
        <v>1095</v>
      </c>
    </row>
    <row r="181" spans="1:10" x14ac:dyDescent="0.2">
      <c r="A181" t="s">
        <v>481</v>
      </c>
      <c r="B181">
        <v>613656</v>
      </c>
      <c r="C181" s="67">
        <v>43622.67291666667</v>
      </c>
      <c r="D181" t="s">
        <v>1066</v>
      </c>
      <c r="E181" t="s">
        <v>1067</v>
      </c>
      <c r="F181">
        <v>3600</v>
      </c>
      <c r="G181">
        <v>54</v>
      </c>
      <c r="H181">
        <v>0</v>
      </c>
      <c r="J181" t="s">
        <v>1095</v>
      </c>
    </row>
    <row r="182" spans="1:10" x14ac:dyDescent="0.2">
      <c r="A182" t="s">
        <v>481</v>
      </c>
      <c r="B182">
        <v>619146</v>
      </c>
      <c r="C182" s="67">
        <v>43644.024305555555</v>
      </c>
      <c r="D182" t="s">
        <v>1068</v>
      </c>
      <c r="E182" t="s">
        <v>923</v>
      </c>
      <c r="F182">
        <v>206049</v>
      </c>
      <c r="G182">
        <v>6</v>
      </c>
      <c r="H182">
        <v>0</v>
      </c>
      <c r="J182" t="s">
        <v>1095</v>
      </c>
    </row>
    <row r="183" spans="1:10" x14ac:dyDescent="0.2">
      <c r="A183" t="s">
        <v>477</v>
      </c>
      <c r="B183">
        <v>613054</v>
      </c>
      <c r="C183" s="67">
        <v>43620.691666666666</v>
      </c>
      <c r="D183" t="s">
        <v>1069</v>
      </c>
      <c r="F183">
        <v>0</v>
      </c>
      <c r="G183">
        <v>0</v>
      </c>
      <c r="H183">
        <v>242</v>
      </c>
      <c r="J183" t="s">
        <v>1092</v>
      </c>
    </row>
    <row r="184" spans="1:10" x14ac:dyDescent="0.2">
      <c r="A184" t="s">
        <v>477</v>
      </c>
      <c r="B184">
        <v>613054</v>
      </c>
      <c r="C184" s="67">
        <v>43620.691666666666</v>
      </c>
      <c r="D184" t="s">
        <v>1070</v>
      </c>
      <c r="E184" t="s">
        <v>923</v>
      </c>
      <c r="F184">
        <v>202715</v>
      </c>
      <c r="G184">
        <v>17.420000000000002</v>
      </c>
      <c r="H184">
        <v>0</v>
      </c>
      <c r="J184" t="s">
        <v>1093</v>
      </c>
    </row>
    <row r="185" spans="1:10" x14ac:dyDescent="0.2">
      <c r="A185" t="s">
        <v>477</v>
      </c>
      <c r="B185">
        <v>613096</v>
      </c>
      <c r="C185" s="67">
        <v>43620.706250000003</v>
      </c>
      <c r="D185" t="s">
        <v>1071</v>
      </c>
      <c r="E185" t="s">
        <v>925</v>
      </c>
      <c r="F185">
        <v>168747</v>
      </c>
      <c r="G185">
        <v>218.58</v>
      </c>
      <c r="H185">
        <v>0</v>
      </c>
      <c r="J185" t="s">
        <v>1094</v>
      </c>
    </row>
    <row r="186" spans="1:10" x14ac:dyDescent="0.2">
      <c r="A186" t="s">
        <v>477</v>
      </c>
      <c r="B186">
        <v>615888</v>
      </c>
      <c r="C186" s="67">
        <v>43630.656944444447</v>
      </c>
      <c r="D186" t="s">
        <v>1072</v>
      </c>
      <c r="F186">
        <v>0</v>
      </c>
      <c r="G186">
        <v>0</v>
      </c>
      <c r="H186">
        <v>173.4</v>
      </c>
      <c r="J186" t="s">
        <v>1092</v>
      </c>
    </row>
    <row r="187" spans="1:10" x14ac:dyDescent="0.2">
      <c r="A187" t="s">
        <v>477</v>
      </c>
      <c r="B187">
        <v>615888</v>
      </c>
      <c r="C187" s="67">
        <v>43630.656944444447</v>
      </c>
      <c r="D187" t="s">
        <v>1070</v>
      </c>
      <c r="E187" t="s">
        <v>923</v>
      </c>
      <c r="F187">
        <v>203583</v>
      </c>
      <c r="G187">
        <v>12.48</v>
      </c>
      <c r="H187">
        <v>0</v>
      </c>
      <c r="J187" t="s">
        <v>1093</v>
      </c>
    </row>
    <row r="188" spans="1:10" x14ac:dyDescent="0.2">
      <c r="A188" t="s">
        <v>477</v>
      </c>
      <c r="B188">
        <v>615898</v>
      </c>
      <c r="C188" s="67">
        <v>43630.657638888886</v>
      </c>
      <c r="D188" t="s">
        <v>1071</v>
      </c>
      <c r="E188" t="s">
        <v>925</v>
      </c>
      <c r="F188">
        <v>169736</v>
      </c>
      <c r="G188">
        <v>160.91999999999999</v>
      </c>
      <c r="H188">
        <v>0</v>
      </c>
      <c r="J188" t="s">
        <v>1094</v>
      </c>
    </row>
    <row r="189" spans="1:10" x14ac:dyDescent="0.2">
      <c r="A189" t="s">
        <v>477</v>
      </c>
      <c r="B189">
        <v>619146</v>
      </c>
      <c r="C189" s="67">
        <v>43644.024305555555</v>
      </c>
      <c r="D189" t="s">
        <v>1073</v>
      </c>
      <c r="E189" t="s">
        <v>923</v>
      </c>
      <c r="F189">
        <v>205957</v>
      </c>
      <c r="G189">
        <v>6</v>
      </c>
      <c r="H189">
        <v>0</v>
      </c>
      <c r="J189" t="s">
        <v>1095</v>
      </c>
    </row>
    <row r="190" spans="1:10" x14ac:dyDescent="0.2">
      <c r="A190" t="s">
        <v>495</v>
      </c>
      <c r="B190">
        <v>613069</v>
      </c>
      <c r="C190" s="67">
        <v>43620.691666666666</v>
      </c>
      <c r="D190" t="s">
        <v>1074</v>
      </c>
      <c r="F190">
        <v>0</v>
      </c>
      <c r="G190">
        <v>0</v>
      </c>
      <c r="H190">
        <v>307.83999999999997</v>
      </c>
      <c r="J190" t="s">
        <v>1092</v>
      </c>
    </row>
    <row r="191" spans="1:10" x14ac:dyDescent="0.2">
      <c r="A191" t="s">
        <v>495</v>
      </c>
      <c r="B191">
        <v>613069</v>
      </c>
      <c r="C191" s="67">
        <v>43620.691666666666</v>
      </c>
      <c r="D191" t="s">
        <v>1075</v>
      </c>
      <c r="E191" t="s">
        <v>923</v>
      </c>
      <c r="F191">
        <v>202730</v>
      </c>
      <c r="G191">
        <v>22.16</v>
      </c>
      <c r="H191">
        <v>0</v>
      </c>
      <c r="J191" t="s">
        <v>1093</v>
      </c>
    </row>
    <row r="192" spans="1:10" x14ac:dyDescent="0.2">
      <c r="A192" t="s">
        <v>495</v>
      </c>
      <c r="B192">
        <v>613096</v>
      </c>
      <c r="C192" s="67">
        <v>43620.706250000003</v>
      </c>
      <c r="D192" t="s">
        <v>1076</v>
      </c>
      <c r="E192" t="s">
        <v>925</v>
      </c>
      <c r="F192">
        <v>168762</v>
      </c>
      <c r="G192">
        <v>279.68</v>
      </c>
      <c r="H192">
        <v>0</v>
      </c>
      <c r="J192" t="s">
        <v>1094</v>
      </c>
    </row>
    <row r="193" spans="1:10" x14ac:dyDescent="0.2">
      <c r="A193" t="s">
        <v>495</v>
      </c>
      <c r="B193">
        <v>615892</v>
      </c>
      <c r="C193" s="67">
        <v>43630.656944444447</v>
      </c>
      <c r="D193" t="s">
        <v>1077</v>
      </c>
      <c r="F193">
        <v>0</v>
      </c>
      <c r="G193">
        <v>0</v>
      </c>
      <c r="H193">
        <v>153.68</v>
      </c>
      <c r="J193" t="s">
        <v>1092</v>
      </c>
    </row>
    <row r="194" spans="1:10" x14ac:dyDescent="0.2">
      <c r="A194" t="s">
        <v>495</v>
      </c>
      <c r="B194">
        <v>615892</v>
      </c>
      <c r="C194" s="67">
        <v>43630.656944444447</v>
      </c>
      <c r="D194" t="s">
        <v>1075</v>
      </c>
      <c r="E194" t="s">
        <v>923</v>
      </c>
      <c r="F194">
        <v>203587</v>
      </c>
      <c r="G194">
        <v>11.06</v>
      </c>
      <c r="H194">
        <v>0</v>
      </c>
      <c r="J194" t="s">
        <v>1093</v>
      </c>
    </row>
    <row r="195" spans="1:10" x14ac:dyDescent="0.2">
      <c r="A195" t="s">
        <v>495</v>
      </c>
      <c r="B195">
        <v>615898</v>
      </c>
      <c r="C195" s="67">
        <v>43630.657638888886</v>
      </c>
      <c r="D195" t="s">
        <v>1076</v>
      </c>
      <c r="E195" t="s">
        <v>925</v>
      </c>
      <c r="F195">
        <v>169740</v>
      </c>
      <c r="G195">
        <v>142.62</v>
      </c>
      <c r="H195">
        <v>0</v>
      </c>
      <c r="J195" t="s">
        <v>1094</v>
      </c>
    </row>
    <row r="196" spans="1:10" x14ac:dyDescent="0.2">
      <c r="A196" t="s">
        <v>495</v>
      </c>
      <c r="B196">
        <v>619146</v>
      </c>
      <c r="C196" s="67">
        <v>43644.024305555555</v>
      </c>
      <c r="D196" t="s">
        <v>1078</v>
      </c>
      <c r="E196" t="s">
        <v>923</v>
      </c>
      <c r="F196">
        <v>205888</v>
      </c>
      <c r="G196">
        <v>6</v>
      </c>
      <c r="H196">
        <v>0</v>
      </c>
      <c r="J196" t="s">
        <v>1095</v>
      </c>
    </row>
    <row r="197" spans="1:10" x14ac:dyDescent="0.2">
      <c r="A197" t="s">
        <v>561</v>
      </c>
      <c r="B197">
        <v>618591</v>
      </c>
      <c r="C197" s="67">
        <v>43641.661111111112</v>
      </c>
      <c r="D197" t="s">
        <v>1079</v>
      </c>
      <c r="F197">
        <v>0</v>
      </c>
      <c r="G197">
        <v>0</v>
      </c>
      <c r="H197">
        <v>318.27</v>
      </c>
      <c r="J197" t="s">
        <v>1092</v>
      </c>
    </row>
    <row r="198" spans="1:10" x14ac:dyDescent="0.2">
      <c r="A198" t="s">
        <v>561</v>
      </c>
      <c r="B198">
        <v>618591</v>
      </c>
      <c r="C198" s="67">
        <v>43641.661111111112</v>
      </c>
      <c r="D198" t="s">
        <v>1080</v>
      </c>
      <c r="E198" t="s">
        <v>923</v>
      </c>
      <c r="F198">
        <v>204416</v>
      </c>
      <c r="G198">
        <v>22.92</v>
      </c>
      <c r="H198">
        <v>0</v>
      </c>
      <c r="J198" t="s">
        <v>1093</v>
      </c>
    </row>
    <row r="199" spans="1:10" x14ac:dyDescent="0.2">
      <c r="A199" t="s">
        <v>561</v>
      </c>
      <c r="B199">
        <v>618591</v>
      </c>
      <c r="C199" s="67">
        <v>43641.661111111112</v>
      </c>
      <c r="D199" t="s">
        <v>1081</v>
      </c>
      <c r="F199">
        <v>0</v>
      </c>
      <c r="G199">
        <v>0</v>
      </c>
      <c r="H199">
        <v>281.73</v>
      </c>
      <c r="J199" t="s">
        <v>1092</v>
      </c>
    </row>
    <row r="200" spans="1:10" x14ac:dyDescent="0.2">
      <c r="A200" t="s">
        <v>561</v>
      </c>
      <c r="B200">
        <v>618591</v>
      </c>
      <c r="C200" s="67">
        <v>43641.661111111112</v>
      </c>
      <c r="D200" t="s">
        <v>1080</v>
      </c>
      <c r="E200" t="s">
        <v>923</v>
      </c>
      <c r="F200">
        <v>204416</v>
      </c>
      <c r="G200">
        <v>20.28</v>
      </c>
      <c r="H200">
        <v>0</v>
      </c>
      <c r="J200" t="s">
        <v>1093</v>
      </c>
    </row>
    <row r="201" spans="1:10" x14ac:dyDescent="0.2">
      <c r="A201" t="s">
        <v>561</v>
      </c>
      <c r="B201">
        <v>618604</v>
      </c>
      <c r="C201" s="67">
        <v>43641.674305555556</v>
      </c>
      <c r="D201" t="s">
        <v>1082</v>
      </c>
      <c r="E201" t="s">
        <v>925</v>
      </c>
      <c r="F201">
        <v>170528</v>
      </c>
      <c r="G201">
        <v>556.79999999999995</v>
      </c>
      <c r="H201">
        <v>0</v>
      </c>
      <c r="J201" t="s">
        <v>1094</v>
      </c>
    </row>
    <row r="202" spans="1:10" x14ac:dyDescent="0.2">
      <c r="A202" t="s">
        <v>561</v>
      </c>
      <c r="B202">
        <v>619146</v>
      </c>
      <c r="C202" s="67">
        <v>43644.024305555555</v>
      </c>
      <c r="D202" t="s">
        <v>1083</v>
      </c>
      <c r="E202" t="s">
        <v>923</v>
      </c>
      <c r="F202">
        <v>205975</v>
      </c>
      <c r="G202">
        <v>6</v>
      </c>
      <c r="H202">
        <v>0</v>
      </c>
      <c r="J202" t="s">
        <v>1095</v>
      </c>
    </row>
    <row r="203" spans="1:10" x14ac:dyDescent="0.2">
      <c r="C203" s="67"/>
    </row>
    <row r="204" spans="1:10" x14ac:dyDescent="0.2">
      <c r="C204" s="67"/>
    </row>
    <row r="205" spans="1:10" x14ac:dyDescent="0.2">
      <c r="C205" s="67"/>
    </row>
    <row r="206" spans="1:10" x14ac:dyDescent="0.2">
      <c r="C206" s="67"/>
    </row>
    <row r="207" spans="1:10" x14ac:dyDescent="0.2">
      <c r="C207" s="67"/>
    </row>
    <row r="208" spans="1:10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zoomScale="70" zoomScaleNormal="70" workbookViewId="0">
      <selection activeCell="AB94" sqref="AB94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t="shared" si="0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t="shared" si="0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t="shared" si="0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t="shared" si="0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t="shared" si="0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t="shared" si="0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t="shared" si="0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t="shared" si="0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t="shared" si="0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t="shared" si="0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t="shared" si="0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t="shared" si="0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t="shared" si="0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t="shared" si="0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t="shared" si="0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t="shared" si="0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t="shared" si="0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t="shared" si="0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t="shared" si="0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t="shared" si="0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t="shared" si="0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t="shared" si="0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t="shared" si="0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L. Long (12/05/2006 - 12/09/2006)</v>
      </c>
    </row>
    <row r="33" spans="1:29" s="52" customFormat="1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Groizard (27/03/2001 - 06/11/2005)</v>
      </c>
    </row>
    <row r="34" spans="1:29" s="52" customFormat="1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Kirsty Taylor &amp; Millie Barber (08/01/2010 - 01/08/2010)</v>
      </c>
    </row>
    <row r="38" spans="1:29" s="52" customFormat="1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t="shared" si="0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t="shared" si="0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t="shared" ref="AB66:AB130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t="shared" si="1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t="shared" si="1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N Stephens &amp; S Smith (04/05/2012 - 28/02/2013)</v>
      </c>
    </row>
    <row r="84" spans="1:29" s="52" customFormat="1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Ms McLachlan (08/04/2013 - 31/12/2013)</v>
      </c>
    </row>
    <row r="90" spans="1:29" s="52" customFormat="1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t="shared" si="1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Chalk  (27/07/2006 - 31/12/2006)</v>
      </c>
    </row>
    <row r="93" spans="1:29" s="52" customFormat="1" x14ac:dyDescent="0.2">
      <c r="A93" s="169">
        <v>26</v>
      </c>
      <c r="B93" s="170" t="s">
        <v>224</v>
      </c>
      <c r="C93" s="169"/>
      <c r="D93" s="170" t="s">
        <v>584</v>
      </c>
      <c r="E93" s="171">
        <v>43524</v>
      </c>
      <c r="F93" s="171"/>
      <c r="G93" s="169">
        <v>500</v>
      </c>
      <c r="H93" s="170" t="s">
        <v>29</v>
      </c>
      <c r="I93" s="54" t="s">
        <v>579</v>
      </c>
      <c r="J93" s="169">
        <v>6</v>
      </c>
      <c r="K93" s="54" t="s">
        <v>96</v>
      </c>
      <c r="L93" s="54" t="s">
        <v>97</v>
      </c>
      <c r="AB93" s="149" t="s">
        <v>585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t="shared" si="1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t="shared" si="1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t="shared" si="1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t="shared" si="1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t="shared" si="1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t="shared" si="1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t="shared" si="1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t="shared" si="1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t="shared" si="1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t="shared" si="1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t="shared" si="1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t="shared" si="1"/>
        <v>Lee Knowles (11/04/2014 - present)</v>
      </c>
    </row>
    <row r="112" spans="1:29" s="52" customFormat="1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t="shared" si="1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t="shared" si="1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t="shared" si="1"/>
        <v>Ms Baziukiene (16/09/2015 - present)</v>
      </c>
    </row>
    <row r="125" spans="1:29" s="52" customFormat="1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t="shared" si="1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t="shared" si="1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t="shared" si="1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t="shared" si="1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t="shared" si="1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t="shared" si="2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t="shared" si="2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t="shared" si="2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t="shared" si="2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t="shared" si="2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t="shared" si="2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t="shared" si="2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t="shared" si="2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t="shared" si="2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t="shared" si="2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t="shared" si="2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t="shared" si="2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t="shared" si="2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t="shared" si="2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t="shared" si="2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t="shared" si="2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t="shared" si="2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t="shared" si="2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t="shared" si="2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t="shared" si="2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t="shared" si="2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t="shared" si="2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t="shared" si="2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t="shared" si="2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t="shared" si="2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t="shared" si="2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t="shared" si="2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t="shared" si="2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t="shared" si="2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t="shared" si="2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t="shared" si="2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t="shared" si="2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t="shared" si="2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t="shared" si="2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t="shared" si="2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t="shared" si="2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t="shared" si="2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t="shared" si="3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t="shared" si="3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t="shared" si="3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t="shared" si="3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t="shared" si="3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t="shared" si="3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t="shared" si="3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t="shared" si="3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t="shared" si="3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t="shared" si="3"/>
        <v>Tuckley (26/05/2006 - 25/11/2006)</v>
      </c>
    </row>
    <row r="220" spans="1:28" s="52" customFormat="1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t="shared" si="3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t="shared" si="3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t="shared" si="3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t="shared" si="3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t="shared" si="3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t="shared" si="3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t="shared" si="3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t="shared" si="3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t="shared" si="3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t="shared" si="3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t="shared" si="3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t="shared" si="3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t="shared" si="3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Hussain (20/07/2015 - 20/08/2015)</v>
      </c>
    </row>
    <row r="236" spans="1:29" s="52" customFormat="1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t="shared" si="3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t="shared" si="3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t="shared" si="3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t="shared" si="3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t="shared" si="3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t="shared" si="3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t="shared" si="3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Glenn Wallace &amp; Gary Hanna (24/04/2009 - 25/05/2010)</v>
      </c>
    </row>
    <row r="250" spans="1:29" s="52" customFormat="1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Mabe &amp; Hodgkins   (29/02/2008 - 02/11/2008)</v>
      </c>
      <c r="AC250"/>
    </row>
    <row r="251" spans="1:29" s="52" customFormat="1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Boctor/Bhatti (13/10/2005 - 12/07/2007)</v>
      </c>
      <c r="AC251"/>
    </row>
    <row r="252" spans="1:29" s="52" customFormat="1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Lebbon/Ravensdale (12/03/2005 - 04/10/2005)</v>
      </c>
      <c r="AC252"/>
    </row>
    <row r="253" spans="1:29" s="52" customFormat="1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Sandra Namataka &amp; Miss Leilah Nakamaanya (01/09/2015 - present)</v>
      </c>
      <c r="AC253"/>
    </row>
    <row r="254" spans="1:29" s="52" customFormat="1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Jade Parrett-Harris &amp; Robbyn McCarthy (08/09/2014 - 08/07/2015)</v>
      </c>
      <c r="AC254"/>
    </row>
    <row r="255" spans="1:29" s="52" customFormat="1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Meena Flora &amp; Chloe Fisher (01/08/2013 - 31/05/2014)</v>
      </c>
      <c r="AC255"/>
    </row>
    <row r="256" spans="1:29" s="52" customFormat="1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t="shared" si="3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t="shared" si="3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t="shared" si="4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t="shared" si="4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t="shared" si="4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t="shared" si="4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t="shared" si="4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t="shared" si="4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t="shared" si="4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t="shared" si="4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t="shared" si="4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t="shared" si="4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t="shared" si="4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t="shared" si="4"/>
        <v/>
      </c>
    </row>
    <row r="276" spans="1:28" x14ac:dyDescent="0.2">
      <c r="AB276" t="str">
        <f t="shared" ref="AB276:AB331" si="5">IF(E276&lt;&gt;"",IF(F276="",D276&amp;" ("&amp;TEXT(E276,"dd/mm/yyyy")&amp;" - present)",D276&amp;" ("&amp;TEXT(E276,"dd/mm/yyyy")&amp;" - "&amp;TEXT(F276,"dd/mm/yyyy")&amp;")"),"")</f>
        <v/>
      </c>
    </row>
    <row r="277" spans="1:28" x14ac:dyDescent="0.2">
      <c r="AB277" t="str">
        <f t="shared" si="5"/>
        <v/>
      </c>
    </row>
    <row r="278" spans="1:28" x14ac:dyDescent="0.2">
      <c r="AB278" t="str">
        <f t="shared" si="5"/>
        <v/>
      </c>
    </row>
    <row r="279" spans="1:28" x14ac:dyDescent="0.2">
      <c r="AB279" t="str">
        <f t="shared" si="5"/>
        <v/>
      </c>
    </row>
    <row r="280" spans="1:28" x14ac:dyDescent="0.2">
      <c r="AB280" t="str">
        <f t="shared" si="5"/>
        <v/>
      </c>
    </row>
    <row r="281" spans="1:28" x14ac:dyDescent="0.2">
      <c r="AB281" t="str">
        <f t="shared" si="5"/>
        <v/>
      </c>
    </row>
    <row r="282" spans="1:28" x14ac:dyDescent="0.2">
      <c r="AB282" t="str">
        <f t="shared" si="5"/>
        <v/>
      </c>
    </row>
    <row r="283" spans="1:28" x14ac:dyDescent="0.2">
      <c r="AB283" t="str">
        <f t="shared" si="5"/>
        <v/>
      </c>
    </row>
    <row r="284" spans="1:28" x14ac:dyDescent="0.2">
      <c r="AB284" t="str">
        <f t="shared" si="5"/>
        <v/>
      </c>
    </row>
    <row r="285" spans="1:28" x14ac:dyDescent="0.2">
      <c r="AB285" t="str">
        <f t="shared" si="5"/>
        <v/>
      </c>
    </row>
    <row r="286" spans="1:28" x14ac:dyDescent="0.2">
      <c r="AB286" t="str">
        <f t="shared" si="5"/>
        <v/>
      </c>
    </row>
    <row r="287" spans="1:28" x14ac:dyDescent="0.2">
      <c r="AB287" t="str">
        <f t="shared" si="5"/>
        <v/>
      </c>
    </row>
    <row r="288" spans="1:28" x14ac:dyDescent="0.2">
      <c r="AB288" t="str">
        <f t="shared" si="5"/>
        <v/>
      </c>
    </row>
    <row r="289" spans="28:28" x14ac:dyDescent="0.2">
      <c r="AB289" t="str">
        <f t="shared" si="5"/>
        <v/>
      </c>
    </row>
    <row r="290" spans="28:28" x14ac:dyDescent="0.2">
      <c r="AB290" t="str">
        <f t="shared" si="5"/>
        <v/>
      </c>
    </row>
    <row r="291" spans="28:28" x14ac:dyDescent="0.2">
      <c r="AB291" t="str">
        <f t="shared" si="5"/>
        <v/>
      </c>
    </row>
    <row r="292" spans="28:28" x14ac:dyDescent="0.2">
      <c r="AB292" t="str">
        <f t="shared" si="5"/>
        <v/>
      </c>
    </row>
    <row r="293" spans="28:28" x14ac:dyDescent="0.2">
      <c r="AB293" t="str">
        <f t="shared" si="5"/>
        <v/>
      </c>
    </row>
    <row r="294" spans="28:28" x14ac:dyDescent="0.2">
      <c r="AB294" t="str">
        <f t="shared" si="5"/>
        <v/>
      </c>
    </row>
    <row r="295" spans="28:28" x14ac:dyDescent="0.2">
      <c r="AB295" t="str">
        <f t="shared" si="5"/>
        <v/>
      </c>
    </row>
    <row r="296" spans="28:28" x14ac:dyDescent="0.2">
      <c r="AB296" t="str">
        <f t="shared" si="5"/>
        <v/>
      </c>
    </row>
    <row r="297" spans="28:28" x14ac:dyDescent="0.2">
      <c r="AB297" t="str">
        <f t="shared" si="5"/>
        <v/>
      </c>
    </row>
    <row r="298" spans="28:28" x14ac:dyDescent="0.2">
      <c r="AB298" t="str">
        <f t="shared" si="5"/>
        <v/>
      </c>
    </row>
    <row r="299" spans="28:28" x14ac:dyDescent="0.2">
      <c r="AB299" t="str">
        <f t="shared" si="5"/>
        <v/>
      </c>
    </row>
    <row r="300" spans="28:28" x14ac:dyDescent="0.2">
      <c r="AB300" t="str">
        <f t="shared" si="5"/>
        <v/>
      </c>
    </row>
    <row r="301" spans="28:28" x14ac:dyDescent="0.2">
      <c r="AB301" t="str">
        <f t="shared" si="5"/>
        <v/>
      </c>
    </row>
    <row r="302" spans="28:28" x14ac:dyDescent="0.2">
      <c r="AB302" t="str">
        <f t="shared" si="5"/>
        <v/>
      </c>
    </row>
    <row r="303" spans="28:28" x14ac:dyDescent="0.2">
      <c r="AB303" t="str">
        <f t="shared" si="5"/>
        <v/>
      </c>
    </row>
    <row r="304" spans="28:28" x14ac:dyDescent="0.2">
      <c r="AB304" t="str">
        <f t="shared" si="5"/>
        <v/>
      </c>
    </row>
    <row r="305" spans="28:28" x14ac:dyDescent="0.2">
      <c r="AB305" t="str">
        <f t="shared" si="5"/>
        <v/>
      </c>
    </row>
    <row r="306" spans="28:28" x14ac:dyDescent="0.2">
      <c r="AB306" t="str">
        <f t="shared" si="5"/>
        <v/>
      </c>
    </row>
    <row r="307" spans="28:28" x14ac:dyDescent="0.2">
      <c r="AB307" t="str">
        <f t="shared" si="5"/>
        <v/>
      </c>
    </row>
    <row r="308" spans="28:28" x14ac:dyDescent="0.2">
      <c r="AB308" t="str">
        <f t="shared" si="5"/>
        <v/>
      </c>
    </row>
    <row r="309" spans="28:28" x14ac:dyDescent="0.2">
      <c r="AB309" t="str">
        <f t="shared" si="5"/>
        <v/>
      </c>
    </row>
    <row r="310" spans="28:28" x14ac:dyDescent="0.2">
      <c r="AB310" t="str">
        <f t="shared" si="5"/>
        <v/>
      </c>
    </row>
    <row r="311" spans="28:28" x14ac:dyDescent="0.2">
      <c r="AB311" t="str">
        <f t="shared" si="5"/>
        <v/>
      </c>
    </row>
    <row r="312" spans="28:28" x14ac:dyDescent="0.2">
      <c r="AB312" t="str">
        <f t="shared" si="5"/>
        <v/>
      </c>
    </row>
    <row r="313" spans="28:28" x14ac:dyDescent="0.2">
      <c r="AB313" t="str">
        <f t="shared" si="5"/>
        <v/>
      </c>
    </row>
    <row r="314" spans="28:28" x14ac:dyDescent="0.2">
      <c r="AB314" t="str">
        <f t="shared" si="5"/>
        <v/>
      </c>
    </row>
    <row r="315" spans="28:28" x14ac:dyDescent="0.2">
      <c r="AB315" t="str">
        <f t="shared" si="5"/>
        <v/>
      </c>
    </row>
    <row r="316" spans="28:28" x14ac:dyDescent="0.2">
      <c r="AB316" t="str">
        <f t="shared" si="5"/>
        <v/>
      </c>
    </row>
    <row r="317" spans="28:28" x14ac:dyDescent="0.2">
      <c r="AB317" t="str">
        <f t="shared" si="5"/>
        <v/>
      </c>
    </row>
    <row r="318" spans="28:28" x14ac:dyDescent="0.2">
      <c r="AB318" t="str">
        <f t="shared" si="5"/>
        <v/>
      </c>
    </row>
    <row r="319" spans="28:28" x14ac:dyDescent="0.2">
      <c r="AB319" t="str">
        <f t="shared" si="5"/>
        <v/>
      </c>
    </row>
    <row r="320" spans="28:28" x14ac:dyDescent="0.2">
      <c r="AB320" t="str">
        <f t="shared" si="5"/>
        <v/>
      </c>
    </row>
    <row r="321" spans="28:28" x14ac:dyDescent="0.2">
      <c r="AB321" t="str">
        <f t="shared" si="5"/>
        <v/>
      </c>
    </row>
    <row r="322" spans="28:28" x14ac:dyDescent="0.2">
      <c r="AB322" t="str">
        <f t="shared" si="5"/>
        <v/>
      </c>
    </row>
    <row r="323" spans="28:28" x14ac:dyDescent="0.2">
      <c r="AB323" t="str">
        <f t="shared" si="5"/>
        <v/>
      </c>
    </row>
    <row r="324" spans="28:28" x14ac:dyDescent="0.2">
      <c r="AB324" t="str">
        <f t="shared" si="5"/>
        <v/>
      </c>
    </row>
    <row r="325" spans="28:28" x14ac:dyDescent="0.2">
      <c r="AB325" t="str">
        <f t="shared" si="5"/>
        <v/>
      </c>
    </row>
    <row r="326" spans="28:28" x14ac:dyDescent="0.2">
      <c r="AB326" t="str">
        <f t="shared" si="5"/>
        <v/>
      </c>
    </row>
    <row r="327" spans="28:28" x14ac:dyDescent="0.2">
      <c r="AB327" t="str">
        <f t="shared" si="5"/>
        <v/>
      </c>
    </row>
    <row r="328" spans="28:28" x14ac:dyDescent="0.2">
      <c r="AB328" t="str">
        <f t="shared" si="5"/>
        <v/>
      </c>
    </row>
    <row r="329" spans="28:28" x14ac:dyDescent="0.2">
      <c r="AB329" t="str">
        <f t="shared" si="5"/>
        <v/>
      </c>
    </row>
    <row r="330" spans="28:28" x14ac:dyDescent="0.2">
      <c r="AB330" t="str">
        <f t="shared" si="5"/>
        <v/>
      </c>
    </row>
    <row r="331" spans="28:28" x14ac:dyDescent="0.2">
      <c r="AB331" t="str">
        <f t="shared" si="5"/>
        <v/>
      </c>
    </row>
    <row r="332" spans="28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28:28" x14ac:dyDescent="0.2">
      <c r="AB333" t="str">
        <f t="shared" si="6"/>
        <v/>
      </c>
    </row>
    <row r="334" spans="28:28" x14ac:dyDescent="0.2">
      <c r="AB334" t="str">
        <f t="shared" si="6"/>
        <v/>
      </c>
    </row>
    <row r="335" spans="28:28" x14ac:dyDescent="0.2">
      <c r="AB335" t="str">
        <f t="shared" si="6"/>
        <v/>
      </c>
    </row>
    <row r="336" spans="28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 filterMode="1"/>
  <dimension ref="A1:G80"/>
  <sheetViews>
    <sheetView zoomScale="70" workbookViewId="0">
      <selection activeCell="E59" sqref="E5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hidden="1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hidden="1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hidden="1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475</v>
      </c>
    </row>
    <row r="15" spans="1:7" hidden="1" x14ac:dyDescent="0.2">
      <c r="A15" s="57">
        <v>12</v>
      </c>
      <c r="B15" s="58" t="s">
        <v>137</v>
      </c>
      <c r="C15" s="58" t="s">
        <v>95</v>
      </c>
      <c r="D15" s="58"/>
      <c r="E15" s="2" t="s">
        <v>575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hidden="1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hidden="1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hidden="1" x14ac:dyDescent="0.2">
      <c r="A26" s="57">
        <v>20</v>
      </c>
      <c r="B26" s="58" t="s">
        <v>140</v>
      </c>
      <c r="C26" s="58" t="s">
        <v>95</v>
      </c>
      <c r="D26" s="58"/>
    </row>
    <row r="27" spans="1:5" hidden="1" x14ac:dyDescent="0.2">
      <c r="A27" s="57">
        <v>20</v>
      </c>
      <c r="B27" s="58" t="s">
        <v>234</v>
      </c>
      <c r="C27" s="58" t="s">
        <v>197</v>
      </c>
      <c r="D27" s="58"/>
    </row>
    <row r="28" spans="1:5" hidden="1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hidden="1" x14ac:dyDescent="0.2">
      <c r="A40" s="57">
        <v>24</v>
      </c>
      <c r="B40" s="58" t="s">
        <v>141</v>
      </c>
      <c r="C40" s="58"/>
      <c r="D40" s="58"/>
      <c r="E40" s="2"/>
    </row>
    <row r="41" spans="1:5" hidden="1" x14ac:dyDescent="0.2">
      <c r="A41" s="57">
        <v>29</v>
      </c>
      <c r="B41" s="58" t="s">
        <v>142</v>
      </c>
      <c r="C41" s="58"/>
      <c r="D41" s="58"/>
      <c r="E41" s="2"/>
    </row>
    <row r="42" spans="1:5" hidden="1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hidden="1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hidden="1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hidden="1" x14ac:dyDescent="0.2">
      <c r="A53" s="57">
        <v>45</v>
      </c>
      <c r="B53" s="58" t="s">
        <v>145</v>
      </c>
      <c r="C53" s="58"/>
      <c r="D53" s="58"/>
      <c r="E53" s="2"/>
    </row>
    <row r="54" spans="1:5" hidden="1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hidden="1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hidden="1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hidden="1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hidden="1" x14ac:dyDescent="0.2">
      <c r="A66" s="57">
        <v>62</v>
      </c>
      <c r="B66" s="58" t="s">
        <v>149</v>
      </c>
      <c r="C66" s="58"/>
      <c r="D66" s="58"/>
      <c r="E66" s="2"/>
    </row>
    <row r="67" spans="1:5" hidden="1" x14ac:dyDescent="0.2">
      <c r="A67" s="57">
        <v>36</v>
      </c>
      <c r="B67" s="58" t="s">
        <v>150</v>
      </c>
      <c r="C67" s="58"/>
      <c r="D67" s="58"/>
      <c r="E67" s="2"/>
    </row>
    <row r="68" spans="1:5" hidden="1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hidden="1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hidden="1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hidden="1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hidden="1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hidden="1" x14ac:dyDescent="0.2">
      <c r="A73" s="57">
        <v>35</v>
      </c>
      <c r="B73" s="58" t="s">
        <v>127</v>
      </c>
      <c r="C73" s="58"/>
      <c r="D73" s="58"/>
      <c r="E73" s="2"/>
    </row>
    <row r="74" spans="1:5" hidden="1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hidden="1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>
    <filterColumn colId="3">
      <customFilters>
        <customFilter operator="notEqual" val=" "/>
      </customFilters>
    </filterColumn>
  </autoFilter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2019-10-12T18:50:50Z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