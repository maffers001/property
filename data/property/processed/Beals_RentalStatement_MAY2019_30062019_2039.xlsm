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54D0D2CB-4C12-4D6E-6EDF-ACB5E8E520A3}" lastEdited="7" lowestEdited="7" rupBuild="21629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F632F82D-0666-4B9E-B052-729AAC25934A}" revIDLastSave="0" xr10:uidLastSave="{00000000-0000-0000-0000-000000000000}" xr6:coauthVersionLast="43" xr6:coauthVersionMax="43"/>
  <bookViews>
    <workbookView activeTab="6" windowHeight="15840" windowWidth="29040" xWindow="-1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definedNames>
    <definedName hidden="1" localSheetId="6" name="_xlnm._FilterDatabase">Beals!$A$1:$J$220</definedName>
    <definedName hidden="1" localSheetId="4" name="_xlnm._FilterDatabase">IV!$A$1:$I$71</definedName>
    <definedName hidden="1" localSheetId="5" name="_xlnm._FilterDatabase">'IV (4040)'!$A$1:$I$135</definedName>
    <definedName hidden="1" localSheetId="3" name="_xlnm._FilterDatabase">MT!$A$1:$J$211</definedName>
    <definedName hidden="1" localSheetId="0" name="_xlnm._FilterDatabase">'Rent Statement'!$B$7:$U$63</definedName>
    <definedName hidden="1" localSheetId="7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MT!$D$2:$D$493</definedName>
    <definedName name="MT_BankRef">MT!$F$2:$F$493</definedName>
    <definedName name="MT_Desc">MT!$H$2:$H$493</definedName>
    <definedName name="MT_Include">MT!$J$2:$J$493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i="31690" l="1" r="B33"/>
  <c i="31690" r="C31"/>
  <c i="31690" r="E39"/>
  <c i="31690" r="B17"/>
  <c i="31690" r="C17"/>
  <c i="31690" r="B32"/>
  <c i="31690" r="C30"/>
  <c i="31690" r="C34"/>
  <c i="31690" r="C21"/>
  <c i="31690" r="C29"/>
  <c i="31690" r="C32"/>
  <c i="31690" r="B26"/>
  <c i="31690" r="C26"/>
  <c i="31690" r="B21"/>
  <c i="31690" r="C24"/>
  <c i="31690" r="C18"/>
  <c i="31690" r="B25"/>
  <c i="31690" r="B18"/>
  <c i="31690" r="B29"/>
  <c i="31690" r="B22"/>
  <c i="31690" r="B30"/>
  <c i="31690" r="B34"/>
  <c i="31690" r="C22"/>
  <c i="31690" r="B31"/>
  <c i="31690" r="B24"/>
  <c i="31690" r="C25"/>
  <c i="31690" r="C33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20"/>
  <c i="31680" r="AB245"/>
  <c i="31680" r="AB42"/>
  <c i="31680" r="AB39"/>
  <c i="31680" r="AB153"/>
  <c i="31680" r="AB135"/>
  <c i="31680" r="AB27"/>
  <c i="31680" r="AB6"/>
  <c i="31680" r="AB242"/>
  <c i="31680" r="AB73"/>
  <c i="31680" r="AB102"/>
  <c i="31680" r="AB265"/>
  <c i="31680" r="AB201"/>
  <c i="31680" r="AB131"/>
  <c i="31680" r="AB33"/>
  <c i="31680" r="AB208"/>
  <c i="31680" r="AB99"/>
  <c i="31680" r="AB29"/>
  <c i="31680" r="AB56"/>
  <c i="31680" r="AB133"/>
  <c i="31680" r="AB86"/>
  <c i="31680" r="AB269"/>
  <c i="31680" r="AB270"/>
  <c i="31680" r="AB271"/>
  <c i="31680" r="AB209"/>
  <c i="31680" r="AB163"/>
  <c i="31680" r="AB119"/>
  <c i="31680" r="AB272"/>
  <c i="31680" r="AB206"/>
  <c i="31680" r="AB149"/>
  <c i="31680" r="AB212"/>
  <c i="31680" r="AB226"/>
  <c i="31680" r="AB227"/>
  <c i="31680" r="AB241"/>
  <c i="31680" r="AB170"/>
  <c i="31680" r="AB62"/>
  <c i="31680" r="AB30"/>
  <c i="31680" r="AB32"/>
  <c i="31680" r="AB31"/>
  <c i="31680" r="AB108"/>
  <c i="31680" r="AB142"/>
  <c i="31680" r="AB103"/>
  <c i="31680" r="AB243"/>
  <c i="31680" r="AB11"/>
  <c i="31680" r="AB13"/>
  <c i="31680" r="AB121"/>
  <c i="31680" r="AB67"/>
  <c i="31680" r="AB190"/>
  <c i="31680" r="AB158"/>
  <c i="31680" r="AB240"/>
  <c i="31680" r="AB274"/>
  <c i="31680" r="AB157"/>
  <c i="31680" r="AB188"/>
  <c i="31680" r="AB192"/>
  <c i="31680" r="AB151"/>
  <c i="31680" r="AB5"/>
  <c i="31680" r="AB7"/>
  <c i="31680" r="AB173"/>
  <c i="31680" r="AB267"/>
  <c i="31680" r="AB147"/>
  <c i="31680" r="AB72"/>
  <c i="31680" r="AB71"/>
  <c i="31680" r="AB266"/>
  <c i="31680" r="AB193"/>
  <c i="31680" r="AB18"/>
  <c i="31680" r="AB126"/>
  <c i="31680" r="AB237"/>
  <c i="31680" r="AB181"/>
  <c i="31680" r="AB268"/>
  <c i="31680" r="AB230"/>
  <c i="31680" r="AB65"/>
  <c i="31680" r="AB20"/>
  <c i="31680" r="AB171"/>
  <c i="31680" r="AB113"/>
  <c i="31680" r="AB217"/>
  <c i="31680" r="AB185"/>
  <c i="31680" r="AB132"/>
  <c i="31680" r="AB41"/>
  <c i="31680" r="AB140"/>
  <c i="31680" r="AB107"/>
  <c i="31680" r="AB150"/>
  <c i="31680" r="AB22"/>
  <c i="31680" r="AB16"/>
  <c i="31680" r="AB47"/>
  <c i="31680" r="AB141"/>
  <c i="31680" r="AB48"/>
  <c i="31680" r="AB275"/>
  <c i="31680" r="AB210"/>
  <c i="31680" r="AB262"/>
  <c i="31680" r="AB44"/>
  <c i="31680" r="AB45"/>
  <c i="31680" r="AB36"/>
  <c i="31680" r="AB137"/>
  <c i="31680" r="AB169"/>
  <c i="31680" r="AB8"/>
  <c i="31680" r="AB38"/>
  <c i="31680" r="AB17"/>
  <c i="31680" r="AB155"/>
  <c i="31680" r="AB214"/>
  <c i="31680" r="AB43"/>
  <c i="31680" r="AB57"/>
  <c i="31680" r="AB112"/>
  <c i="31680" r="AB15"/>
  <c i="31680" r="AB254"/>
  <c i="31680" r="AB249"/>
  <c i="31680" r="AB213"/>
  <c i="31680" r="AB60"/>
  <c i="31680" r="AB125"/>
  <c i="31680" r="AB233"/>
  <c i="31680" r="AB82"/>
  <c i="31680" r="AB199"/>
  <c i="31680" r="AB53"/>
  <c i="31680" r="AB46"/>
  <c i="31680" r="AB98"/>
  <c i="31680" r="AB139"/>
  <c i="31680" r="AB182"/>
  <c i="31680" r="AB168"/>
  <c i="31680" r="AB175"/>
  <c i="31680" r="AB104"/>
  <c i="31680" r="AB257"/>
  <c i="31680" r="AB258"/>
  <c i="31680" r="AB106"/>
  <c i="31680" r="AB167"/>
  <c i="31680" r="AB219"/>
  <c i="31680" r="AB100"/>
  <c i="31680" r="AB70"/>
  <c i="31680" r="AB205"/>
  <c i="31680" r="AB116"/>
  <c i="31680" r="AB152"/>
  <c i="31680" r="AB154"/>
  <c i="31680" r="AB273"/>
  <c i="31680" r="AB105"/>
  <c i="31680" r="AB204"/>
  <c i="31680" r="AB96"/>
  <c i="31680" r="AB224"/>
  <c i="31680" r="AB77"/>
  <c i="31680" r="AB76"/>
  <c i="31680" r="AB122"/>
  <c i="31680" r="AB234"/>
  <c i="31680" r="AB228"/>
  <c i="31680" r="AB252"/>
  <c i="31680" r="AB251"/>
  <c i="31680" r="AB231"/>
  <c i="31680" r="AB207"/>
  <c i="31680" r="AB114"/>
  <c i="31680" r="AB9"/>
  <c i="31680" r="AB115"/>
  <c i="31680" r="AB75"/>
  <c i="31680" r="AB177"/>
  <c i="31680" r="AB63"/>
  <c i="31680" r="AB176"/>
  <c i="31680" r="AB92"/>
  <c i="31680" r="AB21"/>
  <c i="31680" r="AB109"/>
  <c i="31680" r="AB97"/>
  <c i="31680" r="AB166"/>
  <c i="31680" r="AB52"/>
  <c i="31680" r="AB59"/>
  <c i="31680" r="AB61"/>
  <c i="31680" r="AB225"/>
  <c i="31680" r="AB87"/>
  <c i="31680" r="AB88"/>
  <c i="31680" r="AB172"/>
  <c i="31680" r="AB68"/>
  <c i="31680" r="AB248"/>
  <c i="31680" r="AB89"/>
  <c i="31680" r="AB198"/>
  <c i="31680" r="AB197"/>
  <c i="31680" r="AB211"/>
  <c i="31680" r="AB261"/>
  <c i="31680" r="AB260"/>
  <c i="31680" r="AB216"/>
  <c i="31680" r="AB111"/>
  <c i="31680" r="AB250"/>
  <c i="31680" r="AB148"/>
  <c i="31680" r="AB146"/>
  <c i="31680" r="AB156"/>
  <c i="31680" r="AB4"/>
  <c i="31680" r="AB143"/>
  <c i="31680" r="AB144"/>
  <c i="31680" r="AB145"/>
  <c i="31680" r="AB130"/>
  <c i="31680" r="AB120"/>
  <c i="31680" r="AB186"/>
  <c i="31680" r="AB134"/>
  <c i="31680" r="AB165"/>
  <c i="31680" r="AB195"/>
  <c i="31680" r="AB232"/>
  <c i="31680" r="AB54"/>
  <c i="31680" r="AB81"/>
  <c i="31680" r="AB229"/>
  <c i="31680" r="AB191"/>
  <c i="31680" r="AB84"/>
  <c i="31680" r="AB255"/>
  <c i="31680" r="AB129"/>
  <c i="31680" r="AB256"/>
  <c i="31680" r="AB110"/>
  <c i="31680" r="AB238"/>
  <c i="31680" r="AB239"/>
  <c i="31680" r="AB94"/>
  <c i="31680" r="AB95"/>
  <c i="31680" r="AB174"/>
  <c i="31680" r="AB244"/>
  <c i="31680" r="AB246"/>
  <c i="31680" r="AB91"/>
  <c i="31680" r="AB26"/>
  <c i="31680" r="AB247"/>
  <c i="31680" r="AB189"/>
  <c i="31680" r="AB37"/>
  <c i="31680" r="AB159"/>
  <c i="31680" r="AB235"/>
  <c i="31680" r="AB50"/>
  <c i="31680" r="AB184"/>
  <c i="31680" r="AB183"/>
  <c i="31680" r="AB236"/>
  <c i="31680" r="AB160"/>
  <c i="31680" r="AB162"/>
  <c i="31680" r="AB161"/>
  <c i="31680" r="AB55"/>
  <c i="31680" r="AB14"/>
  <c i="31680" r="AB25"/>
  <c i="31680" r="AB49"/>
  <c i="31680" r="AB259"/>
  <c i="31680" r="AB118"/>
  <c i="31680" r="AB58"/>
  <c i="31680" r="AB200"/>
  <c i="31680" r="AB123"/>
  <c i="31680" r="AB222"/>
  <c i="31680" r="AB202"/>
  <c i="31680" r="AB101"/>
  <c i="31680" r="AB28"/>
  <c i="31680" r="AB83"/>
  <c i="31680" r="AB164"/>
  <c i="31680" r="AB196"/>
  <c i="31680" r="AB19"/>
  <c i="31680" r="AB127"/>
  <c i="31680" r="AB10"/>
  <c i="31680" r="AB34"/>
  <c i="31680" r="AB12"/>
  <c i="31680" r="AB203"/>
  <c i="31680" r="AB74"/>
  <c i="31680" r="AB69"/>
  <c i="31680" r="AB90"/>
  <c i="31680" r="AB138"/>
  <c i="31680" r="AB78"/>
  <c i="31680" r="AB178"/>
  <c i="31680" r="AB40"/>
  <c i="31680" r="AB253"/>
  <c i="31680" r="AB218"/>
  <c i="31680" r="AB221"/>
  <c i="31680" r="AB79"/>
  <c i="31680" r="AB117"/>
  <c i="31680" r="AB179"/>
  <c i="31680" r="AB35"/>
  <c i="31680" r="AB24"/>
  <c i="31680" r="AB180"/>
  <c i="31680" r="AB23"/>
  <c i="31680" r="AB187"/>
  <c i="31680" r="AB128"/>
  <c i="31680" r="AB85"/>
  <c i="31680" r="AB223"/>
  <c i="31680" r="AB66"/>
  <c i="31680" r="AB80"/>
  <c i="31680" r="AB194"/>
  <c i="31680" r="AB64"/>
  <c i="31680" r="AB264"/>
  <c i="31680" r="AB215"/>
  <c i="31680" r="AB263"/>
  <c i="31680" r="AB136"/>
  <c i="31680" r="AB124"/>
  <c i="31680" r="AB51"/>
  <c i="31680" r="AB2"/>
  <c i="31680" r="AB3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80" r="AB510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<sst xmlns="http://schemas.openxmlformats.org/spreadsheetml/2006/main" count="5253" uniqueCount="1145">
  <si>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</si>
  <si>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</si>
  <si>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</si>
  <si>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</si>
  <si>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</si>
  <si>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</si>
  <si>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</si>
  <si>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</si>
  <si>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</si>
  <si>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</si>
  <si>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</si>
  <si>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</si>
  <si>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</si>
  <si>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</si>
  <si>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</si>
  <si>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</si>
  <si>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</si>
  <si>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</si>
  <si>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</si>
  <si>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</si>
  <si>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</si>
  <si>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</si>
  <si>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</si>
  <si>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</si>
  <si>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</si>
  <si>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</si>
  <si>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</si>
  <si>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</si>
  <si>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</si>
  <si>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</si>
  <si>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</si>
  <si>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</si>
  <si>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</si>
  <si>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</si>
  <si>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</si>
  <si>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</si>
  <si>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</si>
  <si>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</si>
  <si>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</si>
  <si>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</si>
  <si>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</si>
  <si>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</si>
  <si>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</si>
  <si>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</si>
  <si>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</si>
  <si>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</si>
  <si>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</si>
  <si>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</si>
  <si>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</si>
  <si>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</si>
  <si>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</si>
  <si>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</si>
  <si>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</si>
  <si>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</si>
  <si>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</si>
  <si>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</si>
  <si>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</si>
  <si>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</si>
  <si>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</si>
  <si>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</si>
  <si>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</si>
  <si>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</si>
  <si>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</si>
  <si>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</si>
  <si>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</si>
  <si>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</si>
  <si>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</si>
  <si>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</si>
  <si>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</si>
  <si>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</si>
  <si>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</si>
  <si>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</si>
  <si>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</si>
  <si>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</si>
  <si>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</si>
  <si>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</si>
  <si>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</si>
  <si>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</si>
  <si>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</si>
  <si>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</si>
  <si>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</si>
  <si>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</si>
  <si>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</si>
  <si>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</si>
  <si>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</si>
  <si>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</si>
  <si>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</si>
  <si>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</si>
  <si>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</si>
  <si>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</si>
  <si>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</si>
  <si>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</si>
  <si>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</si>
  <si>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</si>
  <si>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</si>
  <si>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</si>
  <si>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</si>
  <si>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</si>
  <si>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</si>
  <si>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</si>
  <si>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</si>
  <si>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</si>
  <si>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</si>
  <si>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</si>
  <si>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</si>
  <si>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</si>
  <si>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</si>
  <si>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</si>
  <si>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</si>
  <si>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</si>
  <si>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</si>
  <si>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</si>
  <si>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</si>
  <si>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</si>
  <si>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</si>
  <si>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</si>
  <si>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</si>
  <si>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</si>
  <si>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</si>
  <si>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</si>
  <si>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</si>
  <si>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</si>
  <si>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</si>
  <si>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</si>
  <si>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</si>
  <si>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</si>
  <si>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</si>
  <si>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</si>
  <si>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</si>
  <si>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</si>
  <si>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</si>
  <si>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</si>
  <si>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</si>
  <si>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</si>
  <si>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</si>
  <si>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</si>
  <si>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</si>
  <si>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</si>
  <si>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</si>
  <si>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</si>
  <si>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</si>
  <si>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</si>
  <si>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</si>
  <si>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</si>
  <si>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</si>
  <si>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</si>
  <si>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</si>
  <si>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</si>
  <si>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</si>
  <si>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</si>
  <si>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</si>
  <si>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</si>
  <si>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</si>
  <si>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</si>
  <si>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</si>
  <si>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</si>
  <si>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</si>
  <si>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</si>
  <si>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</si>
  <si>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</si>
  <si>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</si>
  <si>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</si>
  <si>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</si>
  <si>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</si>
  <si>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</si>
  <si>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</si>
  <si>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</si>
  <si>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</si>
  <si>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</si>
  <si>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</si>
  <si>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</si>
  <si>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</si>
  <si>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</si>
  <si>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</si>
  <si>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</si>
  <si>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</si>
  <si>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</si>
  <si>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</si>
  <si>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</si>
  <si>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</si>
  <si>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</si>
  <si>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</si>
  <si>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</si>
  <si>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</si>
  <si>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</si>
  <si>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</si>
  <si>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</si>
  <si>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</si>
  <si>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</si>
  <si>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</si>
  <si>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</si>
  <si>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</si>
  <si>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</si>
  <si>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</si>
  <si>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</si>
  <si>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</si>
  <si>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</si>
  <si>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</si>
  <si>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</si>
  <si>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</si>
  <si>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</si>
  <si>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</si>
  <si>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</si>
  <si>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</si>
  <si>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</si>
  <si>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</si>
  <si>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</si>
  <si>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</si>
  <si>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</si>
  <si>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</si>
  <si>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</si>
  <si>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</si>
  <si>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</si>
  <si>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</si>
  <si>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</si>
  <si>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</si>
  <si>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</si>
  <si>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</si>
  <si>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</si>
  <si>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</si>
  <si>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</si>
  <si>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</si>
  <si>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</si>
  <si>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</si>
  <si>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</si>
  <si>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</si>
  <si>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</si>
  <si>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</si>
  <si>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</si>
  <si>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</si>
  <si>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</si>
  <si>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</si>
  <si>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</si>
  <si>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</si>
  <si>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</si>
  <si>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</si>
  <si>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</si>
  <si>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</si>
  <si>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</si>
  <si>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</si>
  <si>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</si>
  <si>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</si>
  <si>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</si>
  <si>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</si>
  <si>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</si>
  <si>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</si>
  <si>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</si>
  <si>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</si>
  <si>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</si>
  <si>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</si>
  <si>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</si>
  <si>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</si>
  <si>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</si>
  <si>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</si>
  <si>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</si>
  <si>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</si>
  <si>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</si>
  <si>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</si>
  <si>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</si>
  <si>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</si>
  <si>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</si>
  <si>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</si>
  <si>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</si>
  <si>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</si>
  <si>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</si>
  <si>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</si>
  <si>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</si>
  <si>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</si>
  <si>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</si>
  <si>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</si>
  <si>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</si>
  <si>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</si>
  <si>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</si>
  <si>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</si>
  <si>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</si>
  <si>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</si>
  <si>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</si>
  <si>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</si>
  <si>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</si>
  <si>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</si>
  <si>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</si>
  <si>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</si>
  <si>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</si>
  <si>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</si>
  <si>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</si>
  <si>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</si>
  <si>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</si>
  <si>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</si>
  <si>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</si>
  <si>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</si>
  <si>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</si>
  <si>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</si>
  <si>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</si>
  <si>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</si>
  <si>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</si>
  <si>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</si>
  <si>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</si>
  <si>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</si>
  <si>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</si>
  <si>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</si>
  <si>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</si>
  <si>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</si>
  <si>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</si>
  <si>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</si>
  <si>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</si>
  <si>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</si>
  <si>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</si>
  <si>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</si>
  <si>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</si>
  <si>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</si>
  <si>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</si>
  <si>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</si>
  <si>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</si>
  <si>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</si>
  <si>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</si>
  <si>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</si>
  <si>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</si>
  <si>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</si>
  <si>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</si>
  <si>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</si>
  <si>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</si>
  <si>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</si>
  <si>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</si>
  <si>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</si>
  <si>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</si>
  <si>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</si>
  <si>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</si>
  <si>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</si>
  <si>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</si>
  <si>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</si>
  <si>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</si>
  <si>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</si>
  <si>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</si>
  <si>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</si>
  <si>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</si>
  <si>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</si>
  <si>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</si>
  <si>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</si>
  <si>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</si>
  <si>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</si>
  <si>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</si>
  <si>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</si>
  <si>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</si>
  <si>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</si>
  <si>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</si>
  <si>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</si>
  <si>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</si>
  <si>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</si>
  <si>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</si>
  <si>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</si>
  <si>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</si>
  <si>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</si>
  <si>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</si>
  <si>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</si>
  <si>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</si>
  <si>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</si>
  <si>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</si>
  <si>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</si>
  <si>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</si>
  <si>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</si>
  <si>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</si>
  <si>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</si>
  <si>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</si>
  <si>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</si>
  <si>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</si>
  <si>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</si>
  <si>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</si>
  <si>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</si>
  <si>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</si>
  <si>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</si>
  <si>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</si>
  <si>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</si>
  <si>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</si>
  <si>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</si>
  <si>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</si>
  <si>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</si>
  <si>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</si>
  <si>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</si>
  <si>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</si>
  <si>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</si>
  <si>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</si>
  <si>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</si>
  <si>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</si>
  <si>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</si>
  <si>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</si>
  <si>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</si>
  <si>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</si>
  <si>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</si>
  <si>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</si>
  <si>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</si>
  <si>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</si>
  <si>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</si>
  <si>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</si>
  <si>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</si>
  <si>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</si>
  <si>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</si>
  <si>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</si>
  <si>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</si>
  <si>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</si>
  <si>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</si>
  <si>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</si>
  <si>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</si>
  <si>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</si>
  <si>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</si>
  <si>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</si>
  <si>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</si>
  <si>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</si>
  <si>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</si>
  <si>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</si>
  <si>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</si>
  <si>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</si>
  <si>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</si>
  <si>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</si>
  <si>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</si>
  <si>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</si>
  <si>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</si>
  <si>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</si>
  <si>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</si>
  <si>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</si>
  <si>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</si>
  <si>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</si>
  <si>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</si>
  <si>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</si>
  <si>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</si>
  <si>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</si>
  <si>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</si>
  <si>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</si>
  <si>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</si>
  <si>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</si>
  <si>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</si>
  <si>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</si>
  <si>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</si>
  <si>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</si>
  <si>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</si>
  <si>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</si>
  <si>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</si>
  <si>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</si>
  <si>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</si>
  <si>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</si>
  <si>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</si>
  <si>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</si>
  <si>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</si>
  <si>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</si>
  <si>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</si>
  <si>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</si>
  <si>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</si>
  <si>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</si>
  <si>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</si>
  <si>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</si>
  <si>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</si>
  <si>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</si>
  <si>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</si>
  <si>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</si>
  <si>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</si>
  <si>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</si>
  <si>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</si>
  <si>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</si>
  <si>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</si>
  <si>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</si>
  <si>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</si>
  <si>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</si>
  <si>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</si>
  <si>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</si>
  <si>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</si>
  <si>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</si>
  <si>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</si>
  <si>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</si>
  <si>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</si>
  <si>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</si>
  <si>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</si>
  <si>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</si>
  <si>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</si>
  <si>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</si>
  <si>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</si>
  <si>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</si>
  <si>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</si>
  <si>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</si>
  <si>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</si>
  <si>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</si>
  <si>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</si>
  <si>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</si>
  <si>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</si>
  <si>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</si>
  <si>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</si>
  <si>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</si>
  <si>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</si>
  <si>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</si>
  <si>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</si>
  <si>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</si>
  <si>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</si>
  <si>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</si>
  <si>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</si>
  <si>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</si>
  <si>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</si>
  <si>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</si>
  <si>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</si>
  <si>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</si>
  <si>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</si>
  <si>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</si>
  <si>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</si>
  <si>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</si>
  <si>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</si>
  <si>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</si>
  <si>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</si>
  <si>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</si>
  <si>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</si>
  <si>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</si>
  <si>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</si>
  <si>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</si>
  <si>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</si>
  <si>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</si>
  <si>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</si>
  <si>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</si>
  <si>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</si>
  <si>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</si>
  <si>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</si>
  <si>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</si>
  <si>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</si>
  <si>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</si>
  <si>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</si>
  <si>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</si>
  <si>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</si>
  <si>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</si>
  <si>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</si>
  <si>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</si>
  <si>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</si>
  <si>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</si>
  <si>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</si>
  <si>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</si>
  <si>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</si>
  <si>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</si>
  <si>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</si>
  <si>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</si>
  <si>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</si>
  <si>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</si>
  <si>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</si>
  <si>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</si>
  <si>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</si>
  <si>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</si>
  <si>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</si>
  <si>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</si>
  <si>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</si>
  <si>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</si>
  <si>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</si>
  <si>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</si>
  <si>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</si>
  <si>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</si>
  <si>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</si>
  <si>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</si>
  <si>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</si>
  <si>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</si>
  <si>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</si>
  <si>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</si>
  <si>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</si>
  <si>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</si>
  <si>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</si>
  <si>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</si>
  <si>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</si>
  <si>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</si>
  <si>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</si>
  <si>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</si>
  <si>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</si>
  <si>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</si>
  <si>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</si>
  <si>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IVANA TO CHASE UP NON PAID owes 1400 guarantor</t>
  </si>
  <si>
    <t>Both tenants paid in advance to 17/08/2019</t>
  </si>
  <si>
    <t>{"JASPER*","TOPAZ*","MORTGAGE EXPRESS*","NRAM*","PLATFORM*","AMBER*","BHAM*","CAPITAL*", "MORTGAGE TRUST*"}</t>
  </si>
  <si>
    <t>fu</t>
  </si>
  <si>
    <t>Notice given to Sharon Briscoe on 31 October - expires 21 January 2to 3 m9onths after that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</si>
  <si>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</si>
  <si>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</si>
  <si>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</si>
  <si>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</si>
  <si>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>Not paid in Oct - please check - Dates do not continue Set, Oct, Dec</t>
  </si>
  <si>
    <t>paid up until feb 2019</t>
  </si>
  <si>
    <t>163FRA</t>
  </si>
  <si>
    <t>For sale</t>
  </si>
  <si>
    <t>ID Check</t>
  </si>
  <si>
    <t/>
  </si>
  <si>
    <t>Beals</t>
  </si>
  <si>
    <t>Sharon Briscoe not paid</t>
  </si>
  <si>
    <t>Need to serve notice</t>
  </si>
  <si>
    <t>Sold 22/2</t>
  </si>
  <si>
    <t>Not full amount</t>
  </si>
  <si>
    <t>Maja Zuzanna Olczak</t>
  </si>
  <si>
    <t>Olczak (28/02/2019 -  present)</t>
  </si>
  <si>
    <t>Check tenant name and details is correct in pap, also check move out date of J Hill</t>
  </si>
  <si>
    <t>Check eviction - how do we evict</t>
  </si>
  <si>
    <t>To be evicted 2/5</t>
  </si>
  <si>
    <t>Check Fox and Sons payment</t>
  </si>
  <si>
    <t>Empty due to damp problems</t>
  </si>
  <si>
    <t>Paid to Jan in advance, not paid after</t>
  </si>
  <si>
    <t>Carry forward from FEB</t>
  </si>
  <si>
    <t>Rent for period 14/03/2019 - 13/04/2019 from Mr John Sharpe - 196b Kingston Road, Portsmouth</t>
  </si>
  <si>
    <t>Management Fee at 6% - 196b Kingston Road, Portsmouth</t>
  </si>
  <si>
    <t>Invoice</t>
  </si>
  <si>
    <t>Amount payable to Ms Ivana Valentino - 196b Kingston Road, Portsmouth</t>
  </si>
  <si>
    <t>Statement</t>
  </si>
  <si>
    <t>Rent for period 14/04/2019 - 13/05/2019 from Mr John Sharpe - 196b Kingston Road, Portsmouth</t>
  </si>
  <si>
    <t>Rent for period 14/05/2019 - 13/06/2019 from Mr John Sharpe - 196b Kingston Road, Portsmouth</t>
  </si>
  <si>
    <t>Legislation &amp; Compliance  - 196b Kingston Road, Portsmouth</t>
  </si>
  <si>
    <t>Rent for period 01/05/2019 - 31/05/2019 from Miss Phoebe Louise Ranger - 23c Hampshire Terrace, Portsmouth</t>
  </si>
  <si>
    <t>Management Fee at 6% - 23c Hampshire Terrace, Portsmouth</t>
  </si>
  <si>
    <t>Amount payable to Ms Ivana Valentino - 23c Hampshire Terrace, Portsmouth</t>
  </si>
  <si>
    <t>Legislation &amp; Compliance  - 23c Hampshire Terrace, Portsmouth</t>
  </si>
  <si>
    <t>Legislation &amp; Compliance  - Flat 7, 8 Alhambra Road, Southsea</t>
  </si>
  <si>
    <t>Rent for period 30/05/2019 - 29/06/2019 from Mr Andrew Austin - Flat 7, 8 Alhambra Road, Southsea</t>
  </si>
  <si>
    <t>Management Fee at 6% - Flat 7, 8 Alhambra Road, Southsea</t>
  </si>
  <si>
    <t>Amount payable to Ms Ivana Valentino - Flat 7, 8 Alhambra Road, Southsea</t>
  </si>
  <si>
    <t>Rent for period 26/04/2019 - 25/05/2019 from Ms Lisa Pegg - Flat 8, 8 Alhambra Road, Southsea</t>
  </si>
  <si>
    <t>Management Fee at 6% - Flat 8, 8 Alhambra Road, Southsea</t>
  </si>
  <si>
    <t>Amount payable to Ms Ivana Valentino - Flat 8, 8 Alhambra Road, Southsea</t>
  </si>
  <si>
    <t>Legislation &amp; Compliance  - Flat 8, 8 Alhambra Road, Southsea</t>
  </si>
  <si>
    <t>Rent for period 14/04/2019 - 13/05/2019 from Mr Christian John Bartlett - Flat 21, 4-6 Alhambra Road, Southsea</t>
  </si>
  <si>
    <t>Management Fee at 6% - Flat 21, 4-6 Alhambra Road, Southsea</t>
  </si>
  <si>
    <t>Amount payable to Ms Ivana Valentino - Flat 21, 4-6 Alhambra Road, Southsea</t>
  </si>
  <si>
    <t>Legislation &amp; Compliance  - Flat 21, 4-6 Alhambra Road, Southsea</t>
  </si>
  <si>
    <t>Rent for period 18/04/2019 - 17/05/2019 from Mr Andrew Greer - Flat 3, 12-14 Alhambra Road, Southsea</t>
  </si>
  <si>
    <t>Management Fee at 6% - Flat 3, 12-14 Alhambra Road, Southsea</t>
  </si>
  <si>
    <t>Rent for period 18/03/2019 - 17/04/2019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</si>
  <si>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</si>
  <si>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</si>
  <si>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23/04/2019 - 22/05/2019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</si>
  <si>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</si>
  <si>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</si>
  <si>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23/05/2019 - 22/06/2019 from Mr Michael Valverde - Flat 5, 12-14 Alhambra Road, Southsea</t>
  </si>
  <si>
    <t>Legislation &amp; Compliance  - Flat 5, 12-14 Alhambra Road, Southsea</t>
  </si>
  <si>
    <t>Rent for period 03/05/2019 - 02/06/2019 from Mr Charles Ponan - Flat 11, 12-14 Alhambra Road, Southsea</t>
  </si>
  <si>
    <t>Management Fee at 6% - Flat 11, 12-14 Alhambra Road, Southsea</t>
  </si>
  <si>
    <t>Amount payable to Ms Ivana Valentino - Flat 11, 12-14 Alhambra Road, Southsea</t>
  </si>
  <si>
    <t>Legislation &amp; Compliance  - Flat 11, 12-14 Alhambra Road, Southsea</t>
  </si>
  <si>
    <t>Rent for period 19/04/2019 - 18/05/2019 from Mr Aubrey Milligan - Flat 16, 12-14 Alhambra Road, Southsea</t>
  </si>
  <si>
    <t>Management Fee at 6% - Flat 16, 12-14 Alhambra Road, Southsea</t>
  </si>
  <si>
    <t>Rent for period 19/03/2019 - 18/04/2019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</si>
  <si>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</si>
  <si>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</si>
  <si>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28/04/2019 - 27/05/2019 from Miss Julie Betteridge - Flat 3, 16-18 Alhambra Road, Southsea</t>
  </si>
  <si>
    <t>Management Fee at 6% - Flat 3, 16-18 Alhambra Road, Southsea</t>
  </si>
  <si>
    <t>Amount payable to Ms Ivana Valentino - Flat 3, 16-18 Alhambra Road, Southsea</t>
  </si>
  <si>
    <t>Legislation &amp; Compliance  - Flat 3, 16-18 Alhambra Road, Southsea</t>
  </si>
  <si>
    <t>Rent for period 08/05/2019 - 07/06/2019 from Mr Alan Young - Flat 7, 16-18 Alhambra Road, Southsea</t>
  </si>
  <si>
    <t>Management Fee at 6% - Flat 7, 16-18 Alhambra Road, Southsea</t>
  </si>
  <si>
    <t>Rent for period 08/04/2019 - 07/05/2019 from Mr Alan Young - Flat 7, 16-18 Alhambra Road, Southsea</t>
  </si>
  <si>
    <t>Amount payable to Ms Ivana Valentino - Flat 7, 16-18 Alhambra Road, Southsea</t>
  </si>
  <si>
    <t>Legislation &amp; Compliance  - Flat 7, 16-18 Alhambra Road, Southsea</t>
  </si>
  <si>
    <t>Rent for period 19/04/2019 - 18/05/2019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</si>
  <si>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</si>
  <si>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</si>
  <si>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19/05/2019 - 18/06/2019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</si>
  <si>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</si>
  <si>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</si>
  <si>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28/05/2019 - 27/06/2019 from Mr Peter Gradon - Flat 16, 16-18 Alhambra Road, Southsea</t>
  </si>
  <si>
    <t>Management Fee at 6% - Flat 16, 16-18 Alhambra Road, Southsea</t>
  </si>
  <si>
    <t>Amount payable to Ms Ivana Valentino - Flat 16, 16-18 Alhambra Road, Southsea</t>
  </si>
  <si>
    <t>Rent for period 09/03/2019 - 08/04/2019 from Mr Nick Olsen - Flat 3, 171 Fawcett Road, Southsea</t>
  </si>
  <si>
    <t>Management Fee at 6% - Flat 3, 171 Fawcett Road, Southsea</t>
  </si>
  <si>
    <t>Rent for period 09/02/2019 - 08/03/2019 from Mr Nick Olsen - Flat 3, 171 Fawcett Road, Southsea</t>
  </si>
  <si>
    <t>Amount payable to Ms Ivana Valentino - Flat 3, 171 Fawcett Road, Southsea</t>
  </si>
  <si>
    <t>Legislation &amp; Compliance  - Flat 3, 171 Fawcett Road, Southsea</t>
  </si>
  <si>
    <t>Rent for period 16/04/2019 - 15/05/2019 from Miss Ausra Baziukiene - Flat 20, 4-6 Alhambra Road, Southsea</t>
  </si>
  <si>
    <t>Management Fee at 6% - Flat 20, 4-6 Alhambra Road, Southsea</t>
  </si>
  <si>
    <t>Amount payable to Mr Mathew Tucker - Flat 20, 4-6 Alhambra Road, Southsea</t>
  </si>
  <si>
    <t>Legislation &amp; Compliance  - Flat 20, 4-6 Alhambra Road, Southsea</t>
  </si>
  <si>
    <t>Legislation &amp; Compliance  - Flat 19, 4-6 Alhambra Road, Southsea</t>
  </si>
  <si>
    <t>Rent for period 01/05/2019 - 31/05/2019 from Miss Maja Zuzanna Olczak - Flat 17, 4-6 Alhambra Road, Southsea</t>
  </si>
  <si>
    <t>Management Fee at 6% - Flat 17, 4-6 Alhambra Road, Southsea</t>
  </si>
  <si>
    <t>Amount payable to Mr Mathew Tucker - Flat 17, 4-6 Alhambra Road, Southsea</t>
  </si>
  <si>
    <t>Rent for period 26/04/2019 - 25/05/2019 from Mrs Dionne McLaughlin - Flat 18, 4-6 Alhambra Road, Southsea</t>
  </si>
  <si>
    <t>Management Fee at 6% - Flat 18, 4-6 Alhambra Road, Southsea</t>
  </si>
  <si>
    <t>Amount payable to Mr Mathew Tucker - Flat 18, 4-6 Alhambra Road, Southsea</t>
  </si>
  <si>
    <t>Legislation &amp; Compliance  - Flat 18, 4-6 Alhambra Road, Southsea</t>
  </si>
  <si>
    <t>Rent for period 26/05/2019 - 25/06/2019 from Mrs Dionne McLaughlin - Flat 18, 4-6 Alhambra Road, Southsea</t>
  </si>
  <si>
    <t>Rent for period 20/04/2019 - 19/05/2019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</si>
  <si>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</si>
  <si>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</si>
  <si>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20/05/2019 - 19/06/2019 from Mr Andrew England - Flat 10, 12-14 Alhambra Road, Southsea</t>
  </si>
  <si>
    <t>Legislation &amp; Compliance  - Flat 10, 12-14 Alhambra Road, Southsea</t>
  </si>
  <si>
    <t>Rent for period 06/05/2019 - 05/06/2019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</si>
  <si>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</si>
  <si>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</si>
  <si>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</si>
  <si>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06/05/2019 - 05/06/2019 from Mr Tony Di-Marco - Flat 4, 12-14 Alhambra Road, Southsea</t>
  </si>
  <si>
    <t>Management Fee at 6% - Flat 4, 12-14 Alhambra Road, Southsea</t>
  </si>
  <si>
    <t>Rent for period 06/04/2019 - 05/05/2019 from Mr Tony Di-Marco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</si>
  <si>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</si>
  <si>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</si>
  <si>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12/04/2019 - 11/05/2019 from Mr Peter Taperek - Flat 6, 16-18 Alhambra Road, Southsea</t>
  </si>
  <si>
    <t>Management Fee at 6% - Flat 6, 16-18 Alhambra Road, Southsea</t>
  </si>
  <si>
    <t>Amount payable to Mr Mathew Tucker - Flat 6, 16-18 Alhambra Road, Southsea</t>
  </si>
  <si>
    <t>Rent for period 12/05/2019 - 11/06/2019 from Mr Peter Taperek - Flat 6, 16-18 Alhambra Road, Southsea</t>
  </si>
  <si>
    <t>Legislation &amp; Compliance  - Flat 6, 16-18 Alhambra Road, Southsea</t>
  </si>
  <si>
    <t>Rent for period 12/05/2019 - 11/06/2019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</si>
  <si>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</si>
  <si>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</si>
  <si>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</si>
  <si>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</si>
  <si>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28/05/2019 - 27/06/2019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</si>
  <si>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</si>
  <si>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</si>
  <si>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Rent for period 25/04/2019 - 24/05/2019 from Ms Sharon Briscoe - Flat 1, 321 London Road, Portsmouth</t>
  </si>
  <si>
    <t>Management Fee at 6% - Flat 1, 321 London Road, Portsmouth</t>
  </si>
  <si>
    <t>Amount payable to Mr Mathew Tucker - Flat 1, 321 London Road, Portsmouth</t>
  </si>
  <si>
    <t>Rent for period 25/05/2019 - 24/06/2019 from Ms Sharon Briscoe - Flat 1, 321 London Road, Portsmouth</t>
  </si>
  <si>
    <t>Legislation &amp; Compliance  - Flat 1, 321 London Road, Portsmouth</t>
  </si>
  <si>
    <t>Rent for period 15/04/2019 - 14/05/2019 from Miss Nathalie Rockmer - Flat 3, 321 London Road, Portsmouth</t>
  </si>
  <si>
    <t>Management Fee at 6% - Flat 3, 321 London Road, Portsmouth</t>
  </si>
  <si>
    <t>Amount payable to Mr Mathew Tucker - Flat 3, 321 London Road, Portsmouth</t>
  </si>
  <si>
    <t>Legislation &amp; Compliance  - Flat 3, 321 London Road, Portsmouth</t>
  </si>
  <si>
    <t>Rent for period 26/04/2019 - 25/05/2019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</si>
  <si>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</si>
  <si>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</si>
  <si>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26/05/2019 - 25/06/2019 from Miss Carol Carrington - Flat 4, 321 London Road, Portsmouth</t>
  </si>
  <si>
    <t>Legislation &amp; Compliance  - Flat 4, 321 London Road, Portsmouth</t>
  </si>
  <si>
    <t>Rent for period 02/05/2019 - 01/06/2019 from Mr Michael Pedace - Flat 2, 171 Fawcett Road, Southsea</t>
  </si>
  <si>
    <t>Management Fee at 6% - Flat 2, 171 Fawcett Road, Southsea</t>
  </si>
  <si>
    <t>Rent for period 02/04/2019 - 01/05/2019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</si>
  <si>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</si>
  <si>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</si>
  <si>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15/05/2019 - 14/06/2019 from Mr Graham Robinson - Flat 3, 169 Fawcett Road, Southsea</t>
  </si>
  <si>
    <t>Management Fee at 6% - Flat 3, 169 Fawcett Road, Southsea</t>
  </si>
  <si>
    <t>Amount payable to Mr Mathew Tucker - Flat 3, 169 Fawcett Road, Southsea</t>
  </si>
  <si>
    <t>Legislation &amp; Compliance  - Flat 3, 169 Fawcett Road, Southsea</t>
  </si>
  <si>
    <t>Legislation &amp; Compliance  - Flat 2, 169 Fawcett Road, Southsea</t>
  </si>
  <si>
    <t>Rent for period 06/05/2019 - 05/06/2019 from Ms Susan Parkinson - Flat 1, 169 Fawcett Road, Southsea</t>
  </si>
  <si>
    <t>Management Fee at 6% - Flat 1, 169 Fawcett Road, Southsea</t>
  </si>
  <si>
    <t>Rent for period 06/04/2019 - 05/05/2019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</si>
  <si>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</si>
  <si>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</si>
  <si>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11/05/2019 - 10/06/2019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</si>
  <si>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</si>
  <si>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</si>
  <si>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</si>
  <si>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Rent for period 01/05/2019 - 31/05/2019 from Ms Joyce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</si>
  <si>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</si>
  <si>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</si>
  <si>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</si>
  <si>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08/05/2019 - 07/06/2019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</si>
  <si>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</si>
  <si>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</si>
  <si>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</si>
  <si>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14/04/2019 - 13/05/2019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</si>
  <si>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</si>
  <si>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</si>
  <si>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14/05/2019 - 13/06/2019 from Ms Sharon Smith - Flat 5, 8 Alhambra Road, Southsea</t>
  </si>
  <si>
    <t>Legislation &amp; Compliance  - Flat 5, 8 Alhambra Road, Southsea</t>
  </si>
  <si>
    <t>Legislation &amp; Compliance  - 23b Hampshire Terrace, Portsmouth</t>
  </si>
  <si>
    <t>Rent for period 14/04/2019 - 13/05/2019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</si>
  <si>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</si>
  <si>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</si>
  <si>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14/05/2019 - 13/06/2019 from Mr Martin Brett - Flat 3, 163 Fratton Road, Portsmouth</t>
  </si>
  <si>
    <t>Legislation &amp; Compliance  - Flat 3, 163 Fratton Road, Portsmouth</t>
  </si>
  <si>
    <t>Rent for period 14/04/2019 - 13/05/2019 from Mr Aleksandra Radzevics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</si>
  <si>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</si>
  <si>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</si>
  <si>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14/05/2019 - 13/06/2019 from Mr Aleksandra Radzevics - Flat 7, 12-14 Alhambra Road, Southsea</t>
  </si>
  <si>
    <t>Legislation &amp; Compliance  - Flat 7, 12-14 Alhambra Road, Southsea</t>
  </si>
  <si>
    <t>Legislation &amp; Compliance  - Flat 1, 171 Fawcett Road, Southsea</t>
  </si>
  <si>
    <t>Rent for period 06/05/2019 - 05/06/2019 from Ms Kirstine Aldridge - Flat 1, 171 Fawcett Road, Southsea</t>
  </si>
  <si>
    <t>Management Fee at 6% - Flat 1, 171 Fawcett Road, Southsea</t>
  </si>
  <si>
    <t>Rent for period 06/04/2019 - 05/05/2019 from Ms Kirstine Aldridge - Flat 1, 171 Fawcett Road, Southsea</t>
  </si>
  <si>
    <t>Amount payable to Mr Mathew Tucker - Flat 1, 171 Fawcett Road, Southsea</t>
  </si>
  <si>
    <t>20-74-09 60458872</t>
  </si>
  <si>
    <t>PAYMENT</t>
  </si>
  <si>
    <t>QUEENSWAY COFFEE      ON 30 APR          CLP</t>
  </si>
  <si>
    <t>NYA*Express Vendin    ON 30 APR          CLP</t>
  </si>
  <si>
    <t>MARKS&amp;SPENCER PLC     ON 30 APR          CLP</t>
  </si>
  <si>
    <t>DIRECTDEP</t>
  </si>
  <si>
    <t>BEALS ESTATE AGENT    FLAT 204-6 ALHAMBR BGC</t>
  </si>
  <si>
    <t>BEALS ESTATE AGENT    FLAT 1316-18 ALHAM BGC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</si>
  <si>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</si>
  <si>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</si>
  <si>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</si>
  <si>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</si>
  <si>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</si>
  <si>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</si>
  <si>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</si>
  <si>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</si>
  <si>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</si>
  <si>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01050230313307     DDR</t>
  </si>
  <si>
    <t>PLATFORM FUNDING      01050229961082     DDR</t>
  </si>
  <si>
    <t>ARGOS PET INS         RSAP9346579200     DDR</t>
  </si>
  <si>
    <t>EE LIMITED            Q13077400923459604 DDR</t>
  </si>
  <si>
    <t>CHL HOME LOAN         CHL00002/907372200 DDR</t>
  </si>
  <si>
    <t>CHL HOME LOAN         CHL00002/907371904 DDR</t>
  </si>
  <si>
    <t>The Cock              ON 01 MAY          CLP</t>
  </si>
  <si>
    <t>NYA*Express Vendin    ON 01 MAY          CLP</t>
  </si>
  <si>
    <t>MARKS&amp;SPENCER PLC     ON 01 MAY          CLP</t>
  </si>
  <si>
    <t>BEALS ESTATE AGENT    FLAT 1321 LONDON R BGC</t>
  </si>
  <si>
    <t>BEALS ESTATE AGENT    FLAT 2169 FAWCETT  BGC</t>
  </si>
  <si>
    <t>QUEENSWAY COFFEE      ON 02 MAY          CLP</t>
  </si>
  <si>
    <t>NYA*Express Vendin    ON 02 MAY          CLP</t>
  </si>
  <si>
    <t>BEALS ESTATE AGENT    196A KINGSTON ROAD BGC</t>
  </si>
  <si>
    <t>BEALS ESTATE AGENT    FLAT 174-6 ALHAMBR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</si>
  <si>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</si>
  <si>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</si>
  <si>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</si>
  <si>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</si>
  <si>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</si>
  <si>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</si>
  <si>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</si>
  <si>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</si>
  <si>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</si>
  <si>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</si>
  <si>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</si>
  <si>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NEW COUNTY SERVICE    ON 06 MAY          BCC</t>
  </si>
  <si>
    <t>CO OPERATIVE FOOD     ON 05 MAY          BCC</t>
  </si>
  <si>
    <t>CO OPERATIVE FOOD     ON 04 MAY          CLP</t>
  </si>
  <si>
    <t>NYA*Express Vendin    ON 03 MAY          CLP</t>
  </si>
  <si>
    <t xml:space="preserve">FT </t>
  </si>
  <si>
    <t xml:space="preserve">MARK JONES PAINTER    TUCKERVALENTIN0235 FT </t>
  </si>
  <si>
    <t>PIPELINE              PLUMBING TUCKER    BBP</t>
  </si>
  <si>
    <t>CIGMA                 19 4-6 LOCK ALHAMB BBP</t>
  </si>
  <si>
    <t>THE HIGHLANDS PHAR    ON 07 MAY          CLP</t>
  </si>
  <si>
    <t>MARKS&amp;SPENCER PLC     ON 07 MAY          CLP</t>
  </si>
  <si>
    <t>Audible.co.uk         ON 07 MAY          BCC</t>
  </si>
  <si>
    <t>SOUTHERN ELECTRIC     1410117012 5574099 BBP</t>
  </si>
  <si>
    <t>BEALS ESTATE AGENT    FLAT 1412-14 ALHAM BGC</t>
  </si>
  <si>
    <t>BEALS ESTATE AGENT    FLAT 3163 FRATTON  BGC</t>
  </si>
  <si>
    <t>BEALS ESTATE AGENT    FLAT 68 ALHAMBRA R BGC</t>
  </si>
  <si>
    <t>BEALS ESTATE AGENT    FLAT 712-14 ALHAMB BGC</t>
  </si>
  <si>
    <t>BEALS ESTATE AGENT    FLAT 1012-14 ALHAM BGC</t>
  </si>
  <si>
    <t>BEALS ESTATE AGENT    FLAT 1169 FAWCETT  BGC</t>
  </si>
  <si>
    <t>BEALS ESTATE AGENT    FLAT 184-6 ALHAMBR BGC</t>
  </si>
  <si>
    <t>BEALS ESTATE AGENT    FLAT 2171 FAWCETT  BGC</t>
  </si>
  <si>
    <t>BEALS ESTATE AGENT    FLAT 412-14 ALHAMB BGC</t>
  </si>
  <si>
    <t>BEALS ESTATE AGENT    FLAT 4321 LONDON R BGC</t>
  </si>
  <si>
    <t>BHAM MIDSHIRES        020010556389/35299 DDR</t>
  </si>
  <si>
    <t>COMPANIES HOUSE       ON 09 MAY          BCC</t>
  </si>
  <si>
    <t>MARK JONES PAINTER    TCKRVALNTNOFAWCETT BBP</t>
  </si>
  <si>
    <t>BHAM MIDSHIRES        020009309942/35735 DDR</t>
  </si>
  <si>
    <t>CLAIRE'S ACCESSORI    ON 12 MAY          CLP</t>
  </si>
  <si>
    <t>SPECSAVERS            ON 12 MAY          BCC</t>
  </si>
  <si>
    <t>MKC PARKING RINGGO    ON 12 MAY          BCC</t>
  </si>
  <si>
    <t>MARKS&amp;SPENCER PLC     ON 12 MAY          BCC</t>
  </si>
  <si>
    <t>BEALS ESTATE AGENT    FLAT 58 ALHAMBRA R BGC</t>
  </si>
  <si>
    <t>BEALS ESTATE AGENT    FLAT 616-18 ALHAMB BGC</t>
  </si>
  <si>
    <t>BHAM MIDSHIRES        020000389757/37175 DDR</t>
  </si>
  <si>
    <t>NYA*Express Vendin    ON 13 MAY          CLP</t>
  </si>
  <si>
    <t>MARKS&amp;SPENCER PLC     ON 13 MAY          CLP</t>
  </si>
  <si>
    <t>Spotify P0AD774396    ON 13 MAY          BCC</t>
  </si>
  <si>
    <t>PAYPAL PAYMENT        5CM22229DF5GW      DDR</t>
  </si>
  <si>
    <t xml:space="preserve">Amazon.co.uk*MN2ZX    LUXEMBOURG            </t>
  </si>
  <si>
    <t>QUEENSWAY COFFEE      ON 14 MAY          CLP</t>
  </si>
  <si>
    <t>NYA*Express Vendin    ON 14 MAY          CLP</t>
  </si>
  <si>
    <t>MARKS&amp;SPENCER PLC     ON 14 MAY          CLP</t>
  </si>
  <si>
    <t>BOOTS</t>
  </si>
  <si>
    <t>A BECK PLUMBING       1 169 FAWCETT RD   BBP</t>
  </si>
  <si>
    <t>A BECK PLUMBING       FLAT 2 321 LOND RD BBP</t>
  </si>
  <si>
    <t>DANIEL WELLS          FAWCETTROAD CARPEN BBP</t>
  </si>
  <si>
    <t>PLATFORM FUNDING      01050228979115     DDR</t>
  </si>
  <si>
    <t>PLATFORM FUNDING      01050228957650     DDR</t>
  </si>
  <si>
    <t>LAND ROVER FS         579452160          DDR</t>
  </si>
  <si>
    <t>MARK JONES PAINTER    TUCKERVALENTINO    BBP</t>
  </si>
  <si>
    <t>BEALS ESTATE AGENT    FLAT 1116-18 ALHAM BGC</t>
  </si>
  <si>
    <t>BEALS ESTATE AGENT    FLAT 3321 LONDON R BGC</t>
  </si>
  <si>
    <t>BHAM MIDSHIRES        020010557032/41445 DDR</t>
  </si>
  <si>
    <t>BHAM MIDSHIRES        020004110676/41435 DDR</t>
  </si>
  <si>
    <t>NOWTV.COM/BILLINGH    ON 16 MAY          BCC</t>
  </si>
  <si>
    <t>BEALS ESTATE AGENT    SHOP196 KINGSTON R BGC</t>
  </si>
  <si>
    <t>BHAM MIDSHIRES        020003649652/41838 DDR</t>
  </si>
  <si>
    <t>A BECK PLUMBING       FLAT 3 321 LOND RD BBP</t>
  </si>
  <si>
    <t>PUSHDOCTOR PUSH DO    ON 21 MAY          BCC</t>
  </si>
  <si>
    <t>BHAM MIDSHIRES        020007882432/46801 DDR</t>
  </si>
  <si>
    <t>JAPANESE KNOTWEED     321 LONDON ROAD    BBP</t>
  </si>
  <si>
    <t xml:space="preserve">AMZN DIGITAL*MN9I3    LUXEMBOURG            </t>
  </si>
  <si>
    <t>THE HARPUR TRUST      ON 23 MAY          BCC</t>
  </si>
  <si>
    <t>MARK JONES PAINTER    0239               BBP</t>
  </si>
  <si>
    <t>CO OPERATIVE FOOD     ON 27 MAY          CLP</t>
  </si>
  <si>
    <t>Microsoft*Xbox Liv    ON 26 MAY          BCC</t>
  </si>
  <si>
    <t>G&amp;F VALENTINO         MTUCKER            STO</t>
  </si>
  <si>
    <t>BEALS ESTATE AGENT    FLAT 3169 FAWCETT  BGC</t>
  </si>
  <si>
    <t>MARKS&amp;SPENCER PLC     ON 28 MAY          CLP</t>
  </si>
  <si>
    <t>NYA*Express Vendin    ON 28 MAY          CLP</t>
  </si>
  <si>
    <t>BHAM MIDSHIRES        020002731371/28015 DDR</t>
  </si>
  <si>
    <t xml:space="preserve">209254 23534332       PAINTING / REFURB  FT </t>
  </si>
  <si>
    <t xml:space="preserve">209254 13438023       PAINTING / REFURB  FT </t>
  </si>
  <si>
    <t>DANIEL WELLS          2 321 FLOOR LONRD  BBP</t>
  </si>
  <si>
    <t>JSD ELECTRICAL LTD    2 321 ELECTRICS    BBP</t>
  </si>
  <si>
    <t>A BECK PLUMBING       5054 F1 171 GS     BBP</t>
  </si>
  <si>
    <t>QUEENSWAY COFFEE      ON 29 MAY          CLP</t>
  </si>
  <si>
    <t>NYA*Express Vendin    ON 29 MAY          CLP</t>
  </si>
  <si>
    <t>BEALS ESTATE AGENT    FLAT 1171 FAWCETT  BGC</t>
  </si>
  <si>
    <t xml:space="preserve">AMZN MKTP UK*MN82G    LUXEMBOURG            </t>
  </si>
  <si>
    <t xml:space="preserve">AMAZON.CO.UK*MN765    LUXEMBOURG            </t>
  </si>
  <si>
    <t>MORTGAGE TRUST        002197389 10107430 DDR</t>
  </si>
  <si>
    <t>MORTGAGE TRUST        002186357 10107430 DDR</t>
  </si>
  <si>
    <t>MORTGAGE TRUST        002186356 10107430 DDR</t>
  </si>
  <si>
    <t>MORTGAGE TRUST        002186317 10107430 DDR</t>
  </si>
  <si>
    <t>EE LIMITED            Q13077400932066258 DDR</t>
  </si>
  <si>
    <t>20-74-09 40406538</t>
  </si>
  <si>
    <t>Subway                ON 29 APR          CLP</t>
  </si>
  <si>
    <t>CURRYS S/S            ON 30 APR          BCC</t>
  </si>
  <si>
    <t>SPORTSDIRECT 233      ON 30 APR          CLP</t>
  </si>
  <si>
    <t>POST OFFICE COUNTE    ON 01 MAY          CLP</t>
  </si>
  <si>
    <t>MCDONALDS             ON 01 MAY          CLP</t>
  </si>
  <si>
    <t>CO OPERATIVE FOOD     ON 01 MAY          CLP</t>
  </si>
  <si>
    <t>CHOP AND WOK BEDFO    ON 01 MAY          CLP</t>
  </si>
  <si>
    <t>PHONE JUNKIES         ON 02 MAY          CLP</t>
  </si>
  <si>
    <t>NEWSFAYRE             ON 02 MAY          CLP</t>
  </si>
  <si>
    <t>LAKESIDE FISH AND     ON 02 MAY          CLP</t>
  </si>
  <si>
    <t>JOLLYES THE PET SU    ON 01 MAY          CLP</t>
  </si>
  <si>
    <t>HOLLAND &amp; BARRETT     ON 02 MAY          CLP</t>
  </si>
  <si>
    <t>PHONEANDPAY.CO.UK     ON 02 MAY          BCC</t>
  </si>
  <si>
    <t>Klarna *123 RETAIL    ON 02 MAY          BCC</t>
  </si>
  <si>
    <t>BP NEWHAM AVENUE C    ON 01 MAY          BCC</t>
  </si>
  <si>
    <t>THE BODY SHOP INTL    ON 06 MAY          CLP</t>
  </si>
  <si>
    <t>PRET A MANGER         ON 06 MAY          CLP</t>
  </si>
  <si>
    <t>MONSOON/ACCZ LTD      ON 06 MAY          CLP</t>
  </si>
  <si>
    <t>MARKS&amp;SPENCER PLC     ON 06 MAY          CLP</t>
  </si>
  <si>
    <t>MKC PARKING RINGGO    ON 06 MAY          BCC</t>
  </si>
  <si>
    <t>MARKS&amp;SPENCER PLC     ON 05 MAY          BCC</t>
  </si>
  <si>
    <t>COSTA COFFEE 43035    ON 04 MAY          CLP</t>
  </si>
  <si>
    <t>MARKS&amp;SPENCER PLC     ON 04 MAY          BCC</t>
  </si>
  <si>
    <t>Subway                ON 03 MAY          CLP</t>
  </si>
  <si>
    <t>COSTA COFFEE 43035    ON 03 MAY          CLP</t>
  </si>
  <si>
    <t>BP BEDFORD EXPRESS    ON 02 MAY          CLP</t>
  </si>
  <si>
    <t>MARKS&amp;SPENCER PLC     ON 03 MAY          BCC</t>
  </si>
  <si>
    <t>NATIONAL LOTTERY I    ON 07 MAY          BCC</t>
  </si>
  <si>
    <t>MCDONALDS             ON 08 MAY          CLP</t>
  </si>
  <si>
    <t>COSTA COFFEE 43035    ON 08 MAY          CLP</t>
  </si>
  <si>
    <t>BP BEDFORD EXPRESS    ON 07 MAY          CLP</t>
  </si>
  <si>
    <t>CO OPERATIVE FOOD     ON 08 MAY          BCC</t>
  </si>
  <si>
    <t>IZ *THE PAVILION T    ON 09 MAY          CLP</t>
  </si>
  <si>
    <t>BP BEDFORD EXPRESS    ON 08 MAY          CLP</t>
  </si>
  <si>
    <t>TESCO STORE 2105      ON 09 MAY          BCC</t>
  </si>
  <si>
    <t>CASH</t>
  </si>
  <si>
    <t xml:space="preserve">CARDTRONICS UK LTD    BP - ELSTOW INTERC    </t>
  </si>
  <si>
    <t>CO OPERATIVE FOOD     ON 11 MAY          CLP</t>
  </si>
  <si>
    <t>BP BEDFORD EXPRESS    ON 10 MAY          BCC</t>
  </si>
  <si>
    <t>THE MUSIC CENTRE      ON 10 MAY          CLP</t>
  </si>
  <si>
    <t>TESCO STORE 2105      ON 10 MAY          CLP</t>
  </si>
  <si>
    <t>NO LIMITZ             ON 10 MAY          CLP</t>
  </si>
  <si>
    <t>MARKS&amp;SPENCER PLC     ON 10 MAY          CLP</t>
  </si>
  <si>
    <t>COSTA COFFEE 43035    ON 10 MAY          CLP</t>
  </si>
  <si>
    <t>CO OPERATIVE FOOD     ON 10 MAY          CLP</t>
  </si>
  <si>
    <t>TESCO STORE 2105      ON 10 MAY          BCC</t>
  </si>
  <si>
    <t>COSTA COFFEE 43035    ON 13 MAY          CLP</t>
  </si>
  <si>
    <t>BP BEDFORD EXPRESS    ON 12 MAY          CLP</t>
  </si>
  <si>
    <t xml:space="preserve">YCASH                 POUNDLAND BEDFORD     </t>
  </si>
  <si>
    <t>NEXTR ETAIL LTD       ON 14 MAY          CLP</t>
  </si>
  <si>
    <t>BP BEDFORD EXPRESS    ON 13 MAY          CLP</t>
  </si>
  <si>
    <t>MARKS&amp;SPENCER PLC     ON 14 MAY          BCC</t>
  </si>
  <si>
    <t>NEXT RETAIL LTD       ON 15 MAY          CLP</t>
  </si>
  <si>
    <t>PHONEANDPAY.CO.UK     ON 15 MAY          BCC</t>
  </si>
  <si>
    <t xml:space="preserve">AMZN Mktp UK*MN5BX    LUXEMBOURG            </t>
  </si>
  <si>
    <t>Subway                ON 15 MAY          CLP</t>
  </si>
  <si>
    <t>COSTA COFFEE 43035    ON 16 MAY          CLP</t>
  </si>
  <si>
    <t>BP BEDFORD EXPRESS    ON 15 MAY          CLP</t>
  </si>
  <si>
    <t>MARKS&amp;SPENCER PLC     ON 16 MAY          BCC</t>
  </si>
  <si>
    <t xml:space="preserve">205397 30728691       OPTIONAL           FT </t>
  </si>
  <si>
    <t>BP BEDFORD EXPRESS    ON 17 MAY          CLP</t>
  </si>
  <si>
    <t>LAKESIDE FISH AND     ON 17 MAY          CLP</t>
  </si>
  <si>
    <t>IZ *THE PAVILION T    ON 17 MAY          CLP</t>
  </si>
  <si>
    <t>MCDONALDS             ON 18 MAY          CLP</t>
  </si>
  <si>
    <t>BP BEDFORD EXPRESS    ON 15 MAY          BCC</t>
  </si>
  <si>
    <t>JOHN LEWIS            ON 20 MAY          CLP</t>
  </si>
  <si>
    <t>SES MILTONKEYNES      ON 20 MAY          CLP</t>
  </si>
  <si>
    <t>KFC - XSCAPE          ON 20 MAY          CLP</t>
  </si>
  <si>
    <t>COSTA COFFEE          ON 20 MAY          CLP</t>
  </si>
  <si>
    <t>COSTA COFFEE 43035    ON 20 MAY          CLP</t>
  </si>
  <si>
    <t>NEW COUNTY SERVICE    ON 20 MAY          BCC</t>
  </si>
  <si>
    <t>TESCO STORE 2105      ON 20 MAY          BCC</t>
  </si>
  <si>
    <t>JOHN LEWIS            ON 20 MAY          BCC</t>
  </si>
  <si>
    <t>HOLLAND &amp; BARRETT     ON 20 MAY          BCC</t>
  </si>
  <si>
    <t>AMZNMktplace          ON 20 MAY          BCC</t>
  </si>
  <si>
    <t>OUTFIT                ON 21 MAY          CLP</t>
  </si>
  <si>
    <t>BP BEDFORD EXPRESS    ON 20 MAY          CLP</t>
  </si>
  <si>
    <t xml:space="preserve">TESCO                 TESCO BEDFORD CARD    </t>
  </si>
  <si>
    <t>MARKS&amp;SPENCER PLC     ON 21 MAY          BCC</t>
  </si>
  <si>
    <t xml:space="preserve">CLAUDIA TOLLETT       THANKS             FT </t>
  </si>
  <si>
    <t>TESCO STORE 2105      ON 22 MAY          CLP</t>
  </si>
  <si>
    <t>COSTA COFFEE          ON 22 MAY          CLP</t>
  </si>
  <si>
    <t xml:space="preserve">TESCO                 TESCO BE BR DR EXP    </t>
  </si>
  <si>
    <t>CO OPERATIVE FOOD     ON 23 MAY          CLP</t>
  </si>
  <si>
    <t>BURGER KING           ON 23 MAY          CLP</t>
  </si>
  <si>
    <t>COSTA COFFEE 43035    ON 23 MAY          CLP</t>
  </si>
  <si>
    <t>STO</t>
  </si>
  <si>
    <t>TUCK&amp;VALEN HSE%0 P    207409 40406538    STO</t>
  </si>
  <si>
    <t>CO OPERATIVE FOOD     ON 26 MAY          CLP</t>
  </si>
  <si>
    <t>BP BEDFORD EXPRESS    ON 24 MAY          CLP</t>
  </si>
  <si>
    <t>COSTA COFFEE          ON 27 MAY          CLP</t>
  </si>
  <si>
    <t>TESCO STORE 2105      ON 24 MAY          CLP</t>
  </si>
  <si>
    <t>TESCO STORE 2105      ON 24 MAY          BCC</t>
  </si>
  <si>
    <t>MKC PARKING RINGGO    ON 27 MAY          BCC</t>
  </si>
  <si>
    <t>MKC PARKING RINGGO    ON 25 MAY          BCC</t>
  </si>
  <si>
    <t>CURRYS S/S            ON 28 MAY          BCC</t>
  </si>
  <si>
    <t>CO OPERATIVE FOOD     ON 28 MAY          BCC</t>
  </si>
  <si>
    <t>H3G                   976046856201240519 DDR</t>
  </si>
  <si>
    <t>CO OPERATIVE FOOD     ON 29 MAY          CLP</t>
  </si>
  <si>
    <t>BP BEDFORD EXPRESS    ON 28 MAY          CLP</t>
  </si>
  <si>
    <t xml:space="preserve">POST OFFICE           108-112 QUEENS DRI    </t>
  </si>
  <si>
    <t>TESCO STORE 2547      ON 29 MAY          BCC</t>
  </si>
  <si>
    <t>BOOTS 6407            ON 30 MAY          CLP</t>
  </si>
  <si>
    <t>COSTA COFFEE 43035    ON 30 MAY          CLP</t>
  </si>
  <si>
    <t>CO OPERATIVE FOOD     ON 30 MAY          CLP</t>
  </si>
  <si>
    <t>MATALAN               ON 30 MAY          BCC</t>
  </si>
  <si>
    <t>20-53-97 30728691</t>
  </si>
  <si>
    <t>OTH</t>
  </si>
  <si>
    <t>REM</t>
  </si>
  <si>
    <t xml:space="preserve">205397 00796751       23 4-6             FT </t>
  </si>
  <si>
    <t>THE HARPUR TRUST D    TUCKMS  GVALS1     UNP</t>
  </si>
  <si>
    <t>BEALS ESTATE AGENT    FLAT 1616-18 ALHAM BGC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</si>
  <si>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</si>
  <si>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</si>
  <si>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</si>
  <si>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</si>
  <si>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</si>
  <si>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</si>
  <si>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</si>
  <si>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MORTGAGE EXPRESS      MEC02005/480016104 DDR</t>
  </si>
  <si>
    <t>TOPAZ FIN JASPER      PRU00010/190859005 DDR</t>
  </si>
  <si>
    <t>AMBER HOMELOANS       AHG00001/480441702 DDR</t>
  </si>
  <si>
    <t>NRAM                  24935234           DDR</t>
  </si>
  <si>
    <t>THE HARPUR TRUST D    TUCKMS  GVALS1     DDR</t>
  </si>
  <si>
    <t>THE HARPUR TRUST D    TUCKM8  PVALA1     DDR</t>
  </si>
  <si>
    <t>THE HARPUR TRUST D    TUCKM8  BVALR8     DDR</t>
  </si>
  <si>
    <t>BEALS ESTATE AGENT    FLAT 214-6 ALHAMBR BGC</t>
  </si>
  <si>
    <t>BEALS ESTATE AGENT    FLAT 78 ALHAMBRA R BGC</t>
  </si>
  <si>
    <t>LEGAL &amp; GEN MI C/L    011439921-5        DDR</t>
  </si>
  <si>
    <t xml:space="preserve">STANCU E              DEPOSIT            FT </t>
  </si>
  <si>
    <t>BEALS ESTATE AGENT    23C HAMPSHIRE TERR BGC</t>
  </si>
  <si>
    <t>BEALS ESTATE AGENT    FLAT 316-18 ALHAMB BGC</t>
  </si>
  <si>
    <t>BEALS ESTATE AGENT    FLAT 88 ALHAMBRA R BGC</t>
  </si>
  <si>
    <t>TOPAZ FIN JASPER      PRU00010/191462710 DDR</t>
  </si>
  <si>
    <t>F VALENTINO           TUCKER BILLS       BBP</t>
  </si>
  <si>
    <t xml:space="preserve">205397 80417211       BILLS              FT </t>
  </si>
  <si>
    <t>BEALS ESTATE AGENT    196B KINGSTON ROAD BGC</t>
  </si>
  <si>
    <t>BEALS ESTATE AGENT    FLAT 1112-14 ALHAM BGC</t>
  </si>
  <si>
    <t>KINGSTON UNITY        PL684048A VALENTNO STO</t>
  </si>
  <si>
    <t>VLS RE KLARNA BANK    273295205684595    DDR</t>
  </si>
  <si>
    <t>SHEPHERDS FS          PN026484A          DDR</t>
  </si>
  <si>
    <t>BHAM MIDSHIRES        020007900597/59348 DDR</t>
  </si>
  <si>
    <t>BEALS ESTATE AGENT    FLAT 312-14 ALHAMB BGC</t>
  </si>
  <si>
    <t>BEALS ESTATE AGENT    FLAT 512-14 ALHAMB BGC</t>
  </si>
  <si>
    <t>BEALS ESTATE AGENT    FLAT 1216-18 ALHAM BGC</t>
  </si>
  <si>
    <t>BEALS ESTATE AGENT    FLAT 3171 FAWCETT  BGC</t>
  </si>
  <si>
    <t>BEALS ESTATE AGENT    FLAT 1612-14 ALHAM BGC</t>
  </si>
  <si>
    <t>BEALS ESTATE AGENT    FLAT 716-18 ALHAMB BGC</t>
  </si>
  <si>
    <t>AVIVA LIFE            014033997          DDR</t>
  </si>
  <si>
    <t>BT GROUP PLC          GB14092007-000056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</si>
  <si>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</si>
  <si>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</si>
  <si>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</si>
  <si>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</si>
  <si>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</si>
  <si>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</si>
  <si>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</si>
  <si>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</si>
  <si>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 xml:space="preserve">PCC COLLECTION ACC    104587475             </t>
  </si>
  <si>
    <t xml:space="preserve">PCC COLLECTION ACC    104637393             </t>
  </si>
  <si>
    <t xml:space="preserve">207409 40406538       OPTIONAL           FT </t>
  </si>
  <si>
    <t>ONECALL INSURANCE     OIP-5-3104389      DDR</t>
  </si>
  <si>
    <t>WWW.TDS.GB.COM        ON 20 MAY          BCC</t>
  </si>
  <si>
    <t xml:space="preserve">CHARGES               Pers OD Tier 3        </t>
  </si>
  <si>
    <t>ID MOBILE LIMITED     11245718/001       DDR</t>
  </si>
  <si>
    <t>MR MATTHEW STUART     207409 40406538    STO</t>
  </si>
  <si>
    <t>H3G                   980404269602230519 DDR</t>
  </si>
  <si>
    <t>BOOTS REWARDSCHEME    A45028400000736    DDR</t>
  </si>
  <si>
    <t>43THE NORTH HERTS  REM</t>
  </si>
  <si>
    <t>A BECK  PLUMBING      5048 23C HAMP RAD  BBP</t>
  </si>
  <si>
    <t>A BECK  PLUMBING      5053 3 16-18 GS    BBP</t>
  </si>
  <si>
    <t>I</t>
  </si>
  <si>
    <t>John Plumber - add fridge</t>
  </si>
  <si>
    <t>Advances in MachineLearning</t>
  </si>
  <si>
    <t>Dog whistle</t>
  </si>
  <si>
    <t>Memory drive</t>
  </si>
  <si>
    <t>Deposit</t>
  </si>
  <si>
    <t>communal Electricity</t>
  </si>
  <si>
    <t>4952 Supply and fit new shower and ground frost pump</t>
  </si>
  <si>
    <t>4941 A Beck Supply fit toilet</t>
  </si>
  <si>
    <t>D Wells Handyman Fawcett Communal</t>
  </si>
  <si>
    <t>4989 Supply fit bottom entry ball valve</t>
  </si>
  <si>
    <t>10822 Japanese Knotweed Group</t>
  </si>
  <si>
    <t>135 D Wells Handyman leveling floor and putting wood flor down</t>
  </si>
  <si>
    <t>243 extractor fan bathroom and heater in conservatory per council order workd</t>
  </si>
  <si>
    <t>Deposit?</t>
  </si>
  <si>
    <t>invoice 5048 - 23c hampshire terrace, radiator falling off the wall.</t>
  </si>
  <si>
    <t>gas safety  certificate - inv5053</t>
  </si>
  <si>
    <t>cigma invoice 3977 in ivanas email dated 03/05/2019</t>
  </si>
  <si>
    <t>Mark Jones</t>
  </si>
  <si>
    <t>BK</t>
  </si>
  <si>
    <t>BK,MT</t>
  </si>
  <si>
    <t>BK,PM,EX</t>
  </si>
  <si>
    <t>RT</t>
  </si>
  <si>
    <t>MF</t>
  </si>
  <si>
    <t>PM</t>
  </si>
  <si>
    <t>EX</t>
  </si>
  <si>
    <t>321 London Rd</t>
  </si>
  <si>
    <t>Sharon Briscoe (25/01/2019 - present)</t>
  </si>
  <si>
    <t>Nathalie Rockmer (15/09/2018 - present)</t>
  </si>
  <si>
    <t>Carrington (26/11/2010 - present)</t>
  </si>
  <si>
    <t>169 Fawcett Rd</t>
  </si>
  <si>
    <t>Susan Parkinson (06/11/2016 - present)</t>
  </si>
  <si>
    <t>Mr Robinson (15/05/2013 - present)</t>
  </si>
  <si>
    <t>K Aldridge (06/01/2012 - present)</t>
  </si>
  <si>
    <t>Mr Pedace (02/04/2015 - present)</t>
  </si>
  <si>
    <t>Mr N Olsen (09/06/2014 - present)</t>
  </si>
  <si>
    <t>Martin Brett (14/04/2010 - present)</t>
  </si>
  <si>
    <t>Martin Gliszczynski (SIE-SOF T/A Pol Help) (11/12/2016 - present)</t>
  </si>
  <si>
    <t>Ms J Henson (01/02/2016 - present)</t>
  </si>
  <si>
    <t>Mr John Sharpe (14/10/2015 - 17/06/2019)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</si>
  <si>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</si>
  <si>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</si>
  <si>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</si>
  <si>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</si>
  <si>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</si>
  <si>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Maja Zuzanna Olczak (28/03/2019 - present)</t>
  </si>
  <si>
    <t>Dionne McLaughlin (26/06/2009 - present)</t>
  </si>
  <si>
    <t>Ms Baziukiene (16/09/2015 - present)</t>
  </si>
  <si>
    <t>Christian John Bartlett (14/12/2018 -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</si>
  <si>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</si>
  <si>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</si>
  <si>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</si>
  <si>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</si>
  <si>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Charles Ponan (03/11/2018 - present)</t>
  </si>
  <si>
    <t>Andrew England (20/11/2009 - present)</t>
  </si>
  <si>
    <t>Paul McIlwraith (06/12/2016 - present)</t>
  </si>
  <si>
    <t>Mr Milligan (19/03/2015 - present)</t>
  </si>
  <si>
    <t>Julie Betteridge (28/02/2018 -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</si>
  <si>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</si>
  <si>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</si>
  <si>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</si>
  <si>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</si>
  <si>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</si>
  <si>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</si>
  <si>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</si>
  <si>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</si>
  <si>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</si>
  <si>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</si>
  <si>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</si>
  <si>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</si>
  <si>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</si>
  <si>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</si>
  <si>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</si>
  <si>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</si>
  <si>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Deposit Protection Renewal - Flat 3,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</si>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</sst>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  <family val="2"/>
    </font>
    <font>
      <name val="Calibri"/>
      <sz val="11.0"/>
      <i val="true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borderId="0" fillId="0" fontId="0" numFmtId="0"/>
    <xf applyAlignment="0" applyBorder="0" applyNumberFormat="0" applyProtection="0" borderId="0" fillId="10" fontId="23" numFmtId="0"/>
    <xf applyAlignment="0" applyBorder="0" applyNumberFormat="0" applyProtection="0" borderId="0" fillId="11" fontId="24" numFmtId="0"/>
  </cellStyleXfs>
  <cellXfs count="183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applyFill="1" applyFont="1" borderId="9" fillId="5" fontId="17" numFmtId="0" xfId="0"/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8" numFmtId="3" xfId="0"/>
    <xf applyFont="1" borderId="0" fillId="0" fontId="18" numFmtId="0" xfId="0"/>
    <xf applyFont="1" applyNumberFormat="1" borderId="0" fillId="0" fontId="18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9" numFmtId="0" xfId="0"/>
    <xf applyFont="1" borderId="0" fillId="0" fontId="20" numFmtId="0" xfId="0"/>
    <xf applyAlignment="1" applyBorder="1" applyFont="1" borderId="8" fillId="0" fontId="20" numFmtId="0" xfId="0">
      <alignment wrapText="1"/>
    </xf>
    <xf applyAlignment="1" applyBorder="1" applyFont="1" borderId="11" fillId="0" fontId="20" numFmtId="0" xfId="0">
      <alignment wrapText="1"/>
    </xf>
    <xf applyAlignment="1" applyBorder="1" applyFont="1" borderId="13" fillId="0" fontId="20" numFmtId="0" xfId="0">
      <alignment wrapText="1"/>
    </xf>
    <xf applyAlignment="1" applyBorder="1" applyFont="1" borderId="3" fillId="0" fontId="20" numFmtId="0" xfId="0">
      <alignment wrapText="1"/>
    </xf>
    <xf applyAlignment="1" applyFont="1" borderId="0" fillId="0" fontId="20" numFmtId="0" xfId="0">
      <alignment wrapText="1"/>
    </xf>
    <xf applyAlignment="1" applyBorder="1" applyFont="1" borderId="6" fillId="0" fontId="20" numFmtId="0" xfId="0">
      <alignment wrapText="1"/>
    </xf>
    <xf applyAlignment="1" applyFill="1" applyFont="1" borderId="0" fillId="7" fontId="20" numFmtId="0" xfId="0">
      <alignment wrapText="1"/>
    </xf>
    <xf applyAlignment="1" applyBorder="1" applyFont="1" borderId="7" fillId="0" fontId="20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1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20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applyFill="1" applyFont="1" applyProtection="1" borderId="6" fillId="9" fontId="5" numFmtId="0" xfId="0">
      <protection locked="0"/>
    </xf>
    <xf applyBorder="1" borderId="6" fillId="10" fontId="23" numFmtId="0" xfId="1"/>
    <xf applyBorder="1" borderId="6" fillId="11" fontId="24" numFmtId="0" xfId="2"/>
    <xf applyBorder="1" applyFont="1" borderId="6" fillId="11" fontId="25" numFmtId="0" xfId="2"/>
    <xf applyFill="1" applyFont="1" borderId="0" fillId="6" fontId="2" numFmtId="0" xfId="0"/>
    <xf applyBorder="1" applyFill="1" borderId="17" fillId="6" fontId="0" numFmtId="0" xfId="0"/>
    <xf applyBorder="1" applyFill="1" borderId="18" fillId="6" fontId="0" numFmtId="0" xfId="0"/>
    <xf applyBorder="1" applyFill="1" borderId="19" fillId="6" fontId="0" numFmtId="0" xfId="0"/>
    <xf applyBorder="1" applyFill="1" borderId="20" fillId="6" fontId="0" numFmtId="0" xfId="0"/>
    <xf applyBorder="1" applyFill="1" applyFont="1" borderId="21" fillId="6" fontId="10" numFmtId="0" xfId="0"/>
    <xf applyBorder="1" applyFill="1" borderId="22" fillId="6" fontId="0" numFmtId="0" xfId="0"/>
    <xf applyBorder="1" applyFill="1" applyFont="1" borderId="17" fillId="6" fontId="5" numFmtId="0" xfId="0"/>
    <xf applyBorder="1" applyFill="1" applyFont="1" borderId="17" fillId="6" fontId="2" numFmtId="0" xfId="0"/>
    <xf applyBorder="1" applyFill="1" applyFont="1" borderId="18" fillId="6" fontId="2" numFmtId="0" xfId="0"/>
    <xf applyBorder="1" applyFill="1" applyFont="1" borderId="19" fillId="6" fontId="2" numFmtId="0" xfId="0"/>
    <xf applyFill="1" applyFont="1" borderId="0" fillId="6" fontId="26" numFmtId="0" xfId="0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7" numFmtId="0" xfId="0"/>
    <xf applyNumberFormat="1" borderId="0" fillId="0" fontId="0" numFmtId="14" xfId="0"/>
    <xf applyBorder="1" applyFill="1" applyFont="1" borderId="9" fillId="12" fontId="3" numFmtId="0" xfId="0"/>
    <xf applyFill="1" applyProtection="1" borderId="0" fillId="12" fontId="0" numFmtId="0" xfId="0">
      <protection locked="0"/>
    </xf>
    <xf applyBorder="1" applyFill="1" borderId="7" fillId="12" fontId="0" numFmtId="0" xfId="0"/>
    <xf applyBorder="1" applyFill="1" applyFont="1" applyNumberFormat="1" applyProtection="1" borderId="6" fillId="12" fontId="5" numFmtId="167" xfId="0">
      <protection locked="0"/>
    </xf>
    <xf applyBorder="1" applyFill="1" applyFont="1" applyNumberFormat="1" applyProtection="1" borderId="9" fillId="12" fontId="5" numFmtId="167" xfId="0">
      <protection locked="0"/>
    </xf>
    <xf applyAlignment="1" applyBorder="1" applyFill="1" applyFont="1" applyNumberFormat="1" applyProtection="1" borderId="9" fillId="12" fontId="5" numFmtId="166" xfId="0">
      <alignment horizontal="center"/>
      <protection locked="0"/>
    </xf>
    <xf applyAlignment="1" applyBorder="1" applyFill="1" applyNumberFormat="1" borderId="6" fillId="12" fontId="0" numFmtId="166" xfId="0">
      <alignment horizontal="center"/>
    </xf>
    <xf applyAlignment="1" applyBorder="1" applyFill="1" applyFont="1" applyNumberFormat="1" borderId="6" fillId="12" fontId="4" numFmtId="166" xfId="0">
      <alignment horizontal="center" wrapText="1"/>
    </xf>
    <xf applyAlignment="1" applyBorder="1" applyFill="1" applyFont="1" applyNumberFormat="1" borderId="6" fillId="12" fontId="15" numFmtId="166" xfId="0">
      <alignment horizontal="center"/>
    </xf>
    <xf applyAlignment="1" applyBorder="1" applyFill="1" applyFont="1" applyNumberFormat="1" borderId="6" fillId="12" fontId="5" numFmtId="166" xfId="0">
      <alignment horizontal="center"/>
    </xf>
    <xf applyBorder="1" applyFill="1" applyProtection="1" borderId="6" fillId="12" fontId="0" numFmtId="0" xfId="0">
      <protection locked="0"/>
    </xf>
    <xf applyBorder="1" applyFill="1" applyNumberFormat="1" borderId="9" fillId="12" fontId="0" numFmtId="166" xfId="0"/>
    <xf applyAlignment="1" applyBorder="1" applyFill="1" applyFont="1" applyNumberFormat="1" applyProtection="1" borderId="6" fillId="12" fontId="5" numFmtId="2" xfId="0">
      <alignment horizontal="right"/>
      <protection locked="0"/>
    </xf>
    <xf applyBorder="1" applyFill="1" applyFont="1" applyProtection="1" borderId="6" fillId="12" fontId="5" numFmtId="0" xfId="0">
      <protection locked="0"/>
    </xf>
    <xf applyBorder="1" applyFill="1" borderId="9" fillId="12" fontId="0" numFmtId="0" xfId="0"/>
    <xf applyBorder="1" applyFill="1" borderId="6" fillId="12" fontId="0" numFmtId="0" xfId="0"/>
    <xf applyFill="1" borderId="0" fillId="12" fontId="0" numFmtId="0" xfId="0"/>
    <xf applyFill="1" applyFont="1" applyNumberFormat="1" borderId="0" fillId="6" fontId="18" numFmtId="3" xfId="0"/>
    <xf applyFill="1" applyFont="1" borderId="0" fillId="6" fontId="18" numFmtId="0" xfId="0"/>
    <xf applyFill="1" applyFont="1" applyNumberFormat="1" borderId="0" fillId="6" fontId="18" numFmtId="14" xfId="0"/>
    <xf applyBorder="1" applyFill="1" applyFont="1" applyNumberFormat="1" applyProtection="1" borderId="6" fillId="6" fontId="5" numFmtId="166" xfId="0">
      <protection locked="0"/>
    </xf>
    <xf applyFill="1" borderId="0" fillId="8" fontId="0" numFmtId="0" xfId="0"/>
    <xf applyFill="1" applyNumberFormat="1" borderId="0" fillId="8" fontId="0" numFmtId="9" xfId="0"/>
    <xf applyBorder="1" applyFill="1" applyNumberFormat="1" borderId="7" fillId="8" fontId="0" numFmtId="9" xfId="0"/>
    <xf applyFill="1" borderId="0" fillId="13" fontId="0" numFmtId="0" xfId="0"/>
    <xf applyFill="1" borderId="0" fillId="14" fontId="0" numFmtId="0" xfId="0"/>
    <xf applyFill="1" applyFont="1" borderId="0" fillId="15" fontId="3" numFmtId="0" xfId="0"/>
    <xf applyFill="1" borderId="0" fillId="15" fontId="0" numFmtId="0" xfId="0"/>
    <xf applyFill="1" applyFont="1" borderId="0" fillId="15" fontId="5" numFmtId="0" xfId="0"/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7" workbookViewId="0" zoomScale="70" zoomScaleNormal="70">
      <selection activeCell="Q15" sqref="Q15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M1" s="138" t="s">
        <v>572</v>
      </c>
      <c r="N1" s="139"/>
      <c r="O1" s="139"/>
      <c r="P1" s="140"/>
      <c r="Q1" s="141"/>
      <c r="R1" s="130"/>
      <c r="S1" s="130"/>
      <c r="T1" s="130"/>
      <c r="U1" s="130"/>
      <c r="V1" s="52"/>
      <c r="W1" s="52"/>
    </row>
    <row ht="18.75" r="2" spans="1:23" thickBot="1" x14ac:dyDescent="0.3">
      <c r="M2" s="134"/>
      <c r="N2" s="135" t="s">
        <v>569</v>
      </c>
      <c r="O2" s="135"/>
      <c r="P2" s="136"/>
    </row>
    <row ht="15.75" r="3" spans="1:23" thickBot="1" x14ac:dyDescent="0.25">
      <c r="A3" s="7" t="s">
        <v>31</v>
      </c>
      <c r="B3" s="79" t="n">
        <v>43616.0</v>
      </c>
    </row>
    <row ht="14.25" r="4" spans="1:23" x14ac:dyDescent="0.2">
      <c r="A4" s="7"/>
      <c r="B4" s="7"/>
      <c r="M4" s="131"/>
      <c r="N4" s="132"/>
      <c r="O4" s="132"/>
      <c r="P4" s="133"/>
      <c r="Q4" s="137" t="s">
        <v>570</v>
      </c>
      <c r="R4" s="132"/>
      <c r="S4" s="132"/>
      <c r="T4" s="133"/>
    </row>
    <row customHeight="1" ht="14.25" r="5" spans="1:23" thickBot="1" x14ac:dyDescent="0.3">
      <c r="A5" s="47" t="s">
        <v>547</v>
      </c>
      <c r="B5" s="36"/>
      <c r="M5" s="134"/>
      <c r="N5" s="135" t="s">
        <v>569</v>
      </c>
      <c r="O5" s="135"/>
      <c r="P5" s="136"/>
      <c r="Q5" s="134"/>
      <c r="R5" s="135" t="s">
        <v>571</v>
      </c>
      <c r="S5" s="135"/>
      <c r="T5" s="136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customHeight="1" ht="12.75" r="9" spans="1:23" x14ac:dyDescent="0.2">
      <c r="A9" s="41" t="s">
        <v>1087</v>
      </c>
      <c r="B9" s="37" t="s">
        <v>578</v>
      </c>
      <c r="C9" s="38"/>
      <c r="D9" s="68"/>
      <c r="E9" s="68"/>
      <c r="F9" s="69"/>
      <c r="G9" s="70"/>
      <c r="H9" s="70"/>
      <c r="I9" s="71"/>
      <c r="J9" s="74"/>
      <c r="K9" s="72"/>
      <c r="L9" s="71" t="n">
        <v>1533.26</v>
      </c>
      <c r="M9" s="104"/>
      <c r="N9" s="40"/>
      <c r="O9" s="69"/>
      <c r="P9" s="39" t="str">
        <f ref="P9:P20" si="0" t="shared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567</v>
      </c>
    </row>
    <row customHeight="1" ht="12.75" r="10" spans="1:23" x14ac:dyDescent="0.2">
      <c r="A10" s="22" t="s">
        <v>53</v>
      </c>
      <c r="B10" s="16" t="s">
        <v>1088</v>
      </c>
      <c r="C10" s="20" t="s">
        <v>579</v>
      </c>
      <c r="D10" s="68" t="n">
        <v>43580.0</v>
      </c>
      <c r="E10" s="72" t="n">
        <v>43640.0</v>
      </c>
      <c r="F10" s="73" t="n">
        <v>1000.0</v>
      </c>
      <c r="G10" s="70" t="n">
        <v>60.0</v>
      </c>
      <c r="H10" s="70" t="n">
        <v>12.0</v>
      </c>
      <c r="I10" s="71"/>
      <c r="J10" s="74" t="n">
        <v>928.0</v>
      </c>
      <c r="K10" s="72" t="n">
        <v>43593.80800925926</v>
      </c>
      <c r="L10" s="71" t="n">
        <v>420.0</v>
      </c>
      <c r="M10" s="104" t="str">
        <f ref="M10:M63" si="1" t="shared">IF(F10-G10-H10-I10-L10&lt;&gt;0, F10-G10-H10-I10-L10,"")</f>
        <v/>
      </c>
      <c r="N10" s="40" t="s">
        <v>203</v>
      </c>
      <c r="O10" s="73" t="n">
        <v>177.04</v>
      </c>
      <c r="P10" s="39">
        <f si="0" t="shared"/>
        <v>0</v>
      </c>
      <c r="Q10" s="120">
        <f ref="Q10:Q63" si="2" t="shared">IF(F10&lt;&gt;"",-(F10-G10-H10-I10-J10),0)</f>
        <v>0</v>
      </c>
      <c r="R10" s="126" t="s">
        <v>580</v>
      </c>
      <c r="S10" s="62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22" t="s">
        <v>54</v>
      </c>
      <c r="B11" s="16" t="s">
        <v>578</v>
      </c>
      <c r="C11" s="20"/>
      <c r="D11" s="68"/>
      <c r="E11" s="72"/>
      <c r="F11" s="73"/>
      <c r="G11" s="70"/>
      <c r="H11" s="70"/>
      <c r="I11" s="71"/>
      <c r="J11" s="74"/>
      <c r="K11" s="72"/>
      <c r="L11" s="71" t="n">
        <v>1280.62</v>
      </c>
      <c r="M11" s="104" t="str">
        <f si="1" t="shared"/>
        <v/>
      </c>
      <c r="N11" s="40" t="s">
        <v>202</v>
      </c>
      <c r="O11" s="73" t="n">
        <v>159.83</v>
      </c>
      <c r="P11" s="39">
        <f si="0" t="shared"/>
        <v>0</v>
      </c>
      <c r="Q11" s="120">
        <f si="2" t="shared"/>
        <v>0</v>
      </c>
      <c r="R11" s="55" t="s">
        <v>568</v>
      </c>
      <c r="S11" s="62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 t="s">
        <v>55</v>
      </c>
      <c r="B12" s="16" t="s">
        <v>1089</v>
      </c>
      <c r="C12" s="20" t="s">
        <v>579</v>
      </c>
      <c r="D12" s="68" t="n">
        <v>43570.0</v>
      </c>
      <c r="E12" s="72" t="n">
        <v>43599.0</v>
      </c>
      <c r="F12" s="73" t="n">
        <v>600.0</v>
      </c>
      <c r="G12" s="70" t="n">
        <v>36.0</v>
      </c>
      <c r="H12" s="70" t="n">
        <v>7.2</v>
      </c>
      <c r="I12" s="71" t="n">
        <v>6.0</v>
      </c>
      <c r="J12" s="74" t="n">
        <v>550.8</v>
      </c>
      <c r="K12" s="72" t="n">
        <v>43599.513287037036</v>
      </c>
      <c r="L12" s="71" t="n">
        <v>132.0</v>
      </c>
      <c r="M12" s="104" t="str">
        <f si="1" t="shared"/>
        <v/>
      </c>
      <c r="N12" s="40" t="s">
        <v>203</v>
      </c>
      <c r="O12" s="125"/>
      <c r="P12" s="39">
        <f si="0" t="shared"/>
        <v>0</v>
      </c>
      <c r="Q12" s="120">
        <f si="2" t="shared"/>
        <v>0</v>
      </c>
      <c r="R12" s="143" t="s">
        <v>203</v>
      </c>
      <c r="S12" s="62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22" t="s">
        <v>56</v>
      </c>
      <c r="B13" s="16" t="s">
        <v>1090</v>
      </c>
      <c r="C13" s="20" t="s">
        <v>95</v>
      </c>
      <c r="D13" s="68" t="n">
        <v>43581.0</v>
      </c>
      <c r="E13" s="72" t="n">
        <v>43641.0</v>
      </c>
      <c r="F13" s="73" t="n">
        <v>500.0</v>
      </c>
      <c r="G13" s="70" t="n">
        <v>30.0</v>
      </c>
      <c r="H13" s="70" t="n">
        <v>6.0</v>
      </c>
      <c r="I13" s="71" t="n">
        <v>6.0</v>
      </c>
      <c r="J13" s="74" t="n">
        <v>458.0</v>
      </c>
      <c r="K13" s="72" t="n">
        <v>43593.80800925926</v>
      </c>
      <c r="L13" s="71"/>
      <c r="M13" s="104" t="str">
        <f si="1" t="shared"/>
        <v/>
      </c>
      <c r="N13" s="40" t="s">
        <v>6</v>
      </c>
      <c r="O13" s="73" t="n">
        <v>177.08</v>
      </c>
      <c r="P13" s="39">
        <f si="0" t="shared"/>
        <v>0</v>
      </c>
      <c r="Q13" s="120">
        <f si="2" t="shared"/>
        <v>0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41" t="s">
        <v>1091</v>
      </c>
      <c r="B14" s="37" t="s">
        <v>578</v>
      </c>
      <c r="C14" s="38"/>
      <c r="D14" s="68"/>
      <c r="E14" s="68"/>
      <c r="F14" s="69"/>
      <c r="G14" s="70"/>
      <c r="H14" s="70"/>
      <c r="I14" s="71"/>
      <c r="J14" s="74"/>
      <c r="K14" s="72"/>
      <c r="L14" s="71" t="n">
        <v>750.0</v>
      </c>
      <c r="M14" s="104" t="str">
        <f si="1" t="shared"/>
        <v/>
      </c>
      <c r="N14" s="40"/>
      <c r="O14" s="69"/>
      <c r="P14" s="39">
        <f si="0" t="shared"/>
        <v>0</v>
      </c>
      <c r="Q14" s="120">
        <f si="2" t="shared"/>
        <v>0</v>
      </c>
      <c r="R14" s="40"/>
      <c r="S14" s="62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1092</v>
      </c>
      <c r="C15" s="20" t="s">
        <v>579</v>
      </c>
      <c r="D15" s="68" t="n">
        <v>43561.0</v>
      </c>
      <c r="E15" s="68" t="n">
        <v>43621.0</v>
      </c>
      <c r="F15" s="73" t="n">
        <v>466.12</v>
      </c>
      <c r="G15" s="70" t="n">
        <v>27.97</v>
      </c>
      <c r="H15" s="70" t="n">
        <v>5.59</v>
      </c>
      <c r="I15" s="71" t="n">
        <v>6.0</v>
      </c>
      <c r="J15" s="74" t="n">
        <v>426.56</v>
      </c>
      <c r="K15" s="72" t="n">
        <v>43593.80800925926</v>
      </c>
      <c r="L15" s="71" t="n">
        <v>1253.0</v>
      </c>
      <c r="M15" s="104" t="str">
        <f si="1" t="shared"/>
        <v/>
      </c>
      <c r="N15" s="40" t="s">
        <v>6</v>
      </c>
      <c r="O15" s="73" t="n">
        <v>159.5</v>
      </c>
      <c r="P15" s="39">
        <f si="0" t="shared"/>
        <v>0</v>
      </c>
      <c r="Q15" s="120">
        <f si="2" t="shared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22" t="s">
        <v>58</v>
      </c>
      <c r="B16" s="16" t="s">
        <v>578</v>
      </c>
      <c r="C16" s="20"/>
      <c r="D16" s="68"/>
      <c r="E16" s="72"/>
      <c r="F16" s="73"/>
      <c r="G16" s="70"/>
      <c r="H16" s="70"/>
      <c r="I16" s="71"/>
      <c r="J16" s="74"/>
      <c r="K16" s="72"/>
      <c r="L16" s="71" t="n">
        <v>770.0</v>
      </c>
      <c r="M16" s="104" t="str">
        <f si="1" t="shared"/>
        <v/>
      </c>
      <c r="N16" s="40" t="s">
        <v>6</v>
      </c>
      <c r="O16" s="125"/>
      <c r="P16" s="39">
        <f si="0" t="shared"/>
        <v>0</v>
      </c>
      <c r="Q16" s="120">
        <f si="2" t="shared"/>
        <v>0</v>
      </c>
      <c r="R16" s="55"/>
      <c r="S16" s="62" t="s">
        <v>197</v>
      </c>
      <c r="T16" s="19" t="s">
        <v>408</v>
      </c>
      <c r="U16" s="66">
        <v>907372200</v>
      </c>
      <c r="V16" s="81">
        <v>6</v>
      </c>
    </row>
    <row customHeight="1" ht="12.75" r="17" spans="1:22" x14ac:dyDescent="0.2">
      <c r="A17" s="22" t="s">
        <v>59</v>
      </c>
      <c r="B17" s="16" t="s">
        <v>1093</v>
      </c>
      <c r="C17" s="20" t="s">
        <v>95</v>
      </c>
      <c r="D17" s="68" t="n">
        <v>43600.0</v>
      </c>
      <c r="E17" s="72" t="n">
        <v>43630.0</v>
      </c>
      <c r="F17" s="73" t="n">
        <v>500.0</v>
      </c>
      <c r="G17" s="70" t="n">
        <v>30.0</v>
      </c>
      <c r="H17" s="70" t="n">
        <v>6.0</v>
      </c>
      <c r="I17" s="71" t="n">
        <v>6.0</v>
      </c>
      <c r="J17" s="74" t="n">
        <v>458.0</v>
      </c>
      <c r="K17" s="72" t="n">
        <v>43612.51603009259</v>
      </c>
      <c r="L17" s="71"/>
      <c r="M17" s="104" t="str">
        <f si="1" t="shared"/>
        <v/>
      </c>
      <c r="N17" s="40" t="s">
        <v>6</v>
      </c>
      <c r="O17" s="73" t="n">
        <v>153.87</v>
      </c>
      <c r="P17" s="39">
        <f si="0" t="shared"/>
        <v>0</v>
      </c>
      <c r="Q17" s="120">
        <f si="2" t="shared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41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si="1" t="shared"/>
        <v/>
      </c>
      <c r="N18" s="40"/>
      <c r="O18" s="69"/>
      <c r="P18" s="39">
        <f si="0" t="shared"/>
        <v>0</v>
      </c>
      <c r="Q18" s="120">
        <f si="2" t="shared"/>
        <v>0</v>
      </c>
      <c r="R18" s="40"/>
      <c r="S18" s="62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1094</v>
      </c>
      <c r="C19" s="20" t="s">
        <v>95</v>
      </c>
      <c r="D19" s="68" t="n">
        <v>43561.0</v>
      </c>
      <c r="E19" s="68" t="n">
        <v>43621.0</v>
      </c>
      <c r="F19" s="73" t="n">
        <v>700.0</v>
      </c>
      <c r="G19" s="70" t="n">
        <v>42.0</v>
      </c>
      <c r="H19" s="70" t="n">
        <v>8.4</v>
      </c>
      <c r="I19" s="71" t="n">
        <v>12.0</v>
      </c>
      <c r="J19" s="74" t="n">
        <v>637.6</v>
      </c>
      <c r="K19" s="72" t="n">
        <v>43614.71910879629</v>
      </c>
      <c r="L19" s="71"/>
      <c r="M19" s="104" t="str">
        <f si="1" t="shared"/>
        <v/>
      </c>
      <c r="N19" s="40" t="s">
        <v>6</v>
      </c>
      <c r="O19" s="73" t="n">
        <v>236.44</v>
      </c>
      <c r="P19" s="39">
        <f si="0" t="shared"/>
        <v>0</v>
      </c>
      <c r="Q19" s="120">
        <f si="2" t="shared"/>
        <v>0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22" t="s">
        <v>187</v>
      </c>
      <c r="B20" s="16" t="s">
        <v>1095</v>
      </c>
      <c r="C20" s="20" t="s">
        <v>95</v>
      </c>
      <c r="D20" s="68" t="n">
        <v>43557.0</v>
      </c>
      <c r="E20" s="72" t="n">
        <v>43617.0</v>
      </c>
      <c r="F20" s="73" t="n">
        <v>461.52</v>
      </c>
      <c r="G20" s="70" t="n">
        <v>27.69</v>
      </c>
      <c r="H20" s="70" t="n">
        <v>5.54</v>
      </c>
      <c r="I20" s="71" t="n">
        <v>6.0</v>
      </c>
      <c r="J20" s="74" t="n">
        <v>422.29</v>
      </c>
      <c r="K20" s="72" t="n">
        <v>43593.80800925926</v>
      </c>
      <c r="L20" s="71"/>
      <c r="M20" s="104" t="str">
        <f si="1" t="shared"/>
        <v/>
      </c>
      <c r="N20" s="40" t="s">
        <v>6</v>
      </c>
      <c r="O20" s="73" t="n">
        <v>209.16</v>
      </c>
      <c r="P20" s="39">
        <f si="0" t="shared"/>
        <v>0</v>
      </c>
      <c r="Q20" s="120">
        <f si="2" t="shared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22" t="s">
        <v>188</v>
      </c>
      <c r="B21" s="16" t="s">
        <v>1096</v>
      </c>
      <c r="C21" s="20" t="s">
        <v>95</v>
      </c>
      <c r="D21" s="68" t="n">
        <v>43505.0</v>
      </c>
      <c r="E21" s="72" t="n">
        <v>43563.0</v>
      </c>
      <c r="F21" s="73" t="n">
        <v>461.52</v>
      </c>
      <c r="G21" s="70" t="n">
        <v>27.7</v>
      </c>
      <c r="H21" s="70" t="n">
        <v>5.54</v>
      </c>
      <c r="I21" s="71" t="n">
        <v>6.0</v>
      </c>
      <c r="J21" s="74" t="n">
        <v>422.28</v>
      </c>
      <c r="K21" s="72" t="n">
        <v>43593.80800925926</v>
      </c>
      <c r="L21" s="71"/>
      <c r="M21" s="104" t="str">
        <f si="1" t="shared"/>
        <v/>
      </c>
      <c r="N21" s="40" t="s">
        <v>6</v>
      </c>
      <c r="O21" s="73" t="n">
        <v>254.22</v>
      </c>
      <c r="P21" s="39">
        <f>IFERROR(IF(M21-O21&lt;&gt;0,M21-O21,""),-O21)</f>
        <v>0</v>
      </c>
      <c r="Q21" s="120">
        <f si="2" t="shared"/>
        <v>0</v>
      </c>
      <c r="R21" s="124" t="s">
        <v>581</v>
      </c>
      <c r="S21" s="62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41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si="1" t="shared"/>
        <v/>
      </c>
      <c r="N22" s="40"/>
      <c r="O22" s="69"/>
      <c r="P22" s="39">
        <f ref="P22:P63" si="3" t="shared">IFERROR(IF(M22-O22&lt;&gt;0,M22-O22,""),-O22)</f>
        <v>0</v>
      </c>
      <c r="Q22" s="120">
        <f si="2" t="shared"/>
        <v>0</v>
      </c>
      <c r="R22" s="40"/>
      <c r="S22" s="62" t="s">
        <v>197</v>
      </c>
      <c r="T22" s="19"/>
      <c r="U22" s="19"/>
      <c r="V22" s="19">
        <v>12</v>
      </c>
    </row>
    <row customFormat="1" customHeight="1" ht="12.75" r="23" s="168" spans="1:22" x14ac:dyDescent="0.2">
      <c r="A23" s="152"/>
      <c r="B23" s="153"/>
      <c r="C23" s="154"/>
      <c r="D23" s="155"/>
      <c r="E23" s="156"/>
      <c r="F23" s="157"/>
      <c r="G23" s="158"/>
      <c r="H23" s="158"/>
      <c r="I23" s="159"/>
      <c r="J23" s="160"/>
      <c r="K23" s="156"/>
      <c r="L23" s="159"/>
      <c r="M23" s="161" t="str">
        <f si="1" t="shared"/>
        <v/>
      </c>
      <c r="N23" s="162" t="s">
        <v>202</v>
      </c>
      <c r="O23" s="157"/>
      <c r="P23" s="163">
        <f si="3" t="shared"/>
        <v>0</v>
      </c>
      <c r="Q23" s="164">
        <f si="2" t="shared"/>
        <v>0</v>
      </c>
      <c r="R23" s="165" t="s">
        <v>582</v>
      </c>
      <c r="S23" s="166" t="s">
        <v>197</v>
      </c>
      <c r="T23" s="167" t="s">
        <v>406</v>
      </c>
      <c r="U23" s="167" t="s">
        <v>425</v>
      </c>
      <c r="V23" s="167">
        <v>9</v>
      </c>
    </row>
    <row customHeight="1" ht="12.75" r="24" spans="1:22" x14ac:dyDescent="0.2">
      <c r="A24" s="22" t="s">
        <v>61</v>
      </c>
      <c r="B24" s="16" t="s">
        <v>1097</v>
      </c>
      <c r="C24" s="20" t="s">
        <v>95</v>
      </c>
      <c r="D24" s="68" t="n">
        <v>43569.0</v>
      </c>
      <c r="E24" s="72" t="n">
        <v>43629.0</v>
      </c>
      <c r="F24" s="73" t="n">
        <v>415.4</v>
      </c>
      <c r="G24" s="70" t="n">
        <v>24.92</v>
      </c>
      <c r="H24" s="70" t="n">
        <v>4.99</v>
      </c>
      <c r="I24" s="71" t="n">
        <v>6.0</v>
      </c>
      <c r="J24" s="74" t="n">
        <v>379.49</v>
      </c>
      <c r="K24" s="72" t="n">
        <v>43593.80800925926</v>
      </c>
      <c r="L24" s="71"/>
      <c r="M24" s="104" t="str">
        <f si="1" t="shared"/>
        <v/>
      </c>
      <c r="N24" s="40" t="s">
        <v>6</v>
      </c>
      <c r="O24" s="73" t="n">
        <v>161.62</v>
      </c>
      <c r="P24" s="39">
        <f si="3" t="shared"/>
        <v>0</v>
      </c>
      <c r="Q24" s="120">
        <f si="2" t="shared"/>
        <v>0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22" t="s">
        <v>62</v>
      </c>
      <c r="B25" s="16" t="s">
        <v>578</v>
      </c>
      <c r="C25" s="20"/>
      <c r="D25" s="68"/>
      <c r="E25" s="72"/>
      <c r="F25" s="73"/>
      <c r="G25" s="70"/>
      <c r="H25" s="70"/>
      <c r="I25" s="71"/>
      <c r="J25" s="74"/>
      <c r="K25" s="72"/>
      <c r="L25" s="71"/>
      <c r="M25" s="104" t="str">
        <f si="1" t="shared"/>
        <v/>
      </c>
      <c r="N25" s="40" t="s">
        <v>202</v>
      </c>
      <c r="O25" s="73" t="n">
        <v>142.35</v>
      </c>
      <c r="P25" s="39">
        <f si="3" t="shared"/>
        <v>0</v>
      </c>
      <c r="Q25" s="120">
        <f si="2" t="shared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41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si="1" t="shared"/>
        <v/>
      </c>
      <c r="N26" s="40"/>
      <c r="O26" s="69"/>
      <c r="P26" s="39">
        <f si="3" t="shared"/>
        <v>0</v>
      </c>
      <c r="Q26" s="120">
        <f si="2" t="shared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1098</v>
      </c>
      <c r="C27" s="20" t="s">
        <v>579</v>
      </c>
      <c r="D27" s="68" t="n">
        <v>43596.0</v>
      </c>
      <c r="E27" s="68" t="n">
        <v>43626.0</v>
      </c>
      <c r="F27" s="69" t="n">
        <v>350.0</v>
      </c>
      <c r="G27" s="70" t="n">
        <v>21.0</v>
      </c>
      <c r="H27" s="70" t="n">
        <v>4.2</v>
      </c>
      <c r="I27" s="71" t="n">
        <v>6.0</v>
      </c>
      <c r="J27" s="74" t="n">
        <v>318.8</v>
      </c>
      <c r="K27" s="72" t="n">
        <v>43601.67675925926</v>
      </c>
      <c r="L27" s="71"/>
      <c r="M27" s="104" t="str">
        <f si="1" t="shared"/>
        <v/>
      </c>
      <c r="N27" s="40" t="s">
        <v>6</v>
      </c>
      <c r="O27" s="108"/>
      <c r="P27" s="39">
        <f si="3" t="shared"/>
        <v>0</v>
      </c>
      <c r="Q27" s="120">
        <f si="2" t="shared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1099</v>
      </c>
      <c r="C28" s="20" t="s">
        <v>95</v>
      </c>
      <c r="D28" s="68" t="n">
        <v>43586.0</v>
      </c>
      <c r="E28" s="68" t="n">
        <v>43616.0</v>
      </c>
      <c r="F28" s="69" t="n">
        <v>520.0</v>
      </c>
      <c r="G28" s="70" t="n">
        <v>31.2</v>
      </c>
      <c r="H28" s="70" t="n">
        <v>6.24</v>
      </c>
      <c r="I28" s="71" t="n">
        <v>6.0</v>
      </c>
      <c r="J28" s="74" t="n">
        <v>476.56</v>
      </c>
      <c r="K28" s="72" t="n">
        <v>43587.67934027778</v>
      </c>
      <c r="L28" s="71"/>
      <c r="M28" s="104" t="str">
        <f si="1" t="shared"/>
        <v/>
      </c>
      <c r="N28" s="40" t="s">
        <v>6</v>
      </c>
      <c r="O28" s="69" t="n">
        <v>202.32</v>
      </c>
      <c r="P28" s="39">
        <f si="3" t="shared"/>
        <v>0</v>
      </c>
      <c r="Q28" s="120">
        <f si="2" t="shared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22" t="s">
        <v>65</v>
      </c>
      <c r="B29" s="16" t="s">
        <v>1100</v>
      </c>
      <c r="C29" s="20" t="s">
        <v>95</v>
      </c>
      <c r="D29" s="68" t="n">
        <v>43538.0</v>
      </c>
      <c r="E29" s="68" t="n">
        <v>43629.0</v>
      </c>
      <c r="F29" s="73" t="n">
        <v>750.12</v>
      </c>
      <c r="G29" s="70" t="n">
        <v>45.01</v>
      </c>
      <c r="H29" s="70" t="n">
        <v>9.0</v>
      </c>
      <c r="I29" s="71" t="n">
        <v>6.0</v>
      </c>
      <c r="J29" s="74" t="n">
        <v>690.11</v>
      </c>
      <c r="K29" s="72" t="n">
        <v>43588.70650462963</v>
      </c>
      <c r="L29" s="71"/>
      <c r="M29" s="104" t="str">
        <f si="1" t="shared"/>
        <v/>
      </c>
      <c r="N29" s="40" t="s">
        <v>6</v>
      </c>
      <c r="O29" s="73" t="n">
        <v>240.7</v>
      </c>
      <c r="P29" s="39">
        <f si="3" t="shared"/>
        <v>0</v>
      </c>
      <c r="Q29" s="120">
        <f si="2" t="shared"/>
        <v>0</v>
      </c>
      <c r="R29" s="55"/>
      <c r="S29" s="62" t="s">
        <v>396</v>
      </c>
      <c r="T29" s="19" t="s">
        <v>407</v>
      </c>
      <c r="U29" s="127" t="s">
        <v>430</v>
      </c>
      <c r="V29" s="127">
        <v>16</v>
      </c>
    </row>
    <row customHeight="1" ht="12.75" r="30" spans="1:22" x14ac:dyDescent="0.2">
      <c r="A30" s="41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si="1" t="shared"/>
        <v/>
      </c>
      <c r="N30" s="40"/>
      <c r="O30" s="69"/>
      <c r="P30" s="39">
        <f si="3" t="shared"/>
        <v>0</v>
      </c>
      <c r="Q30" s="120">
        <f si="2" t="shared"/>
        <v>0</v>
      </c>
      <c r="R30" s="55"/>
      <c r="S30" s="62" t="s">
        <v>397</v>
      </c>
      <c r="T30" s="19"/>
      <c r="U30" s="19"/>
      <c r="V30" s="19">
        <v>18</v>
      </c>
    </row>
    <row customHeight="1" ht="12.75" r="31" spans="1:22" x14ac:dyDescent="0.2">
      <c r="A31" s="22" t="s">
        <v>99</v>
      </c>
      <c r="B31" s="16" t="s">
        <v>578</v>
      </c>
      <c r="C31" s="20"/>
      <c r="D31" s="68"/>
      <c r="E31" s="68"/>
      <c r="F31" s="69"/>
      <c r="G31" s="70"/>
      <c r="H31" s="70"/>
      <c r="I31" s="71"/>
      <c r="J31" s="74"/>
      <c r="K31" s="72"/>
      <c r="L31" s="71"/>
      <c r="M31" s="104" t="str">
        <f si="1" t="shared"/>
        <v/>
      </c>
      <c r="N31" s="40" t="s">
        <v>6</v>
      </c>
      <c r="O31" s="69" t="n">
        <v>217.44</v>
      </c>
      <c r="P31" s="39">
        <f si="3" t="shared"/>
        <v>0</v>
      </c>
      <c r="Q31" s="120">
        <f si="2" t="shared"/>
        <v>0</v>
      </c>
      <c r="R31" s="51" t="s">
        <v>565</v>
      </c>
      <c r="S31" s="62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22" t="s">
        <v>102</v>
      </c>
      <c r="B32" s="16" t="s">
        <v>1101</v>
      </c>
      <c r="C32" s="20" t="s">
        <v>579</v>
      </c>
      <c r="D32" s="68" t="n">
        <v>43586.0</v>
      </c>
      <c r="E32" s="68" t="n">
        <v>43616.0</v>
      </c>
      <c r="F32" s="73" t="n">
        <v>720.0</v>
      </c>
      <c r="G32" s="70" t="n">
        <v>43.2</v>
      </c>
      <c r="H32" s="70" t="n">
        <v>8.64</v>
      </c>
      <c r="I32" s="71" t="n">
        <v>6.0</v>
      </c>
      <c r="J32" s="74" t="n">
        <v>662.16</v>
      </c>
      <c r="K32" s="72" t="n">
        <v>43586.64771990741</v>
      </c>
      <c r="L32" s="71" t="n">
        <v>84.0</v>
      </c>
      <c r="M32" s="104" t="str">
        <f si="1" t="shared"/>
        <v/>
      </c>
      <c r="N32" s="40" t="s">
        <v>6</v>
      </c>
      <c r="O32" s="73" t="n">
        <v>551.52</v>
      </c>
      <c r="P32" s="39">
        <f si="3" t="shared"/>
        <v>0</v>
      </c>
      <c r="Q32" s="120">
        <f si="2" t="shared"/>
        <v>0</v>
      </c>
      <c r="R32" s="40" t="s">
        <v>564</v>
      </c>
      <c r="S32" s="62" t="s">
        <v>396</v>
      </c>
      <c r="T32" s="19" t="s">
        <v>410</v>
      </c>
      <c r="U32" s="128" t="s">
        <v>432</v>
      </c>
      <c r="V32" s="128">
        <v>34</v>
      </c>
    </row>
    <row customHeight="1" ht="12.75" r="33" spans="1:22" x14ac:dyDescent="0.2">
      <c r="A33" s="41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si="1" t="shared"/>
        <v/>
      </c>
      <c r="N33" s="50"/>
      <c r="O33" s="69"/>
      <c r="P33" s="39">
        <f si="3" t="shared"/>
        <v>0</v>
      </c>
      <c r="Q33" s="120">
        <f si="2" t="shared"/>
        <v>0</v>
      </c>
      <c r="R33" s="40"/>
      <c r="S33" s="2" t="s">
        <v>399</v>
      </c>
      <c r="T33" s="64"/>
      <c r="U33" s="64"/>
      <c r="V33" s="64">
        <v>20</v>
      </c>
    </row>
    <row customHeight="1" ht="12.75" r="34" spans="1:22" x14ac:dyDescent="0.2">
      <c r="A34" s="22" t="s">
        <v>103</v>
      </c>
      <c r="B34" s="16" t="s">
        <v>1102</v>
      </c>
      <c r="C34" s="20" t="s">
        <v>95</v>
      </c>
      <c r="D34" s="68" t="n">
        <v>43569.0</v>
      </c>
      <c r="E34" s="72" t="n">
        <v>43629.0</v>
      </c>
      <c r="F34" s="73" t="n">
        <v>466.16</v>
      </c>
      <c r="G34" s="70" t="n">
        <v>27.97</v>
      </c>
      <c r="H34" s="70" t="n">
        <v>5.59</v>
      </c>
      <c r="I34" s="71" t="n">
        <v>6.0</v>
      </c>
      <c r="J34" s="74" t="n">
        <v>426.6</v>
      </c>
      <c r="K34" s="68" t="n">
        <v>43594.57655092593</v>
      </c>
      <c r="L34" s="71" t="n">
        <v>70.0</v>
      </c>
      <c r="M34" s="104" t="str">
        <f si="1" t="shared"/>
        <v/>
      </c>
      <c r="N34" s="50" t="s">
        <v>6</v>
      </c>
      <c r="O34" s="73" t="n">
        <v>215.85</v>
      </c>
      <c r="P34" s="39">
        <f si="3" t="shared"/>
        <v>0</v>
      </c>
      <c r="Q34" s="120">
        <f si="2" t="shared"/>
        <v>0</v>
      </c>
      <c r="R34" s="124" t="s">
        <v>583</v>
      </c>
      <c r="S34" s="62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1103</v>
      </c>
      <c r="C35" s="20" t="s">
        <v>95</v>
      </c>
      <c r="D35" s="68" t="n">
        <v>43593.0</v>
      </c>
      <c r="E35" s="68" t="n">
        <v>43623.0</v>
      </c>
      <c r="F35" s="69" t="n">
        <v>500.0</v>
      </c>
      <c r="G35" s="70" t="n">
        <v>30.0</v>
      </c>
      <c r="H35" s="70" t="n">
        <v>6.0</v>
      </c>
      <c r="I35" s="71" t="n">
        <v>6.0</v>
      </c>
      <c r="J35" s="74" t="n">
        <v>458.0</v>
      </c>
      <c r="K35" s="68" t="n">
        <v>43593.80800925926</v>
      </c>
      <c r="L35" s="71"/>
      <c r="M35" s="104" t="str">
        <f si="1" t="shared"/>
        <v/>
      </c>
      <c r="N35" s="50" t="s">
        <v>6</v>
      </c>
      <c r="O35" s="69" t="n">
        <v>203.62</v>
      </c>
      <c r="P35" s="39">
        <f si="3" t="shared"/>
        <v>0</v>
      </c>
      <c r="Q35" s="120">
        <f si="2" t="shared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1104</v>
      </c>
      <c r="C36" s="20" t="s">
        <v>579</v>
      </c>
      <c r="D36" s="72" t="n">
        <v>43615.0</v>
      </c>
      <c r="E36" s="72" t="n">
        <v>43645.0</v>
      </c>
      <c r="F36" s="73" t="n">
        <v>500.0</v>
      </c>
      <c r="G36" s="70" t="n">
        <v>30.0</v>
      </c>
      <c r="H36" s="70" t="n">
        <v>6.0</v>
      </c>
      <c r="I36" s="71" t="n">
        <v>6.0</v>
      </c>
      <c r="J36" s="74" t="n">
        <v>458.0</v>
      </c>
      <c r="K36" s="72" t="n">
        <v>43616.64635416667</v>
      </c>
      <c r="L36" s="71"/>
      <c r="M36" s="104" t="str">
        <f si="1" t="shared"/>
        <v/>
      </c>
      <c r="N36" s="50" t="s">
        <v>6</v>
      </c>
      <c r="O36" s="73" t="n">
        <v>203.62</v>
      </c>
      <c r="P36" s="39">
        <f si="3" t="shared"/>
        <v>0</v>
      </c>
      <c r="Q36" s="120">
        <f si="2" t="shared"/>
        <v>0</v>
      </c>
      <c r="R36" s="124" t="s">
        <v>583</v>
      </c>
      <c r="S36" s="62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22" t="s">
        <v>106</v>
      </c>
      <c r="B37" s="16" t="s">
        <v>1105</v>
      </c>
      <c r="C37" s="20" t="s">
        <v>95</v>
      </c>
      <c r="D37" s="68" t="n">
        <v>43581.0</v>
      </c>
      <c r="E37" s="68" t="n">
        <v>43610.0</v>
      </c>
      <c r="F37" s="73" t="n">
        <v>505.0</v>
      </c>
      <c r="G37" s="70" t="n">
        <v>30.3</v>
      </c>
      <c r="H37" s="70" t="n">
        <v>6.06</v>
      </c>
      <c r="I37" s="71" t="n">
        <v>6.0</v>
      </c>
      <c r="J37" s="74" t="n">
        <v>462.64</v>
      </c>
      <c r="K37" s="72" t="n">
        <v>43586.64771990741</v>
      </c>
      <c r="L37" s="71"/>
      <c r="M37" s="104" t="str">
        <f si="1" t="shared"/>
        <v/>
      </c>
      <c r="N37" s="40" t="s">
        <v>6</v>
      </c>
      <c r="O37" s="73" t="n">
        <v>375.8</v>
      </c>
      <c r="P37" s="39">
        <f si="3" t="shared"/>
        <v>0</v>
      </c>
      <c r="Q37" s="120">
        <f si="2" t="shared"/>
        <v>0</v>
      </c>
      <c r="R37" s="40"/>
      <c r="S37" s="62" t="s">
        <v>396</v>
      </c>
      <c r="T37" s="19" t="s">
        <v>413</v>
      </c>
      <c r="U37" s="128" t="s">
        <v>436</v>
      </c>
      <c r="V37" s="128">
        <v>32</v>
      </c>
    </row>
    <row customHeight="1" ht="12.75" r="38" spans="1:22" x14ac:dyDescent="0.2">
      <c r="A38" s="22" t="s">
        <v>224</v>
      </c>
      <c r="B38" s="16" t="s">
        <v>1106</v>
      </c>
      <c r="C38" s="20" t="s">
        <v>579</v>
      </c>
      <c r="D38" s="72" t="n">
        <v>43586.0</v>
      </c>
      <c r="E38" s="72" t="n">
        <v>43616.0</v>
      </c>
      <c r="F38" s="69" t="n">
        <v>500.0</v>
      </c>
      <c r="G38" s="70" t="n">
        <v>30.0</v>
      </c>
      <c r="H38" s="70" t="n">
        <v>6.0</v>
      </c>
      <c r="I38" s="71"/>
      <c r="J38" s="74" t="n">
        <v>464.0</v>
      </c>
      <c r="K38" s="72" t="n">
        <v>43586.64771990741</v>
      </c>
      <c r="L38" s="71"/>
      <c r="M38" s="104" t="str">
        <f si="1" t="shared"/>
        <v/>
      </c>
      <c r="N38" s="40" t="s">
        <v>6</v>
      </c>
      <c r="O38" s="69" t="n">
        <v>215.85</v>
      </c>
      <c r="P38" s="39">
        <f si="3" t="shared"/>
        <v>0</v>
      </c>
      <c r="Q38" s="120">
        <f si="2" t="shared"/>
        <v>0</v>
      </c>
      <c r="R38" s="55" t="s">
        <v>586</v>
      </c>
      <c r="S38" s="62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22" t="s">
        <v>226</v>
      </c>
      <c r="B39" s="16" t="s">
        <v>1107</v>
      </c>
      <c r="C39" s="20" t="s">
        <v>95</v>
      </c>
      <c r="D39" s="72" t="n">
        <v>43581.0</v>
      </c>
      <c r="E39" s="72" t="n">
        <v>43641.0</v>
      </c>
      <c r="F39" s="69" t="n">
        <v>461.52</v>
      </c>
      <c r="G39" s="70" t="n">
        <v>27.69</v>
      </c>
      <c r="H39" s="70" t="n">
        <v>5.54</v>
      </c>
      <c r="I39" s="71" t="n">
        <v>12.0</v>
      </c>
      <c r="J39" s="74" t="n">
        <v>416.29</v>
      </c>
      <c r="K39" s="68" t="n">
        <v>43593.80800925926</v>
      </c>
      <c r="L39" s="71"/>
      <c r="M39" s="104" t="str">
        <f si="1" t="shared"/>
        <v/>
      </c>
      <c r="N39" s="40" t="s">
        <v>6</v>
      </c>
      <c r="O39" s="69" t="n">
        <v>215.85</v>
      </c>
      <c r="P39" s="39">
        <f si="3" t="shared"/>
        <v>0</v>
      </c>
      <c r="Q39" s="120">
        <f si="2" t="shared"/>
        <v>0</v>
      </c>
      <c r="R39" s="124" t="s">
        <v>587</v>
      </c>
      <c r="S39" s="62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22" t="s">
        <v>227</v>
      </c>
      <c r="B40" s="16" t="s">
        <v>578</v>
      </c>
      <c r="C40" s="20"/>
      <c r="D40" s="72"/>
      <c r="E40" s="72"/>
      <c r="F40" s="73"/>
      <c r="G40" s="70"/>
      <c r="H40" s="70"/>
      <c r="I40" s="71"/>
      <c r="J40" s="74"/>
      <c r="K40" s="72"/>
      <c r="L40" s="71" t="n">
        <v>1220.0</v>
      </c>
      <c r="M40" s="104" t="str">
        <f si="1" t="shared"/>
        <v/>
      </c>
      <c r="N40" s="40" t="s">
        <v>258</v>
      </c>
      <c r="O40" s="73" t="n">
        <v>242.09</v>
      </c>
      <c r="P40" s="39">
        <f si="3" t="shared"/>
        <v>0</v>
      </c>
      <c r="Q40" s="120">
        <f si="2" t="shared"/>
        <v>0</v>
      </c>
      <c r="R40" s="126" t="s">
        <v>588</v>
      </c>
      <c r="S40" s="62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22" t="s">
        <v>228</v>
      </c>
      <c r="B41" s="16" t="s">
        <v>1108</v>
      </c>
      <c r="C41" s="20" t="s">
        <v>95</v>
      </c>
      <c r="D41" s="68" t="n">
        <v>43571.0</v>
      </c>
      <c r="E41" s="68" t="n">
        <v>43600.0</v>
      </c>
      <c r="F41" s="69" t="n">
        <v>450.0</v>
      </c>
      <c r="G41" s="70" t="n">
        <v>27.0</v>
      </c>
      <c r="H41" s="70" t="n">
        <v>5.4</v>
      </c>
      <c r="I41" s="71"/>
      <c r="J41" s="74" t="n">
        <v>417.6</v>
      </c>
      <c r="K41" s="68" t="n">
        <v>43591.67145833333</v>
      </c>
      <c r="L41" s="71"/>
      <c r="M41" s="104" t="str">
        <f si="1" t="shared"/>
        <v/>
      </c>
      <c r="N41" s="40" t="s">
        <v>6</v>
      </c>
      <c r="O41" s="69" t="n">
        <v>240.21</v>
      </c>
      <c r="P41" s="39">
        <f si="3" t="shared"/>
        <v>0</v>
      </c>
      <c r="Q41" s="120">
        <f si="2" t="shared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22" t="s">
        <v>107</v>
      </c>
      <c r="B42" s="16" t="s">
        <v>1109</v>
      </c>
      <c r="C42" s="20" t="s">
        <v>579</v>
      </c>
      <c r="D42" s="68" t="n">
        <v>43569.0</v>
      </c>
      <c r="E42" s="68" t="n">
        <v>43598.0</v>
      </c>
      <c r="F42" s="73" t="n">
        <v>500.0</v>
      </c>
      <c r="G42" s="70" t="n">
        <v>30.0</v>
      </c>
      <c r="H42" s="70" t="n">
        <v>6.0</v>
      </c>
      <c r="I42" s="71"/>
      <c r="J42" s="74" t="n">
        <v>464.0</v>
      </c>
      <c r="K42" s="72" t="n">
        <v>43595.53351851852</v>
      </c>
      <c r="L42" s="71"/>
      <c r="M42" s="104" t="str">
        <f si="1" t="shared"/>
        <v/>
      </c>
      <c r="N42" s="40" t="s">
        <v>6</v>
      </c>
      <c r="O42" s="73" t="n">
        <v>386.17</v>
      </c>
      <c r="P42" s="39">
        <f si="3" t="shared"/>
        <v>0</v>
      </c>
      <c r="Q42" s="120">
        <f si="2" t="shared"/>
        <v>0</v>
      </c>
      <c r="R42" s="40"/>
      <c r="S42" s="62" t="s">
        <v>396</v>
      </c>
      <c r="T42" s="19" t="s">
        <v>414</v>
      </c>
      <c r="U42" s="128" t="s">
        <v>441</v>
      </c>
      <c r="V42" s="128">
        <v>28</v>
      </c>
    </row>
    <row customHeight="1" ht="12.75" r="43" spans="1:22" x14ac:dyDescent="0.25">
      <c r="A43" s="22" t="s">
        <v>67</v>
      </c>
      <c r="B43" s="16" t="s">
        <v>578</v>
      </c>
      <c r="C43" s="20"/>
      <c r="D43" s="68"/>
      <c r="E43" s="68"/>
      <c r="F43" s="73"/>
      <c r="G43" s="70"/>
      <c r="H43" s="70"/>
      <c r="I43" s="71"/>
      <c r="J43" s="74"/>
      <c r="K43" s="72"/>
      <c r="L43" s="71" t="n">
        <v>-7.69</v>
      </c>
      <c r="M43" s="104" t="str">
        <f si="1" t="shared"/>
        <v/>
      </c>
      <c r="N43" s="40" t="s">
        <v>202</v>
      </c>
      <c r="O43" s="73" t="n">
        <v>240.21</v>
      </c>
      <c r="P43" s="39">
        <f si="3" t="shared"/>
        <v>0</v>
      </c>
      <c r="Q43" s="120">
        <f si="2" t="shared"/>
        <v>0</v>
      </c>
      <c r="R43" s="51" t="s">
        <v>576</v>
      </c>
      <c r="S43" s="62" t="s">
        <v>396</v>
      </c>
      <c r="T43" s="19" t="s">
        <v>412</v>
      </c>
      <c r="U43" s="128" t="s">
        <v>442</v>
      </c>
      <c r="V43" s="128">
        <v>23</v>
      </c>
    </row>
    <row customHeight="1" ht="12.75" r="44" spans="1:22" x14ac:dyDescent="0.25">
      <c r="A44" s="22" t="s">
        <v>109</v>
      </c>
      <c r="B44" s="16" t="s">
        <v>578</v>
      </c>
      <c r="C44" s="20"/>
      <c r="D44" s="68"/>
      <c r="E44" s="68"/>
      <c r="F44" s="73"/>
      <c r="G44" s="70"/>
      <c r="H44" s="70"/>
      <c r="I44" s="71"/>
      <c r="J44" s="74"/>
      <c r="K44" s="72"/>
      <c r="L44" s="71"/>
      <c r="M44" s="104" t="str">
        <f si="1" t="shared"/>
        <v/>
      </c>
      <c r="N44" s="40" t="s">
        <v>206</v>
      </c>
      <c r="O44" s="73" t="n">
        <v>242.16</v>
      </c>
      <c r="P44" s="39">
        <f si="3" t="shared"/>
        <v>0</v>
      </c>
      <c r="Q44" s="120">
        <f si="2" t="shared"/>
        <v>0</v>
      </c>
      <c r="R44" s="124" t="s">
        <v>589</v>
      </c>
      <c r="S44" s="62" t="s">
        <v>396</v>
      </c>
      <c r="T44" s="19" t="s">
        <v>412</v>
      </c>
      <c r="U44" s="129" t="s">
        <v>443</v>
      </c>
      <c r="V44" s="129">
        <v>27</v>
      </c>
    </row>
    <row customHeight="1" ht="12.75" r="45" spans="1:22" x14ac:dyDescent="0.2">
      <c r="A45" s="41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si="1" t="shared"/>
        <v/>
      </c>
      <c r="N45" s="40"/>
      <c r="O45" s="69"/>
      <c r="P45" s="39">
        <f si="3" t="shared"/>
        <v>0</v>
      </c>
      <c r="Q45" s="120">
        <f si="2" t="shared"/>
        <v>0</v>
      </c>
      <c r="R45" s="51"/>
      <c r="S45" s="2" t="s">
        <v>399</v>
      </c>
      <c r="T45" s="64"/>
      <c r="U45" s="64"/>
      <c r="V45" s="64">
        <v>51</v>
      </c>
    </row>
    <row customHeight="1" ht="12.75" r="46" spans="1:22" x14ac:dyDescent="0.25">
      <c r="A46" s="22" t="s">
        <v>68</v>
      </c>
      <c r="B46" s="16" t="s">
        <v>1110</v>
      </c>
      <c r="C46" s="20" t="s">
        <v>579</v>
      </c>
      <c r="D46" s="68" t="n">
        <v>43542.0</v>
      </c>
      <c r="E46" s="68" t="n">
        <v>43602.0</v>
      </c>
      <c r="F46" s="73" t="n">
        <v>520.12</v>
      </c>
      <c r="G46" s="70" t="n">
        <v>31.2</v>
      </c>
      <c r="H46" s="70" t="n">
        <v>6.24</v>
      </c>
      <c r="I46" s="71" t="n">
        <v>12.0</v>
      </c>
      <c r="J46" s="74" t="n">
        <v>470.68</v>
      </c>
      <c r="K46" s="72" t="n">
        <v>43593.80800925926</v>
      </c>
      <c r="L46" s="71"/>
      <c r="M46" s="104" t="str">
        <f si="1" t="shared"/>
        <v/>
      </c>
      <c r="N46" s="40" t="s">
        <v>6</v>
      </c>
      <c r="O46" s="73" t="n">
        <v>206.85</v>
      </c>
      <c r="P46" s="39">
        <f si="3" t="shared"/>
        <v>0</v>
      </c>
      <c r="Q46" s="120">
        <f si="2" t="shared"/>
        <v>0</v>
      </c>
      <c r="R46" s="40"/>
      <c r="S46" s="62" t="s">
        <v>396</v>
      </c>
      <c r="T46" s="19" t="s">
        <v>406</v>
      </c>
      <c r="U46" s="127" t="s">
        <v>444</v>
      </c>
      <c r="V46" s="127">
        <v>46</v>
      </c>
    </row>
    <row customHeight="1" ht="12.75" r="47" spans="1:22" x14ac:dyDescent="0.2">
      <c r="A47" s="22" t="s">
        <v>69</v>
      </c>
      <c r="B47" s="16" t="s">
        <v>1111</v>
      </c>
      <c r="C47" s="20" t="s">
        <v>579</v>
      </c>
      <c r="D47" s="68" t="n">
        <v>43561.0</v>
      </c>
      <c r="E47" s="68" t="n">
        <v>43621.0</v>
      </c>
      <c r="F47" s="69" t="n">
        <v>480.12</v>
      </c>
      <c r="G47" s="70" t="n">
        <v>28.82</v>
      </c>
      <c r="H47" s="70" t="n">
        <v>5.76</v>
      </c>
      <c r="I47" s="71" t="n">
        <v>6.0</v>
      </c>
      <c r="J47" s="74" t="n">
        <v>439.54</v>
      </c>
      <c r="K47" s="72" t="n">
        <v>43593.80800925926</v>
      </c>
      <c r="L47" s="71"/>
      <c r="M47" s="104" t="str">
        <f si="1" t="shared"/>
        <v/>
      </c>
      <c r="N47" s="40" t="s">
        <v>6</v>
      </c>
      <c r="O47" s="69" t="n">
        <v>103.25</v>
      </c>
      <c r="P47" s="39">
        <f si="3" t="shared"/>
        <v>0</v>
      </c>
      <c r="Q47" s="120">
        <f si="2" t="shared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1112</v>
      </c>
      <c r="C48" s="20" t="s">
        <v>95</v>
      </c>
      <c r="D48" s="68" t="n">
        <v>43578.0</v>
      </c>
      <c r="E48" s="68" t="n">
        <v>43638.0</v>
      </c>
      <c r="F48" s="73" t="n">
        <v>452.32</v>
      </c>
      <c r="G48" s="70" t="n">
        <v>27.14</v>
      </c>
      <c r="H48" s="70" t="n">
        <v>5.43</v>
      </c>
      <c r="I48" s="71" t="n">
        <v>6.0</v>
      </c>
      <c r="J48" s="74" t="n">
        <v>413.75</v>
      </c>
      <c r="K48" s="72" t="n">
        <v>43593.80800925926</v>
      </c>
      <c r="L48" s="71"/>
      <c r="M48" s="104" t="str">
        <f si="1" t="shared"/>
        <v/>
      </c>
      <c r="N48" s="40" t="s">
        <v>6</v>
      </c>
      <c r="O48" s="73" t="n">
        <v>206.81</v>
      </c>
      <c r="P48" s="39">
        <f si="3" t="shared"/>
        <v>0</v>
      </c>
      <c r="Q48" s="120">
        <f si="2" t="shared"/>
        <v>0</v>
      </c>
      <c r="R48" s="40"/>
      <c r="S48" s="62" t="s">
        <v>396</v>
      </c>
      <c r="T48" s="19" t="s">
        <v>406</v>
      </c>
      <c r="U48" s="127" t="s">
        <v>446</v>
      </c>
      <c r="V48" s="127">
        <v>47</v>
      </c>
    </row>
    <row r="49" spans="1:22" x14ac:dyDescent="0.2">
      <c r="A49" s="22" t="s">
        <v>111</v>
      </c>
      <c r="B49" s="16" t="s">
        <v>1113</v>
      </c>
      <c r="C49" s="20" t="s">
        <v>95</v>
      </c>
      <c r="D49" s="72" t="n">
        <v>43569.0</v>
      </c>
      <c r="E49" s="72" t="n">
        <v>43629.0</v>
      </c>
      <c r="F49" s="73" t="n">
        <v>461.52</v>
      </c>
      <c r="G49" s="70" t="n">
        <v>27.69</v>
      </c>
      <c r="H49" s="70" t="n">
        <v>5.54</v>
      </c>
      <c r="I49" s="71" t="n">
        <v>6.0</v>
      </c>
      <c r="J49" s="74" t="n">
        <v>422.29</v>
      </c>
      <c r="K49" s="72" t="n">
        <v>43593.80800925926</v>
      </c>
      <c r="L49" s="71"/>
      <c r="M49" s="104" t="str">
        <f si="1" t="shared"/>
        <v/>
      </c>
      <c r="N49" s="40" t="s">
        <v>6</v>
      </c>
      <c r="O49" s="73" t="n">
        <v>212.04</v>
      </c>
      <c r="P49" s="39">
        <f si="3" t="shared"/>
        <v>0</v>
      </c>
      <c r="Q49" s="120">
        <f si="2" t="shared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22" t="s">
        <v>231</v>
      </c>
      <c r="B50" s="16" t="s">
        <v>1114</v>
      </c>
      <c r="C50" s="20" t="s">
        <v>579</v>
      </c>
      <c r="D50" s="68" t="n">
        <v>43588.0</v>
      </c>
      <c r="E50" s="68" t="n">
        <v>43618.0</v>
      </c>
      <c r="F50" s="69" t="n">
        <v>550.0</v>
      </c>
      <c r="G50" s="70" t="n">
        <v>33.0</v>
      </c>
      <c r="H50" s="70" t="n">
        <v>6.6</v>
      </c>
      <c r="I50" s="71" t="n">
        <v>6.0</v>
      </c>
      <c r="J50" s="74" t="n">
        <v>504.4</v>
      </c>
      <c r="K50" s="72" t="n">
        <v>43588.70650462963</v>
      </c>
      <c r="L50" s="71"/>
      <c r="M50" s="104" t="str">
        <f si="1" t="shared"/>
        <v/>
      </c>
      <c r="N50" s="40" t="s">
        <v>6</v>
      </c>
      <c r="O50" s="69" t="n">
        <v>206.8</v>
      </c>
      <c r="P50" s="39">
        <f si="3" t="shared"/>
        <v>0</v>
      </c>
      <c r="Q50" s="120">
        <f si="2" t="shared"/>
        <v>0</v>
      </c>
      <c r="R50" s="51"/>
      <c r="S50" s="62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1115</v>
      </c>
      <c r="C51" s="20" t="s">
        <v>95</v>
      </c>
      <c r="D51" s="68" t="n">
        <v>43575.0</v>
      </c>
      <c r="E51" s="68" t="n">
        <v>43635.0</v>
      </c>
      <c r="F51" s="73" t="n">
        <v>461.52</v>
      </c>
      <c r="G51" s="70" t="n">
        <v>27.69</v>
      </c>
      <c r="H51" s="70" t="n">
        <v>5.54</v>
      </c>
      <c r="I51" s="71" t="n">
        <v>6.0</v>
      </c>
      <c r="J51" s="74" t="n">
        <v>422.29</v>
      </c>
      <c r="K51" s="72" t="n">
        <v>43593.80800925926</v>
      </c>
      <c r="L51" s="71"/>
      <c r="M51" s="104" t="str">
        <f si="1" t="shared"/>
        <v/>
      </c>
      <c r="N51" s="40" t="s">
        <v>6</v>
      </c>
      <c r="O51" s="73" t="n">
        <v>206.82</v>
      </c>
      <c r="P51" s="39">
        <f si="3" t="shared"/>
        <v>0</v>
      </c>
      <c r="Q51" s="120">
        <f si="2" t="shared"/>
        <v>0</v>
      </c>
      <c r="R51" s="40"/>
      <c r="S51" s="62" t="s">
        <v>396</v>
      </c>
      <c r="T51" s="19" t="s">
        <v>406</v>
      </c>
      <c r="U51" s="128" t="s">
        <v>449</v>
      </c>
      <c r="V51" s="128">
        <v>53</v>
      </c>
    </row>
    <row customHeight="1" ht="12.75" r="52" spans="1:22" x14ac:dyDescent="0.2">
      <c r="A52" s="22" t="s">
        <v>71</v>
      </c>
      <c r="B52" s="16" t="s">
        <v>1116</v>
      </c>
      <c r="C52" s="20" t="s">
        <v>579</v>
      </c>
      <c r="D52" s="68" t="n">
        <v>43591.0</v>
      </c>
      <c r="E52" s="68" t="n">
        <v>43621.0</v>
      </c>
      <c r="F52" s="69" t="n">
        <v>500.0</v>
      </c>
      <c r="G52" s="70" t="n">
        <v>30.0</v>
      </c>
      <c r="H52" s="70" t="n">
        <v>6.0</v>
      </c>
      <c r="I52" s="71" t="n">
        <v>6.0</v>
      </c>
      <c r="J52" s="74" t="n">
        <v>458.0</v>
      </c>
      <c r="K52" s="72" t="n">
        <v>43591.67145833333</v>
      </c>
      <c r="L52" s="71"/>
      <c r="M52" s="104" t="str">
        <f si="1" t="shared"/>
        <v/>
      </c>
      <c r="N52" s="40" t="s">
        <v>6</v>
      </c>
      <c r="O52" s="69" t="n">
        <v>260.98</v>
      </c>
      <c r="P52" s="39">
        <f si="3" t="shared"/>
        <v>0</v>
      </c>
      <c r="Q52" s="120">
        <f si="2" t="shared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22" t="s">
        <v>72</v>
      </c>
      <c r="B53" s="16" t="s">
        <v>1117</v>
      </c>
      <c r="C53" s="20" t="s">
        <v>95</v>
      </c>
      <c r="D53" s="68" t="n">
        <v>43543.0</v>
      </c>
      <c r="E53" s="68" t="n">
        <v>43603.0</v>
      </c>
      <c r="F53" s="73" t="n">
        <v>461.52</v>
      </c>
      <c r="G53" s="70" t="n">
        <v>27.68</v>
      </c>
      <c r="H53" s="70" t="n">
        <v>5.54</v>
      </c>
      <c r="I53" s="71" t="n">
        <v>6.0</v>
      </c>
      <c r="J53" s="74" t="n">
        <v>422.3</v>
      </c>
      <c r="K53" s="72" t="n">
        <v>43593.80800925926</v>
      </c>
      <c r="L53" s="71"/>
      <c r="M53" s="104" t="str">
        <f si="1" t="shared"/>
        <v/>
      </c>
      <c r="N53" s="40" t="s">
        <v>6</v>
      </c>
      <c r="O53" s="73" t="n">
        <v>213.98</v>
      </c>
      <c r="P53" s="39">
        <f si="3" t="shared"/>
        <v>0</v>
      </c>
      <c r="Q53" s="120">
        <f si="2" t="shared"/>
        <v>0</v>
      </c>
      <c r="R53" s="40"/>
      <c r="S53" s="62" t="s">
        <v>396</v>
      </c>
      <c r="T53" s="19" t="s">
        <v>406</v>
      </c>
      <c r="U53" s="127" t="s">
        <v>451</v>
      </c>
      <c r="V53" s="127">
        <v>55</v>
      </c>
    </row>
    <row customHeight="1" ht="12.75" r="54" spans="1:22" x14ac:dyDescent="0.2">
      <c r="A54" s="41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si="1" t="shared"/>
        <v/>
      </c>
      <c r="N54" s="40"/>
      <c r="O54" s="69"/>
      <c r="P54" s="39">
        <f si="3" t="shared"/>
        <v>0</v>
      </c>
      <c r="Q54" s="120">
        <f si="2" t="shared"/>
        <v>0</v>
      </c>
      <c r="R54" s="40"/>
      <c r="S54" s="2" t="s">
        <v>399</v>
      </c>
      <c r="T54" s="64"/>
      <c r="U54" s="64"/>
      <c r="V54" s="64">
        <v>61</v>
      </c>
    </row>
    <row customHeight="1" ht="12.75" r="55" spans="1:22" x14ac:dyDescent="0.2">
      <c r="A55" s="22" t="s">
        <v>73</v>
      </c>
      <c r="B55" s="16" t="s">
        <v>578</v>
      </c>
      <c r="C55" s="20"/>
      <c r="D55" s="68"/>
      <c r="E55" s="68"/>
      <c r="F55" s="69"/>
      <c r="G55" s="70"/>
      <c r="H55" s="70"/>
      <c r="I55" s="71"/>
      <c r="J55" s="74"/>
      <c r="K55" s="72"/>
      <c r="L55" s="71"/>
      <c r="M55" s="104" t="str">
        <f si="1" t="shared"/>
        <v/>
      </c>
      <c r="N55" s="40" t="s">
        <v>202</v>
      </c>
      <c r="O55" s="69" t="n">
        <v>251.78</v>
      </c>
      <c r="P55" s="39">
        <f si="3" t="shared"/>
        <v>0</v>
      </c>
      <c r="Q55" s="120">
        <f si="2" t="shared"/>
        <v>0</v>
      </c>
      <c r="R55" s="51" t="s">
        <v>590</v>
      </c>
      <c r="S55" s="62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22" t="s">
        <v>112</v>
      </c>
      <c r="B56" s="16" t="s">
        <v>1118</v>
      </c>
      <c r="C56" s="20" t="s">
        <v>579</v>
      </c>
      <c r="D56" s="68" t="n">
        <v>43583.0</v>
      </c>
      <c r="E56" s="68" t="n">
        <v>43612.0</v>
      </c>
      <c r="F56" s="73" t="n">
        <v>570.0</v>
      </c>
      <c r="G56" s="70" t="n">
        <v>36.0</v>
      </c>
      <c r="H56" s="70" t="n">
        <v>7.2</v>
      </c>
      <c r="I56" s="71" t="n">
        <v>6.0</v>
      </c>
      <c r="J56" s="74" t="n">
        <v>520.8</v>
      </c>
      <c r="K56" s="72" t="n">
        <v>43586.64771990741</v>
      </c>
      <c r="L56" s="71" t="n">
        <v>48.0</v>
      </c>
      <c r="M56" s="104" t="str">
        <f si="1" t="shared"/>
        <v/>
      </c>
      <c r="N56" s="40" t="s">
        <v>6</v>
      </c>
      <c r="O56" s="73" t="n">
        <v>206.82</v>
      </c>
      <c r="P56" s="39">
        <f si="3" t="shared"/>
        <v>0</v>
      </c>
      <c r="Q56" s="120">
        <f si="2" t="shared"/>
        <v>0</v>
      </c>
      <c r="R56" s="51" t="s">
        <v>574</v>
      </c>
      <c r="S56" s="62" t="s">
        <v>396</v>
      </c>
      <c r="T56" s="19" t="s">
        <v>406</v>
      </c>
      <c r="U56" s="128" t="s">
        <v>453</v>
      </c>
      <c r="V56" s="128">
        <v>67</v>
      </c>
    </row>
    <row customHeight="1" ht="12.75" r="57" spans="1:22" x14ac:dyDescent="0.2">
      <c r="A57" s="22" t="s">
        <v>115</v>
      </c>
      <c r="B57" s="16" t="s">
        <v>1119</v>
      </c>
      <c r="C57" s="20" t="s">
        <v>95</v>
      </c>
      <c r="D57" s="68" t="n">
        <v>43567.0</v>
      </c>
      <c r="E57" s="68" t="n">
        <v>43627.0</v>
      </c>
      <c r="F57" s="69" t="n">
        <v>461.52</v>
      </c>
      <c r="G57" s="70" t="n">
        <v>27.69</v>
      </c>
      <c r="H57" s="70" t="n">
        <v>5.54</v>
      </c>
      <c r="I57" s="71" t="n">
        <v>6.0</v>
      </c>
      <c r="J57" s="74" t="n">
        <v>422.29</v>
      </c>
      <c r="K57" s="72" t="n">
        <v>43594.57655092593</v>
      </c>
      <c r="L57" s="71"/>
      <c r="M57" s="104" t="str">
        <f si="1" t="shared"/>
        <v/>
      </c>
      <c r="N57" s="40" t="s">
        <v>6</v>
      </c>
      <c r="O57" s="69" t="n">
        <v>221.36</v>
      </c>
      <c r="P57" s="39">
        <f si="3" t="shared"/>
        <v>0</v>
      </c>
      <c r="Q57" s="120">
        <f si="2" t="shared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22" t="s">
        <v>117</v>
      </c>
      <c r="B58" s="16" t="s">
        <v>1120</v>
      </c>
      <c r="C58" s="20" t="s">
        <v>95</v>
      </c>
      <c r="D58" s="68" t="n">
        <v>43563.0</v>
      </c>
      <c r="E58" s="68" t="n">
        <v>43623.0</v>
      </c>
      <c r="F58" s="73" t="n">
        <v>461.52</v>
      </c>
      <c r="G58" s="70" t="n">
        <v>27.68</v>
      </c>
      <c r="H58" s="70" t="n">
        <v>5.54</v>
      </c>
      <c r="I58" s="71" t="n">
        <v>6.0</v>
      </c>
      <c r="J58" s="74" t="n">
        <v>422.3</v>
      </c>
      <c r="K58" s="72" t="n">
        <v>43593.80800925926</v>
      </c>
      <c r="L58" s="71"/>
      <c r="M58" s="104" t="str">
        <f si="1" t="shared"/>
        <v/>
      </c>
      <c r="N58" s="40" t="s">
        <v>6</v>
      </c>
      <c r="O58" s="73" t="n">
        <v>206.77</v>
      </c>
      <c r="P58" s="39">
        <f si="3" t="shared"/>
        <v>0</v>
      </c>
      <c r="Q58" s="120">
        <f si="2" t="shared"/>
        <v>0</v>
      </c>
      <c r="R58" s="40"/>
      <c r="S58" s="62" t="s">
        <v>396</v>
      </c>
      <c r="T58" s="19" t="s">
        <v>406</v>
      </c>
      <c r="U58" s="127" t="s">
        <v>455</v>
      </c>
      <c r="V58" s="127">
        <v>68</v>
      </c>
    </row>
    <row customHeight="1" ht="12.75" r="59" spans="1:22" x14ac:dyDescent="0.2">
      <c r="A59" s="22" t="s">
        <v>74</v>
      </c>
      <c r="B59" s="16" t="s">
        <v>1121</v>
      </c>
      <c r="C59" s="20" t="s">
        <v>579</v>
      </c>
      <c r="D59" s="68" t="n">
        <v>43597.0</v>
      </c>
      <c r="E59" s="68" t="n">
        <v>43627.0</v>
      </c>
      <c r="F59" s="69" t="n">
        <v>550.0</v>
      </c>
      <c r="G59" s="70" t="n">
        <v>33.0</v>
      </c>
      <c r="H59" s="70" t="n">
        <v>6.6</v>
      </c>
      <c r="I59" s="71" t="n">
        <v>6.0</v>
      </c>
      <c r="J59" s="74" t="n">
        <v>504.4</v>
      </c>
      <c r="K59" s="72" t="n">
        <v>43599.513287037036</v>
      </c>
      <c r="L59" s="71"/>
      <c r="M59" s="104" t="str">
        <f si="1" t="shared"/>
        <v/>
      </c>
      <c r="N59" s="40" t="s">
        <v>6</v>
      </c>
      <c r="O59" s="69" t="n">
        <v>206.93</v>
      </c>
      <c r="P59" s="39">
        <f si="3" t="shared"/>
        <v>0</v>
      </c>
      <c r="Q59" s="120">
        <f si="2" t="shared"/>
        <v>0</v>
      </c>
      <c r="R59" s="172" t="s">
        <v>573</v>
      </c>
      <c r="S59" s="62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1122</v>
      </c>
      <c r="C60" s="20" t="s">
        <v>95</v>
      </c>
      <c r="D60" s="68" t="n">
        <v>43574.0</v>
      </c>
      <c r="E60" s="68" t="n">
        <v>43634.0</v>
      </c>
      <c r="F60" s="73" t="n">
        <v>466.16</v>
      </c>
      <c r="G60" s="70" t="n">
        <v>27.97</v>
      </c>
      <c r="H60" s="70" t="n">
        <v>5.59</v>
      </c>
      <c r="I60" s="71" t="n">
        <v>6.0</v>
      </c>
      <c r="J60" s="74" t="n">
        <v>426.6</v>
      </c>
      <c r="K60" s="72" t="n">
        <v>43593.80800925926</v>
      </c>
      <c r="L60" s="71"/>
      <c r="M60" s="104" t="str">
        <f si="1" t="shared"/>
        <v/>
      </c>
      <c r="N60" s="40" t="s">
        <v>6</v>
      </c>
      <c r="O60" s="73" t="n">
        <v>206.77</v>
      </c>
      <c r="P60" s="39">
        <f si="3" t="shared"/>
        <v>0</v>
      </c>
      <c r="Q60" s="120">
        <f si="2" t="shared"/>
        <v>0</v>
      </c>
      <c r="R60" s="40"/>
      <c r="S60" s="62" t="s">
        <v>396</v>
      </c>
      <c r="T60" s="19" t="s">
        <v>406</v>
      </c>
      <c r="U60" s="127" t="s">
        <v>457</v>
      </c>
      <c r="V60" s="127">
        <v>71</v>
      </c>
    </row>
    <row customHeight="1" ht="12.75" r="61" spans="1:22" x14ac:dyDescent="0.2">
      <c r="A61" s="22" t="s">
        <v>119</v>
      </c>
      <c r="B61" s="16" t="s">
        <v>1123</v>
      </c>
      <c r="C61" s="33" t="s">
        <v>579</v>
      </c>
      <c r="D61" s="68" t="n">
        <v>43613.0</v>
      </c>
      <c r="E61" s="68" t="n">
        <v>43643.0</v>
      </c>
      <c r="F61" s="69" t="n">
        <v>550.0</v>
      </c>
      <c r="G61" s="70" t="n">
        <v>33.0</v>
      </c>
      <c r="H61" s="70" t="n">
        <v>6.6</v>
      </c>
      <c r="I61" s="71" t="n">
        <v>6.0</v>
      </c>
      <c r="J61" s="74" t="n">
        <v>504.4</v>
      </c>
      <c r="K61" s="72" t="n">
        <v>43614.71910879629</v>
      </c>
      <c r="L61" s="71"/>
      <c r="M61" s="104" t="str">
        <f si="1" t="shared"/>
        <v/>
      </c>
      <c r="N61" s="40" t="s">
        <v>203</v>
      </c>
      <c r="O61" s="69" t="n">
        <v>251.96</v>
      </c>
      <c r="P61" s="39">
        <f si="3" t="shared"/>
        <v>0</v>
      </c>
      <c r="Q61" s="120">
        <f si="2" t="shared"/>
        <v>0</v>
      </c>
      <c r="R61" s="143" t="s">
        <v>591</v>
      </c>
      <c r="S61" s="62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2" t="s">
        <v>75</v>
      </c>
      <c r="B62" s="16" t="s">
        <v>1124</v>
      </c>
      <c r="C62" s="20" t="s">
        <v>579</v>
      </c>
      <c r="D62" s="68" t="n">
        <v>43613.0</v>
      </c>
      <c r="E62" s="68" t="n">
        <v>43643.0</v>
      </c>
      <c r="F62" s="73" t="n">
        <v>525.0</v>
      </c>
      <c r="G62" s="70" t="n">
        <v>31.5</v>
      </c>
      <c r="H62" s="70" t="n">
        <v>6.3</v>
      </c>
      <c r="I62" s="71" t="n">
        <v>6.0</v>
      </c>
      <c r="J62" s="74" t="n">
        <v>481.2</v>
      </c>
      <c r="K62" s="72" t="n">
        <v>43614.71910879629</v>
      </c>
      <c r="L62" s="71"/>
      <c r="M62" s="104" t="str">
        <f si="1" t="shared"/>
        <v/>
      </c>
      <c r="N62" s="40" t="s">
        <v>6</v>
      </c>
      <c r="O62" s="73" t="n">
        <v>213.98</v>
      </c>
      <c r="P62" s="39">
        <f si="3" t="shared"/>
        <v>0</v>
      </c>
      <c r="Q62" s="120">
        <f si="2" t="shared"/>
        <v>0</v>
      </c>
      <c r="R62" s="40"/>
      <c r="S62" s="62" t="s">
        <v>396</v>
      </c>
      <c r="T62" s="19" t="s">
        <v>406</v>
      </c>
      <c r="U62" s="127" t="s">
        <v>459</v>
      </c>
      <c r="V62" s="127">
        <v>65</v>
      </c>
    </row>
    <row customHeight="1" ht="12.75" r="63" spans="1:22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si="1" t="shared"/>
        <v/>
      </c>
      <c r="N63" s="45"/>
      <c r="O63" s="76"/>
      <c r="P63" s="103">
        <f si="3" t="shared"/>
        <v>0</v>
      </c>
      <c r="Q63" s="121">
        <f si="2" t="shared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1"/>
      <c r="B65" s="11"/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47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00000000-0002-0000-0000-000005000000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C50" sqref="A1:XFD1048576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6" t="s">
        <v>520</v>
      </c>
      <c r="B1" s="86"/>
    </row>
    <row ht="15" r="2" spans="1:9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6">
        <f>-SUM('Rent Statement'!O9:O63)</f>
        <v>0</v>
      </c>
      <c r="F6" s="46">
        <f>-SUMIF('Rent Statement'!S9:S63,"Mathew Tucker",'Rent Statement'!O9:O63)</f>
        <v>0</v>
      </c>
      <c r="I6" s="46">
        <f>-SUMIF('Rent Statement'!S9:S63,"Ivana Valentino",'Rent Statement'!O9:O63)</f>
        <v>0</v>
      </c>
    </row>
    <row r="7" spans="1:9" x14ac:dyDescent="0.2">
      <c r="A7" t="s">
        <v>213</v>
      </c>
      <c r="C7" s="46">
        <f>-SUM('Rent Statement'!G9:G63)</f>
        <v>0</v>
      </c>
      <c r="F7" s="46">
        <f>-SUMIF('Rent Statement'!S9:S63,"Mathew Tucker",'Rent Statement'!G9:G63)</f>
        <v>0</v>
      </c>
      <c r="I7" s="46">
        <f>-SUMIF('Rent Statement'!S9:S63,"Ivana Valentino",'Rent Statement'!G9:G63)</f>
        <v>0</v>
      </c>
    </row>
    <row r="8" spans="1:9" x14ac:dyDescent="0.2">
      <c r="A8" t="s">
        <v>212</v>
      </c>
      <c r="C8" s="46">
        <f>-SUM('Rent Statement'!H9:H63)</f>
        <v>0</v>
      </c>
      <c r="F8" s="46">
        <f>-SUMIF('Rent Statement'!S9:S63,"Mathew Tucker",'Rent Statement'!H9:H63)</f>
        <v>0</v>
      </c>
      <c r="I8" s="46">
        <f>-SUMIF('Rent Statement'!S9:S63,"Ivana Valentino",'Rent Statement'!H9:H63)</f>
        <v>0</v>
      </c>
    </row>
    <row r="9" spans="1:9" x14ac:dyDescent="0.2">
      <c r="A9" t="s">
        <v>211</v>
      </c>
      <c r="C9" s="46">
        <f>-SUM('Rent Statement'!I9:I63)-SUM('Rent Statement'!L9:L63)</f>
        <v>0</v>
      </c>
      <c r="F9" s="46">
        <f>-SUMIF('Rent Statement'!S9:S63,"Mathew Tucker",'Rent Statement'!I9:I63)-SUMIF('Rent Statement'!S9:S63,"Mathew Tucker",'Rent Statement'!L9:L63)</f>
        <v>0</v>
      </c>
      <c r="I9" s="46">
        <f>-SUMIF('Rent Statement'!S9:S63,"Ivana Valentino",'Rent Statement'!I9:I63)-SUMIF('Rent Statement'!S9:S63,"Ivana Valentino",'Rent Statement'!L9:L63)</f>
        <v>0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4"/>
      <c r="E12" s="111">
        <f>E5+SUM(F6:F10)</f>
        <v>0</v>
      </c>
      <c r="H12" s="111">
        <f>H5+SUM(I6:I10)</f>
        <v>0</v>
      </c>
    </row>
    <row ht="15.75" r="13" spans="1:9" thickTop="1" x14ac:dyDescent="0.25">
      <c r="A13" s="87"/>
      <c r="B13" s="87"/>
      <c r="C13" s="83"/>
      <c r="F13" s="83"/>
    </row>
    <row ht="30" r="14" spans="1:9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ht="15" r="15" spans="1:9" x14ac:dyDescent="0.25">
      <c r="A15" s="87" t="s">
        <v>523</v>
      </c>
      <c r="B15" s="84">
        <f>E12</f>
        <v>0</v>
      </c>
      <c r="C15" s="84">
        <f>H12</f>
        <v>0</v>
      </c>
      <c r="D15" s="91"/>
      <c r="E15" s="174">
        <v>0.5</v>
      </c>
      <c r="F15" s="175">
        <v>0.5</v>
      </c>
    </row>
    <row ht="15" r="16" spans="1:9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-5083.3600000000006</v>
      </c>
      <c r="C17" s="84">
        <f>EVAL("SUM(SUMIFS(IV_Amount, IV_BankRef," &amp;$H17&amp; "))")</f>
        <v>-4163.2</v>
      </c>
      <c r="D17" s="96"/>
      <c r="E17" s="97"/>
      <c r="F17" s="98"/>
      <c r="G17" s="47"/>
      <c r="H17" s="47" t="s">
        <v>566</v>
      </c>
    </row>
    <row r="18" spans="1:17" x14ac:dyDescent="0.2">
      <c r="A18" t="s">
        <v>25</v>
      </c>
      <c r="B18" s="84">
        <f>EVAL("SUM(SUMIFS(MT_Amount, MT_BankRef," &amp;$H18&amp; "))")</f>
        <v>11664.279999999999</v>
      </c>
      <c r="C18" s="84">
        <f>EVAL("SUM(SUMIFS(IV_Amount, IV_BankRef," &amp;$H18&amp; "))")</f>
        <v>7273.2199999999993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6580.9199999999983</v>
      </c>
      <c r="C19" s="85">
        <f>SUM(C17:C18)</f>
        <v>3110.0199999999995</v>
      </c>
      <c r="D19" s="96"/>
      <c r="E19" s="97"/>
      <c r="F19" s="98"/>
    </row>
    <row ht="15" r="20" spans="1:17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-550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-101.68</v>
      </c>
      <c r="C24" s="84">
        <f>EVAL("SUM(SUMIFS(IV_Amount, IV_BankRef," &amp;$H24&amp; "))")</f>
        <v>0</v>
      </c>
      <c r="D24" s="96"/>
      <c r="E24" s="97">
        <f ref="E24:F26" si="0" t="shared">IFERROR(($D24)*E$15,"")</f>
        <v>0</v>
      </c>
      <c r="F24" s="98">
        <f si="0" t="shared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si="0" t="shared"/>
        <v>0</v>
      </c>
      <c r="F25" s="98">
        <f si="0" t="shared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>
        <f si="0" t="shared"/>
        <v>0</v>
      </c>
      <c r="F26" s="98">
        <f si="0" t="shared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ref="D29:D35" si="1" t="shared">B29+C29</f>
        <v>-200</v>
      </c>
      <c r="E29" s="114">
        <f>IFERROR(($D29)*E$15,"")</f>
        <v>-100</v>
      </c>
      <c r="F29" s="115">
        <f>IFERROR(($D29)*F$15,"")</f>
        <v>-100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-1551.85</v>
      </c>
      <c r="C30" s="84">
        <f>EVAL("SUM(SUMIFS(IV_Amount, IV_BankRef," &amp;$H30&amp; "))")</f>
        <v>-2939.92</v>
      </c>
      <c r="D30" s="96">
        <f si="1" t="shared"/>
        <v>-4491.7700000000004</v>
      </c>
      <c r="E30" s="97">
        <f ref="E30:F35" si="2" t="shared">IFERROR(($D30)*E$15,"")</f>
        <v>-2245.8850000000002</v>
      </c>
      <c r="F30" s="98">
        <f si="2" t="shared"/>
        <v>-2245.8850000000002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si="1" t="shared"/>
        <v>-37.950000000000003</v>
      </c>
      <c r="E31" s="97">
        <f si="2" t="shared"/>
        <v>-18.975000000000001</v>
      </c>
      <c r="F31" s="98">
        <f si="2" t="shared"/>
        <v>-18.975000000000001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si="1" t="shared"/>
        <v>-58.99</v>
      </c>
      <c r="E32" s="97">
        <f si="2" t="shared"/>
        <v>-29.495000000000001</v>
      </c>
      <c r="F32" s="98">
        <f si="2" t="shared"/>
        <v>-29.495000000000001</v>
      </c>
      <c r="H32" t="s">
        <v>537</v>
      </c>
    </row>
    <row ht="15" r="33" spans="1:8" x14ac:dyDescent="0.25">
      <c r="A33" s="83" t="s">
        <v>538</v>
      </c>
      <c r="B33" s="122">
        <f>SUMIFS(MT_Amount, MT_Include,"I")</f>
        <v>-321.81</v>
      </c>
      <c r="C33" s="84">
        <f>EVAL("SUM(SUMIFS(IV_Amount, IV_BankRef," &amp;$H33&amp; "))")-SUMIFS(IV_Amount_4040, IV_BankRef_4040,"=X")</f>
        <v>-1793</v>
      </c>
      <c r="D33" s="96">
        <f si="1" t="shared"/>
        <v>-2114.81</v>
      </c>
      <c r="E33" s="97">
        <f si="2" t="shared"/>
        <v>-1057.405</v>
      </c>
      <c r="F33" s="98">
        <f si="2" t="shared"/>
        <v>-1057.405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-800</v>
      </c>
      <c r="D34" s="96">
        <f si="1" t="shared"/>
        <v>-800</v>
      </c>
      <c r="E34" s="97">
        <f si="2" t="shared"/>
        <v>-400</v>
      </c>
      <c r="F34" s="98">
        <f si="2" t="shared"/>
        <v>-400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si="1" t="shared"/>
        <v>0</v>
      </c>
      <c r="E35" s="97">
        <f si="2" t="shared"/>
        <v>0</v>
      </c>
      <c r="F35" s="98">
        <f si="2" t="shared"/>
        <v>0</v>
      </c>
      <c r="H35" s="107"/>
    </row>
    <row r="36" spans="1:8" x14ac:dyDescent="0.2">
      <c r="B36" s="99">
        <f>SUBTOTAL(9,B29:B35)</f>
        <v>-1873.6599999999999</v>
      </c>
      <c r="C36" s="99">
        <f>SUBTOTAL(9,C29:C35)</f>
        <v>-5829.86</v>
      </c>
      <c r="D36" s="100">
        <f>SUBTOTAL(9,D20:D35)</f>
        <v>-7703.52</v>
      </c>
      <c r="E36" s="101">
        <f>SUBTOTAL(9,E29:E35)</f>
        <v>-3851.76</v>
      </c>
      <c r="F36" s="99">
        <f>SUBTOTAL(9,F29:F35)</f>
        <v>-3851.76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-1873.6599999999999</v>
      </c>
      <c r="F38" s="84">
        <f>SUM(C29:C35)</f>
        <v>-5829.86</v>
      </c>
    </row>
    <row r="39" spans="1:8" x14ac:dyDescent="0.2">
      <c r="A39" s="107" t="s">
        <v>554</v>
      </c>
      <c r="E39" s="97">
        <f>EVAL("SUM(SUMIFS(MT_Amount, MT_BankRef," &amp;$H39&amp; "))")</f>
        <v>-2609.16</v>
      </c>
      <c r="F39" s="84">
        <f>-E39</f>
        <v>2609.16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631.05999999999949</v>
      </c>
      <c r="F41" s="101">
        <f>F36-F38-F39</f>
        <v>-631.0600000000004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592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2895.7199999999993</v>
      </c>
      <c r="F48" s="47"/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42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>
      <c r="A3" t="s" s="181">
        <v>1125</v>
      </c>
    </row>
    <row r="4">
      <c r="A4" t="s">
        <v>1126</v>
      </c>
      <c r="B4" t="n">
        <v>38.0</v>
      </c>
    </row>
    <row r="5">
      <c r="A5" t="s">
        <v>1127</v>
      </c>
      <c r="B5" t="n">
        <v>61.0</v>
      </c>
    </row>
    <row r="6">
      <c r="A6" t="s">
        <v>1128</v>
      </c>
      <c r="B6" t="n">
        <v>61.0</v>
      </c>
    </row>
    <row r="7">
      <c r="A7" t="s">
        <v>1129</v>
      </c>
      <c r="B7" t="n">
        <v>51.0</v>
      </c>
    </row>
    <row r="8">
      <c r="A8" t="s">
        <v>1130</v>
      </c>
      <c r="B8" t="n">
        <v>31.0</v>
      </c>
    </row>
    <row r="9">
      <c r="A9" t="s">
        <v>1131</v>
      </c>
      <c r="B9" t="n">
        <v>33.0</v>
      </c>
    </row>
    <row r="11">
      <c r="A11" t="s" s="181">
        <v>24</v>
      </c>
      <c r="B11" t="s" s="181">
        <v>513</v>
      </c>
      <c r="C11" t="s" s="181">
        <v>515</v>
      </c>
      <c r="D11" t="s" s="181">
        <v>548</v>
      </c>
      <c r="E11" t="s" s="181">
        <v>1132</v>
      </c>
      <c r="F11" t="s" s="181">
        <v>1133</v>
      </c>
    </row>
    <row r="12">
      <c r="A12" t="s">
        <v>65</v>
      </c>
      <c r="B12" t="n" s="182">
        <v>43583.02443287037</v>
      </c>
      <c r="C12" t="n">
        <v>-6.0</v>
      </c>
      <c r="D12" t="s">
        <v>600</v>
      </c>
      <c r="E12" t="n">
        <v>201224.0</v>
      </c>
      <c r="F12" t="s">
        <v>1134</v>
      </c>
    </row>
    <row r="13">
      <c r="A13" t="s">
        <v>102</v>
      </c>
      <c r="B13" t="n" s="182">
        <v>43583.02443287037</v>
      </c>
      <c r="C13" t="n">
        <v>-6.0</v>
      </c>
      <c r="D13" t="s">
        <v>604</v>
      </c>
      <c r="E13" t="n">
        <v>201228.0</v>
      </c>
      <c r="F13" t="s">
        <v>1134</v>
      </c>
    </row>
    <row r="14">
      <c r="A14" t="s">
        <v>106</v>
      </c>
      <c r="B14" t="n" s="182">
        <v>43583.02443287037</v>
      </c>
      <c r="C14" t="n">
        <v>-6.0</v>
      </c>
      <c r="D14" t="s">
        <v>612</v>
      </c>
      <c r="E14" t="n">
        <v>201239.0</v>
      </c>
      <c r="F14" t="s">
        <v>1134</v>
      </c>
    </row>
    <row r="15">
      <c r="A15" t="s">
        <v>68</v>
      </c>
      <c r="B15" t="n" s="182">
        <v>43583.02443287037</v>
      </c>
      <c r="C15" t="n">
        <v>-6.0</v>
      </c>
      <c r="D15" t="s">
        <v>621</v>
      </c>
      <c r="E15" t="n">
        <v>201244.0</v>
      </c>
      <c r="F15" t="s">
        <v>1134</v>
      </c>
    </row>
    <row r="16">
      <c r="A16" t="s">
        <v>68</v>
      </c>
      <c r="B16" t="n" s="182">
        <v>43552.02611111111</v>
      </c>
      <c r="C16" t="n">
        <v>-6.0</v>
      </c>
      <c r="D16" t="s">
        <v>621</v>
      </c>
      <c r="E16" t="n">
        <v>200611.0</v>
      </c>
      <c r="F16" t="s">
        <v>1134</v>
      </c>
    </row>
    <row r="17">
      <c r="A17" t="s">
        <v>86</v>
      </c>
      <c r="B17" t="n" s="182">
        <v>43583.02443287037</v>
      </c>
      <c r="C17" t="n">
        <v>-6.0</v>
      </c>
      <c r="D17" t="s">
        <v>626</v>
      </c>
      <c r="E17" t="n">
        <v>201251.0</v>
      </c>
      <c r="F17" t="s">
        <v>1134</v>
      </c>
    </row>
    <row r="18">
      <c r="A18" t="s">
        <v>231</v>
      </c>
      <c r="B18" t="n" s="182">
        <v>43583.02443287037</v>
      </c>
      <c r="C18" t="n">
        <v>-6.0</v>
      </c>
      <c r="D18" t="s">
        <v>630</v>
      </c>
      <c r="E18" t="n">
        <v>201255.0</v>
      </c>
      <c r="F18" t="s">
        <v>1134</v>
      </c>
    </row>
    <row r="19">
      <c r="A19" t="s">
        <v>72</v>
      </c>
      <c r="B19" t="n" s="182">
        <v>43583.02443287037</v>
      </c>
      <c r="C19" t="n">
        <v>-6.0</v>
      </c>
      <c r="D19" t="s">
        <v>635</v>
      </c>
      <c r="E19" t="n">
        <v>201261.0</v>
      </c>
      <c r="F19" t="s">
        <v>1134</v>
      </c>
    </row>
    <row r="20">
      <c r="A20" t="s">
        <v>112</v>
      </c>
      <c r="B20" t="n" s="182">
        <v>43583.02443287037</v>
      </c>
      <c r="C20" t="n">
        <v>-6.0</v>
      </c>
      <c r="D20" t="s">
        <v>639</v>
      </c>
      <c r="E20" t="n">
        <v>201266.0</v>
      </c>
      <c r="F20" t="s">
        <v>1134</v>
      </c>
    </row>
    <row r="21">
      <c r="A21" t="s">
        <v>112</v>
      </c>
      <c r="B21" t="n" s="182">
        <v>43579.68444444444</v>
      </c>
      <c r="C21" t="n">
        <v>-30.0</v>
      </c>
      <c r="D21" t="s">
        <v>1135</v>
      </c>
      <c r="E21" t="n">
        <v>201265.0</v>
      </c>
      <c r="F21" t="s">
        <v>1134</v>
      </c>
    </row>
    <row r="22">
      <c r="A22" t="s">
        <v>117</v>
      </c>
      <c r="B22" t="n" s="182">
        <v>43583.02443287037</v>
      </c>
      <c r="C22" t="n">
        <v>-6.0</v>
      </c>
      <c r="D22" t="s">
        <v>644</v>
      </c>
      <c r="E22" t="n">
        <v>201272.0</v>
      </c>
      <c r="F22" t="s">
        <v>1134</v>
      </c>
    </row>
    <row r="23">
      <c r="A23" t="s">
        <v>118</v>
      </c>
      <c r="B23" t="n" s="182">
        <v>43583.02443287037</v>
      </c>
      <c r="C23" t="n">
        <v>-6.0</v>
      </c>
      <c r="D23" t="s">
        <v>649</v>
      </c>
      <c r="E23" t="n">
        <v>201279.0</v>
      </c>
      <c r="F23" t="s">
        <v>1134</v>
      </c>
    </row>
    <row r="24">
      <c r="A24" t="s">
        <v>188</v>
      </c>
      <c r="B24" t="n" s="182">
        <v>43583.02443287037</v>
      </c>
      <c r="C24" t="n">
        <v>-6.0</v>
      </c>
      <c r="D24" t="s">
        <v>658</v>
      </c>
      <c r="E24" t="n">
        <v>201287.0</v>
      </c>
      <c r="F24" t="s">
        <v>1134</v>
      </c>
    </row>
    <row r="25">
      <c r="A25" t="s">
        <v>226</v>
      </c>
      <c r="B25" t="n" s="182">
        <v>43583.02443287037</v>
      </c>
      <c r="C25" t="n">
        <v>-6.0</v>
      </c>
      <c r="D25" t="s">
        <v>670</v>
      </c>
      <c r="E25" t="n">
        <v>201312.0</v>
      </c>
      <c r="F25" t="s">
        <v>1134</v>
      </c>
    </row>
    <row r="26">
      <c r="A26" t="s">
        <v>70</v>
      </c>
      <c r="B26" t="n" s="182">
        <v>43583.02443287037</v>
      </c>
      <c r="C26" t="n">
        <v>-6.0</v>
      </c>
      <c r="D26" t="s">
        <v>676</v>
      </c>
      <c r="E26" t="n">
        <v>201319.0</v>
      </c>
      <c r="F26" t="s">
        <v>1134</v>
      </c>
    </row>
    <row r="27">
      <c r="A27" t="s">
        <v>71</v>
      </c>
      <c r="B27" t="n" s="182">
        <v>43583.02443287037</v>
      </c>
      <c r="C27" t="n">
        <v>-6.0</v>
      </c>
      <c r="D27" t="s">
        <v>680</v>
      </c>
      <c r="E27" t="n">
        <v>201323.0</v>
      </c>
      <c r="F27" t="s">
        <v>1134</v>
      </c>
    </row>
    <row r="28">
      <c r="A28" t="s">
        <v>69</v>
      </c>
      <c r="B28" t="n" s="182">
        <v>43583.02443287037</v>
      </c>
      <c r="C28" t="n">
        <v>-6.0</v>
      </c>
      <c r="D28" t="s">
        <v>685</v>
      </c>
      <c r="E28" t="n">
        <v>201329.0</v>
      </c>
      <c r="F28" t="s">
        <v>1134</v>
      </c>
    </row>
    <row r="29">
      <c r="A29" t="s">
        <v>115</v>
      </c>
      <c r="B29" t="n" s="182">
        <v>43583.02443287037</v>
      </c>
      <c r="C29" t="n">
        <v>-6.0</v>
      </c>
      <c r="D29" t="s">
        <v>690</v>
      </c>
      <c r="E29" t="n">
        <v>201336.0</v>
      </c>
      <c r="F29" t="s">
        <v>1134</v>
      </c>
    </row>
    <row r="30">
      <c r="A30" t="s">
        <v>74</v>
      </c>
      <c r="B30" t="n" s="182">
        <v>43583.02443287037</v>
      </c>
      <c r="C30" t="n">
        <v>-6.0</v>
      </c>
      <c r="D30" t="s">
        <v>694</v>
      </c>
      <c r="E30" t="n">
        <v>201340.0</v>
      </c>
      <c r="F30" t="s">
        <v>1134</v>
      </c>
    </row>
    <row r="31">
      <c r="A31" t="s">
        <v>55</v>
      </c>
      <c r="B31" t="n" s="182">
        <v>43583.02443287037</v>
      </c>
      <c r="C31" t="n">
        <v>-6.0</v>
      </c>
      <c r="D31" t="s">
        <v>707</v>
      </c>
      <c r="E31" t="n">
        <v>201355.0</v>
      </c>
      <c r="F31" t="s">
        <v>1134</v>
      </c>
    </row>
    <row r="32">
      <c r="A32" t="s">
        <v>56</v>
      </c>
      <c r="B32" t="n" s="182">
        <v>43583.02443287037</v>
      </c>
      <c r="C32" t="n">
        <v>-6.0</v>
      </c>
      <c r="D32" t="s">
        <v>712</v>
      </c>
      <c r="E32" t="n">
        <v>201362.0</v>
      </c>
      <c r="F32" t="s">
        <v>1134</v>
      </c>
    </row>
    <row r="33">
      <c r="A33" t="s">
        <v>187</v>
      </c>
      <c r="B33" t="n" s="182">
        <v>43583.02443287037</v>
      </c>
      <c r="C33" t="n">
        <v>-6.0</v>
      </c>
      <c r="D33" t="s">
        <v>717</v>
      </c>
      <c r="E33" t="n">
        <v>201368.0</v>
      </c>
      <c r="F33" t="s">
        <v>1134</v>
      </c>
    </row>
    <row r="34">
      <c r="A34" t="s">
        <v>59</v>
      </c>
      <c r="B34" t="n" s="182">
        <v>43583.02443287037</v>
      </c>
      <c r="C34" t="n">
        <v>-6.0</v>
      </c>
      <c r="D34" t="s">
        <v>721</v>
      </c>
      <c r="E34" t="n">
        <v>201372.0</v>
      </c>
      <c r="F34" t="s">
        <v>1134</v>
      </c>
    </row>
    <row r="35">
      <c r="A35" t="s">
        <v>57</v>
      </c>
      <c r="B35" t="n" s="182">
        <v>43583.02443287037</v>
      </c>
      <c r="C35" t="n">
        <v>-6.0</v>
      </c>
      <c r="D35" t="s">
        <v>727</v>
      </c>
      <c r="E35" t="n">
        <v>201385.0</v>
      </c>
      <c r="F35" t="s">
        <v>1134</v>
      </c>
    </row>
    <row r="36">
      <c r="A36" t="s">
        <v>63</v>
      </c>
      <c r="B36" t="n" s="182">
        <v>43583.02443287037</v>
      </c>
      <c r="C36" t="n">
        <v>-6.0</v>
      </c>
      <c r="D36" t="s">
        <v>731</v>
      </c>
      <c r="E36" t="n">
        <v>201389.0</v>
      </c>
      <c r="F36" t="s">
        <v>1134</v>
      </c>
    </row>
    <row r="37">
      <c r="A37" t="s">
        <v>64</v>
      </c>
      <c r="B37" t="n" s="182">
        <v>43583.02443287037</v>
      </c>
      <c r="C37" t="n">
        <v>-6.0</v>
      </c>
      <c r="D37" t="s">
        <v>735</v>
      </c>
      <c r="E37" t="n">
        <v>201396.0</v>
      </c>
      <c r="F37" t="s">
        <v>1134</v>
      </c>
    </row>
    <row r="38">
      <c r="A38" t="s">
        <v>66</v>
      </c>
      <c r="B38" t="n" s="182">
        <v>43583.02443287037</v>
      </c>
      <c r="C38" t="n">
        <v>-6.0</v>
      </c>
      <c r="D38" t="s">
        <v>739</v>
      </c>
      <c r="E38" t="n">
        <v>201400.0</v>
      </c>
      <c r="F38" t="s">
        <v>1134</v>
      </c>
    </row>
    <row r="39">
      <c r="A39" t="s">
        <v>103</v>
      </c>
      <c r="B39" t="n" s="182">
        <v>43583.02443287037</v>
      </c>
      <c r="C39" t="n">
        <v>-6.0</v>
      </c>
      <c r="D39" t="s">
        <v>744</v>
      </c>
      <c r="E39" t="n">
        <v>201407.0</v>
      </c>
      <c r="F39" t="s">
        <v>1134</v>
      </c>
    </row>
    <row r="40">
      <c r="A40" t="s">
        <v>61</v>
      </c>
      <c r="B40" t="n" s="182">
        <v>43583.02443287037</v>
      </c>
      <c r="C40" t="n">
        <v>-6.0</v>
      </c>
      <c r="D40" t="s">
        <v>750</v>
      </c>
      <c r="E40" t="n">
        <v>201415.0</v>
      </c>
      <c r="F40" t="s">
        <v>1134</v>
      </c>
    </row>
    <row r="41">
      <c r="A41" t="s">
        <v>111</v>
      </c>
      <c r="B41" t="n" s="182">
        <v>43583.02443287037</v>
      </c>
      <c r="C41" t="n">
        <v>-6.0</v>
      </c>
      <c r="D41" t="s">
        <v>755</v>
      </c>
      <c r="E41" t="n">
        <v>201422.0</v>
      </c>
      <c r="F41" t="s">
        <v>1134</v>
      </c>
    </row>
    <row r="42">
      <c r="A42" t="s">
        <v>186</v>
      </c>
      <c r="B42" t="n" s="182">
        <v>43583.02443287037</v>
      </c>
      <c r="C42" t="n">
        <v>-6.0</v>
      </c>
      <c r="D42" t="s">
        <v>756</v>
      </c>
      <c r="E42" t="n">
        <v>201428.0</v>
      </c>
      <c r="F42" t="s">
        <v>1134</v>
      </c>
    </row>
    <row r="43">
      <c r="A43" t="s">
        <v>65</v>
      </c>
      <c r="B43" t="n" s="182">
        <v>43613.02465277778</v>
      </c>
      <c r="C43" t="n">
        <v>-6.0</v>
      </c>
      <c r="D43" t="s">
        <v>600</v>
      </c>
      <c r="E43" t="n">
        <v>202689.0</v>
      </c>
      <c r="F43" t="s">
        <v>1136</v>
      </c>
    </row>
    <row r="44">
      <c r="A44" t="s">
        <v>102</v>
      </c>
      <c r="B44" t="n" s="182">
        <v>43613.02465277778</v>
      </c>
      <c r="C44" t="n">
        <v>-6.0</v>
      </c>
      <c r="D44" t="s">
        <v>604</v>
      </c>
      <c r="E44" t="n">
        <v>202693.0</v>
      </c>
      <c r="F44" t="s">
        <v>1136</v>
      </c>
    </row>
    <row r="45">
      <c r="A45" t="s">
        <v>106</v>
      </c>
      <c r="B45" t="n" s="182">
        <v>43613.02465277778</v>
      </c>
      <c r="C45" t="n">
        <v>-6.0</v>
      </c>
      <c r="D45" t="s">
        <v>612</v>
      </c>
      <c r="E45" t="n">
        <v>202701.0</v>
      </c>
      <c r="F45" t="s">
        <v>1136</v>
      </c>
    </row>
    <row r="46">
      <c r="A46" t="s">
        <v>107</v>
      </c>
      <c r="B46" t="n" s="182">
        <v>43613.02465277778</v>
      </c>
      <c r="C46" t="n">
        <v>-6.0</v>
      </c>
      <c r="D46" t="s">
        <v>616</v>
      </c>
      <c r="E46" t="n">
        <v>202705.0</v>
      </c>
      <c r="F46" t="s">
        <v>1136</v>
      </c>
    </row>
    <row r="47">
      <c r="A47" t="s">
        <v>68</v>
      </c>
      <c r="B47" t="n" s="182">
        <v>43613.02465277778</v>
      </c>
      <c r="C47" t="n">
        <v>-6.0</v>
      </c>
      <c r="D47" t="s">
        <v>621</v>
      </c>
      <c r="E47" t="n">
        <v>202714.0</v>
      </c>
      <c r="F47" t="s">
        <v>1136</v>
      </c>
    </row>
    <row r="48">
      <c r="A48" t="s">
        <v>86</v>
      </c>
      <c r="B48" t="n" s="182">
        <v>43613.02465277778</v>
      </c>
      <c r="C48" t="n">
        <v>-6.0</v>
      </c>
      <c r="D48" t="s">
        <v>626</v>
      </c>
      <c r="E48" t="n">
        <v>202721.0</v>
      </c>
      <c r="F48" t="s">
        <v>1136</v>
      </c>
    </row>
    <row r="49">
      <c r="A49" t="s">
        <v>231</v>
      </c>
      <c r="B49" t="n" s="182">
        <v>43613.02465277778</v>
      </c>
      <c r="C49" t="n">
        <v>-6.0</v>
      </c>
      <c r="D49" t="s">
        <v>630</v>
      </c>
      <c r="E49" t="n">
        <v>202725.0</v>
      </c>
      <c r="F49" t="s">
        <v>1136</v>
      </c>
    </row>
    <row r="50">
      <c r="A50" t="s">
        <v>72</v>
      </c>
      <c r="B50" t="n" s="182">
        <v>43613.02465277778</v>
      </c>
      <c r="C50" t="n">
        <v>-6.0</v>
      </c>
      <c r="D50" t="s">
        <v>635</v>
      </c>
      <c r="E50" t="n">
        <v>202731.0</v>
      </c>
      <c r="F50" t="s">
        <v>1136</v>
      </c>
    </row>
    <row r="51">
      <c r="A51" t="s">
        <v>112</v>
      </c>
      <c r="B51" t="n" s="182">
        <v>43613.02465277778</v>
      </c>
      <c r="C51" t="n">
        <v>-6.0</v>
      </c>
      <c r="D51" t="s">
        <v>639</v>
      </c>
      <c r="E51" t="n">
        <v>202735.0</v>
      </c>
      <c r="F51" t="s">
        <v>1136</v>
      </c>
    </row>
    <row r="52">
      <c r="A52" t="s">
        <v>117</v>
      </c>
      <c r="B52" t="n" s="182">
        <v>43613.02465277778</v>
      </c>
      <c r="C52" t="n">
        <v>-6.0</v>
      </c>
      <c r="D52" t="s">
        <v>644</v>
      </c>
      <c r="E52" t="n">
        <v>202741.0</v>
      </c>
      <c r="F52" t="s">
        <v>1136</v>
      </c>
    </row>
    <row r="53">
      <c r="A53" t="s">
        <v>118</v>
      </c>
      <c r="B53" t="n" s="182">
        <v>43613.02465277778</v>
      </c>
      <c r="C53" t="n">
        <v>-6.0</v>
      </c>
      <c r="D53" t="s">
        <v>649</v>
      </c>
      <c r="E53" t="n">
        <v>202748.0</v>
      </c>
      <c r="F53" t="s">
        <v>1136</v>
      </c>
    </row>
    <row r="54">
      <c r="A54" t="s">
        <v>188</v>
      </c>
      <c r="B54" t="n" s="182">
        <v>43613.02465277778</v>
      </c>
      <c r="C54" t="n">
        <v>-6.0</v>
      </c>
      <c r="D54" t="s">
        <v>658</v>
      </c>
      <c r="E54" t="n">
        <v>202758.0</v>
      </c>
      <c r="F54" t="s">
        <v>1136</v>
      </c>
    </row>
    <row r="55">
      <c r="A55" t="s">
        <v>228</v>
      </c>
      <c r="B55" t="n" s="182">
        <v>43613.02465277778</v>
      </c>
      <c r="C55" t="n">
        <v>-6.0</v>
      </c>
      <c r="D55" t="s">
        <v>662</v>
      </c>
      <c r="E55" t="n">
        <v>202768.0</v>
      </c>
      <c r="F55" t="s">
        <v>1136</v>
      </c>
    </row>
    <row r="56">
      <c r="A56" t="s">
        <v>227</v>
      </c>
      <c r="B56" t="n" s="182">
        <v>43613.02465277778</v>
      </c>
      <c r="C56" t="n">
        <v>-6.0</v>
      </c>
      <c r="D56" t="s">
        <v>663</v>
      </c>
      <c r="E56" t="n">
        <v>202769.0</v>
      </c>
      <c r="F56" t="s">
        <v>1136</v>
      </c>
    </row>
    <row r="57">
      <c r="A57" t="s">
        <v>70</v>
      </c>
      <c r="B57" t="n" s="182">
        <v>43613.02465277778</v>
      </c>
      <c r="C57" t="n">
        <v>-6.0</v>
      </c>
      <c r="D57" t="s">
        <v>676</v>
      </c>
      <c r="E57" t="n">
        <v>202786.0</v>
      </c>
      <c r="F57" t="s">
        <v>1136</v>
      </c>
    </row>
    <row r="58">
      <c r="A58" t="s">
        <v>71</v>
      </c>
      <c r="B58" t="n" s="182">
        <v>43613.02465277778</v>
      </c>
      <c r="C58" t="n">
        <v>-6.0</v>
      </c>
      <c r="D58" t="s">
        <v>680</v>
      </c>
      <c r="E58" t="n">
        <v>202790.0</v>
      </c>
      <c r="F58" t="s">
        <v>1136</v>
      </c>
    </row>
    <row r="59">
      <c r="A59" t="s">
        <v>69</v>
      </c>
      <c r="B59" t="n" s="182">
        <v>43613.02465277778</v>
      </c>
      <c r="C59" t="n">
        <v>-6.0</v>
      </c>
      <c r="D59" t="s">
        <v>685</v>
      </c>
      <c r="E59" t="n">
        <v>202796.0</v>
      </c>
      <c r="F59" t="s">
        <v>1136</v>
      </c>
    </row>
    <row r="60">
      <c r="A60" t="s">
        <v>115</v>
      </c>
      <c r="B60" t="n" s="182">
        <v>43613.02465277778</v>
      </c>
      <c r="C60" t="n">
        <v>-6.0</v>
      </c>
      <c r="D60" t="s">
        <v>690</v>
      </c>
      <c r="E60" t="n">
        <v>202803.0</v>
      </c>
      <c r="F60" t="s">
        <v>1136</v>
      </c>
    </row>
    <row r="61">
      <c r="A61" t="s">
        <v>74</v>
      </c>
      <c r="B61" t="n" s="182">
        <v>43613.02465277778</v>
      </c>
      <c r="C61" t="n">
        <v>-6.0</v>
      </c>
      <c r="D61" t="s">
        <v>694</v>
      </c>
      <c r="E61" t="n">
        <v>202807.0</v>
      </c>
      <c r="F61" t="s">
        <v>1136</v>
      </c>
    </row>
    <row r="62">
      <c r="A62" t="s">
        <v>53</v>
      </c>
      <c r="B62" t="n" s="182">
        <v>43613.02465277778</v>
      </c>
      <c r="C62" t="n">
        <v>-12.0</v>
      </c>
      <c r="D62" t="s">
        <v>703</v>
      </c>
      <c r="E62" t="n">
        <v>202818.0</v>
      </c>
      <c r="F62" t="s">
        <v>1136</v>
      </c>
    </row>
    <row r="63">
      <c r="A63" t="s">
        <v>55</v>
      </c>
      <c r="B63" t="n" s="182">
        <v>43613.02465277778</v>
      </c>
      <c r="C63" t="n">
        <v>-6.0</v>
      </c>
      <c r="D63" t="s">
        <v>707</v>
      </c>
      <c r="E63" t="n">
        <v>202822.0</v>
      </c>
      <c r="F63" t="s">
        <v>1136</v>
      </c>
    </row>
    <row r="64">
      <c r="A64" t="s">
        <v>56</v>
      </c>
      <c r="B64" t="n" s="182">
        <v>43613.02465277778</v>
      </c>
      <c r="C64" t="n">
        <v>-6.0</v>
      </c>
      <c r="D64" t="s">
        <v>712</v>
      </c>
      <c r="E64" t="n">
        <v>202829.0</v>
      </c>
      <c r="F64" t="s">
        <v>1136</v>
      </c>
    </row>
    <row r="65">
      <c r="A65" t="s">
        <v>187</v>
      </c>
      <c r="B65" t="n" s="182">
        <v>43613.02465277778</v>
      </c>
      <c r="C65" t="n">
        <v>-6.0</v>
      </c>
      <c r="D65" t="s">
        <v>717</v>
      </c>
      <c r="E65" t="n">
        <v>202835.0</v>
      </c>
      <c r="F65" t="s">
        <v>1136</v>
      </c>
    </row>
    <row r="66">
      <c r="A66" t="s">
        <v>59</v>
      </c>
      <c r="B66" t="n" s="182">
        <v>43613.02465277778</v>
      </c>
      <c r="C66" t="n">
        <v>-6.0</v>
      </c>
      <c r="D66" t="s">
        <v>721</v>
      </c>
      <c r="E66" t="n">
        <v>202839.0</v>
      </c>
      <c r="F66" t="s">
        <v>1136</v>
      </c>
    </row>
    <row r="67">
      <c r="A67" t="s">
        <v>58</v>
      </c>
      <c r="B67" t="n" s="182">
        <v>43613.02465277778</v>
      </c>
      <c r="C67" t="n">
        <v>-6.0</v>
      </c>
      <c r="D67" t="s">
        <v>722</v>
      </c>
      <c r="E67" t="n">
        <v>202840.0</v>
      </c>
      <c r="F67" t="s">
        <v>1136</v>
      </c>
    </row>
    <row r="68">
      <c r="A68" t="s">
        <v>57</v>
      </c>
      <c r="B68" t="n" s="182">
        <v>43613.02465277778</v>
      </c>
      <c r="C68" t="n">
        <v>-6.0</v>
      </c>
      <c r="D68" t="s">
        <v>727</v>
      </c>
      <c r="E68" t="n">
        <v>202846.0</v>
      </c>
      <c r="F68" t="s">
        <v>1136</v>
      </c>
    </row>
    <row r="69">
      <c r="A69" t="s">
        <v>63</v>
      </c>
      <c r="B69" t="n" s="182">
        <v>43613.02465277778</v>
      </c>
      <c r="C69" t="n">
        <v>-6.0</v>
      </c>
      <c r="D69" t="s">
        <v>731</v>
      </c>
      <c r="E69" t="n">
        <v>202850.0</v>
      </c>
      <c r="F69" t="s">
        <v>1136</v>
      </c>
    </row>
    <row r="70">
      <c r="A70" t="s">
        <v>64</v>
      </c>
      <c r="B70" t="n" s="182">
        <v>43613.02465277778</v>
      </c>
      <c r="C70" t="n">
        <v>-6.0</v>
      </c>
      <c r="D70" t="s">
        <v>735</v>
      </c>
      <c r="E70" t="n">
        <v>202854.0</v>
      </c>
      <c r="F70" t="s">
        <v>1136</v>
      </c>
    </row>
    <row r="71">
      <c r="A71" t="s">
        <v>66</v>
      </c>
      <c r="B71" t="n" s="182">
        <v>43613.02465277778</v>
      </c>
      <c r="C71" t="n">
        <v>-6.0</v>
      </c>
      <c r="D71" t="s">
        <v>739</v>
      </c>
      <c r="E71" t="n">
        <v>202858.0</v>
      </c>
      <c r="F71" t="s">
        <v>1136</v>
      </c>
    </row>
    <row r="72">
      <c r="A72" t="s">
        <v>103</v>
      </c>
      <c r="B72" t="n" s="182">
        <v>43613.02465277778</v>
      </c>
      <c r="C72" t="n">
        <v>-6.0</v>
      </c>
      <c r="D72" t="s">
        <v>744</v>
      </c>
      <c r="E72" t="n">
        <v>202865.0</v>
      </c>
      <c r="F72" t="s">
        <v>1136</v>
      </c>
    </row>
    <row r="73">
      <c r="A73" t="s">
        <v>99</v>
      </c>
      <c r="B73" t="n" s="182">
        <v>43613.02465277778</v>
      </c>
      <c r="C73" t="n">
        <v>-6.0</v>
      </c>
      <c r="D73" t="s">
        <v>745</v>
      </c>
      <c r="E73" t="n">
        <v>202866.0</v>
      </c>
      <c r="F73" t="s">
        <v>1136</v>
      </c>
    </row>
    <row r="74">
      <c r="A74" t="s">
        <v>61</v>
      </c>
      <c r="B74" t="n" s="182">
        <v>43613.02465277778</v>
      </c>
      <c r="C74" t="n">
        <v>-6.0</v>
      </c>
      <c r="D74" t="s">
        <v>750</v>
      </c>
      <c r="E74" t="n">
        <v>202873.0</v>
      </c>
      <c r="F74" t="s">
        <v>1136</v>
      </c>
    </row>
    <row r="75">
      <c r="A75" t="s">
        <v>111</v>
      </c>
      <c r="B75" t="n" s="182">
        <v>43613.02465277778</v>
      </c>
      <c r="C75" t="n">
        <v>-6.0</v>
      </c>
      <c r="D75" t="s">
        <v>755</v>
      </c>
      <c r="E75" t="n">
        <v>202880.0</v>
      </c>
      <c r="F75" t="s">
        <v>1136</v>
      </c>
    </row>
    <row r="76" spans="2:2" x14ac:dyDescent="0.2">
      <c r="B76" s="151"/>
    </row>
    <row r="77">
      <c r="A77" t="s" s="181">
        <v>1137</v>
      </c>
    </row>
    <row r="78">
      <c r="A78" t="s">
        <v>1138</v>
      </c>
      <c r="B78" t="s">
        <v>521</v>
      </c>
    </row>
    <row r="79">
      <c r="A79" t="s">
        <v>1139</v>
      </c>
      <c r="B79" t="n">
        <v>147.0</v>
      </c>
    </row>
    <row r="80">
      <c r="A80" t="s">
        <v>1140</v>
      </c>
      <c r="B80" t="n">
        <v>147.0</v>
      </c>
    </row>
    <row r="81">
      <c r="A81" t="s">
        <v>1141</v>
      </c>
      <c r="B81" t="n">
        <v>0.0</v>
      </c>
    </row>
    <row r="82">
      <c r="A82" t="s">
        <v>1142</v>
      </c>
      <c r="B82" t="n">
        <v>147.0</v>
      </c>
      <c r="C82" t="n">
        <v>144.0</v>
      </c>
    </row>
    <row r="83">
      <c r="A83" t="s">
        <v>1143</v>
      </c>
      <c r="B83" t="n">
        <v>14.0</v>
      </c>
      <c r="C83" t="n">
        <v>14.0</v>
      </c>
    </row>
    <row r="84">
      <c r="A84" t="s">
        <v>1144</v>
      </c>
      <c r="B84" t="n">
        <v>27.0</v>
      </c>
      <c r="C84" t="n">
        <v>27.0</v>
      </c>
    </row>
    <row r="85" spans="2:2" x14ac:dyDescent="0.2">
      <c r="B85" s="151"/>
    </row>
    <row r="86">
      <c r="A86" t="s">
        <v>1138</v>
      </c>
      <c r="B86" t="s">
        <v>522</v>
      </c>
    </row>
    <row r="87">
      <c r="A87" t="s">
        <v>1139</v>
      </c>
      <c r="B87" t="n">
        <v>70.0</v>
      </c>
    </row>
    <row r="88">
      <c r="A88" t="s">
        <v>1140</v>
      </c>
      <c r="B88" t="n">
        <v>70.0</v>
      </c>
    </row>
    <row r="89">
      <c r="A89" t="s">
        <v>1141</v>
      </c>
      <c r="B89" t="n">
        <v>0.0</v>
      </c>
    </row>
    <row r="90">
      <c r="A90" t="s">
        <v>1142</v>
      </c>
      <c r="B90" t="n">
        <v>70.0</v>
      </c>
      <c r="C90" t="n">
        <v>70.0</v>
      </c>
    </row>
    <row r="91">
      <c r="A91" t="s">
        <v>1143</v>
      </c>
      <c r="B91" t="n">
        <v>4.0</v>
      </c>
      <c r="C91" t="n">
        <v>4.0</v>
      </c>
    </row>
    <row r="92">
      <c r="A92" t="s">
        <v>1144</v>
      </c>
      <c r="B92" t="n">
        <v>16.0</v>
      </c>
      <c r="C92" t="n">
        <v>16.0</v>
      </c>
    </row>
    <row r="93" spans="2:2" x14ac:dyDescent="0.2">
      <c r="B93" s="151"/>
    </row>
    <row r="94" spans="2:2" x14ac:dyDescent="0.2">
      <c r="B94" s="151"/>
    </row>
    <row r="95" spans="2:2" x14ac:dyDescent="0.2">
      <c r="B95" s="151"/>
    </row>
    <row r="96" spans="2:2" x14ac:dyDescent="0.2">
      <c r="B96" s="151"/>
    </row>
    <row r="97" spans="1:2" x14ac:dyDescent="0.2">
      <c r="B97" s="151"/>
    </row>
    <row r="98" spans="1:2" x14ac:dyDescent="0.2">
      <c r="B98" s="151"/>
    </row>
    <row r="99" spans="1:2" x14ac:dyDescent="0.2">
      <c r="B99" s="151"/>
    </row>
    <row ht="15" r="101" spans="1:2" x14ac:dyDescent="0.25">
      <c r="A101" s="150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11"/>
  <sheetViews>
    <sheetView topLeftCell="A97" workbookViewId="0" zoomScale="85" zoomScaleNormal="85">
      <selection activeCell="F115" sqref="F115"/>
    </sheetView>
  </sheetViews>
  <sheetFormatPr defaultRowHeight="12.75" x14ac:dyDescent="0.2"/>
  <cols>
    <col min="1" max="2" bestFit="true" customWidth="true" style="144" width="10.28515625" collapsed="false"/>
    <col min="3" max="3" bestFit="true" customWidth="true" style="144" width="17.28515625" collapsed="false"/>
    <col min="4" max="4" bestFit="true" customWidth="true" style="144" width="12.85546875" collapsed="false"/>
    <col min="5" max="5" bestFit="true" customWidth="true" style="144" width="14.28515625" collapsed="false"/>
    <col min="6" max="6" bestFit="true" customWidth="true" style="144" width="50.140625" collapsed="false"/>
    <col min="7" max="7" bestFit="true" customWidth="true" style="144" width="10.7109375" collapsed="false"/>
    <col min="8" max="8" customWidth="true" style="144" width="25.5703125" collapsed="false"/>
    <col min="9" max="9" bestFit="true" customWidth="true" style="144" width="8.7109375" collapsed="false"/>
    <col min="10" max="16384" style="144" width="9.140625" collapsed="false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B2" s="145">
        <v>43586</v>
      </c>
      <c r="C2" s="144" t="s">
        <v>761</v>
      </c>
      <c r="D2" s="144">
        <v>-3.99</v>
      </c>
      <c r="E2" s="144" t="s">
        <v>762</v>
      </c>
      <c r="F2" s="144" t="s">
        <v>763</v>
      </c>
      <c r="G2" s="146"/>
      <c r="H2" s="146"/>
      <c r="I2" t="s">
        <v>1080</v>
      </c>
    </row>
    <row r="3" spans="1:9" x14ac:dyDescent="0.2">
      <c r="B3" s="145">
        <v>43586</v>
      </c>
      <c r="C3" s="144" t="s">
        <v>761</v>
      </c>
      <c r="D3" s="144">
        <v>-2.29</v>
      </c>
      <c r="E3" s="144" t="s">
        <v>762</v>
      </c>
      <c r="F3" s="144" t="s">
        <v>764</v>
      </c>
      <c r="G3" s="146"/>
      <c r="I3" t="s">
        <v>1080</v>
      </c>
    </row>
    <row r="4" spans="1:9" x14ac:dyDescent="0.2">
      <c r="B4" s="145">
        <v>43586</v>
      </c>
      <c r="C4" s="144" t="s">
        <v>761</v>
      </c>
      <c r="D4" s="144">
        <v>-0.89</v>
      </c>
      <c r="E4" s="144" t="s">
        <v>762</v>
      </c>
      <c r="F4" s="144" t="s">
        <v>764</v>
      </c>
      <c r="I4" t="s">
        <v>1080</v>
      </c>
    </row>
    <row r="5" spans="1:9" x14ac:dyDescent="0.2">
      <c r="B5" s="145">
        <v>43586</v>
      </c>
      <c r="C5" s="144" t="s">
        <v>761</v>
      </c>
      <c r="D5" s="144">
        <v>-0.89</v>
      </c>
      <c r="E5" s="144" t="s">
        <v>762</v>
      </c>
      <c r="F5" s="144" t="s">
        <v>764</v>
      </c>
      <c r="I5" t="s">
        <v>1080</v>
      </c>
    </row>
    <row r="6" spans="1:9" x14ac:dyDescent="0.2">
      <c r="B6" s="145">
        <v>43586</v>
      </c>
      <c r="C6" s="144" t="s">
        <v>761</v>
      </c>
      <c r="D6" s="144">
        <v>-5.5</v>
      </c>
      <c r="E6" s="144" t="s">
        <v>762</v>
      </c>
      <c r="F6" s="144" t="s">
        <v>765</v>
      </c>
      <c r="G6" s="146"/>
      <c r="H6" s="146"/>
      <c r="I6" t="s">
        <v>1080</v>
      </c>
    </row>
    <row r="7" spans="1:9" x14ac:dyDescent="0.2">
      <c r="B7" s="145">
        <v>43586</v>
      </c>
      <c r="C7" s="144" t="s">
        <v>761</v>
      </c>
      <c r="D7" s="144">
        <v>133.19999999999999</v>
      </c>
      <c r="E7" s="144" t="s">
        <v>766</v>
      </c>
      <c r="F7" s="144" t="s">
        <v>767</v>
      </c>
      <c r="I7" t="s">
        <v>1080</v>
      </c>
    </row>
    <row r="8" spans="1:9" x14ac:dyDescent="0.2">
      <c r="B8" s="145">
        <v>43586</v>
      </c>
      <c r="C8" s="144" t="s">
        <v>761</v>
      </c>
      <c r="D8" s="144">
        <v>159.85</v>
      </c>
      <c r="E8" s="144" t="s">
        <v>766</v>
      </c>
      <c r="F8" s="144" t="s">
        <v>768</v>
      </c>
      <c r="I8" t="s">
        <v>1080</v>
      </c>
    </row>
    <row r="9" spans="1:9" x14ac:dyDescent="0.2">
      <c r="B9" s="145">
        <v>43586</v>
      </c>
      <c r="C9" s="144" t="s">
        <v>761</v>
      </c>
      <c r="D9" s="144">
        <v>-2609.16</v>
      </c>
      <c r="E9" s="144" t="s">
        <v>769</v>
      </c>
      <c r="F9" s="144" t="s">
        <v>770</v>
      </c>
      <c r="I9" t="s">
        <v>1080</v>
      </c>
    </row>
    <row r="10" spans="1:9" x14ac:dyDescent="0.2">
      <c r="B10" s="145">
        <v>43586</v>
      </c>
      <c r="C10" s="144" t="s">
        <v>761</v>
      </c>
      <c r="D10" s="144">
        <v>-196.79</v>
      </c>
      <c r="E10" s="144" t="s">
        <v>769</v>
      </c>
      <c r="F10" s="144" t="s">
        <v>771</v>
      </c>
      <c r="I10" t="s">
        <v>1080</v>
      </c>
    </row>
    <row r="11" spans="1:9" x14ac:dyDescent="0.2">
      <c r="B11" s="145">
        <v>43586</v>
      </c>
      <c r="C11" s="144" t="s">
        <v>761</v>
      </c>
      <c r="D11" s="144">
        <v>-50</v>
      </c>
      <c r="E11" s="144" t="s">
        <v>769</v>
      </c>
      <c r="F11" s="144" t="s">
        <v>772</v>
      </c>
      <c r="I11" t="s">
        <v>1080</v>
      </c>
    </row>
    <row r="12" spans="1:9" x14ac:dyDescent="0.2">
      <c r="B12" s="145">
        <v>43586</v>
      </c>
      <c r="C12" s="144" t="s">
        <v>761</v>
      </c>
      <c r="D12" s="144">
        <v>-50</v>
      </c>
      <c r="E12" s="144" t="s">
        <v>769</v>
      </c>
      <c r="F12" s="144" t="s">
        <v>773</v>
      </c>
      <c r="I12" t="s">
        <v>1080</v>
      </c>
    </row>
    <row r="13" spans="1:9" x14ac:dyDescent="0.2">
      <c r="B13" s="145">
        <v>43586</v>
      </c>
      <c r="C13" s="144" t="s">
        <v>761</v>
      </c>
      <c r="D13" s="144">
        <v>-160</v>
      </c>
      <c r="E13" s="144" t="s">
        <v>769</v>
      </c>
      <c r="F13" s="144" t="s">
        <v>774</v>
      </c>
      <c r="I13" t="s">
        <v>1080</v>
      </c>
    </row>
    <row r="14" spans="1:9" x14ac:dyDescent="0.2">
      <c r="B14" s="145">
        <v>43586</v>
      </c>
      <c r="C14" s="144" t="s">
        <v>761</v>
      </c>
      <c r="D14" s="144">
        <v>-157.5</v>
      </c>
      <c r="E14" s="144" t="s">
        <v>769</v>
      </c>
      <c r="F14" s="144" t="s">
        <v>775</v>
      </c>
      <c r="H14" s="146"/>
      <c r="I14" t="s">
        <v>1080</v>
      </c>
    </row>
    <row r="15" spans="1:9" x14ac:dyDescent="0.2">
      <c r="B15" s="145">
        <v>43586</v>
      </c>
      <c r="C15" s="144" t="s">
        <v>761</v>
      </c>
      <c r="D15" s="144">
        <v>-232.5</v>
      </c>
      <c r="E15" s="144" t="s">
        <v>769</v>
      </c>
      <c r="F15" s="144" t="s">
        <v>776</v>
      </c>
      <c r="G15" s="146"/>
      <c r="H15" s="146"/>
      <c r="I15" t="s">
        <v>1080</v>
      </c>
    </row>
    <row r="16" spans="1:9" x14ac:dyDescent="0.2">
      <c r="B16" s="145">
        <v>43586</v>
      </c>
      <c r="C16" s="144" t="s">
        <v>761</v>
      </c>
      <c r="D16" s="144">
        <v>-221.36</v>
      </c>
      <c r="E16" s="144" t="s">
        <v>777</v>
      </c>
      <c r="F16" s="144" t="s">
        <v>778</v>
      </c>
      <c r="G16" s="146"/>
      <c r="I16" t="s">
        <v>1081</v>
      </c>
    </row>
    <row r="17" spans="2:10" x14ac:dyDescent="0.2">
      <c r="B17" s="145">
        <v>43586</v>
      </c>
      <c r="C17" s="144" t="s">
        <v>761</v>
      </c>
      <c r="D17" s="144">
        <v>-240.21</v>
      </c>
      <c r="E17" s="144" t="s">
        <v>777</v>
      </c>
      <c r="F17" s="144" t="s">
        <v>779</v>
      </c>
      <c r="I17" t="s">
        <v>1081</v>
      </c>
      <c r="J17" s="146"/>
    </row>
    <row r="18" spans="2:10" x14ac:dyDescent="0.2">
      <c r="B18" s="145">
        <v>43586</v>
      </c>
      <c r="C18" s="144" t="s">
        <v>761</v>
      </c>
      <c r="D18" s="144">
        <v>-23.45</v>
      </c>
      <c r="E18" s="144" t="s">
        <v>777</v>
      </c>
      <c r="F18" s="144" t="s">
        <v>780</v>
      </c>
      <c r="G18" s="146"/>
      <c r="H18" s="146"/>
      <c r="I18" t="s">
        <v>1080</v>
      </c>
      <c r="J18" s="146"/>
    </row>
    <row r="19" spans="2:10" x14ac:dyDescent="0.2">
      <c r="B19" s="145">
        <v>43586</v>
      </c>
      <c r="C19" s="144" t="s">
        <v>761</v>
      </c>
      <c r="D19" s="144">
        <v>-50.84</v>
      </c>
      <c r="E19" s="144" t="s">
        <v>777</v>
      </c>
      <c r="F19" s="146" t="s">
        <v>781</v>
      </c>
      <c r="I19" t="s">
        <v>1080</v>
      </c>
      <c r="J19" s="146"/>
    </row>
    <row r="20" spans="2:10" x14ac:dyDescent="0.2">
      <c r="B20" s="145">
        <v>43586</v>
      </c>
      <c r="C20" s="144" t="s">
        <v>761</v>
      </c>
      <c r="D20" s="144">
        <v>-124.68</v>
      </c>
      <c r="E20" s="144" t="s">
        <v>777</v>
      </c>
      <c r="F20" s="144" t="s">
        <v>782</v>
      </c>
      <c r="I20" t="s">
        <v>1080</v>
      </c>
      <c r="J20" s="146"/>
    </row>
    <row r="21" spans="2:10" x14ac:dyDescent="0.2">
      <c r="B21" s="145">
        <v>43586</v>
      </c>
      <c r="C21" s="144" t="s">
        <v>761</v>
      </c>
      <c r="D21" s="144">
        <v>-125.34</v>
      </c>
      <c r="E21" s="144" t="s">
        <v>777</v>
      </c>
      <c r="F21" s="144" t="s">
        <v>783</v>
      </c>
      <c r="I21" t="s">
        <v>1080</v>
      </c>
      <c r="J21" s="146"/>
    </row>
    <row r="22" spans="2:10" x14ac:dyDescent="0.2">
      <c r="B22" s="145">
        <v>43587</v>
      </c>
      <c r="C22" s="144" t="s">
        <v>761</v>
      </c>
      <c r="D22" s="144">
        <v>-4.6500000000000004</v>
      </c>
      <c r="E22" s="144" t="s">
        <v>762</v>
      </c>
      <c r="F22" s="144" t="s">
        <v>784</v>
      </c>
      <c r="I22" t="s">
        <v>1080</v>
      </c>
      <c r="J22" s="146"/>
    </row>
    <row r="23" spans="2:10" x14ac:dyDescent="0.2">
      <c r="B23" s="145">
        <v>43587</v>
      </c>
      <c r="C23" s="144" t="s">
        <v>761</v>
      </c>
      <c r="D23" s="144">
        <v>-0.89</v>
      </c>
      <c r="E23" s="144" t="s">
        <v>762</v>
      </c>
      <c r="F23" s="144" t="s">
        <v>785</v>
      </c>
      <c r="I23" t="s">
        <v>1080</v>
      </c>
    </row>
    <row r="24" spans="2:10" x14ac:dyDescent="0.2">
      <c r="B24" s="145">
        <v>43587</v>
      </c>
      <c r="C24" s="144" t="s">
        <v>761</v>
      </c>
      <c r="D24" s="144">
        <v>-0.89</v>
      </c>
      <c r="E24" s="144" t="s">
        <v>762</v>
      </c>
      <c r="F24" s="144" t="s">
        <v>785</v>
      </c>
      <c r="I24" t="s">
        <v>1080</v>
      </c>
    </row>
    <row r="25" spans="2:10" x14ac:dyDescent="0.2">
      <c r="B25" s="145">
        <v>43587</v>
      </c>
      <c r="C25" s="144" t="s">
        <v>761</v>
      </c>
      <c r="D25" s="144">
        <v>-5.5</v>
      </c>
      <c r="E25" s="144" t="s">
        <v>762</v>
      </c>
      <c r="F25" s="144" t="s">
        <v>786</v>
      </c>
      <c r="H25" s="148"/>
      <c r="I25" t="s">
        <v>1080</v>
      </c>
      <c r="J25" s="146"/>
    </row>
    <row r="26" spans="2:10" x14ac:dyDescent="0.2">
      <c r="B26" s="145">
        <v>43587</v>
      </c>
      <c r="C26" s="144" t="s">
        <v>761</v>
      </c>
      <c r="D26" s="144">
        <v>706.4</v>
      </c>
      <c r="E26" s="144" t="s">
        <v>766</v>
      </c>
      <c r="F26" s="144" t="s">
        <v>787</v>
      </c>
      <c r="I26" t="s">
        <v>1080</v>
      </c>
      <c r="J26" s="146"/>
    </row>
    <row r="27" spans="2:10" x14ac:dyDescent="0.2">
      <c r="B27" s="145">
        <v>43587</v>
      </c>
      <c r="C27" s="144" t="s">
        <v>761</v>
      </c>
      <c r="D27" s="144">
        <v>253.03</v>
      </c>
      <c r="E27" s="144" t="s">
        <v>766</v>
      </c>
      <c r="F27" s="144" t="s">
        <v>788</v>
      </c>
      <c r="G27" s="146"/>
      <c r="I27" t="s">
        <v>1080</v>
      </c>
      <c r="J27" s="146"/>
    </row>
    <row r="28" spans="2:10" x14ac:dyDescent="0.2">
      <c r="B28" s="145">
        <v>43588</v>
      </c>
      <c r="C28" s="144" t="s">
        <v>761</v>
      </c>
      <c r="D28" s="144">
        <v>-3.99</v>
      </c>
      <c r="E28" s="144" t="s">
        <v>762</v>
      </c>
      <c r="F28" s="144" t="s">
        <v>789</v>
      </c>
      <c r="G28" s="146"/>
      <c r="H28" s="146"/>
      <c r="I28" t="s">
        <v>1080</v>
      </c>
    </row>
    <row r="29" spans="2:10" x14ac:dyDescent="0.2">
      <c r="B29" s="145">
        <v>43588</v>
      </c>
      <c r="C29" s="144" t="s">
        <v>761</v>
      </c>
      <c r="D29" s="144">
        <v>-0.89</v>
      </c>
      <c r="E29" s="144" t="s">
        <v>762</v>
      </c>
      <c r="F29" s="144" t="s">
        <v>790</v>
      </c>
      <c r="I29" t="s">
        <v>1080</v>
      </c>
      <c r="J29" s="146"/>
    </row>
    <row r="30" spans="2:10" x14ac:dyDescent="0.2">
      <c r="B30" s="145">
        <v>43588</v>
      </c>
      <c r="C30" s="144" t="s">
        <v>761</v>
      </c>
      <c r="D30" s="144">
        <v>476.56</v>
      </c>
      <c r="E30" s="144" t="s">
        <v>766</v>
      </c>
      <c r="F30" s="144" t="s">
        <v>791</v>
      </c>
      <c r="H30" s="146"/>
      <c r="I30" t="s">
        <v>1080</v>
      </c>
    </row>
    <row r="31" spans="2:10" x14ac:dyDescent="0.2">
      <c r="B31" s="145">
        <v>43588</v>
      </c>
      <c r="C31" s="144" t="s">
        <v>761</v>
      </c>
      <c r="D31" s="144">
        <v>464</v>
      </c>
      <c r="E31" s="144" t="s">
        <v>766</v>
      </c>
      <c r="F31" s="144" t="s">
        <v>792</v>
      </c>
      <c r="I31" t="s">
        <v>1080</v>
      </c>
    </row>
    <row r="32" spans="2:10" x14ac:dyDescent="0.2">
      <c r="B32" s="145">
        <v>43588</v>
      </c>
      <c r="C32" s="144" t="s">
        <v>761</v>
      </c>
      <c r="D32" s="144">
        <v>-209.16</v>
      </c>
      <c r="E32" s="144" t="s">
        <v>777</v>
      </c>
      <c r="F32" s="144" t="s">
        <v>793</v>
      </c>
      <c r="I32" t="s">
        <v>1081</v>
      </c>
    </row>
    <row r="33" spans="2:10" x14ac:dyDescent="0.2">
      <c r="B33" s="145">
        <v>43588</v>
      </c>
      <c r="C33" s="144" t="s">
        <v>761</v>
      </c>
      <c r="D33" s="144">
        <v>-236.44</v>
      </c>
      <c r="E33" s="144" t="s">
        <v>777</v>
      </c>
      <c r="F33" s="144" t="s">
        <v>794</v>
      </c>
      <c r="H33" s="146"/>
      <c r="I33" t="s">
        <v>1081</v>
      </c>
    </row>
    <row r="34" spans="2:10" x14ac:dyDescent="0.2">
      <c r="B34" s="145">
        <v>43588</v>
      </c>
      <c r="C34" s="144" t="s">
        <v>761</v>
      </c>
      <c r="D34" s="144">
        <v>-260.98</v>
      </c>
      <c r="E34" s="144" t="s">
        <v>777</v>
      </c>
      <c r="F34" s="144" t="s">
        <v>795</v>
      </c>
      <c r="I34" t="s">
        <v>1081</v>
      </c>
    </row>
    <row r="35" spans="2:10" x14ac:dyDescent="0.2">
      <c r="B35" s="145">
        <v>43588</v>
      </c>
      <c r="C35" s="144" t="s">
        <v>761</v>
      </c>
      <c r="D35" s="144">
        <v>-251.96</v>
      </c>
      <c r="E35" s="144" t="s">
        <v>777</v>
      </c>
      <c r="F35" s="144" t="s">
        <v>796</v>
      </c>
      <c r="I35" t="s">
        <v>1081</v>
      </c>
    </row>
    <row r="36" spans="2:10" x14ac:dyDescent="0.2">
      <c r="B36" s="145">
        <v>43588</v>
      </c>
      <c r="C36" s="144" t="s">
        <v>761</v>
      </c>
      <c r="D36" s="144">
        <v>-206.93</v>
      </c>
      <c r="E36" s="144" t="s">
        <v>777</v>
      </c>
      <c r="F36" s="144" t="s">
        <v>797</v>
      </c>
      <c r="I36" t="s">
        <v>1081</v>
      </c>
    </row>
    <row r="37" spans="2:10" x14ac:dyDescent="0.2">
      <c r="B37" s="145">
        <v>43588</v>
      </c>
      <c r="C37" s="144" t="s">
        <v>761</v>
      </c>
      <c r="D37" s="144">
        <v>-251.78</v>
      </c>
      <c r="E37" s="144" t="s">
        <v>777</v>
      </c>
      <c r="F37" s="144" t="s">
        <v>798</v>
      </c>
      <c r="I37" t="s">
        <v>1081</v>
      </c>
    </row>
    <row r="38" spans="2:10" x14ac:dyDescent="0.2">
      <c r="B38" s="145">
        <v>43588</v>
      </c>
      <c r="C38" s="144" t="s">
        <v>761</v>
      </c>
      <c r="D38" s="144">
        <v>-206.8</v>
      </c>
      <c r="E38" s="144" t="s">
        <v>777</v>
      </c>
      <c r="F38" s="144" t="s">
        <v>799</v>
      </c>
      <c r="I38" t="s">
        <v>1081</v>
      </c>
    </row>
    <row r="39" spans="2:10" x14ac:dyDescent="0.2">
      <c r="B39" s="145">
        <v>43588</v>
      </c>
      <c r="C39" s="144" t="s">
        <v>761</v>
      </c>
      <c r="D39" s="144">
        <v>-159.5</v>
      </c>
      <c r="E39" s="144" t="s">
        <v>777</v>
      </c>
      <c r="F39" s="144" t="s">
        <v>800</v>
      </c>
      <c r="H39" s="146"/>
      <c r="I39" t="s">
        <v>1081</v>
      </c>
    </row>
    <row r="40" spans="2:10" x14ac:dyDescent="0.2">
      <c r="B40" s="145">
        <v>43588</v>
      </c>
      <c r="C40" s="144" t="s">
        <v>761</v>
      </c>
      <c r="D40" s="144">
        <v>-177.04</v>
      </c>
      <c r="E40" s="144" t="s">
        <v>777</v>
      </c>
      <c r="F40" s="144" t="s">
        <v>801</v>
      </c>
      <c r="I40" t="s">
        <v>1081</v>
      </c>
    </row>
    <row r="41" spans="2:10" x14ac:dyDescent="0.2">
      <c r="B41" s="145">
        <v>43588</v>
      </c>
      <c r="C41" s="144" t="s">
        <v>761</v>
      </c>
      <c r="D41" s="144">
        <v>-177.08</v>
      </c>
      <c r="E41" s="144" t="s">
        <v>777</v>
      </c>
      <c r="F41" s="144" t="s">
        <v>802</v>
      </c>
      <c r="I41" t="s">
        <v>1081</v>
      </c>
    </row>
    <row r="42" spans="2:10" x14ac:dyDescent="0.2">
      <c r="B42" s="145">
        <v>43588</v>
      </c>
      <c r="C42" s="144" t="s">
        <v>761</v>
      </c>
      <c r="D42" s="144">
        <v>-161.62</v>
      </c>
      <c r="E42" s="144" t="s">
        <v>777</v>
      </c>
      <c r="F42" s="144" t="s">
        <v>803</v>
      </c>
      <c r="H42" s="146"/>
      <c r="I42" t="s">
        <v>1081</v>
      </c>
    </row>
    <row r="43" spans="2:10" x14ac:dyDescent="0.2">
      <c r="B43" s="145">
        <v>43592</v>
      </c>
      <c r="C43" s="144" t="s">
        <v>761</v>
      </c>
      <c r="D43" s="144">
        <v>-59.95</v>
      </c>
      <c r="E43" s="144" t="s">
        <v>762</v>
      </c>
      <c r="F43" s="144" t="s">
        <v>804</v>
      </c>
      <c r="I43" t="s">
        <v>1080</v>
      </c>
      <c r="J43" s="146" t="s">
        <v>1061</v>
      </c>
    </row>
    <row r="44" spans="2:10" x14ac:dyDescent="0.2">
      <c r="B44" s="145">
        <v>43592</v>
      </c>
      <c r="C44" s="144" t="s">
        <v>761</v>
      </c>
      <c r="D44" s="144">
        <v>-22.64</v>
      </c>
      <c r="E44" s="144" t="s">
        <v>762</v>
      </c>
      <c r="F44" s="144" t="s">
        <v>805</v>
      </c>
      <c r="H44" s="148"/>
      <c r="I44" t="s">
        <v>1080</v>
      </c>
      <c r="J44" s="146" t="s">
        <v>1061</v>
      </c>
    </row>
    <row r="45" spans="2:10" x14ac:dyDescent="0.2">
      <c r="B45" s="145">
        <v>43592</v>
      </c>
      <c r="C45" s="144" t="s">
        <v>761</v>
      </c>
      <c r="D45" s="144">
        <v>-2.44</v>
      </c>
      <c r="E45" s="144" t="s">
        <v>762</v>
      </c>
      <c r="F45" s="144" t="s">
        <v>806</v>
      </c>
      <c r="I45" t="s">
        <v>1080</v>
      </c>
      <c r="J45" s="146"/>
    </row>
    <row r="46" spans="2:10" x14ac:dyDescent="0.2">
      <c r="B46" s="145">
        <v>43592</v>
      </c>
      <c r="C46" s="144" t="s">
        <v>761</v>
      </c>
      <c r="D46" s="144">
        <v>-3.18</v>
      </c>
      <c r="E46" s="144" t="s">
        <v>762</v>
      </c>
      <c r="F46" s="146" t="s">
        <v>807</v>
      </c>
      <c r="I46" t="s">
        <v>1080</v>
      </c>
      <c r="J46" s="146"/>
    </row>
    <row r="47" spans="2:10" x14ac:dyDescent="0.2">
      <c r="B47" s="145">
        <v>43592</v>
      </c>
      <c r="C47" s="144" t="s">
        <v>761</v>
      </c>
      <c r="D47" s="144">
        <v>-2</v>
      </c>
      <c r="E47" s="144" t="s">
        <v>762</v>
      </c>
      <c r="F47" s="146" t="s">
        <v>807</v>
      </c>
      <c r="I47" t="s">
        <v>1080</v>
      </c>
      <c r="J47" s="146"/>
    </row>
    <row r="48" spans="2:10" x14ac:dyDescent="0.2">
      <c r="B48" s="145">
        <v>43592</v>
      </c>
      <c r="C48" s="144" t="s">
        <v>761</v>
      </c>
      <c r="D48" s="144">
        <v>-1.65</v>
      </c>
      <c r="E48" s="144" t="s">
        <v>762</v>
      </c>
      <c r="F48" s="144" t="s">
        <v>807</v>
      </c>
      <c r="G48" s="146"/>
      <c r="H48" s="146"/>
      <c r="I48" t="s">
        <v>1080</v>
      </c>
    </row>
    <row r="49" spans="2:10" x14ac:dyDescent="0.2">
      <c r="B49" s="145">
        <v>43592</v>
      </c>
      <c r="C49" s="144" t="s">
        <v>761</v>
      </c>
      <c r="D49" s="144">
        <v>-1500</v>
      </c>
      <c r="E49" s="144" t="s">
        <v>808</v>
      </c>
      <c r="F49" s="146" t="s">
        <v>809</v>
      </c>
      <c r="G49" s="179" t="s">
        <v>557</v>
      </c>
      <c r="H49" s="47" t="s">
        <v>1079</v>
      </c>
      <c r="I49" t="s">
        <v>1082</v>
      </c>
      <c r="J49" s="146"/>
    </row>
    <row r="50" spans="2:10" x14ac:dyDescent="0.2">
      <c r="B50" s="145">
        <v>43593</v>
      </c>
      <c r="C50" s="144" t="s">
        <v>761</v>
      </c>
      <c r="D50" s="144">
        <v>-70</v>
      </c>
      <c r="E50" s="144" t="s">
        <v>762</v>
      </c>
      <c r="F50" s="144" t="s">
        <v>810</v>
      </c>
      <c r="G50" s="144" t="s">
        <v>483</v>
      </c>
      <c r="H50" s="148" t="s">
        <v>1062</v>
      </c>
      <c r="I50" t="s">
        <v>1082</v>
      </c>
      <c r="J50" s="148" t="s">
        <v>1061</v>
      </c>
    </row>
    <row r="51" spans="2:10" x14ac:dyDescent="0.2">
      <c r="B51" s="145">
        <v>43593</v>
      </c>
      <c r="C51" s="144" t="s">
        <v>761</v>
      </c>
      <c r="D51" s="144">
        <v>-275</v>
      </c>
      <c r="E51" s="144" t="s">
        <v>762</v>
      </c>
      <c r="F51" s="144" t="s">
        <v>811</v>
      </c>
      <c r="G51" s="47" t="s">
        <v>489</v>
      </c>
      <c r="H51" s="144" t="s">
        <v>1078</v>
      </c>
      <c r="I51" t="s">
        <v>1082</v>
      </c>
    </row>
    <row r="52" spans="2:10" x14ac:dyDescent="0.2">
      <c r="B52" s="145">
        <v>43593</v>
      </c>
      <c r="C52" s="144" t="s">
        <v>761</v>
      </c>
      <c r="D52" s="144">
        <v>-9</v>
      </c>
      <c r="E52" s="144" t="s">
        <v>762</v>
      </c>
      <c r="F52" s="144" t="s">
        <v>812</v>
      </c>
      <c r="I52" t="s">
        <v>1080</v>
      </c>
    </row>
    <row r="53" spans="2:10" x14ac:dyDescent="0.2">
      <c r="B53" s="145">
        <v>43593</v>
      </c>
      <c r="C53" s="144" t="s">
        <v>761</v>
      </c>
      <c r="D53" s="144">
        <v>-14.69</v>
      </c>
      <c r="E53" s="144" t="s">
        <v>762</v>
      </c>
      <c r="F53" s="144" t="s">
        <v>813</v>
      </c>
      <c r="I53" t="s">
        <v>1080</v>
      </c>
    </row>
    <row r="54" spans="2:10" x14ac:dyDescent="0.2">
      <c r="B54" s="145">
        <v>43593</v>
      </c>
      <c r="C54" s="144" t="s">
        <v>761</v>
      </c>
      <c r="D54" s="176">
        <v>-7.99</v>
      </c>
      <c r="E54" s="144" t="s">
        <v>762</v>
      </c>
      <c r="F54" s="144" t="s">
        <v>814</v>
      </c>
      <c r="I54" t="s">
        <v>1080</v>
      </c>
    </row>
    <row r="55" spans="2:10" x14ac:dyDescent="0.2">
      <c r="B55" s="145">
        <v>43593</v>
      </c>
      <c r="C55" s="144" t="s">
        <v>761</v>
      </c>
      <c r="D55" s="144">
        <v>-33.26</v>
      </c>
      <c r="E55" s="144" t="s">
        <v>762</v>
      </c>
      <c r="F55" s="146" t="s">
        <v>815</v>
      </c>
      <c r="G55" s="146" t="s">
        <v>557</v>
      </c>
      <c r="H55" s="146" t="s">
        <v>1067</v>
      </c>
      <c r="I55" t="s">
        <v>1082</v>
      </c>
      <c r="J55" s="146"/>
    </row>
    <row r="56" spans="2:10" x14ac:dyDescent="0.2">
      <c r="B56" s="145">
        <v>43593</v>
      </c>
      <c r="C56" s="144" t="s">
        <v>761</v>
      </c>
      <c r="D56" s="144">
        <v>458</v>
      </c>
      <c r="E56" s="144" t="s">
        <v>766</v>
      </c>
      <c r="F56" s="144" t="s">
        <v>816</v>
      </c>
      <c r="I56" t="s">
        <v>1080</v>
      </c>
    </row>
    <row r="57" spans="2:10" x14ac:dyDescent="0.2">
      <c r="B57" s="145">
        <v>43593</v>
      </c>
      <c r="C57" s="144" t="s">
        <v>761</v>
      </c>
      <c r="D57" s="144">
        <v>139.19999999999999</v>
      </c>
      <c r="E57" s="144" t="s">
        <v>766</v>
      </c>
      <c r="F57" s="144" t="s">
        <v>767</v>
      </c>
      <c r="H57" s="148"/>
      <c r="I57" t="s">
        <v>1080</v>
      </c>
      <c r="J57" s="146"/>
    </row>
    <row r="58" spans="2:10" x14ac:dyDescent="0.2">
      <c r="B58" s="145">
        <v>43594</v>
      </c>
      <c r="C58" s="144" t="s">
        <v>761</v>
      </c>
      <c r="D58" s="144">
        <v>186.47</v>
      </c>
      <c r="E58" s="144" t="s">
        <v>766</v>
      </c>
      <c r="F58" s="144" t="s">
        <v>817</v>
      </c>
      <c r="H58" s="148"/>
      <c r="I58" t="s">
        <v>1080</v>
      </c>
      <c r="J58" s="146"/>
    </row>
    <row r="59" spans="2:10" x14ac:dyDescent="0.2">
      <c r="B59" s="145">
        <v>43594</v>
      </c>
      <c r="C59" s="144" t="s">
        <v>761</v>
      </c>
      <c r="D59" s="144">
        <v>458</v>
      </c>
      <c r="E59" s="144" t="s">
        <v>766</v>
      </c>
      <c r="F59" s="144" t="s">
        <v>818</v>
      </c>
      <c r="I59" t="s">
        <v>1080</v>
      </c>
    </row>
    <row r="60" spans="2:10" x14ac:dyDescent="0.2">
      <c r="B60" s="145">
        <v>43594</v>
      </c>
      <c r="C60" s="144" t="s">
        <v>761</v>
      </c>
      <c r="D60" s="144">
        <v>243.97</v>
      </c>
      <c r="E60" s="144" t="s">
        <v>766</v>
      </c>
      <c r="F60" s="144" t="s">
        <v>819</v>
      </c>
      <c r="G60" s="146"/>
      <c r="I60" t="s">
        <v>1080</v>
      </c>
    </row>
    <row r="61" spans="2:10" x14ac:dyDescent="0.2">
      <c r="B61" s="145">
        <v>43594</v>
      </c>
      <c r="C61" s="144" t="s">
        <v>761</v>
      </c>
      <c r="D61" s="144">
        <v>243.97</v>
      </c>
      <c r="E61" s="144" t="s">
        <v>766</v>
      </c>
      <c r="F61" s="144" t="s">
        <v>820</v>
      </c>
      <c r="I61" t="s">
        <v>1080</v>
      </c>
    </row>
    <row r="62" spans="2:10" x14ac:dyDescent="0.2">
      <c r="B62" s="145">
        <v>43594</v>
      </c>
      <c r="C62" s="144" t="s">
        <v>761</v>
      </c>
      <c r="D62" s="144">
        <v>426.56</v>
      </c>
      <c r="E62" s="144" t="s">
        <v>766</v>
      </c>
      <c r="F62" s="144" t="s">
        <v>821</v>
      </c>
      <c r="I62" t="s">
        <v>1080</v>
      </c>
    </row>
    <row r="63" spans="2:10" x14ac:dyDescent="0.2">
      <c r="B63" s="145">
        <v>43594</v>
      </c>
      <c r="C63" s="144" t="s">
        <v>761</v>
      </c>
      <c r="D63" s="144">
        <v>243.97</v>
      </c>
      <c r="E63" s="144" t="s">
        <v>766</v>
      </c>
      <c r="F63" s="144" t="s">
        <v>822</v>
      </c>
      <c r="H63" s="146"/>
      <c r="I63" t="s">
        <v>1080</v>
      </c>
      <c r="J63" s="146"/>
    </row>
    <row r="64" spans="2:10" x14ac:dyDescent="0.2">
      <c r="B64" s="145">
        <v>43594</v>
      </c>
      <c r="C64" s="144" t="s">
        <v>761</v>
      </c>
      <c r="D64" s="144">
        <v>422.29</v>
      </c>
      <c r="E64" s="144" t="s">
        <v>766</v>
      </c>
      <c r="F64" s="144" t="s">
        <v>823</v>
      </c>
      <c r="I64" t="s">
        <v>1080</v>
      </c>
      <c r="J64" s="146"/>
    </row>
    <row r="65" spans="2:10" x14ac:dyDescent="0.2">
      <c r="B65" s="145">
        <v>43594</v>
      </c>
      <c r="C65" s="144" t="s">
        <v>761</v>
      </c>
      <c r="D65" s="144">
        <v>464</v>
      </c>
      <c r="E65" s="144" t="s">
        <v>766</v>
      </c>
      <c r="F65" s="144" t="s">
        <v>787</v>
      </c>
      <c r="H65" s="146"/>
      <c r="I65" t="s">
        <v>1080</v>
      </c>
      <c r="J65" s="146"/>
    </row>
    <row r="66" spans="2:10" x14ac:dyDescent="0.2">
      <c r="B66" s="145">
        <v>43594</v>
      </c>
      <c r="C66" s="144" t="s">
        <v>761</v>
      </c>
      <c r="D66" s="144">
        <v>439.54</v>
      </c>
      <c r="E66" s="144" t="s">
        <v>766</v>
      </c>
      <c r="F66" s="144" t="s">
        <v>824</v>
      </c>
      <c r="H66" s="146"/>
      <c r="I66" t="s">
        <v>1080</v>
      </c>
    </row>
    <row r="67" spans="2:10" x14ac:dyDescent="0.2">
      <c r="B67" s="145">
        <v>43594</v>
      </c>
      <c r="C67" s="144" t="s">
        <v>761</v>
      </c>
      <c r="D67" s="144">
        <v>243.97</v>
      </c>
      <c r="E67" s="144" t="s">
        <v>766</v>
      </c>
      <c r="F67" s="144" t="s">
        <v>825</v>
      </c>
      <c r="G67" s="147"/>
      <c r="H67" s="146"/>
      <c r="I67" t="s">
        <v>1080</v>
      </c>
    </row>
    <row r="68" spans="2:10" x14ac:dyDescent="0.2">
      <c r="B68" s="145">
        <v>43594</v>
      </c>
      <c r="C68" s="144" t="s">
        <v>761</v>
      </c>
      <c r="D68" s="144">
        <v>-21.97</v>
      </c>
      <c r="E68" s="144" t="s">
        <v>777</v>
      </c>
      <c r="F68" s="144" t="s">
        <v>826</v>
      </c>
      <c r="G68" s="147"/>
      <c r="H68" s="148"/>
      <c r="I68" t="s">
        <v>1081</v>
      </c>
    </row>
    <row r="69" spans="2:10" x14ac:dyDescent="0.2">
      <c r="B69" s="145">
        <v>43595</v>
      </c>
      <c r="C69" s="144" t="s">
        <v>761</v>
      </c>
      <c r="D69" s="177">
        <v>-13</v>
      </c>
      <c r="E69" s="144" t="s">
        <v>762</v>
      </c>
      <c r="F69" s="144" t="s">
        <v>827</v>
      </c>
      <c r="G69" s="146"/>
      <c r="H69" s="146"/>
      <c r="I69" t="s">
        <v>1080</v>
      </c>
    </row>
    <row r="70" spans="2:10" x14ac:dyDescent="0.2">
      <c r="B70" s="145">
        <v>43595</v>
      </c>
      <c r="C70" s="144" t="s">
        <v>761</v>
      </c>
      <c r="D70" s="177">
        <v>-13</v>
      </c>
      <c r="E70" s="144" t="s">
        <v>762</v>
      </c>
      <c r="F70" s="144" t="s">
        <v>827</v>
      </c>
      <c r="I70" t="s">
        <v>1080</v>
      </c>
    </row>
    <row r="71" spans="2:10" x14ac:dyDescent="0.2">
      <c r="B71" s="145">
        <v>43595</v>
      </c>
      <c r="C71" s="144" t="s">
        <v>761</v>
      </c>
      <c r="D71" s="144">
        <v>-750</v>
      </c>
      <c r="E71" s="144" t="s">
        <v>762</v>
      </c>
      <c r="F71" s="144" t="s">
        <v>828</v>
      </c>
      <c r="G71" s="180" t="s">
        <v>558</v>
      </c>
      <c r="H71" s="47" t="s">
        <v>1079</v>
      </c>
      <c r="I71" t="s">
        <v>1082</v>
      </c>
    </row>
    <row r="72" spans="2:10" x14ac:dyDescent="0.2">
      <c r="B72" s="145">
        <v>43595</v>
      </c>
      <c r="C72" s="144" t="s">
        <v>761</v>
      </c>
      <c r="D72" s="144">
        <v>-103.25</v>
      </c>
      <c r="E72" s="144" t="s">
        <v>777</v>
      </c>
      <c r="F72" s="144" t="s">
        <v>829</v>
      </c>
      <c r="I72" t="s">
        <v>1081</v>
      </c>
    </row>
    <row r="73" spans="2:10" x14ac:dyDescent="0.2">
      <c r="B73" s="145">
        <v>43598</v>
      </c>
      <c r="C73" s="144" t="s">
        <v>761</v>
      </c>
      <c r="D73" s="144">
        <v>-16.5</v>
      </c>
      <c r="E73" s="144" t="s">
        <v>762</v>
      </c>
      <c r="F73" s="144" t="s">
        <v>830</v>
      </c>
      <c r="I73" t="s">
        <v>1080</v>
      </c>
    </row>
    <row r="74" spans="2:10" x14ac:dyDescent="0.2">
      <c r="B74" s="145">
        <v>43598</v>
      </c>
      <c r="C74" s="144" t="s">
        <v>761</v>
      </c>
      <c r="D74" s="144">
        <v>-55</v>
      </c>
      <c r="E74" s="144" t="s">
        <v>762</v>
      </c>
      <c r="F74" s="144" t="s">
        <v>831</v>
      </c>
      <c r="I74" t="s">
        <v>1080</v>
      </c>
      <c r="J74" s="146" t="s">
        <v>1061</v>
      </c>
    </row>
    <row r="75" spans="2:10" x14ac:dyDescent="0.2">
      <c r="B75" s="145">
        <v>43598</v>
      </c>
      <c r="C75" s="144" t="s">
        <v>761</v>
      </c>
      <c r="D75" s="144">
        <v>-4.18</v>
      </c>
      <c r="E75" s="144" t="s">
        <v>762</v>
      </c>
      <c r="F75" s="144" t="s">
        <v>832</v>
      </c>
      <c r="I75" t="s">
        <v>1080</v>
      </c>
      <c r="J75" s="146" t="s">
        <v>1061</v>
      </c>
    </row>
    <row r="76" spans="2:10" x14ac:dyDescent="0.2">
      <c r="B76" s="145">
        <v>43598</v>
      </c>
      <c r="C76" s="144" t="s">
        <v>761</v>
      </c>
      <c r="D76" s="144">
        <v>-35.75</v>
      </c>
      <c r="E76" s="144" t="s">
        <v>762</v>
      </c>
      <c r="F76" s="144" t="s">
        <v>833</v>
      </c>
      <c r="I76" t="s">
        <v>1080</v>
      </c>
      <c r="J76" s="146" t="s">
        <v>1061</v>
      </c>
    </row>
    <row r="77" spans="2:10" x14ac:dyDescent="0.2">
      <c r="B77" s="145">
        <v>43598</v>
      </c>
      <c r="C77" s="144" t="s">
        <v>761</v>
      </c>
      <c r="D77" s="144">
        <v>56.81</v>
      </c>
      <c r="E77" s="144" t="s">
        <v>766</v>
      </c>
      <c r="F77" s="144" t="s">
        <v>834</v>
      </c>
      <c r="I77" t="s">
        <v>1080</v>
      </c>
    </row>
    <row r="78" spans="2:10" x14ac:dyDescent="0.2">
      <c r="B78" s="145">
        <v>43598</v>
      </c>
      <c r="C78" s="144" t="s">
        <v>761</v>
      </c>
      <c r="D78" s="144">
        <v>67.61</v>
      </c>
      <c r="E78" s="144" t="s">
        <v>766</v>
      </c>
      <c r="F78" s="144" t="s">
        <v>835</v>
      </c>
      <c r="H78" s="148"/>
      <c r="I78" t="s">
        <v>1080</v>
      </c>
      <c r="J78" s="146"/>
    </row>
    <row r="79" spans="2:10" x14ac:dyDescent="0.2">
      <c r="B79" s="145">
        <v>43598</v>
      </c>
      <c r="C79" s="144" t="s">
        <v>761</v>
      </c>
      <c r="D79" s="144">
        <v>-153.87</v>
      </c>
      <c r="E79" s="144" t="s">
        <v>777</v>
      </c>
      <c r="F79" s="144" t="s">
        <v>836</v>
      </c>
      <c r="I79" t="s">
        <v>1081</v>
      </c>
    </row>
    <row r="80" spans="2:10" x14ac:dyDescent="0.2">
      <c r="B80" s="145">
        <v>43599</v>
      </c>
      <c r="C80" s="144" t="s">
        <v>761</v>
      </c>
      <c r="D80" s="144">
        <v>-3.18</v>
      </c>
      <c r="E80" s="144" t="s">
        <v>762</v>
      </c>
      <c r="F80" s="144" t="s">
        <v>837</v>
      </c>
      <c r="H80" s="146"/>
      <c r="I80" t="s">
        <v>1080</v>
      </c>
      <c r="J80" s="146"/>
    </row>
    <row r="81" spans="2:10" x14ac:dyDescent="0.2">
      <c r="B81" s="145">
        <v>43599</v>
      </c>
      <c r="C81" s="144" t="s">
        <v>761</v>
      </c>
      <c r="D81" s="144">
        <v>-1.19</v>
      </c>
      <c r="E81" s="144" t="s">
        <v>762</v>
      </c>
      <c r="F81" s="144" t="s">
        <v>837</v>
      </c>
      <c r="I81" t="s">
        <v>1080</v>
      </c>
    </row>
    <row r="82" spans="2:10" x14ac:dyDescent="0.2">
      <c r="B82" s="145">
        <v>43599</v>
      </c>
      <c r="C82" s="144" t="s">
        <v>761</v>
      </c>
      <c r="D82" s="144">
        <v>-1.05</v>
      </c>
      <c r="E82" s="144" t="s">
        <v>762</v>
      </c>
      <c r="F82" s="144" t="s">
        <v>837</v>
      </c>
      <c r="I82" t="s">
        <v>1080</v>
      </c>
      <c r="J82" s="146"/>
    </row>
    <row r="83" spans="2:10" x14ac:dyDescent="0.2">
      <c r="B83" s="145">
        <v>43599</v>
      </c>
      <c r="C83" s="144" t="s">
        <v>761</v>
      </c>
      <c r="D83" s="144">
        <v>-0.89</v>
      </c>
      <c r="E83" s="144" t="s">
        <v>762</v>
      </c>
      <c r="F83" s="144" t="s">
        <v>837</v>
      </c>
      <c r="G83" s="146"/>
      <c r="I83" t="s">
        <v>1080</v>
      </c>
    </row>
    <row r="84" spans="2:10" x14ac:dyDescent="0.2">
      <c r="B84" s="145">
        <v>43599</v>
      </c>
      <c r="C84" s="144" t="s">
        <v>761</v>
      </c>
      <c r="D84" s="144">
        <v>-11</v>
      </c>
      <c r="E84" s="144" t="s">
        <v>762</v>
      </c>
      <c r="F84" s="144" t="s">
        <v>838</v>
      </c>
      <c r="G84" s="146"/>
      <c r="H84" s="146"/>
      <c r="I84" t="s">
        <v>1080</v>
      </c>
    </row>
    <row r="85" spans="2:10" x14ac:dyDescent="0.2">
      <c r="B85" s="145">
        <v>43599</v>
      </c>
      <c r="C85" s="144" t="s">
        <v>761</v>
      </c>
      <c r="D85" s="144">
        <v>-14.99</v>
      </c>
      <c r="E85" s="144" t="s">
        <v>762</v>
      </c>
      <c r="F85" s="144" t="s">
        <v>839</v>
      </c>
      <c r="I85" t="s">
        <v>1080</v>
      </c>
    </row>
    <row r="86" spans="2:10" x14ac:dyDescent="0.2">
      <c r="B86" s="145">
        <v>43599</v>
      </c>
      <c r="C86" s="144" t="s">
        <v>761</v>
      </c>
      <c r="D86" s="144">
        <v>-15.72</v>
      </c>
      <c r="E86" s="144" t="s">
        <v>777</v>
      </c>
      <c r="F86" s="144" t="s">
        <v>840</v>
      </c>
      <c r="I86" t="s">
        <v>1080</v>
      </c>
    </row>
    <row r="87" spans="2:10" x14ac:dyDescent="0.2">
      <c r="B87" s="145">
        <v>43600</v>
      </c>
      <c r="C87" s="144" t="s">
        <v>761</v>
      </c>
      <c r="D87" s="177">
        <v>-24.3</v>
      </c>
      <c r="E87" s="144" t="s">
        <v>762</v>
      </c>
      <c r="F87" s="144" t="s">
        <v>841</v>
      </c>
      <c r="H87" s="148" t="s">
        <v>1063</v>
      </c>
      <c r="I87" t="s">
        <v>1080</v>
      </c>
      <c r="J87" s="148" t="s">
        <v>1061</v>
      </c>
    </row>
    <row r="88" spans="2:10" x14ac:dyDescent="0.2">
      <c r="B88" s="145">
        <v>43600</v>
      </c>
      <c r="C88" s="144" t="s">
        <v>761</v>
      </c>
      <c r="D88" s="144">
        <v>-3.99</v>
      </c>
      <c r="E88" s="144" t="s">
        <v>762</v>
      </c>
      <c r="F88" s="144" t="s">
        <v>842</v>
      </c>
      <c r="I88" t="s">
        <v>1080</v>
      </c>
    </row>
    <row r="89" spans="2:10" x14ac:dyDescent="0.2">
      <c r="B89" s="145">
        <v>43600</v>
      </c>
      <c r="C89" s="144" t="s">
        <v>761</v>
      </c>
      <c r="D89" s="144">
        <v>-3.18</v>
      </c>
      <c r="E89" s="144" t="s">
        <v>762</v>
      </c>
      <c r="F89" s="144" t="s">
        <v>843</v>
      </c>
      <c r="I89" t="s">
        <v>1080</v>
      </c>
      <c r="J89" s="146"/>
    </row>
    <row r="90" spans="2:10" x14ac:dyDescent="0.2">
      <c r="B90" s="145">
        <v>43600</v>
      </c>
      <c r="C90" s="144" t="s">
        <v>761</v>
      </c>
      <c r="D90" s="144">
        <v>-3.64</v>
      </c>
      <c r="E90" s="144" t="s">
        <v>762</v>
      </c>
      <c r="F90" s="144" t="s">
        <v>844</v>
      </c>
      <c r="H90" s="146"/>
      <c r="I90" t="s">
        <v>1080</v>
      </c>
    </row>
    <row r="91" spans="2:10" x14ac:dyDescent="0.2">
      <c r="B91" s="145">
        <v>43600</v>
      </c>
      <c r="C91" s="144" t="s">
        <v>761</v>
      </c>
      <c r="D91" s="144">
        <v>-4.1900000000000004</v>
      </c>
      <c r="E91" s="144" t="s">
        <v>762</v>
      </c>
      <c r="F91" s="144" t="s">
        <v>845</v>
      </c>
      <c r="I91" t="s">
        <v>1080</v>
      </c>
    </row>
    <row r="92" spans="2:10" x14ac:dyDescent="0.2">
      <c r="B92" s="145">
        <v>43600</v>
      </c>
      <c r="C92" s="144" t="s">
        <v>761</v>
      </c>
      <c r="D92" s="144">
        <v>-972</v>
      </c>
      <c r="E92" s="144" t="s">
        <v>762</v>
      </c>
      <c r="F92" s="144" t="s">
        <v>846</v>
      </c>
      <c r="G92" s="144" t="s">
        <v>472</v>
      </c>
      <c r="H92" s="148" t="s">
        <v>1068</v>
      </c>
      <c r="I92" t="s">
        <v>1082</v>
      </c>
      <c r="J92" s="146"/>
    </row>
    <row r="93" spans="2:10" x14ac:dyDescent="0.2">
      <c r="B93" s="145">
        <v>43600</v>
      </c>
      <c r="C93" s="144" t="s">
        <v>761</v>
      </c>
      <c r="D93" s="144">
        <v>-252</v>
      </c>
      <c r="E93" s="144" t="s">
        <v>762</v>
      </c>
      <c r="F93" s="144" t="s">
        <v>847</v>
      </c>
      <c r="G93" s="47" t="s">
        <v>559</v>
      </c>
      <c r="H93" s="146" t="s">
        <v>1069</v>
      </c>
      <c r="I93" t="s">
        <v>1082</v>
      </c>
      <c r="J93" s="146"/>
    </row>
    <row r="94" spans="2:10" x14ac:dyDescent="0.2">
      <c r="B94" s="145">
        <v>43600</v>
      </c>
      <c r="C94" s="144" t="s">
        <v>761</v>
      </c>
      <c r="D94" s="144">
        <v>-281</v>
      </c>
      <c r="E94" s="144" t="s">
        <v>762</v>
      </c>
      <c r="F94" s="144" t="s">
        <v>848</v>
      </c>
      <c r="G94" s="144" t="s">
        <v>472</v>
      </c>
      <c r="H94" s="148" t="s">
        <v>1070</v>
      </c>
      <c r="I94" t="s">
        <v>1082</v>
      </c>
      <c r="J94" s="146"/>
    </row>
    <row r="95" spans="2:10" x14ac:dyDescent="0.2">
      <c r="B95" s="145">
        <v>43600</v>
      </c>
      <c r="C95" s="144" t="s">
        <v>761</v>
      </c>
      <c r="D95" s="144">
        <v>354.68</v>
      </c>
      <c r="E95" s="144" t="s">
        <v>766</v>
      </c>
      <c r="F95" s="144" t="s">
        <v>835</v>
      </c>
      <c r="I95" t="s">
        <v>1080</v>
      </c>
    </row>
    <row r="96" spans="2:10" x14ac:dyDescent="0.2">
      <c r="B96" s="145">
        <v>43600</v>
      </c>
      <c r="C96" s="144" t="s">
        <v>761</v>
      </c>
      <c r="D96" s="144">
        <v>-242.09</v>
      </c>
      <c r="E96" s="144" t="s">
        <v>777</v>
      </c>
      <c r="F96" s="146" t="s">
        <v>849</v>
      </c>
      <c r="I96" t="s">
        <v>1081</v>
      </c>
    </row>
    <row r="97" spans="2:10" x14ac:dyDescent="0.2">
      <c r="B97" s="145">
        <v>43600</v>
      </c>
      <c r="C97" s="144" t="s">
        <v>761</v>
      </c>
      <c r="D97" s="144">
        <v>-203.62</v>
      </c>
      <c r="E97" s="144" t="s">
        <v>777</v>
      </c>
      <c r="F97" s="144" t="s">
        <v>850</v>
      </c>
      <c r="I97" t="s">
        <v>1081</v>
      </c>
    </row>
    <row r="98" spans="2:10" x14ac:dyDescent="0.2">
      <c r="B98" s="145">
        <v>43600</v>
      </c>
      <c r="C98" s="144" t="s">
        <v>761</v>
      </c>
      <c r="D98" s="144">
        <v>-476.44</v>
      </c>
      <c r="E98" s="144" t="s">
        <v>777</v>
      </c>
      <c r="F98" s="144" t="s">
        <v>851</v>
      </c>
      <c r="H98" s="146"/>
      <c r="I98" t="s">
        <v>1080</v>
      </c>
    </row>
    <row r="99" spans="2:10" x14ac:dyDescent="0.2">
      <c r="B99" s="145">
        <v>43601</v>
      </c>
      <c r="C99" s="144" t="s">
        <v>761</v>
      </c>
      <c r="D99" s="144">
        <v>-770</v>
      </c>
      <c r="E99" s="144" t="s">
        <v>762</v>
      </c>
      <c r="F99" s="146" t="s">
        <v>852</v>
      </c>
      <c r="G99" s="179" t="s">
        <v>473</v>
      </c>
      <c r="H99" s="47" t="s">
        <v>1079</v>
      </c>
      <c r="I99" t="s">
        <v>1082</v>
      </c>
    </row>
    <row r="100" spans="2:10" x14ac:dyDescent="0.2">
      <c r="B100" s="145">
        <v>43601</v>
      </c>
      <c r="C100" s="144" t="s">
        <v>761</v>
      </c>
      <c r="D100" s="144">
        <v>504.4</v>
      </c>
      <c r="E100" s="144" t="s">
        <v>766</v>
      </c>
      <c r="F100" s="144" t="s">
        <v>853</v>
      </c>
      <c r="I100" t="s">
        <v>1080</v>
      </c>
    </row>
    <row r="101" spans="2:10" x14ac:dyDescent="0.2">
      <c r="B101" s="145">
        <v>43601</v>
      </c>
      <c r="C101" s="144" t="s">
        <v>761</v>
      </c>
      <c r="D101" s="144">
        <v>550.79999999999995</v>
      </c>
      <c r="E101" s="144" t="s">
        <v>766</v>
      </c>
      <c r="F101" s="144" t="s">
        <v>854</v>
      </c>
      <c r="I101" t="s">
        <v>1080</v>
      </c>
    </row>
    <row r="102" spans="2:10" x14ac:dyDescent="0.2">
      <c r="B102" s="145">
        <v>43601</v>
      </c>
      <c r="C102" s="144" t="s">
        <v>761</v>
      </c>
      <c r="D102" s="144">
        <v>369.79</v>
      </c>
      <c r="E102" s="144" t="s">
        <v>766</v>
      </c>
      <c r="F102" s="144" t="s">
        <v>834</v>
      </c>
      <c r="I102" t="s">
        <v>1080</v>
      </c>
    </row>
    <row r="103" spans="2:10" x14ac:dyDescent="0.2">
      <c r="B103" s="145">
        <v>43601</v>
      </c>
      <c r="C103" s="144" t="s">
        <v>761</v>
      </c>
      <c r="D103" s="144">
        <v>178.32</v>
      </c>
      <c r="E103" s="144" t="s">
        <v>766</v>
      </c>
      <c r="F103" s="144" t="s">
        <v>819</v>
      </c>
      <c r="I103" t="s">
        <v>1080</v>
      </c>
    </row>
    <row r="104" spans="2:10" x14ac:dyDescent="0.2">
      <c r="B104" s="145">
        <v>43601</v>
      </c>
      <c r="C104" s="144" t="s">
        <v>761</v>
      </c>
      <c r="D104" s="144">
        <v>193.02</v>
      </c>
      <c r="E104" s="144" t="s">
        <v>766</v>
      </c>
      <c r="F104" s="144" t="s">
        <v>817</v>
      </c>
      <c r="I104" t="s">
        <v>1080</v>
      </c>
    </row>
    <row r="105" spans="2:10" x14ac:dyDescent="0.2">
      <c r="B105" s="145">
        <v>43601</v>
      </c>
      <c r="C105" s="144" t="s">
        <v>761</v>
      </c>
      <c r="D105" s="144">
        <v>-16.170000000000002</v>
      </c>
      <c r="E105" s="144" t="s">
        <v>777</v>
      </c>
      <c r="F105" s="144" t="s">
        <v>855</v>
      </c>
      <c r="I105" t="s">
        <v>1081</v>
      </c>
    </row>
    <row r="106" spans="2:10" x14ac:dyDescent="0.2">
      <c r="B106" s="145">
        <v>43601</v>
      </c>
      <c r="C106" s="144" t="s">
        <v>761</v>
      </c>
      <c r="D106" s="144">
        <v>-217.44</v>
      </c>
      <c r="E106" s="144" t="s">
        <v>777</v>
      </c>
      <c r="F106" s="144" t="s">
        <v>856</v>
      </c>
      <c r="I106" t="s">
        <v>1081</v>
      </c>
    </row>
    <row r="107" spans="2:10" x14ac:dyDescent="0.2">
      <c r="B107" s="145">
        <v>43601</v>
      </c>
      <c r="C107" s="144" t="s">
        <v>761</v>
      </c>
      <c r="D107" s="144">
        <v>-9.99</v>
      </c>
      <c r="E107" s="144" t="s">
        <v>777</v>
      </c>
      <c r="F107" s="144" t="s">
        <v>840</v>
      </c>
      <c r="I107" t="s">
        <v>1080</v>
      </c>
      <c r="J107" s="146"/>
    </row>
    <row r="108" spans="2:10" x14ac:dyDescent="0.2">
      <c r="B108" s="145">
        <v>43602</v>
      </c>
      <c r="C108" s="144" t="s">
        <v>761</v>
      </c>
      <c r="D108" s="144">
        <v>-8.99</v>
      </c>
      <c r="E108" s="144" t="s">
        <v>762</v>
      </c>
      <c r="F108" s="144" t="s">
        <v>857</v>
      </c>
      <c r="I108" t="s">
        <v>1080</v>
      </c>
      <c r="J108" s="146"/>
    </row>
    <row r="109" spans="2:10" x14ac:dyDescent="0.2">
      <c r="B109" s="145">
        <v>43602</v>
      </c>
      <c r="C109" s="144" t="s">
        <v>761</v>
      </c>
      <c r="D109" s="144">
        <v>232</v>
      </c>
      <c r="E109" s="144" t="s">
        <v>766</v>
      </c>
      <c r="F109" s="144" t="s">
        <v>767</v>
      </c>
      <c r="I109" t="s">
        <v>1080</v>
      </c>
    </row>
    <row r="110" spans="2:10" x14ac:dyDescent="0.2">
      <c r="B110" s="145">
        <v>43605</v>
      </c>
      <c r="C110" s="144" t="s">
        <v>761</v>
      </c>
      <c r="D110" s="144">
        <v>318.8</v>
      </c>
      <c r="E110" s="144" t="s">
        <v>766</v>
      </c>
      <c r="F110" s="144" t="s">
        <v>858</v>
      </c>
      <c r="I110" t="s">
        <v>1080</v>
      </c>
    </row>
    <row r="111" spans="2:10" x14ac:dyDescent="0.2">
      <c r="B111" s="145">
        <v>43605</v>
      </c>
      <c r="C111" s="144" t="s">
        <v>761</v>
      </c>
      <c r="D111" s="144">
        <v>-159.83000000000001</v>
      </c>
      <c r="E111" s="144" t="s">
        <v>777</v>
      </c>
      <c r="F111" s="144" t="s">
        <v>859</v>
      </c>
      <c r="I111" t="s">
        <v>1081</v>
      </c>
    </row>
    <row r="112" spans="2:10" x14ac:dyDescent="0.2">
      <c r="B112" s="145">
        <v>43606</v>
      </c>
      <c r="C112" s="144" t="s">
        <v>761</v>
      </c>
      <c r="D112" s="144">
        <v>-132</v>
      </c>
      <c r="E112" s="144" t="s">
        <v>762</v>
      </c>
      <c r="F112" s="144" t="s">
        <v>860</v>
      </c>
      <c r="G112" t="s">
        <v>470</v>
      </c>
      <c r="H112" s="146" t="s">
        <v>1071</v>
      </c>
      <c r="I112" t="s">
        <v>1082</v>
      </c>
    </row>
    <row r="113" spans="2:10" x14ac:dyDescent="0.2">
      <c r="B113" s="145">
        <v>43607</v>
      </c>
      <c r="C113" s="144" t="s">
        <v>761</v>
      </c>
      <c r="D113" s="144">
        <v>178.32</v>
      </c>
      <c r="E113" s="144" t="s">
        <v>766</v>
      </c>
      <c r="F113" s="144" t="s">
        <v>820</v>
      </c>
      <c r="I113" t="s">
        <v>1080</v>
      </c>
    </row>
    <row r="114" spans="2:10" x14ac:dyDescent="0.2">
      <c r="B114" s="145">
        <v>43607</v>
      </c>
      <c r="C114" s="144" t="s">
        <v>761</v>
      </c>
      <c r="D114" s="176">
        <v>-20</v>
      </c>
      <c r="E114" s="144" t="s">
        <v>762</v>
      </c>
      <c r="F114" s="144" t="s">
        <v>861</v>
      </c>
      <c r="I114" t="s">
        <v>1080</v>
      </c>
    </row>
    <row r="115" spans="2:10" x14ac:dyDescent="0.2">
      <c r="B115" s="145">
        <v>43607</v>
      </c>
      <c r="C115" s="144" t="s">
        <v>761</v>
      </c>
      <c r="D115" s="144">
        <v>-202.32</v>
      </c>
      <c r="E115" s="144" t="s">
        <v>777</v>
      </c>
      <c r="F115" s="144" t="s">
        <v>862</v>
      </c>
      <c r="I115" t="s">
        <v>1081</v>
      </c>
    </row>
    <row r="116" spans="2:10" x14ac:dyDescent="0.2">
      <c r="B116" s="145">
        <v>43608</v>
      </c>
      <c r="C116" s="144" t="s">
        <v>761</v>
      </c>
      <c r="D116" s="144">
        <v>-420</v>
      </c>
      <c r="E116" s="144" t="s">
        <v>762</v>
      </c>
      <c r="F116" s="144" t="s">
        <v>863</v>
      </c>
      <c r="G116" s="144" t="s">
        <v>469</v>
      </c>
      <c r="H116" s="148" t="s">
        <v>1072</v>
      </c>
      <c r="I116" t="s">
        <v>1082</v>
      </c>
    </row>
    <row r="117" spans="2:10" x14ac:dyDescent="0.2">
      <c r="B117" s="145">
        <v>43608</v>
      </c>
      <c r="C117" s="144" t="s">
        <v>761</v>
      </c>
      <c r="D117" s="144">
        <v>-1.99</v>
      </c>
      <c r="E117" s="144" t="s">
        <v>762</v>
      </c>
      <c r="F117" s="144" t="s">
        <v>864</v>
      </c>
      <c r="I117" t="s">
        <v>1080</v>
      </c>
      <c r="J117" s="146"/>
    </row>
    <row r="118" spans="2:10" x14ac:dyDescent="0.2">
      <c r="B118" s="145">
        <v>43609</v>
      </c>
      <c r="C118" s="144" t="s">
        <v>761</v>
      </c>
      <c r="D118" s="144">
        <v>46.4</v>
      </c>
      <c r="E118" s="144" t="s">
        <v>766</v>
      </c>
      <c r="F118" s="144" t="s">
        <v>767</v>
      </c>
      <c r="G118" s="146"/>
      <c r="H118" s="146"/>
      <c r="I118" t="s">
        <v>1080</v>
      </c>
      <c r="J118" s="146"/>
    </row>
    <row r="119" spans="2:10" x14ac:dyDescent="0.2">
      <c r="B119" s="145">
        <v>43609</v>
      </c>
      <c r="C119" s="144" t="s">
        <v>761</v>
      </c>
      <c r="D119" s="144">
        <v>-1551.85</v>
      </c>
      <c r="E119" s="144" t="s">
        <v>762</v>
      </c>
      <c r="F119" s="144" t="s">
        <v>865</v>
      </c>
      <c r="I119" t="s">
        <v>1080</v>
      </c>
      <c r="J119" s="146"/>
    </row>
    <row r="120" spans="2:10" x14ac:dyDescent="0.2">
      <c r="B120" s="145">
        <v>43613</v>
      </c>
      <c r="C120" s="144" t="s">
        <v>761</v>
      </c>
      <c r="D120" s="144">
        <v>-945</v>
      </c>
      <c r="E120" s="144" t="s">
        <v>762</v>
      </c>
      <c r="F120" s="146" t="s">
        <v>866</v>
      </c>
      <c r="G120" s="180" t="s">
        <v>489</v>
      </c>
      <c r="H120" s="47" t="s">
        <v>1079</v>
      </c>
      <c r="I120" t="s">
        <v>1082</v>
      </c>
      <c r="J120" s="146"/>
    </row>
    <row r="121" spans="2:10" x14ac:dyDescent="0.2">
      <c r="B121" s="145">
        <v>43613</v>
      </c>
      <c r="C121" s="144" t="s">
        <v>761</v>
      </c>
      <c r="D121" s="144">
        <v>-3.01</v>
      </c>
      <c r="E121" s="144" t="s">
        <v>762</v>
      </c>
      <c r="F121" s="144" t="s">
        <v>867</v>
      </c>
      <c r="I121" t="s">
        <v>1080</v>
      </c>
      <c r="J121" s="146"/>
    </row>
    <row r="122" spans="2:10" x14ac:dyDescent="0.2">
      <c r="B122" s="145">
        <v>43613</v>
      </c>
      <c r="C122" s="144" t="s">
        <v>761</v>
      </c>
      <c r="D122" s="144">
        <v>-49.99</v>
      </c>
      <c r="E122" s="144" t="s">
        <v>762</v>
      </c>
      <c r="F122" s="144" t="s">
        <v>868</v>
      </c>
      <c r="I122" t="s">
        <v>1080</v>
      </c>
      <c r="J122" s="146" t="s">
        <v>1061</v>
      </c>
    </row>
    <row r="123" spans="2:10" x14ac:dyDescent="0.2">
      <c r="B123" s="145">
        <v>43613</v>
      </c>
      <c r="C123" s="144" t="s">
        <v>761</v>
      </c>
      <c r="D123" s="144">
        <v>-102</v>
      </c>
      <c r="E123" s="144" t="s">
        <v>769</v>
      </c>
      <c r="F123" s="146" t="s">
        <v>869</v>
      </c>
      <c r="G123" s="146"/>
      <c r="H123" s="146"/>
      <c r="I123" t="s">
        <v>1080</v>
      </c>
      <c r="J123" s="146"/>
    </row>
    <row r="124" spans="2:10" x14ac:dyDescent="0.2">
      <c r="B124" s="145">
        <v>43613</v>
      </c>
      <c r="C124" s="144" t="s">
        <v>761</v>
      </c>
      <c r="D124" s="144">
        <v>-13.51</v>
      </c>
      <c r="E124" s="144" t="s">
        <v>777</v>
      </c>
      <c r="F124" s="146" t="s">
        <v>840</v>
      </c>
      <c r="G124" s="147"/>
      <c r="I124" t="s">
        <v>1080</v>
      </c>
    </row>
    <row r="125" spans="2:10" x14ac:dyDescent="0.2">
      <c r="B125" s="145">
        <v>43614</v>
      </c>
      <c r="C125" s="144" t="s">
        <v>761</v>
      </c>
      <c r="D125" s="144">
        <v>464</v>
      </c>
      <c r="E125" s="144" t="s">
        <v>766</v>
      </c>
      <c r="F125" s="144" t="s">
        <v>787</v>
      </c>
      <c r="I125" t="s">
        <v>1080</v>
      </c>
      <c r="J125" s="146"/>
    </row>
    <row r="126" spans="2:10" x14ac:dyDescent="0.2">
      <c r="B126" s="145">
        <v>43614</v>
      </c>
      <c r="C126" s="144" t="s">
        <v>761</v>
      </c>
      <c r="D126" s="144">
        <v>458</v>
      </c>
      <c r="E126" s="144" t="s">
        <v>766</v>
      </c>
      <c r="F126" s="144" t="s">
        <v>870</v>
      </c>
      <c r="H126" s="146"/>
      <c r="I126" t="s">
        <v>1080</v>
      </c>
      <c r="J126" s="146"/>
    </row>
    <row r="127" spans="2:10" x14ac:dyDescent="0.2">
      <c r="B127" s="145">
        <v>43614</v>
      </c>
      <c r="C127" s="144" t="s">
        <v>761</v>
      </c>
      <c r="D127" s="144">
        <v>214.03</v>
      </c>
      <c r="E127" s="144" t="s">
        <v>766</v>
      </c>
      <c r="F127" s="144" t="s">
        <v>825</v>
      </c>
      <c r="H127" s="146"/>
      <c r="I127" t="s">
        <v>1080</v>
      </c>
      <c r="J127" s="146"/>
    </row>
    <row r="128" spans="2:10" x14ac:dyDescent="0.2">
      <c r="B128" s="145">
        <v>43614</v>
      </c>
      <c r="C128" s="144" t="s">
        <v>761</v>
      </c>
      <c r="D128" s="144">
        <v>-9.5</v>
      </c>
      <c r="E128" s="144" t="s">
        <v>762</v>
      </c>
      <c r="F128" s="144" t="s">
        <v>871</v>
      </c>
      <c r="I128" t="s">
        <v>1080</v>
      </c>
      <c r="J128" s="146"/>
    </row>
    <row r="129" spans="2:10" x14ac:dyDescent="0.2">
      <c r="B129" s="145">
        <v>43614</v>
      </c>
      <c r="C129" s="144" t="s">
        <v>761</v>
      </c>
      <c r="D129" s="144">
        <v>-4.2300000000000004</v>
      </c>
      <c r="E129" s="144" t="s">
        <v>762</v>
      </c>
      <c r="F129" s="144" t="s">
        <v>872</v>
      </c>
      <c r="I129" t="s">
        <v>1080</v>
      </c>
      <c r="J129" s="146"/>
    </row>
    <row r="130" spans="2:10" x14ac:dyDescent="0.2">
      <c r="B130" s="145">
        <v>43614</v>
      </c>
      <c r="C130" s="144" t="s">
        <v>761</v>
      </c>
      <c r="D130" s="144">
        <v>-142.35</v>
      </c>
      <c r="E130" s="144" t="s">
        <v>777</v>
      </c>
      <c r="F130" s="144" t="s">
        <v>873</v>
      </c>
      <c r="I130" t="s">
        <v>1081</v>
      </c>
      <c r="J130" s="146"/>
    </row>
    <row r="131" spans="2:10" x14ac:dyDescent="0.2">
      <c r="B131" s="145">
        <v>43615</v>
      </c>
      <c r="C131" s="144" t="s">
        <v>761</v>
      </c>
      <c r="D131" s="144">
        <v>2950</v>
      </c>
      <c r="E131" s="144" t="s">
        <v>808</v>
      </c>
      <c r="F131" s="146" t="s">
        <v>874</v>
      </c>
      <c r="G131" s="179"/>
      <c r="H131" s="47" t="s">
        <v>1079</v>
      </c>
      <c r="I131" t="s">
        <v>1080</v>
      </c>
      <c r="J131" s="146"/>
    </row>
    <row r="132" spans="2:10" x14ac:dyDescent="0.2">
      <c r="B132" s="145">
        <v>43615</v>
      </c>
      <c r="C132" s="144" t="s">
        <v>761</v>
      </c>
      <c r="D132" s="144">
        <v>2950</v>
      </c>
      <c r="E132" s="144" t="s">
        <v>808</v>
      </c>
      <c r="F132" s="146" t="s">
        <v>875</v>
      </c>
      <c r="G132" s="178"/>
      <c r="H132" s="47" t="s">
        <v>1079</v>
      </c>
      <c r="I132" t="s">
        <v>1080</v>
      </c>
    </row>
    <row r="133" spans="2:10" x14ac:dyDescent="0.2">
      <c r="B133" s="145">
        <v>43615</v>
      </c>
      <c r="C133" s="144" t="s">
        <v>761</v>
      </c>
      <c r="D133" s="144">
        <v>-750</v>
      </c>
      <c r="E133" s="144" t="s">
        <v>762</v>
      </c>
      <c r="F133" s="144" t="s">
        <v>876</v>
      </c>
      <c r="G133" s="146" t="s">
        <v>559</v>
      </c>
      <c r="H133" s="146" t="s">
        <v>1073</v>
      </c>
      <c r="I133" t="s">
        <v>1082</v>
      </c>
    </row>
    <row r="134" spans="2:10" x14ac:dyDescent="0.2">
      <c r="B134" s="145">
        <v>43615</v>
      </c>
      <c r="C134" s="144" t="s">
        <v>761</v>
      </c>
      <c r="D134" s="144">
        <v>-278.62</v>
      </c>
      <c r="E134" s="144" t="s">
        <v>762</v>
      </c>
      <c r="F134" s="144" t="s">
        <v>877</v>
      </c>
      <c r="G134" s="146" t="s">
        <v>559</v>
      </c>
      <c r="H134" s="146" t="s">
        <v>1074</v>
      </c>
      <c r="I134" t="s">
        <v>1082</v>
      </c>
    </row>
    <row r="135" spans="2:10" x14ac:dyDescent="0.2">
      <c r="B135" s="145">
        <v>43615</v>
      </c>
      <c r="C135" s="144" t="s">
        <v>761</v>
      </c>
      <c r="D135" s="144">
        <v>-48</v>
      </c>
      <c r="E135" s="144" t="s">
        <v>762</v>
      </c>
      <c r="F135" s="144" t="s">
        <v>878</v>
      </c>
      <c r="I135" t="s">
        <v>1080</v>
      </c>
    </row>
    <row r="136" spans="2:10" x14ac:dyDescent="0.2">
      <c r="B136" s="145">
        <v>43615</v>
      </c>
      <c r="C136" s="144" t="s">
        <v>761</v>
      </c>
      <c r="D136" s="144">
        <v>-3.99</v>
      </c>
      <c r="E136" s="144" t="s">
        <v>762</v>
      </c>
      <c r="F136" s="144" t="s">
        <v>879</v>
      </c>
      <c r="I136" t="s">
        <v>1080</v>
      </c>
    </row>
    <row r="137" spans="2:10" x14ac:dyDescent="0.2">
      <c r="B137" s="145">
        <v>43615</v>
      </c>
      <c r="C137" s="144" t="s">
        <v>761</v>
      </c>
      <c r="D137" s="144">
        <v>-1.74</v>
      </c>
      <c r="E137" s="144" t="s">
        <v>762</v>
      </c>
      <c r="F137" s="144" t="s">
        <v>880</v>
      </c>
      <c r="H137" s="148"/>
      <c r="I137" t="s">
        <v>1080</v>
      </c>
      <c r="J137" s="146"/>
    </row>
    <row r="138" spans="2:10" x14ac:dyDescent="0.2">
      <c r="B138" s="145">
        <v>43615</v>
      </c>
      <c r="C138" s="144" t="s">
        <v>761</v>
      </c>
      <c r="D138" s="144">
        <v>-0.89</v>
      </c>
      <c r="E138" s="144" t="s">
        <v>762</v>
      </c>
      <c r="F138" s="144" t="s">
        <v>880</v>
      </c>
      <c r="I138" t="s">
        <v>1080</v>
      </c>
      <c r="J138" s="146"/>
    </row>
    <row r="139" spans="2:10" x14ac:dyDescent="0.2">
      <c r="B139" s="145">
        <v>43616</v>
      </c>
      <c r="C139" s="144" t="s">
        <v>761</v>
      </c>
      <c r="D139" s="144">
        <v>637.6</v>
      </c>
      <c r="E139" s="144" t="s">
        <v>766</v>
      </c>
      <c r="F139" s="144" t="s">
        <v>881</v>
      </c>
      <c r="I139" t="s">
        <v>1080</v>
      </c>
    </row>
    <row r="140" spans="2:10" x14ac:dyDescent="0.2">
      <c r="B140" s="145">
        <v>43616</v>
      </c>
      <c r="C140" s="144" t="s">
        <v>761</v>
      </c>
      <c r="D140" s="144">
        <v>504.4</v>
      </c>
      <c r="E140" s="144" t="s">
        <v>766</v>
      </c>
      <c r="F140" s="144" t="s">
        <v>768</v>
      </c>
      <c r="I140" t="s">
        <v>1080</v>
      </c>
      <c r="J140" s="146"/>
    </row>
    <row r="141" spans="2:10" x14ac:dyDescent="0.2">
      <c r="B141" s="145">
        <v>43616</v>
      </c>
      <c r="C141" s="144" t="s">
        <v>761</v>
      </c>
      <c r="D141" s="144">
        <v>172.32</v>
      </c>
      <c r="E141" s="144" t="s">
        <v>766</v>
      </c>
      <c r="F141" s="144" t="s">
        <v>822</v>
      </c>
      <c r="H141" s="146"/>
      <c r="I141" t="s">
        <v>1080</v>
      </c>
      <c r="J141" s="146"/>
    </row>
    <row r="142" spans="2:10" x14ac:dyDescent="0.2">
      <c r="B142" s="145">
        <v>43616</v>
      </c>
      <c r="C142" s="144" t="s">
        <v>761</v>
      </c>
      <c r="D142" s="144">
        <v>-8.99</v>
      </c>
      <c r="E142" s="144" t="s">
        <v>762</v>
      </c>
      <c r="F142" s="144" t="s">
        <v>882</v>
      </c>
      <c r="H142" s="148" t="s">
        <v>1064</v>
      </c>
      <c r="I142" t="s">
        <v>1080</v>
      </c>
    </row>
    <row r="143" spans="2:10" x14ac:dyDescent="0.2">
      <c r="B143" s="145">
        <v>43616</v>
      </c>
      <c r="C143" s="144" t="s">
        <v>761</v>
      </c>
      <c r="D143" s="177">
        <v>-8.33</v>
      </c>
      <c r="E143" s="144" t="s">
        <v>762</v>
      </c>
      <c r="F143" s="144" t="s">
        <v>883</v>
      </c>
      <c r="H143" s="148" t="s">
        <v>1065</v>
      </c>
      <c r="I143" t="s">
        <v>1080</v>
      </c>
    </row>
    <row r="144" spans="2:10" x14ac:dyDescent="0.2">
      <c r="B144" s="145">
        <v>43616</v>
      </c>
      <c r="C144" s="144" t="s">
        <v>761</v>
      </c>
      <c r="D144" s="144">
        <v>-212.04</v>
      </c>
      <c r="E144" s="144" t="s">
        <v>777</v>
      </c>
      <c r="F144" s="144" t="s">
        <v>884</v>
      </c>
      <c r="H144" s="146"/>
      <c r="I144" t="s">
        <v>1081</v>
      </c>
    </row>
    <row r="145" spans="2:10" x14ac:dyDescent="0.2">
      <c r="B145" s="145">
        <v>43616</v>
      </c>
      <c r="C145" s="144" t="s">
        <v>761</v>
      </c>
      <c r="D145" s="144">
        <v>-215.85</v>
      </c>
      <c r="E145" s="144" t="s">
        <v>777</v>
      </c>
      <c r="F145" s="144" t="s">
        <v>885</v>
      </c>
      <c r="H145" s="146"/>
      <c r="I145" t="s">
        <v>1081</v>
      </c>
    </row>
    <row r="146" spans="2:10" x14ac:dyDescent="0.2">
      <c r="B146" s="145">
        <v>43616</v>
      </c>
      <c r="C146" s="144" t="s">
        <v>761</v>
      </c>
      <c r="D146" s="144">
        <v>-215.85</v>
      </c>
      <c r="E146" s="144" t="s">
        <v>777</v>
      </c>
      <c r="F146" s="144" t="s">
        <v>886</v>
      </c>
      <c r="H146" s="146"/>
      <c r="I146" t="s">
        <v>1081</v>
      </c>
    </row>
    <row r="147" spans="2:10" x14ac:dyDescent="0.2">
      <c r="B147" s="145">
        <v>43616</v>
      </c>
      <c r="C147" s="144" t="s">
        <v>761</v>
      </c>
      <c r="D147" s="144">
        <v>-215.85</v>
      </c>
      <c r="E147" s="144" t="s">
        <v>777</v>
      </c>
      <c r="F147" s="144" t="s">
        <v>887</v>
      </c>
      <c r="I147" t="s">
        <v>1081</v>
      </c>
    </row>
    <row r="148" spans="2:10" x14ac:dyDescent="0.2">
      <c r="B148" s="145">
        <v>43616</v>
      </c>
      <c r="C148" s="144" t="s">
        <v>761</v>
      </c>
      <c r="D148" s="177">
        <v>-50.84</v>
      </c>
      <c r="E148" s="144" t="s">
        <v>777</v>
      </c>
      <c r="F148" s="144" t="s">
        <v>888</v>
      </c>
      <c r="I148" t="s">
        <v>1080</v>
      </c>
    </row>
    <row r="149" spans="2:10" x14ac:dyDescent="0.2">
      <c r="B149" s="145"/>
    </row>
    <row r="150" spans="2:10" x14ac:dyDescent="0.2">
      <c r="B150" s="145"/>
      <c r="H150" s="146"/>
      <c r="J150" s="146"/>
    </row>
    <row r="151" spans="2:10" x14ac:dyDescent="0.2">
      <c r="B151" s="145"/>
      <c r="H151" s="146"/>
    </row>
    <row r="152" spans="2:10" x14ac:dyDescent="0.2">
      <c r="B152" s="145"/>
    </row>
    <row r="153" spans="2:10" x14ac:dyDescent="0.2">
      <c r="B153" s="145"/>
    </row>
    <row r="154" spans="2:10" x14ac:dyDescent="0.2">
      <c r="B154" s="145"/>
      <c r="H154" s="146"/>
      <c r="J154" s="146"/>
    </row>
    <row r="155" spans="2:10" x14ac:dyDescent="0.2">
      <c r="B155" s="145"/>
      <c r="H155" s="146"/>
      <c r="J155" s="146"/>
    </row>
    <row r="156" spans="2:10" x14ac:dyDescent="0.2">
      <c r="B156" s="145"/>
    </row>
    <row r="157" spans="2:10" x14ac:dyDescent="0.2">
      <c r="B157" s="145"/>
    </row>
    <row r="158" spans="2:10" x14ac:dyDescent="0.2">
      <c r="B158" s="145"/>
      <c r="H158" s="146"/>
    </row>
    <row r="159" spans="2:10" x14ac:dyDescent="0.2">
      <c r="B159" s="145"/>
    </row>
    <row r="160" spans="2:10" x14ac:dyDescent="0.2">
      <c r="B160" s="145"/>
      <c r="H160" s="146"/>
    </row>
    <row r="161" spans="2:10" x14ac:dyDescent="0.2">
      <c r="B161" s="145"/>
    </row>
    <row r="162" spans="2:10" x14ac:dyDescent="0.2">
      <c r="B162" s="145"/>
      <c r="H162" s="146"/>
    </row>
    <row r="163" spans="2:10" x14ac:dyDescent="0.2">
      <c r="B163" s="145"/>
      <c r="G163" s="146"/>
      <c r="H163" s="146"/>
    </row>
    <row r="164" spans="2:10" x14ac:dyDescent="0.2">
      <c r="B164" s="145"/>
      <c r="H164" s="148"/>
    </row>
    <row r="165" spans="2:10" x14ac:dyDescent="0.2">
      <c r="B165" s="145"/>
      <c r="J165" s="146"/>
    </row>
    <row r="166" spans="2:10" x14ac:dyDescent="0.2">
      <c r="B166" s="145"/>
      <c r="J166" s="146"/>
    </row>
    <row r="167" spans="2:10" x14ac:dyDescent="0.2">
      <c r="B167" s="145"/>
      <c r="G167" s="146"/>
    </row>
    <row r="168" spans="2:10" x14ac:dyDescent="0.2">
      <c r="B168" s="145"/>
      <c r="H168" s="146"/>
      <c r="J168" s="146"/>
    </row>
    <row r="169" spans="2:10" x14ac:dyDescent="0.2">
      <c r="B169" s="145"/>
      <c r="H169" s="146"/>
      <c r="J169" s="146"/>
    </row>
    <row r="170" spans="2:10" x14ac:dyDescent="0.2">
      <c r="B170" s="145"/>
    </row>
    <row r="171" spans="2:10" x14ac:dyDescent="0.2">
      <c r="B171" s="145"/>
    </row>
    <row r="172" spans="2:10" x14ac:dyDescent="0.2">
      <c r="B172" s="145"/>
      <c r="F172" s="146"/>
    </row>
    <row r="173" spans="2:10" x14ac:dyDescent="0.2">
      <c r="B173" s="145"/>
      <c r="H173" s="146"/>
    </row>
    <row r="174" spans="2:10" x14ac:dyDescent="0.2">
      <c r="B174" s="145"/>
      <c r="J174" s="146"/>
    </row>
    <row r="175" spans="2:10" x14ac:dyDescent="0.2">
      <c r="B175" s="145"/>
      <c r="H175" s="148"/>
      <c r="J175" s="148"/>
    </row>
    <row r="176" spans="2:10" x14ac:dyDescent="0.2">
      <c r="B176" s="145"/>
    </row>
    <row r="177" spans="2:10" x14ac:dyDescent="0.2">
      <c r="B177" s="145"/>
      <c r="J177" s="146"/>
    </row>
    <row r="178" spans="2:10" x14ac:dyDescent="0.2">
      <c r="B178" s="145"/>
      <c r="H178" s="146"/>
      <c r="J178" s="146"/>
    </row>
    <row r="179" spans="2:10" x14ac:dyDescent="0.2">
      <c r="B179" s="145"/>
    </row>
    <row r="180" spans="2:10" x14ac:dyDescent="0.2">
      <c r="B180" s="145"/>
    </row>
    <row r="181" spans="2:10" x14ac:dyDescent="0.2">
      <c r="B181" s="145"/>
    </row>
    <row r="182" spans="2:10" x14ac:dyDescent="0.2">
      <c r="B182" s="145"/>
    </row>
    <row r="183" spans="2:10" x14ac:dyDescent="0.2">
      <c r="B183" s="145"/>
    </row>
    <row r="184" spans="2:10" x14ac:dyDescent="0.2">
      <c r="B184" s="145"/>
      <c r="J184" s="146"/>
    </row>
    <row r="185" spans="2:10" x14ac:dyDescent="0.2">
      <c r="B185" s="145"/>
      <c r="J185" s="146"/>
    </row>
    <row r="186" spans="2:10" x14ac:dyDescent="0.2">
      <c r="B186" s="145"/>
    </row>
    <row r="187" spans="2:10" x14ac:dyDescent="0.2">
      <c r="B187" s="145"/>
      <c r="H187" s="146"/>
    </row>
    <row r="188" spans="2:10" x14ac:dyDescent="0.2">
      <c r="B188" s="145"/>
    </row>
    <row r="189" spans="2:10" x14ac:dyDescent="0.2">
      <c r="B189" s="145"/>
    </row>
    <row r="190" spans="2:10" x14ac:dyDescent="0.2">
      <c r="B190" s="145"/>
    </row>
    <row r="191" spans="2:10" x14ac:dyDescent="0.2">
      <c r="B191" s="145"/>
    </row>
    <row r="192" spans="2:10" x14ac:dyDescent="0.2">
      <c r="B192" s="145"/>
    </row>
    <row r="193" spans="2:10" x14ac:dyDescent="0.2">
      <c r="B193" s="145"/>
    </row>
    <row r="194" spans="2:10" x14ac:dyDescent="0.2">
      <c r="B194" s="145"/>
    </row>
    <row r="195" spans="2:10" x14ac:dyDescent="0.2">
      <c r="B195" s="145"/>
    </row>
    <row r="196" spans="2:10" x14ac:dyDescent="0.2">
      <c r="B196" s="145"/>
      <c r="H196" s="146"/>
    </row>
    <row r="197" spans="2:10" x14ac:dyDescent="0.2">
      <c r="B197" s="145"/>
      <c r="H197" s="146"/>
      <c r="J197" s="146"/>
    </row>
    <row r="198" spans="2:10" x14ac:dyDescent="0.2">
      <c r="B198" s="145"/>
      <c r="H198" s="146"/>
      <c r="J198" s="146"/>
    </row>
    <row r="199" spans="2:10" x14ac:dyDescent="0.2">
      <c r="B199" s="145"/>
      <c r="J199" s="146"/>
    </row>
    <row r="200" spans="2:10" x14ac:dyDescent="0.2">
      <c r="B200" s="145"/>
      <c r="J200" s="146"/>
    </row>
    <row r="201" spans="2:10" x14ac:dyDescent="0.2">
      <c r="B201" s="145"/>
      <c r="G201" s="146"/>
      <c r="H201" s="146"/>
    </row>
    <row r="202" spans="2:10" x14ac:dyDescent="0.2">
      <c r="B202" s="145"/>
      <c r="J202" s="146"/>
    </row>
    <row r="203" spans="2:10" x14ac:dyDescent="0.2">
      <c r="B203" s="145"/>
      <c r="J203" s="146"/>
    </row>
    <row r="204" spans="2:10" x14ac:dyDescent="0.2">
      <c r="B204" s="145"/>
    </row>
    <row r="205" spans="2:10" x14ac:dyDescent="0.2">
      <c r="B205" s="145"/>
    </row>
    <row r="206" spans="2:10" x14ac:dyDescent="0.2">
      <c r="B206" s="145"/>
    </row>
    <row r="207" spans="2:10" x14ac:dyDescent="0.2">
      <c r="B207" s="145"/>
    </row>
    <row r="208" spans="2:10" x14ac:dyDescent="0.2">
      <c r="B208" s="145"/>
    </row>
    <row r="209" spans="2:2" x14ac:dyDescent="0.2">
      <c r="B209" s="145"/>
    </row>
    <row r="210" spans="2:2" x14ac:dyDescent="0.2">
      <c r="B210" s="145"/>
    </row>
    <row r="211" spans="2:2" x14ac:dyDescent="0.2">
      <c r="B211" s="145"/>
    </row>
  </sheetData>
  <autoFilter ref="A1:J211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73"/>
  <sheetViews>
    <sheetView workbookViewId="0" zoomScale="85" zoomScaleNormal="85">
      <selection activeCell="G29" sqref="G29"/>
    </sheetView>
  </sheetViews>
  <sheetFormatPr defaultRowHeight="12.75" x14ac:dyDescent="0.2"/>
  <cols>
    <col min="1" max="2" bestFit="true" customWidth="true" style="144" width="10.28515625" collapsed="false"/>
    <col min="3" max="3" bestFit="true" customWidth="true" style="144" width="17.28515625" collapsed="false"/>
    <col min="4" max="4" bestFit="true" customWidth="true" style="144" width="8.85546875" collapsed="false"/>
    <col min="5" max="5" customWidth="true" style="144" width="12.85546875" collapsed="false"/>
    <col min="6" max="6" bestFit="true" customWidth="true" style="144" width="50.140625" collapsed="false"/>
    <col min="7" max="7" bestFit="true" customWidth="true" style="144" width="8.0" collapsed="false"/>
    <col min="8" max="8" customWidth="true" style="144" width="25.140625" collapsed="false"/>
    <col min="9" max="9" bestFit="true" customWidth="true" style="144" width="8.7109375" collapsed="false"/>
    <col min="10" max="16384" style="144" width="9.140625" collapsed="false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A2" s="144" t="s">
        <v>578</v>
      </c>
      <c r="B2" s="145">
        <v>43586</v>
      </c>
      <c r="C2" s="144" t="s">
        <v>996</v>
      </c>
      <c r="D2" s="176">
        <v>700</v>
      </c>
      <c r="E2" s="144" t="s">
        <v>808</v>
      </c>
      <c r="F2" s="144" t="s">
        <v>999</v>
      </c>
      <c r="I2" t="s">
        <v>1080</v>
      </c>
    </row>
    <row r="3" spans="1:9" x14ac:dyDescent="0.2">
      <c r="A3" s="144" t="s">
        <v>578</v>
      </c>
      <c r="B3" s="145">
        <v>43586</v>
      </c>
      <c r="C3" s="144" t="s">
        <v>996</v>
      </c>
      <c r="D3" s="144">
        <v>1551.85</v>
      </c>
      <c r="E3" s="144" t="s">
        <v>997</v>
      </c>
      <c r="F3" s="144" t="s">
        <v>1000</v>
      </c>
      <c r="I3" t="s">
        <v>1080</v>
      </c>
    </row>
    <row r="4" spans="1:9" x14ac:dyDescent="0.2">
      <c r="A4" s="144" t="s">
        <v>578</v>
      </c>
      <c r="B4" s="145">
        <v>43586</v>
      </c>
      <c r="C4" s="144" t="s">
        <v>996</v>
      </c>
      <c r="D4" s="144">
        <v>481.2</v>
      </c>
      <c r="E4" s="144" t="s">
        <v>766</v>
      </c>
      <c r="F4" s="144" t="s">
        <v>1001</v>
      </c>
      <c r="I4" t="s">
        <v>1080</v>
      </c>
    </row>
    <row r="5" spans="1:9" x14ac:dyDescent="0.2">
      <c r="A5" s="144" t="s">
        <v>578</v>
      </c>
      <c r="B5" s="145">
        <v>43586</v>
      </c>
      <c r="C5" s="144" t="s">
        <v>996</v>
      </c>
      <c r="D5" s="144">
        <v>2609.16</v>
      </c>
      <c r="E5" s="144" t="s">
        <v>976</v>
      </c>
      <c r="F5" s="144" t="s">
        <v>1002</v>
      </c>
      <c r="I5" t="s">
        <v>1080</v>
      </c>
    </row>
    <row r="6" spans="1:9" x14ac:dyDescent="0.2">
      <c r="A6" s="144" t="s">
        <v>578</v>
      </c>
      <c r="B6" s="145">
        <v>43586</v>
      </c>
      <c r="C6" s="144" t="s">
        <v>996</v>
      </c>
      <c r="D6" s="144">
        <v>-50</v>
      </c>
      <c r="E6" s="144" t="s">
        <v>769</v>
      </c>
      <c r="F6" s="144" t="s">
        <v>1003</v>
      </c>
      <c r="I6" t="s">
        <v>1080</v>
      </c>
    </row>
    <row r="7" spans="1:9" x14ac:dyDescent="0.2">
      <c r="A7" s="144" t="s">
        <v>578</v>
      </c>
      <c r="B7" s="145">
        <v>43586</v>
      </c>
      <c r="C7" s="144" t="s">
        <v>996</v>
      </c>
      <c r="D7" s="144">
        <v>-50</v>
      </c>
      <c r="E7" s="144" t="s">
        <v>769</v>
      </c>
      <c r="F7" s="144" t="s">
        <v>773</v>
      </c>
      <c r="I7" t="s">
        <v>1080</v>
      </c>
    </row>
    <row r="8" spans="1:9" x14ac:dyDescent="0.2">
      <c r="A8" s="144" t="s">
        <v>578</v>
      </c>
      <c r="B8" s="145">
        <v>43586</v>
      </c>
      <c r="C8" s="144" t="s">
        <v>996</v>
      </c>
      <c r="D8" s="144">
        <v>-160</v>
      </c>
      <c r="E8" s="144" t="s">
        <v>769</v>
      </c>
      <c r="F8" s="144" t="s">
        <v>1004</v>
      </c>
      <c r="I8" t="s">
        <v>1080</v>
      </c>
    </row>
    <row r="9" spans="1:9" x14ac:dyDescent="0.2">
      <c r="A9" s="144" t="s">
        <v>578</v>
      </c>
      <c r="B9" s="145">
        <v>43586</v>
      </c>
      <c r="C9" s="144" t="s">
        <v>996</v>
      </c>
      <c r="D9" s="144">
        <v>-157.5</v>
      </c>
      <c r="E9" s="144" t="s">
        <v>769</v>
      </c>
      <c r="F9" s="144" t="s">
        <v>1005</v>
      </c>
      <c r="I9" t="s">
        <v>1080</v>
      </c>
    </row>
    <row r="10" spans="1:9" x14ac:dyDescent="0.2">
      <c r="A10" s="144" t="s">
        <v>578</v>
      </c>
      <c r="B10" s="145">
        <v>43586</v>
      </c>
      <c r="C10" s="144" t="s">
        <v>996</v>
      </c>
      <c r="D10" s="144">
        <v>-232.5</v>
      </c>
      <c r="E10" s="144" t="s">
        <v>769</v>
      </c>
      <c r="F10" s="144" t="s">
        <v>1006</v>
      </c>
      <c r="I10" t="s">
        <v>1080</v>
      </c>
    </row>
    <row r="11" spans="1:9" x14ac:dyDescent="0.2">
      <c r="A11" s="144" t="s">
        <v>578</v>
      </c>
      <c r="B11" s="145">
        <v>43586</v>
      </c>
      <c r="C11" s="144" t="s">
        <v>996</v>
      </c>
      <c r="D11" s="144">
        <v>-240.21</v>
      </c>
      <c r="E11" s="144" t="s">
        <v>777</v>
      </c>
      <c r="F11" s="144" t="s">
        <v>1007</v>
      </c>
      <c r="I11" t="s">
        <v>1081</v>
      </c>
    </row>
    <row r="12" spans="1:9" x14ac:dyDescent="0.2">
      <c r="A12" s="144" t="s">
        <v>578</v>
      </c>
      <c r="B12" s="145">
        <v>43586</v>
      </c>
      <c r="C12" s="144" t="s">
        <v>996</v>
      </c>
      <c r="D12" s="144">
        <v>-242.16</v>
      </c>
      <c r="E12" s="144" t="s">
        <v>777</v>
      </c>
      <c r="F12" s="144" t="s">
        <v>1008</v>
      </c>
      <c r="I12" t="s">
        <v>1081</v>
      </c>
    </row>
    <row r="13" spans="1:9" x14ac:dyDescent="0.2">
      <c r="A13" s="144" t="s">
        <v>578</v>
      </c>
      <c r="B13" s="145">
        <v>43586</v>
      </c>
      <c r="C13" s="144" t="s">
        <v>996</v>
      </c>
      <c r="D13" s="144">
        <v>-386.17</v>
      </c>
      <c r="E13" s="144" t="s">
        <v>777</v>
      </c>
      <c r="F13" s="144" t="s">
        <v>1009</v>
      </c>
      <c r="I13" t="s">
        <v>1081</v>
      </c>
    </row>
    <row r="14" spans="1:9" x14ac:dyDescent="0.2">
      <c r="A14" s="144" t="s">
        <v>578</v>
      </c>
      <c r="B14" s="145">
        <v>43586</v>
      </c>
      <c r="C14" s="144" t="s">
        <v>996</v>
      </c>
      <c r="D14" s="144">
        <v>-206.82</v>
      </c>
      <c r="E14" s="144" t="s">
        <v>777</v>
      </c>
      <c r="F14" s="144" t="s">
        <v>1010</v>
      </c>
      <c r="I14" t="s">
        <v>1081</v>
      </c>
    </row>
    <row r="15" spans="1:9" x14ac:dyDescent="0.2">
      <c r="A15" s="144" t="s">
        <v>578</v>
      </c>
      <c r="B15" s="145">
        <v>43586</v>
      </c>
      <c r="C15" s="144" t="s">
        <v>996</v>
      </c>
      <c r="D15" s="144">
        <v>-375.8</v>
      </c>
      <c r="E15" s="144" t="s">
        <v>777</v>
      </c>
      <c r="F15" s="144" t="s">
        <v>1011</v>
      </c>
      <c r="I15" t="s">
        <v>1081</v>
      </c>
    </row>
    <row r="16" spans="1:9" x14ac:dyDescent="0.2">
      <c r="A16" s="144" t="s">
        <v>578</v>
      </c>
      <c r="B16" s="145">
        <v>43586</v>
      </c>
      <c r="C16" s="144" t="s">
        <v>996</v>
      </c>
      <c r="D16" s="144">
        <v>-551.52</v>
      </c>
      <c r="E16" s="144" t="s">
        <v>777</v>
      </c>
      <c r="F16" s="144" t="s">
        <v>1012</v>
      </c>
      <c r="I16" t="s">
        <v>1081</v>
      </c>
    </row>
    <row r="17" spans="1:8" x14ac:dyDescent="0.2">
      <c r="A17" s="144" t="s">
        <v>578</v>
      </c>
      <c r="B17" s="145">
        <v>43586</v>
      </c>
      <c r="C17" s="144" t="s">
        <v>996</v>
      </c>
      <c r="D17" s="144">
        <v>-1551.85</v>
      </c>
      <c r="E17" s="144" t="s">
        <v>777</v>
      </c>
      <c r="F17" s="144" t="s">
        <v>1013</v>
      </c>
      <c r="I17" t="s">
        <v>1080</v>
      </c>
    </row>
    <row r="18" spans="1:8" x14ac:dyDescent="0.2">
      <c r="A18" s="144" t="s">
        <v>578</v>
      </c>
      <c r="B18" s="145">
        <v>43586</v>
      </c>
      <c r="C18" s="144" t="s">
        <v>996</v>
      </c>
      <c r="D18" s="144">
        <v>-1144.26</v>
      </c>
      <c r="E18" s="144" t="s">
        <v>777</v>
      </c>
      <c r="F18" s="144" t="s">
        <v>1014</v>
      </c>
      <c r="I18" t="s">
        <v>1080</v>
      </c>
    </row>
    <row r="19" spans="1:8" x14ac:dyDescent="0.2">
      <c r="A19" s="144" t="s">
        <v>578</v>
      </c>
      <c r="B19" s="145">
        <v>43586</v>
      </c>
      <c r="C19" s="144" t="s">
        <v>996</v>
      </c>
      <c r="D19" s="144">
        <v>-1795.66</v>
      </c>
      <c r="E19" s="144" t="s">
        <v>777</v>
      </c>
      <c r="F19" s="144" t="s">
        <v>1015</v>
      </c>
      <c r="G19" s="146"/>
      <c r="H19" s="146"/>
      <c r="I19" t="s">
        <v>1080</v>
      </c>
    </row>
    <row r="20" spans="1:8" x14ac:dyDescent="0.2">
      <c r="A20" s="144" t="s">
        <v>578</v>
      </c>
      <c r="B20" s="145">
        <v>43587</v>
      </c>
      <c r="C20" s="144" t="s">
        <v>996</v>
      </c>
      <c r="D20" s="144">
        <v>452</v>
      </c>
      <c r="E20" s="144" t="s">
        <v>766</v>
      </c>
      <c r="F20" s="144" t="s">
        <v>1016</v>
      </c>
      <c r="I20" t="s">
        <v>1080</v>
      </c>
    </row>
    <row r="21" spans="1:8" x14ac:dyDescent="0.2">
      <c r="A21" s="144" t="s">
        <v>578</v>
      </c>
      <c r="B21" s="145">
        <v>43587</v>
      </c>
      <c r="C21" s="144" t="s">
        <v>996</v>
      </c>
      <c r="D21" s="144">
        <v>458</v>
      </c>
      <c r="E21" s="144" t="s">
        <v>766</v>
      </c>
      <c r="F21" s="144" t="s">
        <v>1017</v>
      </c>
      <c r="I21" t="s">
        <v>1080</v>
      </c>
    </row>
    <row r="22" spans="1:8" x14ac:dyDescent="0.2">
      <c r="A22" s="144" t="s">
        <v>578</v>
      </c>
      <c r="B22" s="145">
        <v>43587</v>
      </c>
      <c r="C22" s="144" t="s">
        <v>996</v>
      </c>
      <c r="D22" s="144">
        <v>-37.950000000000003</v>
      </c>
      <c r="E22" s="144" t="s">
        <v>777</v>
      </c>
      <c r="F22" s="144" t="s">
        <v>1018</v>
      </c>
      <c r="I22" t="s">
        <v>1080</v>
      </c>
    </row>
    <row r="23" spans="1:8" x14ac:dyDescent="0.2">
      <c r="A23" s="144" t="s">
        <v>578</v>
      </c>
      <c r="B23" s="145">
        <v>43588</v>
      </c>
      <c r="C23" s="144" t="s">
        <v>996</v>
      </c>
      <c r="D23" s="144">
        <v>700</v>
      </c>
      <c r="E23" s="144" t="s">
        <v>808</v>
      </c>
      <c r="F23" s="144" t="s">
        <v>1019</v>
      </c>
      <c r="G23" s="144" t="s">
        <v>492</v>
      </c>
      <c r="H23" s="148" t="s">
        <v>1066</v>
      </c>
      <c r="I23" t="s">
        <v>1082</v>
      </c>
    </row>
    <row r="24" spans="1:8" x14ac:dyDescent="0.2">
      <c r="A24" s="144" t="s">
        <v>578</v>
      </c>
      <c r="B24" s="145">
        <v>43588</v>
      </c>
      <c r="C24" s="144" t="s">
        <v>996</v>
      </c>
      <c r="D24" s="144">
        <v>662.16</v>
      </c>
      <c r="E24" s="144" t="s">
        <v>766</v>
      </c>
      <c r="F24" s="144" t="s">
        <v>1020</v>
      </c>
      <c r="I24" t="s">
        <v>1080</v>
      </c>
    </row>
    <row r="25" spans="1:8" x14ac:dyDescent="0.2">
      <c r="A25" s="144" t="s">
        <v>578</v>
      </c>
      <c r="B25" s="145">
        <v>43588</v>
      </c>
      <c r="C25" s="144" t="s">
        <v>996</v>
      </c>
      <c r="D25" s="144">
        <v>520.79999999999995</v>
      </c>
      <c r="E25" s="144" t="s">
        <v>766</v>
      </c>
      <c r="F25" s="144" t="s">
        <v>1021</v>
      </c>
      <c r="I25" t="s">
        <v>1080</v>
      </c>
    </row>
    <row r="26" spans="1:8" x14ac:dyDescent="0.2">
      <c r="A26" s="144" t="s">
        <v>578</v>
      </c>
      <c r="B26" s="145">
        <v>43588</v>
      </c>
      <c r="C26" s="144" t="s">
        <v>996</v>
      </c>
      <c r="D26" s="144">
        <v>462.64</v>
      </c>
      <c r="E26" s="144" t="s">
        <v>766</v>
      </c>
      <c r="F26" s="144" t="s">
        <v>1022</v>
      </c>
      <c r="G26" s="146"/>
      <c r="H26" s="146"/>
      <c r="I26" t="s">
        <v>1080</v>
      </c>
    </row>
    <row r="27" spans="1:8" x14ac:dyDescent="0.2">
      <c r="A27" s="144" t="s">
        <v>578</v>
      </c>
      <c r="B27" s="145">
        <v>43588</v>
      </c>
      <c r="C27" s="144" t="s">
        <v>996</v>
      </c>
      <c r="D27" s="144">
        <v>-254.22</v>
      </c>
      <c r="E27" s="144" t="s">
        <v>777</v>
      </c>
      <c r="F27" s="144" t="s">
        <v>1023</v>
      </c>
      <c r="H27" s="146"/>
      <c r="I27" t="s">
        <v>1081</v>
      </c>
    </row>
    <row r="28" spans="1:8" x14ac:dyDescent="0.2">
      <c r="A28" s="144" t="s">
        <v>578</v>
      </c>
      <c r="B28" s="145">
        <v>43592</v>
      </c>
      <c r="C28" s="144" t="s">
        <v>996</v>
      </c>
      <c r="D28" s="144">
        <v>-800</v>
      </c>
      <c r="E28" s="144" t="s">
        <v>762</v>
      </c>
      <c r="F28" s="144" t="s">
        <v>1024</v>
      </c>
      <c r="I28" t="s">
        <v>1080</v>
      </c>
    </row>
    <row r="29" spans="1:8" x14ac:dyDescent="0.2">
      <c r="A29" s="144" t="s">
        <v>578</v>
      </c>
      <c r="B29" s="145">
        <v>43592</v>
      </c>
      <c r="C29" s="144" t="s">
        <v>996</v>
      </c>
      <c r="D29" s="144">
        <v>500</v>
      </c>
      <c r="E29" s="144" t="s">
        <v>808</v>
      </c>
      <c r="F29" s="144" t="s">
        <v>1025</v>
      </c>
      <c r="G29" s="173"/>
      <c r="H29" s="146"/>
      <c r="I29" t="s">
        <v>1080</v>
      </c>
    </row>
    <row r="30" spans="1:8" x14ac:dyDescent="0.2">
      <c r="A30" s="144" t="s">
        <v>578</v>
      </c>
      <c r="B30" s="145">
        <v>43592</v>
      </c>
      <c r="C30" s="144" t="s">
        <v>996</v>
      </c>
      <c r="D30" s="144">
        <v>105.36</v>
      </c>
      <c r="E30" s="144" t="s">
        <v>766</v>
      </c>
      <c r="F30" s="144" t="s">
        <v>1026</v>
      </c>
      <c r="H30" s="146"/>
      <c r="I30" t="s">
        <v>1080</v>
      </c>
    </row>
    <row r="31" spans="1:8" x14ac:dyDescent="0.2">
      <c r="A31" s="144" t="s">
        <v>578</v>
      </c>
      <c r="B31" s="145">
        <v>43592</v>
      </c>
      <c r="C31" s="144" t="s">
        <v>996</v>
      </c>
      <c r="D31" s="144">
        <v>504.4</v>
      </c>
      <c r="E31" s="144" t="s">
        <v>766</v>
      </c>
      <c r="F31" s="144" t="s">
        <v>1027</v>
      </c>
      <c r="H31" s="146"/>
      <c r="I31" t="s">
        <v>1080</v>
      </c>
    </row>
    <row r="32" spans="1:8" x14ac:dyDescent="0.2">
      <c r="A32" s="144" t="s">
        <v>578</v>
      </c>
      <c r="B32" s="145">
        <v>43592</v>
      </c>
      <c r="C32" s="144" t="s">
        <v>996</v>
      </c>
      <c r="D32" s="144">
        <v>-75</v>
      </c>
      <c r="E32" s="144" t="s">
        <v>769</v>
      </c>
      <c r="F32" s="144" t="s">
        <v>1028</v>
      </c>
      <c r="I32" t="s">
        <v>1080</v>
      </c>
    </row>
    <row r="33" spans="1:8" x14ac:dyDescent="0.2">
      <c r="A33" s="144" t="s">
        <v>578</v>
      </c>
      <c r="B33" s="145">
        <v>43592</v>
      </c>
      <c r="C33" s="144" t="s">
        <v>996</v>
      </c>
      <c r="D33" s="144">
        <v>-32.58</v>
      </c>
      <c r="E33" s="144" t="s">
        <v>777</v>
      </c>
      <c r="F33" s="144" t="s">
        <v>1029</v>
      </c>
      <c r="H33" s="146"/>
      <c r="I33" t="s">
        <v>1080</v>
      </c>
    </row>
    <row r="34" spans="1:8" x14ac:dyDescent="0.2">
      <c r="A34" s="144" t="s">
        <v>578</v>
      </c>
      <c r="B34" s="145">
        <v>43592</v>
      </c>
      <c r="C34" s="144" t="s">
        <v>996</v>
      </c>
      <c r="D34" s="144">
        <v>-75</v>
      </c>
      <c r="E34" s="144" t="s">
        <v>777</v>
      </c>
      <c r="F34" s="144" t="s">
        <v>1030</v>
      </c>
      <c r="I34" t="s">
        <v>1080</v>
      </c>
    </row>
    <row r="35" spans="1:8" x14ac:dyDescent="0.2">
      <c r="A35" s="144" t="s">
        <v>578</v>
      </c>
      <c r="B35" s="145">
        <v>43593</v>
      </c>
      <c r="C35" s="144" t="s">
        <v>996</v>
      </c>
      <c r="D35" s="144">
        <v>-240.7</v>
      </c>
      <c r="E35" s="144" t="s">
        <v>777</v>
      </c>
      <c r="F35" s="144" t="s">
        <v>1031</v>
      </c>
      <c r="I35" t="s">
        <v>1081</v>
      </c>
    </row>
    <row r="36" spans="1:8" x14ac:dyDescent="0.2">
      <c r="A36" s="144" t="s">
        <v>578</v>
      </c>
      <c r="B36" s="145">
        <v>43594</v>
      </c>
      <c r="C36" s="144" t="s">
        <v>996</v>
      </c>
      <c r="D36" s="144">
        <v>433.56</v>
      </c>
      <c r="E36" s="144" t="s">
        <v>766</v>
      </c>
      <c r="F36" s="144" t="s">
        <v>1032</v>
      </c>
      <c r="I36" t="s">
        <v>1080</v>
      </c>
    </row>
    <row r="37" spans="1:8" x14ac:dyDescent="0.2">
      <c r="A37" s="144" t="s">
        <v>578</v>
      </c>
      <c r="B37" s="145">
        <v>43594</v>
      </c>
      <c r="C37" s="144" t="s">
        <v>996</v>
      </c>
      <c r="D37" s="144">
        <v>445.55</v>
      </c>
      <c r="E37" s="144" t="s">
        <v>766</v>
      </c>
      <c r="F37" s="144" t="s">
        <v>1026</v>
      </c>
      <c r="H37" s="146"/>
      <c r="I37" t="s">
        <v>1080</v>
      </c>
    </row>
    <row r="38" spans="1:8" x14ac:dyDescent="0.2">
      <c r="A38" s="144" t="s">
        <v>578</v>
      </c>
      <c r="B38" s="145">
        <v>43594</v>
      </c>
      <c r="C38" s="144" t="s">
        <v>996</v>
      </c>
      <c r="D38" s="144">
        <v>238.17</v>
      </c>
      <c r="E38" s="144" t="s">
        <v>766</v>
      </c>
      <c r="F38" s="144" t="s">
        <v>1033</v>
      </c>
      <c r="I38" t="s">
        <v>1080</v>
      </c>
    </row>
    <row r="39" spans="1:8" x14ac:dyDescent="0.2">
      <c r="A39" s="144" t="s">
        <v>578</v>
      </c>
      <c r="B39" s="145">
        <v>43594</v>
      </c>
      <c r="C39" s="144" t="s">
        <v>996</v>
      </c>
      <c r="D39" s="144">
        <v>174.4</v>
      </c>
      <c r="E39" s="144" t="s">
        <v>766</v>
      </c>
      <c r="F39" s="144" t="s">
        <v>1034</v>
      </c>
      <c r="I39" t="s">
        <v>1080</v>
      </c>
    </row>
    <row r="40" spans="1:8" x14ac:dyDescent="0.2">
      <c r="A40" s="144" t="s">
        <v>578</v>
      </c>
      <c r="B40" s="145">
        <v>43594</v>
      </c>
      <c r="C40" s="144" t="s">
        <v>996</v>
      </c>
      <c r="D40" s="144">
        <v>422.28</v>
      </c>
      <c r="E40" s="144" t="s">
        <v>766</v>
      </c>
      <c r="F40" s="144" t="s">
        <v>1035</v>
      </c>
      <c r="I40" t="s">
        <v>1080</v>
      </c>
    </row>
    <row r="41" spans="1:8" x14ac:dyDescent="0.2">
      <c r="A41" s="144" t="s">
        <v>578</v>
      </c>
      <c r="B41" s="145">
        <v>43594</v>
      </c>
      <c r="C41" s="144" t="s">
        <v>996</v>
      </c>
      <c r="D41" s="144">
        <v>422.3</v>
      </c>
      <c r="E41" s="144" t="s">
        <v>766</v>
      </c>
      <c r="F41" s="144" t="s">
        <v>1036</v>
      </c>
      <c r="I41" t="s">
        <v>1080</v>
      </c>
    </row>
    <row r="42" spans="1:8" x14ac:dyDescent="0.2">
      <c r="A42" s="144" t="s">
        <v>578</v>
      </c>
      <c r="B42" s="145">
        <v>43594</v>
      </c>
      <c r="C42" s="144" t="s">
        <v>996</v>
      </c>
      <c r="D42" s="144">
        <v>422.3</v>
      </c>
      <c r="E42" s="144" t="s">
        <v>766</v>
      </c>
      <c r="F42" s="144" t="s">
        <v>1037</v>
      </c>
      <c r="I42" t="s">
        <v>1080</v>
      </c>
    </row>
    <row r="43" spans="1:8" x14ac:dyDescent="0.2">
      <c r="A43" s="144" t="s">
        <v>578</v>
      </c>
      <c r="B43" s="145">
        <v>43598</v>
      </c>
      <c r="C43" s="144" t="s">
        <v>996</v>
      </c>
      <c r="D43" s="144">
        <v>-37.68</v>
      </c>
      <c r="E43" s="144" t="s">
        <v>777</v>
      </c>
      <c r="F43" s="144" t="s">
        <v>1038</v>
      </c>
      <c r="I43" t="s">
        <v>1080</v>
      </c>
    </row>
    <row r="44" spans="1:8" x14ac:dyDescent="0.2">
      <c r="A44" s="144" t="s">
        <v>578</v>
      </c>
      <c r="B44" s="145">
        <v>43599</v>
      </c>
      <c r="C44" s="144" t="s">
        <v>996</v>
      </c>
      <c r="D44" s="144">
        <v>464</v>
      </c>
      <c r="E44" s="144" t="s">
        <v>766</v>
      </c>
      <c r="F44" s="144" t="s">
        <v>1016</v>
      </c>
      <c r="I44" t="s">
        <v>1080</v>
      </c>
    </row>
    <row r="45" spans="1:8" x14ac:dyDescent="0.2">
      <c r="A45" s="144" t="s">
        <v>578</v>
      </c>
      <c r="B45" s="145">
        <v>43600</v>
      </c>
      <c r="C45" s="144" t="s">
        <v>996</v>
      </c>
      <c r="D45" s="144">
        <v>-58.99</v>
      </c>
      <c r="E45" s="144" t="s">
        <v>777</v>
      </c>
      <c r="F45" s="144" t="s">
        <v>1039</v>
      </c>
      <c r="I45" t="s">
        <v>1080</v>
      </c>
    </row>
    <row r="46" spans="1:8" x14ac:dyDescent="0.2">
      <c r="A46" s="144" t="s">
        <v>578</v>
      </c>
      <c r="B46" s="145">
        <v>43600</v>
      </c>
      <c r="C46" s="144" t="s">
        <v>996</v>
      </c>
      <c r="D46" s="144">
        <v>-206.77</v>
      </c>
      <c r="E46" s="144" t="s">
        <v>777</v>
      </c>
      <c r="F46" s="144" t="s">
        <v>1040</v>
      </c>
      <c r="I46" t="s">
        <v>1081</v>
      </c>
    </row>
    <row r="47" spans="1:8" x14ac:dyDescent="0.2">
      <c r="A47" s="144" t="s">
        <v>578</v>
      </c>
      <c r="B47" s="145">
        <v>43600</v>
      </c>
      <c r="C47" s="144" t="s">
        <v>996</v>
      </c>
      <c r="D47" s="144">
        <v>-213.98</v>
      </c>
      <c r="E47" s="144" t="s">
        <v>777</v>
      </c>
      <c r="F47" s="144" t="s">
        <v>1041</v>
      </c>
      <c r="I47" t="s">
        <v>1081</v>
      </c>
    </row>
    <row r="48" spans="1:8" x14ac:dyDescent="0.2">
      <c r="A48" s="144" t="s">
        <v>578</v>
      </c>
      <c r="B48" s="145">
        <v>43600</v>
      </c>
      <c r="C48" s="144" t="s">
        <v>996</v>
      </c>
      <c r="D48" s="144">
        <v>-213.98</v>
      </c>
      <c r="E48" s="144" t="s">
        <v>777</v>
      </c>
      <c r="F48" s="144" t="s">
        <v>1042</v>
      </c>
      <c r="I48" t="s">
        <v>1081</v>
      </c>
    </row>
    <row r="49" spans="1:8" x14ac:dyDescent="0.2">
      <c r="A49" s="144" t="s">
        <v>578</v>
      </c>
      <c r="B49" s="145">
        <v>43600</v>
      </c>
      <c r="C49" s="144" t="s">
        <v>996</v>
      </c>
      <c r="D49" s="144">
        <v>-206.82</v>
      </c>
      <c r="E49" s="144" t="s">
        <v>777</v>
      </c>
      <c r="F49" s="144" t="s">
        <v>1043</v>
      </c>
      <c r="I49" t="s">
        <v>1081</v>
      </c>
    </row>
    <row r="50" spans="1:8" x14ac:dyDescent="0.2">
      <c r="A50" s="144" t="s">
        <v>578</v>
      </c>
      <c r="B50" s="145">
        <v>43600</v>
      </c>
      <c r="C50" s="144" t="s">
        <v>996</v>
      </c>
      <c r="D50" s="144">
        <v>-206.77</v>
      </c>
      <c r="E50" s="144" t="s">
        <v>777</v>
      </c>
      <c r="F50" s="144" t="s">
        <v>1044</v>
      </c>
      <c r="I50" t="s">
        <v>1081</v>
      </c>
    </row>
    <row r="51" spans="1:8" x14ac:dyDescent="0.2">
      <c r="A51" s="144" t="s">
        <v>578</v>
      </c>
      <c r="B51" s="145">
        <v>43600</v>
      </c>
      <c r="C51" s="144" t="s">
        <v>996</v>
      </c>
      <c r="D51" s="144">
        <v>-206.85</v>
      </c>
      <c r="E51" s="144" t="s">
        <v>777</v>
      </c>
      <c r="F51" s="144" t="s">
        <v>1045</v>
      </c>
      <c r="I51" t="s">
        <v>1081</v>
      </c>
    </row>
    <row r="52" spans="1:8" x14ac:dyDescent="0.2">
      <c r="A52" s="144" t="s">
        <v>578</v>
      </c>
      <c r="B52" s="145">
        <v>43600</v>
      </c>
      <c r="C52" s="144" t="s">
        <v>996</v>
      </c>
      <c r="D52" s="144">
        <v>-206.81</v>
      </c>
      <c r="E52" s="144" t="s">
        <v>777</v>
      </c>
      <c r="F52" s="144" t="s">
        <v>1046</v>
      </c>
      <c r="I52" t="s">
        <v>1081</v>
      </c>
    </row>
    <row r="53" spans="1:8" x14ac:dyDescent="0.2">
      <c r="A53" s="144" t="s">
        <v>578</v>
      </c>
      <c r="B53" s="145">
        <v>43600</v>
      </c>
      <c r="C53" s="144" t="s">
        <v>996</v>
      </c>
      <c r="D53" s="144">
        <v>-203.62</v>
      </c>
      <c r="E53" s="144" t="s">
        <v>777</v>
      </c>
      <c r="F53" s="144" t="s">
        <v>1047</v>
      </c>
      <c r="I53" t="s">
        <v>1081</v>
      </c>
    </row>
    <row r="54" spans="1:8" x14ac:dyDescent="0.2">
      <c r="A54" s="144" t="s">
        <v>578</v>
      </c>
      <c r="B54" s="145">
        <v>43600</v>
      </c>
      <c r="C54" s="144" t="s">
        <v>996</v>
      </c>
      <c r="D54" s="144">
        <v>-75</v>
      </c>
      <c r="E54" s="144" t="s">
        <v>777</v>
      </c>
      <c r="F54" s="144" t="s">
        <v>1048</v>
      </c>
      <c r="I54" t="s">
        <v>1080</v>
      </c>
    </row>
    <row r="55" spans="1:8" x14ac:dyDescent="0.2">
      <c r="A55" s="144" t="s">
        <v>578</v>
      </c>
      <c r="B55" s="145">
        <v>43600</v>
      </c>
      <c r="C55" s="144" t="s">
        <v>996</v>
      </c>
      <c r="D55" s="144">
        <v>-20</v>
      </c>
      <c r="E55" s="144" t="s">
        <v>777</v>
      </c>
      <c r="F55" s="144" t="s">
        <v>1049</v>
      </c>
      <c r="I55" t="s">
        <v>1080</v>
      </c>
    </row>
    <row r="56" spans="1:8" x14ac:dyDescent="0.2">
      <c r="A56" s="144" t="s">
        <v>578</v>
      </c>
      <c r="B56" s="145">
        <v>43605</v>
      </c>
      <c r="C56" s="144" t="s">
        <v>996</v>
      </c>
      <c r="D56" s="144">
        <v>-300</v>
      </c>
      <c r="E56" s="144" t="s">
        <v>808</v>
      </c>
      <c r="F56" s="144" t="s">
        <v>1050</v>
      </c>
      <c r="I56" t="s">
        <v>1080</v>
      </c>
    </row>
    <row r="57" spans="1:8" x14ac:dyDescent="0.2">
      <c r="A57" s="144" t="s">
        <v>578</v>
      </c>
      <c r="B57" s="145">
        <v>43605</v>
      </c>
      <c r="C57" s="144" t="s">
        <v>996</v>
      </c>
      <c r="D57" s="144">
        <v>-31.88</v>
      </c>
      <c r="E57" s="144" t="s">
        <v>777</v>
      </c>
      <c r="F57" s="144" t="s">
        <v>1051</v>
      </c>
      <c r="H57" s="148"/>
      <c r="I57" t="s">
        <v>1080</v>
      </c>
    </row>
    <row r="58" spans="1:8" x14ac:dyDescent="0.2">
      <c r="A58" s="144" t="s">
        <v>578</v>
      </c>
      <c r="B58" s="145">
        <v>43606</v>
      </c>
      <c r="C58" s="144" t="s">
        <v>996</v>
      </c>
      <c r="D58" s="144">
        <v>139.19999999999999</v>
      </c>
      <c r="E58" s="144" t="s">
        <v>766</v>
      </c>
      <c r="F58" s="144" t="s">
        <v>1026</v>
      </c>
      <c r="I58" t="s">
        <v>1080</v>
      </c>
    </row>
    <row r="59" spans="1:8" x14ac:dyDescent="0.2">
      <c r="A59" s="144" t="s">
        <v>578</v>
      </c>
      <c r="B59" s="145">
        <v>43606</v>
      </c>
      <c r="C59" s="144" t="s">
        <v>996</v>
      </c>
      <c r="D59" s="144">
        <v>-692.31</v>
      </c>
      <c r="E59" s="144" t="s">
        <v>762</v>
      </c>
      <c r="F59" s="144" t="s">
        <v>1052</v>
      </c>
      <c r="G59" s="173" t="s">
        <v>492</v>
      </c>
      <c r="H59" s="148" t="s">
        <v>1075</v>
      </c>
      <c r="I59" t="s">
        <v>1082</v>
      </c>
    </row>
    <row r="60" spans="1:8" x14ac:dyDescent="0.2">
      <c r="A60" s="144" t="s">
        <v>578</v>
      </c>
      <c r="B60" s="145">
        <v>43607</v>
      </c>
      <c r="C60" s="144" t="s">
        <v>996</v>
      </c>
      <c r="D60" s="144">
        <v>252.2</v>
      </c>
      <c r="E60" s="144" t="s">
        <v>766</v>
      </c>
      <c r="F60" s="144" t="s">
        <v>1034</v>
      </c>
      <c r="G60" s="146"/>
      <c r="H60" s="146"/>
      <c r="I60" t="s">
        <v>1080</v>
      </c>
    </row>
    <row r="61" spans="1:8" x14ac:dyDescent="0.2">
      <c r="A61" s="144" t="s">
        <v>578</v>
      </c>
      <c r="B61" s="145">
        <v>43607</v>
      </c>
      <c r="C61" s="144" t="s">
        <v>996</v>
      </c>
      <c r="D61" s="144">
        <v>-260</v>
      </c>
      <c r="E61" s="144" t="s">
        <v>808</v>
      </c>
      <c r="F61" s="144" t="s">
        <v>1050</v>
      </c>
      <c r="H61" s="146"/>
      <c r="I61" t="s">
        <v>1080</v>
      </c>
    </row>
    <row r="62" spans="1:8" x14ac:dyDescent="0.2">
      <c r="A62" s="144" t="s">
        <v>578</v>
      </c>
      <c r="B62" s="145">
        <v>43607</v>
      </c>
      <c r="C62" s="144" t="s">
        <v>996</v>
      </c>
      <c r="D62" s="144">
        <v>-96</v>
      </c>
      <c r="E62" s="144" t="s">
        <v>997</v>
      </c>
      <c r="F62" s="144" t="s">
        <v>1053</v>
      </c>
      <c r="I62" t="s">
        <v>1080</v>
      </c>
    </row>
    <row r="63" spans="1:8" x14ac:dyDescent="0.2">
      <c r="A63" s="144" t="s">
        <v>578</v>
      </c>
      <c r="B63" s="145">
        <v>43607</v>
      </c>
      <c r="C63" s="144" t="s">
        <v>996</v>
      </c>
      <c r="D63" s="144">
        <v>-10</v>
      </c>
      <c r="E63" s="144" t="s">
        <v>777</v>
      </c>
      <c r="F63" s="144" t="s">
        <v>1054</v>
      </c>
      <c r="I63" t="s">
        <v>1080</v>
      </c>
    </row>
    <row r="64" spans="1:8" x14ac:dyDescent="0.2">
      <c r="B64" s="145">
        <v>43609</v>
      </c>
      <c r="C64" s="144" t="s">
        <v>996</v>
      </c>
      <c r="D64" s="144">
        <v>37.119999999999997</v>
      </c>
      <c r="E64" s="144" t="s">
        <v>766</v>
      </c>
      <c r="F64" s="144" t="s">
        <v>1032</v>
      </c>
      <c r="I64" t="s">
        <v>1080</v>
      </c>
    </row>
    <row r="65" spans="1:8" x14ac:dyDescent="0.2">
      <c r="B65" s="145">
        <v>43613</v>
      </c>
      <c r="C65" s="144" t="s">
        <v>996</v>
      </c>
      <c r="D65" s="144">
        <v>175.58</v>
      </c>
      <c r="E65" s="144" t="s">
        <v>766</v>
      </c>
      <c r="F65" s="144" t="s">
        <v>1033</v>
      </c>
      <c r="I65" t="s">
        <v>1080</v>
      </c>
    </row>
    <row r="66" spans="1:8" x14ac:dyDescent="0.2">
      <c r="B66" s="145">
        <v>43613</v>
      </c>
      <c r="C66" s="144" t="s">
        <v>996</v>
      </c>
      <c r="D66" s="144">
        <v>-1200</v>
      </c>
      <c r="E66" s="144" t="s">
        <v>769</v>
      </c>
      <c r="F66" s="144" t="s">
        <v>1055</v>
      </c>
      <c r="I66" t="s">
        <v>1080</v>
      </c>
    </row>
    <row r="67" spans="1:8" x14ac:dyDescent="0.2">
      <c r="A67" s="145" t="s">
        <v>578</v>
      </c>
      <c r="B67" s="145">
        <v>43613</v>
      </c>
      <c r="C67" s="144" t="s">
        <v>996</v>
      </c>
      <c r="D67" s="144">
        <v>-20.48</v>
      </c>
      <c r="E67" s="144" t="s">
        <v>777</v>
      </c>
      <c r="F67" s="144" t="s">
        <v>1056</v>
      </c>
      <c r="I67" t="s">
        <v>1080</v>
      </c>
    </row>
    <row r="68" spans="1:8" x14ac:dyDescent="0.2">
      <c r="A68" s="145" t="s">
        <v>578</v>
      </c>
      <c r="B68" s="145">
        <v>43613</v>
      </c>
      <c r="C68" s="144" t="s">
        <v>996</v>
      </c>
      <c r="D68" s="144">
        <v>-33</v>
      </c>
      <c r="E68" s="144" t="s">
        <v>777</v>
      </c>
      <c r="F68" s="144" t="s">
        <v>1057</v>
      </c>
      <c r="I68" t="s">
        <v>1080</v>
      </c>
    </row>
    <row r="69" spans="1:8" x14ac:dyDescent="0.2">
      <c r="A69" s="145" t="s">
        <v>578</v>
      </c>
      <c r="B69" s="145">
        <v>43614</v>
      </c>
      <c r="C69" s="144" t="s">
        <v>996</v>
      </c>
      <c r="D69" s="144">
        <v>25</v>
      </c>
      <c r="E69" s="144" t="s">
        <v>998</v>
      </c>
      <c r="F69" s="144" t="s">
        <v>1058</v>
      </c>
      <c r="I69" t="s">
        <v>1080</v>
      </c>
    </row>
    <row r="70" spans="1:8" x14ac:dyDescent="0.2">
      <c r="A70" s="145" t="s">
        <v>578</v>
      </c>
      <c r="B70" s="145">
        <v>43615</v>
      </c>
      <c r="C70" s="144" t="s">
        <v>996</v>
      </c>
      <c r="D70" s="144">
        <v>-84</v>
      </c>
      <c r="E70" s="144" t="s">
        <v>762</v>
      </c>
      <c r="F70" s="144" t="s">
        <v>1059</v>
      </c>
      <c r="G70" s="144" t="s">
        <v>482</v>
      </c>
      <c r="H70" s="144" t="s">
        <v>1076</v>
      </c>
      <c r="I70" t="s">
        <v>1082</v>
      </c>
    </row>
    <row r="71" spans="1:8" x14ac:dyDescent="0.2">
      <c r="B71" s="145">
        <v>43615</v>
      </c>
      <c r="C71" s="144" t="s">
        <v>996</v>
      </c>
      <c r="D71" s="144">
        <v>-48</v>
      </c>
      <c r="E71" s="144" t="s">
        <v>762</v>
      </c>
      <c r="F71" s="144" t="s">
        <v>1060</v>
      </c>
      <c r="G71" s="144" t="s">
        <v>501</v>
      </c>
      <c r="H71" s="144" t="s">
        <v>1077</v>
      </c>
      <c r="I71" t="s">
        <v>1082</v>
      </c>
    </row>
    <row r="72" spans="1:8" x14ac:dyDescent="0.2">
      <c r="B72" s="145"/>
    </row>
    <row r="73" spans="1:8" x14ac:dyDescent="0.2">
      <c r="B73" s="145"/>
    </row>
  </sheetData>
  <autoFilter ref="A1:I71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H43" sqref="H43"/>
    </sheetView>
  </sheetViews>
  <sheetFormatPr defaultRowHeight="12.75" x14ac:dyDescent="0.2"/>
  <cols>
    <col min="1" max="1" style="144" width="9.140625" collapsed="false"/>
    <col min="2" max="2" bestFit="true" customWidth="true" style="144" width="10.140625" collapsed="false"/>
    <col min="3" max="3" bestFit="true" customWidth="true" style="144" width="17.28515625" collapsed="false"/>
    <col min="4" max="4" style="144" width="9.140625" collapsed="false"/>
    <col min="5" max="5" customWidth="true" style="144" width="12.85546875" collapsed="false"/>
    <col min="6" max="6" bestFit="true" customWidth="true" style="144" width="50.140625" collapsed="false"/>
    <col min="7" max="7" bestFit="true" customWidth="true" style="144" width="10.7109375" collapsed="false"/>
    <col min="8" max="8" customWidth="true" style="144" width="25.140625" collapsed="false"/>
    <col min="9" max="9" bestFit="true" customWidth="true" style="144" width="8.7109375" collapsed="false"/>
    <col min="10" max="16384" style="144" width="9.140625" collapsed="false"/>
  </cols>
  <sheetData>
    <row r="1" spans="1:9" x14ac:dyDescent="0.2">
      <c r="A1" s="144" t="s">
        <v>512</v>
      </c>
      <c r="B1" s="144" t="s">
        <v>513</v>
      </c>
      <c r="C1" s="144" t="s">
        <v>514</v>
      </c>
      <c r="D1" s="144" t="s">
        <v>515</v>
      </c>
      <c r="E1" s="144" t="s">
        <v>516</v>
      </c>
      <c r="F1" s="144" t="s">
        <v>517</v>
      </c>
      <c r="G1" s="146" t="s">
        <v>24</v>
      </c>
      <c r="H1" s="146" t="s">
        <v>548</v>
      </c>
      <c r="I1" s="146" t="s">
        <v>549</v>
      </c>
    </row>
    <row r="2" spans="1:9" x14ac:dyDescent="0.2">
      <c r="B2" s="145">
        <v>43586</v>
      </c>
      <c r="C2" s="144" t="s">
        <v>889</v>
      </c>
      <c r="D2" s="144">
        <v>-7.8</v>
      </c>
      <c r="E2" s="144" t="s">
        <v>762</v>
      </c>
      <c r="F2" s="144" t="s">
        <v>890</v>
      </c>
    </row>
    <row r="3" spans="1:9" x14ac:dyDescent="0.2">
      <c r="B3" s="145">
        <v>43586</v>
      </c>
      <c r="C3" s="144" t="s">
        <v>889</v>
      </c>
      <c r="D3" s="144">
        <v>-27.66</v>
      </c>
      <c r="E3" s="144" t="s">
        <v>762</v>
      </c>
      <c r="F3" s="144" t="s">
        <v>765</v>
      </c>
    </row>
    <row r="4" spans="1:9" x14ac:dyDescent="0.2">
      <c r="B4" s="145">
        <v>43586</v>
      </c>
      <c r="C4" s="144" t="s">
        <v>889</v>
      </c>
      <c r="D4" s="144">
        <v>-36.99</v>
      </c>
      <c r="E4" s="144" t="s">
        <v>762</v>
      </c>
      <c r="F4" s="144" t="s">
        <v>891</v>
      </c>
    </row>
    <row r="5" spans="1:9" x14ac:dyDescent="0.2">
      <c r="B5" s="145">
        <v>43587</v>
      </c>
      <c r="C5" s="144" t="s">
        <v>889</v>
      </c>
      <c r="D5" s="144">
        <v>-12.99</v>
      </c>
      <c r="E5" s="144" t="s">
        <v>762</v>
      </c>
      <c r="F5" s="144" t="s">
        <v>892</v>
      </c>
    </row>
    <row r="6" spans="1:9" x14ac:dyDescent="0.2">
      <c r="B6" s="145">
        <v>43587</v>
      </c>
      <c r="C6" s="144" t="s">
        <v>889</v>
      </c>
      <c r="D6" s="144">
        <v>-15.26</v>
      </c>
      <c r="E6" s="144" t="s">
        <v>762</v>
      </c>
      <c r="F6" s="144" t="s">
        <v>893</v>
      </c>
    </row>
    <row r="7" spans="1:9" x14ac:dyDescent="0.2">
      <c r="B7" s="145">
        <v>43587</v>
      </c>
      <c r="C7" s="144" t="s">
        <v>889</v>
      </c>
      <c r="D7" s="144">
        <v>-8.67</v>
      </c>
      <c r="E7" s="144" t="s">
        <v>762</v>
      </c>
      <c r="F7" s="144" t="s">
        <v>894</v>
      </c>
    </row>
    <row r="8" spans="1:9" x14ac:dyDescent="0.2">
      <c r="B8" s="145">
        <v>43587</v>
      </c>
      <c r="C8" s="144" t="s">
        <v>889</v>
      </c>
      <c r="D8" s="144">
        <v>-2.8</v>
      </c>
      <c r="E8" s="144" t="s">
        <v>762</v>
      </c>
      <c r="F8" s="144" t="s">
        <v>895</v>
      </c>
    </row>
    <row r="9" spans="1:9" x14ac:dyDescent="0.2">
      <c r="B9" s="145">
        <v>43587</v>
      </c>
      <c r="C9" s="144" t="s">
        <v>889</v>
      </c>
      <c r="D9" s="144">
        <v>-2.21</v>
      </c>
      <c r="E9" s="144" t="s">
        <v>762</v>
      </c>
      <c r="F9" s="144" t="s">
        <v>895</v>
      </c>
    </row>
    <row r="10" spans="1:9" x14ac:dyDescent="0.2">
      <c r="B10" s="145">
        <v>43587</v>
      </c>
      <c r="C10" s="144" t="s">
        <v>889</v>
      </c>
      <c r="D10" s="144">
        <v>-6.5</v>
      </c>
      <c r="E10" s="144" t="s">
        <v>762</v>
      </c>
      <c r="F10" s="144" t="s">
        <v>896</v>
      </c>
    </row>
    <row r="11" spans="1:9" x14ac:dyDescent="0.2">
      <c r="B11" s="145">
        <v>43588</v>
      </c>
      <c r="C11" s="144" t="s">
        <v>889</v>
      </c>
      <c r="D11" s="144">
        <v>-10</v>
      </c>
      <c r="E11" s="144" t="s">
        <v>762</v>
      </c>
      <c r="F11" s="144" t="s">
        <v>897</v>
      </c>
    </row>
    <row r="12" spans="1:9" x14ac:dyDescent="0.2">
      <c r="B12" s="145">
        <v>43588</v>
      </c>
      <c r="C12" s="144" t="s">
        <v>889</v>
      </c>
      <c r="D12" s="144">
        <v>-10</v>
      </c>
      <c r="E12" s="144" t="s">
        <v>762</v>
      </c>
      <c r="F12" s="144" t="s">
        <v>897</v>
      </c>
    </row>
    <row r="13" spans="1:9" x14ac:dyDescent="0.2">
      <c r="B13" s="145">
        <v>43588</v>
      </c>
      <c r="C13" s="144" t="s">
        <v>889</v>
      </c>
      <c r="D13" s="144">
        <v>-7.49</v>
      </c>
      <c r="E13" s="144" t="s">
        <v>762</v>
      </c>
      <c r="F13" s="144" t="s">
        <v>898</v>
      </c>
    </row>
    <row r="14" spans="1:9" x14ac:dyDescent="0.2">
      <c r="B14" s="145">
        <v>43588</v>
      </c>
      <c r="C14" s="144" t="s">
        <v>889</v>
      </c>
      <c r="D14" s="144">
        <v>-11.2</v>
      </c>
      <c r="E14" s="144" t="s">
        <v>762</v>
      </c>
      <c r="F14" s="144" t="s">
        <v>899</v>
      </c>
    </row>
    <row r="15" spans="1:9" x14ac:dyDescent="0.2">
      <c r="B15" s="145">
        <v>43588</v>
      </c>
      <c r="C15" s="144" t="s">
        <v>889</v>
      </c>
      <c r="D15" s="144">
        <v>-23.98</v>
      </c>
      <c r="E15" s="144" t="s">
        <v>762</v>
      </c>
      <c r="F15" s="144" t="s">
        <v>900</v>
      </c>
    </row>
    <row r="16" spans="1:9" x14ac:dyDescent="0.2">
      <c r="B16" s="145">
        <v>43588</v>
      </c>
      <c r="C16" s="144" t="s">
        <v>889</v>
      </c>
      <c r="D16" s="144">
        <v>-15</v>
      </c>
      <c r="E16" s="144" t="s">
        <v>762</v>
      </c>
      <c r="F16" s="144" t="s">
        <v>901</v>
      </c>
    </row>
    <row r="17" spans="2:6" x14ac:dyDescent="0.2">
      <c r="B17" s="145">
        <v>43588</v>
      </c>
      <c r="C17" s="144" t="s">
        <v>889</v>
      </c>
      <c r="D17" s="144">
        <v>-1.8</v>
      </c>
      <c r="E17" s="144" t="s">
        <v>762</v>
      </c>
      <c r="F17" s="144" t="s">
        <v>902</v>
      </c>
    </row>
    <row r="18" spans="2:6" x14ac:dyDescent="0.2">
      <c r="B18" s="145">
        <v>43588</v>
      </c>
      <c r="C18" s="144" t="s">
        <v>889</v>
      </c>
      <c r="D18" s="144">
        <v>-50.4</v>
      </c>
      <c r="E18" s="144" t="s">
        <v>762</v>
      </c>
      <c r="F18" s="144" t="s">
        <v>903</v>
      </c>
    </row>
    <row r="19" spans="2:6" x14ac:dyDescent="0.2">
      <c r="B19" s="145">
        <v>43588</v>
      </c>
      <c r="C19" s="144" t="s">
        <v>889</v>
      </c>
      <c r="D19" s="144">
        <v>-50.91</v>
      </c>
      <c r="E19" s="144" t="s">
        <v>762</v>
      </c>
      <c r="F19" s="144" t="s">
        <v>904</v>
      </c>
    </row>
    <row r="20" spans="2:6" x14ac:dyDescent="0.2">
      <c r="B20" s="145">
        <v>43592</v>
      </c>
      <c r="C20" s="144" t="s">
        <v>889</v>
      </c>
      <c r="D20" s="144">
        <v>-15</v>
      </c>
      <c r="E20" s="144" t="s">
        <v>762</v>
      </c>
      <c r="F20" s="144" t="s">
        <v>905</v>
      </c>
    </row>
    <row r="21" spans="2:6" x14ac:dyDescent="0.2">
      <c r="B21" s="145">
        <v>43592</v>
      </c>
      <c r="C21" s="144" t="s">
        <v>889</v>
      </c>
      <c r="D21" s="144">
        <v>-5.4</v>
      </c>
      <c r="E21" s="144" t="s">
        <v>762</v>
      </c>
      <c r="F21" s="144" t="s">
        <v>906</v>
      </c>
    </row>
    <row r="22" spans="2:6" x14ac:dyDescent="0.2">
      <c r="B22" s="145">
        <v>43592</v>
      </c>
      <c r="C22" s="144" t="s">
        <v>889</v>
      </c>
      <c r="D22" s="144">
        <v>-10</v>
      </c>
      <c r="E22" s="144" t="s">
        <v>762</v>
      </c>
      <c r="F22" s="144" t="s">
        <v>907</v>
      </c>
    </row>
    <row r="23" spans="2:6" x14ac:dyDescent="0.2">
      <c r="B23" s="145">
        <v>43592</v>
      </c>
      <c r="C23" s="144" t="s">
        <v>889</v>
      </c>
      <c r="D23" s="144">
        <v>-21.13</v>
      </c>
      <c r="E23" s="144" t="s">
        <v>762</v>
      </c>
      <c r="F23" s="144" t="s">
        <v>908</v>
      </c>
    </row>
    <row r="24" spans="2:6" x14ac:dyDescent="0.2">
      <c r="B24" s="145">
        <v>43592</v>
      </c>
      <c r="C24" s="144" t="s">
        <v>889</v>
      </c>
      <c r="D24" s="144">
        <v>-41.86</v>
      </c>
      <c r="E24" s="144" t="s">
        <v>762</v>
      </c>
      <c r="F24" s="144" t="s">
        <v>804</v>
      </c>
    </row>
    <row r="25" spans="2:6" x14ac:dyDescent="0.2">
      <c r="B25" s="145">
        <v>43592</v>
      </c>
      <c r="C25" s="144" t="s">
        <v>889</v>
      </c>
      <c r="D25" s="144">
        <v>-4.18</v>
      </c>
      <c r="E25" s="144" t="s">
        <v>762</v>
      </c>
      <c r="F25" s="144" t="s">
        <v>909</v>
      </c>
    </row>
    <row r="26" spans="2:6" x14ac:dyDescent="0.2">
      <c r="B26" s="145">
        <v>43592</v>
      </c>
      <c r="C26" s="144" t="s">
        <v>889</v>
      </c>
      <c r="D26" s="144">
        <v>-30.72</v>
      </c>
      <c r="E26" s="144" t="s">
        <v>762</v>
      </c>
      <c r="F26" s="144" t="s">
        <v>910</v>
      </c>
    </row>
    <row r="27" spans="2:6" x14ac:dyDescent="0.2">
      <c r="B27" s="145">
        <v>43592</v>
      </c>
      <c r="C27" s="144" t="s">
        <v>889</v>
      </c>
      <c r="D27" s="144">
        <v>-4.3499999999999996</v>
      </c>
      <c r="E27" s="144" t="s">
        <v>762</v>
      </c>
      <c r="F27" s="144" t="s">
        <v>911</v>
      </c>
    </row>
    <row r="28" spans="2:6" x14ac:dyDescent="0.2">
      <c r="B28" s="145">
        <v>43592</v>
      </c>
      <c r="C28" s="144" t="s">
        <v>889</v>
      </c>
      <c r="D28" s="144">
        <v>-35.51</v>
      </c>
      <c r="E28" s="144" t="s">
        <v>762</v>
      </c>
      <c r="F28" s="144" t="s">
        <v>912</v>
      </c>
    </row>
    <row r="29" spans="2:6" x14ac:dyDescent="0.2">
      <c r="B29" s="145">
        <v>43592</v>
      </c>
      <c r="C29" s="144" t="s">
        <v>889</v>
      </c>
      <c r="D29" s="144">
        <v>-6.8</v>
      </c>
      <c r="E29" s="144" t="s">
        <v>762</v>
      </c>
      <c r="F29" s="144" t="s">
        <v>913</v>
      </c>
    </row>
    <row r="30" spans="2:6" x14ac:dyDescent="0.2">
      <c r="B30" s="145">
        <v>43592</v>
      </c>
      <c r="C30" s="144" t="s">
        <v>889</v>
      </c>
      <c r="D30" s="144">
        <v>-2.1</v>
      </c>
      <c r="E30" s="144" t="s">
        <v>762</v>
      </c>
      <c r="F30" s="144" t="s">
        <v>914</v>
      </c>
    </row>
    <row r="31" spans="2:6" x14ac:dyDescent="0.2">
      <c r="B31" s="145">
        <v>43592</v>
      </c>
      <c r="C31" s="144" t="s">
        <v>889</v>
      </c>
      <c r="D31" s="144">
        <v>-6.19</v>
      </c>
      <c r="E31" s="144" t="s">
        <v>762</v>
      </c>
      <c r="F31" s="144" t="s">
        <v>915</v>
      </c>
    </row>
    <row r="32" spans="2:6" x14ac:dyDescent="0.2">
      <c r="B32" s="145">
        <v>43592</v>
      </c>
      <c r="C32" s="144" t="s">
        <v>889</v>
      </c>
      <c r="D32" s="144">
        <v>-36.93</v>
      </c>
      <c r="E32" s="144" t="s">
        <v>762</v>
      </c>
      <c r="F32" s="144" t="s">
        <v>916</v>
      </c>
    </row>
    <row r="33" spans="2:8" x14ac:dyDescent="0.2">
      <c r="B33" s="145">
        <v>43593</v>
      </c>
      <c r="C33" s="144" t="s">
        <v>889</v>
      </c>
      <c r="D33" s="144">
        <v>-26</v>
      </c>
      <c r="E33" s="144" t="s">
        <v>762</v>
      </c>
      <c r="F33" s="144" t="s">
        <v>917</v>
      </c>
    </row>
    <row r="34" spans="2:8" x14ac:dyDescent="0.2">
      <c r="B34" s="145">
        <v>43594</v>
      </c>
      <c r="C34" s="144" t="s">
        <v>889</v>
      </c>
      <c r="D34" s="144">
        <v>-4.07</v>
      </c>
      <c r="E34" s="144" t="s">
        <v>762</v>
      </c>
      <c r="F34" s="144" t="s">
        <v>918</v>
      </c>
    </row>
    <row r="35" spans="2:8" x14ac:dyDescent="0.2">
      <c r="B35" s="145">
        <v>43594</v>
      </c>
      <c r="C35" s="144" t="s">
        <v>889</v>
      </c>
      <c r="D35" s="144">
        <v>-4.0999999999999996</v>
      </c>
      <c r="E35" s="144" t="s">
        <v>762</v>
      </c>
      <c r="F35" s="144" t="s">
        <v>919</v>
      </c>
    </row>
    <row r="36" spans="2:8" x14ac:dyDescent="0.2">
      <c r="B36" s="145">
        <v>43594</v>
      </c>
      <c r="C36" s="144" t="s">
        <v>889</v>
      </c>
      <c r="D36" s="144">
        <v>-11.16</v>
      </c>
      <c r="E36" s="144" t="s">
        <v>762</v>
      </c>
      <c r="F36" s="144" t="s">
        <v>920</v>
      </c>
    </row>
    <row r="37" spans="2:8" x14ac:dyDescent="0.2">
      <c r="B37" s="145">
        <v>43594</v>
      </c>
      <c r="C37" s="144" t="s">
        <v>889</v>
      </c>
      <c r="D37" s="144">
        <v>-30.67</v>
      </c>
      <c r="E37" s="144" t="s">
        <v>762</v>
      </c>
      <c r="F37" s="144" t="s">
        <v>921</v>
      </c>
    </row>
    <row r="38" spans="2:8" x14ac:dyDescent="0.2">
      <c r="B38" s="145">
        <v>43595</v>
      </c>
      <c r="C38" s="144" t="s">
        <v>889</v>
      </c>
      <c r="D38" s="144">
        <v>-1.4</v>
      </c>
      <c r="E38" s="144" t="s">
        <v>762</v>
      </c>
      <c r="F38" s="144" t="s">
        <v>922</v>
      </c>
    </row>
    <row r="39" spans="2:8" x14ac:dyDescent="0.2">
      <c r="B39" s="145">
        <v>43595</v>
      </c>
      <c r="C39" s="144" t="s">
        <v>889</v>
      </c>
      <c r="D39" s="144">
        <v>-21.93</v>
      </c>
      <c r="E39" s="144" t="s">
        <v>762</v>
      </c>
      <c r="F39" s="144" t="s">
        <v>923</v>
      </c>
    </row>
    <row r="40" spans="2:8" x14ac:dyDescent="0.2">
      <c r="B40" s="145">
        <v>43595</v>
      </c>
      <c r="C40" s="144" t="s">
        <v>889</v>
      </c>
      <c r="D40" s="144">
        <v>-1.4</v>
      </c>
      <c r="E40" s="144" t="s">
        <v>762</v>
      </c>
      <c r="F40" s="144" t="s">
        <v>923</v>
      </c>
    </row>
    <row r="41" spans="2:8" x14ac:dyDescent="0.2">
      <c r="B41" s="145">
        <v>43595</v>
      </c>
      <c r="C41" s="144" t="s">
        <v>889</v>
      </c>
      <c r="D41" s="144">
        <v>-38.67</v>
      </c>
      <c r="E41" s="144" t="s">
        <v>762</v>
      </c>
      <c r="F41" s="144" t="s">
        <v>924</v>
      </c>
    </row>
    <row r="42" spans="2:8" x14ac:dyDescent="0.2">
      <c r="B42" s="145">
        <v>43598</v>
      </c>
      <c r="C42" s="144" t="s">
        <v>889</v>
      </c>
      <c r="D42" s="144">
        <v>-10</v>
      </c>
      <c r="E42" s="144" t="s">
        <v>925</v>
      </c>
      <c r="F42" s="144" t="s">
        <v>926</v>
      </c>
    </row>
    <row r="43" spans="2:8" x14ac:dyDescent="0.2">
      <c r="B43" s="145">
        <v>43598</v>
      </c>
      <c r="C43" s="144" t="s">
        <v>889</v>
      </c>
      <c r="D43" s="144">
        <v>-18.37</v>
      </c>
      <c r="E43" s="144" t="s">
        <v>762</v>
      </c>
      <c r="F43" s="144" t="s">
        <v>927</v>
      </c>
    </row>
    <row r="44" spans="2:8" x14ac:dyDescent="0.2">
      <c r="B44" s="145">
        <v>43598</v>
      </c>
      <c r="C44" s="144" t="s">
        <v>889</v>
      </c>
      <c r="D44" s="144">
        <v>-51.06</v>
      </c>
      <c r="E44" s="144" t="s">
        <v>762</v>
      </c>
      <c r="F44" s="144" t="s">
        <v>928</v>
      </c>
    </row>
    <row r="45" spans="2:8" x14ac:dyDescent="0.2">
      <c r="B45" s="145">
        <v>43598</v>
      </c>
      <c r="C45" s="144" t="s">
        <v>889</v>
      </c>
      <c r="D45" s="144">
        <v>-8.99</v>
      </c>
      <c r="E45" s="144" t="s">
        <v>762</v>
      </c>
      <c r="F45" s="144" t="s">
        <v>929</v>
      </c>
    </row>
    <row r="46" spans="2:8" x14ac:dyDescent="0.2">
      <c r="B46" s="145">
        <v>43598</v>
      </c>
      <c r="C46" s="144" t="s">
        <v>889</v>
      </c>
      <c r="D46" s="144">
        <v>-1.6</v>
      </c>
      <c r="E46" s="144" t="s">
        <v>762</v>
      </c>
      <c r="F46" s="144" t="s">
        <v>930</v>
      </c>
    </row>
    <row r="47" spans="2:8" x14ac:dyDescent="0.2">
      <c r="B47" s="145">
        <v>43598</v>
      </c>
      <c r="C47" s="144" t="s">
        <v>889</v>
      </c>
      <c r="D47" s="144">
        <v>-13.99</v>
      </c>
      <c r="E47" s="144" t="s">
        <v>762</v>
      </c>
      <c r="F47" s="144" t="s">
        <v>931</v>
      </c>
      <c r="H47" s="148"/>
    </row>
    <row r="48" spans="2:8" x14ac:dyDescent="0.2">
      <c r="B48" s="145">
        <v>43598</v>
      </c>
      <c r="C48" s="144" t="s">
        <v>889</v>
      </c>
      <c r="D48" s="144">
        <v>-27.55</v>
      </c>
      <c r="E48" s="144" t="s">
        <v>762</v>
      </c>
      <c r="F48" s="144" t="s">
        <v>932</v>
      </c>
    </row>
    <row r="49" spans="2:6" x14ac:dyDescent="0.2">
      <c r="B49" s="145">
        <v>43598</v>
      </c>
      <c r="C49" s="144" t="s">
        <v>889</v>
      </c>
      <c r="D49" s="144">
        <v>-2.4</v>
      </c>
      <c r="E49" s="144" t="s">
        <v>762</v>
      </c>
      <c r="F49" s="144" t="s">
        <v>933</v>
      </c>
    </row>
    <row r="50" spans="2:6" x14ac:dyDescent="0.2">
      <c r="B50" s="145">
        <v>43598</v>
      </c>
      <c r="C50" s="144" t="s">
        <v>889</v>
      </c>
      <c r="D50" s="144">
        <v>-13.17</v>
      </c>
      <c r="E50" s="144" t="s">
        <v>762</v>
      </c>
      <c r="F50" s="144" t="s">
        <v>934</v>
      </c>
    </row>
    <row r="51" spans="2:6" x14ac:dyDescent="0.2">
      <c r="B51" s="145">
        <v>43598</v>
      </c>
      <c r="C51" s="144" t="s">
        <v>889</v>
      </c>
      <c r="D51" s="144">
        <v>-30.93</v>
      </c>
      <c r="E51" s="144" t="s">
        <v>762</v>
      </c>
      <c r="F51" s="144" t="s">
        <v>935</v>
      </c>
    </row>
    <row r="52" spans="2:6" x14ac:dyDescent="0.2">
      <c r="B52" s="145">
        <v>43599</v>
      </c>
      <c r="C52" s="144" t="s">
        <v>889</v>
      </c>
      <c r="D52" s="144">
        <v>-20.95</v>
      </c>
      <c r="E52" s="144" t="s">
        <v>762</v>
      </c>
      <c r="F52" s="144" t="s">
        <v>838</v>
      </c>
    </row>
    <row r="53" spans="2:6" x14ac:dyDescent="0.2">
      <c r="B53" s="145">
        <v>43599</v>
      </c>
      <c r="C53" s="144" t="s">
        <v>889</v>
      </c>
      <c r="D53" s="144">
        <v>-2.1</v>
      </c>
      <c r="E53" s="144" t="s">
        <v>762</v>
      </c>
      <c r="F53" s="144" t="s">
        <v>936</v>
      </c>
    </row>
    <row r="54" spans="2:6" x14ac:dyDescent="0.2">
      <c r="B54" s="145">
        <v>43599</v>
      </c>
      <c r="C54" s="144" t="s">
        <v>889</v>
      </c>
      <c r="D54" s="144">
        <v>-7.3</v>
      </c>
      <c r="E54" s="144" t="s">
        <v>762</v>
      </c>
      <c r="F54" s="144" t="s">
        <v>937</v>
      </c>
    </row>
    <row r="55" spans="2:6" x14ac:dyDescent="0.2">
      <c r="B55" s="145">
        <v>43600</v>
      </c>
      <c r="C55" s="144" t="s">
        <v>889</v>
      </c>
      <c r="D55" s="144">
        <v>-10</v>
      </c>
      <c r="E55" s="144" t="s">
        <v>925</v>
      </c>
      <c r="F55" s="144" t="s">
        <v>938</v>
      </c>
    </row>
    <row r="56" spans="2:6" x14ac:dyDescent="0.2">
      <c r="B56" s="145">
        <v>43600</v>
      </c>
      <c r="C56" s="144" t="s">
        <v>889</v>
      </c>
      <c r="D56" s="144">
        <v>-23</v>
      </c>
      <c r="E56" s="144" t="s">
        <v>762</v>
      </c>
      <c r="F56" s="144" t="s">
        <v>939</v>
      </c>
    </row>
    <row r="57" spans="2:6" x14ac:dyDescent="0.2">
      <c r="B57" s="145">
        <v>43600</v>
      </c>
      <c r="C57" s="144" t="s">
        <v>889</v>
      </c>
      <c r="D57" s="144">
        <v>-4.96</v>
      </c>
      <c r="E57" s="144" t="s">
        <v>762</v>
      </c>
      <c r="F57" s="144" t="s">
        <v>940</v>
      </c>
    </row>
    <row r="58" spans="2:6" x14ac:dyDescent="0.2">
      <c r="B58" s="145">
        <v>43600</v>
      </c>
      <c r="C58" s="144" t="s">
        <v>889</v>
      </c>
      <c r="D58" s="144">
        <v>-30.15</v>
      </c>
      <c r="E58" s="144" t="s">
        <v>762</v>
      </c>
      <c r="F58" s="144" t="s">
        <v>941</v>
      </c>
    </row>
    <row r="59" spans="2:6" x14ac:dyDescent="0.2">
      <c r="B59" s="145">
        <v>43601</v>
      </c>
      <c r="C59" s="144" t="s">
        <v>889</v>
      </c>
      <c r="D59" s="144">
        <v>-20.05</v>
      </c>
      <c r="E59" s="144" t="s">
        <v>762</v>
      </c>
      <c r="F59" s="144" t="s">
        <v>942</v>
      </c>
    </row>
    <row r="60" spans="2:6" x14ac:dyDescent="0.2">
      <c r="B60" s="145">
        <v>43601</v>
      </c>
      <c r="C60" s="144" t="s">
        <v>889</v>
      </c>
      <c r="D60" s="144">
        <v>-1.8</v>
      </c>
      <c r="E60" s="144" t="s">
        <v>762</v>
      </c>
      <c r="F60" s="144" t="s">
        <v>943</v>
      </c>
    </row>
    <row r="61" spans="2:6" x14ac:dyDescent="0.2">
      <c r="B61" s="145">
        <v>43602</v>
      </c>
      <c r="C61" s="144" t="s">
        <v>889</v>
      </c>
      <c r="D61" s="144">
        <v>-19.989999999999998</v>
      </c>
      <c r="E61" s="144" t="s">
        <v>762</v>
      </c>
      <c r="F61" s="144" t="s">
        <v>944</v>
      </c>
    </row>
    <row r="62" spans="2:6" x14ac:dyDescent="0.2">
      <c r="B62" s="145">
        <v>43602</v>
      </c>
      <c r="C62" s="144" t="s">
        <v>889</v>
      </c>
      <c r="D62" s="144">
        <v>-10</v>
      </c>
      <c r="E62" s="144" t="s">
        <v>925</v>
      </c>
      <c r="F62" s="144" t="s">
        <v>926</v>
      </c>
    </row>
    <row r="63" spans="2:6" x14ac:dyDescent="0.2">
      <c r="B63" s="145">
        <v>43602</v>
      </c>
      <c r="C63" s="144" t="s">
        <v>889</v>
      </c>
      <c r="D63" s="144">
        <v>-4.2</v>
      </c>
      <c r="E63" s="144" t="s">
        <v>762</v>
      </c>
      <c r="F63" s="144" t="s">
        <v>945</v>
      </c>
    </row>
    <row r="64" spans="2:6" x14ac:dyDescent="0.2">
      <c r="B64" s="145">
        <v>43602</v>
      </c>
      <c r="C64" s="144" t="s">
        <v>889</v>
      </c>
      <c r="D64" s="144">
        <v>-8.9</v>
      </c>
      <c r="E64" s="144" t="s">
        <v>762</v>
      </c>
      <c r="F64" s="144" t="s">
        <v>946</v>
      </c>
    </row>
    <row r="65" spans="2:6" x14ac:dyDescent="0.2">
      <c r="B65" s="145">
        <v>43602</v>
      </c>
      <c r="C65" s="144" t="s">
        <v>889</v>
      </c>
      <c r="D65" s="144">
        <v>-14.28</v>
      </c>
      <c r="E65" s="144" t="s">
        <v>762</v>
      </c>
      <c r="F65" s="144" t="s">
        <v>947</v>
      </c>
    </row>
    <row r="66" spans="2:6" x14ac:dyDescent="0.2">
      <c r="B66" s="145">
        <v>43602</v>
      </c>
      <c r="C66" s="144" t="s">
        <v>889</v>
      </c>
      <c r="D66" s="144">
        <v>-32.03</v>
      </c>
      <c r="E66" s="144" t="s">
        <v>762</v>
      </c>
      <c r="F66" s="144" t="s">
        <v>948</v>
      </c>
    </row>
    <row r="67" spans="2:6" x14ac:dyDescent="0.2">
      <c r="B67" s="145">
        <v>43605</v>
      </c>
      <c r="C67" s="144" t="s">
        <v>889</v>
      </c>
      <c r="D67" s="144">
        <v>300</v>
      </c>
      <c r="E67" s="144" t="s">
        <v>808</v>
      </c>
      <c r="F67" s="144" t="s">
        <v>949</v>
      </c>
    </row>
    <row r="68" spans="2:6" x14ac:dyDescent="0.2">
      <c r="B68" s="145">
        <v>43605</v>
      </c>
      <c r="C68" s="144" t="s">
        <v>889</v>
      </c>
      <c r="D68" s="144">
        <v>-20.49</v>
      </c>
      <c r="E68" s="144" t="s">
        <v>762</v>
      </c>
      <c r="F68" s="144" t="s">
        <v>950</v>
      </c>
    </row>
    <row r="69" spans="2:6" x14ac:dyDescent="0.2">
      <c r="B69" s="145">
        <v>43605</v>
      </c>
      <c r="C69" s="144" t="s">
        <v>889</v>
      </c>
      <c r="D69" s="144">
        <v>-11.25</v>
      </c>
      <c r="E69" s="144" t="s">
        <v>762</v>
      </c>
      <c r="F69" s="144" t="s">
        <v>951</v>
      </c>
    </row>
    <row r="70" spans="2:6" x14ac:dyDescent="0.2">
      <c r="B70" s="145">
        <v>43605</v>
      </c>
      <c r="C70" s="144" t="s">
        <v>889</v>
      </c>
      <c r="D70" s="144">
        <v>-4</v>
      </c>
      <c r="E70" s="144" t="s">
        <v>762</v>
      </c>
      <c r="F70" s="144" t="s">
        <v>952</v>
      </c>
    </row>
    <row r="71" spans="2:6" x14ac:dyDescent="0.2">
      <c r="B71" s="145">
        <v>43605</v>
      </c>
      <c r="C71" s="144" t="s">
        <v>889</v>
      </c>
      <c r="D71" s="144">
        <v>-2.89</v>
      </c>
      <c r="E71" s="144" t="s">
        <v>762</v>
      </c>
      <c r="F71" s="146" t="s">
        <v>953</v>
      </c>
    </row>
    <row r="72" spans="2:6" x14ac:dyDescent="0.2">
      <c r="B72" s="145">
        <v>43605</v>
      </c>
      <c r="C72" s="144" t="s">
        <v>889</v>
      </c>
      <c r="D72" s="144">
        <v>-80</v>
      </c>
      <c r="E72" s="144" t="s">
        <v>925</v>
      </c>
      <c r="F72" s="144" t="s">
        <v>926</v>
      </c>
    </row>
    <row r="73" spans="2:6" x14ac:dyDescent="0.2">
      <c r="B73" s="145">
        <v>43605</v>
      </c>
      <c r="C73" s="144" t="s">
        <v>889</v>
      </c>
      <c r="D73" s="144">
        <v>-42.12</v>
      </c>
      <c r="E73" s="144" t="s">
        <v>762</v>
      </c>
      <c r="F73" s="144" t="s">
        <v>954</v>
      </c>
    </row>
    <row r="74" spans="2:6" x14ac:dyDescent="0.2">
      <c r="B74" s="145">
        <v>43606</v>
      </c>
      <c r="C74" s="144" t="s">
        <v>889</v>
      </c>
      <c r="D74" s="144">
        <v>-22</v>
      </c>
      <c r="E74" s="144" t="s">
        <v>762</v>
      </c>
      <c r="F74" s="144" t="s">
        <v>955</v>
      </c>
    </row>
    <row r="75" spans="2:6" x14ac:dyDescent="0.2">
      <c r="B75" s="145">
        <v>43606</v>
      </c>
      <c r="C75" s="144" t="s">
        <v>889</v>
      </c>
      <c r="D75" s="144">
        <v>-9.99</v>
      </c>
      <c r="E75" s="144" t="s">
        <v>762</v>
      </c>
      <c r="F75" s="144" t="s">
        <v>956</v>
      </c>
    </row>
    <row r="76" spans="2:6" x14ac:dyDescent="0.2">
      <c r="B76" s="145">
        <v>43606</v>
      </c>
      <c r="C76" s="144" t="s">
        <v>889</v>
      </c>
      <c r="D76" s="144">
        <v>-9.18</v>
      </c>
      <c r="E76" s="144" t="s">
        <v>762</v>
      </c>
      <c r="F76" s="144" t="s">
        <v>957</v>
      </c>
    </row>
    <row r="77" spans="2:6" x14ac:dyDescent="0.2">
      <c r="B77" s="145">
        <v>43606</v>
      </c>
      <c r="C77" s="144" t="s">
        <v>889</v>
      </c>
      <c r="D77" s="144">
        <v>-4.0999999999999996</v>
      </c>
      <c r="E77" s="144" t="s">
        <v>762</v>
      </c>
      <c r="F77" s="144" t="s">
        <v>958</v>
      </c>
    </row>
    <row r="78" spans="2:6" x14ac:dyDescent="0.2">
      <c r="B78" s="145">
        <v>43606</v>
      </c>
      <c r="C78" s="144" t="s">
        <v>889</v>
      </c>
      <c r="D78" s="144">
        <v>-2.1</v>
      </c>
      <c r="E78" s="144" t="s">
        <v>762</v>
      </c>
      <c r="F78" s="144" t="s">
        <v>959</v>
      </c>
    </row>
    <row r="79" spans="2:6" x14ac:dyDescent="0.2">
      <c r="B79" s="145">
        <v>43606</v>
      </c>
      <c r="C79" s="144" t="s">
        <v>889</v>
      </c>
      <c r="D79" s="144">
        <v>-87.24</v>
      </c>
      <c r="E79" s="144" t="s">
        <v>762</v>
      </c>
      <c r="F79" s="144" t="s">
        <v>960</v>
      </c>
    </row>
    <row r="80" spans="2:6" x14ac:dyDescent="0.2">
      <c r="B80" s="145">
        <v>43606</v>
      </c>
      <c r="C80" s="144" t="s">
        <v>889</v>
      </c>
      <c r="D80" s="144">
        <v>-44.24</v>
      </c>
      <c r="E80" s="144" t="s">
        <v>762</v>
      </c>
      <c r="F80" s="144" t="s">
        <v>961</v>
      </c>
    </row>
    <row r="81" spans="2:6" x14ac:dyDescent="0.2">
      <c r="B81" s="145">
        <v>43606</v>
      </c>
      <c r="C81" s="144" t="s">
        <v>889</v>
      </c>
      <c r="D81" s="144">
        <v>-33.5</v>
      </c>
      <c r="E81" s="144" t="s">
        <v>762</v>
      </c>
      <c r="F81" s="144" t="s">
        <v>962</v>
      </c>
    </row>
    <row r="82" spans="2:6" x14ac:dyDescent="0.2">
      <c r="B82" s="145">
        <v>43606</v>
      </c>
      <c r="C82" s="144" t="s">
        <v>889</v>
      </c>
      <c r="D82" s="144">
        <v>-30.89</v>
      </c>
      <c r="E82" s="144" t="s">
        <v>762</v>
      </c>
      <c r="F82" s="144" t="s">
        <v>963</v>
      </c>
    </row>
    <row r="83" spans="2:6" x14ac:dyDescent="0.2">
      <c r="B83" s="145">
        <v>43606</v>
      </c>
      <c r="C83" s="144" t="s">
        <v>889</v>
      </c>
      <c r="D83" s="144">
        <v>-12.86</v>
      </c>
      <c r="E83" s="144" t="s">
        <v>762</v>
      </c>
      <c r="F83" s="144" t="s">
        <v>964</v>
      </c>
    </row>
    <row r="84" spans="2:6" x14ac:dyDescent="0.2">
      <c r="B84" s="145">
        <v>43607</v>
      </c>
      <c r="C84" s="144" t="s">
        <v>889</v>
      </c>
      <c r="D84" s="144">
        <v>260</v>
      </c>
      <c r="E84" s="144" t="s">
        <v>808</v>
      </c>
      <c r="F84" s="144" t="s">
        <v>949</v>
      </c>
    </row>
    <row r="85" spans="2:6" x14ac:dyDescent="0.2">
      <c r="B85" s="145">
        <v>43607</v>
      </c>
      <c r="C85" s="144" t="s">
        <v>889</v>
      </c>
      <c r="D85" s="144">
        <v>-14.05</v>
      </c>
      <c r="E85" s="144" t="s">
        <v>762</v>
      </c>
      <c r="F85" s="144" t="s">
        <v>965</v>
      </c>
    </row>
    <row r="86" spans="2:6" x14ac:dyDescent="0.2">
      <c r="B86" s="145">
        <v>43607</v>
      </c>
      <c r="C86" s="144" t="s">
        <v>889</v>
      </c>
      <c r="D86" s="144">
        <v>-7.97</v>
      </c>
      <c r="E86" s="144" t="s">
        <v>762</v>
      </c>
      <c r="F86" s="144" t="s">
        <v>966</v>
      </c>
    </row>
    <row r="87" spans="2:6" x14ac:dyDescent="0.2">
      <c r="B87" s="145">
        <v>43607</v>
      </c>
      <c r="C87" s="144" t="s">
        <v>889</v>
      </c>
      <c r="D87" s="144">
        <v>-30</v>
      </c>
      <c r="E87" s="144" t="s">
        <v>925</v>
      </c>
      <c r="F87" s="144" t="s">
        <v>967</v>
      </c>
    </row>
    <row r="88" spans="2:6" x14ac:dyDescent="0.2">
      <c r="B88" s="145">
        <v>43607</v>
      </c>
      <c r="C88" s="144" t="s">
        <v>889</v>
      </c>
      <c r="D88" s="144">
        <v>-41.9</v>
      </c>
      <c r="E88" s="144" t="s">
        <v>762</v>
      </c>
      <c r="F88" s="144" t="s">
        <v>968</v>
      </c>
    </row>
    <row r="89" spans="2:6" x14ac:dyDescent="0.2">
      <c r="B89" s="145">
        <v>43608</v>
      </c>
      <c r="C89" s="144" t="s">
        <v>889</v>
      </c>
      <c r="D89" s="144">
        <v>-20</v>
      </c>
      <c r="E89" s="144" t="s">
        <v>808</v>
      </c>
      <c r="F89" s="144" t="s">
        <v>969</v>
      </c>
    </row>
    <row r="90" spans="2:6" x14ac:dyDescent="0.2">
      <c r="B90" s="145">
        <v>43608</v>
      </c>
      <c r="C90" s="144" t="s">
        <v>889</v>
      </c>
      <c r="D90" s="144">
        <v>-18.7</v>
      </c>
      <c r="E90" s="144" t="s">
        <v>762</v>
      </c>
      <c r="F90" s="144" t="s">
        <v>970</v>
      </c>
    </row>
    <row r="91" spans="2:6" x14ac:dyDescent="0.2">
      <c r="B91" s="145">
        <v>43608</v>
      </c>
      <c r="C91" s="144" t="s">
        <v>889</v>
      </c>
      <c r="D91" s="144">
        <v>-11.45</v>
      </c>
      <c r="E91" s="144" t="s">
        <v>762</v>
      </c>
      <c r="F91" s="144" t="s">
        <v>971</v>
      </c>
    </row>
    <row r="92" spans="2:6" x14ac:dyDescent="0.2">
      <c r="B92" s="145">
        <v>43608</v>
      </c>
      <c r="C92" s="144" t="s">
        <v>889</v>
      </c>
      <c r="D92" s="144">
        <v>-50</v>
      </c>
      <c r="E92" s="144" t="s">
        <v>925</v>
      </c>
      <c r="F92" s="144" t="s">
        <v>972</v>
      </c>
    </row>
    <row r="93" spans="2:6" x14ac:dyDescent="0.2">
      <c r="B93" s="145">
        <v>43609</v>
      </c>
      <c r="C93" s="144" t="s">
        <v>889</v>
      </c>
      <c r="D93" s="144">
        <v>-24.5</v>
      </c>
      <c r="E93" s="144" t="s">
        <v>762</v>
      </c>
      <c r="F93" s="144" t="s">
        <v>973</v>
      </c>
    </row>
    <row r="94" spans="2:6" x14ac:dyDescent="0.2">
      <c r="B94" s="145">
        <v>43609</v>
      </c>
      <c r="C94" s="144" t="s">
        <v>889</v>
      </c>
      <c r="D94" s="144">
        <v>-18.16</v>
      </c>
      <c r="E94" s="144" t="s">
        <v>762</v>
      </c>
      <c r="F94" s="144" t="s">
        <v>974</v>
      </c>
    </row>
    <row r="95" spans="2:6" x14ac:dyDescent="0.2">
      <c r="B95" s="145">
        <v>43609</v>
      </c>
      <c r="C95" s="144" t="s">
        <v>889</v>
      </c>
      <c r="D95" s="144">
        <v>-5.9</v>
      </c>
      <c r="E95" s="144" t="s">
        <v>762</v>
      </c>
      <c r="F95" s="144" t="s">
        <v>975</v>
      </c>
    </row>
    <row r="96" spans="2:6" x14ac:dyDescent="0.2">
      <c r="B96" s="145">
        <v>43613</v>
      </c>
      <c r="C96" s="144" t="s">
        <v>889</v>
      </c>
      <c r="D96" s="144">
        <v>1200</v>
      </c>
      <c r="E96" s="144" t="s">
        <v>976</v>
      </c>
      <c r="F96" s="144" t="s">
        <v>977</v>
      </c>
    </row>
    <row r="97" spans="2:8" x14ac:dyDescent="0.2">
      <c r="B97" s="145">
        <v>43613</v>
      </c>
      <c r="C97" s="144" t="s">
        <v>889</v>
      </c>
      <c r="D97" s="144">
        <v>-21.42</v>
      </c>
      <c r="E97" s="144" t="s">
        <v>762</v>
      </c>
      <c r="F97" s="144" t="s">
        <v>978</v>
      </c>
    </row>
    <row r="98" spans="2:8" x14ac:dyDescent="0.2">
      <c r="B98" s="145">
        <v>43613</v>
      </c>
      <c r="C98" s="144" t="s">
        <v>889</v>
      </c>
      <c r="D98" s="144">
        <v>-13.65</v>
      </c>
      <c r="E98" s="144" t="s">
        <v>762</v>
      </c>
      <c r="F98" s="144" t="s">
        <v>979</v>
      </c>
    </row>
    <row r="99" spans="2:8" x14ac:dyDescent="0.2">
      <c r="B99" s="145">
        <v>43613</v>
      </c>
      <c r="C99" s="144" t="s">
        <v>889</v>
      </c>
      <c r="D99" s="144">
        <v>-4.4000000000000004</v>
      </c>
      <c r="E99" s="144" t="s">
        <v>762</v>
      </c>
      <c r="F99" s="144" t="s">
        <v>980</v>
      </c>
    </row>
    <row r="100" spans="2:8" x14ac:dyDescent="0.2">
      <c r="B100" s="145">
        <v>43613</v>
      </c>
      <c r="C100" s="144" t="s">
        <v>889</v>
      </c>
      <c r="D100" s="144">
        <v>-2.25</v>
      </c>
      <c r="E100" s="144" t="s">
        <v>762</v>
      </c>
      <c r="F100" s="144" t="s">
        <v>981</v>
      </c>
      <c r="H100" s="146"/>
    </row>
    <row r="101" spans="2:8" x14ac:dyDescent="0.2">
      <c r="B101" s="145">
        <v>43613</v>
      </c>
      <c r="C101" s="144" t="s">
        <v>889</v>
      </c>
      <c r="D101" s="144">
        <v>-31.88</v>
      </c>
      <c r="E101" s="144" t="s">
        <v>762</v>
      </c>
      <c r="F101" s="144" t="s">
        <v>982</v>
      </c>
    </row>
    <row r="102" spans="2:8" x14ac:dyDescent="0.2">
      <c r="B102" s="145">
        <v>43613</v>
      </c>
      <c r="C102" s="144" t="s">
        <v>889</v>
      </c>
      <c r="D102" s="144">
        <v>-4.18</v>
      </c>
      <c r="E102" s="144" t="s">
        <v>762</v>
      </c>
      <c r="F102" s="144" t="s">
        <v>983</v>
      </c>
    </row>
    <row r="103" spans="2:8" x14ac:dyDescent="0.2">
      <c r="B103" s="145">
        <v>43613</v>
      </c>
      <c r="C103" s="144" t="s">
        <v>889</v>
      </c>
      <c r="D103" s="144">
        <v>-2.1800000000000002</v>
      </c>
      <c r="E103" s="144" t="s">
        <v>762</v>
      </c>
      <c r="F103" s="144" t="s">
        <v>984</v>
      </c>
    </row>
    <row r="104" spans="2:8" x14ac:dyDescent="0.2">
      <c r="B104" s="145">
        <v>43614</v>
      </c>
      <c r="C104" s="144" t="s">
        <v>889</v>
      </c>
      <c r="D104" s="144">
        <v>-32.99</v>
      </c>
      <c r="E104" s="144" t="s">
        <v>762</v>
      </c>
      <c r="F104" s="144" t="s">
        <v>985</v>
      </c>
    </row>
    <row r="105" spans="2:8" x14ac:dyDescent="0.2">
      <c r="B105" s="145">
        <v>43614</v>
      </c>
      <c r="C105" s="144" t="s">
        <v>889</v>
      </c>
      <c r="D105" s="144">
        <v>-31.93</v>
      </c>
      <c r="E105" s="144" t="s">
        <v>762</v>
      </c>
      <c r="F105" s="144" t="s">
        <v>986</v>
      </c>
    </row>
    <row r="106" spans="2:8" x14ac:dyDescent="0.2">
      <c r="B106" s="145">
        <v>43614</v>
      </c>
      <c r="C106" s="144" t="s">
        <v>889</v>
      </c>
      <c r="D106" s="144">
        <v>-9.2200000000000006</v>
      </c>
      <c r="E106" s="144" t="s">
        <v>777</v>
      </c>
      <c r="F106" s="144" t="s">
        <v>987</v>
      </c>
    </row>
    <row r="107" spans="2:8" x14ac:dyDescent="0.2">
      <c r="B107" s="145">
        <v>43615</v>
      </c>
      <c r="C107" s="144" t="s">
        <v>889</v>
      </c>
      <c r="D107" s="144">
        <v>-25</v>
      </c>
      <c r="E107" s="144" t="s">
        <v>762</v>
      </c>
      <c r="F107" s="144" t="s">
        <v>988</v>
      </c>
    </row>
    <row r="108" spans="2:8" x14ac:dyDescent="0.2">
      <c r="B108" s="145">
        <v>43615</v>
      </c>
      <c r="C108" s="144" t="s">
        <v>889</v>
      </c>
      <c r="D108" s="144">
        <v>-16.14</v>
      </c>
      <c r="E108" s="144" t="s">
        <v>762</v>
      </c>
      <c r="F108" s="144" t="s">
        <v>989</v>
      </c>
    </row>
    <row r="109" spans="2:8" x14ac:dyDescent="0.2">
      <c r="B109" s="145">
        <v>43615</v>
      </c>
      <c r="C109" s="144" t="s">
        <v>889</v>
      </c>
      <c r="D109" s="144">
        <v>-20</v>
      </c>
      <c r="E109" s="144" t="s">
        <v>925</v>
      </c>
      <c r="F109" s="144" t="s">
        <v>990</v>
      </c>
    </row>
    <row r="110" spans="2:8" x14ac:dyDescent="0.2">
      <c r="B110" s="145">
        <v>43615</v>
      </c>
      <c r="C110" s="144" t="s">
        <v>889</v>
      </c>
      <c r="D110" s="144">
        <v>-33.58</v>
      </c>
      <c r="E110" s="144" t="s">
        <v>762</v>
      </c>
      <c r="F110" s="144" t="s">
        <v>991</v>
      </c>
    </row>
    <row r="111" spans="2:8" x14ac:dyDescent="0.2">
      <c r="B111" s="145">
        <v>43616</v>
      </c>
      <c r="C111" s="144" t="s">
        <v>889</v>
      </c>
      <c r="D111" s="144">
        <v>-20.02</v>
      </c>
      <c r="E111" s="144" t="s">
        <v>762</v>
      </c>
      <c r="F111" s="144" t="s">
        <v>992</v>
      </c>
    </row>
    <row r="112" spans="2:8" x14ac:dyDescent="0.2">
      <c r="B112" s="145">
        <v>43616</v>
      </c>
      <c r="C112" s="144" t="s">
        <v>889</v>
      </c>
      <c r="D112" s="144">
        <v>-18.3</v>
      </c>
      <c r="E112" s="144" t="s">
        <v>762</v>
      </c>
      <c r="F112" s="144" t="s">
        <v>993</v>
      </c>
    </row>
    <row r="113" spans="2:8" x14ac:dyDescent="0.2">
      <c r="B113" s="145">
        <v>43616</v>
      </c>
      <c r="C113" s="144" t="s">
        <v>889</v>
      </c>
      <c r="D113" s="144">
        <v>-15.2</v>
      </c>
      <c r="E113" s="144" t="s">
        <v>762</v>
      </c>
      <c r="F113" s="144" t="s">
        <v>994</v>
      </c>
      <c r="H113" s="146"/>
    </row>
    <row r="114" spans="2:8" x14ac:dyDescent="0.2">
      <c r="B114" s="145">
        <v>43616</v>
      </c>
      <c r="C114" s="144" t="s">
        <v>889</v>
      </c>
      <c r="D114" s="144">
        <v>-40.5</v>
      </c>
      <c r="E114" s="144" t="s">
        <v>762</v>
      </c>
      <c r="F114" s="144" t="s">
        <v>995</v>
      </c>
    </row>
    <row r="115" spans="2:8" x14ac:dyDescent="0.2">
      <c r="B115" s="145"/>
    </row>
    <row r="116" spans="2:8" x14ac:dyDescent="0.2">
      <c r="B116" s="145"/>
    </row>
    <row r="117" spans="2:8" x14ac:dyDescent="0.2">
      <c r="B117" s="145"/>
    </row>
    <row r="118" spans="2:8" x14ac:dyDescent="0.2">
      <c r="B118" s="145"/>
    </row>
    <row r="119" spans="2:8" x14ac:dyDescent="0.2">
      <c r="B119" s="145"/>
    </row>
    <row r="120" spans="2:8" x14ac:dyDescent="0.2">
      <c r="B120" s="145"/>
    </row>
    <row r="121" spans="2:8" x14ac:dyDescent="0.2">
      <c r="B121" s="145"/>
    </row>
    <row r="122" spans="2:8" x14ac:dyDescent="0.2">
      <c r="B122" s="145"/>
    </row>
    <row r="123" spans="2:8" x14ac:dyDescent="0.2">
      <c r="B123" s="145"/>
    </row>
    <row r="124" spans="2:8" x14ac:dyDescent="0.2">
      <c r="B124" s="145"/>
    </row>
    <row r="125" spans="2:8" x14ac:dyDescent="0.2">
      <c r="B125" s="145"/>
    </row>
    <row r="126" spans="2:8" x14ac:dyDescent="0.2">
      <c r="B126" s="145"/>
    </row>
    <row r="127" spans="2:8" x14ac:dyDescent="0.2">
      <c r="B127" s="145"/>
    </row>
    <row r="128" spans="2:8" x14ac:dyDescent="0.2">
      <c r="B128" s="145"/>
      <c r="H128" s="146"/>
    </row>
    <row r="129" spans="2:2" x14ac:dyDescent="0.2">
      <c r="B129" s="145"/>
    </row>
    <row r="130" spans="2:2" x14ac:dyDescent="0.2">
      <c r="B130" s="145"/>
    </row>
    <row r="131" spans="2:2" x14ac:dyDescent="0.2">
      <c r="B131" s="145"/>
    </row>
    <row r="132" spans="2:2" x14ac:dyDescent="0.2">
      <c r="B132" s="145"/>
    </row>
    <row r="133" spans="2:2" x14ac:dyDescent="0.2">
      <c r="B133" s="145"/>
    </row>
    <row r="134" spans="2:2" x14ac:dyDescent="0.2">
      <c r="B134" s="145"/>
    </row>
    <row r="135" spans="2:2" x14ac:dyDescent="0.2">
      <c r="B135" s="145"/>
    </row>
    <row r="136" spans="2:2" x14ac:dyDescent="0.2">
      <c r="B136" s="145"/>
    </row>
    <row r="137" spans="2:2" x14ac:dyDescent="0.2">
      <c r="B137" s="145"/>
    </row>
    <row r="138" spans="2:2" x14ac:dyDescent="0.2">
      <c r="B138" s="145"/>
    </row>
    <row r="139" spans="2:2" x14ac:dyDescent="0.2">
      <c r="B139" s="145"/>
    </row>
    <row r="140" spans="2:2" x14ac:dyDescent="0.2">
      <c r="B140" s="145"/>
    </row>
    <row r="141" spans="2:2" x14ac:dyDescent="0.2">
      <c r="B141" s="145"/>
    </row>
    <row r="142" spans="2:2" x14ac:dyDescent="0.2">
      <c r="B142" s="145"/>
    </row>
    <row r="143" spans="2:2" x14ac:dyDescent="0.2">
      <c r="B143" s="145"/>
    </row>
    <row r="144" spans="2:2" x14ac:dyDescent="0.2">
      <c r="B144" s="145"/>
    </row>
    <row r="145" spans="2:2" x14ac:dyDescent="0.2">
      <c r="B145" s="145"/>
    </row>
    <row r="146" spans="2:2" x14ac:dyDescent="0.2">
      <c r="B146" s="145"/>
    </row>
    <row r="147" spans="2:2" x14ac:dyDescent="0.2">
      <c r="B147" s="145"/>
    </row>
    <row r="148" spans="2:2" x14ac:dyDescent="0.2">
      <c r="B148" s="145"/>
    </row>
    <row r="149" spans="2:2" x14ac:dyDescent="0.2">
      <c r="B149" s="145"/>
    </row>
    <row r="150" spans="2:2" x14ac:dyDescent="0.2">
      <c r="B150" s="145"/>
    </row>
    <row r="151" spans="2:2" x14ac:dyDescent="0.2">
      <c r="B151" s="145"/>
    </row>
    <row r="152" spans="2:2" x14ac:dyDescent="0.2">
      <c r="B152" s="145"/>
    </row>
    <row r="153" spans="2:2" x14ac:dyDescent="0.2">
      <c r="B153" s="145"/>
    </row>
    <row r="154" spans="2:2" x14ac:dyDescent="0.2">
      <c r="B154" s="145"/>
    </row>
    <row r="155" spans="2:2" x14ac:dyDescent="0.2">
      <c r="B155" s="145"/>
    </row>
    <row r="156" spans="2:2" x14ac:dyDescent="0.2">
      <c r="B156" s="145"/>
    </row>
    <row r="157" spans="2:2" x14ac:dyDescent="0.2">
      <c r="B157" s="145"/>
    </row>
    <row r="158" spans="2:2" x14ac:dyDescent="0.2">
      <c r="B158" s="145"/>
    </row>
    <row r="159" spans="2:2" x14ac:dyDescent="0.2">
      <c r="B159" s="145"/>
    </row>
    <row r="160" spans="2:2" x14ac:dyDescent="0.2">
      <c r="B160" s="145"/>
    </row>
    <row r="161" spans="2:2" x14ac:dyDescent="0.2">
      <c r="B161" s="145"/>
    </row>
    <row r="162" spans="2:2" x14ac:dyDescent="0.2">
      <c r="B162" s="145"/>
    </row>
    <row r="163" spans="2:2" x14ac:dyDescent="0.2">
      <c r="B163" s="145"/>
    </row>
    <row r="164" spans="2:2" x14ac:dyDescent="0.2">
      <c r="B164" s="145"/>
    </row>
    <row r="165" spans="2:2" x14ac:dyDescent="0.2">
      <c r="B165" s="145"/>
    </row>
    <row r="166" spans="2:2" x14ac:dyDescent="0.2">
      <c r="B166" s="145"/>
    </row>
    <row r="167" spans="2:2" x14ac:dyDescent="0.2">
      <c r="B167" s="145"/>
    </row>
    <row r="168" spans="2:2" x14ac:dyDescent="0.2">
      <c r="B168" s="145"/>
    </row>
    <row r="169" spans="2:2" x14ac:dyDescent="0.2">
      <c r="B169" s="145"/>
    </row>
    <row r="170" spans="2:2" x14ac:dyDescent="0.2">
      <c r="B170" s="145"/>
    </row>
    <row r="171" spans="2:2" x14ac:dyDescent="0.2">
      <c r="B171" s="145"/>
    </row>
    <row r="172" spans="2:2" x14ac:dyDescent="0.2">
      <c r="B172" s="145"/>
    </row>
    <row r="173" spans="2:2" x14ac:dyDescent="0.2">
      <c r="B173" s="145"/>
    </row>
    <row r="174" spans="2:2" x14ac:dyDescent="0.2">
      <c r="B174" s="145"/>
    </row>
    <row r="175" spans="2:2" x14ac:dyDescent="0.2">
      <c r="B175" s="145"/>
    </row>
    <row r="176" spans="2:2" x14ac:dyDescent="0.2">
      <c r="B176" s="145"/>
    </row>
    <row r="177" spans="2:2" x14ac:dyDescent="0.2">
      <c r="B177" s="145"/>
    </row>
    <row r="178" spans="2:2" x14ac:dyDescent="0.2">
      <c r="B178" s="145"/>
    </row>
    <row r="179" spans="2:2" x14ac:dyDescent="0.2">
      <c r="B179" s="145"/>
    </row>
    <row r="180" spans="2:2" x14ac:dyDescent="0.2">
      <c r="B180" s="145"/>
    </row>
    <row r="181" spans="2:2" x14ac:dyDescent="0.2">
      <c r="B181" s="145"/>
    </row>
    <row r="182" spans="2:2" x14ac:dyDescent="0.2">
      <c r="B182" s="145"/>
    </row>
    <row r="183" spans="2:2" x14ac:dyDescent="0.2">
      <c r="B183" s="145"/>
    </row>
    <row r="184" spans="2:2" x14ac:dyDescent="0.2">
      <c r="B184" s="145"/>
    </row>
    <row r="185" spans="2:2" x14ac:dyDescent="0.2">
      <c r="B185" s="145"/>
    </row>
  </sheetData>
  <autoFilter ref="A1:I135" xr:uid="{7607D0D1-EE28-41D3-A21A-58034E62A422}"/>
  <sortState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abSelected="1" topLeftCell="A100" workbookViewId="0" zoomScale="85" zoomScaleNormal="85">
      <selection activeCell="A122" sqref="A122"/>
    </sheetView>
  </sheetViews>
  <sheetFormatPr defaultRowHeight="12.75" x14ac:dyDescent="0.2"/>
  <cols>
    <col min="1" max="1" bestFit="true" customWidth="true" width="1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577</v>
      </c>
    </row>
    <row r="2" spans="1:10" x14ac:dyDescent="0.2">
      <c r="A2" t="s">
        <v>480</v>
      </c>
      <c r="B2">
        <v>604094</v>
      </c>
      <c r="C2" s="67">
        <v>43588.704675925925</v>
      </c>
      <c r="D2" t="s">
        <v>593</v>
      </c>
      <c r="F2">
        <v>0</v>
      </c>
      <c r="G2">
        <v>0</v>
      </c>
      <c r="H2">
        <v>120</v>
      </c>
      <c r="J2" t="s">
        <v>1083</v>
      </c>
    </row>
    <row r="3" spans="1:10" x14ac:dyDescent="0.2">
      <c r="A3" t="s">
        <v>480</v>
      </c>
      <c r="B3">
        <v>604094</v>
      </c>
      <c r="C3" s="67">
        <v>43588.704675925925</v>
      </c>
      <c r="D3" t="s">
        <v>594</v>
      </c>
      <c r="E3" t="s">
        <v>595</v>
      </c>
      <c r="F3">
        <v>198039</v>
      </c>
      <c r="G3">
        <v>8.64</v>
      </c>
      <c r="H3">
        <v>0</v>
      </c>
      <c r="J3" t="s">
        <v>1084</v>
      </c>
    </row>
    <row r="4" spans="1:10" x14ac:dyDescent="0.2">
      <c r="A4" t="s">
        <v>480</v>
      </c>
      <c r="B4">
        <v>604151</v>
      </c>
      <c r="C4" s="67">
        <v>43588.706504629627</v>
      </c>
      <c r="D4" t="s">
        <v>596</v>
      </c>
      <c r="E4" t="s">
        <v>597</v>
      </c>
      <c r="F4">
        <v>165984</v>
      </c>
      <c r="G4">
        <v>105.36</v>
      </c>
      <c r="H4">
        <v>0</v>
      </c>
      <c r="J4" t="s">
        <v>1085</v>
      </c>
    </row>
    <row r="5" spans="1:10" x14ac:dyDescent="0.2">
      <c r="A5" t="s">
        <v>480</v>
      </c>
      <c r="B5">
        <v>605147</v>
      </c>
      <c r="C5" s="67">
        <v>43593.782789351855</v>
      </c>
      <c r="D5" t="s">
        <v>598</v>
      </c>
      <c r="F5">
        <v>0</v>
      </c>
      <c r="G5">
        <v>0</v>
      </c>
      <c r="H5">
        <v>476.46</v>
      </c>
      <c r="J5" t="s">
        <v>1083</v>
      </c>
    </row>
    <row r="6" spans="1:10" x14ac:dyDescent="0.2">
      <c r="A6" t="s">
        <v>480</v>
      </c>
      <c r="B6">
        <v>605147</v>
      </c>
      <c r="C6" s="67">
        <v>43593.782789351855</v>
      </c>
      <c r="D6" t="s">
        <v>594</v>
      </c>
      <c r="E6" t="s">
        <v>595</v>
      </c>
      <c r="F6">
        <v>198339</v>
      </c>
      <c r="G6">
        <v>34.31</v>
      </c>
      <c r="H6">
        <v>0</v>
      </c>
      <c r="J6" t="s">
        <v>1084</v>
      </c>
    </row>
    <row r="7" spans="1:10" x14ac:dyDescent="0.2">
      <c r="A7" t="s">
        <v>480</v>
      </c>
      <c r="B7">
        <v>605147</v>
      </c>
      <c r="C7" s="67">
        <v>43593.782789351855</v>
      </c>
      <c r="D7" t="s">
        <v>593</v>
      </c>
      <c r="F7">
        <v>0</v>
      </c>
      <c r="G7">
        <v>0</v>
      </c>
      <c r="H7">
        <v>3.66</v>
      </c>
      <c r="J7" t="s">
        <v>1083</v>
      </c>
    </row>
    <row r="8" spans="1:10" x14ac:dyDescent="0.2">
      <c r="A8" t="s">
        <v>480</v>
      </c>
      <c r="B8">
        <v>605147</v>
      </c>
      <c r="C8" s="67">
        <v>43593.782789351855</v>
      </c>
      <c r="D8" s="47" t="s">
        <v>594</v>
      </c>
      <c r="E8" t="s">
        <v>595</v>
      </c>
      <c r="F8">
        <v>198339</v>
      </c>
      <c r="G8">
        <v>0.26</v>
      </c>
      <c r="H8">
        <v>0</v>
      </c>
      <c r="J8" t="s">
        <v>1084</v>
      </c>
    </row>
    <row r="9" spans="1:10" x14ac:dyDescent="0.2">
      <c r="A9" t="s">
        <v>480</v>
      </c>
      <c r="B9">
        <v>605346</v>
      </c>
      <c r="C9" s="67">
        <v>43593.808009259257</v>
      </c>
      <c r="D9" t="s">
        <v>596</v>
      </c>
      <c r="E9" t="s">
        <v>597</v>
      </c>
      <c r="F9">
        <v>166204</v>
      </c>
      <c r="G9">
        <v>445.55</v>
      </c>
      <c r="H9">
        <v>0</v>
      </c>
      <c r="J9" t="s">
        <v>1085</v>
      </c>
    </row>
    <row r="10" spans="1:10" x14ac:dyDescent="0.2">
      <c r="A10" t="s">
        <v>480</v>
      </c>
      <c r="B10">
        <v>608119</v>
      </c>
      <c r="C10" s="67">
        <v>43602.748611111114</v>
      </c>
      <c r="D10" t="s">
        <v>599</v>
      </c>
      <c r="F10">
        <v>0</v>
      </c>
      <c r="G10">
        <v>0</v>
      </c>
      <c r="H10">
        <v>1.46</v>
      </c>
      <c r="J10" t="s">
        <v>1083</v>
      </c>
    </row>
    <row r="11" spans="1:10" x14ac:dyDescent="0.2">
      <c r="A11" t="s">
        <v>480</v>
      </c>
      <c r="B11">
        <v>608119</v>
      </c>
      <c r="C11" s="67">
        <v>43602.748611111114</v>
      </c>
      <c r="D11" t="s">
        <v>594</v>
      </c>
      <c r="E11" t="s">
        <v>595</v>
      </c>
      <c r="F11">
        <v>199365</v>
      </c>
      <c r="G11">
        <v>0.11</v>
      </c>
      <c r="H11">
        <v>0</v>
      </c>
      <c r="J11" t="s">
        <v>1084</v>
      </c>
    </row>
    <row r="12" spans="1:10" x14ac:dyDescent="0.2">
      <c r="A12" t="s">
        <v>480</v>
      </c>
      <c r="B12">
        <v>608119</v>
      </c>
      <c r="C12" s="67">
        <v>43602.748611111114</v>
      </c>
      <c r="D12" t="s">
        <v>598</v>
      </c>
      <c r="F12">
        <v>0</v>
      </c>
      <c r="G12">
        <v>0</v>
      </c>
      <c r="H12">
        <v>148.54</v>
      </c>
      <c r="J12" t="s">
        <v>1083</v>
      </c>
    </row>
    <row r="13" spans="1:10" x14ac:dyDescent="0.2">
      <c r="A13" t="s">
        <v>480</v>
      </c>
      <c r="B13">
        <v>608119</v>
      </c>
      <c r="C13" s="67">
        <v>43602.748611111114</v>
      </c>
      <c r="D13" t="s">
        <v>594</v>
      </c>
      <c r="E13" t="s">
        <v>595</v>
      </c>
      <c r="F13">
        <v>199365</v>
      </c>
      <c r="G13">
        <v>10.69</v>
      </c>
      <c r="H13">
        <v>0</v>
      </c>
      <c r="J13" t="s">
        <v>1084</v>
      </c>
    </row>
    <row r="14" spans="1:10" x14ac:dyDescent="0.2">
      <c r="A14" t="s">
        <v>480</v>
      </c>
      <c r="B14">
        <v>608158</v>
      </c>
      <c r="C14" s="67">
        <v>43602.751631944448</v>
      </c>
      <c r="D14" t="s">
        <v>596</v>
      </c>
      <c r="E14" t="s">
        <v>597</v>
      </c>
      <c r="F14">
        <v>167262</v>
      </c>
      <c r="G14">
        <v>139.19999999999999</v>
      </c>
      <c r="H14">
        <v>0</v>
      </c>
      <c r="J14" t="s">
        <v>1085</v>
      </c>
    </row>
    <row r="15" spans="1:10" x14ac:dyDescent="0.2">
      <c r="A15" t="s">
        <v>480</v>
      </c>
      <c r="B15">
        <v>610088</v>
      </c>
      <c r="C15" s="67">
        <v>43613.024652777778</v>
      </c>
      <c r="D15" t="s">
        <v>600</v>
      </c>
      <c r="E15" t="s">
        <v>595</v>
      </c>
      <c r="F15">
        <v>201440</v>
      </c>
      <c r="G15">
        <v>6</v>
      </c>
      <c r="H15">
        <v>0</v>
      </c>
      <c r="J15" t="s">
        <v>1086</v>
      </c>
    </row>
    <row r="16" spans="1:10" x14ac:dyDescent="0.2">
      <c r="A16" t="s">
        <v>482</v>
      </c>
      <c r="B16">
        <v>603076</v>
      </c>
      <c r="C16" s="67">
        <v>43586.613715277781</v>
      </c>
      <c r="D16" t="s">
        <v>601</v>
      </c>
      <c r="F16">
        <v>0</v>
      </c>
      <c r="G16">
        <v>0</v>
      </c>
      <c r="H16">
        <v>720</v>
      </c>
      <c r="J16" t="s">
        <v>1083</v>
      </c>
    </row>
    <row r="17" spans="1:8" x14ac:dyDescent="0.2">
      <c r="A17" t="s">
        <v>482</v>
      </c>
      <c r="B17">
        <v>603076</v>
      </c>
      <c r="C17" s="67">
        <v>43586.613715277781</v>
      </c>
      <c r="D17" t="s">
        <v>602</v>
      </c>
      <c r="E17" t="s">
        <v>595</v>
      </c>
      <c r="F17">
        <v>197624</v>
      </c>
      <c r="G17">
        <v>51.84</v>
      </c>
      <c r="H17">
        <v>0</v>
      </c>
      <c r="J17" t="s">
        <v>1084</v>
      </c>
    </row>
    <row r="18" spans="1:8" x14ac:dyDescent="0.2">
      <c r="A18" t="s">
        <v>482</v>
      </c>
      <c r="B18">
        <v>603213</v>
      </c>
      <c r="C18" s="67">
        <v>43586.647719907407</v>
      </c>
      <c r="D18" t="s">
        <v>603</v>
      </c>
      <c r="E18" t="s">
        <v>597</v>
      </c>
      <c r="F18">
        <v>165646</v>
      </c>
      <c r="G18">
        <v>662.16</v>
      </c>
      <c r="H18">
        <v>0</v>
      </c>
      <c r="J18" t="s">
        <v>1085</v>
      </c>
    </row>
    <row r="19" spans="1:8" x14ac:dyDescent="0.2">
      <c r="A19" t="s">
        <v>482</v>
      </c>
      <c r="B19">
        <v>610088</v>
      </c>
      <c r="C19" s="67">
        <v>43613.024652777778</v>
      </c>
      <c r="D19" t="s">
        <v>604</v>
      </c>
      <c r="E19" t="s">
        <v>595</v>
      </c>
      <c r="F19">
        <v>201491</v>
      </c>
      <c r="G19">
        <v>6</v>
      </c>
      <c r="H19">
        <v>0</v>
      </c>
      <c r="J19" t="s">
        <v>1086</v>
      </c>
    </row>
    <row r="20" spans="1:8" x14ac:dyDescent="0.2">
      <c r="A20" t="s">
        <v>485</v>
      </c>
      <c r="B20">
        <v>610088</v>
      </c>
      <c r="C20" s="67">
        <v>43613.024652777778</v>
      </c>
      <c r="D20" t="s">
        <v>605</v>
      </c>
      <c r="E20" t="s">
        <v>595</v>
      </c>
      <c r="F20">
        <v>201625</v>
      </c>
      <c r="G20">
        <v>6</v>
      </c>
      <c r="H20">
        <v>0</v>
      </c>
      <c r="J20" t="s">
        <v>1086</v>
      </c>
    </row>
    <row r="21" spans="1:8" x14ac:dyDescent="0.2">
      <c r="A21" t="s">
        <v>485</v>
      </c>
      <c r="B21">
        <v>611735</v>
      </c>
      <c r="C21" s="67">
        <v>43616.641793981478</v>
      </c>
      <c r="D21" t="s">
        <v>606</v>
      </c>
      <c r="F21">
        <v>0</v>
      </c>
      <c r="G21">
        <v>0</v>
      </c>
      <c r="H21">
        <v>500</v>
      </c>
      <c r="J21" t="s">
        <v>1083</v>
      </c>
    </row>
    <row r="22" spans="1:8" x14ac:dyDescent="0.2">
      <c r="A22" t="s">
        <v>485</v>
      </c>
      <c r="B22">
        <v>611735</v>
      </c>
      <c r="C22" s="67">
        <v>43616.641793981478</v>
      </c>
      <c r="D22" t="s">
        <v>607</v>
      </c>
      <c r="E22" t="s">
        <v>595</v>
      </c>
      <c r="F22">
        <v>202204</v>
      </c>
      <c r="G22">
        <v>36</v>
      </c>
      <c r="H22">
        <v>0</v>
      </c>
      <c r="J22" t="s">
        <v>1084</v>
      </c>
    </row>
    <row r="23" spans="1:8" x14ac:dyDescent="0.2">
      <c r="A23" t="s">
        <v>485</v>
      </c>
      <c r="B23">
        <v>611748</v>
      </c>
      <c r="C23" s="67">
        <v>43616.646354166667</v>
      </c>
      <c r="D23" t="s">
        <v>608</v>
      </c>
      <c r="E23" t="s">
        <v>597</v>
      </c>
      <c r="F23">
        <v>168316</v>
      </c>
      <c r="G23">
        <v>458</v>
      </c>
      <c r="H23">
        <v>0</v>
      </c>
      <c r="J23" t="s">
        <v>1085</v>
      </c>
    </row>
    <row r="24" spans="1:8" x14ac:dyDescent="0.2">
      <c r="A24" t="s">
        <v>486</v>
      </c>
      <c r="B24">
        <v>603189</v>
      </c>
      <c r="C24" s="67">
        <v>43586.622199074074</v>
      </c>
      <c r="D24" t="s">
        <v>609</v>
      </c>
      <c r="F24">
        <v>0</v>
      </c>
      <c r="G24">
        <v>0</v>
      </c>
      <c r="H24">
        <v>505</v>
      </c>
      <c r="J24" t="s">
        <v>1083</v>
      </c>
    </row>
    <row r="25" spans="1:8" x14ac:dyDescent="0.2">
      <c r="A25" t="s">
        <v>486</v>
      </c>
      <c r="B25">
        <v>603189</v>
      </c>
      <c r="C25" s="67">
        <v>43586.622199074074</v>
      </c>
      <c r="D25" t="s">
        <v>610</v>
      </c>
      <c r="E25" t="s">
        <v>595</v>
      </c>
      <c r="F25">
        <v>197729</v>
      </c>
      <c r="G25">
        <v>36.36</v>
      </c>
      <c r="H25">
        <v>0</v>
      </c>
      <c r="J25" t="s">
        <v>1084</v>
      </c>
    </row>
    <row r="26" spans="1:8" x14ac:dyDescent="0.2">
      <c r="A26" t="s">
        <v>486</v>
      </c>
      <c r="B26">
        <v>603213</v>
      </c>
      <c r="C26" s="67">
        <v>43586.647719907407</v>
      </c>
      <c r="D26" t="s">
        <v>611</v>
      </c>
      <c r="E26" t="s">
        <v>597</v>
      </c>
      <c r="F26">
        <v>165758</v>
      </c>
      <c r="G26">
        <v>462.64</v>
      </c>
      <c r="H26">
        <v>0</v>
      </c>
      <c r="J26" t="s">
        <v>1085</v>
      </c>
    </row>
    <row r="27" spans="1:8" x14ac:dyDescent="0.2">
      <c r="A27" t="s">
        <v>486</v>
      </c>
      <c r="B27">
        <v>610088</v>
      </c>
      <c r="C27" s="67">
        <v>43613.024652777778</v>
      </c>
      <c r="D27" t="s">
        <v>612</v>
      </c>
      <c r="E27" t="s">
        <v>595</v>
      </c>
      <c r="F27">
        <v>201626</v>
      </c>
      <c r="G27">
        <v>6</v>
      </c>
      <c r="H27">
        <v>0</v>
      </c>
      <c r="J27" t="s">
        <v>1086</v>
      </c>
    </row>
    <row r="28" spans="1:8" x14ac:dyDescent="0.2">
      <c r="A28" t="s">
        <v>491</v>
      </c>
      <c r="B28">
        <v>605818</v>
      </c>
      <c r="C28" s="67">
        <v>43595.532071759262</v>
      </c>
      <c r="D28" t="s">
        <v>613</v>
      </c>
      <c r="F28">
        <v>0</v>
      </c>
      <c r="G28">
        <v>0</v>
      </c>
      <c r="H28">
        <v>500</v>
      </c>
      <c r="J28" t="s">
        <v>1083</v>
      </c>
    </row>
    <row r="29" spans="1:8" x14ac:dyDescent="0.2">
      <c r="A29" t="s">
        <v>491</v>
      </c>
      <c r="B29">
        <v>605818</v>
      </c>
      <c r="C29" s="67">
        <v>43595.532071759262</v>
      </c>
      <c r="D29" t="s">
        <v>614</v>
      </c>
      <c r="E29" t="s">
        <v>595</v>
      </c>
      <c r="F29">
        <v>198767</v>
      </c>
      <c r="G29">
        <v>36</v>
      </c>
      <c r="H29">
        <v>0</v>
      </c>
      <c r="J29" t="s">
        <v>1084</v>
      </c>
    </row>
    <row r="30" spans="1:8" x14ac:dyDescent="0.2">
      <c r="A30" t="s">
        <v>491</v>
      </c>
      <c r="B30">
        <v>605827</v>
      </c>
      <c r="C30" s="67">
        <v>43595.533518518518</v>
      </c>
      <c r="D30" t="s">
        <v>615</v>
      </c>
      <c r="E30" t="s">
        <v>597</v>
      </c>
      <c r="F30">
        <v>166521</v>
      </c>
      <c r="G30">
        <v>464</v>
      </c>
      <c r="H30">
        <v>0</v>
      </c>
      <c r="J30" t="s">
        <v>1085</v>
      </c>
    </row>
    <row r="31" spans="1:8" x14ac:dyDescent="0.2">
      <c r="A31" t="s">
        <v>491</v>
      </c>
      <c r="B31">
        <v>610088</v>
      </c>
      <c r="C31" s="67">
        <v>43613.024652777778</v>
      </c>
      <c r="D31" s="47" t="s">
        <v>616</v>
      </c>
      <c r="E31" t="s">
        <v>595</v>
      </c>
      <c r="F31">
        <v>201547</v>
      </c>
      <c r="G31">
        <v>6</v>
      </c>
      <c r="H31">
        <v>0</v>
      </c>
      <c r="J31" t="s">
        <v>1086</v>
      </c>
    </row>
    <row r="32" spans="1:8" x14ac:dyDescent="0.2">
      <c r="A32" t="s">
        <v>493</v>
      </c>
      <c r="B32">
        <v>605301</v>
      </c>
      <c r="C32" s="67">
        <v>43593.805613425924</v>
      </c>
      <c r="D32" t="s">
        <v>617</v>
      </c>
      <c r="F32">
        <v>0</v>
      </c>
      <c r="G32">
        <v>0</v>
      </c>
      <c r="H32">
        <v>385.05</v>
      </c>
      <c r="J32" t="s">
        <v>1083</v>
      </c>
    </row>
    <row r="33" spans="1:8" x14ac:dyDescent="0.2">
      <c r="A33" t="s">
        <v>493</v>
      </c>
      <c r="B33">
        <v>605301</v>
      </c>
      <c r="C33" s="67">
        <v>43593.805613425924</v>
      </c>
      <c r="D33" t="s">
        <v>618</v>
      </c>
      <c r="E33" t="s">
        <v>595</v>
      </c>
      <c r="F33">
        <v>198480</v>
      </c>
      <c r="G33">
        <v>27.72</v>
      </c>
      <c r="H33">
        <v>0</v>
      </c>
      <c r="J33" t="s">
        <v>1084</v>
      </c>
    </row>
    <row r="34" spans="1:8" x14ac:dyDescent="0.2">
      <c r="A34" t="s">
        <v>493</v>
      </c>
      <c r="B34">
        <v>605301</v>
      </c>
      <c r="C34" s="67">
        <v>43593.805613425924</v>
      </c>
      <c r="D34" t="s">
        <v>619</v>
      </c>
      <c r="F34">
        <v>0</v>
      </c>
      <c r="G34">
        <v>0</v>
      </c>
      <c r="H34">
        <v>95.07</v>
      </c>
      <c r="J34" t="s">
        <v>1083</v>
      </c>
    </row>
    <row r="35" spans="1:8" x14ac:dyDescent="0.2">
      <c r="A35" t="s">
        <v>493</v>
      </c>
      <c r="B35">
        <v>605301</v>
      </c>
      <c r="C35" s="67">
        <v>43593.805613425924</v>
      </c>
      <c r="D35" t="s">
        <v>618</v>
      </c>
      <c r="E35" t="s">
        <v>595</v>
      </c>
      <c r="F35">
        <v>198480</v>
      </c>
      <c r="G35">
        <v>6.84</v>
      </c>
      <c r="H35">
        <v>0</v>
      </c>
      <c r="J35" t="s">
        <v>1084</v>
      </c>
    </row>
    <row r="36" spans="1:8" x14ac:dyDescent="0.2">
      <c r="A36" t="s">
        <v>493</v>
      </c>
      <c r="B36">
        <v>605346</v>
      </c>
      <c r="C36" s="67">
        <v>43593.808009259257</v>
      </c>
      <c r="D36" t="s">
        <v>620</v>
      </c>
      <c r="E36" t="s">
        <v>597</v>
      </c>
      <c r="F36">
        <v>166358</v>
      </c>
      <c r="G36">
        <v>433.56</v>
      </c>
      <c r="H36">
        <v>0</v>
      </c>
      <c r="J36" t="s">
        <v>1085</v>
      </c>
    </row>
    <row r="37" spans="1:8" x14ac:dyDescent="0.2">
      <c r="A37" t="s">
        <v>493</v>
      </c>
      <c r="B37">
        <v>609417</v>
      </c>
      <c r="C37" s="67">
        <v>43607.693240740744</v>
      </c>
      <c r="D37" t="s">
        <v>617</v>
      </c>
      <c r="F37">
        <v>0</v>
      </c>
      <c r="G37">
        <v>0</v>
      </c>
      <c r="H37">
        <v>40</v>
      </c>
      <c r="J37" t="s">
        <v>1083</v>
      </c>
    </row>
    <row r="38" spans="1:8" x14ac:dyDescent="0.2">
      <c r="A38" t="s">
        <v>493</v>
      </c>
      <c r="B38">
        <v>609417</v>
      </c>
      <c r="C38" s="67">
        <v>43607.693240740744</v>
      </c>
      <c r="D38" t="s">
        <v>618</v>
      </c>
      <c r="E38" t="s">
        <v>595</v>
      </c>
      <c r="F38">
        <v>199794</v>
      </c>
      <c r="G38">
        <v>2.88</v>
      </c>
      <c r="H38">
        <v>0</v>
      </c>
      <c r="J38" t="s">
        <v>1084</v>
      </c>
    </row>
    <row r="39" spans="1:8" x14ac:dyDescent="0.2">
      <c r="A39" t="s">
        <v>493</v>
      </c>
      <c r="B39">
        <v>609426</v>
      </c>
      <c r="C39" s="67">
        <v>43607.698692129627</v>
      </c>
      <c r="D39" t="s">
        <v>620</v>
      </c>
      <c r="E39" t="s">
        <v>597</v>
      </c>
      <c r="F39">
        <v>167690</v>
      </c>
      <c r="G39">
        <v>37.119999999999997</v>
      </c>
      <c r="H39">
        <v>0</v>
      </c>
      <c r="J39" t="s">
        <v>1085</v>
      </c>
    </row>
    <row r="40" spans="1:8" x14ac:dyDescent="0.2">
      <c r="A40" t="s">
        <v>493</v>
      </c>
      <c r="B40">
        <v>610088</v>
      </c>
      <c r="C40" s="67">
        <v>43613.024652777778</v>
      </c>
      <c r="D40" t="s">
        <v>621</v>
      </c>
      <c r="E40" t="s">
        <v>595</v>
      </c>
      <c r="F40">
        <v>201316</v>
      </c>
      <c r="G40">
        <v>6</v>
      </c>
      <c r="H40">
        <v>0</v>
      </c>
      <c r="J40" t="s">
        <v>1086</v>
      </c>
    </row>
    <row r="41" spans="1:8" x14ac:dyDescent="0.2">
      <c r="A41" t="s">
        <v>494</v>
      </c>
      <c r="B41">
        <v>605311</v>
      </c>
      <c r="C41" s="67">
        <v>43593.805613425924</v>
      </c>
      <c r="D41" t="s">
        <v>622</v>
      </c>
      <c r="F41">
        <v>0</v>
      </c>
      <c r="G41">
        <v>0</v>
      </c>
      <c r="H41">
        <v>263.12</v>
      </c>
      <c r="J41" t="s">
        <v>1083</v>
      </c>
    </row>
    <row r="42" spans="1:8" x14ac:dyDescent="0.2">
      <c r="A42" t="s">
        <v>494</v>
      </c>
      <c r="B42">
        <v>605311</v>
      </c>
      <c r="C42" s="67">
        <v>43593.805613425924</v>
      </c>
      <c r="D42" t="s">
        <v>623</v>
      </c>
      <c r="E42" t="s">
        <v>595</v>
      </c>
      <c r="F42">
        <v>198489</v>
      </c>
      <c r="G42">
        <v>18.95</v>
      </c>
      <c r="H42">
        <v>0</v>
      </c>
      <c r="J42" t="s">
        <v>1084</v>
      </c>
    </row>
    <row r="43" spans="1:8" x14ac:dyDescent="0.2">
      <c r="A43" t="s">
        <v>494</v>
      </c>
      <c r="B43">
        <v>605346</v>
      </c>
      <c r="C43" s="67">
        <v>43593.808009259257</v>
      </c>
      <c r="D43" t="s">
        <v>624</v>
      </c>
      <c r="E43" t="s">
        <v>597</v>
      </c>
      <c r="F43">
        <v>166368</v>
      </c>
      <c r="G43">
        <v>238.17</v>
      </c>
      <c r="H43">
        <v>0</v>
      </c>
      <c r="J43" t="s">
        <v>1085</v>
      </c>
    </row>
    <row r="44" spans="1:8" x14ac:dyDescent="0.2">
      <c r="A44" t="s">
        <v>494</v>
      </c>
      <c r="B44">
        <v>609588</v>
      </c>
      <c r="C44" s="67">
        <v>43608.627442129633</v>
      </c>
      <c r="D44" t="s">
        <v>625</v>
      </c>
      <c r="F44">
        <v>0</v>
      </c>
      <c r="G44">
        <v>0</v>
      </c>
      <c r="H44">
        <v>189.2</v>
      </c>
      <c r="J44" t="s">
        <v>1083</v>
      </c>
    </row>
    <row r="45" spans="1:8" x14ac:dyDescent="0.2">
      <c r="A45" t="s">
        <v>494</v>
      </c>
      <c r="B45">
        <v>609588</v>
      </c>
      <c r="C45" s="67">
        <v>43608.627442129633</v>
      </c>
      <c r="D45" t="s">
        <v>623</v>
      </c>
      <c r="E45" t="s">
        <v>595</v>
      </c>
      <c r="F45">
        <v>199850</v>
      </c>
      <c r="G45">
        <v>13.62</v>
      </c>
      <c r="H45">
        <v>0</v>
      </c>
      <c r="J45" t="s">
        <v>1084</v>
      </c>
    </row>
    <row r="46" spans="1:8" x14ac:dyDescent="0.2">
      <c r="A46" t="s">
        <v>494</v>
      </c>
      <c r="B46">
        <v>609592</v>
      </c>
      <c r="C46" s="67">
        <v>43608.630532407406</v>
      </c>
      <c r="D46" t="s">
        <v>624</v>
      </c>
      <c r="E46" t="s">
        <v>597</v>
      </c>
      <c r="F46">
        <v>167729</v>
      </c>
      <c r="G46">
        <v>175.58</v>
      </c>
      <c r="H46">
        <v>0</v>
      </c>
      <c r="J46" t="s">
        <v>1085</v>
      </c>
    </row>
    <row r="47" spans="1:8" x14ac:dyDescent="0.2">
      <c r="A47" t="s">
        <v>494</v>
      </c>
      <c r="B47">
        <v>610088</v>
      </c>
      <c r="C47" s="67">
        <v>43613.024652777778</v>
      </c>
      <c r="D47" t="s">
        <v>626</v>
      </c>
      <c r="E47" t="s">
        <v>595</v>
      </c>
      <c r="F47">
        <v>201319</v>
      </c>
      <c r="G47">
        <v>6</v>
      </c>
      <c r="H47">
        <v>0</v>
      </c>
      <c r="J47" t="s">
        <v>1086</v>
      </c>
    </row>
    <row r="48" spans="1:8" x14ac:dyDescent="0.2">
      <c r="A48" t="s">
        <v>497</v>
      </c>
      <c r="B48">
        <v>604142</v>
      </c>
      <c r="C48" s="67">
        <v>43588.704675925925</v>
      </c>
      <c r="D48" t="s">
        <v>627</v>
      </c>
      <c r="F48">
        <v>0</v>
      </c>
      <c r="G48">
        <v>0</v>
      </c>
      <c r="H48">
        <v>550</v>
      </c>
      <c r="J48" t="s">
        <v>1083</v>
      </c>
    </row>
    <row r="49" spans="1:8" x14ac:dyDescent="0.2">
      <c r="A49" t="s">
        <v>497</v>
      </c>
      <c r="B49">
        <v>604142</v>
      </c>
      <c r="C49" s="67">
        <v>43588.704675925925</v>
      </c>
      <c r="D49" t="s">
        <v>628</v>
      </c>
      <c r="E49" t="s">
        <v>595</v>
      </c>
      <c r="F49">
        <v>198083</v>
      </c>
      <c r="G49">
        <v>39.6</v>
      </c>
      <c r="H49">
        <v>0</v>
      </c>
      <c r="J49" t="s">
        <v>1084</v>
      </c>
    </row>
    <row r="50" spans="1:8" x14ac:dyDescent="0.2">
      <c r="A50" t="s">
        <v>497</v>
      </c>
      <c r="B50">
        <v>604151</v>
      </c>
      <c r="C50" s="67">
        <v>43588.706504629627</v>
      </c>
      <c r="D50" t="s">
        <v>629</v>
      </c>
      <c r="E50" t="s">
        <v>597</v>
      </c>
      <c r="F50">
        <v>166032</v>
      </c>
      <c r="G50">
        <v>504.4</v>
      </c>
      <c r="H50">
        <v>0</v>
      </c>
      <c r="J50" t="s">
        <v>1085</v>
      </c>
    </row>
    <row r="51" spans="1:8" x14ac:dyDescent="0.2">
      <c r="A51" t="s">
        <v>497</v>
      </c>
      <c r="B51">
        <v>610088</v>
      </c>
      <c r="C51" s="67">
        <v>43613.024652777778</v>
      </c>
      <c r="D51" t="s">
        <v>630</v>
      </c>
      <c r="E51" t="s">
        <v>595</v>
      </c>
      <c r="F51">
        <v>201305</v>
      </c>
      <c r="G51">
        <v>6</v>
      </c>
      <c r="H51">
        <v>0</v>
      </c>
      <c r="J51" t="s">
        <v>1086</v>
      </c>
    </row>
    <row r="52" spans="1:8" x14ac:dyDescent="0.2">
      <c r="A52" s="47" t="s">
        <v>499</v>
      </c>
      <c r="B52">
        <v>605295</v>
      </c>
      <c r="C52" s="67">
        <v>43593.805613425924</v>
      </c>
      <c r="D52" t="s">
        <v>631</v>
      </c>
      <c r="F52">
        <v>0</v>
      </c>
      <c r="G52">
        <v>0</v>
      </c>
      <c r="H52">
        <v>422.08</v>
      </c>
      <c r="J52" t="s">
        <v>1083</v>
      </c>
    </row>
    <row r="53" spans="1:8" x14ac:dyDescent="0.2">
      <c r="A53" s="47" t="s">
        <v>499</v>
      </c>
      <c r="B53">
        <v>605295</v>
      </c>
      <c r="C53" s="67">
        <v>43593.805613425924</v>
      </c>
      <c r="D53" t="s">
        <v>632</v>
      </c>
      <c r="E53" t="s">
        <v>595</v>
      </c>
      <c r="F53">
        <v>198474</v>
      </c>
      <c r="G53">
        <v>30.38</v>
      </c>
      <c r="H53">
        <v>0</v>
      </c>
      <c r="J53" t="s">
        <v>1084</v>
      </c>
    </row>
    <row r="54" spans="1:8" x14ac:dyDescent="0.2">
      <c r="A54" s="47" t="s">
        <v>499</v>
      </c>
      <c r="B54">
        <v>605295</v>
      </c>
      <c r="C54" s="67">
        <v>43593.805613425924</v>
      </c>
      <c r="D54" t="s">
        <v>633</v>
      </c>
      <c r="F54">
        <v>0</v>
      </c>
      <c r="G54">
        <v>0</v>
      </c>
      <c r="H54">
        <v>39.44</v>
      </c>
      <c r="J54" t="s">
        <v>1083</v>
      </c>
    </row>
    <row r="55" spans="1:8" x14ac:dyDescent="0.2">
      <c r="A55" s="47" t="s">
        <v>499</v>
      </c>
      <c r="B55">
        <v>605295</v>
      </c>
      <c r="C55" s="67">
        <v>43593.805613425924</v>
      </c>
      <c r="D55" t="s">
        <v>632</v>
      </c>
      <c r="E55" t="s">
        <v>595</v>
      </c>
      <c r="F55">
        <v>198474</v>
      </c>
      <c r="G55">
        <v>2.84</v>
      </c>
      <c r="H55">
        <v>0</v>
      </c>
      <c r="J55" t="s">
        <v>1084</v>
      </c>
    </row>
    <row r="56" spans="1:8" x14ac:dyDescent="0.2">
      <c r="A56" s="47" t="s">
        <v>499</v>
      </c>
      <c r="B56">
        <v>605346</v>
      </c>
      <c r="C56" s="67">
        <v>43593.808009259257</v>
      </c>
      <c r="D56" t="s">
        <v>634</v>
      </c>
      <c r="E56" t="s">
        <v>597</v>
      </c>
      <c r="F56">
        <v>166352</v>
      </c>
      <c r="G56">
        <v>422.3</v>
      </c>
      <c r="H56">
        <v>0</v>
      </c>
      <c r="J56" t="s">
        <v>1085</v>
      </c>
    </row>
    <row r="57" spans="1:8" x14ac:dyDescent="0.2">
      <c r="A57" s="47" t="s">
        <v>499</v>
      </c>
      <c r="B57">
        <v>610088</v>
      </c>
      <c r="C57" s="67">
        <v>43613.024652777778</v>
      </c>
      <c r="D57" t="s">
        <v>635</v>
      </c>
      <c r="E57" t="s">
        <v>595</v>
      </c>
      <c r="F57">
        <v>201315</v>
      </c>
      <c r="G57">
        <v>6</v>
      </c>
      <c r="H57">
        <v>0</v>
      </c>
      <c r="J57" t="s">
        <v>1086</v>
      </c>
    </row>
    <row r="58" spans="1:8" x14ac:dyDescent="0.2">
      <c r="A58" s="47" t="s">
        <v>501</v>
      </c>
      <c r="B58">
        <v>603184</v>
      </c>
      <c r="C58" s="67">
        <v>43586.622199074074</v>
      </c>
      <c r="D58" t="s">
        <v>636</v>
      </c>
      <c r="F58">
        <v>0</v>
      </c>
      <c r="G58">
        <v>0</v>
      </c>
      <c r="H58">
        <v>600</v>
      </c>
      <c r="J58" t="s">
        <v>1083</v>
      </c>
    </row>
    <row r="59" spans="1:8" x14ac:dyDescent="0.2">
      <c r="A59" t="s">
        <v>501</v>
      </c>
      <c r="B59">
        <v>603184</v>
      </c>
      <c r="C59" s="67">
        <v>43586.622199074074</v>
      </c>
      <c r="D59" t="s">
        <v>637</v>
      </c>
      <c r="E59" t="s">
        <v>595</v>
      </c>
      <c r="F59">
        <v>197724</v>
      </c>
      <c r="G59">
        <v>43.2</v>
      </c>
      <c r="H59">
        <v>0</v>
      </c>
      <c r="J59" t="s">
        <v>1084</v>
      </c>
    </row>
    <row r="60" spans="1:8" x14ac:dyDescent="0.2">
      <c r="A60" t="s">
        <v>501</v>
      </c>
      <c r="B60">
        <v>603213</v>
      </c>
      <c r="C60" s="67">
        <v>43586.647719907407</v>
      </c>
      <c r="D60" t="s">
        <v>638</v>
      </c>
      <c r="E60" t="s">
        <v>597</v>
      </c>
      <c r="F60">
        <v>165753</v>
      </c>
      <c r="G60">
        <v>520.79999999999995</v>
      </c>
      <c r="H60">
        <v>0</v>
      </c>
      <c r="J60" t="s">
        <v>1085</v>
      </c>
    </row>
    <row r="61" spans="1:8" x14ac:dyDescent="0.2">
      <c r="A61" t="s">
        <v>501</v>
      </c>
      <c r="B61">
        <v>610088</v>
      </c>
      <c r="C61" s="67">
        <v>43613.024652777778</v>
      </c>
      <c r="D61" t="s">
        <v>639</v>
      </c>
      <c r="E61" t="s">
        <v>595</v>
      </c>
      <c r="F61">
        <v>201384</v>
      </c>
      <c r="G61">
        <v>6</v>
      </c>
      <c r="H61">
        <v>0</v>
      </c>
      <c r="J61" t="s">
        <v>1086</v>
      </c>
    </row>
    <row r="62" spans="1:8" x14ac:dyDescent="0.2">
      <c r="A62" t="s">
        <v>503</v>
      </c>
      <c r="B62">
        <v>605315</v>
      </c>
      <c r="C62" s="67">
        <v>43593.805613425924</v>
      </c>
      <c r="D62" t="s">
        <v>640</v>
      </c>
      <c r="F62">
        <v>0</v>
      </c>
      <c r="G62">
        <v>0</v>
      </c>
      <c r="H62">
        <v>211.2</v>
      </c>
      <c r="J62" t="s">
        <v>1083</v>
      </c>
    </row>
    <row r="63" spans="1:8" x14ac:dyDescent="0.2">
      <c r="A63" t="s">
        <v>503</v>
      </c>
      <c r="B63">
        <v>605315</v>
      </c>
      <c r="C63" s="67">
        <v>43593.805613425924</v>
      </c>
      <c r="D63" t="s">
        <v>641</v>
      </c>
      <c r="E63" t="s">
        <v>595</v>
      </c>
      <c r="F63">
        <v>198493</v>
      </c>
      <c r="G63">
        <v>15.2</v>
      </c>
      <c r="H63">
        <v>0</v>
      </c>
      <c r="J63" t="s">
        <v>1084</v>
      </c>
    </row>
    <row r="64" spans="1:8" x14ac:dyDescent="0.2">
      <c r="A64" t="s">
        <v>503</v>
      </c>
      <c r="B64">
        <v>605315</v>
      </c>
      <c r="C64" s="67">
        <v>43593.805613425924</v>
      </c>
      <c r="D64" t="s">
        <v>642</v>
      </c>
      <c r="F64">
        <v>0</v>
      </c>
      <c r="G64">
        <v>0</v>
      </c>
      <c r="H64">
        <v>250.32</v>
      </c>
      <c r="J64" t="s">
        <v>1083</v>
      </c>
    </row>
    <row r="65" spans="1:8" x14ac:dyDescent="0.2">
      <c r="A65" t="s">
        <v>503</v>
      </c>
      <c r="B65">
        <v>605315</v>
      </c>
      <c r="C65" s="67">
        <v>43593.805613425924</v>
      </c>
      <c r="D65" t="s">
        <v>641</v>
      </c>
      <c r="E65" t="s">
        <v>595</v>
      </c>
      <c r="F65">
        <v>198493</v>
      </c>
      <c r="G65">
        <v>18.02</v>
      </c>
      <c r="H65">
        <v>0</v>
      </c>
      <c r="J65" t="s">
        <v>1084</v>
      </c>
    </row>
    <row r="66" spans="1:8" x14ac:dyDescent="0.2">
      <c r="A66" t="s">
        <v>503</v>
      </c>
      <c r="B66">
        <v>605346</v>
      </c>
      <c r="C66" s="67">
        <v>43593.808009259257</v>
      </c>
      <c r="D66" t="s">
        <v>643</v>
      </c>
      <c r="E66" t="s">
        <v>597</v>
      </c>
      <c r="F66">
        <v>166372</v>
      </c>
      <c r="G66">
        <v>422.3</v>
      </c>
      <c r="H66">
        <v>0</v>
      </c>
      <c r="J66" t="s">
        <v>1085</v>
      </c>
    </row>
    <row r="67" spans="1:8" x14ac:dyDescent="0.2">
      <c r="A67" t="s">
        <v>503</v>
      </c>
      <c r="B67">
        <v>610088</v>
      </c>
      <c r="C67" s="67">
        <v>43613.024652777778</v>
      </c>
      <c r="D67" t="s">
        <v>644</v>
      </c>
      <c r="E67" t="s">
        <v>595</v>
      </c>
      <c r="F67">
        <v>201387</v>
      </c>
      <c r="G67">
        <v>6</v>
      </c>
      <c r="H67">
        <v>0</v>
      </c>
      <c r="J67" t="s">
        <v>1086</v>
      </c>
    </row>
    <row r="68" spans="1:8" x14ac:dyDescent="0.2">
      <c r="A68" t="s">
        <v>505</v>
      </c>
      <c r="B68">
        <v>605289</v>
      </c>
      <c r="C68" s="67">
        <v>43593.805613425924</v>
      </c>
      <c r="D68" t="s">
        <v>645</v>
      </c>
      <c r="F68">
        <v>0</v>
      </c>
      <c r="G68">
        <v>0</v>
      </c>
      <c r="H68">
        <v>194.39</v>
      </c>
      <c r="J68" t="s">
        <v>1083</v>
      </c>
    </row>
    <row r="69" spans="1:8" x14ac:dyDescent="0.2">
      <c r="A69" t="s">
        <v>505</v>
      </c>
      <c r="B69">
        <v>605289</v>
      </c>
      <c r="C69" s="67">
        <v>43593.805613425924</v>
      </c>
      <c r="D69" t="s">
        <v>646</v>
      </c>
      <c r="E69" t="s">
        <v>595</v>
      </c>
      <c r="F69">
        <v>198469</v>
      </c>
      <c r="G69">
        <v>13.99</v>
      </c>
      <c r="H69">
        <v>0</v>
      </c>
      <c r="J69" t="s">
        <v>1084</v>
      </c>
    </row>
    <row r="70" spans="1:8" x14ac:dyDescent="0.2">
      <c r="A70" t="s">
        <v>505</v>
      </c>
      <c r="B70">
        <v>605346</v>
      </c>
      <c r="C70" s="67">
        <v>43593.808009259257</v>
      </c>
      <c r="D70" t="s">
        <v>647</v>
      </c>
      <c r="E70" t="s">
        <v>597</v>
      </c>
      <c r="F70">
        <v>166346</v>
      </c>
      <c r="G70">
        <v>174.4</v>
      </c>
      <c r="H70">
        <v>0</v>
      </c>
      <c r="J70" t="s">
        <v>1085</v>
      </c>
    </row>
    <row r="71" spans="1:8" x14ac:dyDescent="0.2">
      <c r="A71" t="s">
        <v>505</v>
      </c>
      <c r="B71">
        <v>608470</v>
      </c>
      <c r="C71" s="67">
        <v>43605.634618055556</v>
      </c>
      <c r="D71" t="s">
        <v>648</v>
      </c>
      <c r="F71">
        <v>0</v>
      </c>
      <c r="G71">
        <v>0</v>
      </c>
      <c r="H71">
        <v>271.77</v>
      </c>
      <c r="J71" t="s">
        <v>1083</v>
      </c>
    </row>
    <row r="72" spans="1:8" x14ac:dyDescent="0.2">
      <c r="A72" t="s">
        <v>505</v>
      </c>
      <c r="B72">
        <v>608470</v>
      </c>
      <c r="C72" s="67">
        <v>43605.634618055556</v>
      </c>
      <c r="D72" t="s">
        <v>646</v>
      </c>
      <c r="E72" t="s">
        <v>595</v>
      </c>
      <c r="F72">
        <v>199533</v>
      </c>
      <c r="G72">
        <v>19.57</v>
      </c>
      <c r="H72">
        <v>0</v>
      </c>
      <c r="J72" t="s">
        <v>1084</v>
      </c>
    </row>
    <row r="73" spans="1:8" x14ac:dyDescent="0.2">
      <c r="A73" t="s">
        <v>505</v>
      </c>
      <c r="B73">
        <v>608476</v>
      </c>
      <c r="C73" s="67">
        <v>43605.635509259257</v>
      </c>
      <c r="D73" t="s">
        <v>647</v>
      </c>
      <c r="E73" t="s">
        <v>597</v>
      </c>
      <c r="F73">
        <v>167356</v>
      </c>
      <c r="G73">
        <v>252.2</v>
      </c>
      <c r="H73">
        <v>0</v>
      </c>
      <c r="J73" t="s">
        <v>1085</v>
      </c>
    </row>
    <row r="74" spans="1:8" x14ac:dyDescent="0.2">
      <c r="A74" t="s">
        <v>505</v>
      </c>
      <c r="B74">
        <v>610088</v>
      </c>
      <c r="C74" s="67">
        <v>43613.024652777778</v>
      </c>
      <c r="D74" t="s">
        <v>649</v>
      </c>
      <c r="E74" t="s">
        <v>595</v>
      </c>
      <c r="F74">
        <v>201375</v>
      </c>
      <c r="G74">
        <v>6</v>
      </c>
      <c r="H74">
        <v>0</v>
      </c>
      <c r="J74" t="s">
        <v>1086</v>
      </c>
    </row>
    <row r="75" spans="1:8" x14ac:dyDescent="0.2">
      <c r="A75" t="s">
        <v>507</v>
      </c>
      <c r="B75">
        <v>610088</v>
      </c>
      <c r="C75" s="67">
        <v>43613.024652777778</v>
      </c>
      <c r="D75" t="s">
        <v>650</v>
      </c>
      <c r="E75" t="s">
        <v>595</v>
      </c>
      <c r="F75">
        <v>201377</v>
      </c>
      <c r="G75">
        <v>6</v>
      </c>
      <c r="H75">
        <v>0</v>
      </c>
      <c r="J75" t="s">
        <v>1086</v>
      </c>
    </row>
    <row r="76" spans="1:8" x14ac:dyDescent="0.2">
      <c r="A76" t="s">
        <v>507</v>
      </c>
      <c r="B76">
        <v>610953</v>
      </c>
      <c r="C76" s="67">
        <v>43614.699780092589</v>
      </c>
      <c r="D76" t="s">
        <v>651</v>
      </c>
      <c r="F76">
        <v>0</v>
      </c>
      <c r="G76">
        <v>0</v>
      </c>
      <c r="H76">
        <v>525</v>
      </c>
      <c r="J76" t="s">
        <v>1083</v>
      </c>
    </row>
    <row r="77" spans="1:8" x14ac:dyDescent="0.2">
      <c r="A77" t="s">
        <v>507</v>
      </c>
      <c r="B77">
        <v>610953</v>
      </c>
      <c r="C77" s="67">
        <v>43614.699780092589</v>
      </c>
      <c r="D77" t="s">
        <v>652</v>
      </c>
      <c r="E77" t="s">
        <v>595</v>
      </c>
      <c r="F77">
        <v>201929</v>
      </c>
      <c r="G77">
        <v>37.799999999999997</v>
      </c>
      <c r="H77">
        <v>0</v>
      </c>
      <c r="J77" t="s">
        <v>1084</v>
      </c>
    </row>
    <row r="78" spans="1:8" x14ac:dyDescent="0.2">
      <c r="A78" t="s">
        <v>507</v>
      </c>
      <c r="B78">
        <v>611001</v>
      </c>
      <c r="C78" s="67">
        <v>43614.719108796293</v>
      </c>
      <c r="D78" t="s">
        <v>653</v>
      </c>
      <c r="E78" t="s">
        <v>597</v>
      </c>
      <c r="F78">
        <v>168068</v>
      </c>
      <c r="G78">
        <v>481.2</v>
      </c>
      <c r="H78">
        <v>0</v>
      </c>
      <c r="J78" t="s">
        <v>1085</v>
      </c>
    </row>
    <row r="79" spans="1:8" x14ac:dyDescent="0.2">
      <c r="A79" t="s">
        <v>475</v>
      </c>
      <c r="B79">
        <v>605303</v>
      </c>
      <c r="C79" s="67">
        <v>43593.805613425924</v>
      </c>
      <c r="D79" t="s">
        <v>654</v>
      </c>
      <c r="F79">
        <v>0</v>
      </c>
      <c r="G79">
        <v>0</v>
      </c>
      <c r="H79">
        <v>399.27</v>
      </c>
      <c r="J79" t="s">
        <v>1083</v>
      </c>
    </row>
    <row r="80" spans="1:8" x14ac:dyDescent="0.2">
      <c r="A80" t="s">
        <v>475</v>
      </c>
      <c r="B80">
        <v>605303</v>
      </c>
      <c r="C80" s="67">
        <v>43593.805613425924</v>
      </c>
      <c r="D80" t="s">
        <v>655</v>
      </c>
      <c r="E80" t="s">
        <v>595</v>
      </c>
      <c r="F80">
        <v>198482</v>
      </c>
      <c r="G80">
        <v>28.75</v>
      </c>
      <c r="H80">
        <v>0</v>
      </c>
      <c r="J80" t="s">
        <v>1084</v>
      </c>
    </row>
    <row r="81" spans="1:8" x14ac:dyDescent="0.2">
      <c r="A81" t="s">
        <v>475</v>
      </c>
      <c r="B81">
        <v>605303</v>
      </c>
      <c r="C81" s="67">
        <v>43593.805613425924</v>
      </c>
      <c r="D81" t="s">
        <v>656</v>
      </c>
      <c r="F81">
        <v>0</v>
      </c>
      <c r="G81">
        <v>0</v>
      </c>
      <c r="H81">
        <v>62.25</v>
      </c>
      <c r="J81" t="s">
        <v>1083</v>
      </c>
    </row>
    <row r="82" spans="1:8" x14ac:dyDescent="0.2">
      <c r="A82" t="s">
        <v>475</v>
      </c>
      <c r="B82">
        <v>605303</v>
      </c>
      <c r="C82" s="67">
        <v>43593.805613425924</v>
      </c>
      <c r="D82" t="s">
        <v>655</v>
      </c>
      <c r="E82" t="s">
        <v>595</v>
      </c>
      <c r="F82">
        <v>198482</v>
      </c>
      <c r="G82">
        <v>4.49</v>
      </c>
      <c r="H82">
        <v>0</v>
      </c>
      <c r="J82" t="s">
        <v>1084</v>
      </c>
    </row>
    <row r="83" spans="1:8" x14ac:dyDescent="0.2">
      <c r="A83" t="s">
        <v>475</v>
      </c>
      <c r="B83">
        <v>605346</v>
      </c>
      <c r="C83" s="67">
        <v>43593.808009259257</v>
      </c>
      <c r="D83" t="s">
        <v>657</v>
      </c>
      <c r="E83" t="s">
        <v>597</v>
      </c>
      <c r="F83">
        <v>166360</v>
      </c>
      <c r="G83">
        <v>422.28</v>
      </c>
      <c r="H83">
        <v>0</v>
      </c>
      <c r="J83" t="s">
        <v>1085</v>
      </c>
    </row>
    <row r="84" spans="1:8" x14ac:dyDescent="0.2">
      <c r="A84" t="s">
        <v>475</v>
      </c>
      <c r="B84">
        <v>610088</v>
      </c>
      <c r="C84" s="67">
        <v>43613.024652777778</v>
      </c>
      <c r="D84" t="s">
        <v>658</v>
      </c>
      <c r="E84" t="s">
        <v>595</v>
      </c>
      <c r="F84">
        <v>201416</v>
      </c>
      <c r="G84">
        <v>6</v>
      </c>
      <c r="H84">
        <v>0</v>
      </c>
      <c r="J84" t="s">
        <v>1086</v>
      </c>
    </row>
    <row r="85" spans="1:8" x14ac:dyDescent="0.2">
      <c r="A85" t="s">
        <v>490</v>
      </c>
      <c r="B85">
        <v>604516</v>
      </c>
      <c r="C85" s="67">
        <v>43591.668298611112</v>
      </c>
      <c r="D85" t="s">
        <v>659</v>
      </c>
      <c r="F85">
        <v>0</v>
      </c>
      <c r="G85">
        <v>0</v>
      </c>
      <c r="H85">
        <v>150</v>
      </c>
      <c r="J85" t="s">
        <v>1083</v>
      </c>
    </row>
    <row r="86" spans="1:8" x14ac:dyDescent="0.2">
      <c r="A86" t="s">
        <v>490</v>
      </c>
      <c r="B86">
        <v>604516</v>
      </c>
      <c r="C86" s="67">
        <v>43591.668298611112</v>
      </c>
      <c r="D86" t="s">
        <v>660</v>
      </c>
      <c r="E86" t="s">
        <v>595</v>
      </c>
      <c r="F86">
        <v>198227</v>
      </c>
      <c r="G86">
        <v>10.8</v>
      </c>
      <c r="H86">
        <v>0</v>
      </c>
      <c r="J86" t="s">
        <v>1084</v>
      </c>
    </row>
    <row r="87" spans="1:8" x14ac:dyDescent="0.2">
      <c r="A87" t="s">
        <v>490</v>
      </c>
      <c r="B87">
        <v>604524</v>
      </c>
      <c r="C87" s="67">
        <v>43591.671458333331</v>
      </c>
      <c r="D87" t="s">
        <v>661</v>
      </c>
      <c r="E87" t="s">
        <v>597</v>
      </c>
      <c r="F87">
        <v>166150</v>
      </c>
      <c r="G87">
        <v>139.19999999999999</v>
      </c>
      <c r="H87">
        <v>0</v>
      </c>
      <c r="J87" t="s">
        <v>1085</v>
      </c>
    </row>
    <row r="88" spans="1:8" x14ac:dyDescent="0.2">
      <c r="A88" t="s">
        <v>490</v>
      </c>
      <c r="B88">
        <v>607454</v>
      </c>
      <c r="C88" s="67">
        <v>43600.677546296298</v>
      </c>
      <c r="D88" t="s">
        <v>659</v>
      </c>
      <c r="F88">
        <v>0</v>
      </c>
      <c r="G88">
        <v>0</v>
      </c>
      <c r="H88">
        <v>250</v>
      </c>
      <c r="J88" t="s">
        <v>1083</v>
      </c>
    </row>
    <row r="89" spans="1:8" x14ac:dyDescent="0.2">
      <c r="A89" t="s">
        <v>490</v>
      </c>
      <c r="B89">
        <v>607454</v>
      </c>
      <c r="C89" s="67">
        <v>43600.677546296298</v>
      </c>
      <c r="D89" t="s">
        <v>660</v>
      </c>
      <c r="E89" t="s">
        <v>595</v>
      </c>
      <c r="F89">
        <v>199233</v>
      </c>
      <c r="G89">
        <v>18</v>
      </c>
      <c r="H89">
        <v>0</v>
      </c>
      <c r="J89" t="s">
        <v>1084</v>
      </c>
    </row>
    <row r="90" spans="1:8" x14ac:dyDescent="0.2">
      <c r="A90" t="s">
        <v>490</v>
      </c>
      <c r="B90">
        <v>607460</v>
      </c>
      <c r="C90" s="67">
        <v>43600.680613425924</v>
      </c>
      <c r="D90" t="s">
        <v>661</v>
      </c>
      <c r="E90" t="s">
        <v>597</v>
      </c>
      <c r="F90">
        <v>166997</v>
      </c>
      <c r="G90">
        <v>232</v>
      </c>
      <c r="H90">
        <v>0</v>
      </c>
      <c r="J90" t="s">
        <v>1085</v>
      </c>
    </row>
    <row r="91" spans="1:8" x14ac:dyDescent="0.2">
      <c r="A91" t="s">
        <v>490</v>
      </c>
      <c r="B91">
        <v>609416</v>
      </c>
      <c r="C91" s="67">
        <v>43607.693240740744</v>
      </c>
      <c r="D91" t="s">
        <v>659</v>
      </c>
      <c r="F91">
        <v>0</v>
      </c>
      <c r="G91">
        <v>0</v>
      </c>
      <c r="H91">
        <v>50</v>
      </c>
      <c r="J91" t="s">
        <v>1083</v>
      </c>
    </row>
    <row r="92" spans="1:8" x14ac:dyDescent="0.2">
      <c r="A92" t="s">
        <v>490</v>
      </c>
      <c r="B92">
        <v>609416</v>
      </c>
      <c r="C92" s="67">
        <v>43607.693240740744</v>
      </c>
      <c r="D92" t="s">
        <v>660</v>
      </c>
      <c r="E92" t="s">
        <v>595</v>
      </c>
      <c r="F92">
        <v>199793</v>
      </c>
      <c r="G92">
        <v>3.6</v>
      </c>
      <c r="H92">
        <v>0</v>
      </c>
      <c r="J92" t="s">
        <v>1084</v>
      </c>
    </row>
    <row r="93" spans="1:8" x14ac:dyDescent="0.2">
      <c r="A93" t="s">
        <v>490</v>
      </c>
      <c r="B93">
        <v>609426</v>
      </c>
      <c r="C93" s="67">
        <v>43607.698692129627</v>
      </c>
      <c r="D93" t="s">
        <v>661</v>
      </c>
      <c r="E93" t="s">
        <v>597</v>
      </c>
      <c r="F93">
        <v>167689</v>
      </c>
      <c r="G93">
        <v>46.4</v>
      </c>
      <c r="H93">
        <v>0</v>
      </c>
      <c r="J93" t="s">
        <v>1085</v>
      </c>
    </row>
    <row r="94" spans="1:8" x14ac:dyDescent="0.2">
      <c r="A94" t="s">
        <v>490</v>
      </c>
      <c r="B94">
        <v>610088</v>
      </c>
      <c r="C94" s="67">
        <v>43613.024652777778</v>
      </c>
      <c r="D94" t="s">
        <v>662</v>
      </c>
      <c r="E94" t="s">
        <v>595</v>
      </c>
      <c r="F94">
        <v>201546</v>
      </c>
      <c r="G94">
        <v>6</v>
      </c>
      <c r="H94">
        <v>0</v>
      </c>
      <c r="J94" t="s">
        <v>1086</v>
      </c>
    </row>
    <row r="95" spans="1:8" x14ac:dyDescent="0.2">
      <c r="A95" t="s">
        <v>489</v>
      </c>
      <c r="B95">
        <v>610088</v>
      </c>
      <c r="C95" s="67">
        <v>43613.024652777778</v>
      </c>
      <c r="D95" t="s">
        <v>663</v>
      </c>
      <c r="E95" t="s">
        <v>595</v>
      </c>
      <c r="F95">
        <v>201545</v>
      </c>
      <c r="G95">
        <v>6</v>
      </c>
      <c r="H95">
        <v>0</v>
      </c>
      <c r="J95" t="s">
        <v>1086</v>
      </c>
    </row>
    <row r="96" spans="1:8" x14ac:dyDescent="0.2">
      <c r="A96" t="s">
        <v>487</v>
      </c>
      <c r="B96">
        <v>603176</v>
      </c>
      <c r="C96" s="67">
        <v>43586.622199074074</v>
      </c>
      <c r="D96" t="s">
        <v>664</v>
      </c>
      <c r="F96">
        <v>0</v>
      </c>
      <c r="G96">
        <v>0</v>
      </c>
      <c r="H96">
        <v>500</v>
      </c>
      <c r="J96" t="s">
        <v>1083</v>
      </c>
    </row>
    <row r="97" spans="1:8" x14ac:dyDescent="0.2">
      <c r="A97" t="s">
        <v>487</v>
      </c>
      <c r="B97">
        <v>603176</v>
      </c>
      <c r="C97" s="67">
        <v>43586.622199074074</v>
      </c>
      <c r="D97" t="s">
        <v>665</v>
      </c>
      <c r="E97" s="47" t="s">
        <v>595</v>
      </c>
      <c r="F97">
        <v>197719</v>
      </c>
      <c r="G97">
        <v>36</v>
      </c>
      <c r="H97">
        <v>0</v>
      </c>
      <c r="J97" t="s">
        <v>1084</v>
      </c>
    </row>
    <row r="98" spans="1:8" x14ac:dyDescent="0.2">
      <c r="A98" t="s">
        <v>487</v>
      </c>
      <c r="B98">
        <v>603213</v>
      </c>
      <c r="C98" s="67">
        <v>43586.647719907407</v>
      </c>
      <c r="D98" t="s">
        <v>666</v>
      </c>
      <c r="E98" t="s">
        <v>597</v>
      </c>
      <c r="F98">
        <v>165745</v>
      </c>
      <c r="G98">
        <v>464</v>
      </c>
      <c r="H98">
        <v>0</v>
      </c>
      <c r="J98" t="s">
        <v>1085</v>
      </c>
    </row>
    <row r="99" spans="1:8" x14ac:dyDescent="0.2">
      <c r="A99" t="s">
        <v>488</v>
      </c>
      <c r="B99">
        <v>605296</v>
      </c>
      <c r="C99" s="67">
        <v>43593.805613425924</v>
      </c>
      <c r="D99" t="s">
        <v>667</v>
      </c>
      <c r="F99">
        <v>0</v>
      </c>
      <c r="G99">
        <v>0</v>
      </c>
      <c r="H99">
        <v>269.36</v>
      </c>
      <c r="J99" t="s">
        <v>1083</v>
      </c>
    </row>
    <row r="100" spans="1:8" x14ac:dyDescent="0.2">
      <c r="A100" t="s">
        <v>488</v>
      </c>
      <c r="B100">
        <v>605296</v>
      </c>
      <c r="C100" s="67">
        <v>43593.805613425924</v>
      </c>
      <c r="D100" s="47" t="s">
        <v>668</v>
      </c>
      <c r="E100" s="47" t="s">
        <v>595</v>
      </c>
      <c r="F100">
        <v>198475</v>
      </c>
      <c r="G100">
        <v>19.39</v>
      </c>
      <c r="H100">
        <v>0</v>
      </c>
      <c r="J100" t="s">
        <v>1084</v>
      </c>
    </row>
    <row r="101" spans="1:8" x14ac:dyDescent="0.2">
      <c r="A101" t="s">
        <v>488</v>
      </c>
      <c r="B101">
        <v>605346</v>
      </c>
      <c r="C101" s="67">
        <v>43593.808009259257</v>
      </c>
      <c r="D101" t="s">
        <v>669</v>
      </c>
      <c r="E101" t="s">
        <v>597</v>
      </c>
      <c r="F101">
        <v>166353</v>
      </c>
      <c r="G101">
        <v>243.97</v>
      </c>
      <c r="H101">
        <v>0</v>
      </c>
      <c r="J101" t="s">
        <v>1085</v>
      </c>
    </row>
    <row r="102" spans="1:8" x14ac:dyDescent="0.2">
      <c r="A102" t="s">
        <v>488</v>
      </c>
      <c r="B102">
        <v>610088</v>
      </c>
      <c r="C102" s="67">
        <v>43613.024652777778</v>
      </c>
      <c r="D102" t="s">
        <v>670</v>
      </c>
      <c r="E102" t="s">
        <v>595</v>
      </c>
      <c r="F102">
        <v>201543</v>
      </c>
      <c r="G102">
        <v>6</v>
      </c>
      <c r="H102">
        <v>0</v>
      </c>
      <c r="J102" t="s">
        <v>1086</v>
      </c>
    </row>
    <row r="103" spans="1:8" x14ac:dyDescent="0.2">
      <c r="A103" t="s">
        <v>488</v>
      </c>
      <c r="B103">
        <v>610955</v>
      </c>
      <c r="C103" s="67">
        <v>43614.699780092589</v>
      </c>
      <c r="D103" t="s">
        <v>671</v>
      </c>
      <c r="E103" s="47" t="s">
        <v>578</v>
      </c>
      <c r="F103">
        <v>0</v>
      </c>
      <c r="G103">
        <v>0</v>
      </c>
      <c r="H103">
        <v>192.16</v>
      </c>
      <c r="J103" t="s">
        <v>1083</v>
      </c>
    </row>
    <row r="104" spans="1:8" x14ac:dyDescent="0.2">
      <c r="A104" t="s">
        <v>488</v>
      </c>
      <c r="B104">
        <v>610955</v>
      </c>
      <c r="C104" s="67">
        <v>43614.699780092589</v>
      </c>
      <c r="D104" t="s">
        <v>668</v>
      </c>
      <c r="E104" t="s">
        <v>595</v>
      </c>
      <c r="F104">
        <v>201930</v>
      </c>
      <c r="G104">
        <v>13.84</v>
      </c>
      <c r="H104">
        <v>0</v>
      </c>
      <c r="J104" t="s">
        <v>1084</v>
      </c>
    </row>
    <row r="105" spans="1:8" x14ac:dyDescent="0.2">
      <c r="A105" t="s">
        <v>488</v>
      </c>
      <c r="B105">
        <v>611001</v>
      </c>
      <c r="C105" s="67">
        <v>43614.719108796293</v>
      </c>
      <c r="D105" t="s">
        <v>669</v>
      </c>
      <c r="E105" t="s">
        <v>597</v>
      </c>
      <c r="F105">
        <v>168070</v>
      </c>
      <c r="G105">
        <v>172.32</v>
      </c>
      <c r="H105">
        <v>0</v>
      </c>
      <c r="J105" t="s">
        <v>1085</v>
      </c>
    </row>
    <row r="106" spans="1:8" x14ac:dyDescent="0.2">
      <c r="A106" t="s">
        <v>496</v>
      </c>
      <c r="B106">
        <v>605287</v>
      </c>
      <c r="C106" s="67">
        <v>43593.805613425924</v>
      </c>
      <c r="D106" t="s">
        <v>672</v>
      </c>
      <c r="F106">
        <v>0</v>
      </c>
      <c r="G106">
        <v>0</v>
      </c>
      <c r="H106">
        <v>269.36</v>
      </c>
      <c r="J106" t="s">
        <v>1083</v>
      </c>
    </row>
    <row r="107" spans="1:8" x14ac:dyDescent="0.2">
      <c r="A107" t="s">
        <v>496</v>
      </c>
      <c r="B107">
        <v>605287</v>
      </c>
      <c r="C107" s="67">
        <v>43593.805613425924</v>
      </c>
      <c r="D107" t="s">
        <v>673</v>
      </c>
      <c r="E107" t="s">
        <v>595</v>
      </c>
      <c r="F107">
        <v>198467</v>
      </c>
      <c r="G107">
        <v>19.39</v>
      </c>
      <c r="H107">
        <v>0</v>
      </c>
      <c r="J107" t="s">
        <v>1084</v>
      </c>
    </row>
    <row r="108" spans="1:8" x14ac:dyDescent="0.2">
      <c r="A108" t="s">
        <v>496</v>
      </c>
      <c r="B108">
        <v>605346</v>
      </c>
      <c r="C108" s="67">
        <v>43593.808009259257</v>
      </c>
      <c r="D108" t="s">
        <v>674</v>
      </c>
      <c r="E108" t="s">
        <v>597</v>
      </c>
      <c r="F108">
        <v>166344</v>
      </c>
      <c r="G108">
        <v>243.97</v>
      </c>
      <c r="H108">
        <v>0</v>
      </c>
      <c r="J108" t="s">
        <v>1085</v>
      </c>
    </row>
    <row r="109" spans="1:8" x14ac:dyDescent="0.2">
      <c r="A109" t="s">
        <v>496</v>
      </c>
      <c r="B109">
        <v>608468</v>
      </c>
      <c r="C109" s="67">
        <v>43605.634618055556</v>
      </c>
      <c r="D109" t="s">
        <v>675</v>
      </c>
      <c r="F109">
        <v>0</v>
      </c>
      <c r="G109">
        <v>0</v>
      </c>
      <c r="H109">
        <v>192.16</v>
      </c>
      <c r="J109" t="s">
        <v>1083</v>
      </c>
    </row>
    <row r="110" spans="1:8" x14ac:dyDescent="0.2">
      <c r="A110" t="s">
        <v>496</v>
      </c>
      <c r="B110">
        <v>608468</v>
      </c>
      <c r="C110" s="67">
        <v>43605.634618055556</v>
      </c>
      <c r="D110" t="s">
        <v>673</v>
      </c>
      <c r="E110" t="s">
        <v>595</v>
      </c>
      <c r="F110">
        <v>199532</v>
      </c>
      <c r="G110">
        <v>13.84</v>
      </c>
      <c r="H110">
        <v>0</v>
      </c>
      <c r="J110" t="s">
        <v>1084</v>
      </c>
    </row>
    <row r="111" spans="1:8" x14ac:dyDescent="0.2">
      <c r="A111" t="s">
        <v>496</v>
      </c>
      <c r="B111">
        <v>608476</v>
      </c>
      <c r="C111" s="67">
        <v>43605.635509259257</v>
      </c>
      <c r="D111" t="s">
        <v>674</v>
      </c>
      <c r="E111" t="s">
        <v>597</v>
      </c>
      <c r="F111">
        <v>167354</v>
      </c>
      <c r="G111">
        <v>178.32</v>
      </c>
      <c r="H111">
        <v>0</v>
      </c>
      <c r="J111" t="s">
        <v>1085</v>
      </c>
    </row>
    <row r="112" spans="1:8" x14ac:dyDescent="0.2">
      <c r="A112" t="s">
        <v>496</v>
      </c>
      <c r="B112">
        <v>610088</v>
      </c>
      <c r="C112" s="67">
        <v>43613.024652777778</v>
      </c>
      <c r="D112" t="s">
        <v>676</v>
      </c>
      <c r="E112" t="s">
        <v>595</v>
      </c>
      <c r="F112">
        <v>201303</v>
      </c>
      <c r="G112">
        <v>6</v>
      </c>
      <c r="H112">
        <v>0</v>
      </c>
      <c r="J112" t="s">
        <v>1086</v>
      </c>
    </row>
    <row r="113" spans="1:8" x14ac:dyDescent="0.2">
      <c r="A113" t="s">
        <v>498</v>
      </c>
      <c r="B113">
        <v>604514</v>
      </c>
      <c r="C113" s="67">
        <v>43591.668298611112</v>
      </c>
      <c r="D113" t="s">
        <v>677</v>
      </c>
      <c r="F113">
        <v>0</v>
      </c>
      <c r="G113">
        <v>0</v>
      </c>
      <c r="H113">
        <v>500</v>
      </c>
      <c r="J113" t="s">
        <v>1083</v>
      </c>
    </row>
    <row r="114" spans="1:8" x14ac:dyDescent="0.2">
      <c r="A114" t="s">
        <v>498</v>
      </c>
      <c r="B114">
        <v>604514</v>
      </c>
      <c r="C114" s="67">
        <v>43591.668298611112</v>
      </c>
      <c r="D114" t="s">
        <v>678</v>
      </c>
      <c r="E114" t="s">
        <v>595</v>
      </c>
      <c r="F114">
        <v>198225</v>
      </c>
      <c r="G114">
        <v>36</v>
      </c>
      <c r="H114">
        <v>0</v>
      </c>
      <c r="J114" t="s">
        <v>1084</v>
      </c>
    </row>
    <row r="115" spans="1:8" x14ac:dyDescent="0.2">
      <c r="A115" t="s">
        <v>498</v>
      </c>
      <c r="B115">
        <v>604524</v>
      </c>
      <c r="C115" s="67">
        <v>43591.671458333331</v>
      </c>
      <c r="D115" t="s">
        <v>679</v>
      </c>
      <c r="E115" t="s">
        <v>597</v>
      </c>
      <c r="F115">
        <v>166148</v>
      </c>
      <c r="G115">
        <v>458</v>
      </c>
      <c r="H115">
        <v>0</v>
      </c>
      <c r="J115" t="s">
        <v>1085</v>
      </c>
    </row>
    <row r="116" spans="1:8" x14ac:dyDescent="0.2">
      <c r="A116" t="s">
        <v>498</v>
      </c>
      <c r="B116">
        <v>610088</v>
      </c>
      <c r="C116" s="67">
        <v>43613.024652777778</v>
      </c>
      <c r="D116" t="s">
        <v>680</v>
      </c>
      <c r="E116" t="s">
        <v>595</v>
      </c>
      <c r="F116">
        <v>201312</v>
      </c>
      <c r="G116">
        <v>6</v>
      </c>
      <c r="H116">
        <v>0</v>
      </c>
      <c r="J116" t="s">
        <v>1086</v>
      </c>
    </row>
    <row r="117" spans="1:8" x14ac:dyDescent="0.2">
      <c r="A117" t="s">
        <v>511</v>
      </c>
      <c r="B117">
        <v>605306</v>
      </c>
      <c r="C117" s="67">
        <v>43593.805613425924</v>
      </c>
      <c r="D117" t="s">
        <v>681</v>
      </c>
      <c r="F117">
        <v>0</v>
      </c>
      <c r="G117">
        <v>0</v>
      </c>
      <c r="H117">
        <v>410.45</v>
      </c>
      <c r="J117" t="s">
        <v>1083</v>
      </c>
    </row>
    <row r="118" spans="1:8" x14ac:dyDescent="0.2">
      <c r="A118" t="s">
        <v>511</v>
      </c>
      <c r="B118">
        <v>605306</v>
      </c>
      <c r="C118" s="67">
        <v>43593.805613425924</v>
      </c>
      <c r="D118" t="s">
        <v>682</v>
      </c>
      <c r="E118" t="s">
        <v>595</v>
      </c>
      <c r="F118">
        <v>198484</v>
      </c>
      <c r="G118">
        <v>29.56</v>
      </c>
      <c r="H118">
        <v>0</v>
      </c>
      <c r="J118" t="s">
        <v>1084</v>
      </c>
    </row>
    <row r="119" spans="1:8" x14ac:dyDescent="0.2">
      <c r="A119" t="s">
        <v>511</v>
      </c>
      <c r="B119">
        <v>605306</v>
      </c>
      <c r="C119" s="67">
        <v>43593.805613425924</v>
      </c>
      <c r="D119" t="s">
        <v>683</v>
      </c>
      <c r="F119">
        <v>0</v>
      </c>
      <c r="G119">
        <v>0</v>
      </c>
      <c r="H119">
        <v>69.67</v>
      </c>
      <c r="J119" t="s">
        <v>1083</v>
      </c>
    </row>
    <row r="120" spans="1:8" x14ac:dyDescent="0.2">
      <c r="A120" t="s">
        <v>511</v>
      </c>
      <c r="B120">
        <v>605306</v>
      </c>
      <c r="C120" s="67">
        <v>43593.805613425924</v>
      </c>
      <c r="D120" t="s">
        <v>682</v>
      </c>
      <c r="E120" t="s">
        <v>595</v>
      </c>
      <c r="F120">
        <v>198484</v>
      </c>
      <c r="G120">
        <v>5.0199999999999996</v>
      </c>
      <c r="H120">
        <v>0</v>
      </c>
      <c r="J120" t="s">
        <v>1084</v>
      </c>
    </row>
    <row r="121" spans="1:8" x14ac:dyDescent="0.2">
      <c r="A121" t="s">
        <v>511</v>
      </c>
      <c r="B121">
        <v>605346</v>
      </c>
      <c r="C121" s="67">
        <v>43593.808009259257</v>
      </c>
      <c r="D121" t="s">
        <v>684</v>
      </c>
      <c r="E121" t="s">
        <v>597</v>
      </c>
      <c r="F121">
        <v>166363</v>
      </c>
      <c r="G121">
        <v>439.54</v>
      </c>
      <c r="H121">
        <v>0</v>
      </c>
      <c r="J121" t="s">
        <v>1085</v>
      </c>
    </row>
    <row r="122" spans="1:8" x14ac:dyDescent="0.2">
      <c r="A122" t="s">
        <v>511</v>
      </c>
      <c r="B122">
        <v>610088</v>
      </c>
      <c r="C122" s="67">
        <v>43613.024652777778</v>
      </c>
      <c r="D122" t="s">
        <v>685</v>
      </c>
      <c r="E122" t="s">
        <v>595</v>
      </c>
      <c r="F122">
        <v>201318</v>
      </c>
      <c r="G122">
        <v>6</v>
      </c>
      <c r="H122">
        <v>0</v>
      </c>
      <c r="J122" t="s">
        <v>1086</v>
      </c>
    </row>
    <row r="123" spans="1:8" x14ac:dyDescent="0.2">
      <c r="A123" t="s">
        <v>502</v>
      </c>
      <c r="B123">
        <v>605612</v>
      </c>
      <c r="C123" s="67">
        <v>43594.574884259258</v>
      </c>
      <c r="D123" t="s">
        <v>686</v>
      </c>
      <c r="F123">
        <v>0</v>
      </c>
      <c r="G123">
        <v>0</v>
      </c>
      <c r="H123">
        <v>79.319999999999993</v>
      </c>
      <c r="J123" t="s">
        <v>1083</v>
      </c>
    </row>
    <row r="124" spans="1:8" x14ac:dyDescent="0.2">
      <c r="A124" t="s">
        <v>502</v>
      </c>
      <c r="B124">
        <v>605612</v>
      </c>
      <c r="C124" s="67">
        <v>43594.574884259258</v>
      </c>
      <c r="D124" t="s">
        <v>687</v>
      </c>
      <c r="E124" t="s">
        <v>595</v>
      </c>
      <c r="F124">
        <v>198630</v>
      </c>
      <c r="G124">
        <v>5.71</v>
      </c>
      <c r="H124">
        <v>0</v>
      </c>
      <c r="J124" t="s">
        <v>1084</v>
      </c>
    </row>
    <row r="125" spans="1:8" x14ac:dyDescent="0.2">
      <c r="A125" t="s">
        <v>502</v>
      </c>
      <c r="B125">
        <v>605616</v>
      </c>
      <c r="C125" s="67">
        <v>43594.576550925929</v>
      </c>
      <c r="D125" t="s">
        <v>688</v>
      </c>
      <c r="E125" t="s">
        <v>597</v>
      </c>
      <c r="F125">
        <v>166479</v>
      </c>
      <c r="G125">
        <v>67.61</v>
      </c>
      <c r="H125">
        <v>0</v>
      </c>
      <c r="J125" t="s">
        <v>1085</v>
      </c>
    </row>
    <row r="126" spans="1:8" x14ac:dyDescent="0.2">
      <c r="A126" t="s">
        <v>502</v>
      </c>
      <c r="B126">
        <v>606203</v>
      </c>
      <c r="C126" s="67">
        <v>43598.631504629629</v>
      </c>
      <c r="D126" t="s">
        <v>689</v>
      </c>
      <c r="F126">
        <v>0</v>
      </c>
      <c r="G126">
        <v>0</v>
      </c>
      <c r="H126">
        <v>382.2</v>
      </c>
      <c r="J126" t="s">
        <v>1083</v>
      </c>
    </row>
    <row r="127" spans="1:8" x14ac:dyDescent="0.2">
      <c r="A127" t="s">
        <v>502</v>
      </c>
      <c r="B127">
        <v>606203</v>
      </c>
      <c r="C127" s="67">
        <v>43598.631504629629</v>
      </c>
      <c r="D127" t="s">
        <v>687</v>
      </c>
      <c r="E127" t="s">
        <v>595</v>
      </c>
      <c r="F127">
        <v>198951</v>
      </c>
      <c r="G127">
        <v>27.52</v>
      </c>
      <c r="H127">
        <v>0</v>
      </c>
      <c r="J127" t="s">
        <v>1084</v>
      </c>
    </row>
    <row r="128" spans="1:8" x14ac:dyDescent="0.2">
      <c r="A128" t="s">
        <v>502</v>
      </c>
      <c r="B128">
        <v>606211</v>
      </c>
      <c r="C128" s="67">
        <v>43598.637418981481</v>
      </c>
      <c r="D128" t="s">
        <v>688</v>
      </c>
      <c r="E128" t="s">
        <v>597</v>
      </c>
      <c r="F128">
        <v>166620</v>
      </c>
      <c r="G128">
        <v>354.68</v>
      </c>
      <c r="H128">
        <v>0</v>
      </c>
      <c r="J128" t="s">
        <v>1085</v>
      </c>
    </row>
    <row r="129" spans="1:8" x14ac:dyDescent="0.2">
      <c r="A129" t="s">
        <v>502</v>
      </c>
      <c r="B129">
        <v>610088</v>
      </c>
      <c r="C129" s="67">
        <v>43613.024652777778</v>
      </c>
      <c r="D129" t="s">
        <v>690</v>
      </c>
      <c r="E129" t="s">
        <v>595</v>
      </c>
      <c r="F129">
        <v>201386</v>
      </c>
      <c r="G129">
        <v>6</v>
      </c>
      <c r="H129">
        <v>0</v>
      </c>
      <c r="J129" t="s">
        <v>1086</v>
      </c>
    </row>
    <row r="130" spans="1:8" x14ac:dyDescent="0.2">
      <c r="A130" s="47" t="s">
        <v>504</v>
      </c>
      <c r="B130">
        <v>606643</v>
      </c>
      <c r="C130" s="67">
        <v>43599.509826388887</v>
      </c>
      <c r="D130" t="s">
        <v>691</v>
      </c>
      <c r="F130">
        <v>0</v>
      </c>
      <c r="G130">
        <v>0</v>
      </c>
      <c r="H130">
        <v>550</v>
      </c>
      <c r="J130" t="s">
        <v>1083</v>
      </c>
    </row>
    <row r="131" spans="1:8" x14ac:dyDescent="0.2">
      <c r="A131" s="47" t="s">
        <v>504</v>
      </c>
      <c r="B131">
        <v>606643</v>
      </c>
      <c r="C131" s="67">
        <v>43599.509826388887</v>
      </c>
      <c r="D131" t="s">
        <v>692</v>
      </c>
      <c r="E131" t="s">
        <v>595</v>
      </c>
      <c r="F131">
        <v>199091</v>
      </c>
      <c r="G131">
        <v>39.6</v>
      </c>
      <c r="H131">
        <v>0</v>
      </c>
      <c r="J131" t="s">
        <v>1084</v>
      </c>
    </row>
    <row r="132" spans="1:8" x14ac:dyDescent="0.2">
      <c r="A132" s="47" t="s">
        <v>504</v>
      </c>
      <c r="B132">
        <v>606664</v>
      </c>
      <c r="C132" s="67">
        <v>43599.513287037036</v>
      </c>
      <c r="D132" t="s">
        <v>693</v>
      </c>
      <c r="E132" t="s">
        <v>597</v>
      </c>
      <c r="F132">
        <v>166747</v>
      </c>
      <c r="G132">
        <v>504.4</v>
      </c>
      <c r="H132">
        <v>0</v>
      </c>
      <c r="J132" t="s">
        <v>1085</v>
      </c>
    </row>
    <row r="133" spans="1:8" x14ac:dyDescent="0.2">
      <c r="A133" s="47" t="s">
        <v>504</v>
      </c>
      <c r="B133">
        <v>610088</v>
      </c>
      <c r="C133" s="67">
        <v>43613.024652777778</v>
      </c>
      <c r="D133" t="s">
        <v>694</v>
      </c>
      <c r="E133" t="s">
        <v>595</v>
      </c>
      <c r="F133">
        <v>201374</v>
      </c>
      <c r="G133">
        <v>6</v>
      </c>
      <c r="H133">
        <v>0</v>
      </c>
      <c r="J133" t="s">
        <v>1086</v>
      </c>
    </row>
    <row r="134" spans="1:8" x14ac:dyDescent="0.2">
      <c r="A134" t="s">
        <v>506</v>
      </c>
      <c r="B134">
        <v>610088</v>
      </c>
      <c r="C134" s="67">
        <v>43613.024652777778</v>
      </c>
      <c r="D134" t="s">
        <v>695</v>
      </c>
      <c r="E134" s="47" t="s">
        <v>595</v>
      </c>
      <c r="F134">
        <v>201376</v>
      </c>
      <c r="G134">
        <v>6</v>
      </c>
      <c r="H134">
        <v>0</v>
      </c>
      <c r="J134" t="s">
        <v>1086</v>
      </c>
    </row>
    <row r="135" spans="1:8" x14ac:dyDescent="0.2">
      <c r="A135" t="s">
        <v>506</v>
      </c>
      <c r="B135">
        <v>610952</v>
      </c>
      <c r="C135" s="67">
        <v>43614.699780092589</v>
      </c>
      <c r="D135" t="s">
        <v>696</v>
      </c>
      <c r="F135">
        <v>0</v>
      </c>
      <c r="G135">
        <v>0</v>
      </c>
      <c r="H135">
        <v>550</v>
      </c>
      <c r="J135" t="s">
        <v>1083</v>
      </c>
    </row>
    <row r="136" spans="1:8" x14ac:dyDescent="0.2">
      <c r="A136" t="s">
        <v>506</v>
      </c>
      <c r="B136">
        <v>610952</v>
      </c>
      <c r="C136" s="67">
        <v>43614.699780092589</v>
      </c>
      <c r="D136" t="s">
        <v>697</v>
      </c>
      <c r="E136" t="s">
        <v>595</v>
      </c>
      <c r="F136">
        <v>201928</v>
      </c>
      <c r="G136">
        <v>39.6</v>
      </c>
      <c r="H136">
        <v>0</v>
      </c>
      <c r="J136" t="s">
        <v>1084</v>
      </c>
    </row>
    <row r="137" spans="1:8" x14ac:dyDescent="0.2">
      <c r="A137" t="s">
        <v>506</v>
      </c>
      <c r="B137">
        <v>611001</v>
      </c>
      <c r="C137" s="67">
        <v>43614.719108796293</v>
      </c>
      <c r="D137" t="s">
        <v>698</v>
      </c>
      <c r="E137" t="s">
        <v>597</v>
      </c>
      <c r="F137">
        <v>168067</v>
      </c>
      <c r="G137">
        <v>504.4</v>
      </c>
      <c r="H137">
        <v>0</v>
      </c>
      <c r="J137" t="s">
        <v>1085</v>
      </c>
    </row>
    <row r="138" spans="1:8" x14ac:dyDescent="0.2">
      <c r="A138" t="s">
        <v>469</v>
      </c>
      <c r="B138">
        <v>605278</v>
      </c>
      <c r="C138" s="67">
        <v>43593.805613425924</v>
      </c>
      <c r="D138" t="s">
        <v>699</v>
      </c>
      <c r="F138">
        <v>0</v>
      </c>
      <c r="G138">
        <v>0</v>
      </c>
      <c r="H138">
        <v>500</v>
      </c>
      <c r="J138" t="s">
        <v>1083</v>
      </c>
    </row>
    <row r="139" spans="1:8" x14ac:dyDescent="0.2">
      <c r="A139" t="s">
        <v>469</v>
      </c>
      <c r="B139">
        <v>605278</v>
      </c>
      <c r="C139" s="67">
        <v>43593.805613425924</v>
      </c>
      <c r="D139" t="s">
        <v>700</v>
      </c>
      <c r="E139" t="s">
        <v>595</v>
      </c>
      <c r="F139">
        <v>198458</v>
      </c>
      <c r="G139">
        <v>36</v>
      </c>
      <c r="H139">
        <v>0</v>
      </c>
      <c r="J139" t="s">
        <v>1084</v>
      </c>
    </row>
    <row r="140" spans="1:8" x14ac:dyDescent="0.2">
      <c r="A140" t="s">
        <v>469</v>
      </c>
      <c r="B140">
        <v>605346</v>
      </c>
      <c r="C140" s="67">
        <v>43593.808009259257</v>
      </c>
      <c r="D140" t="s">
        <v>701</v>
      </c>
      <c r="E140" t="s">
        <v>597</v>
      </c>
      <c r="F140">
        <v>166335</v>
      </c>
      <c r="G140">
        <v>464</v>
      </c>
      <c r="H140">
        <v>0</v>
      </c>
      <c r="J140" t="s">
        <v>1085</v>
      </c>
    </row>
    <row r="141" spans="1:8" x14ac:dyDescent="0.2">
      <c r="A141" t="s">
        <v>469</v>
      </c>
      <c r="B141">
        <v>610057</v>
      </c>
      <c r="C141" s="67">
        <v>43612.506458333337</v>
      </c>
      <c r="D141" t="s">
        <v>702</v>
      </c>
      <c r="F141">
        <v>0</v>
      </c>
      <c r="G141">
        <v>0</v>
      </c>
      <c r="H141">
        <v>500</v>
      </c>
      <c r="J141" t="s">
        <v>1083</v>
      </c>
    </row>
    <row r="142" spans="1:8" x14ac:dyDescent="0.2">
      <c r="A142" t="s">
        <v>469</v>
      </c>
      <c r="B142">
        <v>610057</v>
      </c>
      <c r="C142" s="67">
        <v>43612.506458333337</v>
      </c>
      <c r="D142" t="s">
        <v>700</v>
      </c>
      <c r="E142" t="s">
        <v>595</v>
      </c>
      <c r="F142">
        <v>200068</v>
      </c>
      <c r="G142">
        <v>36</v>
      </c>
      <c r="H142">
        <v>0</v>
      </c>
      <c r="J142" t="s">
        <v>1084</v>
      </c>
    </row>
    <row r="143" spans="1:8" x14ac:dyDescent="0.2">
      <c r="A143" t="s">
        <v>469</v>
      </c>
      <c r="B143">
        <v>610068</v>
      </c>
      <c r="C143" s="67">
        <v>43612.516030092593</v>
      </c>
      <c r="D143" t="s">
        <v>701</v>
      </c>
      <c r="E143" t="s">
        <v>597</v>
      </c>
      <c r="F143">
        <v>167843</v>
      </c>
      <c r="G143">
        <v>464</v>
      </c>
      <c r="H143">
        <v>0</v>
      </c>
      <c r="J143" t="s">
        <v>1085</v>
      </c>
    </row>
    <row r="144" spans="1:8" x14ac:dyDescent="0.2">
      <c r="A144" t="s">
        <v>469</v>
      </c>
      <c r="B144">
        <v>610088</v>
      </c>
      <c r="C144" s="67">
        <v>43613.024652777778</v>
      </c>
      <c r="D144" t="s">
        <v>703</v>
      </c>
      <c r="E144" t="s">
        <v>595</v>
      </c>
      <c r="F144">
        <v>201520</v>
      </c>
      <c r="G144">
        <v>12</v>
      </c>
      <c r="H144">
        <v>0</v>
      </c>
      <c r="J144" t="s">
        <v>1086</v>
      </c>
    </row>
    <row r="145" spans="1:8" x14ac:dyDescent="0.2">
      <c r="A145" t="s">
        <v>470</v>
      </c>
      <c r="B145">
        <v>606648</v>
      </c>
      <c r="C145" s="67">
        <v>43599.509826388887</v>
      </c>
      <c r="D145" t="s">
        <v>704</v>
      </c>
      <c r="E145" s="47" t="s">
        <v>578</v>
      </c>
      <c r="F145">
        <v>0</v>
      </c>
      <c r="G145">
        <v>0</v>
      </c>
      <c r="H145">
        <v>600</v>
      </c>
      <c r="J145" t="s">
        <v>1083</v>
      </c>
    </row>
    <row r="146" spans="1:8" x14ac:dyDescent="0.2">
      <c r="A146" t="s">
        <v>470</v>
      </c>
      <c r="B146">
        <v>606648</v>
      </c>
      <c r="C146" s="67">
        <v>43599.509826388887</v>
      </c>
      <c r="D146" t="s">
        <v>705</v>
      </c>
      <c r="E146" t="s">
        <v>595</v>
      </c>
      <c r="F146">
        <v>199094</v>
      </c>
      <c r="G146">
        <v>43.2</v>
      </c>
      <c r="H146">
        <v>0</v>
      </c>
      <c r="J146" t="s">
        <v>1084</v>
      </c>
    </row>
    <row r="147" spans="1:8" x14ac:dyDescent="0.2">
      <c r="A147" t="s">
        <v>470</v>
      </c>
      <c r="B147">
        <v>606664</v>
      </c>
      <c r="C147" s="67">
        <v>43599.513287037036</v>
      </c>
      <c r="D147" t="s">
        <v>706</v>
      </c>
      <c r="E147" t="s">
        <v>597</v>
      </c>
      <c r="F147">
        <v>166752</v>
      </c>
      <c r="G147">
        <v>550.79999999999995</v>
      </c>
      <c r="H147">
        <v>0</v>
      </c>
      <c r="J147" t="s">
        <v>1085</v>
      </c>
    </row>
    <row r="148" spans="1:8" x14ac:dyDescent="0.2">
      <c r="A148" t="s">
        <v>470</v>
      </c>
      <c r="B148">
        <v>610088</v>
      </c>
      <c r="C148" s="67">
        <v>43613.024652777778</v>
      </c>
      <c r="D148" t="s">
        <v>707</v>
      </c>
      <c r="E148" t="s">
        <v>595</v>
      </c>
      <c r="F148">
        <v>201522</v>
      </c>
      <c r="G148">
        <v>6</v>
      </c>
      <c r="H148">
        <v>0</v>
      </c>
      <c r="J148" t="s">
        <v>1086</v>
      </c>
    </row>
    <row r="149" spans="1:8" x14ac:dyDescent="0.2">
      <c r="A149" t="s">
        <v>471</v>
      </c>
      <c r="B149">
        <v>605307</v>
      </c>
      <c r="C149" s="67">
        <v>43593.805613425924</v>
      </c>
      <c r="D149" t="s">
        <v>708</v>
      </c>
      <c r="F149">
        <v>0</v>
      </c>
      <c r="G149">
        <v>0</v>
      </c>
      <c r="H149">
        <v>269.36</v>
      </c>
      <c r="J149" t="s">
        <v>1083</v>
      </c>
    </row>
    <row r="150" spans="1:8" x14ac:dyDescent="0.2">
      <c r="A150" t="s">
        <v>471</v>
      </c>
      <c r="B150">
        <v>605307</v>
      </c>
      <c r="C150" s="67">
        <v>43593.805613425924</v>
      </c>
      <c r="D150" t="s">
        <v>709</v>
      </c>
      <c r="E150" s="47" t="s">
        <v>595</v>
      </c>
      <c r="F150">
        <v>198485</v>
      </c>
      <c r="G150">
        <v>19.39</v>
      </c>
      <c r="H150">
        <v>0</v>
      </c>
      <c r="J150" t="s">
        <v>1084</v>
      </c>
    </row>
    <row r="151" spans="1:8" x14ac:dyDescent="0.2">
      <c r="A151" t="s">
        <v>471</v>
      </c>
      <c r="B151">
        <v>605346</v>
      </c>
      <c r="C151" s="67">
        <v>43593.808009259257</v>
      </c>
      <c r="D151" t="s">
        <v>710</v>
      </c>
      <c r="E151" t="s">
        <v>597</v>
      </c>
      <c r="F151">
        <v>166364</v>
      </c>
      <c r="G151">
        <v>243.97</v>
      </c>
      <c r="H151">
        <v>0</v>
      </c>
      <c r="J151" t="s">
        <v>1085</v>
      </c>
    </row>
    <row r="152" spans="1:8" x14ac:dyDescent="0.2">
      <c r="A152" t="s">
        <v>471</v>
      </c>
      <c r="B152">
        <v>610063</v>
      </c>
      <c r="C152" s="67">
        <v>43612.506458333337</v>
      </c>
      <c r="D152" t="s">
        <v>711</v>
      </c>
      <c r="F152">
        <v>0</v>
      </c>
      <c r="G152">
        <v>0</v>
      </c>
      <c r="H152">
        <v>230.64</v>
      </c>
      <c r="J152" t="s">
        <v>1083</v>
      </c>
    </row>
    <row r="153" spans="1:8" x14ac:dyDescent="0.2">
      <c r="A153" t="s">
        <v>471</v>
      </c>
      <c r="B153">
        <v>610063</v>
      </c>
      <c r="C153" s="67">
        <v>43612.506458333337</v>
      </c>
      <c r="D153" t="s">
        <v>709</v>
      </c>
      <c r="E153" t="s">
        <v>595</v>
      </c>
      <c r="F153">
        <v>200073</v>
      </c>
      <c r="G153">
        <v>16.61</v>
      </c>
      <c r="H153">
        <v>0</v>
      </c>
      <c r="J153" t="s">
        <v>1084</v>
      </c>
    </row>
    <row r="154" spans="1:8" x14ac:dyDescent="0.2">
      <c r="A154" t="s">
        <v>471</v>
      </c>
      <c r="B154">
        <v>610068</v>
      </c>
      <c r="C154" s="67">
        <v>43612.516030092593</v>
      </c>
      <c r="D154" t="s">
        <v>710</v>
      </c>
      <c r="E154" t="s">
        <v>597</v>
      </c>
      <c r="F154">
        <v>167849</v>
      </c>
      <c r="G154">
        <v>214.03</v>
      </c>
      <c r="H154">
        <v>0</v>
      </c>
      <c r="J154" t="s">
        <v>1085</v>
      </c>
    </row>
    <row r="155" spans="1:8" x14ac:dyDescent="0.2">
      <c r="A155" t="s">
        <v>471</v>
      </c>
      <c r="B155">
        <v>610088</v>
      </c>
      <c r="C155" s="67">
        <v>43613.024652777778</v>
      </c>
      <c r="D155" t="s">
        <v>712</v>
      </c>
      <c r="E155" t="s">
        <v>595</v>
      </c>
      <c r="F155">
        <v>201524</v>
      </c>
      <c r="G155">
        <v>6</v>
      </c>
      <c r="H155">
        <v>0</v>
      </c>
      <c r="J155" t="s">
        <v>1086</v>
      </c>
    </row>
    <row r="156" spans="1:8" x14ac:dyDescent="0.2">
      <c r="A156" t="s">
        <v>474</v>
      </c>
      <c r="B156">
        <v>605298</v>
      </c>
      <c r="C156" s="67">
        <v>43593.805613425924</v>
      </c>
      <c r="D156" t="s">
        <v>713</v>
      </c>
      <c r="F156">
        <v>0</v>
      </c>
      <c r="G156">
        <v>0</v>
      </c>
      <c r="H156">
        <v>269.12</v>
      </c>
      <c r="J156" t="s">
        <v>1083</v>
      </c>
    </row>
    <row r="157" spans="1:8" x14ac:dyDescent="0.2">
      <c r="A157" t="s">
        <v>474</v>
      </c>
      <c r="B157">
        <v>605298</v>
      </c>
      <c r="C157" s="67">
        <v>43593.805613425924</v>
      </c>
      <c r="D157" t="s">
        <v>714</v>
      </c>
      <c r="E157" t="s">
        <v>595</v>
      </c>
      <c r="F157">
        <v>198477</v>
      </c>
      <c r="G157">
        <v>19.38</v>
      </c>
      <c r="H157">
        <v>0</v>
      </c>
      <c r="J157" t="s">
        <v>1084</v>
      </c>
    </row>
    <row r="158" spans="1:8" x14ac:dyDescent="0.2">
      <c r="A158" t="s">
        <v>474</v>
      </c>
      <c r="B158">
        <v>605298</v>
      </c>
      <c r="C158" s="67">
        <v>43593.805613425924</v>
      </c>
      <c r="D158" t="s">
        <v>715</v>
      </c>
      <c r="F158">
        <v>0</v>
      </c>
      <c r="G158">
        <v>0</v>
      </c>
      <c r="H158">
        <v>192.4</v>
      </c>
      <c r="J158" t="s">
        <v>1083</v>
      </c>
    </row>
    <row r="159" spans="1:8" x14ac:dyDescent="0.2">
      <c r="A159" t="s">
        <v>474</v>
      </c>
      <c r="B159">
        <v>605298</v>
      </c>
      <c r="C159" s="67">
        <v>43593.805613425924</v>
      </c>
      <c r="D159" t="s">
        <v>714</v>
      </c>
      <c r="E159" t="s">
        <v>595</v>
      </c>
      <c r="F159">
        <v>198477</v>
      </c>
      <c r="G159">
        <v>13.85</v>
      </c>
      <c r="H159">
        <v>0</v>
      </c>
      <c r="J159" t="s">
        <v>1084</v>
      </c>
    </row>
    <row r="160" spans="1:8" x14ac:dyDescent="0.2">
      <c r="A160" t="s">
        <v>474</v>
      </c>
      <c r="B160">
        <v>605346</v>
      </c>
      <c r="C160" s="67">
        <v>43593.808009259257</v>
      </c>
      <c r="D160" t="s">
        <v>716</v>
      </c>
      <c r="E160" t="s">
        <v>597</v>
      </c>
      <c r="F160">
        <v>166355</v>
      </c>
      <c r="G160">
        <v>422.29</v>
      </c>
      <c r="H160">
        <v>0</v>
      </c>
      <c r="J160" t="s">
        <v>1085</v>
      </c>
    </row>
    <row r="161" spans="1:8" x14ac:dyDescent="0.2">
      <c r="A161" t="s">
        <v>474</v>
      </c>
      <c r="B161">
        <v>610088</v>
      </c>
      <c r="C161" s="67">
        <v>43613.024652777778</v>
      </c>
      <c r="D161" t="s">
        <v>717</v>
      </c>
      <c r="E161" t="s">
        <v>595</v>
      </c>
      <c r="F161">
        <v>201414</v>
      </c>
      <c r="G161">
        <v>6</v>
      </c>
      <c r="H161">
        <v>0</v>
      </c>
      <c r="J161" t="s">
        <v>1086</v>
      </c>
    </row>
    <row r="162" spans="1:8" x14ac:dyDescent="0.2">
      <c r="A162" t="s">
        <v>509</v>
      </c>
      <c r="B162">
        <v>610061</v>
      </c>
      <c r="C162" s="67">
        <v>43612.506458333337</v>
      </c>
      <c r="D162" t="s">
        <v>718</v>
      </c>
      <c r="F162">
        <v>0</v>
      </c>
      <c r="G162">
        <v>0</v>
      </c>
      <c r="H162">
        <v>500</v>
      </c>
      <c r="J162" t="s">
        <v>1083</v>
      </c>
    </row>
    <row r="163" spans="1:8" x14ac:dyDescent="0.2">
      <c r="A163" t="s">
        <v>509</v>
      </c>
      <c r="B163">
        <v>610061</v>
      </c>
      <c r="C163" s="67">
        <v>43612.506458333337</v>
      </c>
      <c r="D163" t="s">
        <v>719</v>
      </c>
      <c r="E163" t="s">
        <v>595</v>
      </c>
      <c r="F163">
        <v>200072</v>
      </c>
      <c r="G163">
        <v>36</v>
      </c>
      <c r="H163">
        <v>0</v>
      </c>
      <c r="J163" t="s">
        <v>1084</v>
      </c>
    </row>
    <row r="164" spans="1:8" x14ac:dyDescent="0.2">
      <c r="A164" t="s">
        <v>509</v>
      </c>
      <c r="B164">
        <v>610068</v>
      </c>
      <c r="C164" s="67">
        <v>43612.516030092593</v>
      </c>
      <c r="D164" t="s">
        <v>720</v>
      </c>
      <c r="E164" t="s">
        <v>597</v>
      </c>
      <c r="F164">
        <v>167847</v>
      </c>
      <c r="G164">
        <v>458</v>
      </c>
      <c r="H164">
        <v>0</v>
      </c>
      <c r="J164" t="s">
        <v>1085</v>
      </c>
    </row>
    <row r="165" spans="1:8" x14ac:dyDescent="0.2">
      <c r="A165" t="s">
        <v>509</v>
      </c>
      <c r="B165">
        <v>610088</v>
      </c>
      <c r="C165" s="67">
        <v>43613.024652777778</v>
      </c>
      <c r="D165" t="s">
        <v>721</v>
      </c>
      <c r="E165" t="s">
        <v>595</v>
      </c>
      <c r="F165">
        <v>201406</v>
      </c>
      <c r="G165">
        <v>6</v>
      </c>
      <c r="H165">
        <v>0</v>
      </c>
      <c r="J165" t="s">
        <v>1086</v>
      </c>
    </row>
    <row r="166" spans="1:8" x14ac:dyDescent="0.2">
      <c r="A166" t="s">
        <v>473</v>
      </c>
      <c r="B166">
        <v>610088</v>
      </c>
      <c r="C166" s="67">
        <v>43613.024652777778</v>
      </c>
      <c r="D166" t="s">
        <v>722</v>
      </c>
      <c r="E166" t="s">
        <v>595</v>
      </c>
      <c r="F166">
        <v>201405</v>
      </c>
      <c r="G166">
        <v>6</v>
      </c>
      <c r="H166">
        <v>0</v>
      </c>
      <c r="J166" t="s">
        <v>1086</v>
      </c>
    </row>
    <row r="167" spans="1:8" x14ac:dyDescent="0.2">
      <c r="A167" t="s">
        <v>472</v>
      </c>
      <c r="B167">
        <v>605276</v>
      </c>
      <c r="C167" s="67">
        <v>43593.805613425924</v>
      </c>
      <c r="D167" t="s">
        <v>723</v>
      </c>
      <c r="F167">
        <v>0</v>
      </c>
      <c r="G167">
        <v>0</v>
      </c>
      <c r="H167">
        <v>43.04</v>
      </c>
      <c r="J167" t="s">
        <v>1083</v>
      </c>
    </row>
    <row r="168" spans="1:8" x14ac:dyDescent="0.2">
      <c r="A168" t="s">
        <v>472</v>
      </c>
      <c r="B168">
        <v>605276</v>
      </c>
      <c r="C168" s="67">
        <v>43593.805613425924</v>
      </c>
      <c r="D168" t="s">
        <v>724</v>
      </c>
      <c r="E168" t="s">
        <v>595</v>
      </c>
      <c r="F168">
        <v>198456</v>
      </c>
      <c r="G168">
        <v>3.1</v>
      </c>
      <c r="H168">
        <v>0</v>
      </c>
      <c r="J168" t="s">
        <v>1084</v>
      </c>
    </row>
    <row r="169" spans="1:8" x14ac:dyDescent="0.2">
      <c r="A169" t="s">
        <v>472</v>
      </c>
      <c r="B169">
        <v>605276</v>
      </c>
      <c r="C169" s="67">
        <v>43593.805613425924</v>
      </c>
      <c r="D169" t="s">
        <v>725</v>
      </c>
      <c r="F169">
        <v>0</v>
      </c>
      <c r="G169">
        <v>0</v>
      </c>
      <c r="H169">
        <v>423.08</v>
      </c>
      <c r="J169" t="s">
        <v>1083</v>
      </c>
    </row>
    <row r="170" spans="1:8" x14ac:dyDescent="0.2">
      <c r="A170" t="s">
        <v>472</v>
      </c>
      <c r="B170">
        <v>605276</v>
      </c>
      <c r="C170" s="67">
        <v>43593.805613425924</v>
      </c>
      <c r="D170" t="s">
        <v>724</v>
      </c>
      <c r="E170" t="s">
        <v>595</v>
      </c>
      <c r="F170">
        <v>198456</v>
      </c>
      <c r="G170">
        <v>30.46</v>
      </c>
      <c r="H170">
        <v>0</v>
      </c>
      <c r="J170" t="s">
        <v>1084</v>
      </c>
    </row>
    <row r="171" spans="1:8" x14ac:dyDescent="0.2">
      <c r="A171" t="s">
        <v>472</v>
      </c>
      <c r="B171">
        <v>605346</v>
      </c>
      <c r="C171" s="67">
        <v>43593.808009259257</v>
      </c>
      <c r="D171" t="s">
        <v>726</v>
      </c>
      <c r="E171" t="s">
        <v>597</v>
      </c>
      <c r="F171">
        <v>166333</v>
      </c>
      <c r="G171">
        <v>426.56</v>
      </c>
      <c r="H171">
        <v>0</v>
      </c>
      <c r="J171" t="s">
        <v>1085</v>
      </c>
    </row>
    <row r="172" spans="1:8" x14ac:dyDescent="0.2">
      <c r="A172" t="s">
        <v>472</v>
      </c>
      <c r="B172">
        <v>610088</v>
      </c>
      <c r="C172" s="67">
        <v>43613.024652777778</v>
      </c>
      <c r="D172" t="s">
        <v>727</v>
      </c>
      <c r="E172" t="s">
        <v>595</v>
      </c>
      <c r="F172">
        <v>201404</v>
      </c>
      <c r="G172">
        <v>6</v>
      </c>
      <c r="H172">
        <v>0</v>
      </c>
      <c r="J172" t="s">
        <v>1086</v>
      </c>
    </row>
    <row r="173" spans="1:8" x14ac:dyDescent="0.2">
      <c r="A173" t="s">
        <v>479</v>
      </c>
      <c r="B173">
        <v>607891</v>
      </c>
      <c r="C173" s="67">
        <v>43601.673321759263</v>
      </c>
      <c r="D173" t="s">
        <v>728</v>
      </c>
      <c r="F173">
        <v>0</v>
      </c>
      <c r="G173">
        <v>0</v>
      </c>
      <c r="H173">
        <v>350</v>
      </c>
      <c r="J173" t="s">
        <v>1083</v>
      </c>
    </row>
    <row r="174" spans="1:8" x14ac:dyDescent="0.2">
      <c r="A174" t="s">
        <v>479</v>
      </c>
      <c r="B174">
        <v>607891</v>
      </c>
      <c r="C174" s="67">
        <v>43601.673321759263</v>
      </c>
      <c r="D174" t="s">
        <v>729</v>
      </c>
      <c r="E174" t="s">
        <v>595</v>
      </c>
      <c r="F174">
        <v>199314</v>
      </c>
      <c r="G174">
        <v>25.2</v>
      </c>
      <c r="H174">
        <v>0</v>
      </c>
      <c r="J174" t="s">
        <v>1084</v>
      </c>
    </row>
    <row r="175" spans="1:8" x14ac:dyDescent="0.2">
      <c r="A175" t="s">
        <v>479</v>
      </c>
      <c r="B175">
        <v>607893</v>
      </c>
      <c r="C175" s="67">
        <v>43601.676759259259</v>
      </c>
      <c r="D175" t="s">
        <v>730</v>
      </c>
      <c r="E175" t="s">
        <v>597</v>
      </c>
      <c r="F175">
        <v>167243</v>
      </c>
      <c r="G175">
        <v>318.8</v>
      </c>
      <c r="H175">
        <v>0</v>
      </c>
      <c r="J175" t="s">
        <v>1085</v>
      </c>
    </row>
    <row r="176" spans="1:8" x14ac:dyDescent="0.2">
      <c r="A176" t="s">
        <v>479</v>
      </c>
      <c r="B176">
        <v>610088</v>
      </c>
      <c r="C176" s="67">
        <v>43613.024652777778</v>
      </c>
      <c r="D176" t="s">
        <v>731</v>
      </c>
      <c r="E176" t="s">
        <v>595</v>
      </c>
      <c r="F176">
        <v>201436</v>
      </c>
      <c r="G176">
        <v>6</v>
      </c>
      <c r="H176">
        <v>0</v>
      </c>
      <c r="J176" t="s">
        <v>1086</v>
      </c>
    </row>
    <row r="177" spans="1:8" x14ac:dyDescent="0.2">
      <c r="A177" t="s">
        <v>560</v>
      </c>
      <c r="B177">
        <v>603713</v>
      </c>
      <c r="C177" s="67">
        <v>43587.664780092593</v>
      </c>
      <c r="D177" t="s">
        <v>732</v>
      </c>
      <c r="F177">
        <v>0</v>
      </c>
      <c r="G177">
        <v>0</v>
      </c>
      <c r="H177">
        <v>520</v>
      </c>
      <c r="J177" t="s">
        <v>1083</v>
      </c>
    </row>
    <row r="178" spans="1:8" x14ac:dyDescent="0.2">
      <c r="A178" t="s">
        <v>560</v>
      </c>
      <c r="B178">
        <v>603713</v>
      </c>
      <c r="C178" s="67">
        <v>43587.664780092593</v>
      </c>
      <c r="D178" t="s">
        <v>733</v>
      </c>
      <c r="E178" t="s">
        <v>595</v>
      </c>
      <c r="F178">
        <v>197840</v>
      </c>
      <c r="G178">
        <v>37.44</v>
      </c>
      <c r="H178">
        <v>0</v>
      </c>
      <c r="J178" t="s">
        <v>1084</v>
      </c>
    </row>
    <row r="179" spans="1:8" x14ac:dyDescent="0.2">
      <c r="A179" t="s">
        <v>560</v>
      </c>
      <c r="B179">
        <v>603860</v>
      </c>
      <c r="C179" s="67">
        <v>43587.679340277777</v>
      </c>
      <c r="D179" t="s">
        <v>734</v>
      </c>
      <c r="E179" t="s">
        <v>597</v>
      </c>
      <c r="F179">
        <v>165814</v>
      </c>
      <c r="G179">
        <v>476.56</v>
      </c>
      <c r="H179">
        <v>0</v>
      </c>
      <c r="J179" t="s">
        <v>1085</v>
      </c>
    </row>
    <row r="180" spans="1:8" x14ac:dyDescent="0.2">
      <c r="A180" t="s">
        <v>560</v>
      </c>
      <c r="B180">
        <v>610088</v>
      </c>
      <c r="C180" s="67">
        <v>43613.024652777778</v>
      </c>
      <c r="D180" t="s">
        <v>735</v>
      </c>
      <c r="E180" t="s">
        <v>595</v>
      </c>
      <c r="F180">
        <v>201438</v>
      </c>
      <c r="G180">
        <v>6</v>
      </c>
      <c r="H180">
        <v>0</v>
      </c>
      <c r="J180" t="s">
        <v>1086</v>
      </c>
    </row>
    <row r="181" spans="1:8" x14ac:dyDescent="0.2">
      <c r="A181" t="s">
        <v>484</v>
      </c>
      <c r="B181">
        <v>605313</v>
      </c>
      <c r="C181" s="67">
        <v>43593.805613425924</v>
      </c>
      <c r="D181" t="s">
        <v>736</v>
      </c>
      <c r="F181">
        <v>0</v>
      </c>
      <c r="G181">
        <v>0</v>
      </c>
      <c r="H181">
        <v>500</v>
      </c>
      <c r="J181" t="s">
        <v>1083</v>
      </c>
    </row>
    <row r="182" spans="1:8" x14ac:dyDescent="0.2">
      <c r="A182" t="s">
        <v>484</v>
      </c>
      <c r="B182">
        <v>605313</v>
      </c>
      <c r="C182" s="67">
        <v>43593.805613425924</v>
      </c>
      <c r="D182" t="s">
        <v>737</v>
      </c>
      <c r="E182" t="s">
        <v>595</v>
      </c>
      <c r="F182">
        <v>198491</v>
      </c>
      <c r="G182">
        <v>36</v>
      </c>
      <c r="H182">
        <v>0</v>
      </c>
      <c r="J182" t="s">
        <v>1084</v>
      </c>
    </row>
    <row r="183" spans="1:8" x14ac:dyDescent="0.2">
      <c r="A183" t="s">
        <v>484</v>
      </c>
      <c r="B183">
        <v>605346</v>
      </c>
      <c r="C183" s="67">
        <v>43593.808009259257</v>
      </c>
      <c r="D183" t="s">
        <v>738</v>
      </c>
      <c r="E183" t="s">
        <v>597</v>
      </c>
      <c r="F183">
        <v>166370</v>
      </c>
      <c r="G183">
        <v>458</v>
      </c>
      <c r="H183">
        <v>0</v>
      </c>
      <c r="J183" t="s">
        <v>1085</v>
      </c>
    </row>
    <row r="184" spans="1:8" x14ac:dyDescent="0.2">
      <c r="A184" t="s">
        <v>484</v>
      </c>
      <c r="B184">
        <v>610088</v>
      </c>
      <c r="C184" s="67">
        <v>43613.024652777778</v>
      </c>
      <c r="D184" t="s">
        <v>739</v>
      </c>
      <c r="E184" t="s">
        <v>595</v>
      </c>
      <c r="F184">
        <v>201624</v>
      </c>
      <c r="G184">
        <v>6</v>
      </c>
      <c r="H184">
        <v>0</v>
      </c>
      <c r="J184" t="s">
        <v>1086</v>
      </c>
    </row>
    <row r="185" spans="1:8" x14ac:dyDescent="0.2">
      <c r="A185" t="s">
        <v>483</v>
      </c>
      <c r="B185">
        <v>605611</v>
      </c>
      <c r="C185" s="67">
        <v>43594.574884259258</v>
      </c>
      <c r="D185" t="s">
        <v>740</v>
      </c>
      <c r="F185">
        <v>0</v>
      </c>
      <c r="G185">
        <v>0</v>
      </c>
      <c r="H185">
        <v>67.680000000000007</v>
      </c>
      <c r="J185" t="s">
        <v>1083</v>
      </c>
    </row>
    <row r="186" spans="1:8" x14ac:dyDescent="0.2">
      <c r="A186" t="s">
        <v>483</v>
      </c>
      <c r="B186">
        <v>605611</v>
      </c>
      <c r="C186" s="67">
        <v>43594.574884259258</v>
      </c>
      <c r="D186" t="s">
        <v>741</v>
      </c>
      <c r="E186" t="s">
        <v>595</v>
      </c>
      <c r="F186">
        <v>198629</v>
      </c>
      <c r="G186">
        <v>4.87</v>
      </c>
      <c r="H186">
        <v>0</v>
      </c>
      <c r="J186" t="s">
        <v>1084</v>
      </c>
    </row>
    <row r="187" spans="1:8" x14ac:dyDescent="0.2">
      <c r="A187" t="s">
        <v>483</v>
      </c>
      <c r="B187">
        <v>605616</v>
      </c>
      <c r="C187" s="67">
        <v>43594.576550925929</v>
      </c>
      <c r="D187" t="s">
        <v>742</v>
      </c>
      <c r="E187" t="s">
        <v>597</v>
      </c>
      <c r="F187">
        <v>166478</v>
      </c>
      <c r="G187">
        <v>56.81</v>
      </c>
      <c r="H187">
        <v>0</v>
      </c>
      <c r="J187" t="s">
        <v>1085</v>
      </c>
    </row>
    <row r="188" spans="1:8" x14ac:dyDescent="0.2">
      <c r="A188" t="s">
        <v>483</v>
      </c>
      <c r="B188">
        <v>606651</v>
      </c>
      <c r="C188" s="67">
        <v>43599.509826388887</v>
      </c>
      <c r="D188" t="s">
        <v>743</v>
      </c>
      <c r="F188">
        <v>0</v>
      </c>
      <c r="G188">
        <v>0</v>
      </c>
      <c r="H188">
        <v>398.48</v>
      </c>
      <c r="J188" t="s">
        <v>1083</v>
      </c>
    </row>
    <row r="189" spans="1:8" x14ac:dyDescent="0.2">
      <c r="A189" t="s">
        <v>483</v>
      </c>
      <c r="B189">
        <v>606651</v>
      </c>
      <c r="C189" s="67">
        <v>43599.509826388887</v>
      </c>
      <c r="D189" t="s">
        <v>741</v>
      </c>
      <c r="E189" t="s">
        <v>595</v>
      </c>
      <c r="F189">
        <v>199097</v>
      </c>
      <c r="G189">
        <v>28.69</v>
      </c>
      <c r="H189">
        <v>0</v>
      </c>
      <c r="J189" t="s">
        <v>1084</v>
      </c>
    </row>
    <row r="190" spans="1:8" x14ac:dyDescent="0.2">
      <c r="A190" t="s">
        <v>483</v>
      </c>
      <c r="B190">
        <v>606664</v>
      </c>
      <c r="C190" s="67">
        <v>43599.513287037036</v>
      </c>
      <c r="D190" t="s">
        <v>742</v>
      </c>
      <c r="E190" t="s">
        <v>597</v>
      </c>
      <c r="F190">
        <v>166755</v>
      </c>
      <c r="G190">
        <v>369.79</v>
      </c>
      <c r="H190">
        <v>0</v>
      </c>
      <c r="J190" t="s">
        <v>1085</v>
      </c>
    </row>
    <row r="191" spans="1:8" x14ac:dyDescent="0.2">
      <c r="A191" t="s">
        <v>483</v>
      </c>
      <c r="B191">
        <v>610088</v>
      </c>
      <c r="C191" s="67">
        <v>43613.024652777778</v>
      </c>
      <c r="D191" t="s">
        <v>744</v>
      </c>
      <c r="E191" t="s">
        <v>595</v>
      </c>
      <c r="F191">
        <v>201623</v>
      </c>
      <c r="G191">
        <v>6</v>
      </c>
      <c r="H191">
        <v>0</v>
      </c>
      <c r="J191" t="s">
        <v>1086</v>
      </c>
    </row>
    <row r="192" spans="1:8" x14ac:dyDescent="0.2">
      <c r="A192" t="s">
        <v>481</v>
      </c>
      <c r="B192">
        <v>610088</v>
      </c>
      <c r="C192" s="67">
        <v>43613.024652777778</v>
      </c>
      <c r="D192" t="s">
        <v>745</v>
      </c>
      <c r="E192" t="s">
        <v>595</v>
      </c>
      <c r="F192">
        <v>201489</v>
      </c>
      <c r="G192">
        <v>6</v>
      </c>
      <c r="H192">
        <v>0</v>
      </c>
      <c r="J192" t="s">
        <v>1086</v>
      </c>
    </row>
    <row r="193" spans="1:8" x14ac:dyDescent="0.2">
      <c r="A193" t="s">
        <v>477</v>
      </c>
      <c r="B193">
        <v>605302</v>
      </c>
      <c r="C193" s="67">
        <v>43593.805613425924</v>
      </c>
      <c r="D193" t="s">
        <v>746</v>
      </c>
      <c r="F193">
        <v>0</v>
      </c>
      <c r="G193">
        <v>0</v>
      </c>
      <c r="H193">
        <v>207.4</v>
      </c>
      <c r="J193" t="s">
        <v>1083</v>
      </c>
    </row>
    <row r="194" spans="1:8" x14ac:dyDescent="0.2">
      <c r="A194" t="s">
        <v>477</v>
      </c>
      <c r="B194">
        <v>605302</v>
      </c>
      <c r="C194" s="67">
        <v>43593.805613425924</v>
      </c>
      <c r="D194" t="s">
        <v>747</v>
      </c>
      <c r="E194" t="s">
        <v>595</v>
      </c>
      <c r="F194">
        <v>198481</v>
      </c>
      <c r="G194">
        <v>14.93</v>
      </c>
      <c r="H194">
        <v>0</v>
      </c>
      <c r="J194" t="s">
        <v>1084</v>
      </c>
    </row>
    <row r="195" spans="1:8" x14ac:dyDescent="0.2">
      <c r="A195" t="s">
        <v>477</v>
      </c>
      <c r="B195">
        <v>605346</v>
      </c>
      <c r="C195" s="67">
        <v>43593.808009259257</v>
      </c>
      <c r="D195" t="s">
        <v>748</v>
      </c>
      <c r="E195" t="s">
        <v>597</v>
      </c>
      <c r="F195">
        <v>166359</v>
      </c>
      <c r="G195">
        <v>186.47</v>
      </c>
      <c r="H195">
        <v>0</v>
      </c>
      <c r="J195" t="s">
        <v>1085</v>
      </c>
    </row>
    <row r="196" spans="1:8" x14ac:dyDescent="0.2">
      <c r="A196" t="s">
        <v>477</v>
      </c>
      <c r="B196">
        <v>606647</v>
      </c>
      <c r="C196" s="67">
        <v>43599.509826388887</v>
      </c>
      <c r="D196" t="s">
        <v>749</v>
      </c>
      <c r="F196">
        <v>0</v>
      </c>
      <c r="G196">
        <v>0</v>
      </c>
      <c r="H196">
        <v>208</v>
      </c>
      <c r="J196" t="s">
        <v>1083</v>
      </c>
    </row>
    <row r="197" spans="1:8" x14ac:dyDescent="0.2">
      <c r="A197" t="s">
        <v>477</v>
      </c>
      <c r="B197">
        <v>606647</v>
      </c>
      <c r="C197" s="67">
        <v>43599.509826388887</v>
      </c>
      <c r="D197" t="s">
        <v>747</v>
      </c>
      <c r="E197" t="s">
        <v>595</v>
      </c>
      <c r="F197">
        <v>199093</v>
      </c>
      <c r="G197">
        <v>14.98</v>
      </c>
      <c r="H197">
        <v>0</v>
      </c>
      <c r="J197" t="s">
        <v>1084</v>
      </c>
    </row>
    <row r="198" spans="1:8" x14ac:dyDescent="0.2">
      <c r="A198" t="s">
        <v>477</v>
      </c>
      <c r="B198">
        <v>606664</v>
      </c>
      <c r="C198" s="67">
        <v>43599.513287037036</v>
      </c>
      <c r="D198" t="s">
        <v>748</v>
      </c>
      <c r="E198" t="s">
        <v>597</v>
      </c>
      <c r="F198">
        <v>166751</v>
      </c>
      <c r="G198">
        <v>193.02</v>
      </c>
      <c r="H198">
        <v>0</v>
      </c>
      <c r="J198" t="s">
        <v>1085</v>
      </c>
    </row>
    <row r="199" spans="1:8" x14ac:dyDescent="0.2">
      <c r="A199" t="s">
        <v>477</v>
      </c>
      <c r="B199">
        <v>610088</v>
      </c>
      <c r="C199" s="67">
        <v>43613.024652777778</v>
      </c>
      <c r="D199" t="s">
        <v>750</v>
      </c>
      <c r="E199" t="s">
        <v>595</v>
      </c>
      <c r="F199">
        <v>201389</v>
      </c>
      <c r="G199">
        <v>6</v>
      </c>
      <c r="H199">
        <v>0</v>
      </c>
      <c r="J199" t="s">
        <v>1086</v>
      </c>
    </row>
    <row r="200" spans="1:8" x14ac:dyDescent="0.2">
      <c r="A200" t="s">
        <v>495</v>
      </c>
      <c r="B200">
        <v>605314</v>
      </c>
      <c r="C200" s="67">
        <v>43593.805613425924</v>
      </c>
      <c r="D200" t="s">
        <v>751</v>
      </c>
      <c r="F200">
        <v>0</v>
      </c>
      <c r="G200">
        <v>0</v>
      </c>
      <c r="H200">
        <v>269.36</v>
      </c>
      <c r="J200" t="s">
        <v>1083</v>
      </c>
    </row>
    <row r="201" spans="1:8" x14ac:dyDescent="0.2">
      <c r="A201" t="s">
        <v>495</v>
      </c>
      <c r="B201">
        <v>605314</v>
      </c>
      <c r="C201" s="67">
        <v>43593.805613425924</v>
      </c>
      <c r="D201" t="s">
        <v>752</v>
      </c>
      <c r="E201" t="s">
        <v>595</v>
      </c>
      <c r="F201">
        <v>198492</v>
      </c>
      <c r="G201">
        <v>19.39</v>
      </c>
      <c r="H201">
        <v>0</v>
      </c>
      <c r="J201" t="s">
        <v>1084</v>
      </c>
    </row>
    <row r="202" spans="1:8" x14ac:dyDescent="0.2">
      <c r="A202" t="s">
        <v>495</v>
      </c>
      <c r="B202">
        <v>605346</v>
      </c>
      <c r="C202" s="67">
        <v>43593.808009259257</v>
      </c>
      <c r="D202" t="s">
        <v>753</v>
      </c>
      <c r="E202" t="s">
        <v>597</v>
      </c>
      <c r="F202">
        <v>166371</v>
      </c>
      <c r="G202">
        <v>243.97</v>
      </c>
      <c r="H202">
        <v>0</v>
      </c>
      <c r="J202" t="s">
        <v>1085</v>
      </c>
    </row>
    <row r="203" spans="1:8" x14ac:dyDescent="0.2">
      <c r="A203" t="s">
        <v>495</v>
      </c>
      <c r="B203">
        <v>606653</v>
      </c>
      <c r="C203" s="67">
        <v>43599.509826388887</v>
      </c>
      <c r="D203" t="s">
        <v>754</v>
      </c>
      <c r="F203">
        <v>0</v>
      </c>
      <c r="G203">
        <v>0</v>
      </c>
      <c r="H203">
        <v>192.16</v>
      </c>
      <c r="J203" t="s">
        <v>1083</v>
      </c>
    </row>
    <row r="204" spans="1:8" x14ac:dyDescent="0.2">
      <c r="A204" t="s">
        <v>495</v>
      </c>
      <c r="B204">
        <v>606653</v>
      </c>
      <c r="C204" s="67">
        <v>43599.509826388887</v>
      </c>
      <c r="D204" t="s">
        <v>752</v>
      </c>
      <c r="E204" t="s">
        <v>595</v>
      </c>
      <c r="F204">
        <v>199099</v>
      </c>
      <c r="G204">
        <v>13.84</v>
      </c>
      <c r="H204">
        <v>0</v>
      </c>
      <c r="J204" t="s">
        <v>1084</v>
      </c>
    </row>
    <row r="205" spans="1:8" x14ac:dyDescent="0.2">
      <c r="A205" t="s">
        <v>495</v>
      </c>
      <c r="B205">
        <v>606664</v>
      </c>
      <c r="C205" s="67">
        <v>43599.513287037036</v>
      </c>
      <c r="D205" t="s">
        <v>753</v>
      </c>
      <c r="E205" t="s">
        <v>597</v>
      </c>
      <c r="F205">
        <v>166757</v>
      </c>
      <c r="G205">
        <v>178.32</v>
      </c>
      <c r="H205">
        <v>0</v>
      </c>
      <c r="J205" t="s">
        <v>1085</v>
      </c>
    </row>
    <row r="206" spans="1:8" x14ac:dyDescent="0.2">
      <c r="A206" t="s">
        <v>495</v>
      </c>
      <c r="B206">
        <v>610088</v>
      </c>
      <c r="C206" s="67">
        <v>43613.024652777778</v>
      </c>
      <c r="D206" t="s">
        <v>755</v>
      </c>
      <c r="E206" t="s">
        <v>595</v>
      </c>
      <c r="F206">
        <v>201320</v>
      </c>
      <c r="G206">
        <v>6</v>
      </c>
      <c r="H206">
        <v>0</v>
      </c>
      <c r="J206" t="s">
        <v>1086</v>
      </c>
    </row>
    <row r="207" spans="1:8" x14ac:dyDescent="0.2">
      <c r="A207" t="s">
        <v>561</v>
      </c>
      <c r="B207">
        <v>610088</v>
      </c>
      <c r="C207" s="67">
        <v>43613.024652777778</v>
      </c>
      <c r="D207" t="s">
        <v>756</v>
      </c>
      <c r="E207" t="s">
        <v>595</v>
      </c>
      <c r="F207">
        <v>201412</v>
      </c>
      <c r="G207">
        <v>6</v>
      </c>
      <c r="H207">
        <v>0</v>
      </c>
      <c r="J207" t="s">
        <v>1086</v>
      </c>
    </row>
    <row r="208" spans="1:8" x14ac:dyDescent="0.2">
      <c r="A208" t="s">
        <v>561</v>
      </c>
      <c r="B208">
        <v>610950</v>
      </c>
      <c r="C208" s="67">
        <v>43614.699780092589</v>
      </c>
      <c r="D208" t="s">
        <v>757</v>
      </c>
      <c r="F208">
        <v>0</v>
      </c>
      <c r="G208">
        <v>0</v>
      </c>
      <c r="H208">
        <v>298.27</v>
      </c>
      <c r="J208" t="s">
        <v>1083</v>
      </c>
    </row>
    <row r="209" spans="1:8" x14ac:dyDescent="0.2">
      <c r="A209" t="s">
        <v>561</v>
      </c>
      <c r="B209">
        <v>610950</v>
      </c>
      <c r="C209" s="67">
        <v>43614.699780092589</v>
      </c>
      <c r="D209" t="s">
        <v>758</v>
      </c>
      <c r="E209" t="s">
        <v>595</v>
      </c>
      <c r="F209">
        <v>201926</v>
      </c>
      <c r="G209">
        <v>21.48</v>
      </c>
      <c r="H209">
        <v>0</v>
      </c>
      <c r="J209" t="s">
        <v>1084</v>
      </c>
    </row>
    <row r="210" spans="1:8" x14ac:dyDescent="0.2">
      <c r="A210" t="s">
        <v>561</v>
      </c>
      <c r="B210">
        <v>610950</v>
      </c>
      <c r="C210" s="67">
        <v>43614.699780092589</v>
      </c>
      <c r="D210" t="s">
        <v>759</v>
      </c>
      <c r="F210">
        <v>0</v>
      </c>
      <c r="G210">
        <v>0</v>
      </c>
      <c r="H210">
        <v>401.73</v>
      </c>
      <c r="J210" t="s">
        <v>1083</v>
      </c>
    </row>
    <row r="211" spans="1:8" x14ac:dyDescent="0.2">
      <c r="A211" t="s">
        <v>561</v>
      </c>
      <c r="B211">
        <v>610950</v>
      </c>
      <c r="C211" s="67">
        <v>43614.699780092589</v>
      </c>
      <c r="D211" t="s">
        <v>758</v>
      </c>
      <c r="E211" t="s">
        <v>595</v>
      </c>
      <c r="F211">
        <v>201926</v>
      </c>
      <c r="G211">
        <v>28.92</v>
      </c>
      <c r="H211">
        <v>0</v>
      </c>
      <c r="J211" t="s">
        <v>1084</v>
      </c>
    </row>
    <row r="212" spans="1:8" x14ac:dyDescent="0.2">
      <c r="A212" t="s">
        <v>561</v>
      </c>
      <c r="B212">
        <v>611001</v>
      </c>
      <c r="C212" s="67">
        <v>43614.719108796293</v>
      </c>
      <c r="D212" t="s">
        <v>760</v>
      </c>
      <c r="E212" t="s">
        <v>597</v>
      </c>
      <c r="F212">
        <v>168065</v>
      </c>
      <c r="G212">
        <v>637.6</v>
      </c>
      <c r="H212">
        <v>0</v>
      </c>
      <c r="J212" t="s">
        <v>1085</v>
      </c>
    </row>
    <row r="213" spans="1:8" x14ac:dyDescent="0.2">
      <c r="C213" s="67"/>
    </row>
    <row r="214" spans="1:8" x14ac:dyDescent="0.2">
      <c r="C214" s="67"/>
    </row>
    <row r="215" spans="1:8" x14ac:dyDescent="0.2">
      <c r="C215" s="67"/>
    </row>
    <row r="216" spans="1:8" x14ac:dyDescent="0.2">
      <c r="C216" s="67"/>
    </row>
    <row r="217" spans="1:8" x14ac:dyDescent="0.2">
      <c r="C217" s="67"/>
    </row>
    <row r="218" spans="1:8" x14ac:dyDescent="0.2">
      <c r="C218" s="67"/>
    </row>
    <row r="219" spans="1:8" x14ac:dyDescent="0.2">
      <c r="C219" s="67"/>
    </row>
    <row r="220" spans="1:8" x14ac:dyDescent="0.2">
      <c r="C220" s="67"/>
    </row>
    <row r="221" spans="1:8" x14ac:dyDescent="0.2">
      <c r="C221" s="67"/>
    </row>
    <row r="222" spans="1:8" x14ac:dyDescent="0.2">
      <c r="C222" s="67"/>
    </row>
    <row r="223" spans="1:8" x14ac:dyDescent="0.2">
      <c r="C223" s="67"/>
    </row>
    <row r="224" spans="1:8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82" workbookViewId="0" zoomScale="70" zoomScaleNormal="70">
      <selection activeCell="AB94" sqref="AB94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si="0" t="shared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si="0" t="shared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si="0" t="shared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si="0" t="shared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si="0" t="shared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si="0" t="shared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si="0" t="shared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si="0" t="shared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si="0" t="shared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si="0" t="shared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si="0" t="shared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si="0" t="shared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si="0" t="shared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si="0" t="shared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si="0" t="shared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si="0" t="shared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si="0" t="shared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si="0" t="shared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si="0" t="shared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si="0" t="shared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si="0" t="shared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si="0" t="shared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si="0" t="shared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si="0" t="shared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si="0" t="shared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si="0" t="shared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si="0" t="shared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si="0" t="shared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si="0" t="shared"/>
        <v>L. Long (12/05/2006 - 12/09/2006)</v>
      </c>
    </row>
    <row customFormat="1" r="33" s="52" spans="1:29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si="0" t="shared"/>
        <v>Groizard (27/03/2001 - 06/11/2005)</v>
      </c>
    </row>
    <row customFormat="1" r="34" s="52" spans="1:29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si="0" t="shared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si="0" t="shared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si="0" t="shared"/>
        <v>Kirsty Taylor &amp; Millie Barber (08/01/2010 - 01/08/2010)</v>
      </c>
    </row>
    <row customFormat="1" r="38" s="52" spans="1:29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si="0" t="shared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si="0" t="shared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si="0" t="shared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si="0" t="shared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si="0" t="shared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si="0" t="shared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si="0" t="shared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si="0" t="shared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si="0" t="shared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si="0" t="shared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si="0" t="shared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si="0" t="shared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si="0" t="shared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si="0" t="shared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si="0" t="shared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si="0" t="shared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si="0" t="shared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si="0" t="shared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si="0" t="shared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si="0" t="shared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si="0" t="shared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si="0" t="shared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si="0" t="shared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si="0" t="shared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si="0" t="shared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si="0" t="shared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si="0" t="shared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ref="AB66:AB130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si="1" t="shared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si="1" t="shared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si="1" t="shared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si="1" t="shared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si="1" t="shared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si="1" t="shared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si="1" t="shared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si="1" t="shared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si="1" t="shared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si="1" t="shared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si="1" t="shared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si="1" t="shared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si="1" t="shared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si="1" t="shared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si="1" t="shared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si="1" t="shared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si="1" t="shared"/>
        <v>N Stephens &amp; S Smith (04/05/2012 - 28/02/2013)</v>
      </c>
    </row>
    <row customFormat="1" r="84" s="52" spans="1:29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si="1" t="shared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si="1" t="shared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si="1" t="shared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si="1" t="shared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si="1" t="shared"/>
        <v>Ms McLachlan (08/04/2013 - 31/12/2013)</v>
      </c>
    </row>
    <row customFormat="1" r="90" s="52" spans="1:29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si="1" t="shared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si="1" t="shared"/>
        <v>Chalk  (27/07/2006 - 31/12/2006)</v>
      </c>
    </row>
    <row customFormat="1" r="93" s="52" spans="1:29" x14ac:dyDescent="0.2">
      <c r="A93" s="169">
        <v>26</v>
      </c>
      <c r="B93" s="170" t="s">
        <v>224</v>
      </c>
      <c r="C93" s="169"/>
      <c r="D93" s="170" t="s">
        <v>584</v>
      </c>
      <c r="E93" s="171">
        <v>43524</v>
      </c>
      <c r="F93" s="171"/>
      <c r="G93" s="169">
        <v>500</v>
      </c>
      <c r="H93" s="170" t="s">
        <v>29</v>
      </c>
      <c r="I93" s="54" t="s">
        <v>579</v>
      </c>
      <c r="J93" s="169">
        <v>6</v>
      </c>
      <c r="K93" s="54" t="s">
        <v>96</v>
      </c>
      <c r="L93" s="54" t="s">
        <v>97</v>
      </c>
      <c r="AB93" s="149" t="s">
        <v>585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si="1" t="shared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si="1" t="shared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si="1" t="shared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si="1" t="shared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si="1" t="shared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si="1" t="shared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si="1" t="shared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si="1" t="shared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si="1" t="shared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si="1" t="shared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si="1" t="shared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si="1" t="shared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si="1" t="shared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si="1" t="shared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si="1" t="shared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si="1" t="shared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si="1" t="shared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si="1" t="shared"/>
        <v>Lee Knowles (11/04/2014 - present)</v>
      </c>
    </row>
    <row customFormat="1" r="112" s="52" spans="1:29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si="1" t="shared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si="1" t="shared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si="1" t="shared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si="1" t="shared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si="1" t="shared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si="1" t="shared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si="1" t="shared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si="1" t="shared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si="1" t="shared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si="1" t="shared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si="1" t="shared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si="1" t="shared"/>
        <v>Ms Baziukiene (16/09/2015 - present)</v>
      </c>
    </row>
    <row customFormat="1" r="125" s="52" spans="1:29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si="1" t="shared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si="1" t="shared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si="1" t="shared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si="1" t="shared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si="1" t="shared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ref="AB131:AB194" si="2" t="shared"><![CDATA[IF(E131<>"",IF(F131="",D131&" ("&TEXT(E131,"dd/mm/yyyy")&" - present)",D131&" ("&TEXT(E131,"dd/mm/yyyy")&" - "&TEXT(F131,"dd/mm/yyyy")&")"),"")]]>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si="2" t="shared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si="2" t="shared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si="2" t="shared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si="2" t="shared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si="2" t="shared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si="2" t="shared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si="2" t="shared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si="2" t="shared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si="2" t="shared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si="2" t="shared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si="2" t="shared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si="2" t="shared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si="2" t="shared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si="2" t="shared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si="2" t="shared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si="2" t="shared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si="2" t="shared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si="2" t="shared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si="2" t="shared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si="2" t="shared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si="2" t="shared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si="2" t="shared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si="2" t="shared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si="2" t="shared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si="2" t="shared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si="2" t="shared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si="2" t="shared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si="2" t="shared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si="2" t="shared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si="2" t="shared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si="2" t="shared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si="2" t="shared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si="2" t="shared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si="2" t="shared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si="2" t="shared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si="2" t="shared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si="2" t="shared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si="2" t="shared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si="2" t="shared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si="2" t="shared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si="2" t="shared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si="2" t="shared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si="2" t="shared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si="2" t="shared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si="2" t="shared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si="2" t="shared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si="2" t="shared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si="2" t="shared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si="2" t="shared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si="2" t="shared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si="2" t="shared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si="2" t="shared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si="2" t="shared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si="2" t="shared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si="2" t="shared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si="2" t="shared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si="2" t="shared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si="2" t="shared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si="2" t="shared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si="2" t="shared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si="2" t="shared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si="2" t="shared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si="2" t="shared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ref="AB195:AB258" si="3" t="shared"><![CDATA[IF(E195<>"",IF(F195="",D195&" ("&TEXT(E195,"dd/mm/yyyy")&" - present)",D195&" ("&TEXT(E195,"dd/mm/yyyy")&" - "&TEXT(F195,"dd/mm/yyyy")&")"),"")]]>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si="3" t="shared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si="3" t="shared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si="3" t="shared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si="3" t="shared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si="3" t="shared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si="3" t="shared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si="3" t="shared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si="3" t="shared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si="3" t="shared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si="3" t="shared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si="3" t="shared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si="3" t="shared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si="3" t="shared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si="3" t="shared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si="3" t="shared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si="3" t="shared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si="3" t="shared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si="3" t="shared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si="3" t="shared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si="3" t="shared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si="3" t="shared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si="3" t="shared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si="3" t="shared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si="3" t="shared"/>
        <v>Tuckley (26/05/2006 - 25/11/2006)</v>
      </c>
    </row>
    <row customFormat="1" r="220" s="52" spans="1:28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si="3" t="shared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si="3" t="shared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si="3" t="shared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si="3" t="shared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si="3" t="shared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si="3" t="shared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si="3" t="shared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si="3" t="shared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si="3" t="shared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si="3" t="shared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si="3" t="shared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si="3" t="shared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si="3" t="shared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si="3" t="shared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si="3" t="shared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si="3" t="shared"/>
        <v>Mr Hussain (20/07/2015 - 20/08/2015)</v>
      </c>
    </row>
    <row customFormat="1" r="236" s="52" spans="1:29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si="3" t="shared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si="3" t="shared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si="3" t="shared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si="3" t="shared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si="3" t="shared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si="3" t="shared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si="3" t="shared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si="3" t="shared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si="3" t="shared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si="3" t="shared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si="3" t="shared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si="3" t="shared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si="3" t="shared"/>
        <v>Glenn Wallace &amp; Gary Hanna (24/04/2009 - 25/05/2010)</v>
      </c>
    </row>
    <row customFormat="1" r="250" s="52" spans="1:29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Mabe &amp; Hodgkins   (29/02/2008 - 02/11/2008)</v>
      </c>
      <c r="AC250"/>
    </row>
    <row customFormat="1" r="251" s="52" spans="1:29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Boctor/Bhatti (13/10/2005 - 12/07/2007)</v>
      </c>
      <c r="AC251"/>
    </row>
    <row customFormat="1" r="252" s="52" spans="1:29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Lebbon/Ravensdale (12/03/2005 - 04/10/2005)</v>
      </c>
      <c r="AC252"/>
    </row>
    <row customFormat="1" r="253" s="52" spans="1:29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Miss Sandra Namataka &amp; Miss Leilah Nakamaanya (01/09/2015 - present)</v>
      </c>
      <c r="AC253"/>
    </row>
    <row customFormat="1" r="254" s="52" spans="1:29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Jade Parrett-Harris &amp; Robbyn McCarthy (08/09/2014 - 08/07/2015)</v>
      </c>
      <c r="AC254"/>
    </row>
    <row customFormat="1" r="255" s="52" spans="1:29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Meena Flora &amp; Chloe Fisher (01/08/2013 - 31/05/2014)</v>
      </c>
      <c r="AC255"/>
    </row>
    <row customFormat="1" r="256" s="52" spans="1:29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si="3" t="shared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si="3" t="shared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ref="AB259:AB275" si="4" t="shared"><![CDATA[IF(E259<>"",IF(F259="",D259&" ("&TEXT(E259,"dd/mm/yyyy")&" - present)",D259&" ("&TEXT(E259,"dd/mm/yyyy")&" - "&TEXT(F259,"dd/mm/yyyy")&")"),"")]]>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si="4" t="shared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si="4" t="shared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si="4" t="shared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si="4" t="shared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si="4" t="shared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si="4" t="shared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si="4" t="shared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si="4" t="shared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si="4" t="shared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si="4" t="shared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si="4" t="shared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si="4" t="shared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si="4" t="shared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si="4" t="shared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si="4" t="shared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si="4" t="shared"/>
        <v/>
      </c>
    </row>
    <row r="276" spans="1:28" x14ac:dyDescent="0.2">
      <c r="AB276" t="str">
        <f ref="AB276:AB331" si="5" t="shared"><![CDATA[IF(E276<>"",IF(F276="",D276&" ("&TEXT(E276,"dd/mm/yyyy")&" - present)",D276&" ("&TEXT(E276,"dd/mm/yyyy")&" - "&TEXT(F276,"dd/mm/yyyy")&")"),"")]]></f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si="5" t="shared"/>
        <v/>
      </c>
    </row>
    <row r="332" spans="28:28" x14ac:dyDescent="0.2">
      <c r="AB332" t="str">
        <f ref="AB332:AB395" si="6" t="shared"><![CDATA[IF(E332<>"",IF(F332="",D332&" ("&TEXT(E332,"dd/mm/yyyy")&" - present)",D332&" ("&TEXT(E332,"dd/mm/yyyy")&" - "&TEXT(F332,"dd/mm/yyyy")&")"),"")]]></f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ref="AB396:AB459" si="7" t="shared"><![CDATA[IF(E396<>"",IF(F396="",D396&" ("&TEXT(E396,"dd/mm/yyyy")&" - present)",D396&" ("&TEXT(E396,"dd/mm/yyyy")&" - "&TEXT(F396,"dd/mm/yyyy")&")"),"")]]></f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ref="AB460:AB510" si="8" t="shared"><![CDATA[IF(E460<>"",IF(F460="",D460&" ("&TEXT(E460,"dd/mm/yyyy")&" - present)",D460&" ("&TEXT(E460,"dd/mm/yyyy")&" - "&TEXT(F460,"dd/mm/yyyy")&")"),"")]]></f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  <row r="510" spans="28:28" x14ac:dyDescent="0.2">
      <c r="AB510" t="str">
        <f si="8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workbookViewId="0" zoomScale="70">
      <selection activeCell="E62" sqref="E62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575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2019-06-30T14:10:17Z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