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470D2CD-2249-CD33-4A35-6F278624656F}" lastEdited="7" lowestEdited="7" rupBuild="23029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8CAB321A-BBE3-4D0E-98E2-B79889F6E2DC}" revIDLastSave="0" xr10:uidLastSave="{00000000-0000-0000-0000-000000000000}" xr6:coauthVersionLast="45" xr6:coauthVersionMax="45"/>
  <bookViews>
    <workbookView windowHeight="16440" windowWidth="29040" xWindow="-289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externalReferences>
    <externalReference r:id="rId12"/>
    <externalReference r:id="rId13"/>
    <externalReference r:id="rId14"/>
    <externalReference r:id="rId15"/>
    <externalReference r:id="rId16"/>
  </externalReferences>
  <definedNames>
    <definedName hidden="1" localSheetId="6" name="_xlnm._FilterDatabase">Beals!$A$1:$J$220</definedName>
    <definedName hidden="1" localSheetId="4" name="_xlnm._FilterDatabase">IV!$A$1:$I$92</definedName>
    <definedName hidden="1" localSheetId="5" name="_xlnm._FilterDatabase">'IV (4040)'!$A$1:$I$135</definedName>
    <definedName hidden="1" localSheetId="8" name="_xlnm._FilterDatabase">'Managed Properties'!$A$1:$E$75</definedName>
    <definedName hidden="1" localSheetId="3" name="_xlnm._FilterDatabase">MT!$A$1:$J$264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IV!$D$2:$D$382</definedName>
    <definedName name="IV_Amount_4040">'IV (4040)'!$D$2:$D$490</definedName>
    <definedName name="IV_BankRef">IV!$F$2:$F$382</definedName>
    <definedName name="IV_BankRef_4040">'IV (4040)'!$I$2:$I$490</definedName>
    <definedName name="MT_Amount">MT!$D$2:$D$546</definedName>
    <definedName name="MT_BankRef">MT!$F$2:$F$546</definedName>
    <definedName name="MT_Desc">MT!$H$2:$H$546</definedName>
    <definedName name="MT_Include">MT!$J$2:$J$546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80" l="1" r="AB510"/>
  <c i="31680" r="AB509"/>
  <c i="31680" r="AB508"/>
  <c i="31680" r="AB507"/>
  <c i="31680" r="AB506"/>
  <c i="31680" r="AB505"/>
  <c i="31680" r="AB504"/>
  <c i="31680" r="AB503"/>
  <c i="31680" r="AB502"/>
  <c i="31680" r="AB501"/>
  <c i="31680" r="AB500"/>
  <c i="31680" r="AB499"/>
  <c i="31680" r="AB498"/>
  <c i="31680" r="AB497"/>
  <c i="31680" r="AB496"/>
  <c i="31680" r="AB495"/>
  <c i="31680" r="AB494"/>
  <c i="31680" r="AB493"/>
  <c i="31680" r="AB492"/>
  <c i="31680" r="AB491"/>
  <c i="31680" r="AB490"/>
  <c i="31680" r="AB489"/>
  <c i="31680" r="AB488"/>
  <c i="31680" r="AB487"/>
  <c i="31680" r="AB486"/>
  <c i="31680" r="AB485"/>
  <c i="31680" r="AB484"/>
  <c i="31680" r="AB483"/>
  <c i="31680" r="AB482"/>
  <c i="31680" r="AB481"/>
  <c i="31680" r="AB480"/>
  <c i="31680" r="AB479"/>
  <c i="31680" r="AB478"/>
  <c i="31680" r="AB477"/>
  <c i="31680" r="AB476"/>
  <c i="31680" r="AB475"/>
  <c i="31680" r="AB474"/>
  <c i="31680" r="AB473"/>
  <c i="31680" r="AB472"/>
  <c i="31680" r="AB471"/>
  <c i="31680" r="AB470"/>
  <c i="31680" r="AB469"/>
  <c i="31680" r="AB468"/>
  <c i="31680" r="AB467"/>
  <c i="31680" r="AB466"/>
  <c i="31680" r="AB465"/>
  <c i="31680" r="AB464"/>
  <c i="31680" r="AB463"/>
  <c i="31680" r="AB462"/>
  <c i="31680" r="AB461"/>
  <c i="31680" r="AB460"/>
  <c i="31680" r="AB459"/>
  <c i="31680" r="AB458"/>
  <c i="31680" r="AB457"/>
  <c i="31680" r="AB456"/>
  <c i="31680" r="AB455"/>
  <c i="31680" r="AB454"/>
  <c i="31680" r="AB453"/>
  <c i="31680" r="AB452"/>
  <c i="31680" r="AB451"/>
  <c i="31680" r="AB450"/>
  <c i="31680" r="AB449"/>
  <c i="31680" r="AB448"/>
  <c i="31680" r="AB447"/>
  <c i="31680" r="AB446"/>
  <c i="31680" r="AB445"/>
  <c i="31680" r="AB444"/>
  <c i="31680" r="AB443"/>
  <c i="31680" r="AB442"/>
  <c i="31680" r="AB441"/>
  <c i="31680" r="AB440"/>
  <c i="31680" r="AB439"/>
  <c i="31680" r="AB438"/>
  <c i="31680" r="AB437"/>
  <c i="31680" r="AB436"/>
  <c i="31680" r="AB435"/>
  <c i="31680" r="AB434"/>
  <c i="31680" r="AB433"/>
  <c i="31680" r="AB432"/>
  <c i="31680" r="AB431"/>
  <c i="31680" r="AB430"/>
  <c i="31680" r="AB429"/>
  <c i="31680" r="AB428"/>
  <c i="31680" r="AB427"/>
  <c i="31680" r="AB426"/>
  <c i="31680" r="AB425"/>
  <c i="31680" r="AB424"/>
  <c i="31680" r="AB423"/>
  <c i="31680" r="AB422"/>
  <c i="31680" r="AB421"/>
  <c i="31680" r="AB420"/>
  <c i="31680" r="AB419"/>
  <c i="31680" r="AB418"/>
  <c i="31680" r="AB417"/>
  <c i="31680" r="AB416"/>
  <c i="31680" r="AB415"/>
  <c i="31680" r="AB414"/>
  <c i="31680" r="AB413"/>
  <c i="31680" r="AB412"/>
  <c i="31680" r="AB411"/>
  <c i="31680" r="AB410"/>
  <c i="31680" r="AB409"/>
  <c i="31680" r="AB408"/>
  <c i="31680" r="AB407"/>
  <c i="31680" r="AB406"/>
  <c i="31680" r="AB405"/>
  <c i="31680" r="AB404"/>
  <c i="31680" r="AB403"/>
  <c i="31680" r="AB402"/>
  <c i="31680" r="AB401"/>
  <c i="31680" r="AB400"/>
  <c i="31680" r="AB399"/>
  <c i="31680" r="AB398"/>
  <c i="31680" r="AB397"/>
  <c i="31680" r="AB396"/>
  <c i="31680" r="AB395"/>
  <c i="31680" r="AB394"/>
  <c i="31680" r="AB393"/>
  <c i="31680" r="AB392"/>
  <c i="31680" r="AB391"/>
  <c i="31680" r="AB390"/>
  <c i="31680" r="AB389"/>
  <c i="31680" r="AB388"/>
  <c i="31680" r="AB387"/>
  <c i="31680" r="AB386"/>
  <c i="31680" r="AB385"/>
  <c i="31680" r="AB384"/>
  <c i="31680" r="AB383"/>
  <c i="31680" r="AB382"/>
  <c i="31680" r="AB381"/>
  <c i="31680" r="AB380"/>
  <c i="31680" r="AB379"/>
  <c i="31680" r="AB378"/>
  <c i="31680" r="AB377"/>
  <c i="31680" r="AB376"/>
  <c i="31680" r="AB375"/>
  <c i="31680" r="AB374"/>
  <c i="31680" r="AB373"/>
  <c i="31680" r="AB372"/>
  <c i="31680" r="AB371"/>
  <c i="31680" r="AB370"/>
  <c i="31680" r="AB369"/>
  <c i="31680" r="AB368"/>
  <c i="31680" r="AB367"/>
  <c i="31680" r="AB366"/>
  <c i="31680" r="AB365"/>
  <c i="31680" r="AB364"/>
  <c i="31680" r="AB363"/>
  <c i="31680" r="AB362"/>
  <c i="31680" r="AB361"/>
  <c i="31680" r="AB360"/>
  <c i="31680" r="AB359"/>
  <c i="31680" r="AB358"/>
  <c i="31680" r="AB357"/>
  <c i="31680" r="AB356"/>
  <c i="31680" r="AB355"/>
  <c i="31680" r="AB354"/>
  <c i="31680" r="AB353"/>
  <c i="31680" r="AB352"/>
  <c i="31680" r="AB351"/>
  <c i="31680" r="AB350"/>
  <c i="31680" r="AB349"/>
  <c i="31680" r="AB348"/>
  <c i="31680" r="AB347"/>
  <c i="31680" r="AB346"/>
  <c i="31680" r="AB345"/>
  <c i="31680" r="AB344"/>
  <c i="31680" r="AB343"/>
  <c i="31680" r="AB342"/>
  <c i="31680" r="AB341"/>
  <c i="31680" r="AB340"/>
  <c i="31680" r="AB339"/>
  <c i="31680" r="AB338"/>
  <c i="31680" r="AB337"/>
  <c i="31680" r="AB336"/>
  <c i="31680" r="AB335"/>
  <c i="31680" r="AB334"/>
  <c i="31680" r="AB333"/>
  <c i="31680" r="AB332"/>
  <c i="31680" r="AB331"/>
  <c i="31680" r="AB330"/>
  <c i="31680" r="AB329"/>
  <c i="31680" r="AB328"/>
  <c i="31680" r="AB327"/>
  <c i="31680" r="AB326"/>
  <c i="31680" r="AB325"/>
  <c i="31680" r="AB324"/>
  <c i="31680" r="AB323"/>
  <c i="31680" r="AB322"/>
  <c i="31680" r="AB321"/>
  <c i="31680" r="AB320"/>
  <c i="31680" r="AB319"/>
  <c i="31680" r="AB318"/>
  <c i="31680" r="AB317"/>
  <c i="31680" r="AB316"/>
  <c i="31680" r="AB315"/>
  <c i="31680" r="AB314"/>
  <c i="31680" r="AB313"/>
  <c i="31680" r="AB312"/>
  <c i="31680" r="AB311"/>
  <c i="31680" r="AB310"/>
  <c i="31680" r="AB309"/>
  <c i="31680" r="AB308"/>
  <c i="31680" r="AB307"/>
  <c i="31680" r="AB306"/>
  <c i="31680" r="AB305"/>
  <c i="31680" r="AB304"/>
  <c i="31680" r="AB303"/>
  <c i="31680" r="AB302"/>
  <c i="31680" r="AB301"/>
  <c i="31680" r="AB300"/>
  <c i="31680" r="AB299"/>
  <c i="31680" r="AB298"/>
  <c i="31680" r="AB297"/>
  <c i="31680" r="AB296"/>
  <c i="31680" r="AB295"/>
  <c i="31680" r="AB294"/>
  <c i="31680" r="AB293"/>
  <c i="31680" r="AB292"/>
  <c i="31680" r="AB291"/>
  <c i="31680" r="AB290"/>
  <c i="31680" r="AB289"/>
  <c i="31680" r="AB288"/>
  <c i="31680" r="AB287"/>
  <c i="31680" r="AB286"/>
  <c i="31680" r="AB285"/>
  <c i="31680" r="AB284"/>
  <c i="31680" r="AB283"/>
  <c i="31680" r="AB282"/>
  <c i="31680" r="AB281"/>
  <c i="31680" r="AB280"/>
  <c i="31680" r="AB279"/>
  <c i="31680" r="AB278"/>
  <c i="31680" r="AB277"/>
  <c i="31680" r="AB276"/>
  <c i="31680" r="AB275"/>
  <c i="31680" r="AB274"/>
  <c i="31680" r="AB273"/>
  <c i="31680" r="AB272"/>
  <c i="31680" r="AB271"/>
  <c i="31680" r="AB270"/>
  <c i="31680" r="AB269"/>
  <c i="31680" r="AB268"/>
  <c i="31680" r="AB267"/>
  <c i="31680" r="AB266"/>
  <c i="31680" r="AB265"/>
  <c i="31680" r="AB264"/>
  <c i="31680" r="AB263"/>
  <c i="31680" r="AB262"/>
  <c i="31680" r="AB261"/>
  <c i="31680" r="AB260"/>
  <c i="31680" r="AB259"/>
  <c i="31680" r="AB258"/>
  <c i="31680" r="AB257"/>
  <c i="31680" r="AB256"/>
  <c i="31680" r="AB255"/>
  <c i="31680" r="AB254"/>
  <c i="31680" r="AB253"/>
  <c i="31680" r="AB252"/>
  <c i="31680" r="AB251"/>
  <c i="31680" r="AB250"/>
  <c i="31680" r="AB249"/>
  <c i="31680" r="AB248"/>
  <c i="31680" r="AB247"/>
  <c i="31680" r="AB246"/>
  <c i="31680" r="AB245"/>
  <c i="31680" r="AB244"/>
  <c i="31680" r="AB243"/>
  <c i="31680" r="AB242"/>
  <c i="31680" r="AB241"/>
  <c i="31680" r="AB240"/>
  <c i="31680" r="AB239"/>
  <c i="31680" r="AB238"/>
  <c i="31680" r="AB237"/>
  <c i="31680" r="AB236"/>
  <c i="31680" r="AB235"/>
  <c i="31680" r="AB234"/>
  <c i="31680" r="AB233"/>
  <c i="31680" r="AB232"/>
  <c i="31680" r="AB231"/>
  <c i="31680" r="AB230"/>
  <c i="31680" r="AB229"/>
  <c i="31680" r="AB228"/>
  <c i="31680" r="AB227"/>
  <c i="31680" r="AB226"/>
  <c i="31680" r="AB225"/>
  <c i="31680" r="AB224"/>
  <c i="31680" r="AB223"/>
  <c i="31680" r="AB222"/>
  <c i="31680" r="AB221"/>
  <c i="31680" r="AB220"/>
  <c i="31680" r="AB219"/>
  <c i="31680" r="AB218"/>
  <c i="31680" r="AB217"/>
  <c i="31680" r="AB216"/>
  <c i="31680" r="AB215"/>
  <c i="31680" r="AB214"/>
  <c i="31680" r="AB213"/>
  <c i="31680" r="AB212"/>
  <c i="31680" r="AB211"/>
  <c i="31680" r="AB210"/>
  <c i="31680" r="AB209"/>
  <c i="31680" r="AB208"/>
  <c i="31680" r="AB207"/>
  <c i="31680" r="AB206"/>
  <c i="31680" r="AB205"/>
  <c i="31680" r="AB204"/>
  <c i="31680" r="AB203"/>
  <c i="31680" r="AB202"/>
  <c i="31680" r="AB201"/>
  <c i="31680" r="AB200"/>
  <c i="31680" r="AB199"/>
  <c i="31680" r="AB198"/>
  <c i="31680" r="AB197"/>
  <c i="31680" r="AB196"/>
  <c i="31680" r="AB195"/>
  <c i="31680" r="AB194"/>
  <c i="31680" r="AB193"/>
  <c i="31680" r="AB192"/>
  <c i="31680" r="AB191"/>
  <c i="31680" r="AB190"/>
  <c i="31680" r="AB189"/>
  <c i="31680" r="AB188"/>
  <c i="31680" r="AB187"/>
  <c i="31680" r="AB186"/>
  <c i="31680" r="AB185"/>
  <c i="31680" r="AB184"/>
  <c i="31680" r="AB183"/>
  <c i="31680" r="AB182"/>
  <c i="31680" r="AB181"/>
  <c i="31680" r="AB180"/>
  <c i="31680" r="AB179"/>
  <c i="31680" r="AB178"/>
  <c i="31680" r="AB177"/>
  <c i="31680" r="AB176"/>
  <c i="31680" r="AB175"/>
  <c i="31680" r="AB174"/>
  <c i="31680" r="AB173"/>
  <c i="31680" r="AB172"/>
  <c i="31680" r="AB171"/>
  <c i="31680" r="AB170"/>
  <c i="31680" r="AB169"/>
  <c i="31680" r="AB168"/>
  <c i="31680" r="AB167"/>
  <c i="31680" r="AB166"/>
  <c i="31680" r="AB165"/>
  <c i="31680" r="AB164"/>
  <c i="31680" r="AB163"/>
  <c i="31680" r="AB162"/>
  <c i="31680" r="AB161"/>
  <c i="31680" r="AB160"/>
  <c i="31680" r="AB159"/>
  <c i="31680" r="AB158"/>
  <c i="31680" r="AB157"/>
  <c i="31680" r="AB156"/>
  <c i="31680" r="AB155"/>
  <c i="31680" r="AB154"/>
  <c i="31680" r="AB153"/>
  <c i="31680" r="AB152"/>
  <c i="31680" r="AB151"/>
  <c i="31680" r="AB150"/>
  <c i="31680" r="AB149"/>
  <c i="31680" r="AB148"/>
  <c i="31680" r="AB147"/>
  <c i="31680" r="AB146"/>
  <c i="31680" r="AB145"/>
  <c i="31680" r="AB144"/>
  <c i="31680" r="AB143"/>
  <c i="31680" r="AB142"/>
  <c i="31680" r="AB141"/>
  <c i="31680" r="AB140"/>
  <c i="31680" r="AB139"/>
  <c i="31680" r="AB138"/>
  <c i="31680" r="AB137"/>
  <c i="31680" r="AB136"/>
  <c i="31680" r="AB135"/>
  <c i="31680" r="AB134"/>
  <c i="31680" r="AB133"/>
  <c i="31680" r="AB132"/>
  <c i="31680" r="AB131"/>
  <c i="31680" r="AB130"/>
  <c i="31680" r="AB129"/>
  <c i="31680" r="AB128"/>
  <c i="31680" r="AB127"/>
  <c i="31680" r="AB126"/>
  <c i="31680" r="AB125"/>
  <c i="31680" r="AB124"/>
  <c i="31680" r="AB123"/>
  <c i="31680" r="AB122"/>
  <c i="31680" r="AB121"/>
  <c i="31680" r="AB120"/>
  <c i="31680" r="AB119"/>
  <c i="31680" r="AB118"/>
  <c i="31680" r="AB117"/>
  <c i="31680" r="AB116"/>
  <c i="31680" r="AB115"/>
  <c i="31680" r="AB114"/>
  <c i="31680" r="AB113"/>
  <c i="31680" r="AB112"/>
  <c i="31680" r="AB111"/>
  <c i="31680" r="AB110"/>
  <c i="31680" r="AB109"/>
  <c i="31680" r="AB108"/>
  <c i="31680" r="AB107"/>
  <c i="31680" r="AB106"/>
  <c i="31680" r="AB105"/>
  <c i="31680" r="AB104"/>
  <c i="31680" r="AB103"/>
  <c i="31680" r="AB102"/>
  <c i="31680" r="AB101"/>
  <c i="31680" r="AB100"/>
  <c i="31680" r="AB99"/>
  <c i="31680" r="AB98"/>
  <c i="31680" r="AB97"/>
  <c i="31680" r="AB96"/>
  <c i="31680" r="AB95"/>
  <c i="31680" r="AB94"/>
  <c i="31680" r="AB92"/>
  <c i="31680" r="AB91"/>
  <c i="31680" r="AB90"/>
  <c i="31680" r="AB89"/>
  <c i="31680" r="AB88"/>
  <c i="31680" r="AB87"/>
  <c i="31680" r="AB86"/>
  <c i="31680" r="AB85"/>
  <c i="31680" r="AB84"/>
  <c i="31680" r="AB83"/>
  <c i="31680" r="AB82"/>
  <c i="31680" r="AB81"/>
  <c i="31680" r="AB80"/>
  <c i="31680" r="AB79"/>
  <c i="31680" r="AB78"/>
  <c i="31680" r="AB77"/>
  <c i="31680" r="AB76"/>
  <c i="31680" r="AB75"/>
  <c i="31680" r="AB74"/>
  <c i="31680" r="AB73"/>
  <c i="31680" r="AB72"/>
  <c i="31680" r="AB71"/>
  <c i="31680" r="AB70"/>
  <c i="31680" r="AB69"/>
  <c i="31680" r="AB68"/>
  <c i="31680" r="AB67"/>
  <c i="31680" r="AB66"/>
  <c i="31680" r="AB65"/>
  <c i="31680" r="AB64"/>
  <c i="31680" r="AB63"/>
  <c i="31680" r="AB62"/>
  <c i="31680" r="AB61"/>
  <c i="31680" r="AB60"/>
  <c i="31680" r="AB59"/>
  <c i="31680" r="AB58"/>
  <c i="31680" r="AB57"/>
  <c i="31680" r="AB56"/>
  <c i="31680" r="AB55"/>
  <c i="31680" r="AB54"/>
  <c i="31680" r="AB53"/>
  <c i="31680" r="AB52"/>
  <c i="31680" r="AB51"/>
  <c i="31680" r="AB50"/>
  <c i="31680" r="AB49"/>
  <c i="31680" r="AB48"/>
  <c i="31680" r="AB47"/>
  <c i="31680" r="AB46"/>
  <c i="31680" r="AB45"/>
  <c i="31680" r="AB44"/>
  <c i="31680" r="AB43"/>
  <c i="31680" r="AB42"/>
  <c i="31680" r="AB41"/>
  <c i="31680" r="AB40"/>
  <c i="31680" r="AB39"/>
  <c i="31680" r="AB38"/>
  <c i="31680" r="AB37"/>
  <c i="31680" r="AB36"/>
  <c i="31680" r="AB35"/>
  <c i="31680" r="AB34"/>
  <c i="31680" r="AB33"/>
  <c i="31680" r="AB32"/>
  <c i="31680" r="AB31"/>
  <c i="31680" r="AB30"/>
  <c i="31680" r="AB29"/>
  <c i="31680" r="AB28"/>
  <c i="31680" r="AB27"/>
  <c i="31680" r="AB26"/>
  <c i="31680" r="AB25"/>
  <c i="31680" r="AB24"/>
  <c i="31680" r="AB23"/>
  <c i="31680" r="AB22"/>
  <c i="31680" r="AB21"/>
  <c i="31680" r="AB20"/>
  <c i="31680" r="AB19"/>
  <c i="31680" r="AB18"/>
  <c i="31680" r="AB17"/>
  <c i="31680" r="AB16"/>
  <c i="31680" r="AB15"/>
  <c i="31680" r="AB14"/>
  <c i="31680" r="AB13"/>
  <c i="31680" r="AB12"/>
  <c i="31680" r="AB11"/>
  <c i="31680" r="AB10"/>
  <c i="31680" r="AB9"/>
  <c i="31680" r="AB8"/>
  <c i="31680" r="AB7"/>
  <c i="31680" r="AB6"/>
  <c i="31680" r="AB5"/>
  <c i="31680" r="AB4"/>
  <c i="31680" r="AB3"/>
  <c i="31680" r="AB2"/>
  <c i="31689" l="1" r="D46"/>
  <c i="1" l="1" r="P9"/>
  <c i="1" r="Q9"/>
  <c i="31690" l="1" r="B33"/>
  <c i="31690" r="C21"/>
  <c i="31690" r="C33"/>
  <c i="31690" r="B24"/>
  <c i="31690" r="C17"/>
  <c i="31690" r="B18"/>
  <c i="31690" r="B29"/>
  <c i="31690" r="C32"/>
  <c i="31690" r="C29"/>
  <c i="31690" r="C25"/>
  <c i="31690" r="C31"/>
  <c i="31690" r="C34"/>
  <c i="31690" r="B21"/>
  <c i="31690" r="B31"/>
  <c i="31690" r="C24"/>
  <c i="31690" r="B26"/>
  <c i="31690" r="B17"/>
  <c i="31690" r="C22"/>
  <c i="31690" r="B32"/>
  <c i="31690" r="B30"/>
  <c i="31690" r="B22"/>
  <c i="31690" r="B34"/>
  <c i="31690" r="B25"/>
  <c i="31690" r="C26"/>
  <c i="31690" r="C30"/>
  <c i="31690" r="E39"/>
  <c i="31690" r="C18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L65"/>
  <c i="1" r="J65"/>
  <c i="1" r="I65"/>
  <c i="1" r="H65"/>
  <c i="1" r="F65"/>
  <c i="1" r="G65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<sst xmlns="http://schemas.openxmlformats.org/spreadsheetml/2006/main" count="4729" uniqueCount="1067">
  <si>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</si>
  <si>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</si>
  <si>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</si>
  <si>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</si>
  <si>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</si>
  <si>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</si>
  <si>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</si>
  <si>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</si>
  <si>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</si>
  <si>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</si>
  <si>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</si>
  <si>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</si>
  <si>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</si>
  <si>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</si>
  <si>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</si>
  <si>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</si>
  <si>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</si>
  <si>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</si>
  <si>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</si>
  <si>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</si>
  <si>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</si>
  <si>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</si>
  <si>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</si>
  <si>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</si>
  <si>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</si>
  <si>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</si>
  <si>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</si>
  <si>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</si>
  <si>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</si>
  <si>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</si>
  <si>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</si>
  <si>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</si>
  <si>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</si>
  <si>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</si>
  <si>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</si>
  <si>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</si>
  <si>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</si>
  <si>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</si>
  <si>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</si>
  <si>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</si>
  <si>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</si>
  <si>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</si>
  <si>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</si>
  <si>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</si>
  <si>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</si>
  <si>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</si>
  <si>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</si>
  <si>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</si>
  <si>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</si>
  <si>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</si>
  <si>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</si>
  <si>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</si>
  <si>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</si>
  <si>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</si>
  <si>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</si>
  <si>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</si>
  <si>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</si>
  <si>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</si>
  <si>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</si>
  <si>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</si>
  <si>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</si>
  <si>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</si>
  <si>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</si>
  <si>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</si>
  <si>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</si>
  <si>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</si>
  <si>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</si>
  <si>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</si>
  <si>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</si>
  <si>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</si>
  <si>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</si>
  <si>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</si>
  <si>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</si>
  <si>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</si>
  <si>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</si>
  <si>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</si>
  <si>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</si>
  <si>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</si>
  <si>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</si>
  <si>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</si>
  <si>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</si>
  <si>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</si>
  <si>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</si>
  <si>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</si>
  <si>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</si>
  <si>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</si>
  <si>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</si>
  <si>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</si>
  <si>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</si>
  <si>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</si>
  <si>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</si>
  <si>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</si>
  <si>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</si>
  <si>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</si>
  <si>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</si>
  <si>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</si>
  <si>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</si>
  <si>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</si>
  <si>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</si>
  <si>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</si>
  <si>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</si>
  <si>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</si>
  <si>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</si>
  <si>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</si>
  <si>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</si>
  <si>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</si>
  <si>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</si>
  <si>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</si>
  <si>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</si>
  <si>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</si>
  <si>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</si>
  <si>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</si>
  <si>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</si>
  <si>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</si>
  <si>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</si>
  <si>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</si>
  <si>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</si>
  <si>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</si>
  <si>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</si>
  <si>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</si>
  <si>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</si>
  <si>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</si>
  <si>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</si>
  <si>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</si>
  <si>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</si>
  <si>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</si>
  <si>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</si>
  <si>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</si>
  <si>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</si>
  <si>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</si>
  <si>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</si>
  <si>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</si>
  <si>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</si>
  <si>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</si>
  <si>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</si>
  <si>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</si>
  <si>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</si>
  <si>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</si>
  <si>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</si>
  <si>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</si>
  <si>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</si>
  <si>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</si>
  <si>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</si>
  <si>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</si>
  <si>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</si>
  <si>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</si>
  <si>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</si>
  <si>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</si>
  <si>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</si>
  <si>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</si>
  <si>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</si>
  <si>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</si>
  <si>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</si>
  <si>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</si>
  <si>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</si>
  <si>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</si>
  <si>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</si>
  <si>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</si>
  <si>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</si>
  <si>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</si>
  <si>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</si>
  <si>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</si>
  <si>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</si>
  <si>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</si>
  <si>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</si>
  <si>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</si>
  <si>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</si>
  <si>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</si>
  <si>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</si>
  <si>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</si>
  <si>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</si>
  <si>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</si>
  <si>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</si>
  <si>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</si>
  <si>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</si>
  <si>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</si>
  <si>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</si>
  <si>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</si>
  <si>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</si>
  <si>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</si>
  <si>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</si>
  <si>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</si>
  <si>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</si>
  <si>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</si>
  <si>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</si>
  <si>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</si>
  <si>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</si>
  <si>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</si>
  <si>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</si>
  <si>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</si>
  <si>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</si>
  <si>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</si>
  <si>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</si>
  <si>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</si>
  <si>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</si>
  <si>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</si>
  <si>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</si>
  <si>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</si>
  <si>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</si>
  <si>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</si>
  <si>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</si>
  <si>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</si>
  <si>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</si>
  <si>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</si>
  <si>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</si>
  <si>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</si>
  <si>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</si>
  <si>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</si>
  <si>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</si>
  <si>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</si>
  <si>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</si>
  <si>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</si>
  <si>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</si>
  <si>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</si>
  <si>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</si>
  <si>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</si>
  <si>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</si>
  <si>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</si>
  <si>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</si>
  <si>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</si>
  <si>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</si>
  <si>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</si>
  <si>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</si>
  <si>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</si>
  <si>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</si>
  <si>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</si>
  <si>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</si>
  <si>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</si>
  <si>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</si>
  <si>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</si>
  <si>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</si>
  <si>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</si>
  <si>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</si>
  <si>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</si>
  <si>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</si>
  <si>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</si>
  <si>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</si>
  <si>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</si>
  <si>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</si>
  <si>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</si>
  <si>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</si>
  <si>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</si>
  <si>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</si>
  <si>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</si>
  <si>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</si>
  <si>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</si>
  <si>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</si>
  <si>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</si>
  <si>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</si>
  <si>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</si>
  <si>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</si>
  <si>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</si>
  <si>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</si>
  <si>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</si>
  <si>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</si>
  <si>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</si>
  <si>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</si>
  <si>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</si>
  <si>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</si>
  <si>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</si>
  <si>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</si>
  <si>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</si>
  <si>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</si>
  <si>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</si>
  <si>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</si>
  <si>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</si>
  <si>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</si>
  <si>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</si>
  <si>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</si>
  <si>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</si>
  <si>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</si>
  <si>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</si>
  <si>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</si>
  <si>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</si>
  <si>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</si>
  <si>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</si>
  <si>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</si>
  <si>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</si>
  <si>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</si>
  <si>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</si>
  <si>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</si>
  <si>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</si>
  <si>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</si>
  <si>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</si>
  <si>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</si>
  <si>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</si>
  <si>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</si>
  <si>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</si>
  <si>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</si>
  <si>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</si>
  <si>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</si>
  <si>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</si>
  <si>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</si>
  <si>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</si>
  <si>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</si>
  <si>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</si>
  <si>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</si>
  <si>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</si>
  <si>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</si>
  <si>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</si>
  <si>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</si>
  <si>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</si>
  <si>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</si>
  <si>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</si>
  <si>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</si>
  <si>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</si>
  <si>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</si>
  <si>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</si>
  <si>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</si>
  <si>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</si>
  <si>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</si>
  <si>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</si>
  <si>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</si>
  <si>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</si>
  <si>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</si>
  <si>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</si>
  <si>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</si>
  <si>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</si>
  <si>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</si>
  <si>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</si>
  <si>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</si>
  <si>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</si>
  <si>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</si>
  <si>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</si>
  <si>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</si>
  <si>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</si>
  <si>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</si>
  <si>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</si>
  <si>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</si>
  <si>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</si>
  <si>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</si>
  <si>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</si>
  <si>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</si>
  <si>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</si>
  <si>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</si>
  <si>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</si>
  <si>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</si>
  <si>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</si>
  <si>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</si>
  <si>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</si>
  <si>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</si>
  <si>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</si>
  <si>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</si>
  <si>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</si>
  <si>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</si>
  <si>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</si>
  <si>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</si>
  <si>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</si>
  <si>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</si>
  <si>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</si>
  <si>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</si>
  <si>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</si>
  <si>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</si>
  <si>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</si>
  <si>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</si>
  <si>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</si>
  <si>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</si>
  <si>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</si>
  <si>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</si>
  <si>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</si>
  <si>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</si>
  <si>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</si>
  <si>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</si>
  <si>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</si>
  <si>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</si>
  <si>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</si>
  <si>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</si>
  <si>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</si>
  <si>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</si>
  <si>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</si>
  <si>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</si>
  <si>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</si>
  <si>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</si>
  <si>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</si>
  <si>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</si>
  <si>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</si>
  <si>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</si>
  <si>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</si>
  <si>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</si>
  <si>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</si>
  <si>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</si>
  <si>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</si>
  <si>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</si>
  <si>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</si>
  <si>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</si>
  <si>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</si>
  <si>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</si>
  <si>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</si>
  <si>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</si>
  <si>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</si>
  <si>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</si>
  <si>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</si>
  <si>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</si>
  <si>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</si>
  <si>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</si>
  <si>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</si>
  <si>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</si>
  <si>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</si>
  <si>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</si>
  <si>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</si>
  <si>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</si>
  <si>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</si>
  <si>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</si>
  <si>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</si>
  <si>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</si>
  <si>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</si>
  <si>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</si>
  <si>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</si>
  <si>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</si>
  <si>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</si>
  <si>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</si>
  <si>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</si>
  <si>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</si>
  <si>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</si>
  <si>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</si>
  <si>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</si>
  <si>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</si>
  <si>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</si>
  <si>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</si>
  <si>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</si>
  <si>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</si>
  <si>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</si>
  <si>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</si>
  <si>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</si>
  <si>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</si>
  <si>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</si>
  <si>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</si>
  <si>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</si>
  <si>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</si>
  <si>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</si>
  <si>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</si>
  <si>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</si>
  <si>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</si>
  <si>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</si>
  <si>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</si>
  <si>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</si>
  <si>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</si>
  <si>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</si>
  <si>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</si>
  <si>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</si>
  <si>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</si>
  <si>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</si>
  <si>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</si>
  <si>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</si>
  <si>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</si>
  <si>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</si>
  <si>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</si>
  <si>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</si>
  <si>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</si>
  <si>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</si>
  <si>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</si>
  <si>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</si>
  <si>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</si>
  <si>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</si>
  <si>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</si>
  <si>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</si>
  <si>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</si>
  <si>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</si>
  <si>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</si>
  <si>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</si>
  <si>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</si>
  <si>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</si>
  <si>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</si>
  <si>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</si>
  <si>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</si>
  <si>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</si>
  <si>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</si>
  <si>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</si>
  <si>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</si>
  <si>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</si>
  <si>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</si>
  <si>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</si>
  <si>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</si>
  <si>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</si>
  <si>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</si>
  <si>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</si>
  <si>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</si>
  <si>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</si>
  <si>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</si>
  <si>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</si>
  <si>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</si>
  <si>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</si>
  <si>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</si>
  <si>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</si>
  <si>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</si>
  <si>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</si>
  <si>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</si>
  <si>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</si>
  <si>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</si>
  <si>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</si>
  <si>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</si>
  <si>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</si>
  <si>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</si>
  <si>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</si>
  <si>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</si>
  <si>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</si>
  <si>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</si>
  <si>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</si>
  <si>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</si>
  <si>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</si>
  <si>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</si>
  <si>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</si>
  <si>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</si>
  <si>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</si>
  <si>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</si>
  <si>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</si>
  <si>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</si>
  <si>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</si>
  <si>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</si>
  <si>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</si>
  <si>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</si>
  <si>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</si>
  <si>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</si>
  <si>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</si>
  <si>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</si>
  <si>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</si>
  <si>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</si>
  <si>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</si>
  <si>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</si>
  <si>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</si>
  <si>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</si>
  <si>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</si>
  <si>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</si>
  <si>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</si>
  <si>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</si>
  <si>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</si>
  <si>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</si>
  <si>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</si>
  <si>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</si>
  <si>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</si>
  <si>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</si>
  <si>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</si>
  <si>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</si>
  <si>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</si>
  <si>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</si>
  <si>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</si>
  <si>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</si>
  <si>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</si>
  <si>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</si>
  <si>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</si>
  <si>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</si>
  <si>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</si>
  <si>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</si>
  <si>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</si>
  <si>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</si>
  <si>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</si>
  <si>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</si>
  <si>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</si>
  <si>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</si>
  <si>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</si>
  <si>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</si>
  <si>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</si>
  <si>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</si>
  <si>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</si>
  <si>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</si>
  <si>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</si>
  <si>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</si>
  <si>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</si>
  <si>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</si>
  <si>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</si>
  <si>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</si>
  <si>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</si>
  <si>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</si>
  <si>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</si>
  <si>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</si>
  <si>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</si>
  <si>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</si>
  <si>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</si>
  <si>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</si>
  <si>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</si>
  <si>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</si>
  <si>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</si>
  <si>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</si>
  <si>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</si>
  <si>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</si>
  <si>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</si>
  <si>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BAIRD R C             Flat 17 Rent       BGC</t>
  </si>
  <si>
    <t>PAYMENT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</si>
  <si>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</si>
  <si>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</si>
  <si>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</si>
  <si>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</si>
  <si>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</si>
  <si>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</si>
  <si>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</si>
  <si>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</si>
  <si>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</si>
  <si>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BEALS ESTATE AGENT    SHOP196 KINGSTON R BGC</t>
  </si>
  <si>
    <t>BEALS ESTATE AGENT    196A KINGSTON ROAD BGC</t>
  </si>
  <si>
    <t>CREATION.CO.UK        X1011563/A008360   DDR</t>
  </si>
  <si>
    <t>PAYPAL PAYMENT        5CM22229DF5GW      DDR</t>
  </si>
  <si>
    <t>FT</t>
  </si>
  <si>
    <t>BEALS ESTATE AGENT    FLAT 1412-14 ALHAM BGC</t>
  </si>
  <si>
    <t>BEALS ESTATE AGENT    FLAT 68 ALHAMBRA R BGC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</si>
  <si>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</si>
  <si>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</si>
  <si>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</si>
  <si>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</si>
  <si>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</si>
  <si>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</si>
  <si>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</si>
  <si>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</si>
  <si>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 xml:space="preserve">INGOLDSBY K A         FLAT19ALHAMBRA     FT </t>
  </si>
  <si>
    <t>BEALS ESTATE AGENT    FLAT 616-18 ALHAMB BGC</t>
  </si>
  <si>
    <t>LAND ROVER FS         579452160          DDR</t>
  </si>
  <si>
    <t>BHAM MIDSHIRES        020010557032/41445 DDR</t>
  </si>
  <si>
    <t>BEALS ESTATE AGENT    FLAT 1116-18 ALHAM BGC</t>
  </si>
  <si>
    <t>BEALS ESTATE AGENT    FLAT 3321 LONDON R BGC</t>
  </si>
  <si>
    <t>CIPRIAN GEORGESCU     F2 321 LONDON ROAD BGC</t>
  </si>
  <si>
    <t xml:space="preserve">TIDBURY M             RENT               FT 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</si>
  <si>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</si>
  <si>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</si>
  <si>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</si>
  <si>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</si>
  <si>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</si>
  <si>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20-53-97 30728691</t>
  </si>
  <si>
    <t>TUCKER MS     %0 P    20533030728691 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</si>
  <si>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</si>
  <si>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</si>
  <si>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</si>
  <si>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</si>
  <si>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LEGAL &amp; GEN MI C/L    011439921-5        DDR</t>
  </si>
  <si>
    <t>THE HARPUR TRUST D    TUCKM8  PVALA1     DDR</t>
  </si>
  <si>
    <t xml:space="preserve">STANCU E              RENT               FT </t>
  </si>
  <si>
    <t>KINGSTON UNITY        PL684048A VALENTNO STO</t>
  </si>
  <si>
    <t>SHEPHERDS FS          PN026484A          DDR</t>
  </si>
  <si>
    <t>TADIWANASHE DUNIRA    Rent               BGC</t>
  </si>
  <si>
    <t>BEALS ESTATE AGENT    FLAT 1616-18 ALHAM BGC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</si>
  <si>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</si>
  <si>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</si>
  <si>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</si>
  <si>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</si>
  <si>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</si>
  <si>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STUKAS G              FLAT 21            BGC</t>
  </si>
  <si>
    <t>BEALS ESTATE AGENT    FLAT 78 ALHAMBRA R BGC</t>
  </si>
  <si>
    <t>ONECALL INSURANCE     OIP-5-3104389      DDR</t>
  </si>
  <si>
    <t>ID MOBILE LIMITED     11245718/001       DDR</t>
  </si>
  <si>
    <t>MR MICHAEL BETTS      FT11 12-14ALHAMBRA STO</t>
  </si>
  <si>
    <t>ID MOBILE LIMITED     11888885/001       DDR</t>
  </si>
  <si>
    <t>MR MATTHEW STUART     207409 40406538    STO</t>
  </si>
  <si>
    <t>BOOTS REWARDSCHEME    A45028400000736    DDR</t>
  </si>
  <si>
    <t>20-74-09 40406538</t>
  </si>
  <si>
    <t>TUCK&amp;VALEN HSE%0 P    207409 40406538    STO</t>
  </si>
  <si>
    <t>A BECK PLUMBING       7280 4 163 W HEAT  BBP</t>
  </si>
  <si>
    <t>A BECK PLUMBING       7273 14 12-14      BBP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</si>
  <si>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</si>
  <si>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</si>
  <si>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</si>
  <si>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</si>
  <si>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</si>
  <si>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EE LIMITED            Q13077400125517736 DDR</t>
  </si>
  <si>
    <t>WWW.NIKESTORE.COM     ON 01 JUN          BCC</t>
  </si>
  <si>
    <t xml:space="preserve">209254 13438023       REECE SAFETY KEYS  FT </t>
  </si>
  <si>
    <t>BRUEN MT              FLAT 5             BGC</t>
  </si>
  <si>
    <t>GD3                   GD3 20 -6 CLEAN    BBP</t>
  </si>
  <si>
    <t>GD3                   F20 ALHAM WORKS    BBP</t>
  </si>
  <si>
    <t>WWW.REECESAFETY.CO    ON 03 JUN          BCC</t>
  </si>
  <si>
    <t>LETS DO LETTTINGS     IV01 5 8 CLEAN     BBP</t>
  </si>
  <si>
    <t>PROFESSOR JAH WASS    17773 I VALENTINO  BBP</t>
  </si>
  <si>
    <t>CO OPERATIVE FOOD     ON 08 JUN          CLP</t>
  </si>
  <si>
    <t>POST OFFICE COUNTE    ON 08 JUN          CLP</t>
  </si>
  <si>
    <t>K Parson              Security deposit   BGC</t>
  </si>
  <si>
    <t>DMZ CLEANING          3172 4321 LOCK     BBP</t>
  </si>
  <si>
    <t>Spotify UK            ON 13 JUN          BCC</t>
  </si>
  <si>
    <t>PCC COLLECTION ACC    104785310          DDR</t>
  </si>
  <si>
    <t>PCC COLLECTION ACC    104776257          DDR</t>
  </si>
  <si>
    <t xml:space="preserve">ROCCO                 HAPPY BIRTHDAY     FT </t>
  </si>
  <si>
    <t xml:space="preserve">ROCCO                 NANNY SUE          FT </t>
  </si>
  <si>
    <t>MKC PARKING RINGGO    ON 17 JUN          BCC</t>
  </si>
  <si>
    <t xml:space="preserve">SOFIA                 DAD IS THE BEST    FT </t>
  </si>
  <si>
    <t xml:space="preserve">SOFIA                 DAD IS COOL        FT </t>
  </si>
  <si>
    <t>WAITROSE              ON 18 JUN          BCC</t>
  </si>
  <si>
    <t xml:space="preserve">207409 40406538       TRF                FT </t>
  </si>
  <si>
    <t>MARKS&amp;SPENCER PLC     ON 20 JUN          BCC</t>
  </si>
  <si>
    <t>H &amp; M                 ON 20 JUN          BCC</t>
  </si>
  <si>
    <t xml:space="preserve">ROCCO                 NAN BIRTHDAY MONEY FT </t>
  </si>
  <si>
    <t>WWW.TDS.GB.COM        ON 22 JUN          BCC</t>
  </si>
  <si>
    <t>POST OFFICE COUNTE    ON 23 JUN          CLP</t>
  </si>
  <si>
    <t>BEDFORD S             DEPOSIT FLAT 17    BGC</t>
  </si>
  <si>
    <t>Gd3 Property Ltd      20</t>
  </si>
  <si>
    <t>A BECK PLUMBING       7410 16 16-18      BBP</t>
  </si>
  <si>
    <t>DMZ CLEANING          3172 18 4-6 REPAIR BBP</t>
  </si>
  <si>
    <t>BEALS ESTATE AGENT    FLAT 1171 FAWCETT  BGC</t>
  </si>
  <si>
    <t>DMZ CLEANING          3176 23B PAINT     BBP</t>
  </si>
  <si>
    <t>DMZ CLEANING          3175 2 169 TILE    BBP</t>
  </si>
  <si>
    <t>DMZ CLEANING          3174 171 COM       BBP</t>
  </si>
  <si>
    <t>DMZ CLEANING          3173  171 CARPET   BBP</t>
  </si>
  <si>
    <t>PRET A MANGER         ON 28 JUN          CLP</t>
  </si>
  <si>
    <t>BOOTS</t>
  </si>
  <si>
    <t>BRUEN MT              5</t>
  </si>
  <si>
    <t>M Williams            RENT               BGC</t>
  </si>
  <si>
    <t>A BECK  PLUMBING      7272 512-14 CISTER BBP</t>
  </si>
  <si>
    <t>A BECK  PLUMBING      7275 10 12-14 GSC  BBP</t>
  </si>
  <si>
    <t>A BECK  PLUMBING      7271 GS 512-14     BBP</t>
  </si>
  <si>
    <t>A BECK  PLUMBING      7274 23C WASH MACH BBP</t>
  </si>
  <si>
    <t>WILSTEAD P.O. &amp; ST    ON 29 MAY          CLP</t>
  </si>
  <si>
    <t>POST OFFICE COUNTE    ON 29 MAY          CLP</t>
  </si>
  <si>
    <t>PCC COLLECTION ACC    104953685          DDR</t>
  </si>
  <si>
    <t>PCC COLLECTION ACC    104922516          DDR</t>
  </si>
  <si>
    <t>PCC COLLECTION ACC    104808663          DDR</t>
  </si>
  <si>
    <t>THE HARPUR TRUST D    TUCKM8  BVALR8     DDR</t>
  </si>
  <si>
    <t>HUGHES JD             RENT FLAT 8</t>
  </si>
  <si>
    <t>PCC COLLECTION ACC    104797266          DDR</t>
  </si>
  <si>
    <t>BT GROUP PLC          GB14092007-000069  DDR</t>
  </si>
  <si>
    <t>H3G                   980404269602240620 DDR</t>
  </si>
  <si>
    <t>SOFIA VALENTINO-TU    LOVE MUMMY         BBP</t>
  </si>
  <si>
    <t>SOFIA VALENTINO-TU    BE KIND            BBP</t>
  </si>
  <si>
    <t>BP BEDFORD EXPRESS    ON 30 MAY          BCC</t>
  </si>
  <si>
    <t>MARKS&amp;SPENCER PLC     ON 01 JUN          BCC</t>
  </si>
  <si>
    <t>CO OPERATIVE FOOD     ON 01 JUN          BCC</t>
  </si>
  <si>
    <t>MARKS&amp;SPENCER PLC     ON 02 JUN          BCC</t>
  </si>
  <si>
    <t>TRACEY OWNERS         LEO                BBP</t>
  </si>
  <si>
    <t>BOOTS 6407            ON 03 JUN          BCC</t>
  </si>
  <si>
    <t xml:space="preserve">ETSY.COM UKGIFTSTO    IRELAND               </t>
  </si>
  <si>
    <t>PILGRIMS PARENTS      ALESSIO VT         BBP</t>
  </si>
  <si>
    <t>BP BEDFORD EXPRESS    ON 03 JUN          BCC</t>
  </si>
  <si>
    <t>CO OPERATIVE FOOD     ON 04 JUN          BCC</t>
  </si>
  <si>
    <t>SOFIA VALENTINO-TU    JEWELRY            BBP</t>
  </si>
  <si>
    <t>ROCCO VALENTINO       THUMB PADS         BBP</t>
  </si>
  <si>
    <t>CO OPERATIVE FOOD     ON 06 JUN          CLP</t>
  </si>
  <si>
    <t>MARKS&amp;SPENCER PLC     ON 07 JUN          BCC</t>
  </si>
  <si>
    <t>BP BEDFORD EXPRESS    ON 06 JUN          BCC</t>
  </si>
  <si>
    <t>COSTA COFFEE 43035    ON 09 JUN          CLP</t>
  </si>
  <si>
    <t>CO OPERATIVE FOOD     ON 10 JUN          CLP</t>
  </si>
  <si>
    <t>BOOTS 6407            ON 11 JUN          BCC</t>
  </si>
  <si>
    <t>MARKS&amp;SPENCER PLC     ON 11 JUN          BCC</t>
  </si>
  <si>
    <t>MCDONALDS             ON 13 JUN          CLP</t>
  </si>
  <si>
    <t>BP BEDFORD EXPRESS    ON 13 JUN          CLP</t>
  </si>
  <si>
    <t>TESCO PFS 5449        ON 14 JUN          CLP</t>
  </si>
  <si>
    <t>CO OPERATIVE FOOD     ON 12 JUN          CLP</t>
  </si>
  <si>
    <t>PGS GIFTS LTD         ON 12 JUN          BCC</t>
  </si>
  <si>
    <t>CO OPERATIVE FOOD     ON 14 JUN          BCC</t>
  </si>
  <si>
    <t>SP * SNUGZY           ON 14 JUN          BCC</t>
  </si>
  <si>
    <t xml:space="preserve">205397 30728691       TRF                FT </t>
  </si>
  <si>
    <t>S BARNES              ROCCO GIFT TRAVIS  BBP</t>
  </si>
  <si>
    <t>BP BEDFORD EXPRESS    ON 14 JUN          CLP</t>
  </si>
  <si>
    <t>CO OPERATIVE FOOD     ON 16 JUN          CLP</t>
  </si>
  <si>
    <t>MARKS&amp;SPENCER PLC     ON 16 JUN          BCC</t>
  </si>
  <si>
    <t xml:space="preserve">207409 60458872       TRF                FT </t>
  </si>
  <si>
    <t>TSGN                  ON 20 JUN          CLP</t>
  </si>
  <si>
    <t>PRET A MANGER         ON 20 JUN          CLP</t>
  </si>
  <si>
    <t>PAUL UK LTD -ST PA    ON 20 JUN          CLP</t>
  </si>
  <si>
    <t>Indigo Park Servic    ON 20 JUN          CLP</t>
  </si>
  <si>
    <t>T K MAXX              ON 22 JUN          CLP</t>
  </si>
  <si>
    <t>MCDONALDS             ON 22 JUN          CLP</t>
  </si>
  <si>
    <t>CO OPERATIVE FOOD     ON 22 JUN          CLP</t>
  </si>
  <si>
    <t>COSTA COFFEE 43035    ON 22 JUN          CLP</t>
  </si>
  <si>
    <t>MARKS&amp;SPENCER PLC     ON 23 JUN          CLP</t>
  </si>
  <si>
    <t>BP BEDFORD EXPRESS    ON 22 JUN          BCC</t>
  </si>
  <si>
    <t>NATIONAL LOTTERY I    ON 23 JUN          BCC</t>
  </si>
  <si>
    <t>PARKING FEE           ON 23 JUN          BCC</t>
  </si>
  <si>
    <t>H &amp; M                 ON 24 JUN          CLP</t>
  </si>
  <si>
    <t>MCDONALDS             ON 24 JUN          CLP</t>
  </si>
  <si>
    <t>COSTA COFFEE 43035    ON 23 JUN          CLP</t>
  </si>
  <si>
    <t>COSTA COFFEE 43035    ON 24 JUN          CLP</t>
  </si>
  <si>
    <t>CO OPERATIVE FOOD     ON 24 JUN          CLP</t>
  </si>
  <si>
    <t>COSTCO WHOLESALE U    ON 24 JUN          BCC</t>
  </si>
  <si>
    <t>SPECSAVERS            ON 24 JUN          BCC</t>
  </si>
  <si>
    <t>ZARA                  ON 24 JUN          BCC</t>
  </si>
  <si>
    <t>BP BEDFORD EXPRESS    ON 27 JUN          CLP</t>
  </si>
  <si>
    <t>NEXTR ETAIL LTD       ON 27 JUN          CLP</t>
  </si>
  <si>
    <t>BP NEWHAM AVENUE C    ON 25 JUN          CLP</t>
  </si>
  <si>
    <t>MARKS&amp;SPENCER PLC     ON 28 JUN          CLP</t>
  </si>
  <si>
    <t>CASH</t>
  </si>
  <si>
    <t xml:space="preserve">NOTEMACHINE           KASH'S BUDGENS        </t>
  </si>
  <si>
    <t>PARKING FEE           ON 28 JUN          BCC</t>
  </si>
  <si>
    <t>ZOE ROOKE             ALESSIO VT GIFT    BBP</t>
  </si>
  <si>
    <t>MARKS&amp;SPENCER PLC     ON 29 JUN          CLP</t>
  </si>
  <si>
    <t>Council Tax</t>
  </si>
  <si>
    <t>Rent for period 30/05/2020 - 29/06/2020 from Mr Robert Baird - Flat 17, 4-6 Alhambra Road, Southsea</t>
  </si>
  <si>
    <t>Rent for period 18/06/2020 - 17/07/2020 from Mr Cipran Georgescu - Flat 2, 321 London Road, Portsmouth</t>
  </si>
  <si>
    <t>Rent for period 10/06/2020 - 09/07/2020 from Mr Vaclav Hajek - Flat 2, 169 Fawcett Road, Southsea</t>
  </si>
  <si>
    <t>Rent for period 07/06/2020 - 06/07/2020 from Mr Matthew Tidbury - Flat 4, 163 Fratton Road, Portsmouth</t>
  </si>
  <si>
    <t>Rent for period 14/06/2020 - 13/07/2020 from Miss Katie Ingoldsby - Flat 19, 4-6 Alhambra Road, Southsea</t>
  </si>
  <si>
    <t>Rent for period 30/06/2020 -29/07/2020 from Miss Bianca Vintila - Flat 1, 16-18 Alhambra Rd, Southsea</t>
  </si>
  <si>
    <t>Rent for period 30/05/2020 - 30/06/2020 from Mr T Dunira - 23C, Hampshire Terrace</t>
  </si>
  <si>
    <t>Rent for period 22/06/2020 - 21/07/2020 from Mr G Stukas - Flat 21, Alhambra Road</t>
  </si>
  <si>
    <t>Rent for period 25/03/2019 - 24/04/2020 from Mr Mark Williams - First Floor Flat, 196 Kingston Road</t>
  </si>
  <si>
    <t>SPLIT</t>
  </si>
  <si>
    <t>Fox and Sons fees</t>
  </si>
  <si>
    <t>Bruen deposit</t>
  </si>
  <si>
    <t>Katherine Parson Deposit</t>
  </si>
  <si>
    <t>Sophie Bedford Deposit</t>
  </si>
  <si>
    <t>Rent for period 05/07/2020 - 04/08/2020 from Mr Matthew Bruen - Flat 5, 4-6 Alhambra Road</t>
  </si>
  <si>
    <t>Rent for period 05/06/2020 - 04/07/2020 from Mr Matthew Bruen - Flat 5, 4-6 Alhambra Road</t>
  </si>
  <si>
    <t>Rent for period 10/06/2020 - 09/07/2020 from Ms Jade Hughes - Flat 8, 8 Alhambra Road, Southsea</t>
  </si>
  <si>
    <t>Rent for period 03/06/2020 - 03/07/2020 from Mr A Stancu - Flat 22, 4-6 Alhambra Road, Southsea</t>
  </si>
  <si>
    <t>Rent for period 25/06/2020 - 24/07/2020 from Mr Michael Betts - Flat 11, 12-14 Alhambra Road, Southsea</t>
  </si>
  <si>
    <t>Rent for period 12/06/2020 - 11/07/2020 from Miss Katherine Parson - Flat 18, 4-6 Alhambra Road</t>
  </si>
  <si>
    <t>bottom entry valve syphon</t>
  </si>
  <si>
    <t>WASHING MACHINE LEAK</t>
  </si>
  <si>
    <t>GAS SAFTEY</t>
  </si>
  <si>
    <t>SPARECOMUNAL KEYS BLOCK 4-6</t>
  </si>
  <si>
    <t>SHORTFALL IN GD3 FEES</t>
  </si>
  <si>
    <t>CLEAN</t>
  </si>
  <si>
    <t>NEW LOCK</t>
  </si>
  <si>
    <t>EMERSION WATER HEATER</t>
  </si>
  <si>
    <t>NEW DOOR FRAME,WINDOW HANDLE,SHOWER</t>
  </si>
  <si>
    <t>2 walls reapin to come from tds</t>
  </si>
  <si>
    <t>Tile clean</t>
  </si>
  <si>
    <t>clean hallway</t>
  </si>
  <si>
    <t>REPAIR CARPET IN HALLWAY</t>
  </si>
  <si>
    <t>Rent for period 20/05/2020 - 19/06/2020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</si>
  <si>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</si>
  <si>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</si>
  <si>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</si>
  <si>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</si>
  <si>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Rent for period 20/06/2020 - 19/07/2020 from Mr Andrew England - Flat 10, 12-14 Alhambra Road, Southsea</t>
  </si>
  <si>
    <t>Legislation &amp; Compliance  - Flat 10, 12-14 Alhambra Road, Southsea</t>
  </si>
  <si>
    <t>Rent for period 06/06/2020 - 05/07/2020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</si>
  <si>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</si>
  <si>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</si>
  <si>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</si>
  <si>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06/05/2020 - 05/06/2020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</si>
  <si>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</si>
  <si>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</si>
  <si>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Rent for period 06/06/2020 - 05/07/2020 from Mr Tony Di-Marco - Flat 4, 12-14 Alhambra Road, Southsea</t>
  </si>
  <si>
    <t>Legislation &amp; Compliance  - Flat 4, 12-14 Alhambra Road, Southsea</t>
  </si>
  <si>
    <t>Rent for period 12/05/2020 - 11/06/2020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</si>
  <si>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</si>
  <si>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</si>
  <si>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12/06/2020 - 11/07/2020 from Mr Peter Taperek - Flat 6, 16-18 Alhambra Road, Southsea</t>
  </si>
  <si>
    <t>Legislation &amp; Compliance  - Flat 6, 16-18 Alhambra Road, Southsea</t>
  </si>
  <si>
    <t>Rent for period 12/06/2020 - 11/07/2020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</si>
  <si>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</si>
  <si>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</si>
  <si>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</si>
  <si>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</si>
  <si>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28/06/2020 - 27/07/2020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</si>
  <si>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</si>
  <si>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</si>
  <si>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25/06/2020 - 24/07/2020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</si>
  <si>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</si>
  <si>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</si>
  <si>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</si>
  <si>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15/04/2020 - 14/05/2020 from Miss Nathalie Rockmer - Flat 3, 321 London Road, Portsmouth</t>
  </si>
  <si>
    <t>Management Fee at 6% - Flat 3, 321 London Road, Portsmouth</t>
  </si>
  <si>
    <t>Rent for period 15/05/2020 - 14/06/2020 from Miss Nathalie Rockmer - Flat 3, 321 London Road, Portsmouth</t>
  </si>
  <si>
    <t>Amount payable to Mr Mathew Tucker - Flat 3, 321 London Road, Portsmouth</t>
  </si>
  <si>
    <t>Legislation &amp; Compliance  - Flat 3, 321 London Road, Portsmouth</t>
  </si>
  <si>
    <t>Rent for period 26/05/2020 - 25/06/2020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</si>
  <si>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</si>
  <si>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</si>
  <si>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</si>
  <si>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26/06/2020 - 25/07/2020 from Miss Carol Carrington - Flat 4, 321 London Road, Portsmouth</t>
  </si>
  <si>
    <t>Rent for period 02/05/2020 - 01/06/2020 from Mr Michael Pedace - Flat 2, 171 Fawcett Road, Southsea</t>
  </si>
  <si>
    <t>Management Fee at 6% - Flat 2, 171 Fawcett Road, Southsea</t>
  </si>
  <si>
    <t>Rent for period 02/06/2020 - 01/07/2020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</si>
  <si>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</si>
  <si>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</si>
  <si>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15/06/2020 - 14/07/2020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</si>
  <si>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</si>
  <si>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</si>
  <si>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</si>
  <si>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06/05/2020 - 05/06/2020 from Ms Susan Parkinson - Flat 1, 169 Fawcett Road, Southsea</t>
  </si>
  <si>
    <t>Management Fee at 6% - Flat 1, 169 Fawcett Road, Southsea</t>
  </si>
  <si>
    <t>Amount payable to Mr Mathew Tucker - Flat 1, 169 Fawcett Road, Southsea</t>
  </si>
  <si>
    <t>Rent for period 06/06/2020 - 05/07/2020 from Ms Susan Parkinson - Flat 1, 169 Fawcett Road, Southsea</t>
  </si>
  <si>
    <t>Legislation &amp; Compliance  - Flat 1, 169 Fawcett Road, Southsea</t>
  </si>
  <si>
    <t>Rent for period 11/06/2020 - 10/07/2020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</si>
  <si>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</si>
  <si>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</si>
  <si>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</si>
  <si>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01/06/2020 - 30/06/2020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</si>
  <si>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</si>
  <si>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</si>
  <si>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</si>
  <si>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08/06/2020 - 07/07/2020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</si>
  <si>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</si>
  <si>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</si>
  <si>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</si>
  <si>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14/05/2020 - 13/06/2020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</si>
  <si>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</si>
  <si>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</si>
  <si>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14/06/2020 - 13/07/2020 from Mr Martin Brett - Flat 3, 163 Fratton Road, Portsmouth</t>
  </si>
  <si>
    <t>Legislation &amp; Compliance  - Flat 3, 163 Fratton Road, Portsmouth</t>
  </si>
  <si>
    <t>Rent for period 14/05/2020 - 13/06/2020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</si>
  <si>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</si>
  <si>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</si>
  <si>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14/06/2020 - 13/07/2020 from Mr Aleksandra Radzevics - Flat 7, 12-14 Alhambra Road, Southsea</t>
  </si>
  <si>
    <t>Legislation &amp; Compliance  - Flat 7, 12-14 Alhambra Road, Southsea</t>
  </si>
  <si>
    <t>Rent for period 06/04/2020 - 05/05/2020 from Ms Kirstine Aldridge - Flat 1, 171 Fawcett Road, Southsea</t>
  </si>
  <si>
    <t>Management Fee at 6% - Flat 1, 171 Fawcett Road, Southsea</t>
  </si>
  <si>
    <t>Rent for period 06/05/2020 - 05/06/2020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</si>
  <si>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</si>
  <si>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</si>
  <si>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30/05/2020 - 29/06/2020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</si>
  <si>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</si>
  <si>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</si>
  <si>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</si>
  <si>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30/06/2020 - 29/07/2020 from Mr Andrew Austin - Flat 7, 8 Alhambra Road, Southsea</t>
  </si>
  <si>
    <t>Rent for period 18/04/2020 - 17/05/2020 from Mr Andrew Greer - Flat 3, 12-14 Alhambra Road, Southsea</t>
  </si>
  <si>
    <t>Management Fee at 6% - Flat 3, 12-14 Alhambra Road, Southsea</t>
  </si>
  <si>
    <t>Rent for period 18/05/2020 - 17/06/2020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</si>
  <si>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</si>
  <si>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</si>
  <si>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18/06/2020 - 17/07/2020 from Mr Andrew Greer - Flat 3, 12-14 Alhambra Road, Southsea</t>
  </si>
  <si>
    <t>Rent for period 23/05/2020 - 22/06/2020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</si>
  <si>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</si>
  <si>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</si>
  <si>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23/06/2020 - 22/07/2020 from Mr Michael Valverde - Flat 5, 12-14 Alhambra Road, Southsea</t>
  </si>
  <si>
    <t>Legislation &amp; Compliance  - Flat 5, 12-14 Alhambra Road, Southsea</t>
  </si>
  <si>
    <t>Rent for period 19/04/2020 - 18/05/2020 from Mr Aubrey Milligan - Flat 16, 12-14 Alhambra Road, Southsea</t>
  </si>
  <si>
    <t>Management Fee at 6% - Flat 16, 12-14 Alhambra Road, Southsea</t>
  </si>
  <si>
    <t>Rent for period 19/05/2020 - 18/06/2020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</si>
  <si>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</si>
  <si>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</si>
  <si>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19/06/2020 - 18/07/2020 from Mr Aubrey Milligan - Flat 16, 12-14 Alhambra Road, Southsea</t>
  </si>
  <si>
    <t>Rent for period 19/05/2020 - 18/06/2020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</si>
  <si>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</si>
  <si>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</si>
  <si>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19/06/2020 - 18/07/2020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</si>
  <si>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</si>
  <si>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</si>
  <si>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28/06/2020 - 27/07/2020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</si>
  <si>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</si>
  <si>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</si>
  <si>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Owes for Flat 2</t>
  </si>
  <si>
    <t>Not paid in March 19 and Dec 19 and Apr 20, need to check if this covers arrears - Move out 14/07/20</t>
  </si>
  <si>
    <t>Not paid March 20</t>
  </si>
  <si>
    <t>Move out date?</t>
  </si>
  <si>
    <t>Sold 22/2/19</t>
  </si>
  <si>
    <t>now 2 months in arrears</t>
  </si>
  <si>
    <t>Move out of Brown?</t>
  </si>
  <si>
    <t>Arrears from Nov 19, Half payment again in Feb 20 and May 20</t>
  </si>
  <si>
    <t xml:space="preserve">Paid to June 20. </t>
  </si>
  <si>
    <t>This flat pays into Ivana's account</t>
  </si>
  <si>
    <t>Not paid in April 19</t>
  </si>
  <si>
    <t xml:space="preserve">Paid to July. </t>
  </si>
  <si>
    <t>Has Alan Young moved out?</t>
  </si>
  <si>
    <t>Sharon Briscoe</t>
  </si>
  <si>
    <t>Mr David Connor</t>
  </si>
  <si>
    <t>Cipran Georgescu</t>
  </si>
  <si>
    <t>Nathalie Rockmer</t>
  </si>
  <si>
    <t>Susan Parkinson</t>
  </si>
  <si>
    <t>Vaclav Hajek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</si>
  <si>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</si>
  <si>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</si>
  <si>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</si>
  <si>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</si>
  <si>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</si>
  <si>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</si>
  <si>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Tsz Long Wong</t>
  </si>
  <si>
    <t>Yue Ting Edwin Lam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</si>
  <si>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</si>
  <si>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</si>
  <si>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</si>
  <si>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</si>
  <si>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</si>
  <si>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</si>
  <si>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</si>
  <si>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Andrew Austin</t>
  </si>
  <si>
    <t>Francis Brooker</t>
  </si>
  <si>
    <t>Jade Hughes</t>
  </si>
  <si>
    <t>Robert Baird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</si>
  <si>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</si>
  <si>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</si>
  <si>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</si>
  <si>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</si>
  <si>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</si>
  <si>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</si>
  <si>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</si>
  <si>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</si>
  <si>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</si>
  <si>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</si>
  <si>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</si>
  <si>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</si>
  <si>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</si>
  <si>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</si>
  <si>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</si>
  <si>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</si>
  <si>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</si>
  <si>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</si>
  <si>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</si>
  <si>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</si>
  <si>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</si>
  <si>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</si>
  <si>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</si>
  <si>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</si>
  <si>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</si>
  <si>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</si>
  <si>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Not sure what this was for?</t>
  </si>
  <si>
    <t>Clean</t>
  </si>
  <si>
    <t>A Beck plumbing</t>
  </si>
  <si>
    <t>BRUEN</t>
  </si>
  <si>
    <t>PARSON</t>
  </si>
  <si>
    <t>This was for F20 Lindemere - should have been Ivana's account</t>
  </si>
  <si>
    <t>LINDEMERE</t>
  </si>
  <si>
    <t>Rent for period 23/06/2020 - 22/07/2020 from Mr Jake Lindemere - Flat 20, 4-6 Alhambra Road, Southsea</t>
  </si>
  <si>
    <t>GD3 fees</t>
  </si>
  <si>
    <t>Cleaning</t>
  </si>
  <si>
    <t>Paid to August</t>
  </si>
  <si>
    <t>Moved out on 30/06/20</t>
  </si>
  <si>
    <t>Seems low?</t>
  </si>
  <si>
    <t>Ania Barton</t>
  </si>
  <si>
    <t>Matthew Bruen</t>
  </si>
  <si>
    <t>Sophie Bedford</t>
  </si>
  <si>
    <t>Katherine Parson</t>
  </si>
  <si>
    <t>Jake Lindemere</t>
  </si>
  <si>
    <t/>
  </si>
  <si>
    <t>BK,PM,RT</t>
  </si>
  <si>
    <t>BK,PM,EX</t>
  </si>
  <si>
    <t>BK</t>
  </si>
  <si>
    <t>BK,MT</t>
  </si>
  <si>
    <t>RT</t>
  </si>
  <si>
    <t>MF</t>
  </si>
  <si>
    <t>PM</t>
  </si>
  <si>
    <t>EX</t>
  </si>
  <si>
    <t>Sharon Briscoe (25/01/2019 - present)</t>
  </si>
  <si>
    <t>Cipran Georgescu (18/01/2020 - present)</t>
  </si>
  <si>
    <t>Nathalie Rockmer (15/09/2018 -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</si>
  <si>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</si>
  <si>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</si>
  <si>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</si>
  <si>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</si>
  <si>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</si>
  <si>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</si>
  <si>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</si>
  <si>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</si>
  <si>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</si>
  <si>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</si>
  <si>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</si>
  <si>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Mark Williams (25/09/2019 - present)</t>
  </si>
  <si>
    <t>T Dunira (30/09/2019 - present)</t>
  </si>
  <si>
    <t>Matthew Bruen (05/06/2020 - present)</t>
  </si>
  <si>
    <t>Mr Hinks (08/11/2013 - present)</t>
  </si>
  <si>
    <t>Andrew Austin (30/04/2018 - present)</t>
  </si>
  <si>
    <t>Jade Hughes (10/12/2019 - present)</t>
  </si>
  <si>
    <t>Robert Baird (31/10/2019 -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</si>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</sst>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2" numFmtId="0"/>
    <xf applyAlignment="0" applyBorder="0" applyNumberFormat="0" applyProtection="0" borderId="0" fillId="10" fontId="23" numFmtId="0"/>
  </cellStyleXfs>
  <cellXfs count="173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7" numFmtId="3" xfId="0"/>
    <xf applyFont="1" borderId="0" fillId="0" fontId="17" numFmtId="0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8" numFmtId="0" xfId="0"/>
    <xf applyFont="1" borderId="0" fillId="0" fontId="19" numFmtId="0" xfId="0"/>
    <xf applyAlignment="1" applyBorder="1" applyFont="1" borderId="8" fillId="0" fontId="19" numFmtId="0" xfId="0">
      <alignment wrapText="1"/>
    </xf>
    <xf applyAlignment="1" applyBorder="1" applyFont="1" borderId="11" fillId="0" fontId="19" numFmtId="0" xfId="0">
      <alignment wrapText="1"/>
    </xf>
    <xf applyAlignment="1" applyBorder="1" applyFont="1" borderId="13" fillId="0" fontId="19" numFmtId="0" xfId="0">
      <alignment wrapText="1"/>
    </xf>
    <xf applyAlignment="1" applyBorder="1" applyFont="1" borderId="3" fillId="0" fontId="19" numFmtId="0" xfId="0">
      <alignment wrapText="1"/>
    </xf>
    <xf applyAlignment="1" applyFont="1" borderId="0" fillId="0" fontId="19" numFmtId="0" xfId="0">
      <alignment wrapText="1"/>
    </xf>
    <xf applyAlignment="1" applyBorder="1" applyFont="1" borderId="6" fillId="0" fontId="19" numFmtId="0" xfId="0">
      <alignment wrapText="1"/>
    </xf>
    <xf applyAlignment="1" applyFill="1" applyFont="1" borderId="0" fillId="7" fontId="19" numFmtId="0" xfId="0">
      <alignment wrapText="1"/>
    </xf>
    <xf applyAlignment="1" applyBorder="1" applyFont="1" borderId="7" fillId="0" fontId="19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0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19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2" numFmtId="0" xfId="1"/>
    <xf applyBorder="1" borderId="6" fillId="10" fontId="23" numFmtId="0" xfId="2"/>
    <xf applyBorder="1" applyFont="1" borderId="6" fillId="10" fontId="24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5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7" numFmtId="0" xfId="0"/>
    <xf applyFont="1" borderId="0" fillId="0" fontId="26" numFmtId="0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Border="1" applyFill="1" applyFont="1" borderId="9" fillId="14" fontId="3" numFmtId="0" xfId="0"/>
    <xf applyFill="1" applyNumberFormat="1" borderId="0" fillId="15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16" fontId="3" numFmtId="0" xfId="0"/>
    <xf applyBorder="1" applyFill="1" applyFont="1" borderId="9" fillId="12" fontId="3" numFmtId="0" xfId="0"/>
    <xf applyFill="1" borderId="0" fillId="8" fontId="0" numFmtId="0" xfId="0"/>
    <xf applyFill="1" applyNumberFormat="1" borderId="0" fillId="12" fontId="0" numFmtId="164" xfId="0"/>
    <xf applyFont="1" applyNumberFormat="1" borderId="0" fillId="0" fontId="3" numFmtId="14" xfId="0"/>
    <xf numFmtId="0" fontId="27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externalLinks/externalLink1.xml" Type="http://schemas.openxmlformats.org/officeDocument/2006/relationships/externalLink"/>
<Relationship Id="rId13" Target="externalLinks/externalLink2.xml" Type="http://schemas.openxmlformats.org/officeDocument/2006/relationships/externalLink"/>
<Relationship Id="rId14" Target="externalLinks/externalLink3.xml" Type="http://schemas.openxmlformats.org/officeDocument/2006/relationships/externalLink"/>
<Relationship Id="rId15" Target="externalLinks/externalLink4.xml" Type="http://schemas.openxmlformats.org/officeDocument/2006/relationships/externalLink"/>
<Relationship Id="rId16" Target="externalLinks/externalLink5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2" name="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3" name="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4" name="Button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5" name="Button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6" name="Button 6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7" name="Button 7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8" name="Button 8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9" name="Button 9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30" name="Button 10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7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
<Relationships xmlns="http://schemas.openxmlformats.org/package/2006/relationships">
<Relationship Id="rId1" Target="/My%20Documents/Business/Property/Statements/processed/Beals_RentalStatement_JUN2020_21082020_2075.xlsm" TargetMode="External" Type="http://schemas.openxmlformats.org/officeDocument/2006/relationships/externalLinkPath"/>
</Relationships>

</file>

<file path=xl/externalLinks/_rels/externalLink2.xml.rels><?xml version="1.0" encoding="UTF-8" standalone="no"?>
<Relationships xmlns="http://schemas.openxmlformats.org/package/2006/relationships">
<Relationship Id="rId1" Target="/My%20Documents/Business/Property/Statements/processed/Beals_RentalStatement_MAY2020_21082020_2072.xlsm" TargetMode="External" Type="http://schemas.openxmlformats.org/officeDocument/2006/relationships/externalLinkPath"/>
</Relationships>

</file>

<file path=xl/externalLinks/_rels/externalLink3.xml.rels><?xml version="1.0" encoding="UTF-8" standalone="no"?>
<Relationships xmlns="http://schemas.openxmlformats.org/package/2006/relationships">
<Relationship Id="rId1" Target="/My%20Documents/Business/Property/Statements/processed/Beals_RentalStatement_APR2020_21082020_2071.xlsm" TargetMode="External" Type="http://schemas.openxmlformats.org/officeDocument/2006/relationships/externalLinkPath"/>
</Relationships>

</file>

<file path=xl/externalLinks/_rels/externalLink4.xml.rels><?xml version="1.0" encoding="UTF-8" standalone="no"?>
<Relationships xmlns="http://schemas.openxmlformats.org/package/2006/relationships">
<Relationship Id="rId1" Target="/My%20Documents/Business/Property/Statements/processed/Beals_RentalStatement_APR2020_20082020_2068.xlsm" TargetMode="External" Type="http://schemas.openxmlformats.org/officeDocument/2006/relationships/externalLinkPath"/>
</Relationships>

</file>

<file path=xl/externalLinks/_rels/externalLink5.xml.rels><?xml version="1.0" encoding="UTF-8" standalone="no"?>
<Relationships xmlns="http://schemas.openxmlformats.org/package/2006/relationships">
<Relationship Id="rId1" Target="/My%20Documents/Business/Property/Statements/processed/Beals_RentalStatement_JUN2020_21082020_2080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N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MAY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APR2020_2"/>
    </sheetNames>
    <definedNames>
      <definedName name="SortAndRedefineTenancyData"/>
    </definedNames>
    <sheetDataSet>
      <sheetData refreshError="1" sheetId="0"/>
      <sheetData refreshError="1" sheetId="1"/>
      <sheetData refreshError="1" sheetId="2"/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refreshError="1" sheetId="9"/>
      <sheetData refreshError="1" sheetId="10"/>
      <sheetData refreshError="1"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APR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10" Target="../ctrlProps/ctrlProp7.xml" Type="http://schemas.openxmlformats.org/officeDocument/2006/relationships/ctrlProp"/>
<Relationship Id="rId11" Target="../ctrlProps/ctrlProp8.xml" Type="http://schemas.openxmlformats.org/officeDocument/2006/relationships/ctrlProp"/>
<Relationship Id="rId12" Target="../ctrlProps/ctrlProp9.xml" Type="http://schemas.openxmlformats.org/officeDocument/2006/relationships/ctrlProp"/>
<Relationship Id="rId13" Target="../ctrlProps/ctrlProp10.xml" Type="http://schemas.openxmlformats.org/officeDocument/2006/relationships/ctrlProp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Relationship Id="rId6" Target="../ctrlProps/ctrlProp3.xml" Type="http://schemas.openxmlformats.org/officeDocument/2006/relationships/ctrlProp"/>
<Relationship Id="rId7" Target="../ctrlProps/ctrlProp4.xml" Type="http://schemas.openxmlformats.org/officeDocument/2006/relationships/ctrlProp"/>
<Relationship Id="rId8" Target="../ctrlProps/ctrlProp5.xml" Type="http://schemas.openxmlformats.org/officeDocument/2006/relationships/ctrlProp"/>
<Relationship Id="rId9" Target="../ctrlProps/ctrlProp6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11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workbookViewId="0" zoomScale="70" zoomScaleNormal="70">
      <selection activeCell="N9" sqref="N9:N63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7" t="n">
        <v>44012.0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6" t="s">
        <v>546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customHeight="1" ht="12.75" r="9" spans="1:23" x14ac:dyDescent="0.2">
      <c r="A9" s="161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ref="P9:P20" si="0" t="shared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customHeight="1" ht="12.75" r="10" spans="1:23" x14ac:dyDescent="0.2">
      <c r="A10" s="22" t="s">
        <v>53</v>
      </c>
      <c r="B10" s="16" t="s">
        <v>1008</v>
      </c>
      <c r="C10" s="20" t="s">
        <v>567</v>
      </c>
      <c r="D10" s="66" t="n">
        <v>44007.0</v>
      </c>
      <c r="E10" s="70" t="n">
        <v>44036.0</v>
      </c>
      <c r="F10" s="71" t="n">
        <v>500.0</v>
      </c>
      <c r="G10" s="68" t="n">
        <v>35.0</v>
      </c>
      <c r="H10" s="68" t="n">
        <v>7.0</v>
      </c>
      <c r="I10" s="69" t="n">
        <v>12.0</v>
      </c>
      <c r="J10" s="72" t="n">
        <v>446.0</v>
      </c>
      <c r="K10" s="70" t="n">
        <v>44007.487291666665</v>
      </c>
      <c r="L10" s="69" t="n">
        <v>31.0</v>
      </c>
      <c r="M10" s="102" t="str">
        <f ref="M10:M63" si="1" t="shared">IF(F10-G10-H10-I10-L10&lt;&gt;0, F10-G10-H10-I10-L10,"")</f>
        <v/>
      </c>
      <c r="N10" s="40" t="s">
        <v>258</v>
      </c>
      <c r="O10" s="71"/>
      <c r="P10" s="39">
        <f si="0" t="shared"/>
        <v>0</v>
      </c>
      <c r="Q10" s="118">
        <f ref="Q10:Q63" si="2" t="shared">IF(F10&lt;&gt;"",-(F10-G10-H10-I10-J10),0)</f>
        <v>0</v>
      </c>
      <c r="R10" s="54" t="s">
        <v>917</v>
      </c>
      <c r="S10" s="60" t="s">
        <v>197</v>
      </c>
      <c r="T10" s="19" t="s">
        <v>405</v>
      </c>
      <c r="U10" s="19" t="s">
        <v>415</v>
      </c>
      <c r="V10" s="19">
        <v>1</v>
      </c>
    </row>
    <row customHeight="1" ht="12.75" r="11" spans="1:23" x14ac:dyDescent="0.2">
      <c r="A11" s="167" t="s">
        <v>54</v>
      </c>
      <c r="B11" s="16" t="s">
        <v>1009</v>
      </c>
      <c r="C11" s="20" t="s">
        <v>130</v>
      </c>
      <c r="D11" s="66" t="n">
        <v>44000.0</v>
      </c>
      <c r="E11" s="70" t="n">
        <v>44029.0</v>
      </c>
      <c r="F11" s="71" t="n">
        <v>550.0</v>
      </c>
      <c r="G11" s="68"/>
      <c r="H11" s="68"/>
      <c r="I11" s="69"/>
      <c r="J11" s="72" t="n">
        <v>550.0</v>
      </c>
      <c r="K11" s="70" t="n">
        <v>44000.0</v>
      </c>
      <c r="L11" s="69" t="n">
        <v>117.0</v>
      </c>
      <c r="M11" s="102" t="str">
        <f si="1" t="shared"/>
        <v/>
      </c>
      <c r="N11" s="40" t="s">
        <v>6</v>
      </c>
      <c r="O11" s="71"/>
      <c r="P11" s="39">
        <f si="0" t="shared"/>
        <v>0</v>
      </c>
      <c r="Q11" s="118">
        <f si="2" t="shared"/>
        <v>0</v>
      </c>
      <c r="R11" s="54"/>
      <c r="S11" s="60" t="s">
        <v>197</v>
      </c>
      <c r="T11" s="19" t="s">
        <v>406</v>
      </c>
      <c r="U11" s="19" t="s">
        <v>416</v>
      </c>
      <c r="V11" s="19">
        <v>14</v>
      </c>
    </row>
    <row customHeight="1" ht="12.75" r="12" spans="1:23" x14ac:dyDescent="0.2">
      <c r="A12" s="22" t="s">
        <v>55</v>
      </c>
      <c r="B12" s="16" t="s">
        <v>1010</v>
      </c>
      <c r="C12" s="20" t="s">
        <v>567</v>
      </c>
      <c r="D12" s="66" t="n">
        <v>43936.0</v>
      </c>
      <c r="E12" s="70" t="n">
        <v>43996.0</v>
      </c>
      <c r="F12" s="71" t="n">
        <v>600.0</v>
      </c>
      <c r="G12" s="68" t="n">
        <v>36.0</v>
      </c>
      <c r="H12" s="68" t="n">
        <v>7.2</v>
      </c>
      <c r="I12" s="69" t="n">
        <v>6.0</v>
      </c>
      <c r="J12" s="72" t="n">
        <v>550.8</v>
      </c>
      <c r="K12" s="70" t="n">
        <v>44005.65611111111</v>
      </c>
      <c r="L12" s="69"/>
      <c r="M12" s="102" t="str">
        <f si="1" t="shared"/>
        <v/>
      </c>
      <c r="N12" s="40" t="s">
        <v>258</v>
      </c>
      <c r="O12" s="123"/>
      <c r="P12" s="39">
        <f si="0" t="shared"/>
        <v>0</v>
      </c>
      <c r="Q12" s="118">
        <f si="2" t="shared"/>
        <v>0</v>
      </c>
      <c r="R12" s="128" t="s">
        <v>918</v>
      </c>
      <c r="S12" s="60" t="s">
        <v>197</v>
      </c>
      <c r="T12" s="19" t="s">
        <v>407</v>
      </c>
      <c r="U12" s="19" t="s">
        <v>417</v>
      </c>
      <c r="V12" s="19">
        <v>3</v>
      </c>
    </row>
    <row customHeight="1" ht="12.75" r="13" spans="1:23" x14ac:dyDescent="0.2">
      <c r="A13" s="22" t="s">
        <v>56</v>
      </c>
      <c r="B13" s="16" t="s">
        <v>1011</v>
      </c>
      <c r="C13" s="20" t="s">
        <v>95</v>
      </c>
      <c r="D13" s="66" t="n">
        <v>43977.0</v>
      </c>
      <c r="E13" s="70" t="n">
        <v>44037.0</v>
      </c>
      <c r="F13" s="71" t="n">
        <v>769.6</v>
      </c>
      <c r="G13" s="68" t="n">
        <v>46.18</v>
      </c>
      <c r="H13" s="68" t="n">
        <v>9.24</v>
      </c>
      <c r="I13" s="69" t="n">
        <v>12.0</v>
      </c>
      <c r="J13" s="72" t="n">
        <v>702.18</v>
      </c>
      <c r="K13" s="70" t="n">
        <v>43985.74949074074</v>
      </c>
      <c r="L13" s="69" t="n">
        <v>60.0</v>
      </c>
      <c r="M13" s="102" t="str">
        <f si="1" t="shared"/>
        <v/>
      </c>
      <c r="N13" s="40" t="s">
        <v>6</v>
      </c>
      <c r="O13" s="71"/>
      <c r="P13" s="39">
        <f si="0" t="shared"/>
        <v>0</v>
      </c>
      <c r="Q13" s="118">
        <f si="2" t="shared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customHeight="1" ht="12.75" r="14" spans="1:23" x14ac:dyDescent="0.2">
      <c r="A14" s="161" t="s">
        <v>1012</v>
      </c>
      <c r="B14" s="37" t="s">
        <v>999</v>
      </c>
      <c r="C14" s="38"/>
      <c r="D14" s="66"/>
      <c r="E14" s="66"/>
      <c r="F14" s="67"/>
      <c r="G14" s="68"/>
      <c r="H14" s="68"/>
      <c r="I14" s="69"/>
      <c r="J14" s="72"/>
      <c r="K14" s="70"/>
      <c r="L14" s="69" t="n">
        <v>50.0</v>
      </c>
      <c r="M14" s="102" t="str">
        <f si="1" t="shared"/>
        <v/>
      </c>
      <c r="N14" s="40"/>
      <c r="O14" s="67"/>
      <c r="P14" s="39">
        <f si="0" t="shared"/>
        <v>0</v>
      </c>
      <c r="Q14" s="118">
        <f si="2" t="shared"/>
        <v>0</v>
      </c>
      <c r="R14" s="40"/>
      <c r="S14" s="60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1013</v>
      </c>
      <c r="C15" s="20" t="s">
        <v>567</v>
      </c>
      <c r="D15" s="66" t="n">
        <v>43957.0</v>
      </c>
      <c r="E15" s="66" t="n">
        <v>44017.0</v>
      </c>
      <c r="F15" s="71" t="n">
        <v>932.24</v>
      </c>
      <c r="G15" s="68" t="n">
        <v>55.92</v>
      </c>
      <c r="H15" s="68" t="n">
        <v>11.19</v>
      </c>
      <c r="I15" s="69" t="n">
        <v>12.0</v>
      </c>
      <c r="J15" s="72" t="n">
        <v>853.13</v>
      </c>
      <c r="K15" s="70" t="n">
        <v>43985.74949074074</v>
      </c>
      <c r="L15" s="69"/>
      <c r="M15" s="102" t="str">
        <f si="1" t="shared"/>
        <v/>
      </c>
      <c r="N15" s="40" t="s">
        <v>6</v>
      </c>
      <c r="O15" s="71"/>
      <c r="P15" s="39">
        <f si="0" t="shared"/>
        <v>0</v>
      </c>
      <c r="Q15" s="118">
        <f si="2" t="shared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customHeight="1" ht="12.75" r="16" spans="1:23" x14ac:dyDescent="0.2">
      <c r="A16" s="167" t="s">
        <v>58</v>
      </c>
      <c r="B16" s="16" t="s">
        <v>1014</v>
      </c>
      <c r="C16" s="20" t="s">
        <v>130</v>
      </c>
      <c r="D16" s="66" t="n">
        <v>43992.0</v>
      </c>
      <c r="E16" s="70" t="n">
        <v>44021.0</v>
      </c>
      <c r="F16" s="71" t="n">
        <v>495.0</v>
      </c>
      <c r="G16" s="68"/>
      <c r="H16" s="68"/>
      <c r="I16" s="69"/>
      <c r="J16" s="72" t="n">
        <v>495.0</v>
      </c>
      <c r="K16" s="70" t="n">
        <v>43993.0</v>
      </c>
      <c r="L16" s="69" t="n">
        <v>76.0</v>
      </c>
      <c r="M16" s="102" t="str">
        <f si="1" t="shared"/>
        <v/>
      </c>
      <c r="N16" s="40" t="s">
        <v>6</v>
      </c>
      <c r="O16" s="123"/>
      <c r="P16" s="39">
        <f si="0" t="shared"/>
        <v>0</v>
      </c>
      <c r="Q16" s="118">
        <f si="2" t="shared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customHeight="1" ht="12.75" r="17" spans="1:22" x14ac:dyDescent="0.2">
      <c r="A17" s="22" t="s">
        <v>59</v>
      </c>
      <c r="B17" s="16" t="s">
        <v>1015</v>
      </c>
      <c r="C17" s="20" t="s">
        <v>95</v>
      </c>
      <c r="D17" s="66" t="n">
        <v>43997.0</v>
      </c>
      <c r="E17" s="70" t="n">
        <v>44026.0</v>
      </c>
      <c r="F17" s="71" t="n">
        <v>500.0</v>
      </c>
      <c r="G17" s="68" t="n">
        <v>35.0</v>
      </c>
      <c r="H17" s="68" t="n">
        <v>7.0</v>
      </c>
      <c r="I17" s="69" t="n">
        <v>6.0</v>
      </c>
      <c r="J17" s="72" t="n">
        <v>452.0</v>
      </c>
      <c r="K17" s="70" t="n">
        <v>44007.487291666665</v>
      </c>
      <c r="L17" s="69" t="n">
        <v>13.0</v>
      </c>
      <c r="M17" s="102" t="str">
        <f si="1" t="shared"/>
        <v/>
      </c>
      <c r="N17" s="40" t="s">
        <v>6</v>
      </c>
      <c r="O17" s="71"/>
      <c r="P17" s="39">
        <f si="0" t="shared"/>
        <v>0</v>
      </c>
      <c r="Q17" s="118">
        <f si="2" t="shared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customHeight="1" ht="12.75" r="18" spans="1:22" x14ac:dyDescent="0.2">
      <c r="A18" s="161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si="1" t="shared"/>
        <v/>
      </c>
      <c r="N18" s="40"/>
      <c r="O18" s="67"/>
      <c r="P18" s="39">
        <f si="0" t="shared"/>
        <v>0</v>
      </c>
      <c r="Q18" s="118">
        <f si="2" t="shared"/>
        <v>0</v>
      </c>
      <c r="R18" s="40"/>
      <c r="S18" s="60" t="s">
        <v>394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1016</v>
      </c>
      <c r="C19" s="20" t="s">
        <v>95</v>
      </c>
      <c r="D19" s="66" t="n">
        <v>43927.0</v>
      </c>
      <c r="E19" s="66" t="n">
        <v>43987.0</v>
      </c>
      <c r="F19" s="71" t="n">
        <v>700.0</v>
      </c>
      <c r="G19" s="68" t="n">
        <v>42.0</v>
      </c>
      <c r="H19" s="68" t="n">
        <v>8.4</v>
      </c>
      <c r="I19" s="69" t="n">
        <v>6.0</v>
      </c>
      <c r="J19" s="72" t="n">
        <v>643.6</v>
      </c>
      <c r="K19" s="70" t="n">
        <v>44007.487291666665</v>
      </c>
      <c r="L19" s="69"/>
      <c r="M19" s="102" t="str">
        <f si="1" t="shared"/>
        <v/>
      </c>
      <c r="N19" s="40" t="s">
        <v>258</v>
      </c>
      <c r="O19" s="71"/>
      <c r="P19" s="39">
        <f si="0" t="shared"/>
        <v>0</v>
      </c>
      <c r="Q19" s="118">
        <f si="2" t="shared"/>
        <v>0</v>
      </c>
      <c r="R19" s="128" t="s">
        <v>919</v>
      </c>
      <c r="S19" s="60" t="s">
        <v>197</v>
      </c>
      <c r="T19" s="19" t="s">
        <v>405</v>
      </c>
      <c r="U19" s="19" t="s">
        <v>421</v>
      </c>
      <c r="V19" s="19">
        <v>73</v>
      </c>
    </row>
    <row customHeight="1" ht="12.75" r="20" spans="1:22" x14ac:dyDescent="0.2">
      <c r="A20" s="22" t="s">
        <v>187</v>
      </c>
      <c r="B20" s="16" t="s">
        <v>1017</v>
      </c>
      <c r="C20" s="20" t="s">
        <v>95</v>
      </c>
      <c r="D20" s="66" t="n">
        <v>43953.0</v>
      </c>
      <c r="E20" s="70" t="n">
        <v>44013.0</v>
      </c>
      <c r="F20" s="71" t="n">
        <v>731.12</v>
      </c>
      <c r="G20" s="68" t="n">
        <v>43.87</v>
      </c>
      <c r="H20" s="68" t="n">
        <v>8.77</v>
      </c>
      <c r="I20" s="69" t="n">
        <v>12.0</v>
      </c>
      <c r="J20" s="72" t="n">
        <v>666.48</v>
      </c>
      <c r="K20" s="70" t="n">
        <v>43985.74949074074</v>
      </c>
      <c r="L20" s="69"/>
      <c r="M20" s="102" t="str">
        <f si="1" t="shared"/>
        <v/>
      </c>
      <c r="N20" s="40" t="s">
        <v>6</v>
      </c>
      <c r="O20" s="71"/>
      <c r="P20" s="39">
        <f si="0" t="shared"/>
        <v>0</v>
      </c>
      <c r="Q20" s="118">
        <f si="2" t="shared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customHeight="1" ht="12.75" r="21" spans="1:22" x14ac:dyDescent="0.2">
      <c r="A21" s="167"/>
      <c r="B21" s="16"/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si="1" t="shared"/>
        <v/>
      </c>
      <c r="N21" s="40" t="s">
        <v>202</v>
      </c>
      <c r="O21" s="71"/>
      <c r="P21" s="39">
        <f>IFERROR(IF(M21-O21&lt;&gt;0,M21-O21,""),-O21)</f>
        <v>0</v>
      </c>
      <c r="Q21" s="118">
        <f si="2" t="shared"/>
        <v>0</v>
      </c>
      <c r="R21" s="122" t="s">
        <v>920</v>
      </c>
      <c r="S21" s="60" t="s">
        <v>395</v>
      </c>
      <c r="T21" s="19" t="s">
        <v>405</v>
      </c>
      <c r="U21" s="19" t="s">
        <v>423</v>
      </c>
      <c r="V21" s="19">
        <v>75</v>
      </c>
    </row>
    <row customHeight="1" ht="12.75" r="22" spans="1:22" x14ac:dyDescent="0.2">
      <c r="A22" s="161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si="1" t="shared"/>
        <v/>
      </c>
      <c r="N22" s="40"/>
      <c r="O22" s="67"/>
      <c r="P22" s="39">
        <f ref="P22:P63" si="3" t="shared">IFERROR(IF(M22-O22&lt;&gt;0,M22-O22,""),-O22)</f>
        <v>0</v>
      </c>
      <c r="Q22" s="118">
        <f si="2" t="shared"/>
        <v>0</v>
      </c>
      <c r="R22" s="40"/>
      <c r="S22" s="60" t="s">
        <v>197</v>
      </c>
      <c r="T22" s="19"/>
      <c r="U22" s="19"/>
      <c r="V22" s="19">
        <v>12</v>
      </c>
    </row>
    <row customFormat="1" customHeight="1" ht="12.75" r="23" s="153" spans="1:22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si="1" t="shared"/>
        <v/>
      </c>
      <c r="N23" s="147"/>
      <c r="O23" s="142"/>
      <c r="P23" s="148">
        <f si="3" t="shared"/>
        <v>0</v>
      </c>
      <c r="Q23" s="149">
        <f si="2" t="shared"/>
        <v>0</v>
      </c>
      <c r="R23" s="150" t="s">
        <v>921</v>
      </c>
      <c r="S23" s="151" t="s">
        <v>197</v>
      </c>
      <c r="T23" s="152" t="s">
        <v>405</v>
      </c>
      <c r="U23" s="152" t="s">
        <v>424</v>
      </c>
      <c r="V23" s="152">
        <v>9</v>
      </c>
    </row>
    <row customHeight="1" ht="12.75" r="24" spans="1:22" x14ac:dyDescent="0.2">
      <c r="A24" s="22" t="s">
        <v>61</v>
      </c>
      <c r="B24" s="16" t="s">
        <v>1018</v>
      </c>
      <c r="C24" s="20" t="s">
        <v>95</v>
      </c>
      <c r="D24" s="66" t="n">
        <v>43965.0</v>
      </c>
      <c r="E24" s="70" t="n">
        <v>44025.0</v>
      </c>
      <c r="F24" s="71" t="n">
        <v>691.8</v>
      </c>
      <c r="G24" s="68" t="n">
        <v>41.51</v>
      </c>
      <c r="H24" s="68" t="n">
        <v>8.3</v>
      </c>
      <c r="I24" s="69" t="n">
        <v>12.0</v>
      </c>
      <c r="J24" s="72" t="n">
        <v>629.99</v>
      </c>
      <c r="K24" s="70" t="n">
        <v>43985.74949074074</v>
      </c>
      <c r="L24" s="69"/>
      <c r="M24" s="102" t="str">
        <f si="1" t="shared"/>
        <v/>
      </c>
      <c r="N24" s="40" t="s">
        <v>6</v>
      </c>
      <c r="O24" s="71"/>
      <c r="P24" s="39">
        <f si="3" t="shared"/>
        <v>0</v>
      </c>
      <c r="Q24" s="118">
        <f si="2" t="shared"/>
        <v>0</v>
      </c>
      <c r="R24" s="54"/>
      <c r="S24" s="60" t="s">
        <v>197</v>
      </c>
      <c r="T24" s="19" t="s">
        <v>405</v>
      </c>
      <c r="U24" s="19" t="s">
        <v>425</v>
      </c>
      <c r="V24" s="19">
        <v>10</v>
      </c>
    </row>
    <row customHeight="1" ht="12.75" r="25" spans="1:22" x14ac:dyDescent="0.2">
      <c r="A25" s="167" t="s">
        <v>62</v>
      </c>
      <c r="B25" s="16" t="s">
        <v>1019</v>
      </c>
      <c r="C25" s="20" t="s">
        <v>130</v>
      </c>
      <c r="D25" s="66" t="n">
        <v>43989.0</v>
      </c>
      <c r="E25" s="70" t="n">
        <v>44018.0</v>
      </c>
      <c r="F25" s="71" t="n">
        <v>750.0</v>
      </c>
      <c r="G25" s="68"/>
      <c r="H25" s="68"/>
      <c r="I25" s="69"/>
      <c r="J25" s="72" t="n">
        <v>750.0</v>
      </c>
      <c r="K25" s="70" t="n">
        <v>43997.0</v>
      </c>
      <c r="L25" s="69" t="n">
        <v>322.6</v>
      </c>
      <c r="M25" s="102" t="str">
        <f si="1" t="shared"/>
        <v/>
      </c>
      <c r="N25" s="40" t="s">
        <v>258</v>
      </c>
      <c r="O25" s="71"/>
      <c r="P25" s="39">
        <f si="3" t="shared"/>
        <v>0</v>
      </c>
      <c r="Q25" s="118">
        <f si="2" t="shared"/>
        <v>0</v>
      </c>
      <c r="R25" s="54"/>
      <c r="S25" s="60" t="s">
        <v>197</v>
      </c>
      <c r="T25" s="19" t="s">
        <v>406</v>
      </c>
      <c r="U25" s="19" t="s">
        <v>426</v>
      </c>
      <c r="V25" s="19">
        <v>11</v>
      </c>
    </row>
    <row customHeight="1" ht="12.75" r="26" spans="1:22" x14ac:dyDescent="0.2">
      <c r="A26" s="161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si="1" t="shared"/>
        <v/>
      </c>
      <c r="N26" s="40"/>
      <c r="O26" s="67"/>
      <c r="P26" s="39">
        <f si="3" t="shared"/>
        <v>0</v>
      </c>
      <c r="Q26" s="118">
        <f si="2" t="shared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1020</v>
      </c>
      <c r="C27" s="20" t="s">
        <v>567</v>
      </c>
      <c r="D27" s="66" t="n">
        <v>43993.0</v>
      </c>
      <c r="E27" s="66" t="n">
        <v>44022.0</v>
      </c>
      <c r="F27" s="67" t="n">
        <v>350.0</v>
      </c>
      <c r="G27" s="68" t="n">
        <v>24.5</v>
      </c>
      <c r="H27" s="68" t="n">
        <v>4.9</v>
      </c>
      <c r="I27" s="69" t="n">
        <v>6.0</v>
      </c>
      <c r="J27" s="72" t="n">
        <v>314.6</v>
      </c>
      <c r="K27" s="70" t="n">
        <v>43993.541342592594</v>
      </c>
      <c r="L27" s="69"/>
      <c r="M27" s="102" t="str">
        <f si="1" t="shared"/>
        <v/>
      </c>
      <c r="N27" s="40" t="s">
        <v>6</v>
      </c>
      <c r="O27" s="106"/>
      <c r="P27" s="39">
        <f si="3" t="shared"/>
        <v>0</v>
      </c>
      <c r="Q27" s="118">
        <f si="2" t="shared"/>
        <v>0</v>
      </c>
      <c r="R27" s="40"/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1021</v>
      </c>
      <c r="C28" s="20" t="s">
        <v>95</v>
      </c>
      <c r="D28" s="66" t="n">
        <v>43983.0</v>
      </c>
      <c r="E28" s="66" t="n">
        <v>44012.0</v>
      </c>
      <c r="F28" s="67" t="n">
        <v>520.0</v>
      </c>
      <c r="G28" s="68" t="n">
        <v>36.4</v>
      </c>
      <c r="H28" s="68" t="n">
        <v>7.28</v>
      </c>
      <c r="I28" s="69" t="n">
        <v>6.0</v>
      </c>
      <c r="J28" s="72" t="n">
        <v>470.32</v>
      </c>
      <c r="K28" s="70" t="n">
        <v>43985.70746527778</v>
      </c>
      <c r="L28" s="69"/>
      <c r="M28" s="102" t="str">
        <f si="1" t="shared"/>
        <v/>
      </c>
      <c r="N28" s="40" t="s">
        <v>6</v>
      </c>
      <c r="O28" s="67"/>
      <c r="P28" s="39">
        <f si="3" t="shared"/>
        <v>0</v>
      </c>
      <c r="Q28" s="118">
        <f si="2" t="shared"/>
        <v>0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customHeight="1" ht="12.75" r="29" spans="1:22" x14ac:dyDescent="0.25">
      <c r="A29" s="167" t="s">
        <v>65</v>
      </c>
      <c r="B29" s="16" t="s">
        <v>1022</v>
      </c>
      <c r="C29" s="20" t="s">
        <v>130</v>
      </c>
      <c r="D29" s="66" t="n">
        <v>43549.0</v>
      </c>
      <c r="E29" s="66" t="n">
        <v>43945.0</v>
      </c>
      <c r="F29" s="71" t="n">
        <v>720.0</v>
      </c>
      <c r="G29" s="68"/>
      <c r="H29" s="68"/>
      <c r="I29" s="69"/>
      <c r="J29" s="72" t="n">
        <v>720.0</v>
      </c>
      <c r="K29" s="70" t="n">
        <v>43983.0</v>
      </c>
      <c r="L29" s="69" t="n">
        <v>39.0</v>
      </c>
      <c r="M29" s="102" t="str">
        <f si="1" t="shared"/>
        <v/>
      </c>
      <c r="N29" s="40" t="s">
        <v>258</v>
      </c>
      <c r="O29" s="71"/>
      <c r="P29" s="39">
        <f si="3" t="shared"/>
        <v>0</v>
      </c>
      <c r="Q29" s="118">
        <f si="2" t="shared"/>
        <v>0</v>
      </c>
      <c r="R29" s="128" t="s">
        <v>922</v>
      </c>
      <c r="S29" s="60" t="s">
        <v>395</v>
      </c>
      <c r="T29" s="19" t="s">
        <v>406</v>
      </c>
      <c r="U29" s="124" t="s">
        <v>429</v>
      </c>
      <c r="V29" s="124">
        <v>16</v>
      </c>
    </row>
    <row customHeight="1" ht="12.75" r="30" spans="1:22" x14ac:dyDescent="0.2">
      <c r="A30" s="161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si="1" t="shared"/>
        <v/>
      </c>
      <c r="N30" s="40"/>
      <c r="O30" s="67"/>
      <c r="P30" s="39">
        <f si="3" t="shared"/>
        <v>0</v>
      </c>
      <c r="Q30" s="118">
        <f si="2" t="shared"/>
        <v>0</v>
      </c>
      <c r="R30" s="54"/>
      <c r="S30" s="60" t="s">
        <v>396</v>
      </c>
      <c r="T30" s="19"/>
      <c r="U30" s="19"/>
      <c r="V30" s="19">
        <v>18</v>
      </c>
    </row>
    <row customHeight="1" ht="12.75" r="31" spans="1:22" x14ac:dyDescent="0.2">
      <c r="A31" s="169" t="s">
        <v>99</v>
      </c>
      <c r="B31" s="16" t="s">
        <v>999</v>
      </c>
      <c r="C31" s="20"/>
      <c r="D31" s="66"/>
      <c r="E31" s="66"/>
      <c r="F31" s="67"/>
      <c r="G31" s="68"/>
      <c r="H31" s="68"/>
      <c r="I31" s="69"/>
      <c r="J31" s="72"/>
      <c r="K31" s="70"/>
      <c r="L31" s="69" t="n">
        <v>260.0</v>
      </c>
      <c r="M31" s="102" t="str">
        <f si="1" t="shared"/>
        <v/>
      </c>
      <c r="N31" s="40" t="s">
        <v>202</v>
      </c>
      <c r="O31" s="67"/>
      <c r="P31" s="39">
        <f si="3" t="shared"/>
        <v>0</v>
      </c>
      <c r="Q31" s="118">
        <f si="2" t="shared"/>
        <v>0</v>
      </c>
      <c r="R31" s="122" t="s">
        <v>923</v>
      </c>
      <c r="S31" s="60" t="s">
        <v>197</v>
      </c>
      <c r="T31" s="19" t="s">
        <v>406</v>
      </c>
      <c r="U31" s="19" t="s">
        <v>430</v>
      </c>
      <c r="V31" s="19">
        <v>19</v>
      </c>
    </row>
    <row customHeight="1" ht="12.75" r="32" spans="1:22" x14ac:dyDescent="0.25">
      <c r="A32" s="167" t="s">
        <v>102</v>
      </c>
      <c r="B32" s="16" t="s">
        <v>1023</v>
      </c>
      <c r="C32" s="20" t="s">
        <v>130</v>
      </c>
      <c r="D32" s="66" t="n">
        <v>43981.0</v>
      </c>
      <c r="E32" s="66" t="n">
        <v>44012.0</v>
      </c>
      <c r="F32" s="71" t="n">
        <v>500.0</v>
      </c>
      <c r="G32" s="68"/>
      <c r="H32" s="68"/>
      <c r="I32" s="69"/>
      <c r="J32" s="72" t="n">
        <v>500.0</v>
      </c>
      <c r="K32" s="70" t="n">
        <v>44004.0</v>
      </c>
      <c r="L32" s="69" t="n">
        <v>42.0</v>
      </c>
      <c r="M32" s="102" t="str">
        <f si="1" t="shared"/>
        <v/>
      </c>
      <c r="N32" s="40" t="s">
        <v>6</v>
      </c>
      <c r="O32" s="71"/>
      <c r="P32" s="39">
        <f si="3" t="shared"/>
        <v>0</v>
      </c>
      <c r="Q32" s="118">
        <f si="2" t="shared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customHeight="1" ht="12.75" r="33" spans="1:22" x14ac:dyDescent="0.2">
      <c r="A33" s="161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si="1" t="shared"/>
        <v/>
      </c>
      <c r="N33" s="49"/>
      <c r="O33" s="67"/>
      <c r="P33" s="39">
        <f si="3" t="shared"/>
        <v>0</v>
      </c>
      <c r="Q33" s="118">
        <f si="2" t="shared"/>
        <v>0</v>
      </c>
      <c r="R33" s="40"/>
      <c r="S33" s="2" t="s">
        <v>398</v>
      </c>
      <c r="T33" s="62"/>
      <c r="U33" s="62"/>
      <c r="V33" s="62">
        <v>20</v>
      </c>
    </row>
    <row customHeight="1" ht="12.75" r="34" spans="1:22" x14ac:dyDescent="0.2">
      <c r="A34" s="167" t="s">
        <v>103</v>
      </c>
      <c r="B34" s="16" t="s">
        <v>1024</v>
      </c>
      <c r="C34" s="20" t="s">
        <v>130</v>
      </c>
      <c r="D34" s="66" t="n">
        <v>43987.0</v>
      </c>
      <c r="E34" s="70" t="n">
        <v>44047.0</v>
      </c>
      <c r="F34" s="71" t="n">
        <v>1150.0</v>
      </c>
      <c r="G34" s="68"/>
      <c r="H34" s="68"/>
      <c r="I34" s="69"/>
      <c r="J34" s="72" t="n">
        <v>1150.0</v>
      </c>
      <c r="K34" s="66" t="n">
        <v>43986.0</v>
      </c>
      <c r="L34" s="69" t="n">
        <v>724.0</v>
      </c>
      <c r="M34" s="102" t="str">
        <f si="1" t="shared"/>
        <v/>
      </c>
      <c r="N34" s="49" t="s">
        <v>6</v>
      </c>
      <c r="O34" s="71"/>
      <c r="P34" s="39">
        <f si="3" t="shared"/>
        <v>0</v>
      </c>
      <c r="Q34" s="118">
        <f si="2" t="shared"/>
        <v>0</v>
      </c>
      <c r="R34" s="50" t="s">
        <v>991</v>
      </c>
      <c r="S34" s="60" t="s">
        <v>197</v>
      </c>
      <c r="T34" s="19" t="s">
        <v>410</v>
      </c>
      <c r="U34" s="19" t="s">
        <v>432</v>
      </c>
      <c r="V34" s="19">
        <v>31</v>
      </c>
    </row>
    <row customHeight="1" ht="12.75" r="35" spans="1:22" x14ac:dyDescent="0.2">
      <c r="A35" s="22" t="s">
        <v>66</v>
      </c>
      <c r="B35" s="16" t="s">
        <v>1025</v>
      </c>
      <c r="C35" s="20" t="s">
        <v>95</v>
      </c>
      <c r="D35" s="66" t="n">
        <v>43990.0</v>
      </c>
      <c r="E35" s="66" t="n">
        <v>44019.0</v>
      </c>
      <c r="F35" s="67" t="n">
        <v>500.0</v>
      </c>
      <c r="G35" s="68" t="n">
        <v>35.0</v>
      </c>
      <c r="H35" s="68" t="n">
        <v>7.0</v>
      </c>
      <c r="I35" s="69" t="n">
        <v>12.0</v>
      </c>
      <c r="J35" s="72" t="n">
        <v>446.0</v>
      </c>
      <c r="K35" s="66" t="n">
        <v>43990.63798611111</v>
      </c>
      <c r="L35" s="69"/>
      <c r="M35" s="102" t="str">
        <f si="1" t="shared"/>
        <v/>
      </c>
      <c r="N35" s="49" t="s">
        <v>6</v>
      </c>
      <c r="O35" s="67"/>
      <c r="P35" s="39">
        <f si="3" t="shared"/>
        <v>0</v>
      </c>
      <c r="Q35" s="118">
        <f si="2" t="shared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customHeight="1" ht="12.75" r="36" spans="1:22" x14ac:dyDescent="0.2">
      <c r="A36" s="22" t="s">
        <v>105</v>
      </c>
      <c r="B36" s="16" t="s">
        <v>1026</v>
      </c>
      <c r="C36" s="20" t="s">
        <v>567</v>
      </c>
      <c r="D36" s="70" t="n">
        <v>43981.0</v>
      </c>
      <c r="E36" s="70" t="n">
        <v>44041.0</v>
      </c>
      <c r="F36" s="71" t="n">
        <v>750.0</v>
      </c>
      <c r="G36" s="68" t="n">
        <v>45.0</v>
      </c>
      <c r="H36" s="68" t="n">
        <v>9.0</v>
      </c>
      <c r="I36" s="69" t="n">
        <v>12.0</v>
      </c>
      <c r="J36" s="72" t="n">
        <v>684.0</v>
      </c>
      <c r="K36" s="70" t="n">
        <v>43983.51190972222</v>
      </c>
      <c r="L36" s="69"/>
      <c r="M36" s="102" t="str">
        <f si="1" t="shared"/>
        <v/>
      </c>
      <c r="N36" s="49" t="s">
        <v>258</v>
      </c>
      <c r="O36" s="71"/>
      <c r="P36" s="39">
        <f si="3" t="shared"/>
        <v>0</v>
      </c>
      <c r="Q36" s="118">
        <f si="2" t="shared"/>
        <v>0</v>
      </c>
      <c r="R36" s="128" t="s">
        <v>924</v>
      </c>
      <c r="S36" s="60" t="s">
        <v>395</v>
      </c>
      <c r="T36" s="19" t="s">
        <v>411</v>
      </c>
      <c r="U36" s="19" t="s">
        <v>434</v>
      </c>
      <c r="V36" s="19">
        <v>33</v>
      </c>
    </row>
    <row customHeight="1" ht="12.75" r="37" spans="1:22" x14ac:dyDescent="0.25">
      <c r="A37" s="167" t="s">
        <v>106</v>
      </c>
      <c r="B37" s="16" t="s">
        <v>1027</v>
      </c>
      <c r="C37" s="20" t="s">
        <v>130</v>
      </c>
      <c r="D37" s="66" t="n">
        <v>43992.0</v>
      </c>
      <c r="E37" s="66" t="n">
        <v>44021.0</v>
      </c>
      <c r="F37" s="71" t="n">
        <v>625.0</v>
      </c>
      <c r="G37" s="68"/>
      <c r="H37" s="68"/>
      <c r="I37" s="69"/>
      <c r="J37" s="72" t="n">
        <v>625.0</v>
      </c>
      <c r="K37" s="70" t="n">
        <v>43990.0</v>
      </c>
      <c r="L37" s="69" t="n">
        <v>20.0</v>
      </c>
      <c r="M37" s="102" t="str">
        <f si="1" t="shared"/>
        <v/>
      </c>
      <c r="N37" s="40" t="s">
        <v>6</v>
      </c>
      <c r="O37" s="71"/>
      <c r="P37" s="39">
        <f si="3" t="shared"/>
        <v>0</v>
      </c>
      <c r="Q37" s="118">
        <f si="2" t="shared"/>
        <v>0</v>
      </c>
      <c r="R37" s="54" t="s">
        <v>925</v>
      </c>
      <c r="S37" s="60" t="s">
        <v>395</v>
      </c>
      <c r="T37" s="19" t="s">
        <v>412</v>
      </c>
      <c r="U37" s="125" t="s">
        <v>435</v>
      </c>
      <c r="V37" s="125">
        <v>32</v>
      </c>
    </row>
    <row customHeight="1" ht="12.75" r="38" spans="1:22" x14ac:dyDescent="0.2">
      <c r="A38" s="167" t="s">
        <v>224</v>
      </c>
      <c r="B38" s="16" t="s">
        <v>1028</v>
      </c>
      <c r="C38" s="20" t="s">
        <v>130</v>
      </c>
      <c r="D38" s="70" t="n">
        <v>43981.0</v>
      </c>
      <c r="E38" s="70" t="n">
        <v>44011.0</v>
      </c>
      <c r="F38" s="67" t="n">
        <v>600.0</v>
      </c>
      <c r="G38" s="68"/>
      <c r="H38" s="68"/>
      <c r="I38" s="69"/>
      <c r="J38" s="72" t="n">
        <v>600.0</v>
      </c>
      <c r="K38" s="70" t="n">
        <v>43983.0</v>
      </c>
      <c r="L38" s="69" t="n">
        <v>-730.0</v>
      </c>
      <c r="M38" s="102" t="str">
        <f si="1" t="shared"/>
        <v/>
      </c>
      <c r="N38" s="40" t="s">
        <v>6</v>
      </c>
      <c r="O38" s="67"/>
      <c r="P38" s="39">
        <f si="3" t="shared"/>
        <v>0</v>
      </c>
      <c r="Q38" s="118">
        <f si="2" t="shared"/>
        <v>0</v>
      </c>
      <c r="R38" s="122" t="s">
        <v>992</v>
      </c>
      <c r="S38" s="60" t="s">
        <v>197</v>
      </c>
      <c r="T38" s="19" t="s">
        <v>410</v>
      </c>
      <c r="U38" s="19" t="s">
        <v>436</v>
      </c>
      <c r="V38" s="19">
        <v>26</v>
      </c>
    </row>
    <row customHeight="1" ht="12.75" r="39" spans="1:22" x14ac:dyDescent="0.2">
      <c r="A39" s="167" t="s">
        <v>226</v>
      </c>
      <c r="B39" s="16" t="s">
        <v>1029</v>
      </c>
      <c r="C39" s="20" t="s">
        <v>130</v>
      </c>
      <c r="D39" s="70" t="n">
        <v>43994.0</v>
      </c>
      <c r="E39" s="70" t="n">
        <v>44023.0</v>
      </c>
      <c r="F39" s="67" t="n">
        <v>500.0</v>
      </c>
      <c r="G39" s="68"/>
      <c r="H39" s="68"/>
      <c r="I39" s="69"/>
      <c r="J39" s="72" t="n">
        <v>500.0</v>
      </c>
      <c r="K39" s="66" t="n">
        <v>43993.0</v>
      </c>
      <c r="L39" s="69" t="n">
        <v>866.0</v>
      </c>
      <c r="M39" s="102" t="str">
        <f si="1" t="shared"/>
        <v/>
      </c>
      <c r="N39" s="40" t="s">
        <v>6</v>
      </c>
      <c r="O39" s="67"/>
      <c r="P39" s="39">
        <f si="3" t="shared"/>
        <v>0</v>
      </c>
      <c r="Q39" s="118">
        <f si="2" t="shared"/>
        <v>0</v>
      </c>
      <c r="R39" s="122" t="s">
        <v>993</v>
      </c>
      <c r="S39" s="60" t="s">
        <v>197</v>
      </c>
      <c r="T39" s="19" t="s">
        <v>410</v>
      </c>
      <c r="U39" s="19" t="s">
        <v>437</v>
      </c>
      <c r="V39" s="19">
        <v>22</v>
      </c>
    </row>
    <row customHeight="1" ht="12.75" r="40" spans="1:22" x14ac:dyDescent="0.2">
      <c r="A40" s="167" t="s">
        <v>227</v>
      </c>
      <c r="B40" s="16" t="s">
        <v>1030</v>
      </c>
      <c r="C40" s="20" t="s">
        <v>130</v>
      </c>
      <c r="D40" s="70" t="n">
        <v>43996.0</v>
      </c>
      <c r="E40" s="70" t="n">
        <v>44025.0</v>
      </c>
      <c r="F40" s="71" t="n">
        <v>700.0</v>
      </c>
      <c r="G40" s="68"/>
      <c r="H40" s="68"/>
      <c r="I40" s="69"/>
      <c r="J40" s="72" t="n">
        <v>700.0</v>
      </c>
      <c r="K40" s="70" t="n">
        <v>43997.0</v>
      </c>
      <c r="L40" s="69" t="n">
        <v>30.0</v>
      </c>
      <c r="M40" s="102" t="str">
        <f si="1" t="shared"/>
        <v/>
      </c>
      <c r="N40" s="40" t="s">
        <v>6</v>
      </c>
      <c r="O40" s="71"/>
      <c r="P40" s="39">
        <f si="3" t="shared"/>
        <v>0</v>
      </c>
      <c r="Q40" s="118">
        <f si="2" t="shared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customHeight="1" ht="12.75" r="41" spans="1:22" x14ac:dyDescent="0.2">
      <c r="A41" s="167" t="s">
        <v>228</v>
      </c>
      <c r="B41" s="16" t="s">
        <v>1031</v>
      </c>
      <c r="C41" s="20" t="s">
        <v>130</v>
      </c>
      <c r="D41" s="66" t="n">
        <v>44005.0</v>
      </c>
      <c r="E41" s="66" t="n">
        <v>44034.0</v>
      </c>
      <c r="F41" s="67" t="n">
        <v>695.0</v>
      </c>
      <c r="G41" s="68"/>
      <c r="H41" s="68"/>
      <c r="I41" s="69"/>
      <c r="J41" s="72" t="n">
        <v>695.0</v>
      </c>
      <c r="K41" s="66" t="n">
        <v>44007.0</v>
      </c>
      <c r="L41" s="69" t="n">
        <v>1042.0</v>
      </c>
      <c r="M41" s="102" t="str">
        <f si="1" t="shared"/>
        <v/>
      </c>
      <c r="N41" s="40" t="s">
        <v>259</v>
      </c>
      <c r="O41" s="67"/>
      <c r="P41" s="39">
        <f si="3" t="shared"/>
        <v>0</v>
      </c>
      <c r="Q41" s="118">
        <f si="2" t="shared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customHeight="1" ht="12.75" r="42" spans="1:22" x14ac:dyDescent="0.25">
      <c r="A42" s="167" t="s">
        <v>107</v>
      </c>
      <c r="B42" s="16" t="s">
        <v>1032</v>
      </c>
      <c r="C42" s="20" t="s">
        <v>130</v>
      </c>
      <c r="D42" s="66" t="n">
        <v>44004.0</v>
      </c>
      <c r="E42" s="66" t="n">
        <v>44033.0</v>
      </c>
      <c r="F42" s="71" t="n">
        <v>625.0</v>
      </c>
      <c r="G42" s="68"/>
      <c r="H42" s="68"/>
      <c r="I42" s="69"/>
      <c r="J42" s="72" t="n">
        <v>625.0</v>
      </c>
      <c r="K42" s="70" t="n">
        <v>44004.0</v>
      </c>
      <c r="L42" s="69"/>
      <c r="M42" s="102" t="str">
        <f si="1" t="shared"/>
        <v/>
      </c>
      <c r="N42" s="40" t="s">
        <v>6</v>
      </c>
      <c r="O42" s="71"/>
      <c r="P42" s="39">
        <f si="3" t="shared"/>
        <v>0</v>
      </c>
      <c r="Q42" s="118">
        <f si="2" t="shared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customHeight="1" ht="12.75" r="43" spans="1:22" x14ac:dyDescent="0.25">
      <c r="A43" s="167" t="s">
        <v>67</v>
      </c>
      <c r="B43" s="16" t="s">
        <v>1033</v>
      </c>
      <c r="C43" s="20" t="s">
        <v>130</v>
      </c>
      <c r="D43" s="66" t="n">
        <v>43985.0</v>
      </c>
      <c r="E43" s="66" t="n">
        <v>44015.0</v>
      </c>
      <c r="F43" s="71" t="n">
        <v>600.0</v>
      </c>
      <c r="G43" s="68"/>
      <c r="H43" s="68"/>
      <c r="I43" s="69"/>
      <c r="J43" s="72" t="n">
        <v>600.0</v>
      </c>
      <c r="K43" s="70" t="n">
        <v>43985.0</v>
      </c>
      <c r="L43" s="69"/>
      <c r="M43" s="102" t="str">
        <f si="1" t="shared"/>
        <v/>
      </c>
      <c r="N43" s="40" t="s">
        <v>6</v>
      </c>
      <c r="O43" s="71"/>
      <c r="P43" s="39">
        <f si="3" t="shared"/>
        <v>0</v>
      </c>
      <c r="Q43" s="118">
        <f si="2" t="shared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customHeight="1" ht="12.75" r="44" spans="1:22" x14ac:dyDescent="0.25">
      <c r="A44" s="167"/>
      <c r="B44" s="16"/>
      <c r="C44" s="20"/>
      <c r="D44" s="66"/>
      <c r="E44" s="66"/>
      <c r="F44" s="71"/>
      <c r="G44" s="68"/>
      <c r="H44" s="68"/>
      <c r="I44" s="69"/>
      <c r="J44" s="72"/>
      <c r="K44" s="70"/>
      <c r="L44" s="69"/>
      <c r="M44" s="102" t="str">
        <f si="1" t="shared"/>
        <v/>
      </c>
      <c r="N44" s="40" t="s">
        <v>6</v>
      </c>
      <c r="O44" s="71"/>
      <c r="P44" s="39">
        <f si="3" t="shared"/>
        <v>0</v>
      </c>
      <c r="Q44" s="118">
        <f si="2" t="shared"/>
        <v>0</v>
      </c>
      <c r="R44" s="50" t="s">
        <v>926</v>
      </c>
      <c r="S44" s="60" t="s">
        <v>395</v>
      </c>
      <c r="T44" s="19" t="s">
        <v>411</v>
      </c>
      <c r="U44" s="126" t="s">
        <v>442</v>
      </c>
      <c r="V44" s="126">
        <v>27</v>
      </c>
    </row>
    <row customHeight="1" ht="12.75" r="45" spans="1:22" x14ac:dyDescent="0.2">
      <c r="A45" s="161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si="1" t="shared"/>
        <v/>
      </c>
      <c r="N45" s="40"/>
      <c r="O45" s="67"/>
      <c r="P45" s="39">
        <f si="3" t="shared"/>
        <v>0</v>
      </c>
      <c r="Q45" s="118">
        <f si="2" t="shared"/>
        <v>0</v>
      </c>
      <c r="R45" s="50"/>
      <c r="S45" s="2" t="s">
        <v>398</v>
      </c>
      <c r="T45" s="62"/>
      <c r="U45" s="62"/>
      <c r="V45" s="62">
        <v>51</v>
      </c>
    </row>
    <row customHeight="1" ht="12.75" r="46" spans="1:22" x14ac:dyDescent="0.25">
      <c r="A46" s="22" t="s">
        <v>68</v>
      </c>
      <c r="B46" s="16" t="s">
        <v>1034</v>
      </c>
      <c r="C46" s="20" t="s">
        <v>567</v>
      </c>
      <c r="D46" s="66" t="n">
        <v>43939.0</v>
      </c>
      <c r="E46" s="66" t="n">
        <v>44029.0</v>
      </c>
      <c r="F46" s="71" t="n">
        <v>969.2</v>
      </c>
      <c r="G46" s="68" t="n">
        <v>58.16</v>
      </c>
      <c r="H46" s="68" t="n">
        <v>11.63</v>
      </c>
      <c r="I46" s="69" t="n">
        <v>12.0</v>
      </c>
      <c r="J46" s="72" t="n">
        <v>887.41</v>
      </c>
      <c r="K46" s="70" t="n">
        <v>43985.74949074074</v>
      </c>
      <c r="L46" s="69"/>
      <c r="M46" s="102" t="str">
        <f si="1" t="shared"/>
        <v/>
      </c>
      <c r="N46" s="40" t="s">
        <v>6</v>
      </c>
      <c r="O46" s="71"/>
      <c r="P46" s="39">
        <f si="3" t="shared"/>
        <v>0</v>
      </c>
      <c r="Q46" s="118">
        <f si="2" t="shared"/>
        <v>0</v>
      </c>
      <c r="R46" s="50" t="s">
        <v>927</v>
      </c>
      <c r="S46" s="60" t="s">
        <v>395</v>
      </c>
      <c r="T46" s="19" t="s">
        <v>405</v>
      </c>
      <c r="U46" s="124" t="s">
        <v>443</v>
      </c>
      <c r="V46" s="124">
        <v>46</v>
      </c>
    </row>
    <row customHeight="1" ht="12.75" r="47" spans="1:22" x14ac:dyDescent="0.2">
      <c r="A47" s="22" t="s">
        <v>69</v>
      </c>
      <c r="B47" s="16" t="s">
        <v>1035</v>
      </c>
      <c r="C47" s="20" t="s">
        <v>567</v>
      </c>
      <c r="D47" s="66" t="n">
        <v>43957.0</v>
      </c>
      <c r="E47" s="66" t="n">
        <v>44017.0</v>
      </c>
      <c r="F47" s="67" t="n">
        <v>639.59</v>
      </c>
      <c r="G47" s="68" t="n">
        <v>44.77</v>
      </c>
      <c r="H47" s="68" t="n">
        <v>8.95</v>
      </c>
      <c r="I47" s="69" t="n">
        <v>12.0</v>
      </c>
      <c r="J47" s="72" t="n">
        <v>573.87</v>
      </c>
      <c r="K47" s="70" t="n">
        <v>43985.74949074074</v>
      </c>
      <c r="L47" s="69"/>
      <c r="M47" s="102" t="str">
        <f si="1" t="shared"/>
        <v/>
      </c>
      <c r="N47" s="40" t="s">
        <v>6</v>
      </c>
      <c r="O47" s="67"/>
      <c r="P47" s="39">
        <f si="3" t="shared"/>
        <v>0</v>
      </c>
      <c r="Q47" s="118">
        <f si="2" t="shared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customHeight="1" ht="12.75" r="48" spans="1:22" x14ac:dyDescent="0.25">
      <c r="A48" s="166" t="s">
        <v>86</v>
      </c>
      <c r="B48" s="16" t="s">
        <v>1036</v>
      </c>
      <c r="C48" s="20" t="s">
        <v>95</v>
      </c>
      <c r="D48" s="66" t="n">
        <v>43974.0</v>
      </c>
      <c r="E48" s="66" t="n">
        <v>44034.0</v>
      </c>
      <c r="F48" s="71" t="n">
        <v>790.64</v>
      </c>
      <c r="G48" s="68" t="n">
        <v>47.44</v>
      </c>
      <c r="H48" s="68" t="n">
        <v>9.49</v>
      </c>
      <c r="I48" s="69" t="n">
        <v>12.0</v>
      </c>
      <c r="J48" s="72" t="n">
        <v>721.71</v>
      </c>
      <c r="K48" s="70" t="n">
        <v>43985.74949074074</v>
      </c>
      <c r="L48" s="69" t="n">
        <v>180.0</v>
      </c>
      <c r="M48" s="102" t="str">
        <f si="1" t="shared"/>
        <v/>
      </c>
      <c r="N48" s="40" t="s">
        <v>6</v>
      </c>
      <c r="O48" s="71"/>
      <c r="P48" s="39">
        <f si="3" t="shared"/>
        <v>0</v>
      </c>
      <c r="Q48" s="118">
        <f si="2" t="shared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1037</v>
      </c>
      <c r="C49" s="20" t="s">
        <v>95</v>
      </c>
      <c r="D49" s="70" t="n">
        <v>43965.0</v>
      </c>
      <c r="E49" s="70" t="n">
        <v>44025.0</v>
      </c>
      <c r="F49" s="71" t="n">
        <v>808.08</v>
      </c>
      <c r="G49" s="68" t="n">
        <v>56.57</v>
      </c>
      <c r="H49" s="68" t="n">
        <v>11.31</v>
      </c>
      <c r="I49" s="69" t="n">
        <v>12.0</v>
      </c>
      <c r="J49" s="72" t="n">
        <v>728.2</v>
      </c>
      <c r="K49" s="70" t="n">
        <v>43985.74949074074</v>
      </c>
      <c r="L49" s="69"/>
      <c r="M49" s="102" t="str">
        <f si="1" t="shared"/>
        <v/>
      </c>
      <c r="N49" s="40" t="s">
        <v>6</v>
      </c>
      <c r="O49" s="71"/>
      <c r="P49" s="39">
        <f si="3" t="shared"/>
        <v>0</v>
      </c>
      <c r="Q49" s="118">
        <f si="2" t="shared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customHeight="1" ht="12.75" r="50" spans="1:22" x14ac:dyDescent="0.2">
      <c r="A50" s="167" t="s">
        <v>231</v>
      </c>
      <c r="B50" s="16" t="s">
        <v>1038</v>
      </c>
      <c r="C50" s="20" t="s">
        <v>567</v>
      </c>
      <c r="D50" s="66" t="n">
        <v>44007.0</v>
      </c>
      <c r="E50" s="66" t="n">
        <v>44036.0</v>
      </c>
      <c r="F50" s="67" t="n">
        <v>600.0</v>
      </c>
      <c r="G50" s="68"/>
      <c r="H50" s="68"/>
      <c r="I50" s="69"/>
      <c r="J50" s="72" t="n">
        <v>600.0</v>
      </c>
      <c r="K50" s="70" t="n">
        <v>44007.0</v>
      </c>
      <c r="L50" s="69"/>
      <c r="M50" s="102" t="str">
        <f si="1" t="shared"/>
        <v/>
      </c>
      <c r="N50" s="40" t="s">
        <v>6</v>
      </c>
      <c r="O50" s="67"/>
      <c r="P50" s="39">
        <f si="3" t="shared"/>
        <v>0</v>
      </c>
      <c r="Q50" s="118">
        <f si="2" t="shared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customHeight="1" ht="12.75" r="51" spans="1:22" x14ac:dyDescent="0.25">
      <c r="A51" s="22" t="s">
        <v>70</v>
      </c>
      <c r="B51" s="16" t="s">
        <v>1039</v>
      </c>
      <c r="C51" s="20" t="s">
        <v>95</v>
      </c>
      <c r="D51" s="66" t="n">
        <v>43971.0</v>
      </c>
      <c r="E51" s="66" t="n">
        <v>44031.0</v>
      </c>
      <c r="F51" s="71" t="n">
        <v>808.08</v>
      </c>
      <c r="G51" s="68" t="n">
        <v>48.48</v>
      </c>
      <c r="H51" s="68" t="n">
        <v>9.7</v>
      </c>
      <c r="I51" s="69" t="n">
        <v>12.0</v>
      </c>
      <c r="J51" s="72" t="n">
        <v>737.9</v>
      </c>
      <c r="K51" s="70" t="n">
        <v>43985.74949074074</v>
      </c>
      <c r="L51" s="69" t="n">
        <v>90.0</v>
      </c>
      <c r="M51" s="102" t="str">
        <f si="1" t="shared"/>
        <v/>
      </c>
      <c r="N51" s="40" t="s">
        <v>258</v>
      </c>
      <c r="O51" s="71"/>
      <c r="P51" s="39">
        <f si="3" t="shared"/>
        <v>0</v>
      </c>
      <c r="Q51" s="118">
        <f si="2" t="shared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customHeight="1" ht="12.75" r="52" spans="1:22" x14ac:dyDescent="0.2">
      <c r="A52" s="22" t="s">
        <v>71</v>
      </c>
      <c r="B52" s="16" t="s">
        <v>1040</v>
      </c>
      <c r="C52" s="20" t="s">
        <v>567</v>
      </c>
      <c r="D52" s="66" t="n">
        <v>43988.0</v>
      </c>
      <c r="E52" s="66" t="n">
        <v>44017.0</v>
      </c>
      <c r="F52" s="67" t="n">
        <v>500.0</v>
      </c>
      <c r="G52" s="68" t="n">
        <v>35.0</v>
      </c>
      <c r="H52" s="68" t="n">
        <v>7.0</v>
      </c>
      <c r="I52" s="69" t="n">
        <v>6.0</v>
      </c>
      <c r="J52" s="72" t="n">
        <v>452.0</v>
      </c>
      <c r="K52" s="70" t="n">
        <v>43990.63798611111</v>
      </c>
      <c r="L52" s="69" t="n">
        <v>174.0</v>
      </c>
      <c r="M52" s="102" t="str">
        <f si="1" t="shared"/>
        <v/>
      </c>
      <c r="N52" s="40" t="s">
        <v>6</v>
      </c>
      <c r="O52" s="67"/>
      <c r="P52" s="39">
        <f si="3" t="shared"/>
        <v>0</v>
      </c>
      <c r="Q52" s="118">
        <f si="2" t="shared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customHeight="1" ht="12.75" r="53" spans="1:22" x14ac:dyDescent="0.25">
      <c r="A53" s="22" t="s">
        <v>72</v>
      </c>
      <c r="B53" s="16" t="s">
        <v>1041</v>
      </c>
      <c r="C53" s="20" t="s">
        <v>95</v>
      </c>
      <c r="D53" s="66" t="n">
        <v>43940.0</v>
      </c>
      <c r="E53" s="66" t="n">
        <v>44030.0</v>
      </c>
      <c r="F53" s="71" t="n">
        <v>923.04</v>
      </c>
      <c r="G53" s="68" t="n">
        <v>55.38</v>
      </c>
      <c r="H53" s="68" t="n">
        <v>11.08</v>
      </c>
      <c r="I53" s="69" t="n">
        <v>12.0</v>
      </c>
      <c r="J53" s="72" t="n">
        <v>844.58</v>
      </c>
      <c r="K53" s="70" t="n">
        <v>43985.74949074074</v>
      </c>
      <c r="L53" s="69"/>
      <c r="M53" s="102" t="str">
        <f si="1" t="shared"/>
        <v/>
      </c>
      <c r="N53" s="40" t="s">
        <v>6</v>
      </c>
      <c r="O53" s="71"/>
      <c r="P53" s="39">
        <f si="3" t="shared"/>
        <v>0</v>
      </c>
      <c r="Q53" s="118">
        <f si="2" t="shared"/>
        <v>0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customHeight="1" ht="12.75" r="54" spans="1:22" x14ac:dyDescent="0.2">
      <c r="A54" s="161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si="1" t="shared"/>
        <v/>
      </c>
      <c r="N54" s="40"/>
      <c r="O54" s="67"/>
      <c r="P54" s="39">
        <f si="3" t="shared"/>
        <v>0</v>
      </c>
      <c r="Q54" s="118">
        <f si="2" t="shared"/>
        <v>0</v>
      </c>
      <c r="R54" s="40"/>
      <c r="S54" s="2" t="s">
        <v>398</v>
      </c>
      <c r="T54" s="62"/>
      <c r="U54" s="62"/>
      <c r="V54" s="62">
        <v>61</v>
      </c>
    </row>
    <row customHeight="1" ht="12.75" r="55" spans="1:22" x14ac:dyDescent="0.2">
      <c r="A55" s="167" t="s">
        <v>73</v>
      </c>
      <c r="B55" s="16" t="s">
        <v>1042</v>
      </c>
      <c r="C55" s="20" t="s">
        <v>130</v>
      </c>
      <c r="D55" s="66" t="n">
        <v>44012.0</v>
      </c>
      <c r="E55" s="66" t="n">
        <v>44041.0</v>
      </c>
      <c r="F55" s="67" t="n">
        <v>675.0</v>
      </c>
      <c r="G55" s="68"/>
      <c r="H55" s="68"/>
      <c r="I55" s="69"/>
      <c r="J55" s="72" t="n">
        <v>675.0</v>
      </c>
      <c r="K55" s="70" t="n">
        <v>44011.0</v>
      </c>
      <c r="L55" s="69"/>
      <c r="M55" s="102" t="str">
        <f si="1" t="shared"/>
        <v/>
      </c>
      <c r="N55" s="40" t="s">
        <v>6</v>
      </c>
      <c r="O55" s="67"/>
      <c r="P55" s="39">
        <f si="3" t="shared"/>
        <v>0</v>
      </c>
      <c r="Q55" s="118">
        <f si="2" t="shared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customHeight="1" ht="12.75" r="56" spans="1:22" x14ac:dyDescent="0.25">
      <c r="A56" s="167" t="s">
        <v>112</v>
      </c>
      <c r="B56" s="16" t="s">
        <v>999</v>
      </c>
      <c r="C56" s="20"/>
      <c r="D56" s="66"/>
      <c r="E56" s="66"/>
      <c r="F56" s="71"/>
      <c r="G56" s="68"/>
      <c r="H56" s="68"/>
      <c r="I56" s="69"/>
      <c r="J56" s="72"/>
      <c r="K56" s="70"/>
      <c r="L56" s="69" t="n">
        <v>64.0</v>
      </c>
      <c r="M56" s="102" t="str">
        <f si="1" t="shared"/>
        <v/>
      </c>
      <c r="N56" s="40" t="s">
        <v>6</v>
      </c>
      <c r="O56" s="71"/>
      <c r="P56" s="39">
        <f si="3" t="shared"/>
        <v>0</v>
      </c>
      <c r="Q56" s="118">
        <f si="2" t="shared"/>
        <v>0</v>
      </c>
      <c r="R56" s="50" t="s">
        <v>928</v>
      </c>
      <c r="S56" s="60" t="s">
        <v>395</v>
      </c>
      <c r="T56" s="19" t="s">
        <v>405</v>
      </c>
      <c r="U56" s="125" t="s">
        <v>452</v>
      </c>
      <c r="V56" s="125">
        <v>67</v>
      </c>
    </row>
    <row customHeight="1" ht="12.75" r="57" spans="1:22" x14ac:dyDescent="0.2">
      <c r="A57" s="22" t="s">
        <v>115</v>
      </c>
      <c r="B57" s="16" t="s">
        <v>1043</v>
      </c>
      <c r="C57" s="20" t="s">
        <v>95</v>
      </c>
      <c r="D57" s="66" t="n">
        <v>43963.0</v>
      </c>
      <c r="E57" s="66" t="n">
        <v>44023.0</v>
      </c>
      <c r="F57" s="67" t="n">
        <v>618.04</v>
      </c>
      <c r="G57" s="68" t="n">
        <v>43.26</v>
      </c>
      <c r="H57" s="68" t="n">
        <v>8.65</v>
      </c>
      <c r="I57" s="69" t="n">
        <v>12.0</v>
      </c>
      <c r="J57" s="72" t="n">
        <v>554.13</v>
      </c>
      <c r="K57" s="70" t="n">
        <v>43985.74949074074</v>
      </c>
      <c r="L57" s="69"/>
      <c r="M57" s="102" t="str">
        <f si="1" t="shared"/>
        <v/>
      </c>
      <c r="N57" s="40" t="s">
        <v>6</v>
      </c>
      <c r="O57" s="67"/>
      <c r="P57" s="39">
        <f si="3" t="shared"/>
        <v>0</v>
      </c>
      <c r="Q57" s="118">
        <f si="2" t="shared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ht="15" r="58" spans="1:22" x14ac:dyDescent="0.25">
      <c r="A58" s="166"/>
      <c r="B58" s="16"/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si="1" t="shared"/>
        <v/>
      </c>
      <c r="N58" s="40" t="s">
        <v>259</v>
      </c>
      <c r="O58" s="71"/>
      <c r="P58" s="39">
        <f si="3" t="shared"/>
        <v>0</v>
      </c>
      <c r="Q58" s="118">
        <f si="2" t="shared"/>
        <v>0</v>
      </c>
      <c r="R58" s="128" t="s">
        <v>929</v>
      </c>
      <c r="S58" s="60" t="s">
        <v>395</v>
      </c>
      <c r="T58" s="19" t="s">
        <v>405</v>
      </c>
      <c r="U58" s="124" t="s">
        <v>454</v>
      </c>
      <c r="V58" s="124">
        <v>68</v>
      </c>
    </row>
    <row customHeight="1" ht="12.75" r="59" spans="1:22" x14ac:dyDescent="0.2">
      <c r="A59" s="22" t="s">
        <v>74</v>
      </c>
      <c r="B59" s="16" t="s">
        <v>1044</v>
      </c>
      <c r="C59" s="20" t="s">
        <v>567</v>
      </c>
      <c r="D59" s="66" t="n">
        <v>43994.0</v>
      </c>
      <c r="E59" s="66" t="n">
        <v>44023.0</v>
      </c>
      <c r="F59" s="67" t="n">
        <v>550.0</v>
      </c>
      <c r="G59" s="68" t="n">
        <v>38.5</v>
      </c>
      <c r="H59" s="68" t="n">
        <v>7.7</v>
      </c>
      <c r="I59" s="69" t="n">
        <v>6.0</v>
      </c>
      <c r="J59" s="72" t="n">
        <v>497.8</v>
      </c>
      <c r="K59" s="70" t="n">
        <v>43997.453043981484</v>
      </c>
      <c r="L59" s="69"/>
      <c r="M59" s="102" t="str">
        <f si="1" t="shared"/>
        <v/>
      </c>
      <c r="N59" s="40" t="s">
        <v>6</v>
      </c>
      <c r="O59" s="67"/>
      <c r="P59" s="39">
        <f si="3" t="shared"/>
        <v>0</v>
      </c>
      <c r="Q59" s="118">
        <f si="2" t="shared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customHeight="1" ht="12.75" r="60" spans="1:22" x14ac:dyDescent="0.25">
      <c r="A60" s="22" t="s">
        <v>118</v>
      </c>
      <c r="B60" s="16" t="s">
        <v>1045</v>
      </c>
      <c r="C60" s="20" t="s">
        <v>95</v>
      </c>
      <c r="D60" s="66" t="n">
        <v>43970.0</v>
      </c>
      <c r="E60" s="66" t="n">
        <v>44030.0</v>
      </c>
      <c r="F60" s="71" t="n">
        <v>738.15</v>
      </c>
      <c r="G60" s="68" t="n">
        <v>44.29</v>
      </c>
      <c r="H60" s="68" t="n">
        <v>8.86</v>
      </c>
      <c r="I60" s="69" t="n">
        <v>12.0</v>
      </c>
      <c r="J60" s="72" t="n">
        <v>673.0</v>
      </c>
      <c r="K60" s="70" t="n">
        <v>43985.74949074074</v>
      </c>
      <c r="L60" s="69"/>
      <c r="M60" s="102" t="str">
        <f si="1" t="shared"/>
        <v/>
      </c>
      <c r="N60" s="40" t="s">
        <v>6</v>
      </c>
      <c r="O60" s="71"/>
      <c r="P60" s="39">
        <f si="3" t="shared"/>
        <v>0</v>
      </c>
      <c r="Q60" s="118">
        <f si="2" t="shared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customHeight="1" ht="12.75" r="61" spans="1:22" x14ac:dyDescent="0.2">
      <c r="A61" s="22" t="s">
        <v>119</v>
      </c>
      <c r="B61" s="16" t="s">
        <v>1046</v>
      </c>
      <c r="C61" s="33" t="s">
        <v>567</v>
      </c>
      <c r="D61" s="66" t="n">
        <v>44010.0</v>
      </c>
      <c r="E61" s="66" t="n">
        <v>44039.0</v>
      </c>
      <c r="F61" s="67" t="n">
        <v>550.0</v>
      </c>
      <c r="G61" s="68" t="n">
        <v>38.5</v>
      </c>
      <c r="H61" s="68" t="n">
        <v>7.7</v>
      </c>
      <c r="I61" s="69" t="n">
        <v>12.0</v>
      </c>
      <c r="J61" s="72" t="n">
        <v>491.8</v>
      </c>
      <c r="K61" s="70" t="n">
        <v>44011.493796296294</v>
      </c>
      <c r="L61" s="69"/>
      <c r="M61" s="102" t="str">
        <f si="1" t="shared"/>
        <v/>
      </c>
      <c r="N61" s="40" t="s">
        <v>6</v>
      </c>
      <c r="O61" s="67"/>
      <c r="P61" s="39">
        <f si="3" t="shared"/>
        <v>0</v>
      </c>
      <c r="Q61" s="118">
        <f si="2" t="shared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customHeight="1" ht="12.75" r="62" spans="1:22" x14ac:dyDescent="0.25">
      <c r="A62" s="166" t="s">
        <v>75</v>
      </c>
      <c r="B62" s="16" t="s">
        <v>1047</v>
      </c>
      <c r="C62" s="20" t="s">
        <v>567</v>
      </c>
      <c r="D62" s="66" t="n">
        <v>44010.0</v>
      </c>
      <c r="E62" s="66" t="n">
        <v>44039.0</v>
      </c>
      <c r="F62" s="71" t="n">
        <v>525.0</v>
      </c>
      <c r="G62" s="68" t="n">
        <v>36.75</v>
      </c>
      <c r="H62" s="68" t="n">
        <v>7.35</v>
      </c>
      <c r="I62" s="69" t="n">
        <v>6.0</v>
      </c>
      <c r="J62" s="72" t="n">
        <v>474.9</v>
      </c>
      <c r="K62" s="70" t="n">
        <v>44011.493796296294</v>
      </c>
      <c r="L62" s="69" t="n">
        <v>468.0</v>
      </c>
      <c r="M62" s="102" t="str">
        <f si="1" t="shared"/>
        <v/>
      </c>
      <c r="N62" s="40" t="s">
        <v>6</v>
      </c>
      <c r="O62" s="71"/>
      <c r="P62" s="39">
        <f si="3" t="shared"/>
        <v>0</v>
      </c>
      <c r="Q62" s="118">
        <f si="2" t="shared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customHeight="1" ht="12.75" r="63" spans="1:22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si="1" t="shared"/>
        <v/>
      </c>
      <c r="N63" s="44"/>
      <c r="O63" s="74"/>
      <c r="P63" s="101">
        <f si="3" t="shared"/>
        <v>0</v>
      </c>
      <c r="Q63" s="119">
        <f si="2" t="shared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63"/>
      <c r="B65" s="164" t="s">
        <v>571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0"/>
      <c r="B66" s="165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/>
      <c r="B67" s="165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D518E38D-476E-4477-8E27-54D5BF702223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4" t="s">
        <v>519</v>
      </c>
      <c r="B1" s="84"/>
    </row>
    <row ht="15" r="2" spans="1:9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5">
        <f>-SUM('Rent Statement'!O9:O63)</f>
        <v>0</v>
      </c>
      <c r="F6" s="45">
        <f>-SUMIF('Rent Statement'!S9:S63,"Mathew Tucker",'Rent Statement'!O9:O63)</f>
        <v>0</v>
      </c>
      <c r="I6" s="45">
        <f>-SUMIF('Rent Statement'!S9:S63,"Ivana Valentino",'Rent Statement'!O9:O63)</f>
        <v>0</v>
      </c>
    </row>
    <row r="7" spans="1:9" x14ac:dyDescent="0.2">
      <c r="A7" t="s">
        <v>213</v>
      </c>
      <c r="C7" s="45">
        <f>-SUM('Rent Statement'!G9:G63)</f>
        <v>0</v>
      </c>
      <c r="F7" s="45">
        <f>-SUMIF('Rent Statement'!S9:S63,"Mathew Tucker",'Rent Statement'!G9:G63)</f>
        <v>0</v>
      </c>
      <c r="I7" s="45">
        <f>-SUMIF('Rent Statement'!S9:S63,"Ivana Valentino",'Rent Statement'!G9:G63)</f>
        <v>0</v>
      </c>
    </row>
    <row r="8" spans="1:9" x14ac:dyDescent="0.2">
      <c r="A8" t="s">
        <v>212</v>
      </c>
      <c r="C8" s="45">
        <f>-SUM('Rent Statement'!H9:H63)</f>
        <v>0</v>
      </c>
      <c r="F8" s="45">
        <f>-SUMIF('Rent Statement'!S9:S63,"Mathew Tucker",'Rent Statement'!H9:H63)</f>
        <v>0</v>
      </c>
      <c r="I8" s="45">
        <f>-SUMIF('Rent Statement'!S9:S63,"Ivana Valentino",'Rent Statement'!H9:H63)</f>
        <v>0</v>
      </c>
    </row>
    <row r="9" spans="1:9" x14ac:dyDescent="0.2">
      <c r="A9" t="s">
        <v>211</v>
      </c>
      <c r="C9" s="45">
        <f>-SUM('Rent Statement'!I9:I63)-SUM('Rent Statement'!L9:L63)</f>
        <v>0</v>
      </c>
      <c r="F9" s="45">
        <f>-SUMIF('Rent Statement'!S9:S63,"Mathew Tucker",'Rent Statement'!I9:I63)-SUMIF('Rent Statement'!S9:S63,"Mathew Tucker",'Rent Statement'!L9:L63)</f>
        <v>0</v>
      </c>
      <c r="I9" s="45">
        <f>-SUMIF('Rent Statement'!S9:S63,"Ivana Valentino",'Rent Statement'!I9:I63)-SUMIF('Rent Statement'!S9:S63,"Ivana Valentino",'Rent Statement'!L9:L63)</f>
        <v>0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3"/>
      <c r="E12" s="109">
        <f>E5+SUM(F6:F10)</f>
        <v>0</v>
      </c>
      <c r="H12" s="109">
        <f>H5+SUM(I6:I10)</f>
        <v>0</v>
      </c>
    </row>
    <row ht="15.75" r="13" spans="1:9" thickTop="1" x14ac:dyDescent="0.25">
      <c r="A13" s="85"/>
      <c r="B13" s="85"/>
      <c r="C13" s="81"/>
      <c r="F13" s="81"/>
    </row>
    <row ht="30" r="14" spans="1:9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ht="15" r="15" spans="1:9" x14ac:dyDescent="0.25">
      <c r="A15" s="85" t="s">
        <v>522</v>
      </c>
      <c r="B15" s="82">
        <f>E12</f>
        <v>0</v>
      </c>
      <c r="C15" s="82">
        <f>H12</f>
        <v>0</v>
      </c>
      <c r="D15" s="89"/>
      <c r="E15" s="154">
        <v>0.5</v>
      </c>
      <c r="F15" s="155">
        <v>0.5</v>
      </c>
    </row>
    <row ht="15" r="16" spans="1:9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-12.27</v>
      </c>
      <c r="C17" s="82">
        <f>EVAL("SUM(SUMIFS(IV_Amount, IV_BankRef," &amp;$H17&amp; "))")</f>
        <v>0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7476.6800000000021</v>
      </c>
      <c r="C18" s="82">
        <f>EVAL("SUM(SUMIFS(IV_Amount, IV_BankRef," &amp;$H18&amp; "))")</f>
        <v>2639.2299999999996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7464.4100000000017</v>
      </c>
      <c r="C19" s="83">
        <f>SUM(C17:C18)</f>
        <v>2639.2299999999996</v>
      </c>
      <c r="D19" s="94"/>
      <c r="E19" s="95"/>
      <c r="F19" s="96"/>
    </row>
    <row ht="15" r="20" spans="1:17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-20.48</v>
      </c>
      <c r="C24" s="82">
        <f>EVAL("SUM(SUMIFS(IV_Amount, IV_BankRef," &amp;$H24&amp; "))")</f>
        <v>0</v>
      </c>
      <c r="D24" s="94"/>
      <c r="E24" s="95">
        <f ref="E24:F26" si="0" t="shared">IFERROR(($D24)*E$15,"")</f>
        <v>0</v>
      </c>
      <c r="F24" s="96">
        <f si="0" t="shared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si="0" t="shared"/>
        <v>0</v>
      </c>
      <c r="F25" s="96">
        <f si="0" t="shared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si="0" t="shared"/>
        <v>0</v>
      </c>
      <c r="F26" s="96">
        <f si="0" t="shared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ref="D29:D35" si="1" t="shared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-2149.88</v>
      </c>
      <c r="D30" s="94">
        <f si="1" t="shared"/>
        <v>-2149.88</v>
      </c>
      <c r="E30" s="95">
        <f ref="E30:F35" si="2" t="shared">IFERROR(($D30)*E$15,"")</f>
        <v>-1074.94</v>
      </c>
      <c r="F30" s="96">
        <f si="2" t="shared"/>
        <v>-1074.94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si="1" t="shared"/>
        <v>-37.950000000000003</v>
      </c>
      <c r="E31" s="95">
        <f si="2" t="shared"/>
        <v>-18.975000000000001</v>
      </c>
      <c r="F31" s="96">
        <f si="2" t="shared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-58.99</v>
      </c>
      <c r="D32" s="94">
        <f si="1" t="shared"/>
        <v>-58.99</v>
      </c>
      <c r="E32" s="95">
        <f si="2" t="shared"/>
        <v>-29.495000000000001</v>
      </c>
      <c r="F32" s="96">
        <f si="2" t="shared"/>
        <v>-29.495000000000001</v>
      </c>
      <c r="H32" t="s">
        <v>536</v>
      </c>
    </row>
    <row ht="15" r="33" spans="1:8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-1433</v>
      </c>
      <c r="D33" s="94">
        <f si="1" t="shared"/>
        <v>-1433</v>
      </c>
      <c r="E33" s="95">
        <f si="2" t="shared"/>
        <v>-716.5</v>
      </c>
      <c r="F33" s="96">
        <f si="2" t="shared"/>
        <v>-716.5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si="1" t="shared"/>
        <v>0</v>
      </c>
      <c r="E34" s="95">
        <f si="2" t="shared"/>
        <v>0</v>
      </c>
      <c r="F34" s="96">
        <f si="2" t="shared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si="1" t="shared"/>
        <v>0</v>
      </c>
      <c r="E35" s="95">
        <f si="2" t="shared"/>
        <v>0</v>
      </c>
      <c r="F35" s="96">
        <f si="2" t="shared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-3879.8199999999997</v>
      </c>
      <c r="D36" s="98">
        <f>SUBTOTAL(9,D20:D35)</f>
        <v>-3879.8199999999997</v>
      </c>
      <c r="E36" s="99">
        <f>SUBTOTAL(9,E29:E35)</f>
        <v>-1939.9099999999999</v>
      </c>
      <c r="F36" s="97">
        <f>SUBTOTAL(9,F29:F35)</f>
        <v>-1939.9099999999999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-3879.8199999999997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-739.90999999999985</v>
      </c>
      <c r="F41" s="99">
        <f>F36-F38-F39</f>
        <v>739.90999999999985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1524.75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>
      <c r="A3" t="s" s="171">
        <v>1048</v>
      </c>
    </row>
    <row r="4">
      <c r="A4" t="s">
        <v>1049</v>
      </c>
      <c r="B4" t="n">
        <v>24.0</v>
      </c>
    </row>
    <row r="5">
      <c r="A5" t="s">
        <v>1050</v>
      </c>
      <c r="B5" t="n">
        <v>55.0</v>
      </c>
    </row>
    <row r="6">
      <c r="A6" t="s">
        <v>1051</v>
      </c>
      <c r="B6" t="n">
        <v>55.0</v>
      </c>
    </row>
    <row r="7">
      <c r="A7" t="s">
        <v>1052</v>
      </c>
      <c r="B7" t="n">
        <v>48.0</v>
      </c>
    </row>
    <row r="8">
      <c r="A8" t="s">
        <v>1053</v>
      </c>
      <c r="B8" t="n">
        <v>23.0</v>
      </c>
    </row>
    <row r="9">
      <c r="A9" t="s">
        <v>1054</v>
      </c>
      <c r="B9" t="n">
        <v>8.0</v>
      </c>
    </row>
    <row r="11">
      <c r="A11" t="s" s="171">
        <v>24</v>
      </c>
      <c r="B11" t="s" s="171">
        <v>512</v>
      </c>
      <c r="C11" t="s" s="171">
        <v>514</v>
      </c>
      <c r="D11" t="s" s="171">
        <v>547</v>
      </c>
      <c r="E11" t="s" s="171">
        <v>1055</v>
      </c>
      <c r="F11" t="s" s="171">
        <v>1056</v>
      </c>
    </row>
    <row r="12">
      <c r="A12" t="s">
        <v>70</v>
      </c>
      <c r="B12" t="n" s="172">
        <v>43979.02334490741</v>
      </c>
      <c r="C12" t="n">
        <v>-6.0</v>
      </c>
      <c r="D12" t="s">
        <v>808</v>
      </c>
      <c r="E12" t="n">
        <v>218361.0</v>
      </c>
      <c r="F12" t="s">
        <v>1057</v>
      </c>
    </row>
    <row r="13">
      <c r="A13" t="s">
        <v>71</v>
      </c>
      <c r="B13" t="n" s="172">
        <v>43979.02334490741</v>
      </c>
      <c r="C13" t="n">
        <v>-6.0</v>
      </c>
      <c r="D13" t="s">
        <v>812</v>
      </c>
      <c r="E13" t="n">
        <v>218365.0</v>
      </c>
      <c r="F13" t="s">
        <v>1057</v>
      </c>
    </row>
    <row r="14">
      <c r="A14" t="s">
        <v>69</v>
      </c>
      <c r="B14" t="n" s="172">
        <v>43979.02334490741</v>
      </c>
      <c r="C14" t="n">
        <v>-6.0</v>
      </c>
      <c r="D14" t="s">
        <v>817</v>
      </c>
      <c r="E14" t="n">
        <v>218372.0</v>
      </c>
      <c r="F14" t="s">
        <v>1057</v>
      </c>
    </row>
    <row r="15">
      <c r="A15" t="s">
        <v>115</v>
      </c>
      <c r="B15" t="n" s="172">
        <v>43979.02334490741</v>
      </c>
      <c r="C15" t="n">
        <v>-6.0</v>
      </c>
      <c r="D15" t="s">
        <v>822</v>
      </c>
      <c r="E15" t="n">
        <v>218379.0</v>
      </c>
      <c r="F15" t="s">
        <v>1057</v>
      </c>
    </row>
    <row r="16">
      <c r="A16" t="s">
        <v>74</v>
      </c>
      <c r="B16" t="n" s="172">
        <v>43979.02334490741</v>
      </c>
      <c r="C16" t="n">
        <v>-6.0</v>
      </c>
      <c r="D16" t="s">
        <v>826</v>
      </c>
      <c r="E16" t="n">
        <v>218383.0</v>
      </c>
      <c r="F16" t="s">
        <v>1057</v>
      </c>
    </row>
    <row r="17">
      <c r="A17" t="s">
        <v>119</v>
      </c>
      <c r="B17" t="n" s="172">
        <v>43979.02334490741</v>
      </c>
      <c r="C17" t="n">
        <v>-6.0</v>
      </c>
      <c r="D17" t="s">
        <v>827</v>
      </c>
      <c r="E17" t="n">
        <v>218387.0</v>
      </c>
      <c r="F17" t="s">
        <v>1057</v>
      </c>
    </row>
    <row r="18">
      <c r="A18" t="s">
        <v>53</v>
      </c>
      <c r="B18" t="n" s="172">
        <v>43979.02334490741</v>
      </c>
      <c r="C18" t="n">
        <v>-12.0</v>
      </c>
      <c r="D18" t="s">
        <v>834</v>
      </c>
      <c r="E18" t="n">
        <v>218391.0</v>
      </c>
      <c r="F18" t="s">
        <v>1057</v>
      </c>
    </row>
    <row r="19">
      <c r="A19" t="s">
        <v>55</v>
      </c>
      <c r="B19" t="n" s="172">
        <v>43979.02334490741</v>
      </c>
      <c r="C19" t="n">
        <v>-6.0</v>
      </c>
      <c r="D19" t="s">
        <v>839</v>
      </c>
      <c r="E19" t="n">
        <v>218400.0</v>
      </c>
      <c r="F19" t="s">
        <v>1057</v>
      </c>
    </row>
    <row r="20">
      <c r="A20" t="s">
        <v>56</v>
      </c>
      <c r="B20" t="n" s="172">
        <v>43979.02334490741</v>
      </c>
      <c r="C20" t="n">
        <v>-6.0</v>
      </c>
      <c r="D20" t="s">
        <v>843</v>
      </c>
      <c r="E20" t="n">
        <v>218407.0</v>
      </c>
      <c r="F20" t="s">
        <v>1057</v>
      </c>
    </row>
    <row r="21">
      <c r="A21" t="s">
        <v>187</v>
      </c>
      <c r="B21" t="n" s="172">
        <v>43979.02334490741</v>
      </c>
      <c r="C21" t="n">
        <v>-6.0</v>
      </c>
      <c r="D21" t="s">
        <v>849</v>
      </c>
      <c r="E21" t="n">
        <v>218413.0</v>
      </c>
      <c r="F21" t="s">
        <v>1057</v>
      </c>
    </row>
    <row r="22">
      <c r="A22" t="s">
        <v>59</v>
      </c>
      <c r="B22" t="n" s="172">
        <v>43979.02334490741</v>
      </c>
      <c r="C22" t="n">
        <v>-6.0</v>
      </c>
      <c r="D22" t="s">
        <v>853</v>
      </c>
      <c r="E22" t="n">
        <v>218417.0</v>
      </c>
      <c r="F22" t="s">
        <v>1057</v>
      </c>
    </row>
    <row r="23">
      <c r="A23" t="s">
        <v>57</v>
      </c>
      <c r="B23" t="n" s="172">
        <v>43979.02334490741</v>
      </c>
      <c r="C23" t="n">
        <v>-6.0</v>
      </c>
      <c r="D23" t="s">
        <v>858</v>
      </c>
      <c r="E23" t="n">
        <v>218424.0</v>
      </c>
      <c r="F23" t="s">
        <v>1057</v>
      </c>
    </row>
    <row r="24">
      <c r="A24" t="s">
        <v>63</v>
      </c>
      <c r="B24" t="n" s="172">
        <v>43979.02334490741</v>
      </c>
      <c r="C24" t="n">
        <v>-6.0</v>
      </c>
      <c r="D24" t="s">
        <v>862</v>
      </c>
      <c r="E24" t="n">
        <v>218428.0</v>
      </c>
      <c r="F24" t="s">
        <v>1057</v>
      </c>
    </row>
    <row r="25">
      <c r="A25" t="s">
        <v>64</v>
      </c>
      <c r="B25" t="n" s="172">
        <v>43979.02334490741</v>
      </c>
      <c r="C25" t="n">
        <v>-6.0</v>
      </c>
      <c r="D25" t="s">
        <v>866</v>
      </c>
      <c r="E25" t="n">
        <v>218432.0</v>
      </c>
      <c r="F25" t="s">
        <v>1057</v>
      </c>
    </row>
    <row r="26">
      <c r="A26" t="s">
        <v>66</v>
      </c>
      <c r="B26" t="n" s="172">
        <v>43979.02334490741</v>
      </c>
      <c r="C26" t="n">
        <v>-6.0</v>
      </c>
      <c r="D26" t="s">
        <v>870</v>
      </c>
      <c r="E26" t="n">
        <v>218436.0</v>
      </c>
      <c r="F26" t="s">
        <v>1057</v>
      </c>
    </row>
    <row r="27">
      <c r="A27" t="s">
        <v>61</v>
      </c>
      <c r="B27" t="n" s="172">
        <v>43979.02334490741</v>
      </c>
      <c r="C27" t="n">
        <v>-6.0</v>
      </c>
      <c r="D27" t="s">
        <v>875</v>
      </c>
      <c r="E27" t="n">
        <v>218443.0</v>
      </c>
      <c r="F27" t="s">
        <v>1057</v>
      </c>
    </row>
    <row r="28">
      <c r="A28" t="s">
        <v>111</v>
      </c>
      <c r="B28" t="n" s="172">
        <v>43979.02334490741</v>
      </c>
      <c r="C28" t="n">
        <v>-6.0</v>
      </c>
      <c r="D28" t="s">
        <v>880</v>
      </c>
      <c r="E28" t="n">
        <v>218450.0</v>
      </c>
      <c r="F28" t="s">
        <v>1057</v>
      </c>
    </row>
    <row r="29">
      <c r="A29" t="s">
        <v>186</v>
      </c>
      <c r="B29" t="n" s="172">
        <v>43979.02334490741</v>
      </c>
      <c r="C29" t="n">
        <v>-6.0</v>
      </c>
      <c r="D29" t="s">
        <v>885</v>
      </c>
      <c r="E29" t="n">
        <v>218456.0</v>
      </c>
      <c r="F29" t="s">
        <v>1057</v>
      </c>
    </row>
    <row r="30">
      <c r="A30" t="s">
        <v>105</v>
      </c>
      <c r="B30" t="n" s="172">
        <v>43979.02334490741</v>
      </c>
      <c r="C30" t="n">
        <v>-6.0</v>
      </c>
      <c r="D30" t="s">
        <v>889</v>
      </c>
      <c r="E30" t="n">
        <v>218460.0</v>
      </c>
      <c r="F30" t="s">
        <v>1057</v>
      </c>
    </row>
    <row r="31">
      <c r="A31" t="s">
        <v>68</v>
      </c>
      <c r="B31" t="n" s="172">
        <v>43979.02334490741</v>
      </c>
      <c r="C31" t="n">
        <v>-6.0</v>
      </c>
      <c r="D31" t="s">
        <v>895</v>
      </c>
      <c r="E31" t="n">
        <v>218466.0</v>
      </c>
      <c r="F31" t="s">
        <v>1057</v>
      </c>
    </row>
    <row r="32">
      <c r="A32" t="s">
        <v>86</v>
      </c>
      <c r="B32" t="n" s="172">
        <v>43979.02334490741</v>
      </c>
      <c r="C32" t="n">
        <v>-6.0</v>
      </c>
      <c r="D32" t="s">
        <v>901</v>
      </c>
      <c r="E32" t="n">
        <v>218473.0</v>
      </c>
      <c r="F32" t="s">
        <v>1057</v>
      </c>
    </row>
    <row r="33">
      <c r="A33" t="s">
        <v>72</v>
      </c>
      <c r="B33" t="n" s="172">
        <v>43979.02334490741</v>
      </c>
      <c r="C33" t="n">
        <v>-6.0</v>
      </c>
      <c r="D33" t="s">
        <v>906</v>
      </c>
      <c r="E33" t="n">
        <v>218479.0</v>
      </c>
      <c r="F33" t="s">
        <v>1057</v>
      </c>
    </row>
    <row r="34">
      <c r="A34" t="s">
        <v>118</v>
      </c>
      <c r="B34" t="n" s="172">
        <v>43979.02334490741</v>
      </c>
      <c r="C34" t="n">
        <v>-6.0</v>
      </c>
      <c r="D34" t="s">
        <v>912</v>
      </c>
      <c r="E34" t="n">
        <v>218486.0</v>
      </c>
      <c r="F34" t="s">
        <v>1057</v>
      </c>
    </row>
    <row r="35">
      <c r="A35" t="s">
        <v>71</v>
      </c>
      <c r="B35" t="n" s="172">
        <v>44010.023368055554</v>
      </c>
      <c r="C35" t="n">
        <v>-6.0</v>
      </c>
      <c r="D35" t="s">
        <v>812</v>
      </c>
      <c r="E35" t="n">
        <v>218758.0</v>
      </c>
      <c r="F35" t="s">
        <v>1058</v>
      </c>
    </row>
    <row r="36">
      <c r="A36" t="s">
        <v>74</v>
      </c>
      <c r="B36" t="n" s="172">
        <v>44010.023368055554</v>
      </c>
      <c r="C36" t="n">
        <v>-6.0</v>
      </c>
      <c r="D36" t="s">
        <v>826</v>
      </c>
      <c r="E36" t="n">
        <v>218782.0</v>
      </c>
      <c r="F36" t="s">
        <v>1058</v>
      </c>
    </row>
    <row r="37">
      <c r="A37" t="s">
        <v>53</v>
      </c>
      <c r="B37" t="n" s="172">
        <v>44010.023368055554</v>
      </c>
      <c r="C37" t="n">
        <v>-12.0</v>
      </c>
      <c r="D37" t="s">
        <v>834</v>
      </c>
      <c r="E37" t="n">
        <v>218790.0</v>
      </c>
      <c r="F37" t="s">
        <v>1058</v>
      </c>
    </row>
    <row r="38">
      <c r="A38" t="s">
        <v>55</v>
      </c>
      <c r="B38" t="n" s="172">
        <v>44010.023368055554</v>
      </c>
      <c r="C38" t="n">
        <v>-6.0</v>
      </c>
      <c r="D38" t="s">
        <v>839</v>
      </c>
      <c r="E38" t="n">
        <v>218796.0</v>
      </c>
      <c r="F38" t="s">
        <v>1058</v>
      </c>
    </row>
    <row r="39">
      <c r="A39" t="s">
        <v>59</v>
      </c>
      <c r="B39" t="n" s="172">
        <v>44010.023368055554</v>
      </c>
      <c r="C39" t="n">
        <v>-6.0</v>
      </c>
      <c r="D39" t="s">
        <v>853</v>
      </c>
      <c r="E39" t="n">
        <v>218819.0</v>
      </c>
      <c r="F39" t="s">
        <v>1058</v>
      </c>
    </row>
    <row r="40">
      <c r="A40" t="s">
        <v>63</v>
      </c>
      <c r="B40" t="n" s="172">
        <v>44010.023368055554</v>
      </c>
      <c r="C40" t="n">
        <v>-6.0</v>
      </c>
      <c r="D40" t="s">
        <v>862</v>
      </c>
      <c r="E40" t="n">
        <v>218833.0</v>
      </c>
      <c r="F40" t="s">
        <v>1058</v>
      </c>
    </row>
    <row r="41">
      <c r="A41" t="s">
        <v>64</v>
      </c>
      <c r="B41" t="n" s="172">
        <v>44010.023368055554</v>
      </c>
      <c r="C41" t="n">
        <v>-6.0</v>
      </c>
      <c r="D41" t="s">
        <v>866</v>
      </c>
      <c r="E41" t="n">
        <v>218837.0</v>
      </c>
      <c r="F41" t="s">
        <v>1058</v>
      </c>
    </row>
    <row r="42">
      <c r="A42" t="s">
        <v>186</v>
      </c>
      <c r="B42" t="n" s="172">
        <v>44010.023368055554</v>
      </c>
      <c r="C42" t="n">
        <v>-6.0</v>
      </c>
      <c r="D42" t="s">
        <v>885</v>
      </c>
      <c r="E42" t="n">
        <v>218870.0</v>
      </c>
      <c r="F42" t="s">
        <v>1058</v>
      </c>
    </row>
    <row r="43" spans="2:2" x14ac:dyDescent="0.2">
      <c r="B43" s="159"/>
    </row>
    <row r="44">
      <c r="A44" t="s" s="171">
        <v>1059</v>
      </c>
    </row>
    <row r="45">
      <c r="A45" t="s">
        <v>1060</v>
      </c>
      <c r="B45" t="s">
        <v>520</v>
      </c>
    </row>
    <row r="46">
      <c r="A46" t="s">
        <v>1061</v>
      </c>
      <c r="B46" t="n">
        <v>96.0</v>
      </c>
    </row>
    <row r="47">
      <c r="A47" t="s">
        <v>1062</v>
      </c>
      <c r="B47" t="n">
        <v>96.0</v>
      </c>
    </row>
    <row r="48">
      <c r="A48" t="s">
        <v>1063</v>
      </c>
      <c r="B48" t="n">
        <v>0.0</v>
      </c>
    </row>
    <row r="49">
      <c r="A49" t="s">
        <v>1064</v>
      </c>
      <c r="B49" t="n">
        <v>96.0</v>
      </c>
      <c r="C49" t="n">
        <v>96.0</v>
      </c>
    </row>
    <row r="50">
      <c r="A50" t="s">
        <v>1065</v>
      </c>
      <c r="B50" t="n">
        <v>27.0</v>
      </c>
      <c r="C50" t="n">
        <v>27.0</v>
      </c>
    </row>
    <row r="51">
      <c r="A51" t="s">
        <v>1066</v>
      </c>
      <c r="B51" t="n">
        <v>1.0</v>
      </c>
      <c r="C51" t="n">
        <v>1.0</v>
      </c>
    </row>
    <row r="52" spans="1:2" x14ac:dyDescent="0.2">
      <c r="B52" s="159"/>
    </row>
    <row r="53">
      <c r="A53" t="s">
        <v>1060</v>
      </c>
      <c r="B53" t="s">
        <v>521</v>
      </c>
    </row>
    <row r="54">
      <c r="A54" t="s">
        <v>1061</v>
      </c>
      <c r="B54" t="n">
        <v>49.0</v>
      </c>
    </row>
    <row r="55">
      <c r="A55" t="s">
        <v>1062</v>
      </c>
      <c r="B55" t="n">
        <v>49.0</v>
      </c>
    </row>
    <row r="56">
      <c r="A56" t="s">
        <v>1063</v>
      </c>
      <c r="B56" t="n">
        <v>0.0</v>
      </c>
    </row>
    <row r="57">
      <c r="A57" t="s">
        <v>1064</v>
      </c>
      <c r="B57" t="n">
        <v>49.0</v>
      </c>
      <c r="C57" t="n">
        <v>49.0</v>
      </c>
    </row>
    <row r="58">
      <c r="A58" t="s">
        <v>1065</v>
      </c>
      <c r="B58" t="n">
        <v>11.0</v>
      </c>
      <c r="C58" t="n">
        <v>11.0</v>
      </c>
    </row>
    <row r="59">
      <c r="A59" t="s">
        <v>1066</v>
      </c>
      <c r="B59" t="n">
        <v>0.0</v>
      </c>
      <c r="C59" t="n">
        <v>0.0</v>
      </c>
    </row>
    <row r="60" spans="1:2" x14ac:dyDescent="0.2">
      <c r="B60" s="159"/>
    </row>
    <row r="61" spans="1:2" x14ac:dyDescent="0.2">
      <c r="B61" s="136"/>
    </row>
    <row ht="15" r="62" spans="1:2" x14ac:dyDescent="0.25">
      <c r="A62" s="158"/>
    </row>
    <row r="70" spans="2:2" x14ac:dyDescent="0.2">
      <c r="B70" s="136"/>
    </row>
    <row r="78" spans="2:2" x14ac:dyDescent="0.2">
      <c r="B78" s="136"/>
    </row>
    <row r="79" spans="2:2" x14ac:dyDescent="0.2">
      <c r="B79" s="136"/>
    </row>
    <row r="80" spans="2:2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ht="15" r="101" spans="1:2" x14ac:dyDescent="0.25">
      <c r="A101" s="135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4"/>
  <sheetViews>
    <sheetView workbookViewId="0" zoomScale="70" zoomScaleNormal="70">
      <selection activeCell="H82" sqref="H82"/>
    </sheetView>
  </sheetViews>
  <sheetFormatPr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12.85546875" collapsed="false"/>
    <col min="5" max="5" bestFit="true" customWidth="true" style="129" width="14.2851562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5703125" collapsed="false"/>
    <col min="9" max="9" bestFit="true" customWidth="true" style="129" width="8.7109375" collapsed="false"/>
    <col min="10" max="16384" style="129" width="9.140625" collapsed="false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B2" s="130">
        <v>43983</v>
      </c>
      <c r="C2" s="129" t="s">
        <v>574</v>
      </c>
      <c r="D2" s="129">
        <v>600</v>
      </c>
      <c r="E2" s="129" t="s">
        <v>575</v>
      </c>
      <c r="F2" s="129" t="s">
        <v>576</v>
      </c>
      <c r="G2" s="46" t="s">
        <v>486</v>
      </c>
      <c r="H2" s="46" t="s">
        <v>769</v>
      </c>
      <c r="I2" t="s">
        <v>1000</v>
      </c>
      <c r="J2" s="131"/>
    </row>
    <row r="3" spans="1:10" x14ac:dyDescent="0.2">
      <c r="B3" s="130">
        <v>43983</v>
      </c>
      <c r="C3" s="129" t="s">
        <v>574</v>
      </c>
      <c r="D3" s="129">
        <v>-237.6</v>
      </c>
      <c r="E3" s="129" t="s">
        <v>577</v>
      </c>
      <c r="F3" s="129" t="s">
        <v>643</v>
      </c>
      <c r="G3" s="46" t="s">
        <v>477</v>
      </c>
      <c r="H3" s="131" t="s">
        <v>983</v>
      </c>
      <c r="I3" t="s">
        <v>1001</v>
      </c>
    </row>
    <row r="4" spans="1:10" x14ac:dyDescent="0.2">
      <c r="B4" s="130">
        <v>43983</v>
      </c>
      <c r="C4" s="129" t="s">
        <v>574</v>
      </c>
      <c r="D4" s="129">
        <v>-174</v>
      </c>
      <c r="E4" s="129" t="s">
        <v>577</v>
      </c>
      <c r="F4" s="131" t="s">
        <v>644</v>
      </c>
      <c r="G4" t="s">
        <v>497</v>
      </c>
      <c r="H4" s="131" t="s">
        <v>983</v>
      </c>
      <c r="I4" t="s">
        <v>1001</v>
      </c>
      <c r="J4" s="131"/>
    </row>
    <row r="5" spans="1:10" x14ac:dyDescent="0.2">
      <c r="B5" s="130">
        <v>43983</v>
      </c>
      <c r="C5" s="129" t="s">
        <v>574</v>
      </c>
      <c r="D5" s="156">
        <v>-1200</v>
      </c>
      <c r="E5" s="133" t="s">
        <v>578</v>
      </c>
      <c r="F5" s="157" t="s">
        <v>579</v>
      </c>
      <c r="H5" s="133"/>
      <c r="I5" t="s">
        <v>1002</v>
      </c>
    </row>
    <row r="6" spans="1:10" x14ac:dyDescent="0.2">
      <c r="B6" s="130">
        <v>43983</v>
      </c>
      <c r="C6" s="129" t="s">
        <v>574</v>
      </c>
      <c r="D6" s="156">
        <v>-232.5</v>
      </c>
      <c r="E6" s="133" t="s">
        <v>578</v>
      </c>
      <c r="F6" s="157" t="s">
        <v>580</v>
      </c>
      <c r="G6" s="131"/>
      <c r="H6" s="131"/>
      <c r="I6" t="s">
        <v>1002</v>
      </c>
    </row>
    <row r="7" spans="1:10" x14ac:dyDescent="0.2">
      <c r="B7" s="130">
        <v>43983</v>
      </c>
      <c r="C7" s="129" t="s">
        <v>574</v>
      </c>
      <c r="D7" s="156">
        <v>-196.79</v>
      </c>
      <c r="E7" s="133" t="s">
        <v>578</v>
      </c>
      <c r="F7" s="157" t="s">
        <v>581</v>
      </c>
      <c r="H7" s="131"/>
      <c r="I7" t="s">
        <v>1002</v>
      </c>
    </row>
    <row r="8" spans="1:10" x14ac:dyDescent="0.2">
      <c r="B8" s="130">
        <v>43983</v>
      </c>
      <c r="C8" s="129" t="s">
        <v>574</v>
      </c>
      <c r="D8" s="156">
        <v>-160</v>
      </c>
      <c r="E8" s="133" t="s">
        <v>578</v>
      </c>
      <c r="F8" s="157" t="s">
        <v>582</v>
      </c>
      <c r="H8" s="131"/>
      <c r="I8" t="s">
        <v>1002</v>
      </c>
    </row>
    <row r="9" spans="1:10" x14ac:dyDescent="0.2">
      <c r="B9" s="130">
        <v>43983</v>
      </c>
      <c r="C9" s="129" t="s">
        <v>574</v>
      </c>
      <c r="D9" s="156">
        <v>-157.5</v>
      </c>
      <c r="E9" s="133" t="s">
        <v>578</v>
      </c>
      <c r="F9" s="157" t="s">
        <v>583</v>
      </c>
      <c r="G9" s="131"/>
      <c r="H9" s="131"/>
      <c r="I9" t="s">
        <v>1002</v>
      </c>
    </row>
    <row r="10" spans="1:10" x14ac:dyDescent="0.2">
      <c r="B10" s="130">
        <v>43983</v>
      </c>
      <c r="C10" s="129" t="s">
        <v>574</v>
      </c>
      <c r="D10" s="156">
        <v>-50</v>
      </c>
      <c r="E10" s="133" t="s">
        <v>578</v>
      </c>
      <c r="F10" s="157" t="s">
        <v>584</v>
      </c>
      <c r="H10" s="131"/>
      <c r="I10" t="s">
        <v>1002</v>
      </c>
    </row>
    <row r="11" spans="1:10" x14ac:dyDescent="0.2">
      <c r="B11" s="130">
        <v>43983</v>
      </c>
      <c r="C11" s="129" t="s">
        <v>574</v>
      </c>
      <c r="D11" s="156">
        <v>-50</v>
      </c>
      <c r="E11" s="133" t="s">
        <v>578</v>
      </c>
      <c r="F11" s="157" t="s">
        <v>585</v>
      </c>
      <c r="H11" s="131"/>
      <c r="I11" t="s">
        <v>1002</v>
      </c>
    </row>
    <row r="12" spans="1:10" x14ac:dyDescent="0.2">
      <c r="B12" s="130">
        <v>43983</v>
      </c>
      <c r="C12" s="129" t="s">
        <v>574</v>
      </c>
      <c r="D12" s="156">
        <v>-21</v>
      </c>
      <c r="E12" s="133" t="s">
        <v>586</v>
      </c>
      <c r="F12" s="157" t="s">
        <v>645</v>
      </c>
      <c r="G12" s="46" t="s">
        <v>489</v>
      </c>
      <c r="H12" s="46" t="s">
        <v>768</v>
      </c>
      <c r="I12" t="s">
        <v>1001</v>
      </c>
    </row>
    <row r="13" spans="1:10" x14ac:dyDescent="0.2">
      <c r="B13" s="130">
        <v>43983</v>
      </c>
      <c r="C13" s="129" t="s">
        <v>574</v>
      </c>
      <c r="D13" s="156">
        <v>-20</v>
      </c>
      <c r="E13" s="133" t="s">
        <v>586</v>
      </c>
      <c r="F13" s="157" t="s">
        <v>646</v>
      </c>
      <c r="G13" t="s">
        <v>486</v>
      </c>
      <c r="H13" s="46" t="s">
        <v>768</v>
      </c>
      <c r="I13" t="s">
        <v>1001</v>
      </c>
    </row>
    <row r="14" spans="1:10" x14ac:dyDescent="0.2">
      <c r="B14" s="130">
        <v>43983</v>
      </c>
      <c r="C14" s="129" t="s">
        <v>574</v>
      </c>
      <c r="D14" s="156">
        <v>-85</v>
      </c>
      <c r="E14" s="133" t="s">
        <v>586</v>
      </c>
      <c r="F14" s="157" t="s">
        <v>647</v>
      </c>
      <c r="G14" s="46" t="s">
        <v>477</v>
      </c>
      <c r="H14" s="46" t="s">
        <v>768</v>
      </c>
      <c r="I14" t="s">
        <v>1001</v>
      </c>
    </row>
    <row r="15" spans="1:10" x14ac:dyDescent="0.2">
      <c r="B15" s="130">
        <v>43983</v>
      </c>
      <c r="C15" s="129" t="s">
        <v>574</v>
      </c>
      <c r="D15" s="156">
        <v>-30</v>
      </c>
      <c r="E15" s="133" t="s">
        <v>586</v>
      </c>
      <c r="F15" s="157" t="s">
        <v>648</v>
      </c>
      <c r="G15" s="46" t="s">
        <v>488</v>
      </c>
      <c r="H15" s="46" t="s">
        <v>768</v>
      </c>
      <c r="I15" t="s">
        <v>1001</v>
      </c>
    </row>
    <row r="16" spans="1:10" x14ac:dyDescent="0.2">
      <c r="B16" s="130">
        <v>43983</v>
      </c>
      <c r="C16" s="129" t="s">
        <v>574</v>
      </c>
      <c r="D16" s="156">
        <v>-46</v>
      </c>
      <c r="E16" s="133" t="s">
        <v>586</v>
      </c>
      <c r="F16" s="157" t="s">
        <v>649</v>
      </c>
      <c r="G16" s="46" t="s">
        <v>472</v>
      </c>
      <c r="H16" s="46" t="s">
        <v>768</v>
      </c>
      <c r="I16" t="s">
        <v>1001</v>
      </c>
      <c r="J16" s="131"/>
    </row>
    <row r="17" spans="2:10" x14ac:dyDescent="0.2">
      <c r="B17" s="130">
        <v>43983</v>
      </c>
      <c r="C17" s="129" t="s">
        <v>574</v>
      </c>
      <c r="D17" s="156">
        <v>-20.48</v>
      </c>
      <c r="E17" s="133" t="s">
        <v>586</v>
      </c>
      <c r="F17" s="157" t="s">
        <v>650</v>
      </c>
      <c r="G17" s="131"/>
      <c r="H17" s="131"/>
      <c r="I17" t="s">
        <v>1002</v>
      </c>
      <c r="J17" s="131"/>
    </row>
    <row r="18" spans="2:10" x14ac:dyDescent="0.2">
      <c r="B18" s="130">
        <v>43985</v>
      </c>
      <c r="C18" s="129" t="s">
        <v>574</v>
      </c>
      <c r="D18" s="156">
        <v>-59.95</v>
      </c>
      <c r="E18" s="133" t="s">
        <v>577</v>
      </c>
      <c r="F18" s="157" t="s">
        <v>651</v>
      </c>
      <c r="G18" s="131"/>
      <c r="H18" s="131"/>
      <c r="I18" t="s">
        <v>1002</v>
      </c>
    </row>
    <row r="19" spans="2:10" x14ac:dyDescent="0.2">
      <c r="B19" s="130">
        <v>43986</v>
      </c>
      <c r="C19" s="129" t="s">
        <v>574</v>
      </c>
      <c r="D19" s="156">
        <v>129</v>
      </c>
      <c r="E19" s="133" t="s">
        <v>591</v>
      </c>
      <c r="F19" s="157" t="s">
        <v>652</v>
      </c>
      <c r="G19" s="131"/>
      <c r="H19" s="131"/>
      <c r="I19" t="s">
        <v>1002</v>
      </c>
    </row>
    <row r="20" spans="2:10" x14ac:dyDescent="0.2">
      <c r="B20" s="130">
        <v>43986</v>
      </c>
      <c r="C20" s="129" t="s">
        <v>574</v>
      </c>
      <c r="D20" s="156">
        <v>721</v>
      </c>
      <c r="E20" s="133" t="s">
        <v>575</v>
      </c>
      <c r="F20" s="157" t="s">
        <v>653</v>
      </c>
      <c r="G20" s="131" t="s">
        <v>482</v>
      </c>
      <c r="H20" s="131" t="s">
        <v>780</v>
      </c>
      <c r="I20" t="s">
        <v>1001</v>
      </c>
    </row>
    <row r="21" spans="2:10" x14ac:dyDescent="0.2">
      <c r="B21" s="130">
        <v>43986</v>
      </c>
      <c r="C21" s="129" t="s">
        <v>574</v>
      </c>
      <c r="D21" s="129">
        <v>525</v>
      </c>
      <c r="E21" s="133" t="s">
        <v>778</v>
      </c>
      <c r="F21" s="132" t="s">
        <v>984</v>
      </c>
      <c r="G21" s="46" t="s">
        <v>482</v>
      </c>
      <c r="H21" s="46" t="s">
        <v>784</v>
      </c>
      <c r="I21" t="s">
        <v>1000</v>
      </c>
    </row>
    <row r="22" spans="2:10" x14ac:dyDescent="0.2">
      <c r="B22" s="130">
        <v>43986</v>
      </c>
      <c r="C22" s="129" t="s">
        <v>574</v>
      </c>
      <c r="D22" s="129">
        <v>-525</v>
      </c>
      <c r="E22" s="133" t="s">
        <v>778</v>
      </c>
      <c r="F22" s="132" t="s">
        <v>984</v>
      </c>
      <c r="G22" s="46" t="s">
        <v>482</v>
      </c>
      <c r="H22" s="46" t="s">
        <v>779</v>
      </c>
      <c r="I22" t="s">
        <v>1001</v>
      </c>
    </row>
    <row r="23" spans="2:10" x14ac:dyDescent="0.2">
      <c r="B23" s="130">
        <v>43986</v>
      </c>
      <c r="C23" s="129" t="s">
        <v>574</v>
      </c>
      <c r="D23" s="156">
        <v>470.32</v>
      </c>
      <c r="E23" s="133" t="s">
        <v>575</v>
      </c>
      <c r="F23" s="157" t="s">
        <v>588</v>
      </c>
      <c r="G23" s="131"/>
      <c r="H23" s="131"/>
      <c r="I23" t="s">
        <v>1002</v>
      </c>
    </row>
    <row r="24" spans="2:10" x14ac:dyDescent="0.2">
      <c r="B24" s="130">
        <v>43986</v>
      </c>
      <c r="C24" s="129" t="s">
        <v>574</v>
      </c>
      <c r="D24" s="156">
        <v>423.11</v>
      </c>
      <c r="E24" s="133" t="s">
        <v>575</v>
      </c>
      <c r="F24" s="157" t="s">
        <v>596</v>
      </c>
      <c r="G24" s="131"/>
      <c r="H24" s="131"/>
      <c r="I24" t="s">
        <v>1002</v>
      </c>
    </row>
    <row r="25" spans="2:10" x14ac:dyDescent="0.2">
      <c r="B25" s="130">
        <v>43986</v>
      </c>
      <c r="C25" s="129" t="s">
        <v>574</v>
      </c>
      <c r="D25" s="156">
        <v>422.3</v>
      </c>
      <c r="E25" s="133" t="s">
        <v>575</v>
      </c>
      <c r="F25" s="157" t="s">
        <v>597</v>
      </c>
      <c r="G25" s="131"/>
      <c r="H25" s="131"/>
      <c r="I25" t="s">
        <v>1002</v>
      </c>
      <c r="J25" s="131"/>
    </row>
    <row r="26" spans="2:10" x14ac:dyDescent="0.2">
      <c r="B26" s="130">
        <v>43986</v>
      </c>
      <c r="C26" s="129" t="s">
        <v>574</v>
      </c>
      <c r="D26" s="156">
        <v>279.89999999999998</v>
      </c>
      <c r="E26" s="133" t="s">
        <v>575</v>
      </c>
      <c r="F26" s="157" t="s">
        <v>599</v>
      </c>
      <c r="G26" s="131"/>
      <c r="H26" s="131"/>
      <c r="I26" t="s">
        <v>1002</v>
      </c>
      <c r="J26" s="131"/>
    </row>
    <row r="27" spans="2:10" x14ac:dyDescent="0.2">
      <c r="B27" s="130">
        <v>43986</v>
      </c>
      <c r="C27" s="129" t="s">
        <v>574</v>
      </c>
      <c r="D27" s="156">
        <v>276.2</v>
      </c>
      <c r="E27" s="133" t="s">
        <v>575</v>
      </c>
      <c r="F27" s="157" t="s">
        <v>598</v>
      </c>
      <c r="G27" s="131"/>
      <c r="H27" s="131"/>
      <c r="I27" t="s">
        <v>1002</v>
      </c>
    </row>
    <row r="28" spans="2:10" x14ac:dyDescent="0.2">
      <c r="B28" s="130">
        <v>43986</v>
      </c>
      <c r="C28" s="129" t="s">
        <v>574</v>
      </c>
      <c r="D28" s="156">
        <v>244.18</v>
      </c>
      <c r="E28" s="133" t="s">
        <v>575</v>
      </c>
      <c r="F28" s="157" t="s">
        <v>600</v>
      </c>
      <c r="H28" s="131"/>
      <c r="I28" t="s">
        <v>1002</v>
      </c>
    </row>
    <row r="29" spans="2:10" x14ac:dyDescent="0.2">
      <c r="B29" s="130">
        <v>43986</v>
      </c>
      <c r="C29" s="129" t="s">
        <v>574</v>
      </c>
      <c r="D29" s="156">
        <v>218.39</v>
      </c>
      <c r="E29" s="133" t="s">
        <v>575</v>
      </c>
      <c r="F29" s="157" t="s">
        <v>601</v>
      </c>
      <c r="G29" s="131"/>
      <c r="H29" s="131"/>
      <c r="I29" t="s">
        <v>1002</v>
      </c>
    </row>
    <row r="30" spans="2:10" x14ac:dyDescent="0.2">
      <c r="B30" s="130">
        <v>43986</v>
      </c>
      <c r="C30" s="129" t="s">
        <v>574</v>
      </c>
      <c r="D30" s="156">
        <v>102.13</v>
      </c>
      <c r="E30" s="133" t="s">
        <v>575</v>
      </c>
      <c r="F30" s="157" t="s">
        <v>603</v>
      </c>
      <c r="G30" s="131"/>
      <c r="H30" s="131"/>
      <c r="I30" t="s">
        <v>1002</v>
      </c>
    </row>
    <row r="31" spans="2:10" x14ac:dyDescent="0.2">
      <c r="B31" s="130">
        <v>43986</v>
      </c>
      <c r="C31" s="129" t="s">
        <v>574</v>
      </c>
      <c r="D31" s="156">
        <v>98.97</v>
      </c>
      <c r="E31" s="133" t="s">
        <v>575</v>
      </c>
      <c r="F31" s="157" t="s">
        <v>595</v>
      </c>
      <c r="H31" s="131"/>
      <c r="I31" t="s">
        <v>1002</v>
      </c>
    </row>
    <row r="32" spans="2:10" x14ac:dyDescent="0.2">
      <c r="B32" s="130">
        <v>43986</v>
      </c>
      <c r="C32" s="129" t="s">
        <v>574</v>
      </c>
      <c r="D32" s="156">
        <v>-126</v>
      </c>
      <c r="E32" s="133" t="s">
        <v>577</v>
      </c>
      <c r="F32" s="157" t="s">
        <v>654</v>
      </c>
      <c r="G32" s="129" t="s">
        <v>489</v>
      </c>
      <c r="H32" s="131" t="s">
        <v>794</v>
      </c>
      <c r="I32" t="s">
        <v>1001</v>
      </c>
    </row>
    <row r="33" spans="2:10" x14ac:dyDescent="0.2">
      <c r="B33" s="130">
        <v>43986</v>
      </c>
      <c r="C33" s="129" t="s">
        <v>574</v>
      </c>
      <c r="D33" s="156">
        <v>-37</v>
      </c>
      <c r="E33" s="133" t="s">
        <v>577</v>
      </c>
      <c r="F33" s="157" t="s">
        <v>655</v>
      </c>
      <c r="G33" s="131" t="s">
        <v>489</v>
      </c>
      <c r="H33" s="131" t="s">
        <v>793</v>
      </c>
      <c r="I33" t="s">
        <v>1001</v>
      </c>
    </row>
    <row r="34" spans="2:10" x14ac:dyDescent="0.2">
      <c r="B34" s="130">
        <v>43986</v>
      </c>
      <c r="C34" s="129" t="s">
        <v>574</v>
      </c>
      <c r="D34" s="156">
        <v>-129</v>
      </c>
      <c r="E34" s="131" t="s">
        <v>577</v>
      </c>
      <c r="F34" s="157" t="s">
        <v>656</v>
      </c>
      <c r="G34" s="46" t="s">
        <v>482</v>
      </c>
      <c r="H34" s="131" t="s">
        <v>981</v>
      </c>
      <c r="I34" t="s">
        <v>1001</v>
      </c>
    </row>
    <row r="35" spans="2:10" x14ac:dyDescent="0.2">
      <c r="B35" s="130">
        <v>43987</v>
      </c>
      <c r="C35" s="129" t="s">
        <v>574</v>
      </c>
      <c r="D35" s="156">
        <v>-70</v>
      </c>
      <c r="E35" s="131" t="s">
        <v>577</v>
      </c>
      <c r="F35" s="157" t="s">
        <v>657</v>
      </c>
      <c r="G35" s="46" t="s">
        <v>482</v>
      </c>
      <c r="H35" s="131" t="s">
        <v>982</v>
      </c>
      <c r="I35" t="s">
        <v>1001</v>
      </c>
    </row>
    <row r="36" spans="2:10" x14ac:dyDescent="0.2">
      <c r="B36" s="130">
        <v>43990</v>
      </c>
      <c r="C36" s="129" t="s">
        <v>574</v>
      </c>
      <c r="D36" s="156">
        <v>-250</v>
      </c>
      <c r="E36" s="133" t="s">
        <v>577</v>
      </c>
      <c r="F36" s="157" t="s">
        <v>658</v>
      </c>
      <c r="G36" s="131"/>
      <c r="H36" s="131"/>
      <c r="I36" t="s">
        <v>1002</v>
      </c>
    </row>
    <row r="37" spans="2:10" x14ac:dyDescent="0.2">
      <c r="B37" s="130">
        <v>43990</v>
      </c>
      <c r="C37" s="129" t="s">
        <v>574</v>
      </c>
      <c r="D37" s="156">
        <v>-61.64</v>
      </c>
      <c r="E37" s="133" t="s">
        <v>586</v>
      </c>
      <c r="F37" s="157" t="s">
        <v>589</v>
      </c>
      <c r="G37" s="131"/>
      <c r="H37" s="131"/>
      <c r="I37" t="s">
        <v>1002</v>
      </c>
    </row>
    <row r="38" spans="2:10" x14ac:dyDescent="0.2">
      <c r="B38" s="130">
        <v>43991</v>
      </c>
      <c r="C38" s="129" t="s">
        <v>574</v>
      </c>
      <c r="D38" s="156">
        <v>-7.89</v>
      </c>
      <c r="E38" s="133" t="s">
        <v>577</v>
      </c>
      <c r="F38" s="157" t="s">
        <v>659</v>
      </c>
      <c r="G38" s="131"/>
      <c r="H38" s="131"/>
      <c r="I38" t="s">
        <v>1002</v>
      </c>
    </row>
    <row r="39" spans="2:10" x14ac:dyDescent="0.2">
      <c r="B39" s="130">
        <v>43991</v>
      </c>
      <c r="C39" s="129" t="s">
        <v>574</v>
      </c>
      <c r="D39" s="156">
        <v>-6.7</v>
      </c>
      <c r="E39" s="133" t="s">
        <v>577</v>
      </c>
      <c r="F39" s="157" t="s">
        <v>660</v>
      </c>
      <c r="G39" s="131"/>
      <c r="H39" s="131"/>
      <c r="I39" t="s">
        <v>1002</v>
      </c>
    </row>
    <row r="40" spans="2:10" x14ac:dyDescent="0.2">
      <c r="B40" s="130">
        <v>43991</v>
      </c>
      <c r="C40" s="129" t="s">
        <v>574</v>
      </c>
      <c r="D40" s="156">
        <v>-2</v>
      </c>
      <c r="E40" s="133" t="s">
        <v>577</v>
      </c>
      <c r="F40" s="157" t="s">
        <v>659</v>
      </c>
      <c r="H40" s="133"/>
      <c r="I40" t="s">
        <v>1002</v>
      </c>
      <c r="J40" s="131"/>
    </row>
    <row r="41" spans="2:10" x14ac:dyDescent="0.2">
      <c r="B41" s="130">
        <v>43992</v>
      </c>
      <c r="C41" s="129" t="s">
        <v>574</v>
      </c>
      <c r="D41" s="156">
        <v>452</v>
      </c>
      <c r="E41" s="133" t="s">
        <v>575</v>
      </c>
      <c r="F41" s="157" t="s">
        <v>592</v>
      </c>
      <c r="G41" s="131"/>
      <c r="H41" s="131"/>
      <c r="I41" t="s">
        <v>1002</v>
      </c>
    </row>
    <row r="42" spans="2:10" x14ac:dyDescent="0.2">
      <c r="B42" s="130">
        <v>43992</v>
      </c>
      <c r="C42" s="129" t="s">
        <v>574</v>
      </c>
      <c r="D42" s="156">
        <v>433.94</v>
      </c>
      <c r="E42" s="133" t="s">
        <v>575</v>
      </c>
      <c r="F42" s="157" t="s">
        <v>593</v>
      </c>
      <c r="H42" s="131"/>
      <c r="I42" t="s">
        <v>1002</v>
      </c>
    </row>
    <row r="43" spans="2:10" x14ac:dyDescent="0.2">
      <c r="B43" s="130">
        <v>43992</v>
      </c>
      <c r="C43" s="129" t="s">
        <v>574</v>
      </c>
      <c r="D43" s="156">
        <v>388.31</v>
      </c>
      <c r="E43" s="133" t="s">
        <v>575</v>
      </c>
      <c r="F43" s="157" t="s">
        <v>595</v>
      </c>
      <c r="H43" s="131"/>
      <c r="I43" t="s">
        <v>1002</v>
      </c>
    </row>
    <row r="44" spans="2:10" x14ac:dyDescent="0.2">
      <c r="B44" s="130">
        <v>43993</v>
      </c>
      <c r="C44" s="129" t="s">
        <v>574</v>
      </c>
      <c r="D44" s="156">
        <v>495</v>
      </c>
      <c r="E44" s="133" t="s">
        <v>591</v>
      </c>
      <c r="F44" s="157" t="s">
        <v>594</v>
      </c>
      <c r="G44" s="129" t="s">
        <v>472</v>
      </c>
      <c r="H44" s="46" t="s">
        <v>771</v>
      </c>
      <c r="I44" t="s">
        <v>1000</v>
      </c>
      <c r="J44" s="131"/>
    </row>
    <row r="45" spans="2:10" x14ac:dyDescent="0.2">
      <c r="B45" s="130">
        <v>43993</v>
      </c>
      <c r="C45" s="129" t="s">
        <v>574</v>
      </c>
      <c r="D45" s="156">
        <v>692</v>
      </c>
      <c r="E45" s="133" t="s">
        <v>575</v>
      </c>
      <c r="F45" s="132" t="s">
        <v>661</v>
      </c>
      <c r="G45" s="131" t="s">
        <v>487</v>
      </c>
      <c r="H45" s="131" t="s">
        <v>781</v>
      </c>
      <c r="I45" t="s">
        <v>1001</v>
      </c>
    </row>
    <row r="46" spans="2:10" x14ac:dyDescent="0.2">
      <c r="B46" s="130">
        <v>43997</v>
      </c>
      <c r="C46" s="129" t="s">
        <v>574</v>
      </c>
      <c r="D46" s="156">
        <v>750</v>
      </c>
      <c r="E46" s="133" t="s">
        <v>591</v>
      </c>
      <c r="F46" s="132" t="s">
        <v>609</v>
      </c>
      <c r="G46" s="46" t="s">
        <v>477</v>
      </c>
      <c r="H46" s="46" t="s">
        <v>772</v>
      </c>
      <c r="I46" t="s">
        <v>1000</v>
      </c>
    </row>
    <row r="47" spans="2:10" x14ac:dyDescent="0.2">
      <c r="B47" s="130">
        <v>43997</v>
      </c>
      <c r="C47" s="129" t="s">
        <v>574</v>
      </c>
      <c r="D47" s="156">
        <v>700</v>
      </c>
      <c r="E47" s="133" t="s">
        <v>591</v>
      </c>
      <c r="F47" s="157" t="s">
        <v>602</v>
      </c>
      <c r="G47" s="46" t="s">
        <v>488</v>
      </c>
      <c r="H47" s="46" t="s">
        <v>773</v>
      </c>
      <c r="I47" t="s">
        <v>1000</v>
      </c>
    </row>
    <row r="48" spans="2:10" x14ac:dyDescent="0.2">
      <c r="B48" s="130">
        <v>43997</v>
      </c>
      <c r="C48" s="129" t="s">
        <v>574</v>
      </c>
      <c r="D48" s="156">
        <v>314.60000000000002</v>
      </c>
      <c r="E48" s="133" t="s">
        <v>575</v>
      </c>
      <c r="F48" s="157" t="s">
        <v>587</v>
      </c>
      <c r="G48" s="131"/>
      <c r="H48" s="131"/>
      <c r="I48" t="s">
        <v>1002</v>
      </c>
    </row>
    <row r="49" spans="2:10" x14ac:dyDescent="0.2">
      <c r="B49" s="130">
        <v>43997</v>
      </c>
      <c r="C49" s="129" t="s">
        <v>574</v>
      </c>
      <c r="D49" s="156">
        <v>-60</v>
      </c>
      <c r="E49" s="133" t="s">
        <v>577</v>
      </c>
      <c r="F49" s="157" t="s">
        <v>662</v>
      </c>
      <c r="G49" s="131" t="s">
        <v>470</v>
      </c>
      <c r="H49" s="131" t="s">
        <v>795</v>
      </c>
      <c r="I49" t="s">
        <v>1001</v>
      </c>
      <c r="J49" s="131"/>
    </row>
    <row r="50" spans="2:10" x14ac:dyDescent="0.2">
      <c r="B50" s="130">
        <v>43997</v>
      </c>
      <c r="C50" s="129" t="s">
        <v>574</v>
      </c>
      <c r="D50" s="156">
        <v>-14.99</v>
      </c>
      <c r="E50" s="133" t="s">
        <v>577</v>
      </c>
      <c r="F50" s="157" t="s">
        <v>663</v>
      </c>
      <c r="G50" s="131"/>
      <c r="H50" s="131"/>
      <c r="I50" t="s">
        <v>1002</v>
      </c>
      <c r="J50" s="131"/>
    </row>
    <row r="51" spans="2:10" x14ac:dyDescent="0.2">
      <c r="B51" s="130">
        <v>43997</v>
      </c>
      <c r="C51" s="129" t="s">
        <v>574</v>
      </c>
      <c r="D51" s="156">
        <v>-366.23</v>
      </c>
      <c r="E51" s="133" t="s">
        <v>586</v>
      </c>
      <c r="F51" s="157" t="s">
        <v>604</v>
      </c>
      <c r="G51" s="131"/>
      <c r="H51" s="131"/>
      <c r="I51" t="s">
        <v>1002</v>
      </c>
    </row>
    <row r="52" spans="2:10" x14ac:dyDescent="0.2">
      <c r="B52" s="130">
        <v>43997</v>
      </c>
      <c r="C52" s="129" t="s">
        <v>574</v>
      </c>
      <c r="D52" s="129">
        <v>-31</v>
      </c>
      <c r="E52" s="129" t="s">
        <v>586</v>
      </c>
      <c r="F52" s="129" t="s">
        <v>664</v>
      </c>
      <c r="G52" t="s">
        <v>468</v>
      </c>
      <c r="H52" s="46" t="s">
        <v>768</v>
      </c>
      <c r="I52" t="s">
        <v>1001</v>
      </c>
    </row>
    <row r="53" spans="2:10" x14ac:dyDescent="0.2">
      <c r="B53" s="130">
        <v>43997</v>
      </c>
      <c r="C53" s="129" t="s">
        <v>574</v>
      </c>
      <c r="D53" s="129">
        <v>-117</v>
      </c>
      <c r="E53" s="129" t="s">
        <v>586</v>
      </c>
      <c r="F53" s="129" t="s">
        <v>665</v>
      </c>
      <c r="G53" s="46" t="s">
        <v>558</v>
      </c>
      <c r="H53" s="46" t="s">
        <v>768</v>
      </c>
      <c r="I53" t="s">
        <v>1001</v>
      </c>
    </row>
    <row r="54" spans="2:10" x14ac:dyDescent="0.2">
      <c r="B54" s="130">
        <v>43998</v>
      </c>
      <c r="C54" s="129" t="s">
        <v>574</v>
      </c>
      <c r="D54" s="129">
        <v>314.63</v>
      </c>
      <c r="E54" s="129" t="s">
        <v>575</v>
      </c>
      <c r="F54" s="129" t="s">
        <v>603</v>
      </c>
      <c r="G54" s="131"/>
      <c r="I54" t="s">
        <v>1002</v>
      </c>
    </row>
    <row r="55" spans="2:10" x14ac:dyDescent="0.2">
      <c r="B55" s="130">
        <v>43998</v>
      </c>
      <c r="C55" s="129" t="s">
        <v>574</v>
      </c>
      <c r="D55" s="129">
        <v>-250</v>
      </c>
      <c r="E55" s="129" t="s">
        <v>591</v>
      </c>
      <c r="F55" s="129" t="s">
        <v>666</v>
      </c>
      <c r="I55" t="s">
        <v>1002</v>
      </c>
      <c r="J55" s="131"/>
    </row>
    <row r="56" spans="2:10" x14ac:dyDescent="0.2">
      <c r="B56" s="130">
        <v>43998</v>
      </c>
      <c r="C56" s="129" t="s">
        <v>574</v>
      </c>
      <c r="D56" s="129">
        <v>-20</v>
      </c>
      <c r="E56" s="129" t="s">
        <v>591</v>
      </c>
      <c r="F56" s="129" t="s">
        <v>667</v>
      </c>
      <c r="I56" t="s">
        <v>1002</v>
      </c>
      <c r="J56" s="131"/>
    </row>
    <row r="57" spans="2:10" x14ac:dyDescent="0.2">
      <c r="B57" s="130">
        <v>43998</v>
      </c>
      <c r="C57" s="129" t="s">
        <v>574</v>
      </c>
      <c r="D57" s="129">
        <v>-12.27</v>
      </c>
      <c r="E57" s="129" t="s">
        <v>586</v>
      </c>
      <c r="F57" s="129" t="s">
        <v>605</v>
      </c>
      <c r="G57" s="131"/>
      <c r="H57" s="131"/>
      <c r="I57" t="s">
        <v>1003</v>
      </c>
    </row>
    <row r="58" spans="2:10" x14ac:dyDescent="0.2">
      <c r="B58" s="130">
        <v>43999</v>
      </c>
      <c r="C58" s="129" t="s">
        <v>574</v>
      </c>
      <c r="D58" s="129">
        <v>497.8</v>
      </c>
      <c r="E58" s="129" t="s">
        <v>575</v>
      </c>
      <c r="F58" s="129" t="s">
        <v>606</v>
      </c>
      <c r="H58" s="133"/>
      <c r="I58" t="s">
        <v>1002</v>
      </c>
    </row>
    <row r="59" spans="2:10" x14ac:dyDescent="0.2">
      <c r="B59" s="130">
        <v>43999</v>
      </c>
      <c r="C59" s="129" t="s">
        <v>574</v>
      </c>
      <c r="D59" s="129">
        <v>161.1</v>
      </c>
      <c r="E59" s="129" t="s">
        <v>575</v>
      </c>
      <c r="F59" s="129" t="s">
        <v>601</v>
      </c>
      <c r="H59" s="131"/>
      <c r="I59" t="s">
        <v>1002</v>
      </c>
    </row>
    <row r="60" spans="2:10" x14ac:dyDescent="0.2">
      <c r="B60" s="130">
        <v>43999</v>
      </c>
      <c r="C60" s="129" t="s">
        <v>574</v>
      </c>
      <c r="D60" s="129">
        <v>140.55000000000001</v>
      </c>
      <c r="E60" s="129" t="s">
        <v>575</v>
      </c>
      <c r="F60" s="129" t="s">
        <v>598</v>
      </c>
      <c r="H60" s="131"/>
      <c r="I60" t="s">
        <v>1002</v>
      </c>
    </row>
    <row r="61" spans="2:10" x14ac:dyDescent="0.2">
      <c r="B61" s="130">
        <v>43999</v>
      </c>
      <c r="C61" s="129" t="s">
        <v>574</v>
      </c>
      <c r="D61" s="129">
        <v>-11.99</v>
      </c>
      <c r="E61" s="129" t="s">
        <v>586</v>
      </c>
      <c r="F61" s="129" t="s">
        <v>590</v>
      </c>
      <c r="H61" s="133"/>
      <c r="I61" t="s">
        <v>1002</v>
      </c>
    </row>
    <row r="62" spans="2:10" x14ac:dyDescent="0.2">
      <c r="B62" s="130">
        <v>43993</v>
      </c>
      <c r="C62" s="129" t="s">
        <v>574</v>
      </c>
      <c r="D62" s="156">
        <v>500</v>
      </c>
      <c r="E62" s="133" t="s">
        <v>778</v>
      </c>
      <c r="F62" s="132" t="s">
        <v>985</v>
      </c>
      <c r="G62" s="131" t="s">
        <v>487</v>
      </c>
      <c r="H62" s="46" t="s">
        <v>788</v>
      </c>
      <c r="I62" t="s">
        <v>1000</v>
      </c>
    </row>
    <row r="63" spans="2:10" x14ac:dyDescent="0.2">
      <c r="B63" s="130">
        <v>43993</v>
      </c>
      <c r="C63" s="129" t="s">
        <v>574</v>
      </c>
      <c r="D63" s="156">
        <v>-500</v>
      </c>
      <c r="E63" s="133" t="s">
        <v>778</v>
      </c>
      <c r="F63" s="132" t="s">
        <v>985</v>
      </c>
      <c r="G63" s="131" t="s">
        <v>487</v>
      </c>
      <c r="H63" s="46" t="s">
        <v>779</v>
      </c>
      <c r="I63" t="s">
        <v>1001</v>
      </c>
    </row>
    <row r="64" spans="2:10" x14ac:dyDescent="0.2">
      <c r="B64" s="130">
        <v>44000</v>
      </c>
      <c r="C64" s="129" t="s">
        <v>574</v>
      </c>
      <c r="D64" s="129">
        <v>550</v>
      </c>
      <c r="E64" s="129" t="s">
        <v>575</v>
      </c>
      <c r="F64" s="129" t="s">
        <v>608</v>
      </c>
      <c r="G64" s="46" t="s">
        <v>558</v>
      </c>
      <c r="H64" s="46" t="s">
        <v>770</v>
      </c>
      <c r="I64" t="s">
        <v>1000</v>
      </c>
    </row>
    <row r="65" spans="2:10" x14ac:dyDescent="0.2">
      <c r="B65" s="130">
        <v>44000</v>
      </c>
      <c r="C65" s="129" t="s">
        <v>574</v>
      </c>
      <c r="D65" s="129">
        <v>-4.18</v>
      </c>
      <c r="E65" s="129" t="s">
        <v>577</v>
      </c>
      <c r="F65" s="129" t="s">
        <v>668</v>
      </c>
      <c r="G65" s="131"/>
      <c r="H65" s="133"/>
      <c r="I65" t="s">
        <v>1002</v>
      </c>
    </row>
    <row r="66" spans="2:10" x14ac:dyDescent="0.2">
      <c r="B66" s="130">
        <v>44001</v>
      </c>
      <c r="C66" s="129" t="s">
        <v>574</v>
      </c>
      <c r="D66" s="129">
        <v>-35</v>
      </c>
      <c r="E66" s="129" t="s">
        <v>591</v>
      </c>
      <c r="F66" s="129" t="s">
        <v>669</v>
      </c>
      <c r="H66" s="133"/>
      <c r="I66" t="s">
        <v>1002</v>
      </c>
      <c r="J66" s="131"/>
    </row>
    <row r="67" spans="2:10" x14ac:dyDescent="0.2">
      <c r="B67" s="130">
        <v>44001</v>
      </c>
      <c r="C67" s="129" t="s">
        <v>574</v>
      </c>
      <c r="D67" s="129">
        <v>-4</v>
      </c>
      <c r="E67" s="129" t="s">
        <v>591</v>
      </c>
      <c r="F67" s="129" t="s">
        <v>670</v>
      </c>
      <c r="G67" s="131"/>
      <c r="H67" s="133"/>
      <c r="I67" t="s">
        <v>1002</v>
      </c>
      <c r="J67" s="131"/>
    </row>
    <row r="68" spans="2:10" x14ac:dyDescent="0.2">
      <c r="B68" s="130">
        <v>44001</v>
      </c>
      <c r="C68" s="129" t="s">
        <v>574</v>
      </c>
      <c r="D68" s="129">
        <v>-80</v>
      </c>
      <c r="E68" s="129" t="s">
        <v>577</v>
      </c>
      <c r="F68" s="131" t="s">
        <v>671</v>
      </c>
      <c r="G68" s="131"/>
      <c r="H68" s="131"/>
      <c r="I68" t="s">
        <v>1002</v>
      </c>
      <c r="J68" s="131"/>
    </row>
    <row r="69" spans="2:10" x14ac:dyDescent="0.2">
      <c r="B69" s="130">
        <v>44001</v>
      </c>
      <c r="C69" s="129" t="s">
        <v>574</v>
      </c>
      <c r="D69" s="129">
        <v>-79.66</v>
      </c>
      <c r="E69" s="129" t="s">
        <v>577</v>
      </c>
      <c r="F69" s="131" t="s">
        <v>671</v>
      </c>
      <c r="H69" s="131"/>
      <c r="I69" t="s">
        <v>1002</v>
      </c>
      <c r="J69" s="131"/>
    </row>
    <row r="70" spans="2:10" x14ac:dyDescent="0.2">
      <c r="B70" s="130">
        <v>44004</v>
      </c>
      <c r="C70" s="129" t="s">
        <v>574</v>
      </c>
      <c r="D70" s="129">
        <v>-300</v>
      </c>
      <c r="E70" s="129" t="s">
        <v>591</v>
      </c>
      <c r="F70" s="131" t="s">
        <v>672</v>
      </c>
      <c r="G70" s="131"/>
      <c r="H70" s="131"/>
      <c r="I70" t="s">
        <v>1002</v>
      </c>
      <c r="J70" s="131"/>
    </row>
    <row r="71" spans="2:10" x14ac:dyDescent="0.2">
      <c r="B71" s="130">
        <v>44004</v>
      </c>
      <c r="C71" s="129" t="s">
        <v>574</v>
      </c>
      <c r="D71" s="129">
        <v>-93.22</v>
      </c>
      <c r="E71" s="129" t="s">
        <v>577</v>
      </c>
      <c r="F71" s="129" t="s">
        <v>673</v>
      </c>
      <c r="I71" t="s">
        <v>1002</v>
      </c>
      <c r="J71" s="131"/>
    </row>
    <row r="72" spans="2:10" x14ac:dyDescent="0.2">
      <c r="B72" s="130">
        <v>44004</v>
      </c>
      <c r="C72" s="129" t="s">
        <v>574</v>
      </c>
      <c r="D72" s="129">
        <v>-40.98</v>
      </c>
      <c r="E72" s="129" t="s">
        <v>577</v>
      </c>
      <c r="F72" s="129" t="s">
        <v>674</v>
      </c>
      <c r="H72" s="133"/>
      <c r="I72" t="s">
        <v>1002</v>
      </c>
    </row>
    <row r="73" spans="2:10" x14ac:dyDescent="0.2">
      <c r="B73" s="130">
        <v>44005</v>
      </c>
      <c r="C73" s="129" t="s">
        <v>574</v>
      </c>
      <c r="D73" s="129">
        <v>-50</v>
      </c>
      <c r="E73" s="129" t="s">
        <v>591</v>
      </c>
      <c r="F73" s="129" t="s">
        <v>675</v>
      </c>
      <c r="I73" t="s">
        <v>1002</v>
      </c>
    </row>
    <row r="74" spans="2:10" x14ac:dyDescent="0.2">
      <c r="B74" s="130">
        <v>44005</v>
      </c>
      <c r="C74" s="129" t="s">
        <v>574</v>
      </c>
      <c r="D74" s="129">
        <v>-721</v>
      </c>
      <c r="E74" s="129" t="s">
        <v>577</v>
      </c>
      <c r="F74" s="129" t="s">
        <v>676</v>
      </c>
      <c r="G74" s="129" t="s">
        <v>482</v>
      </c>
      <c r="H74" s="133" t="s">
        <v>780</v>
      </c>
      <c r="I74" t="s">
        <v>1001</v>
      </c>
      <c r="J74" s="131"/>
    </row>
    <row r="75" spans="2:10" x14ac:dyDescent="0.2">
      <c r="B75" s="130">
        <v>44005</v>
      </c>
      <c r="C75" s="129" t="s">
        <v>574</v>
      </c>
      <c r="D75" s="129">
        <v>-692</v>
      </c>
      <c r="E75" s="129" t="s">
        <v>577</v>
      </c>
      <c r="F75" s="129" t="s">
        <v>676</v>
      </c>
      <c r="G75" s="129" t="s">
        <v>487</v>
      </c>
      <c r="H75" s="129" t="s">
        <v>781</v>
      </c>
      <c r="I75" t="s">
        <v>1001</v>
      </c>
      <c r="J75" s="131"/>
    </row>
    <row r="76" spans="2:10" x14ac:dyDescent="0.2">
      <c r="B76" s="130">
        <v>44006</v>
      </c>
      <c r="C76" s="129" t="s">
        <v>574</v>
      </c>
      <c r="D76" s="129">
        <v>142.38999999999999</v>
      </c>
      <c r="E76" s="129" t="s">
        <v>575</v>
      </c>
      <c r="F76" s="129" t="s">
        <v>599</v>
      </c>
      <c r="G76" s="131"/>
      <c r="I76" t="s">
        <v>1002</v>
      </c>
      <c r="J76" s="131"/>
    </row>
    <row r="77" spans="2:10" x14ac:dyDescent="0.2">
      <c r="B77" s="130">
        <v>44006</v>
      </c>
      <c r="C77" s="129" t="s">
        <v>574</v>
      </c>
      <c r="D77" s="129">
        <v>-13.4</v>
      </c>
      <c r="E77" s="129" t="s">
        <v>577</v>
      </c>
      <c r="F77" s="129" t="s">
        <v>677</v>
      </c>
      <c r="G77" s="131"/>
      <c r="H77" s="131"/>
      <c r="I77" t="s">
        <v>1002</v>
      </c>
    </row>
    <row r="78" spans="2:10" x14ac:dyDescent="0.2">
      <c r="B78" s="130">
        <v>44006</v>
      </c>
      <c r="C78" s="129" t="s">
        <v>574</v>
      </c>
      <c r="D78" s="129">
        <v>-34.15</v>
      </c>
      <c r="E78" s="129" t="s">
        <v>586</v>
      </c>
      <c r="F78" s="129" t="s">
        <v>590</v>
      </c>
      <c r="H78" s="133"/>
      <c r="I78" t="s">
        <v>1002</v>
      </c>
      <c r="J78" s="131"/>
    </row>
    <row r="79" spans="2:10" x14ac:dyDescent="0.2">
      <c r="B79" s="130">
        <v>44007</v>
      </c>
      <c r="C79" s="129" t="s">
        <v>574</v>
      </c>
      <c r="D79" s="129">
        <v>750</v>
      </c>
      <c r="E79" s="129" t="s">
        <v>575</v>
      </c>
      <c r="F79" s="168" t="s">
        <v>678</v>
      </c>
      <c r="G79" t="s">
        <v>486</v>
      </c>
      <c r="H79" s="131" t="s">
        <v>782</v>
      </c>
      <c r="I79" t="s">
        <v>1001</v>
      </c>
    </row>
    <row r="80" spans="2:10" x14ac:dyDescent="0.2">
      <c r="B80" s="130">
        <v>44007</v>
      </c>
      <c r="C80" s="129" t="s">
        <v>574</v>
      </c>
      <c r="D80" s="129">
        <v>550.79999999999995</v>
      </c>
      <c r="E80" s="129" t="s">
        <v>575</v>
      </c>
      <c r="F80" s="129" t="s">
        <v>607</v>
      </c>
      <c r="H80" s="131"/>
      <c r="I80" t="s">
        <v>1002</v>
      </c>
    </row>
    <row r="81" spans="2:10" x14ac:dyDescent="0.2">
      <c r="B81" s="130">
        <v>44007</v>
      </c>
      <c r="C81" s="129" t="s">
        <v>574</v>
      </c>
      <c r="D81" s="129">
        <v>18</v>
      </c>
      <c r="E81" s="133" t="s">
        <v>575</v>
      </c>
      <c r="F81" s="129" t="s">
        <v>679</v>
      </c>
      <c r="G81" s="131"/>
      <c r="H81" s="131" t="s">
        <v>986</v>
      </c>
      <c r="I81" t="s">
        <v>1002</v>
      </c>
    </row>
    <row r="82" spans="2:10" x14ac:dyDescent="0.2">
      <c r="B82" s="130">
        <v>44007</v>
      </c>
      <c r="C82" s="129" t="s">
        <v>574</v>
      </c>
      <c r="D82" s="129">
        <v>3.46</v>
      </c>
      <c r="E82" s="133" t="s">
        <v>575</v>
      </c>
      <c r="F82" s="129" t="s">
        <v>596</v>
      </c>
      <c r="G82" s="131"/>
      <c r="H82" s="131"/>
      <c r="I82" t="s">
        <v>1002</v>
      </c>
    </row>
    <row r="83" spans="2:10" x14ac:dyDescent="0.2">
      <c r="B83" s="130">
        <v>44007</v>
      </c>
      <c r="C83" s="129" t="s">
        <v>574</v>
      </c>
      <c r="D83" s="129">
        <v>-400</v>
      </c>
      <c r="E83" s="129" t="s">
        <v>591</v>
      </c>
      <c r="F83" s="129" t="s">
        <v>672</v>
      </c>
      <c r="G83" s="131"/>
      <c r="H83" s="131"/>
      <c r="I83" t="s">
        <v>1002</v>
      </c>
      <c r="J83" s="131"/>
    </row>
    <row r="84" spans="2:10" x14ac:dyDescent="0.2">
      <c r="B84" s="130">
        <v>44007</v>
      </c>
      <c r="C84" s="129" t="s">
        <v>574</v>
      </c>
      <c r="D84" s="129">
        <v>-102</v>
      </c>
      <c r="E84" s="129" t="s">
        <v>578</v>
      </c>
      <c r="F84" s="129" t="s">
        <v>610</v>
      </c>
      <c r="G84" s="131"/>
      <c r="H84" s="131"/>
      <c r="I84" t="s">
        <v>1002</v>
      </c>
    </row>
    <row r="85" spans="2:10" x14ac:dyDescent="0.2">
      <c r="B85" s="130">
        <v>44008</v>
      </c>
      <c r="C85" s="129" t="s">
        <v>574</v>
      </c>
      <c r="D85" s="129">
        <v>-468</v>
      </c>
      <c r="E85" s="129" t="s">
        <v>577</v>
      </c>
      <c r="F85" s="129" t="s">
        <v>680</v>
      </c>
      <c r="G85" s="131" t="s">
        <v>506</v>
      </c>
      <c r="H85" s="133" t="s">
        <v>796</v>
      </c>
      <c r="I85" t="s">
        <v>1001</v>
      </c>
      <c r="J85" s="131"/>
    </row>
    <row r="86" spans="2:10" x14ac:dyDescent="0.2">
      <c r="B86" s="130">
        <v>44008</v>
      </c>
      <c r="C86" s="129" t="s">
        <v>574</v>
      </c>
      <c r="D86" s="129">
        <v>-366</v>
      </c>
      <c r="E86" s="129" t="s">
        <v>577</v>
      </c>
      <c r="F86" s="129" t="s">
        <v>681</v>
      </c>
      <c r="G86" s="131" t="s">
        <v>487</v>
      </c>
      <c r="H86" s="133" t="s">
        <v>797</v>
      </c>
      <c r="I86" t="s">
        <v>1001</v>
      </c>
      <c r="J86" s="131"/>
    </row>
    <row r="87" spans="2:10" x14ac:dyDescent="0.2">
      <c r="B87" s="130">
        <v>44011</v>
      </c>
      <c r="C87" s="129" t="s">
        <v>574</v>
      </c>
      <c r="D87" s="129">
        <v>643.6</v>
      </c>
      <c r="E87" s="129" t="s">
        <v>575</v>
      </c>
      <c r="F87" s="129" t="s">
        <v>682</v>
      </c>
      <c r="G87" s="131"/>
      <c r="H87" s="131"/>
      <c r="I87" t="s">
        <v>1002</v>
      </c>
      <c r="J87" s="131"/>
    </row>
    <row r="88" spans="2:10" x14ac:dyDescent="0.2">
      <c r="B88" s="130">
        <v>44011</v>
      </c>
      <c r="C88" s="129" t="s">
        <v>574</v>
      </c>
      <c r="D88" s="129">
        <v>452</v>
      </c>
      <c r="E88" s="129" t="s">
        <v>575</v>
      </c>
      <c r="F88" s="129" t="s">
        <v>611</v>
      </c>
      <c r="G88" s="131"/>
      <c r="H88" s="131"/>
      <c r="I88" t="s">
        <v>1002</v>
      </c>
    </row>
    <row r="89" spans="2:10" x14ac:dyDescent="0.2">
      <c r="B89" s="130">
        <v>44011</v>
      </c>
      <c r="C89" s="129" t="s">
        <v>574</v>
      </c>
      <c r="D89" s="129">
        <v>446</v>
      </c>
      <c r="E89" s="129" t="s">
        <v>575</v>
      </c>
      <c r="F89" s="129" t="s">
        <v>612</v>
      </c>
      <c r="G89" s="131"/>
      <c r="H89" s="131"/>
      <c r="I89" t="s">
        <v>1002</v>
      </c>
      <c r="J89" s="131"/>
    </row>
    <row r="90" spans="2:10" x14ac:dyDescent="0.2">
      <c r="B90" s="130">
        <v>44011</v>
      </c>
      <c r="C90" s="129" t="s">
        <v>574</v>
      </c>
      <c r="D90" s="129">
        <v>675</v>
      </c>
      <c r="E90" s="129" t="s">
        <v>613</v>
      </c>
      <c r="F90" s="129" t="s">
        <v>614</v>
      </c>
      <c r="G90" s="46" t="s">
        <v>499</v>
      </c>
      <c r="H90" s="46" t="s">
        <v>774</v>
      </c>
      <c r="I90" t="s">
        <v>1000</v>
      </c>
      <c r="J90" s="133"/>
    </row>
    <row r="91" spans="2:10" x14ac:dyDescent="0.2">
      <c r="B91" s="130">
        <v>44011</v>
      </c>
      <c r="C91" s="129" t="s">
        <v>574</v>
      </c>
      <c r="D91" s="129">
        <v>-260</v>
      </c>
      <c r="E91" s="129" t="s">
        <v>577</v>
      </c>
      <c r="F91" s="129" t="s">
        <v>683</v>
      </c>
      <c r="G91" s="46" t="s">
        <v>480</v>
      </c>
      <c r="H91" s="131" t="s">
        <v>798</v>
      </c>
      <c r="I91" t="s">
        <v>1001</v>
      </c>
      <c r="J91" s="133"/>
    </row>
    <row r="92" spans="2:10" x14ac:dyDescent="0.2">
      <c r="B92" s="130">
        <v>44011</v>
      </c>
      <c r="C92" s="129" t="s">
        <v>574</v>
      </c>
      <c r="D92" s="129">
        <v>-30</v>
      </c>
      <c r="E92" s="129" t="s">
        <v>577</v>
      </c>
      <c r="F92" s="129" t="s">
        <v>684</v>
      </c>
      <c r="G92" s="131" t="s">
        <v>472</v>
      </c>
      <c r="H92" s="133" t="s">
        <v>799</v>
      </c>
      <c r="I92" t="s">
        <v>1001</v>
      </c>
      <c r="J92" s="133"/>
    </row>
    <row r="93" spans="2:10" x14ac:dyDescent="0.2">
      <c r="B93" s="130">
        <v>44011</v>
      </c>
      <c r="C93" s="129" t="s">
        <v>574</v>
      </c>
      <c r="D93" s="129">
        <v>-30</v>
      </c>
      <c r="E93" s="129" t="s">
        <v>577</v>
      </c>
      <c r="F93" s="129" t="s">
        <v>685</v>
      </c>
      <c r="G93" s="2" t="s">
        <v>557</v>
      </c>
      <c r="H93" s="133" t="s">
        <v>800</v>
      </c>
      <c r="I93" t="s">
        <v>1001</v>
      </c>
      <c r="J93" s="133"/>
    </row>
    <row r="94" spans="2:10" x14ac:dyDescent="0.2">
      <c r="B94" s="130">
        <v>44011</v>
      </c>
      <c r="C94" s="129" t="s">
        <v>574</v>
      </c>
      <c r="D94" s="129">
        <v>-20</v>
      </c>
      <c r="E94" s="129" t="s">
        <v>577</v>
      </c>
      <c r="F94" s="129" t="s">
        <v>686</v>
      </c>
      <c r="G94" s="2" t="s">
        <v>557</v>
      </c>
      <c r="H94" s="133" t="s">
        <v>801</v>
      </c>
      <c r="I94" t="s">
        <v>1001</v>
      </c>
      <c r="J94" s="131"/>
    </row>
    <row r="95" spans="2:10" x14ac:dyDescent="0.2">
      <c r="B95" s="130">
        <v>44011</v>
      </c>
      <c r="C95" s="129" t="s">
        <v>574</v>
      </c>
      <c r="D95" s="129">
        <v>-12.98</v>
      </c>
      <c r="E95" s="129" t="s">
        <v>577</v>
      </c>
      <c r="F95" s="129" t="s">
        <v>687</v>
      </c>
      <c r="H95" s="133"/>
      <c r="I95" t="s">
        <v>1002</v>
      </c>
      <c r="J95" s="131"/>
    </row>
    <row r="96" spans="2:10" x14ac:dyDescent="0.2">
      <c r="B96" s="130">
        <v>44011</v>
      </c>
      <c r="C96" s="129" t="s">
        <v>574</v>
      </c>
      <c r="D96" s="129">
        <v>-43</v>
      </c>
      <c r="E96" s="129" t="s">
        <v>577</v>
      </c>
      <c r="F96" s="131" t="s">
        <v>688</v>
      </c>
      <c r="I96" t="s">
        <v>1002</v>
      </c>
      <c r="J96" s="131"/>
    </row>
    <row r="97" spans="2:10" x14ac:dyDescent="0.2">
      <c r="B97" s="130">
        <v>44012</v>
      </c>
      <c r="C97" s="129" t="s">
        <v>574</v>
      </c>
      <c r="D97" s="129">
        <v>625</v>
      </c>
      <c r="E97" s="129" t="s">
        <v>575</v>
      </c>
      <c r="F97" s="131" t="s">
        <v>689</v>
      </c>
      <c r="G97" s="46" t="s">
        <v>482</v>
      </c>
      <c r="H97" s="46" t="s">
        <v>783</v>
      </c>
      <c r="I97" t="s">
        <v>1000</v>
      </c>
      <c r="J97" s="131"/>
    </row>
    <row r="98" spans="2:10" x14ac:dyDescent="0.2">
      <c r="B98" s="130"/>
      <c r="G98" s="131"/>
      <c r="H98" s="131"/>
    </row>
    <row r="99" spans="2:10" x14ac:dyDescent="0.2">
      <c r="B99" s="130"/>
      <c r="F99" s="131"/>
      <c r="G99" s="131"/>
      <c r="H99" s="131"/>
      <c r="J99" s="131"/>
    </row>
    <row r="100" spans="2:10" x14ac:dyDescent="0.2">
      <c r="B100" s="130"/>
      <c r="H100" s="133"/>
      <c r="J100" s="133"/>
    </row>
    <row r="101" spans="2:10" x14ac:dyDescent="0.2">
      <c r="B101" s="130"/>
      <c r="G101" s="131"/>
      <c r="H101" s="131"/>
    </row>
    <row r="102" spans="2:10" x14ac:dyDescent="0.2">
      <c r="B102" s="130"/>
    </row>
    <row r="103" spans="2:10" x14ac:dyDescent="0.2">
      <c r="B103" s="130"/>
    </row>
    <row r="104" spans="2:10" x14ac:dyDescent="0.2">
      <c r="B104" s="130"/>
    </row>
    <row r="105" spans="2:10" x14ac:dyDescent="0.2">
      <c r="B105" s="130"/>
      <c r="F105" s="131"/>
      <c r="G105" s="131"/>
      <c r="H105" s="131"/>
      <c r="J105" s="131"/>
    </row>
    <row r="106" spans="2:10" x14ac:dyDescent="0.2">
      <c r="B106" s="130"/>
      <c r="H106" s="133"/>
    </row>
    <row r="107" spans="2:10" x14ac:dyDescent="0.2">
      <c r="B107" s="130"/>
      <c r="H107" s="133"/>
      <c r="J107" s="131"/>
    </row>
    <row r="108" spans="2:10" x14ac:dyDescent="0.2">
      <c r="B108" s="130"/>
      <c r="G108" s="131"/>
      <c r="H108" s="131"/>
      <c r="J108" s="131"/>
    </row>
    <row r="109" spans="2:10" x14ac:dyDescent="0.2">
      <c r="B109" s="130"/>
      <c r="G109" s="131"/>
      <c r="H109" s="133"/>
    </row>
    <row r="110" spans="2:10" x14ac:dyDescent="0.2">
      <c r="B110" s="130"/>
      <c r="H110" s="131"/>
    </row>
    <row r="111" spans="2:10" x14ac:dyDescent="0.2">
      <c r="B111" s="130"/>
    </row>
    <row r="112" spans="2:10" x14ac:dyDescent="0.2">
      <c r="B112" s="130"/>
    </row>
    <row r="113" spans="2:16" x14ac:dyDescent="0.2">
      <c r="B113" s="130"/>
      <c r="G113" s="131"/>
      <c r="H113" s="131"/>
      <c r="J113" s="131"/>
    </row>
    <row r="114" spans="2:16" x14ac:dyDescent="0.2">
      <c r="B114" s="130"/>
      <c r="J114" s="131"/>
    </row>
    <row r="115" spans="2:16" x14ac:dyDescent="0.2">
      <c r="B115" s="130"/>
      <c r="H115" s="131"/>
      <c r="J115" s="131"/>
    </row>
    <row r="116" spans="2:16" x14ac:dyDescent="0.2">
      <c r="B116" s="130"/>
      <c r="G116" s="131"/>
      <c r="H116" s="133"/>
    </row>
    <row r="117" spans="2:16" x14ac:dyDescent="0.2">
      <c r="B117" s="130"/>
      <c r="E117" s="131"/>
      <c r="G117" s="131"/>
      <c r="H117" s="131"/>
      <c r="P117" s="131"/>
    </row>
    <row r="118" spans="2:16" x14ac:dyDescent="0.2">
      <c r="B118" s="130"/>
      <c r="G118" s="131"/>
      <c r="H118" s="131"/>
    </row>
    <row r="119" spans="2:16" x14ac:dyDescent="0.2">
      <c r="B119" s="130"/>
      <c r="G119" s="132"/>
      <c r="H119" s="133"/>
    </row>
    <row r="120" spans="2:16" x14ac:dyDescent="0.2">
      <c r="B120" s="130"/>
      <c r="G120" s="131"/>
      <c r="H120" s="131"/>
      <c r="J120" s="131"/>
    </row>
    <row r="121" spans="2:16" x14ac:dyDescent="0.2">
      <c r="B121" s="130"/>
      <c r="H121" s="133"/>
      <c r="J121" s="131"/>
    </row>
    <row r="122" spans="2:16" x14ac:dyDescent="0.2">
      <c r="B122" s="130"/>
    </row>
    <row r="123" spans="2:16" x14ac:dyDescent="0.2">
      <c r="B123" s="130"/>
      <c r="H123" s="131"/>
    </row>
    <row r="124" spans="2:16" x14ac:dyDescent="0.2">
      <c r="B124" s="130"/>
      <c r="H124" s="133"/>
      <c r="J124" s="133"/>
    </row>
    <row r="125" spans="2:16" x14ac:dyDescent="0.2">
      <c r="B125" s="130"/>
      <c r="H125" s="133"/>
      <c r="J125" s="133"/>
    </row>
    <row r="126" spans="2:16" x14ac:dyDescent="0.2">
      <c r="B126" s="130"/>
      <c r="J126" s="131"/>
    </row>
    <row r="127" spans="2:16" x14ac:dyDescent="0.2">
      <c r="B127" s="130"/>
      <c r="J127" s="131"/>
    </row>
    <row r="128" spans="2:16" x14ac:dyDescent="0.2">
      <c r="B128" s="130"/>
    </row>
    <row r="129" spans="2:10" x14ac:dyDescent="0.2">
      <c r="B129" s="130"/>
      <c r="G129" s="131"/>
      <c r="H129" s="131"/>
      <c r="J129" s="131"/>
    </row>
    <row r="130" spans="2:10" x14ac:dyDescent="0.2">
      <c r="B130" s="130"/>
      <c r="E130" s="133"/>
      <c r="H130" s="131"/>
      <c r="J130" s="131"/>
    </row>
    <row r="131" spans="2:10" x14ac:dyDescent="0.2">
      <c r="B131" s="130"/>
      <c r="E131" s="133"/>
      <c r="H131" s="131"/>
      <c r="J131" s="131"/>
    </row>
    <row r="132" spans="2:10" x14ac:dyDescent="0.2">
      <c r="B132" s="130"/>
      <c r="H132" s="131"/>
    </row>
    <row r="133" spans="2:10" x14ac:dyDescent="0.2">
      <c r="B133" s="130"/>
      <c r="H133" s="133"/>
      <c r="J133" s="131"/>
    </row>
    <row r="134" spans="2:10" x14ac:dyDescent="0.2">
      <c r="B134" s="130"/>
    </row>
    <row r="135" spans="2:10" x14ac:dyDescent="0.2">
      <c r="B135" s="130"/>
      <c r="H135" s="133"/>
      <c r="J135" s="131"/>
    </row>
    <row r="136" spans="2:10" x14ac:dyDescent="0.2">
      <c r="B136" s="130"/>
      <c r="G136" s="131"/>
      <c r="H136" s="133"/>
    </row>
    <row r="137" spans="2:10" x14ac:dyDescent="0.2">
      <c r="B137" s="130"/>
      <c r="G137" s="131"/>
      <c r="H137" s="133"/>
    </row>
    <row r="138" spans="2:10" x14ac:dyDescent="0.2">
      <c r="B138" s="130"/>
      <c r="H138" s="133"/>
    </row>
    <row r="139" spans="2:10" x14ac:dyDescent="0.2">
      <c r="B139" s="130"/>
    </row>
    <row r="140" spans="2:10" x14ac:dyDescent="0.2">
      <c r="B140" s="130"/>
      <c r="H140" s="133"/>
      <c r="J140" s="133"/>
    </row>
    <row r="141" spans="2:10" x14ac:dyDescent="0.2">
      <c r="B141" s="130"/>
      <c r="H141" s="133"/>
    </row>
    <row r="142" spans="2:10" x14ac:dyDescent="0.2">
      <c r="B142" s="130"/>
      <c r="J142" s="131"/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1"/>
    </row>
    <row r="146" spans="2:10" x14ac:dyDescent="0.2">
      <c r="B146" s="130"/>
      <c r="G146" s="131"/>
      <c r="H146" s="131"/>
      <c r="J146" s="131"/>
    </row>
    <row r="147" spans="2:10" x14ac:dyDescent="0.2">
      <c r="B147" s="130"/>
      <c r="H147" s="133"/>
      <c r="J147" s="131"/>
    </row>
    <row r="148" spans="2:10" x14ac:dyDescent="0.2">
      <c r="B148" s="130"/>
    </row>
    <row r="149" spans="2:10" x14ac:dyDescent="0.2">
      <c r="B149" s="130"/>
      <c r="F149" s="131"/>
    </row>
    <row r="150" spans="2:10" x14ac:dyDescent="0.2">
      <c r="B150" s="130"/>
    </row>
    <row r="151" spans="2:10" x14ac:dyDescent="0.2">
      <c r="B151" s="130"/>
      <c r="H151" s="131"/>
    </row>
    <row r="152" spans="2:10" x14ac:dyDescent="0.2">
      <c r="B152" s="130"/>
    </row>
    <row r="153" spans="2:10" x14ac:dyDescent="0.2">
      <c r="B153" s="130"/>
    </row>
    <row r="154" spans="2:10" x14ac:dyDescent="0.2">
      <c r="B154" s="130"/>
    </row>
    <row r="155" spans="2:10" x14ac:dyDescent="0.2">
      <c r="B155" s="130"/>
    </row>
    <row r="156" spans="2:10" x14ac:dyDescent="0.2">
      <c r="B156" s="130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  <c r="H160" s="131"/>
      <c r="J160" s="131"/>
    </row>
    <row r="161" spans="2:10" x14ac:dyDescent="0.2">
      <c r="B161" s="130"/>
      <c r="J161" s="131"/>
    </row>
    <row r="162" spans="2:10" x14ac:dyDescent="0.2">
      <c r="B162" s="130"/>
      <c r="H162" s="133"/>
      <c r="J162" s="133"/>
    </row>
    <row r="163" spans="2:10" x14ac:dyDescent="0.2">
      <c r="B163" s="130"/>
    </row>
    <row r="164" spans="2:10" x14ac:dyDescent="0.2">
      <c r="B164" s="130"/>
      <c r="J164" s="131"/>
    </row>
    <row r="165" spans="2:10" x14ac:dyDescent="0.2">
      <c r="B165" s="130"/>
      <c r="H165" s="133"/>
      <c r="J165" s="131"/>
    </row>
    <row r="166" spans="2:10" x14ac:dyDescent="0.2">
      <c r="B166" s="130"/>
      <c r="J166" s="131"/>
    </row>
    <row r="167" spans="2:10" x14ac:dyDescent="0.2">
      <c r="B167" s="130"/>
    </row>
    <row r="168" spans="2:10" x14ac:dyDescent="0.2">
      <c r="B168" s="130"/>
    </row>
    <row r="169" spans="2:10" x14ac:dyDescent="0.2">
      <c r="B169" s="130"/>
      <c r="H169" s="133"/>
    </row>
    <row r="170" spans="2:10" x14ac:dyDescent="0.2">
      <c r="B170" s="130"/>
      <c r="H170" s="133"/>
      <c r="J170" s="131"/>
    </row>
    <row r="171" spans="2:10" x14ac:dyDescent="0.2">
      <c r="B171" s="130"/>
      <c r="G171" s="131"/>
      <c r="H171" s="133"/>
      <c r="J171" s="131"/>
    </row>
    <row r="172" spans="2:10" x14ac:dyDescent="0.2">
      <c r="B172" s="130"/>
      <c r="J172" s="131"/>
    </row>
    <row r="173" spans="2:10" x14ac:dyDescent="0.2">
      <c r="B173" s="130"/>
      <c r="J173" s="131"/>
    </row>
    <row r="174" spans="2:10" x14ac:dyDescent="0.2">
      <c r="B174" s="130"/>
      <c r="J174" s="131"/>
    </row>
    <row r="175" spans="2:10" x14ac:dyDescent="0.2">
      <c r="B175" s="130"/>
      <c r="J175" s="131"/>
    </row>
    <row r="176" spans="2:10" x14ac:dyDescent="0.2">
      <c r="B176" s="130"/>
      <c r="F176" s="131"/>
      <c r="G176" s="131"/>
      <c r="H176" s="131"/>
      <c r="J176" s="131"/>
    </row>
    <row r="177" spans="2:10" x14ac:dyDescent="0.2">
      <c r="B177" s="130"/>
      <c r="F177" s="131"/>
      <c r="G177" s="132"/>
    </row>
    <row r="178" spans="2:10" x14ac:dyDescent="0.2">
      <c r="B178" s="130"/>
      <c r="J178" s="131"/>
    </row>
    <row r="179" spans="2:10" x14ac:dyDescent="0.2">
      <c r="B179" s="130"/>
      <c r="H179" s="131"/>
      <c r="J179" s="131"/>
    </row>
    <row r="180" spans="2:10" x14ac:dyDescent="0.2">
      <c r="B180" s="130"/>
      <c r="H180" s="131"/>
      <c r="J180" s="131"/>
    </row>
    <row r="181" spans="2:10" x14ac:dyDescent="0.2">
      <c r="B181" s="130"/>
      <c r="J181" s="131"/>
    </row>
    <row r="182" spans="2:10" x14ac:dyDescent="0.2">
      <c r="B182" s="130"/>
      <c r="J182" s="131"/>
    </row>
    <row r="183" spans="2:10" x14ac:dyDescent="0.2">
      <c r="B183" s="130"/>
      <c r="J183" s="131"/>
    </row>
    <row r="184" spans="2:10" x14ac:dyDescent="0.2">
      <c r="B184" s="130"/>
      <c r="J184" s="131"/>
    </row>
    <row r="185" spans="2:10" x14ac:dyDescent="0.2">
      <c r="B185" s="130"/>
      <c r="G185" s="131"/>
      <c r="H185" s="131"/>
    </row>
    <row r="186" spans="2:10" x14ac:dyDescent="0.2">
      <c r="B186" s="130"/>
      <c r="G186" s="131"/>
      <c r="H186" s="131"/>
    </row>
    <row r="187" spans="2:10" x14ac:dyDescent="0.2">
      <c r="B187" s="130"/>
      <c r="G187" s="131"/>
      <c r="H187" s="131"/>
    </row>
    <row r="188" spans="2:10" x14ac:dyDescent="0.2">
      <c r="B188" s="130"/>
      <c r="G188" s="131"/>
      <c r="H188" s="131"/>
    </row>
    <row r="189" spans="2:10" x14ac:dyDescent="0.2">
      <c r="B189" s="130"/>
      <c r="H189" s="131"/>
    </row>
    <row r="190" spans="2:10" x14ac:dyDescent="0.2">
      <c r="B190" s="130"/>
      <c r="H190" s="133"/>
      <c r="J190" s="131"/>
    </row>
    <row r="191" spans="2:10" x14ac:dyDescent="0.2">
      <c r="B191" s="130"/>
      <c r="J191" s="131"/>
    </row>
    <row r="192" spans="2:10" x14ac:dyDescent="0.2">
      <c r="B192" s="130"/>
    </row>
    <row r="193" spans="2:10" x14ac:dyDescent="0.2">
      <c r="B193" s="130"/>
      <c r="J193" s="131"/>
    </row>
    <row r="194" spans="2:10" x14ac:dyDescent="0.2">
      <c r="B194" s="130"/>
      <c r="H194" s="131"/>
      <c r="J194" s="131"/>
    </row>
    <row r="195" spans="2:10" x14ac:dyDescent="0.2">
      <c r="B195" s="130"/>
      <c r="H195" s="133"/>
    </row>
    <row r="196" spans="2:10" x14ac:dyDescent="0.2">
      <c r="B196" s="130"/>
      <c r="H196" s="133"/>
    </row>
    <row r="197" spans="2:10" x14ac:dyDescent="0.2">
      <c r="B197" s="130"/>
      <c r="H197" s="131"/>
    </row>
    <row r="198" spans="2:10" x14ac:dyDescent="0.2">
      <c r="B198" s="130"/>
      <c r="H198" s="131"/>
    </row>
    <row r="199" spans="2:10" x14ac:dyDescent="0.2">
      <c r="B199" s="130"/>
      <c r="H199" s="131"/>
    </row>
    <row r="200" spans="2:10" x14ac:dyDescent="0.2">
      <c r="B200" s="130"/>
    </row>
    <row r="201" spans="2:10" x14ac:dyDescent="0.2">
      <c r="B201" s="130"/>
    </row>
    <row r="202" spans="2:10" x14ac:dyDescent="0.2">
      <c r="B202" s="130"/>
    </row>
    <row r="203" spans="2:10" x14ac:dyDescent="0.2">
      <c r="B203" s="130"/>
      <c r="H203" s="131"/>
      <c r="J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  <c r="H207" s="131"/>
      <c r="J207" s="131"/>
    </row>
    <row r="208" spans="2:10" x14ac:dyDescent="0.2">
      <c r="B208" s="130"/>
      <c r="H208" s="131"/>
      <c r="J208" s="131"/>
    </row>
    <row r="209" spans="2:10" x14ac:dyDescent="0.2">
      <c r="B209" s="130"/>
    </row>
    <row r="210" spans="2:10" x14ac:dyDescent="0.2">
      <c r="B210" s="130"/>
    </row>
    <row r="211" spans="2:10" x14ac:dyDescent="0.2">
      <c r="B211" s="130"/>
      <c r="H211" s="131"/>
    </row>
    <row r="212" spans="2:10" x14ac:dyDescent="0.2">
      <c r="B212" s="130"/>
    </row>
    <row r="213" spans="2:10" x14ac:dyDescent="0.2">
      <c r="B213" s="130"/>
      <c r="H213" s="131"/>
    </row>
    <row r="214" spans="2:10" x14ac:dyDescent="0.2">
      <c r="B214" s="130"/>
    </row>
    <row r="215" spans="2:10" x14ac:dyDescent="0.2">
      <c r="B215" s="130"/>
      <c r="H215" s="131"/>
    </row>
    <row r="216" spans="2:10" x14ac:dyDescent="0.2">
      <c r="B216" s="130"/>
      <c r="G216" s="131"/>
      <c r="H216" s="131"/>
    </row>
    <row r="217" spans="2:10" x14ac:dyDescent="0.2">
      <c r="B217" s="130"/>
      <c r="H217" s="133"/>
    </row>
    <row r="218" spans="2:10" x14ac:dyDescent="0.2">
      <c r="B218" s="130"/>
      <c r="J218" s="131"/>
    </row>
    <row r="219" spans="2:10" x14ac:dyDescent="0.2">
      <c r="B219" s="130"/>
      <c r="J219" s="131"/>
    </row>
    <row r="220" spans="2:10" x14ac:dyDescent="0.2">
      <c r="B220" s="130"/>
      <c r="G220" s="131"/>
    </row>
    <row r="221" spans="2:10" x14ac:dyDescent="0.2">
      <c r="B221" s="130"/>
      <c r="H221" s="131"/>
      <c r="J221" s="131"/>
    </row>
    <row r="222" spans="2:10" x14ac:dyDescent="0.2">
      <c r="B222" s="130"/>
      <c r="H222" s="131"/>
      <c r="J222" s="131"/>
    </row>
    <row r="223" spans="2:10" x14ac:dyDescent="0.2">
      <c r="B223" s="130"/>
    </row>
    <row r="224" spans="2:10" x14ac:dyDescent="0.2">
      <c r="B224" s="130"/>
    </row>
    <row r="225" spans="2:10" x14ac:dyDescent="0.2">
      <c r="B225" s="130"/>
      <c r="F225" s="131"/>
    </row>
    <row r="226" spans="2:10" x14ac:dyDescent="0.2">
      <c r="B226" s="130"/>
      <c r="H226" s="131"/>
    </row>
    <row r="227" spans="2:10" x14ac:dyDescent="0.2">
      <c r="B227" s="130"/>
      <c r="J227" s="131"/>
    </row>
    <row r="228" spans="2:10" x14ac:dyDescent="0.2">
      <c r="B228" s="130"/>
      <c r="H228" s="133"/>
      <c r="J228" s="133"/>
    </row>
    <row r="229" spans="2:10" x14ac:dyDescent="0.2">
      <c r="B229" s="130"/>
    </row>
    <row r="230" spans="2:10" x14ac:dyDescent="0.2">
      <c r="B230" s="130"/>
      <c r="J230" s="131"/>
    </row>
    <row r="231" spans="2:10" x14ac:dyDescent="0.2">
      <c r="B231" s="130"/>
      <c r="H231" s="131"/>
      <c r="J231" s="131"/>
    </row>
    <row r="232" spans="2:10" x14ac:dyDescent="0.2">
      <c r="B232" s="130"/>
    </row>
    <row r="233" spans="2:10" x14ac:dyDescent="0.2">
      <c r="B233" s="130"/>
    </row>
    <row r="234" spans="2:10" x14ac:dyDescent="0.2">
      <c r="B234" s="130"/>
    </row>
    <row r="235" spans="2:10" x14ac:dyDescent="0.2">
      <c r="B235" s="130"/>
    </row>
    <row r="236" spans="2:10" x14ac:dyDescent="0.2">
      <c r="B236" s="130"/>
    </row>
    <row r="237" spans="2:10" x14ac:dyDescent="0.2">
      <c r="B237" s="130"/>
      <c r="J237" s="131"/>
    </row>
    <row r="238" spans="2:10" x14ac:dyDescent="0.2">
      <c r="B238" s="130"/>
      <c r="J238" s="131"/>
    </row>
    <row r="239" spans="2:10" x14ac:dyDescent="0.2">
      <c r="B239" s="130"/>
    </row>
    <row r="240" spans="2:10" x14ac:dyDescent="0.2">
      <c r="B240" s="130"/>
      <c r="H240" s="131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</row>
    <row r="245" spans="2:10" x14ac:dyDescent="0.2">
      <c r="B245" s="130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  <c r="H249" s="131"/>
    </row>
    <row r="250" spans="2:10" x14ac:dyDescent="0.2">
      <c r="B250" s="130"/>
      <c r="H250" s="131"/>
      <c r="J250" s="131"/>
    </row>
    <row r="251" spans="2:10" x14ac:dyDescent="0.2">
      <c r="B251" s="130"/>
      <c r="H251" s="131"/>
      <c r="J251" s="131"/>
    </row>
    <row r="252" spans="2:10" x14ac:dyDescent="0.2">
      <c r="B252" s="130"/>
      <c r="J252" s="131"/>
    </row>
    <row r="253" spans="2:10" x14ac:dyDescent="0.2">
      <c r="B253" s="130"/>
      <c r="J253" s="131"/>
    </row>
    <row r="254" spans="2:10" x14ac:dyDescent="0.2">
      <c r="B254" s="130"/>
      <c r="G254" s="131"/>
      <c r="H254" s="131"/>
    </row>
    <row r="255" spans="2:10" x14ac:dyDescent="0.2">
      <c r="B255" s="130"/>
      <c r="J255" s="131"/>
    </row>
    <row r="256" spans="2:10" x14ac:dyDescent="0.2">
      <c r="B256" s="130"/>
      <c r="J256" s="131"/>
    </row>
    <row r="257" spans="2:2" x14ac:dyDescent="0.2">
      <c r="B257" s="130"/>
    </row>
    <row r="258" spans="2:2" x14ac:dyDescent="0.2">
      <c r="B258" s="130"/>
    </row>
    <row r="259" spans="2:2" x14ac:dyDescent="0.2">
      <c r="B259" s="130"/>
    </row>
    <row r="260" spans="2:2" x14ac:dyDescent="0.2">
      <c r="B260" s="130"/>
    </row>
    <row r="261" spans="2:2" x14ac:dyDescent="0.2">
      <c r="B261" s="130"/>
    </row>
    <row r="262" spans="2:2" x14ac:dyDescent="0.2">
      <c r="B262" s="130"/>
    </row>
    <row r="263" spans="2:2" x14ac:dyDescent="0.2">
      <c r="B263" s="130"/>
    </row>
    <row r="264" spans="2:2" x14ac:dyDescent="0.2">
      <c r="B264" s="130"/>
    </row>
  </sheetData>
  <autoFilter ref="A1:J264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2"/>
  <sheetViews>
    <sheetView workbookViewId="0" zoomScale="85" zoomScaleNormal="85">
      <selection activeCell="D47" sqref="D47"/>
    </sheetView>
  </sheetViews>
  <sheetFormatPr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8.8554687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1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30">
        <v>43983</v>
      </c>
      <c r="C2" s="129" t="s">
        <v>615</v>
      </c>
      <c r="D2" s="129">
        <v>1200</v>
      </c>
      <c r="E2" s="129" t="s">
        <v>613</v>
      </c>
      <c r="F2" s="129" t="s">
        <v>616</v>
      </c>
      <c r="H2" s="131"/>
      <c r="I2" t="s">
        <v>1002</v>
      </c>
    </row>
    <row r="3" spans="1:15" x14ac:dyDescent="0.2">
      <c r="B3" s="130">
        <v>43983</v>
      </c>
      <c r="C3" s="129" t="s">
        <v>615</v>
      </c>
      <c r="D3" s="129">
        <v>720</v>
      </c>
      <c r="E3" s="129" t="s">
        <v>575</v>
      </c>
      <c r="F3" s="131" t="s">
        <v>690</v>
      </c>
      <c r="G3" s="46" t="s">
        <v>479</v>
      </c>
      <c r="H3" s="46" t="s">
        <v>777</v>
      </c>
      <c r="I3" t="s">
        <v>1000</v>
      </c>
    </row>
    <row r="4" spans="1:15" x14ac:dyDescent="0.2">
      <c r="B4" s="130">
        <v>43983</v>
      </c>
      <c r="C4" s="129" t="s">
        <v>615</v>
      </c>
      <c r="D4" s="129">
        <v>474.9</v>
      </c>
      <c r="E4" s="129" t="s">
        <v>575</v>
      </c>
      <c r="F4" s="129" t="s">
        <v>627</v>
      </c>
      <c r="H4" s="131"/>
      <c r="I4" t="s">
        <v>1002</v>
      </c>
      <c r="O4" s="131"/>
    </row>
    <row r="5" spans="1:15" x14ac:dyDescent="0.2">
      <c r="B5" s="130">
        <v>43983</v>
      </c>
      <c r="C5" s="129" t="s">
        <v>615</v>
      </c>
      <c r="D5" s="129">
        <v>-132</v>
      </c>
      <c r="E5" s="129" t="s">
        <v>577</v>
      </c>
      <c r="F5" s="129" t="s">
        <v>691</v>
      </c>
      <c r="G5" s="131" t="s">
        <v>493</v>
      </c>
      <c r="H5" s="133" t="s">
        <v>789</v>
      </c>
      <c r="I5" t="s">
        <v>1001</v>
      </c>
    </row>
    <row r="6" spans="1:15" x14ac:dyDescent="0.2">
      <c r="B6" s="130">
        <v>43983</v>
      </c>
      <c r="C6" s="129" t="s">
        <v>615</v>
      </c>
      <c r="D6" s="129">
        <v>-90</v>
      </c>
      <c r="E6" s="129" t="s">
        <v>577</v>
      </c>
      <c r="F6" s="129" t="s">
        <v>692</v>
      </c>
      <c r="G6" s="131" t="s">
        <v>495</v>
      </c>
      <c r="H6" s="133" t="s">
        <v>791</v>
      </c>
      <c r="I6" t="s">
        <v>1001</v>
      </c>
    </row>
    <row r="7" spans="1:15" x14ac:dyDescent="0.2">
      <c r="B7" s="130">
        <v>43983</v>
      </c>
      <c r="C7" s="129" t="s">
        <v>615</v>
      </c>
      <c r="D7" s="129">
        <v>-48</v>
      </c>
      <c r="E7" s="129" t="s">
        <v>577</v>
      </c>
      <c r="F7" s="129" t="s">
        <v>693</v>
      </c>
      <c r="G7" s="131" t="s">
        <v>493</v>
      </c>
      <c r="H7" s="133" t="s">
        <v>791</v>
      </c>
      <c r="I7" t="s">
        <v>1001</v>
      </c>
    </row>
    <row r="8" spans="1:15" x14ac:dyDescent="0.2">
      <c r="B8" s="130">
        <v>43983</v>
      </c>
      <c r="C8" s="129" t="s">
        <v>615</v>
      </c>
      <c r="D8" s="129">
        <v>-42</v>
      </c>
      <c r="E8" s="129" t="s">
        <v>577</v>
      </c>
      <c r="F8" s="129" t="s">
        <v>694</v>
      </c>
      <c r="G8" s="131" t="s">
        <v>481</v>
      </c>
      <c r="H8" s="133" t="s">
        <v>790</v>
      </c>
      <c r="I8" t="s">
        <v>1001</v>
      </c>
    </row>
    <row r="9" spans="1:15" x14ac:dyDescent="0.2">
      <c r="B9" s="130">
        <v>43983</v>
      </c>
      <c r="C9" s="129" t="s">
        <v>615</v>
      </c>
      <c r="D9" s="168">
        <v>-6.92</v>
      </c>
      <c r="E9" s="129" t="s">
        <v>577</v>
      </c>
      <c r="F9" s="129" t="s">
        <v>695</v>
      </c>
      <c r="H9" s="131" t="s">
        <v>792</v>
      </c>
      <c r="I9" t="s">
        <v>1002</v>
      </c>
    </row>
    <row r="10" spans="1:15" x14ac:dyDescent="0.2">
      <c r="B10" s="130">
        <v>43983</v>
      </c>
      <c r="C10" s="129" t="s">
        <v>615</v>
      </c>
      <c r="D10" s="168">
        <v>-6.7</v>
      </c>
      <c r="E10" s="129" t="s">
        <v>577</v>
      </c>
      <c r="F10" s="129" t="s">
        <v>696</v>
      </c>
      <c r="H10" s="131" t="s">
        <v>792</v>
      </c>
      <c r="I10" t="s">
        <v>1002</v>
      </c>
    </row>
    <row r="11" spans="1:15" x14ac:dyDescent="0.2">
      <c r="B11" s="130">
        <v>43983</v>
      </c>
      <c r="C11" s="129" t="s">
        <v>615</v>
      </c>
      <c r="D11" s="129">
        <v>-232.5</v>
      </c>
      <c r="E11" s="129" t="s">
        <v>578</v>
      </c>
      <c r="F11" s="129" t="s">
        <v>617</v>
      </c>
      <c r="I11" t="s">
        <v>1002</v>
      </c>
    </row>
    <row r="12" spans="1:15" x14ac:dyDescent="0.2">
      <c r="B12" s="130">
        <v>43983</v>
      </c>
      <c r="C12" s="129" t="s">
        <v>615</v>
      </c>
      <c r="D12" s="129">
        <v>-160</v>
      </c>
      <c r="E12" s="129" t="s">
        <v>578</v>
      </c>
      <c r="F12" s="129" t="s">
        <v>618</v>
      </c>
      <c r="I12" t="s">
        <v>1002</v>
      </c>
    </row>
    <row r="13" spans="1:15" x14ac:dyDescent="0.2">
      <c r="B13" s="130">
        <v>43983</v>
      </c>
      <c r="C13" s="129" t="s">
        <v>615</v>
      </c>
      <c r="D13" s="129">
        <v>-157.5</v>
      </c>
      <c r="E13" s="129" t="s">
        <v>578</v>
      </c>
      <c r="F13" s="129" t="s">
        <v>619</v>
      </c>
      <c r="I13" t="s">
        <v>1002</v>
      </c>
    </row>
    <row r="14" spans="1:15" x14ac:dyDescent="0.2">
      <c r="B14" s="130">
        <v>43983</v>
      </c>
      <c r="C14" s="129" t="s">
        <v>615</v>
      </c>
      <c r="D14" s="129">
        <v>-50</v>
      </c>
      <c r="E14" s="129" t="s">
        <v>578</v>
      </c>
      <c r="F14" s="129" t="s">
        <v>620</v>
      </c>
      <c r="I14" t="s">
        <v>1002</v>
      </c>
    </row>
    <row r="15" spans="1:15" x14ac:dyDescent="0.2">
      <c r="B15" s="130">
        <v>43983</v>
      </c>
      <c r="C15" s="129" t="s">
        <v>615</v>
      </c>
      <c r="D15" s="129">
        <v>-50</v>
      </c>
      <c r="E15" s="129" t="s">
        <v>578</v>
      </c>
      <c r="F15" s="129" t="s">
        <v>585</v>
      </c>
      <c r="I15" t="s">
        <v>1002</v>
      </c>
    </row>
    <row r="16" spans="1:15" x14ac:dyDescent="0.2">
      <c r="B16" s="130">
        <v>43983</v>
      </c>
      <c r="C16" s="129" t="s">
        <v>615</v>
      </c>
      <c r="D16" s="129">
        <v>-13</v>
      </c>
      <c r="E16" s="129" t="s">
        <v>586</v>
      </c>
      <c r="F16" s="129" t="s">
        <v>697</v>
      </c>
      <c r="G16" t="s">
        <v>508</v>
      </c>
      <c r="H16" s="46" t="s">
        <v>768</v>
      </c>
      <c r="I16" t="s">
        <v>1001</v>
      </c>
    </row>
    <row r="17" spans="2:8" x14ac:dyDescent="0.2">
      <c r="B17" s="130">
        <v>43983</v>
      </c>
      <c r="C17" s="129" t="s">
        <v>615</v>
      </c>
      <c r="D17" s="129">
        <v>-20</v>
      </c>
      <c r="E17" s="129" t="s">
        <v>586</v>
      </c>
      <c r="F17" s="129" t="s">
        <v>698</v>
      </c>
      <c r="G17" s="46" t="s">
        <v>485</v>
      </c>
      <c r="H17" s="46" t="s">
        <v>768</v>
      </c>
      <c r="I17" t="s">
        <v>1001</v>
      </c>
    </row>
    <row r="18" spans="2:8" x14ac:dyDescent="0.2">
      <c r="B18" s="130">
        <v>43983</v>
      </c>
      <c r="C18" s="129" t="s">
        <v>615</v>
      </c>
      <c r="D18" s="129">
        <v>-39</v>
      </c>
      <c r="E18" s="129" t="s">
        <v>586</v>
      </c>
      <c r="F18" s="129" t="s">
        <v>699</v>
      </c>
      <c r="G18" s="46" t="s">
        <v>479</v>
      </c>
      <c r="H18" s="46" t="s">
        <v>768</v>
      </c>
      <c r="I18" t="s">
        <v>1001</v>
      </c>
    </row>
    <row r="19" spans="2:8" x14ac:dyDescent="0.2">
      <c r="B19" s="130">
        <v>43983</v>
      </c>
      <c r="C19" s="129" t="s">
        <v>615</v>
      </c>
      <c r="D19" s="129">
        <v>-745.88</v>
      </c>
      <c r="E19" s="129" t="s">
        <v>586</v>
      </c>
      <c r="F19" s="129" t="s">
        <v>622</v>
      </c>
      <c r="H19" s="131"/>
      <c r="I19" t="s">
        <v>1002</v>
      </c>
    </row>
    <row r="20" spans="2:8" x14ac:dyDescent="0.2">
      <c r="B20" s="130">
        <v>43983</v>
      </c>
      <c r="C20" s="129" t="s">
        <v>615</v>
      </c>
      <c r="D20" s="129">
        <v>-1404</v>
      </c>
      <c r="E20" s="129" t="s">
        <v>586</v>
      </c>
      <c r="F20" s="131" t="s">
        <v>700</v>
      </c>
      <c r="G20" s="131"/>
      <c r="H20" s="131"/>
      <c r="I20" t="s">
        <v>1002</v>
      </c>
    </row>
    <row r="21" spans="2:8" x14ac:dyDescent="0.2">
      <c r="B21" s="130">
        <v>43984</v>
      </c>
      <c r="C21" s="129" t="s">
        <v>615</v>
      </c>
      <c r="D21" s="129">
        <v>-37.950000000000003</v>
      </c>
      <c r="E21" s="129" t="s">
        <v>586</v>
      </c>
      <c r="F21" s="131" t="s">
        <v>621</v>
      </c>
      <c r="G21" s="131"/>
      <c r="H21" s="131"/>
      <c r="I21" t="s">
        <v>1002</v>
      </c>
    </row>
    <row r="22" spans="2:8" x14ac:dyDescent="0.2">
      <c r="B22" s="130">
        <v>43985</v>
      </c>
      <c r="C22" s="129" t="s">
        <v>615</v>
      </c>
      <c r="D22" s="129">
        <v>600</v>
      </c>
      <c r="E22" s="129" t="s">
        <v>591</v>
      </c>
      <c r="F22" s="129" t="s">
        <v>623</v>
      </c>
      <c r="G22" s="46" t="s">
        <v>491</v>
      </c>
      <c r="H22" s="46" t="s">
        <v>786</v>
      </c>
      <c r="I22" t="s">
        <v>1000</v>
      </c>
    </row>
    <row r="23" spans="2:8" x14ac:dyDescent="0.2">
      <c r="B23" s="130">
        <v>43985</v>
      </c>
      <c r="C23" s="129" t="s">
        <v>615</v>
      </c>
      <c r="D23" s="129">
        <v>226</v>
      </c>
      <c r="E23" s="129" t="s">
        <v>575</v>
      </c>
      <c r="F23" s="129" t="s">
        <v>634</v>
      </c>
      <c r="H23" s="131"/>
      <c r="I23" t="s">
        <v>1002</v>
      </c>
    </row>
    <row r="24" spans="2:8" x14ac:dyDescent="0.2">
      <c r="B24" s="130">
        <v>43986</v>
      </c>
      <c r="C24" s="129" t="s">
        <v>615</v>
      </c>
      <c r="D24" s="129">
        <v>443.7</v>
      </c>
      <c r="E24" s="129" t="s">
        <v>575</v>
      </c>
      <c r="F24" s="129" t="s">
        <v>628</v>
      </c>
      <c r="H24" s="133"/>
      <c r="I24" t="s">
        <v>1002</v>
      </c>
    </row>
    <row r="25" spans="2:8" x14ac:dyDescent="0.2">
      <c r="B25" s="130">
        <v>43986</v>
      </c>
      <c r="C25" s="129" t="s">
        <v>615</v>
      </c>
      <c r="D25" s="129">
        <v>422.29</v>
      </c>
      <c r="E25" s="129" t="s">
        <v>575</v>
      </c>
      <c r="F25" s="131" t="s">
        <v>629</v>
      </c>
      <c r="G25" s="131"/>
      <c r="H25" s="131"/>
      <c r="I25" t="s">
        <v>1002</v>
      </c>
    </row>
    <row r="26" spans="2:8" x14ac:dyDescent="0.2">
      <c r="B26" s="130">
        <v>43986</v>
      </c>
      <c r="C26" s="129" t="s">
        <v>615</v>
      </c>
      <c r="D26" s="129">
        <v>272.99</v>
      </c>
      <c r="E26" s="129" t="s">
        <v>575</v>
      </c>
      <c r="F26" s="129" t="s">
        <v>630</v>
      </c>
      <c r="H26" s="133"/>
      <c r="I26" t="s">
        <v>1002</v>
      </c>
    </row>
    <row r="27" spans="2:8" x14ac:dyDescent="0.2">
      <c r="B27" s="130">
        <v>43986</v>
      </c>
      <c r="C27" s="129" t="s">
        <v>615</v>
      </c>
      <c r="D27" s="129">
        <v>210.36</v>
      </c>
      <c r="E27" s="129" t="s">
        <v>575</v>
      </c>
      <c r="F27" s="129" t="s">
        <v>631</v>
      </c>
      <c r="G27" s="131"/>
      <c r="H27" s="133"/>
      <c r="I27" t="s">
        <v>1002</v>
      </c>
    </row>
    <row r="28" spans="2:8" x14ac:dyDescent="0.2">
      <c r="B28" s="130">
        <v>43986</v>
      </c>
      <c r="C28" s="129" t="s">
        <v>615</v>
      </c>
      <c r="D28" s="129">
        <v>-75</v>
      </c>
      <c r="E28" s="129" t="s">
        <v>578</v>
      </c>
      <c r="F28" s="129" t="s">
        <v>624</v>
      </c>
      <c r="G28" s="131"/>
      <c r="H28" s="131"/>
      <c r="I28" t="s">
        <v>1002</v>
      </c>
    </row>
    <row r="29" spans="2:8" x14ac:dyDescent="0.2">
      <c r="B29" s="130">
        <v>43986</v>
      </c>
      <c r="C29" s="129" t="s">
        <v>615</v>
      </c>
      <c r="D29" s="129">
        <v>-75</v>
      </c>
      <c r="E29" s="129" t="s">
        <v>586</v>
      </c>
      <c r="F29" s="129" t="s">
        <v>625</v>
      </c>
      <c r="I29" t="s">
        <v>1002</v>
      </c>
    </row>
    <row r="30" spans="2:8" x14ac:dyDescent="0.2">
      <c r="B30" s="130">
        <v>43990</v>
      </c>
      <c r="C30" s="129" t="s">
        <v>615</v>
      </c>
      <c r="D30" s="129">
        <v>625</v>
      </c>
      <c r="E30" s="129" t="s">
        <v>575</v>
      </c>
      <c r="F30" s="129" t="s">
        <v>701</v>
      </c>
      <c r="G30" s="46" t="s">
        <v>485</v>
      </c>
      <c r="H30" s="46" t="s">
        <v>785</v>
      </c>
      <c r="I30" t="s">
        <v>1000</v>
      </c>
    </row>
    <row r="31" spans="2:8" x14ac:dyDescent="0.2">
      <c r="B31" s="130">
        <v>43992</v>
      </c>
      <c r="C31" s="129" t="s">
        <v>615</v>
      </c>
      <c r="D31" s="129">
        <v>232</v>
      </c>
      <c r="E31" s="129" t="s">
        <v>575</v>
      </c>
      <c r="F31" s="129" t="s">
        <v>634</v>
      </c>
      <c r="H31" s="131"/>
      <c r="I31" t="s">
        <v>1002</v>
      </c>
    </row>
    <row r="32" spans="2:8" x14ac:dyDescent="0.2">
      <c r="B32" s="130">
        <v>43994</v>
      </c>
      <c r="C32" s="129" t="s">
        <v>615</v>
      </c>
      <c r="D32" s="129">
        <v>-37.68</v>
      </c>
      <c r="E32" s="129" t="s">
        <v>586</v>
      </c>
      <c r="F32" s="131" t="s">
        <v>632</v>
      </c>
      <c r="H32" s="131"/>
      <c r="I32" t="s">
        <v>1002</v>
      </c>
    </row>
    <row r="33" spans="2:8" x14ac:dyDescent="0.2">
      <c r="B33" s="130">
        <v>43997</v>
      </c>
      <c r="C33" s="129" t="s">
        <v>615</v>
      </c>
      <c r="D33" s="129">
        <v>-64</v>
      </c>
      <c r="E33" s="129" t="s">
        <v>586</v>
      </c>
      <c r="F33" s="129" t="s">
        <v>702</v>
      </c>
      <c r="G33" s="46" t="s">
        <v>500</v>
      </c>
      <c r="H33" s="46" t="s">
        <v>768</v>
      </c>
      <c r="I33" t="s">
        <v>1001</v>
      </c>
    </row>
    <row r="34" spans="2:8" x14ac:dyDescent="0.2">
      <c r="B34" s="130">
        <v>43997</v>
      </c>
      <c r="C34" s="129" t="s">
        <v>615</v>
      </c>
      <c r="D34" s="129">
        <v>-58.99</v>
      </c>
      <c r="E34" s="133" t="s">
        <v>586</v>
      </c>
      <c r="F34" s="129" t="s">
        <v>703</v>
      </c>
      <c r="G34" s="131"/>
      <c r="H34" s="131"/>
      <c r="I34" t="s">
        <v>1002</v>
      </c>
    </row>
    <row r="35" spans="2:8" x14ac:dyDescent="0.2">
      <c r="B35" s="130">
        <v>43998</v>
      </c>
      <c r="C35" s="129" t="s">
        <v>615</v>
      </c>
      <c r="D35" s="129">
        <v>-200</v>
      </c>
      <c r="E35" s="133" t="s">
        <v>591</v>
      </c>
      <c r="F35" s="129" t="s">
        <v>672</v>
      </c>
      <c r="G35" s="131"/>
      <c r="H35" s="131"/>
      <c r="I35" t="s">
        <v>1002</v>
      </c>
    </row>
    <row r="36" spans="2:8" x14ac:dyDescent="0.2">
      <c r="B36" s="130">
        <v>44004</v>
      </c>
      <c r="C36" s="129" t="s">
        <v>615</v>
      </c>
      <c r="D36" s="129">
        <v>625</v>
      </c>
      <c r="E36" s="131" t="s">
        <v>575</v>
      </c>
      <c r="F36" s="129" t="s">
        <v>633</v>
      </c>
      <c r="G36" t="s">
        <v>490</v>
      </c>
      <c r="H36" s="46" t="s">
        <v>776</v>
      </c>
      <c r="I36" t="s">
        <v>1000</v>
      </c>
    </row>
    <row r="37" spans="2:8" x14ac:dyDescent="0.2">
      <c r="B37" s="130">
        <v>44004</v>
      </c>
      <c r="C37" s="129" t="s">
        <v>615</v>
      </c>
      <c r="D37" s="129">
        <v>500</v>
      </c>
      <c r="E37" s="131" t="s">
        <v>575</v>
      </c>
      <c r="F37" s="129" t="s">
        <v>626</v>
      </c>
      <c r="G37" t="s">
        <v>481</v>
      </c>
      <c r="H37" s="46" t="s">
        <v>775</v>
      </c>
      <c r="I37" t="s">
        <v>1000</v>
      </c>
    </row>
    <row r="38" spans="2:8" x14ac:dyDescent="0.2">
      <c r="B38" s="130">
        <v>44004</v>
      </c>
      <c r="C38" s="129" t="s">
        <v>615</v>
      </c>
      <c r="D38" s="129">
        <v>-31.88</v>
      </c>
      <c r="E38" s="131" t="s">
        <v>586</v>
      </c>
      <c r="F38" s="129" t="s">
        <v>635</v>
      </c>
      <c r="G38" s="131"/>
      <c r="H38" s="131"/>
      <c r="I38" t="s">
        <v>1002</v>
      </c>
    </row>
    <row r="39" spans="2:8" x14ac:dyDescent="0.2">
      <c r="B39" s="130">
        <v>44005</v>
      </c>
      <c r="C39" s="129" t="s">
        <v>615</v>
      </c>
      <c r="D39" s="129">
        <v>216.23</v>
      </c>
      <c r="E39" s="131" t="s">
        <v>575</v>
      </c>
      <c r="F39" s="129" t="s">
        <v>631</v>
      </c>
      <c r="G39" s="131"/>
      <c r="H39" s="131"/>
      <c r="I39" t="s">
        <v>1002</v>
      </c>
    </row>
    <row r="40" spans="2:8" x14ac:dyDescent="0.2">
      <c r="B40" s="130">
        <v>44006</v>
      </c>
      <c r="C40" s="129" t="s">
        <v>615</v>
      </c>
      <c r="D40" s="129">
        <v>-7</v>
      </c>
      <c r="E40" s="129" t="s">
        <v>586</v>
      </c>
      <c r="F40" s="129" t="s">
        <v>638</v>
      </c>
      <c r="H40" s="133"/>
      <c r="I40" t="s">
        <v>1002</v>
      </c>
    </row>
    <row r="41" spans="2:8" x14ac:dyDescent="0.2">
      <c r="B41" s="130">
        <v>44006</v>
      </c>
      <c r="C41" s="129" t="s">
        <v>615</v>
      </c>
      <c r="D41" s="129">
        <v>-7</v>
      </c>
      <c r="E41" s="129" t="s">
        <v>586</v>
      </c>
      <c r="F41" s="129" t="s">
        <v>636</v>
      </c>
      <c r="H41" s="133"/>
      <c r="I41" t="s">
        <v>1002</v>
      </c>
    </row>
    <row r="42" spans="2:8" x14ac:dyDescent="0.2">
      <c r="B42" s="130">
        <v>44007</v>
      </c>
      <c r="C42" s="129" t="s">
        <v>615</v>
      </c>
      <c r="D42" s="129">
        <v>140.76</v>
      </c>
      <c r="E42" s="129" t="s">
        <v>575</v>
      </c>
      <c r="F42" s="129" t="s">
        <v>630</v>
      </c>
      <c r="H42" s="131"/>
      <c r="I42" t="s">
        <v>1002</v>
      </c>
    </row>
    <row r="43" spans="2:8" x14ac:dyDescent="0.2">
      <c r="B43" s="130">
        <v>44007</v>
      </c>
      <c r="C43" s="129" t="s">
        <v>615</v>
      </c>
      <c r="D43" s="129">
        <v>600</v>
      </c>
      <c r="E43" s="129" t="s">
        <v>613</v>
      </c>
      <c r="F43" s="131" t="s">
        <v>637</v>
      </c>
      <c r="G43" s="46" t="s">
        <v>496</v>
      </c>
      <c r="H43" s="46" t="s">
        <v>787</v>
      </c>
      <c r="I43" t="s">
        <v>1000</v>
      </c>
    </row>
    <row r="44" spans="2:8" x14ac:dyDescent="0.2">
      <c r="B44" s="130">
        <v>44007</v>
      </c>
      <c r="C44" s="129" t="s">
        <v>615</v>
      </c>
      <c r="D44" s="131">
        <v>695</v>
      </c>
      <c r="E44" s="133" t="s">
        <v>778</v>
      </c>
      <c r="F44" s="131" t="s">
        <v>987</v>
      </c>
      <c r="G44" s="46" t="s">
        <v>489</v>
      </c>
      <c r="H44" s="46" t="s">
        <v>988</v>
      </c>
      <c r="I44" t="s">
        <v>1000</v>
      </c>
    </row>
    <row r="45" spans="2:8" x14ac:dyDescent="0.2">
      <c r="B45" s="130">
        <v>44007</v>
      </c>
      <c r="C45" s="129" t="s">
        <v>615</v>
      </c>
      <c r="D45" s="129">
        <v>-714</v>
      </c>
      <c r="E45" s="133" t="s">
        <v>778</v>
      </c>
      <c r="F45" s="131" t="s">
        <v>987</v>
      </c>
      <c r="G45" s="46" t="s">
        <v>489</v>
      </c>
      <c r="H45" s="46" t="s">
        <v>989</v>
      </c>
      <c r="I45" t="s">
        <v>1001</v>
      </c>
    </row>
    <row r="46" spans="2:8" x14ac:dyDescent="0.2">
      <c r="B46" s="130">
        <v>44007</v>
      </c>
      <c r="C46" s="129" t="s">
        <v>615</v>
      </c>
      <c r="D46" s="129">
        <f>-37+19</f>
        <v>-18</v>
      </c>
      <c r="E46" s="133" t="s">
        <v>778</v>
      </c>
      <c r="F46" s="131" t="s">
        <v>987</v>
      </c>
      <c r="G46" s="46" t="s">
        <v>489</v>
      </c>
      <c r="H46" s="46" t="s">
        <v>989</v>
      </c>
      <c r="I46" t="s">
        <v>1001</v>
      </c>
    </row>
    <row r="47" spans="2:8" x14ac:dyDescent="0.2">
      <c r="B47" s="130">
        <v>44007</v>
      </c>
      <c r="C47" s="129" t="s">
        <v>615</v>
      </c>
      <c r="D47" s="129">
        <v>-126</v>
      </c>
      <c r="E47" s="133" t="s">
        <v>778</v>
      </c>
      <c r="F47" s="131" t="s">
        <v>987</v>
      </c>
      <c r="G47" s="46" t="s">
        <v>489</v>
      </c>
      <c r="H47" s="46" t="s">
        <v>990</v>
      </c>
      <c r="I47" t="s">
        <v>1001</v>
      </c>
    </row>
    <row r="48" spans="2:8" x14ac:dyDescent="0.2">
      <c r="B48" s="130">
        <v>44008</v>
      </c>
      <c r="C48" s="129" t="s">
        <v>615</v>
      </c>
      <c r="D48" s="129">
        <v>-18.100000000000001</v>
      </c>
      <c r="E48" s="129" t="s">
        <v>586</v>
      </c>
      <c r="F48" s="129" t="s">
        <v>704</v>
      </c>
      <c r="G48" s="131"/>
      <c r="H48" s="131"/>
      <c r="I48" t="s">
        <v>1002</v>
      </c>
    </row>
    <row r="49" spans="2:8" x14ac:dyDescent="0.2">
      <c r="B49" s="130">
        <v>44011</v>
      </c>
      <c r="C49" s="129" t="s">
        <v>615</v>
      </c>
      <c r="D49" s="129">
        <v>-1200</v>
      </c>
      <c r="E49" s="129" t="s">
        <v>578</v>
      </c>
      <c r="F49" s="129" t="s">
        <v>639</v>
      </c>
      <c r="G49" s="131"/>
      <c r="H49" s="133"/>
      <c r="I49" t="s">
        <v>1002</v>
      </c>
    </row>
    <row r="50" spans="2:8" x14ac:dyDescent="0.2">
      <c r="B50" s="130">
        <v>44011</v>
      </c>
      <c r="C50" s="129" t="s">
        <v>615</v>
      </c>
      <c r="D50" s="129">
        <v>-33</v>
      </c>
      <c r="E50" s="129" t="s">
        <v>586</v>
      </c>
      <c r="F50" s="129" t="s">
        <v>640</v>
      </c>
      <c r="H50" s="133"/>
      <c r="I50" t="s">
        <v>1002</v>
      </c>
    </row>
    <row r="51" spans="2:8" x14ac:dyDescent="0.2">
      <c r="B51" s="130"/>
      <c r="G51" s="131"/>
      <c r="H51" s="133"/>
    </row>
    <row r="52" spans="2:8" x14ac:dyDescent="0.2">
      <c r="B52" s="130"/>
    </row>
    <row r="53" spans="2:8" x14ac:dyDescent="0.2">
      <c r="B53" s="130"/>
      <c r="G53" s="131"/>
      <c r="H53" s="131"/>
    </row>
    <row r="54" spans="2:8" x14ac:dyDescent="0.2">
      <c r="B54" s="130"/>
    </row>
    <row r="55" spans="2:8" x14ac:dyDescent="0.2">
      <c r="B55" s="130"/>
      <c r="G55" s="131"/>
      <c r="H55" s="131"/>
    </row>
    <row r="56" spans="2:8" x14ac:dyDescent="0.2">
      <c r="B56" s="130"/>
      <c r="H56" s="133"/>
    </row>
    <row r="57" spans="2:8" x14ac:dyDescent="0.2">
      <c r="B57" s="130"/>
      <c r="G57" s="131"/>
      <c r="H57" s="131"/>
    </row>
    <row r="58" spans="2:8" x14ac:dyDescent="0.2">
      <c r="B58" s="130"/>
    </row>
    <row r="59" spans="2:8" x14ac:dyDescent="0.2">
      <c r="B59" s="130"/>
    </row>
    <row r="60" spans="2:8" x14ac:dyDescent="0.2">
      <c r="B60" s="130"/>
    </row>
    <row r="61" spans="2:8" x14ac:dyDescent="0.2">
      <c r="B61" s="130"/>
      <c r="F61" s="131"/>
      <c r="H61" s="131"/>
    </row>
    <row r="62" spans="2:8" x14ac:dyDescent="0.2">
      <c r="B62" s="130"/>
    </row>
    <row r="63" spans="2:8" x14ac:dyDescent="0.2">
      <c r="B63" s="130"/>
    </row>
    <row r="64" spans="2:8" x14ac:dyDescent="0.2">
      <c r="B64" s="130"/>
      <c r="G64" s="131"/>
      <c r="H64" s="133"/>
    </row>
    <row r="65" spans="1:8" x14ac:dyDescent="0.2">
      <c r="B65" s="130"/>
      <c r="H65" s="133"/>
    </row>
    <row r="66" spans="1:8" x14ac:dyDescent="0.2">
      <c r="B66" s="130"/>
      <c r="G66" s="131"/>
      <c r="H66" s="133"/>
    </row>
    <row r="67" spans="1:8" x14ac:dyDescent="0.2">
      <c r="B67" s="130"/>
      <c r="G67" s="131"/>
      <c r="H67" s="131"/>
    </row>
    <row r="68" spans="1:8" x14ac:dyDescent="0.2">
      <c r="B68" s="130"/>
      <c r="G68" s="131"/>
      <c r="H68" s="133"/>
    </row>
    <row r="69" spans="1:8" x14ac:dyDescent="0.2">
      <c r="B69" s="130"/>
      <c r="G69" s="131"/>
      <c r="H69" s="131"/>
    </row>
    <row r="70" spans="1:8" x14ac:dyDescent="0.2">
      <c r="B70" s="130"/>
      <c r="H70" s="131"/>
    </row>
    <row r="71" spans="1:8" x14ac:dyDescent="0.2">
      <c r="B71" s="130"/>
      <c r="G71" s="131"/>
      <c r="H71" s="131"/>
    </row>
    <row r="72" spans="1:8" x14ac:dyDescent="0.2">
      <c r="B72" s="130"/>
      <c r="G72" s="131"/>
      <c r="H72" s="133"/>
    </row>
    <row r="73" spans="1:8" x14ac:dyDescent="0.2">
      <c r="B73" s="130"/>
      <c r="H73" s="131"/>
    </row>
    <row r="74" spans="1:8" x14ac:dyDescent="0.2">
      <c r="B74" s="130"/>
    </row>
    <row r="75" spans="1:8" x14ac:dyDescent="0.2">
      <c r="A75" s="130"/>
      <c r="B75" s="130"/>
      <c r="G75" s="131"/>
      <c r="H75" s="131"/>
    </row>
    <row r="76" spans="1:8" x14ac:dyDescent="0.2">
      <c r="A76" s="130"/>
      <c r="B76" s="130"/>
    </row>
    <row r="77" spans="1:8" x14ac:dyDescent="0.2">
      <c r="A77" s="130"/>
      <c r="B77" s="130"/>
    </row>
    <row r="78" spans="1:8" x14ac:dyDescent="0.2">
      <c r="A78" s="130"/>
      <c r="B78" s="130"/>
    </row>
    <row r="79" spans="1:8" x14ac:dyDescent="0.2">
      <c r="B79" s="130"/>
    </row>
    <row r="80" spans="1:8" x14ac:dyDescent="0.2">
      <c r="B80" s="130"/>
    </row>
    <row r="81" spans="2:14" x14ac:dyDescent="0.2">
      <c r="B81" s="130"/>
    </row>
    <row r="82" spans="2:14" x14ac:dyDescent="0.2">
      <c r="B82" s="130"/>
    </row>
    <row r="83" spans="2:14" x14ac:dyDescent="0.2">
      <c r="B83" s="130"/>
      <c r="G83" s="131"/>
      <c r="H83" s="131"/>
    </row>
    <row r="84" spans="2:14" x14ac:dyDescent="0.2">
      <c r="B84" s="130"/>
      <c r="G84" s="131"/>
      <c r="H84" s="131"/>
    </row>
    <row r="85" spans="2:14" x14ac:dyDescent="0.2">
      <c r="B85" s="130"/>
    </row>
    <row r="86" spans="2:14" x14ac:dyDescent="0.2">
      <c r="B86" s="130"/>
      <c r="G86" s="131"/>
      <c r="H86" s="131"/>
    </row>
    <row r="87" spans="2:14" x14ac:dyDescent="0.2">
      <c r="B87" s="130"/>
      <c r="G87" s="131"/>
      <c r="H87" s="133"/>
      <c r="N87" s="131"/>
    </row>
    <row r="88" spans="2:14" x14ac:dyDescent="0.2">
      <c r="B88" s="130"/>
      <c r="G88" s="131"/>
      <c r="H88" s="133"/>
    </row>
    <row r="89" spans="2:14" x14ac:dyDescent="0.2">
      <c r="B89" s="130"/>
    </row>
    <row r="90" spans="2:14" x14ac:dyDescent="0.2">
      <c r="B90" s="130"/>
    </row>
    <row r="91" spans="2:14" x14ac:dyDescent="0.2">
      <c r="B91" s="130"/>
    </row>
    <row r="92" spans="2:14" x14ac:dyDescent="0.2">
      <c r="B92" s="130"/>
      <c r="G92" s="131"/>
      <c r="H92" s="131"/>
    </row>
  </sheetData>
  <autoFilter ref="A1:I92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E140" sqref="E140"/>
    </sheetView>
  </sheetViews>
  <sheetFormatPr defaultRowHeight="12.75" x14ac:dyDescent="0.2"/>
  <cols>
    <col min="1" max="1" style="129" width="9.140625" collapsed="false"/>
    <col min="2" max="2" bestFit="true" customWidth="true" style="129" width="10.140625" collapsed="false"/>
    <col min="3" max="3" bestFit="true" customWidth="true" style="129" width="17.28515625" collapsed="false"/>
    <col min="4" max="4" style="129" width="9.14062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36">
        <v>43983</v>
      </c>
      <c r="C2" t="s">
        <v>641</v>
      </c>
      <c r="D2">
        <v>-15</v>
      </c>
      <c r="E2" t="s">
        <v>577</v>
      </c>
      <c r="F2" t="s">
        <v>705</v>
      </c>
    </row>
    <row r="3" spans="1:9" x14ac:dyDescent="0.2">
      <c r="B3" s="136">
        <v>43983</v>
      </c>
      <c r="C3" t="s">
        <v>641</v>
      </c>
      <c r="D3">
        <v>-2.5</v>
      </c>
      <c r="E3" t="s">
        <v>577</v>
      </c>
      <c r="F3" t="s">
        <v>705</v>
      </c>
    </row>
    <row r="4" spans="1:9" x14ac:dyDescent="0.2">
      <c r="B4" s="136">
        <v>43983</v>
      </c>
      <c r="C4" t="s">
        <v>641</v>
      </c>
      <c r="D4">
        <v>-2</v>
      </c>
      <c r="E4" t="s">
        <v>577</v>
      </c>
      <c r="F4" t="s">
        <v>706</v>
      </c>
    </row>
    <row r="5" spans="1:9" x14ac:dyDescent="0.2">
      <c r="B5" s="136">
        <v>43983</v>
      </c>
      <c r="C5" t="s">
        <v>641</v>
      </c>
      <c r="D5">
        <v>-1</v>
      </c>
      <c r="E5" t="s">
        <v>577</v>
      </c>
      <c r="F5" t="s">
        <v>705</v>
      </c>
    </row>
    <row r="6" spans="1:9" x14ac:dyDescent="0.2">
      <c r="B6" s="136">
        <v>43983</v>
      </c>
      <c r="C6" t="s">
        <v>641</v>
      </c>
      <c r="D6">
        <v>-100.24</v>
      </c>
      <c r="E6" t="s">
        <v>577</v>
      </c>
      <c r="F6" t="s">
        <v>707</v>
      </c>
    </row>
    <row r="7" spans="1:9" x14ac:dyDescent="0.2">
      <c r="B7" s="136">
        <v>43984</v>
      </c>
      <c r="C7" t="s">
        <v>641</v>
      </c>
      <c r="D7">
        <v>-110.99</v>
      </c>
      <c r="E7" t="s">
        <v>577</v>
      </c>
      <c r="F7" t="s">
        <v>708</v>
      </c>
    </row>
    <row r="8" spans="1:9" x14ac:dyDescent="0.2">
      <c r="B8" s="136">
        <v>43984</v>
      </c>
      <c r="C8" t="s">
        <v>641</v>
      </c>
      <c r="D8">
        <v>-30.88</v>
      </c>
      <c r="E8" t="s">
        <v>577</v>
      </c>
      <c r="F8" t="s">
        <v>709</v>
      </c>
    </row>
    <row r="9" spans="1:9" x14ac:dyDescent="0.2">
      <c r="B9" s="136">
        <v>43985</v>
      </c>
      <c r="C9" t="s">
        <v>641</v>
      </c>
      <c r="D9">
        <v>-111.8</v>
      </c>
      <c r="E9" t="s">
        <v>577</v>
      </c>
      <c r="F9" t="s">
        <v>710</v>
      </c>
    </row>
    <row r="10" spans="1:9" x14ac:dyDescent="0.2">
      <c r="B10" s="136">
        <v>43986</v>
      </c>
      <c r="C10" t="s">
        <v>641</v>
      </c>
      <c r="D10">
        <v>-36</v>
      </c>
      <c r="E10" t="s">
        <v>577</v>
      </c>
      <c r="F10" t="s">
        <v>711</v>
      </c>
    </row>
    <row r="11" spans="1:9" x14ac:dyDescent="0.2">
      <c r="B11" s="136">
        <v>43986</v>
      </c>
      <c r="C11" t="s">
        <v>641</v>
      </c>
      <c r="D11">
        <v>-70.239999999999995</v>
      </c>
      <c r="E11" t="s">
        <v>577</v>
      </c>
      <c r="F11" t="s">
        <v>712</v>
      </c>
    </row>
    <row r="12" spans="1:9" x14ac:dyDescent="0.2">
      <c r="B12" s="136">
        <v>43986</v>
      </c>
      <c r="C12" t="s">
        <v>641</v>
      </c>
      <c r="D12">
        <v>-16.98</v>
      </c>
      <c r="E12" t="s">
        <v>577</v>
      </c>
      <c r="F12" t="s">
        <v>713</v>
      </c>
    </row>
    <row r="13" spans="1:9" x14ac:dyDescent="0.2">
      <c r="B13" s="136">
        <v>43987</v>
      </c>
      <c r="C13" t="s">
        <v>641</v>
      </c>
      <c r="D13">
        <v>-51</v>
      </c>
      <c r="E13" t="s">
        <v>577</v>
      </c>
      <c r="F13" t="s">
        <v>714</v>
      </c>
    </row>
    <row r="14" spans="1:9" x14ac:dyDescent="0.2">
      <c r="B14" s="136">
        <v>43987</v>
      </c>
      <c r="C14" t="s">
        <v>641</v>
      </c>
      <c r="D14">
        <v>-33.049999999999997</v>
      </c>
      <c r="E14" t="s">
        <v>577</v>
      </c>
      <c r="F14" t="s">
        <v>715</v>
      </c>
    </row>
    <row r="15" spans="1:9" x14ac:dyDescent="0.2">
      <c r="B15" s="136">
        <v>43987</v>
      </c>
      <c r="C15" t="s">
        <v>641</v>
      </c>
      <c r="D15">
        <v>-32.94</v>
      </c>
      <c r="E15" t="s">
        <v>577</v>
      </c>
      <c r="F15" t="s">
        <v>716</v>
      </c>
    </row>
    <row r="16" spans="1:9" x14ac:dyDescent="0.2">
      <c r="B16" s="136">
        <v>43990</v>
      </c>
      <c r="C16" t="s">
        <v>641</v>
      </c>
      <c r="D16">
        <v>-40</v>
      </c>
      <c r="E16" t="s">
        <v>577</v>
      </c>
      <c r="F16" t="s">
        <v>717</v>
      </c>
    </row>
    <row r="17" spans="2:6" x14ac:dyDescent="0.2">
      <c r="B17" s="136">
        <v>43990</v>
      </c>
      <c r="C17" t="s">
        <v>641</v>
      </c>
      <c r="D17">
        <v>-20</v>
      </c>
      <c r="E17" t="s">
        <v>577</v>
      </c>
      <c r="F17" t="s">
        <v>718</v>
      </c>
    </row>
    <row r="18" spans="2:6" x14ac:dyDescent="0.2">
      <c r="B18" s="136">
        <v>43990</v>
      </c>
      <c r="C18" t="s">
        <v>641</v>
      </c>
      <c r="D18">
        <v>-15.8</v>
      </c>
      <c r="E18" t="s">
        <v>577</v>
      </c>
      <c r="F18" t="s">
        <v>719</v>
      </c>
    </row>
    <row r="19" spans="2:6" x14ac:dyDescent="0.2">
      <c r="B19" s="136">
        <v>43990</v>
      </c>
      <c r="C19" t="s">
        <v>641</v>
      </c>
      <c r="D19">
        <v>-73.28</v>
      </c>
      <c r="E19" t="s">
        <v>577</v>
      </c>
      <c r="F19" t="s">
        <v>720</v>
      </c>
    </row>
    <row r="20" spans="2:6" x14ac:dyDescent="0.2">
      <c r="B20" s="136">
        <v>43990</v>
      </c>
      <c r="C20" t="s">
        <v>641</v>
      </c>
      <c r="D20">
        <v>-46.83</v>
      </c>
      <c r="E20" t="s">
        <v>577</v>
      </c>
      <c r="F20" t="s">
        <v>721</v>
      </c>
    </row>
    <row r="21" spans="2:6" x14ac:dyDescent="0.2">
      <c r="B21" s="136">
        <v>43992</v>
      </c>
      <c r="C21" t="s">
        <v>641</v>
      </c>
      <c r="D21">
        <v>-5.35</v>
      </c>
      <c r="E21" t="s">
        <v>577</v>
      </c>
      <c r="F21" t="s">
        <v>722</v>
      </c>
    </row>
    <row r="22" spans="2:6" x14ac:dyDescent="0.2">
      <c r="B22" s="136">
        <v>43993</v>
      </c>
      <c r="C22" t="s">
        <v>641</v>
      </c>
      <c r="D22">
        <v>-25.35</v>
      </c>
      <c r="E22" t="s">
        <v>577</v>
      </c>
      <c r="F22" t="s">
        <v>723</v>
      </c>
    </row>
    <row r="23" spans="2:6" x14ac:dyDescent="0.2">
      <c r="B23" s="136">
        <v>43994</v>
      </c>
      <c r="C23" t="s">
        <v>641</v>
      </c>
      <c r="D23">
        <v>-70.38</v>
      </c>
      <c r="E23" t="s">
        <v>577</v>
      </c>
      <c r="F23" t="s">
        <v>724</v>
      </c>
    </row>
    <row r="24" spans="2:6" x14ac:dyDescent="0.2">
      <c r="B24" s="136">
        <v>43994</v>
      </c>
      <c r="C24" t="s">
        <v>641</v>
      </c>
      <c r="D24">
        <v>-51.68</v>
      </c>
      <c r="E24" t="s">
        <v>577</v>
      </c>
      <c r="F24" t="s">
        <v>725</v>
      </c>
    </row>
    <row r="25" spans="2:6" x14ac:dyDescent="0.2">
      <c r="B25" s="136">
        <v>43997</v>
      </c>
      <c r="C25" t="s">
        <v>641</v>
      </c>
      <c r="D25">
        <v>-26.71</v>
      </c>
      <c r="E25" t="s">
        <v>577</v>
      </c>
      <c r="F25" t="s">
        <v>726</v>
      </c>
    </row>
    <row r="26" spans="2:6" x14ac:dyDescent="0.2">
      <c r="B26" s="136">
        <v>43997</v>
      </c>
      <c r="C26" t="s">
        <v>641</v>
      </c>
      <c r="D26">
        <v>-15.5</v>
      </c>
      <c r="E26" t="s">
        <v>577</v>
      </c>
      <c r="F26" t="s">
        <v>727</v>
      </c>
    </row>
    <row r="27" spans="2:6" x14ac:dyDescent="0.2">
      <c r="B27" s="136">
        <v>43997</v>
      </c>
      <c r="C27" t="s">
        <v>641</v>
      </c>
      <c r="D27">
        <v>-10.1</v>
      </c>
      <c r="E27" t="s">
        <v>577</v>
      </c>
      <c r="F27" t="s">
        <v>728</v>
      </c>
    </row>
    <row r="28" spans="2:6" x14ac:dyDescent="0.2">
      <c r="B28" s="136">
        <v>43997</v>
      </c>
      <c r="C28" t="s">
        <v>641</v>
      </c>
      <c r="D28">
        <v>-9.6</v>
      </c>
      <c r="E28" t="s">
        <v>577</v>
      </c>
      <c r="F28" t="s">
        <v>729</v>
      </c>
    </row>
    <row r="29" spans="2:6" x14ac:dyDescent="0.2">
      <c r="B29" s="136">
        <v>43997</v>
      </c>
      <c r="C29" t="s">
        <v>641</v>
      </c>
      <c r="D29">
        <v>-49.92</v>
      </c>
      <c r="E29" t="s">
        <v>577</v>
      </c>
      <c r="F29" t="s">
        <v>730</v>
      </c>
    </row>
    <row r="30" spans="2:6" x14ac:dyDescent="0.2">
      <c r="B30" s="136">
        <v>43997</v>
      </c>
      <c r="C30" t="s">
        <v>641</v>
      </c>
      <c r="D30">
        <v>-47.47</v>
      </c>
      <c r="E30" t="s">
        <v>577</v>
      </c>
      <c r="F30" t="s">
        <v>731</v>
      </c>
    </row>
    <row r="31" spans="2:6" x14ac:dyDescent="0.2">
      <c r="B31" s="136">
        <v>43997</v>
      </c>
      <c r="C31" t="s">
        <v>641</v>
      </c>
      <c r="D31">
        <v>-36.979999999999997</v>
      </c>
      <c r="E31" t="s">
        <v>577</v>
      </c>
      <c r="F31" t="s">
        <v>732</v>
      </c>
    </row>
    <row r="32" spans="2:6" x14ac:dyDescent="0.2">
      <c r="B32" s="136">
        <v>43998</v>
      </c>
      <c r="C32" t="s">
        <v>641</v>
      </c>
      <c r="D32">
        <v>200</v>
      </c>
      <c r="E32" t="s">
        <v>591</v>
      </c>
      <c r="F32" t="s">
        <v>733</v>
      </c>
    </row>
    <row r="33" spans="2:8" x14ac:dyDescent="0.2">
      <c r="B33" s="136">
        <v>43998</v>
      </c>
      <c r="C33" t="s">
        <v>641</v>
      </c>
      <c r="D33">
        <v>-20</v>
      </c>
      <c r="E33" t="s">
        <v>577</v>
      </c>
      <c r="F33" t="s">
        <v>734</v>
      </c>
    </row>
    <row r="34" spans="2:8" x14ac:dyDescent="0.2">
      <c r="B34" s="136">
        <v>43998</v>
      </c>
      <c r="C34" t="s">
        <v>641</v>
      </c>
      <c r="D34">
        <v>-19.11</v>
      </c>
      <c r="E34" t="s">
        <v>577</v>
      </c>
      <c r="F34" t="s">
        <v>735</v>
      </c>
    </row>
    <row r="35" spans="2:8" x14ac:dyDescent="0.2">
      <c r="B35" s="136">
        <v>43999</v>
      </c>
      <c r="C35" t="s">
        <v>641</v>
      </c>
      <c r="D35">
        <v>-6.06</v>
      </c>
      <c r="E35" t="s">
        <v>577</v>
      </c>
      <c r="F35" t="s">
        <v>736</v>
      </c>
    </row>
    <row r="36" spans="2:8" x14ac:dyDescent="0.2">
      <c r="B36" s="136">
        <v>43999</v>
      </c>
      <c r="C36" t="s">
        <v>641</v>
      </c>
      <c r="D36">
        <v>-51.42</v>
      </c>
      <c r="E36" t="s">
        <v>577</v>
      </c>
      <c r="F36" t="s">
        <v>737</v>
      </c>
    </row>
    <row r="37" spans="2:8" x14ac:dyDescent="0.2">
      <c r="B37" s="136">
        <v>44004</v>
      </c>
      <c r="C37" t="s">
        <v>641</v>
      </c>
      <c r="D37">
        <v>300</v>
      </c>
      <c r="E37" t="s">
        <v>591</v>
      </c>
      <c r="F37" t="s">
        <v>738</v>
      </c>
    </row>
    <row r="38" spans="2:8" x14ac:dyDescent="0.2">
      <c r="B38" s="136">
        <v>44004</v>
      </c>
      <c r="C38" t="s">
        <v>641</v>
      </c>
      <c r="D38">
        <v>-14</v>
      </c>
      <c r="E38" t="s">
        <v>577</v>
      </c>
      <c r="F38" t="s">
        <v>739</v>
      </c>
    </row>
    <row r="39" spans="2:8" x14ac:dyDescent="0.2">
      <c r="B39" s="136">
        <v>44004</v>
      </c>
      <c r="C39" t="s">
        <v>641</v>
      </c>
      <c r="D39">
        <v>-4.8499999999999996</v>
      </c>
      <c r="E39" t="s">
        <v>577</v>
      </c>
      <c r="F39" t="s">
        <v>740</v>
      </c>
    </row>
    <row r="40" spans="2:8" x14ac:dyDescent="0.2">
      <c r="B40" s="136">
        <v>44004</v>
      </c>
      <c r="C40" t="s">
        <v>641</v>
      </c>
      <c r="D40">
        <v>-4.05</v>
      </c>
      <c r="E40" t="s">
        <v>577</v>
      </c>
      <c r="F40" t="s">
        <v>741</v>
      </c>
    </row>
    <row r="41" spans="2:8" x14ac:dyDescent="0.2">
      <c r="B41" s="136">
        <v>44004</v>
      </c>
      <c r="C41" t="s">
        <v>641</v>
      </c>
      <c r="D41">
        <v>-2.8</v>
      </c>
      <c r="E41" t="s">
        <v>577</v>
      </c>
      <c r="F41" t="s">
        <v>742</v>
      </c>
    </row>
    <row r="42" spans="2:8" x14ac:dyDescent="0.2">
      <c r="B42" s="136">
        <v>44004</v>
      </c>
      <c r="C42" t="s">
        <v>641</v>
      </c>
      <c r="D42">
        <v>-2.5499999999999998</v>
      </c>
      <c r="E42" t="s">
        <v>577</v>
      </c>
      <c r="F42" t="s">
        <v>741</v>
      </c>
    </row>
    <row r="43" spans="2:8" x14ac:dyDescent="0.2">
      <c r="B43" s="136">
        <v>44005</v>
      </c>
      <c r="C43" t="s">
        <v>641</v>
      </c>
      <c r="D43">
        <v>-8.1</v>
      </c>
      <c r="E43" t="s">
        <v>577</v>
      </c>
      <c r="F43" t="s">
        <v>743</v>
      </c>
    </row>
    <row r="44" spans="2:8" x14ac:dyDescent="0.2">
      <c r="B44" s="136">
        <v>44005</v>
      </c>
      <c r="C44" t="s">
        <v>641</v>
      </c>
      <c r="D44">
        <v>-7.86</v>
      </c>
      <c r="E44" t="s">
        <v>577</v>
      </c>
      <c r="F44" t="s">
        <v>744</v>
      </c>
    </row>
    <row r="45" spans="2:8" x14ac:dyDescent="0.2">
      <c r="B45" s="136">
        <v>44005</v>
      </c>
      <c r="C45" t="s">
        <v>641</v>
      </c>
      <c r="D45">
        <v>-6.19</v>
      </c>
      <c r="E45" t="s">
        <v>577</v>
      </c>
      <c r="F45" t="s">
        <v>745</v>
      </c>
    </row>
    <row r="46" spans="2:8" x14ac:dyDescent="0.2">
      <c r="B46" s="136">
        <v>44005</v>
      </c>
      <c r="C46" t="s">
        <v>641</v>
      </c>
      <c r="D46">
        <v>-2.5</v>
      </c>
      <c r="E46" t="s">
        <v>577</v>
      </c>
      <c r="F46" t="s">
        <v>746</v>
      </c>
    </row>
    <row r="47" spans="2:8" x14ac:dyDescent="0.2">
      <c r="B47" s="136">
        <v>44006</v>
      </c>
      <c r="C47" t="s">
        <v>641</v>
      </c>
      <c r="D47">
        <v>-39.19</v>
      </c>
      <c r="E47" t="s">
        <v>577</v>
      </c>
      <c r="F47" t="s">
        <v>747</v>
      </c>
      <c r="H47" s="133"/>
    </row>
    <row r="48" spans="2:8" x14ac:dyDescent="0.2">
      <c r="B48" s="136">
        <v>44006</v>
      </c>
      <c r="C48" t="s">
        <v>641</v>
      </c>
      <c r="D48">
        <v>-29.1</v>
      </c>
      <c r="E48" t="s">
        <v>577</v>
      </c>
      <c r="F48" t="s">
        <v>747</v>
      </c>
    </row>
    <row r="49" spans="2:6" x14ac:dyDescent="0.2">
      <c r="B49" s="136">
        <v>44006</v>
      </c>
      <c r="C49" t="s">
        <v>641</v>
      </c>
      <c r="D49">
        <v>-68.31</v>
      </c>
      <c r="E49" t="s">
        <v>577</v>
      </c>
      <c r="F49" t="s">
        <v>748</v>
      </c>
    </row>
    <row r="50" spans="2:6" x14ac:dyDescent="0.2">
      <c r="B50" s="136">
        <v>44006</v>
      </c>
      <c r="C50" t="s">
        <v>641</v>
      </c>
      <c r="D50">
        <v>-20</v>
      </c>
      <c r="E50" t="s">
        <v>577</v>
      </c>
      <c r="F50" t="s">
        <v>749</v>
      </c>
    </row>
    <row r="51" spans="2:6" x14ac:dyDescent="0.2">
      <c r="B51" s="136">
        <v>44006</v>
      </c>
      <c r="C51" t="s">
        <v>641</v>
      </c>
      <c r="D51">
        <v>-2</v>
      </c>
      <c r="E51" t="s">
        <v>577</v>
      </c>
      <c r="F51" t="s">
        <v>750</v>
      </c>
    </row>
    <row r="52" spans="2:6" x14ac:dyDescent="0.2">
      <c r="B52" s="136">
        <v>44007</v>
      </c>
      <c r="C52" t="s">
        <v>641</v>
      </c>
      <c r="D52">
        <v>400</v>
      </c>
      <c r="E52" t="s">
        <v>591</v>
      </c>
      <c r="F52" t="s">
        <v>738</v>
      </c>
    </row>
    <row r="53" spans="2:6" x14ac:dyDescent="0.2">
      <c r="B53" s="136">
        <v>44007</v>
      </c>
      <c r="C53" t="s">
        <v>641</v>
      </c>
      <c r="D53">
        <v>-35</v>
      </c>
      <c r="E53" t="s">
        <v>577</v>
      </c>
      <c r="F53" t="s">
        <v>751</v>
      </c>
    </row>
    <row r="54" spans="2:6" x14ac:dyDescent="0.2">
      <c r="B54" s="136">
        <v>44007</v>
      </c>
      <c r="C54" t="s">
        <v>641</v>
      </c>
      <c r="D54">
        <v>-10.07</v>
      </c>
      <c r="E54" t="s">
        <v>577</v>
      </c>
      <c r="F54" t="s">
        <v>752</v>
      </c>
    </row>
    <row r="55" spans="2:6" x14ac:dyDescent="0.2">
      <c r="B55" s="136">
        <v>44007</v>
      </c>
      <c r="C55" t="s">
        <v>641</v>
      </c>
      <c r="D55">
        <v>-5.9</v>
      </c>
      <c r="E55" t="s">
        <v>577</v>
      </c>
      <c r="F55" t="s">
        <v>753</v>
      </c>
    </row>
    <row r="56" spans="2:6" x14ac:dyDescent="0.2">
      <c r="B56" s="136">
        <v>44007</v>
      </c>
      <c r="C56" t="s">
        <v>641</v>
      </c>
      <c r="D56">
        <v>-5.7</v>
      </c>
      <c r="E56" t="s">
        <v>577</v>
      </c>
      <c r="F56" t="s">
        <v>754</v>
      </c>
    </row>
    <row r="57" spans="2:6" x14ac:dyDescent="0.2">
      <c r="B57" s="136">
        <v>44007</v>
      </c>
      <c r="C57" t="s">
        <v>641</v>
      </c>
      <c r="D57">
        <v>-5.1100000000000003</v>
      </c>
      <c r="E57" t="s">
        <v>577</v>
      </c>
      <c r="F57" t="s">
        <v>755</v>
      </c>
    </row>
    <row r="58" spans="2:6" x14ac:dyDescent="0.2">
      <c r="B58" s="136">
        <v>44007</v>
      </c>
      <c r="C58" t="s">
        <v>641</v>
      </c>
      <c r="D58">
        <v>-212.58</v>
      </c>
      <c r="E58" t="s">
        <v>577</v>
      </c>
      <c r="F58" t="s">
        <v>756</v>
      </c>
    </row>
    <row r="59" spans="2:6" x14ac:dyDescent="0.2">
      <c r="B59" s="136">
        <v>44007</v>
      </c>
      <c r="C59" t="s">
        <v>641</v>
      </c>
      <c r="D59">
        <v>-149.9</v>
      </c>
      <c r="E59" t="s">
        <v>577</v>
      </c>
      <c r="F59" t="s">
        <v>757</v>
      </c>
    </row>
    <row r="60" spans="2:6" x14ac:dyDescent="0.2">
      <c r="B60" s="136">
        <v>44007</v>
      </c>
      <c r="C60" t="s">
        <v>641</v>
      </c>
      <c r="D60">
        <v>-49.98</v>
      </c>
      <c r="E60" t="s">
        <v>577</v>
      </c>
      <c r="F60" t="s">
        <v>758</v>
      </c>
    </row>
    <row r="61" spans="2:6" x14ac:dyDescent="0.2">
      <c r="B61" s="136">
        <v>44011</v>
      </c>
      <c r="C61" t="s">
        <v>641</v>
      </c>
      <c r="D61">
        <v>1200</v>
      </c>
      <c r="E61" t="s">
        <v>613</v>
      </c>
      <c r="F61" t="s">
        <v>642</v>
      </c>
    </row>
    <row r="62" spans="2:6" x14ac:dyDescent="0.2">
      <c r="B62" s="136">
        <v>44011</v>
      </c>
      <c r="C62" t="s">
        <v>641</v>
      </c>
      <c r="D62">
        <v>-13.4</v>
      </c>
      <c r="E62" t="s">
        <v>577</v>
      </c>
      <c r="F62" t="s">
        <v>759</v>
      </c>
    </row>
    <row r="63" spans="2:6" x14ac:dyDescent="0.2">
      <c r="B63" s="136">
        <v>44011</v>
      </c>
      <c r="C63" t="s">
        <v>641</v>
      </c>
      <c r="D63">
        <v>-12.05</v>
      </c>
      <c r="E63" t="s">
        <v>577</v>
      </c>
      <c r="F63" t="s">
        <v>760</v>
      </c>
    </row>
    <row r="64" spans="2:6" x14ac:dyDescent="0.2">
      <c r="B64" s="136">
        <v>44011</v>
      </c>
      <c r="C64" t="s">
        <v>641</v>
      </c>
      <c r="D64">
        <v>-9.35</v>
      </c>
      <c r="E64" t="s">
        <v>577</v>
      </c>
      <c r="F64" t="s">
        <v>761</v>
      </c>
    </row>
    <row r="65" spans="2:6" x14ac:dyDescent="0.2">
      <c r="B65" s="136">
        <v>44011</v>
      </c>
      <c r="C65" t="s">
        <v>641</v>
      </c>
      <c r="D65">
        <v>-5.86</v>
      </c>
      <c r="E65" t="s">
        <v>577</v>
      </c>
      <c r="F65" t="s">
        <v>762</v>
      </c>
    </row>
    <row r="66" spans="2:6" x14ac:dyDescent="0.2">
      <c r="B66" s="136">
        <v>44011</v>
      </c>
      <c r="C66" t="s">
        <v>641</v>
      </c>
      <c r="D66">
        <v>-20</v>
      </c>
      <c r="E66" t="s">
        <v>763</v>
      </c>
      <c r="F66" t="s">
        <v>764</v>
      </c>
    </row>
    <row r="67" spans="2:6" x14ac:dyDescent="0.2">
      <c r="B67" s="136">
        <v>44011</v>
      </c>
      <c r="C67" t="s">
        <v>641</v>
      </c>
      <c r="D67">
        <v>-3.5</v>
      </c>
      <c r="E67" t="s">
        <v>577</v>
      </c>
      <c r="F67" t="s">
        <v>765</v>
      </c>
    </row>
    <row r="68" spans="2:6" x14ac:dyDescent="0.2">
      <c r="B68" s="136">
        <v>44012</v>
      </c>
      <c r="C68" t="s">
        <v>641</v>
      </c>
      <c r="D68">
        <v>-16</v>
      </c>
      <c r="E68" t="s">
        <v>577</v>
      </c>
      <c r="F68" t="s">
        <v>766</v>
      </c>
    </row>
    <row r="69" spans="2:6" x14ac:dyDescent="0.2">
      <c r="B69" s="136">
        <v>44012</v>
      </c>
      <c r="C69" t="s">
        <v>641</v>
      </c>
      <c r="D69">
        <v>-40.1</v>
      </c>
      <c r="E69" t="s">
        <v>577</v>
      </c>
      <c r="F69" t="s">
        <v>767</v>
      </c>
    </row>
    <row r="70" spans="2:6" x14ac:dyDescent="0.2">
      <c r="B70" s="136"/>
      <c r="C70"/>
      <c r="D70"/>
      <c r="E70"/>
      <c r="F70"/>
    </row>
    <row r="71" spans="2:6" x14ac:dyDescent="0.2">
      <c r="B71" s="136"/>
      <c r="C71"/>
      <c r="D71"/>
      <c r="E71"/>
      <c r="F71"/>
    </row>
    <row r="72" spans="2:6" x14ac:dyDescent="0.2">
      <c r="B72" s="136"/>
      <c r="C72"/>
      <c r="D72"/>
      <c r="E72"/>
      <c r="F72"/>
    </row>
    <row r="73" spans="2:6" x14ac:dyDescent="0.2">
      <c r="B73" s="136"/>
      <c r="C73"/>
      <c r="D73"/>
      <c r="E73"/>
      <c r="F73"/>
    </row>
    <row r="74" spans="2:6" x14ac:dyDescent="0.2">
      <c r="B74" s="136"/>
      <c r="C74"/>
      <c r="D74"/>
      <c r="E74"/>
      <c r="F74"/>
    </row>
    <row r="75" spans="2:6" x14ac:dyDescent="0.2">
      <c r="B75" s="136"/>
      <c r="C75"/>
      <c r="D75"/>
      <c r="E75"/>
      <c r="F75"/>
    </row>
    <row r="76" spans="2:6" x14ac:dyDescent="0.2">
      <c r="B76" s="136"/>
      <c r="C76"/>
      <c r="D76"/>
      <c r="E76"/>
      <c r="F76"/>
    </row>
    <row r="77" spans="2:6" x14ac:dyDescent="0.2">
      <c r="B77" s="136"/>
      <c r="C77"/>
      <c r="D77"/>
      <c r="E77"/>
      <c r="F77"/>
    </row>
    <row r="78" spans="2:6" x14ac:dyDescent="0.2">
      <c r="B78" s="136"/>
      <c r="C78"/>
      <c r="D78"/>
      <c r="E78"/>
      <c r="F78"/>
    </row>
    <row r="79" spans="2:6" x14ac:dyDescent="0.2">
      <c r="B79" s="136"/>
      <c r="C79"/>
      <c r="D79"/>
      <c r="E79"/>
      <c r="F79"/>
    </row>
    <row r="80" spans="2:6" x14ac:dyDescent="0.2">
      <c r="B80" s="136"/>
      <c r="C80"/>
      <c r="D80"/>
      <c r="E80"/>
      <c r="F80"/>
    </row>
    <row r="81" spans="2:6" x14ac:dyDescent="0.2">
      <c r="B81" s="136"/>
      <c r="C81"/>
      <c r="D81"/>
      <c r="E81"/>
      <c r="F81"/>
    </row>
    <row r="82" spans="2:6" x14ac:dyDescent="0.2">
      <c r="B82" s="136"/>
      <c r="C82"/>
      <c r="D82"/>
      <c r="E82"/>
      <c r="F82"/>
    </row>
    <row r="83" spans="2:6" x14ac:dyDescent="0.2">
      <c r="B83" s="136"/>
      <c r="C83"/>
      <c r="D83"/>
      <c r="E83"/>
      <c r="F83"/>
    </row>
    <row r="84" spans="2:6" x14ac:dyDescent="0.2">
      <c r="B84" s="136"/>
      <c r="C84"/>
      <c r="D84"/>
      <c r="E84"/>
      <c r="F84"/>
    </row>
    <row r="85" spans="2:6" x14ac:dyDescent="0.2">
      <c r="B85" s="136"/>
      <c r="C85"/>
      <c r="D85"/>
      <c r="E85"/>
      <c r="F85"/>
    </row>
    <row r="86" spans="2:6" x14ac:dyDescent="0.2">
      <c r="B86" s="136"/>
      <c r="C86"/>
      <c r="D86"/>
      <c r="E86"/>
      <c r="F86"/>
    </row>
    <row r="87" spans="2:6" x14ac:dyDescent="0.2">
      <c r="B87" s="136"/>
      <c r="C87"/>
      <c r="D87"/>
      <c r="E87"/>
      <c r="F87"/>
    </row>
    <row r="88" spans="2:6" x14ac:dyDescent="0.2">
      <c r="B88" s="136"/>
      <c r="C88"/>
      <c r="D88"/>
      <c r="E88"/>
      <c r="F88"/>
    </row>
    <row r="89" spans="2:6" x14ac:dyDescent="0.2">
      <c r="B89" s="136"/>
      <c r="C89"/>
      <c r="D89"/>
      <c r="E89"/>
      <c r="F89"/>
    </row>
    <row r="90" spans="2:6" x14ac:dyDescent="0.2">
      <c r="B90" s="136"/>
      <c r="C90"/>
      <c r="D90"/>
      <c r="E90"/>
      <c r="F90"/>
    </row>
    <row r="91" spans="2:6" x14ac:dyDescent="0.2">
      <c r="B91" s="136"/>
      <c r="C91"/>
      <c r="D91"/>
      <c r="E91"/>
      <c r="F91"/>
    </row>
    <row r="92" spans="2:6" x14ac:dyDescent="0.2">
      <c r="B92" s="136"/>
      <c r="C92"/>
      <c r="D92"/>
      <c r="E92"/>
      <c r="F92"/>
    </row>
    <row r="93" spans="2:6" x14ac:dyDescent="0.2">
      <c r="B93" s="136"/>
      <c r="C93"/>
      <c r="D93"/>
      <c r="E93"/>
      <c r="F93"/>
    </row>
    <row r="94" spans="2:6" x14ac:dyDescent="0.2">
      <c r="B94" s="136"/>
      <c r="C94"/>
      <c r="D94"/>
      <c r="E94"/>
      <c r="F94"/>
    </row>
    <row r="95" spans="2:6" x14ac:dyDescent="0.2">
      <c r="B95" s="136"/>
      <c r="C95"/>
      <c r="D95"/>
      <c r="E95"/>
      <c r="F95"/>
    </row>
    <row r="96" spans="2:6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142" workbookViewId="0" zoomScale="85" zoomScaleNormal="85">
      <selection activeCell="K173" sqref="K173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x14ac:dyDescent="0.2">
      <c r="A2" s="46" t="s">
        <v>495</v>
      </c>
      <c r="B2">
        <v>716309</v>
      </c>
      <c r="C2" s="65">
        <v>43985.74658564815</v>
      </c>
      <c r="D2" t="s">
        <v>802</v>
      </c>
      <c r="F2">
        <v>0</v>
      </c>
      <c r="G2">
        <v>0</v>
      </c>
      <c r="H2">
        <v>308.08</v>
      </c>
      <c r="J2" t="s">
        <v>1004</v>
      </c>
    </row>
    <row r="3" spans="1:10" x14ac:dyDescent="0.2">
      <c r="A3" s="46" t="s">
        <v>495</v>
      </c>
      <c r="B3">
        <v>716309</v>
      </c>
      <c r="C3" s="65">
        <v>43985.74658564815</v>
      </c>
      <c r="D3" t="s">
        <v>803</v>
      </c>
      <c r="E3" t="s">
        <v>804</v>
      </c>
      <c r="F3">
        <v>255079</v>
      </c>
      <c r="G3">
        <v>22.18</v>
      </c>
      <c r="H3">
        <v>0</v>
      </c>
      <c r="J3" t="s">
        <v>1005</v>
      </c>
    </row>
    <row r="4" spans="1:10" x14ac:dyDescent="0.2">
      <c r="A4" s="46" t="s">
        <v>495</v>
      </c>
      <c r="B4">
        <v>716358</v>
      </c>
      <c r="C4" s="65">
        <v>43985.749490740738</v>
      </c>
      <c r="D4" t="s">
        <v>805</v>
      </c>
      <c r="E4" t="s">
        <v>806</v>
      </c>
      <c r="F4">
        <v>201479</v>
      </c>
      <c r="G4">
        <v>279.89999999999998</v>
      </c>
      <c r="H4">
        <v>0</v>
      </c>
      <c r="J4" t="s">
        <v>1006</v>
      </c>
    </row>
    <row r="5" spans="1:10" x14ac:dyDescent="0.2">
      <c r="A5" s="46" t="s">
        <v>495</v>
      </c>
      <c r="B5">
        <v>720683</v>
      </c>
      <c r="C5" s="65">
        <v>44004.469768518517</v>
      </c>
      <c r="D5" t="s">
        <v>807</v>
      </c>
      <c r="F5">
        <v>0</v>
      </c>
      <c r="G5">
        <v>0</v>
      </c>
      <c r="H5">
        <v>153.44</v>
      </c>
      <c r="J5" t="s">
        <v>1004</v>
      </c>
    </row>
    <row r="6" spans="1:10" x14ac:dyDescent="0.2">
      <c r="A6" s="46" t="s">
        <v>495</v>
      </c>
      <c r="B6">
        <v>720683</v>
      </c>
      <c r="C6" s="65">
        <v>44004.469768518517</v>
      </c>
      <c r="D6" t="s">
        <v>803</v>
      </c>
      <c r="E6" t="s">
        <v>804</v>
      </c>
      <c r="F6">
        <v>256759</v>
      </c>
      <c r="G6">
        <v>11.05</v>
      </c>
      <c r="H6">
        <v>0</v>
      </c>
      <c r="J6" t="s">
        <v>1005</v>
      </c>
    </row>
    <row r="7" spans="1:10" x14ac:dyDescent="0.2">
      <c r="A7" s="46" t="s">
        <v>495</v>
      </c>
      <c r="B7">
        <v>720693</v>
      </c>
      <c r="C7" s="65">
        <v>44004.472349537034</v>
      </c>
      <c r="D7" t="s">
        <v>805</v>
      </c>
      <c r="E7" t="s">
        <v>806</v>
      </c>
      <c r="F7">
        <v>202819</v>
      </c>
      <c r="G7">
        <v>142.38999999999999</v>
      </c>
      <c r="H7">
        <v>0</v>
      </c>
      <c r="J7" t="s">
        <v>1006</v>
      </c>
    </row>
    <row r="8" spans="1:10" x14ac:dyDescent="0.2">
      <c r="A8" s="46" t="s">
        <v>495</v>
      </c>
      <c r="B8">
        <v>722641</v>
      </c>
      <c r="C8" s="65">
        <v>44010.023368055554</v>
      </c>
      <c r="D8" s="46" t="s">
        <v>808</v>
      </c>
      <c r="E8" t="s">
        <v>804</v>
      </c>
      <c r="F8">
        <v>258203</v>
      </c>
      <c r="G8">
        <v>6</v>
      </c>
      <c r="H8">
        <v>0</v>
      </c>
      <c r="J8" t="s">
        <v>1007</v>
      </c>
    </row>
    <row r="9" spans="1:10" x14ac:dyDescent="0.2">
      <c r="A9" s="46" t="s">
        <v>495</v>
      </c>
      <c r="B9">
        <v>723482</v>
      </c>
      <c r="C9" s="65">
        <v>44012.624236111114</v>
      </c>
      <c r="D9" t="s">
        <v>807</v>
      </c>
      <c r="F9">
        <v>0</v>
      </c>
      <c r="G9">
        <v>0</v>
      </c>
      <c r="H9">
        <v>346.56</v>
      </c>
      <c r="J9" t="s">
        <v>1004</v>
      </c>
    </row>
    <row r="10" spans="1:10" x14ac:dyDescent="0.2">
      <c r="A10" s="46" t="s">
        <v>495</v>
      </c>
      <c r="B10">
        <v>723482</v>
      </c>
      <c r="C10" s="65">
        <v>44012.624236111114</v>
      </c>
      <c r="D10" t="s">
        <v>803</v>
      </c>
      <c r="E10" t="s">
        <v>804</v>
      </c>
      <c r="F10">
        <v>258864</v>
      </c>
      <c r="G10">
        <v>24.95</v>
      </c>
      <c r="H10">
        <v>0</v>
      </c>
      <c r="J10" t="s">
        <v>1005</v>
      </c>
    </row>
    <row r="11" spans="1:10" x14ac:dyDescent="0.2">
      <c r="A11" s="46" t="s">
        <v>495</v>
      </c>
      <c r="B11">
        <v>723545</v>
      </c>
      <c r="C11" s="65">
        <v>44012.636435185188</v>
      </c>
      <c r="D11" t="s">
        <v>805</v>
      </c>
      <c r="E11" t="s">
        <v>806</v>
      </c>
      <c r="F11">
        <v>203651</v>
      </c>
      <c r="G11">
        <v>315.61</v>
      </c>
      <c r="H11">
        <v>0</v>
      </c>
      <c r="J11" t="s">
        <v>1006</v>
      </c>
    </row>
    <row r="12" spans="1:10" x14ac:dyDescent="0.2">
      <c r="A12" t="s">
        <v>497</v>
      </c>
      <c r="B12">
        <v>717184</v>
      </c>
      <c r="C12" s="65">
        <v>43990.629745370374</v>
      </c>
      <c r="D12" s="46" t="s">
        <v>809</v>
      </c>
      <c r="F12">
        <v>0</v>
      </c>
      <c r="G12">
        <v>0</v>
      </c>
      <c r="H12">
        <v>500</v>
      </c>
      <c r="J12" t="s">
        <v>1004</v>
      </c>
    </row>
    <row r="13" spans="1:10" x14ac:dyDescent="0.2">
      <c r="A13" t="s">
        <v>497</v>
      </c>
      <c r="B13">
        <v>717184</v>
      </c>
      <c r="C13" s="65">
        <v>43990.629745370374</v>
      </c>
      <c r="D13" t="s">
        <v>810</v>
      </c>
      <c r="E13" t="s">
        <v>804</v>
      </c>
      <c r="F13">
        <v>255431</v>
      </c>
      <c r="G13">
        <v>42</v>
      </c>
      <c r="H13">
        <v>0</v>
      </c>
      <c r="J13" t="s">
        <v>1005</v>
      </c>
    </row>
    <row r="14" spans="1:10" x14ac:dyDescent="0.2">
      <c r="A14" t="s">
        <v>497</v>
      </c>
      <c r="B14">
        <v>717205</v>
      </c>
      <c r="C14" s="65">
        <v>43990.637986111113</v>
      </c>
      <c r="D14" t="s">
        <v>811</v>
      </c>
      <c r="E14" t="s">
        <v>806</v>
      </c>
      <c r="F14">
        <v>201743</v>
      </c>
      <c r="G14">
        <v>452</v>
      </c>
      <c r="H14">
        <v>0</v>
      </c>
      <c r="J14" t="s">
        <v>1006</v>
      </c>
    </row>
    <row r="15" spans="1:10" x14ac:dyDescent="0.2">
      <c r="A15" t="s">
        <v>497</v>
      </c>
      <c r="B15">
        <v>722641</v>
      </c>
      <c r="C15" s="65">
        <v>44010.023368055554</v>
      </c>
      <c r="D15" t="s">
        <v>812</v>
      </c>
      <c r="E15" t="s">
        <v>804</v>
      </c>
      <c r="F15">
        <v>258210</v>
      </c>
      <c r="G15">
        <v>6</v>
      </c>
      <c r="H15">
        <v>0</v>
      </c>
      <c r="J15" t="s">
        <v>1007</v>
      </c>
    </row>
    <row r="16" spans="1:10" x14ac:dyDescent="0.2">
      <c r="A16" s="46" t="s">
        <v>510</v>
      </c>
      <c r="B16">
        <v>716327</v>
      </c>
      <c r="C16" s="65">
        <v>43985.74658564815</v>
      </c>
      <c r="D16" t="s">
        <v>813</v>
      </c>
      <c r="F16">
        <v>0</v>
      </c>
      <c r="G16">
        <v>0</v>
      </c>
      <c r="H16">
        <v>114.59</v>
      </c>
      <c r="J16" t="s">
        <v>1004</v>
      </c>
    </row>
    <row r="17" spans="1:8" x14ac:dyDescent="0.2">
      <c r="A17" s="46" t="s">
        <v>510</v>
      </c>
      <c r="B17">
        <v>716327</v>
      </c>
      <c r="C17" s="65">
        <v>43985.74658564815</v>
      </c>
      <c r="D17" t="s">
        <v>814</v>
      </c>
      <c r="E17" t="s">
        <v>804</v>
      </c>
      <c r="F17">
        <v>255095</v>
      </c>
      <c r="G17">
        <v>9.6199999999999992</v>
      </c>
      <c r="H17">
        <v>0</v>
      </c>
      <c r="J17" t="s">
        <v>1005</v>
      </c>
    </row>
    <row r="18" spans="1:8" x14ac:dyDescent="0.2">
      <c r="A18" s="46" t="s">
        <v>510</v>
      </c>
      <c r="B18">
        <v>716358</v>
      </c>
      <c r="C18" s="65">
        <v>43985.749490740738</v>
      </c>
      <c r="D18" t="s">
        <v>815</v>
      </c>
      <c r="E18" t="s">
        <v>806</v>
      </c>
      <c r="F18">
        <v>201497</v>
      </c>
      <c r="G18">
        <v>98.97</v>
      </c>
      <c r="H18">
        <v>0</v>
      </c>
      <c r="J18" t="s">
        <v>1006</v>
      </c>
    </row>
    <row r="19" spans="1:8" x14ac:dyDescent="0.2">
      <c r="A19" s="46" t="s">
        <v>510</v>
      </c>
      <c r="B19">
        <v>717188</v>
      </c>
      <c r="C19" s="65">
        <v>43990.629745370374</v>
      </c>
      <c r="D19" t="s">
        <v>816</v>
      </c>
      <c r="F19">
        <v>0</v>
      </c>
      <c r="G19">
        <v>0</v>
      </c>
      <c r="H19">
        <v>423.93</v>
      </c>
      <c r="J19" t="s">
        <v>1004</v>
      </c>
    </row>
    <row r="20" spans="1:8" x14ac:dyDescent="0.2">
      <c r="A20" s="46" t="s">
        <v>510</v>
      </c>
      <c r="B20">
        <v>717188</v>
      </c>
      <c r="C20" s="65">
        <v>43990.629745370374</v>
      </c>
      <c r="D20" t="s">
        <v>814</v>
      </c>
      <c r="E20" t="s">
        <v>804</v>
      </c>
      <c r="F20">
        <v>255435</v>
      </c>
      <c r="G20">
        <v>35.619999999999997</v>
      </c>
      <c r="H20">
        <v>0</v>
      </c>
      <c r="J20" t="s">
        <v>1005</v>
      </c>
    </row>
    <row r="21" spans="1:8" x14ac:dyDescent="0.2">
      <c r="A21" s="46" t="s">
        <v>510</v>
      </c>
      <c r="B21">
        <v>717205</v>
      </c>
      <c r="C21" s="65">
        <v>43990.637986111113</v>
      </c>
      <c r="D21" t="s">
        <v>815</v>
      </c>
      <c r="E21" t="s">
        <v>806</v>
      </c>
      <c r="F21">
        <v>201747</v>
      </c>
      <c r="G21">
        <v>388.31</v>
      </c>
      <c r="H21">
        <v>0</v>
      </c>
      <c r="J21" t="s">
        <v>1006</v>
      </c>
    </row>
    <row r="22" spans="1:8" x14ac:dyDescent="0.2">
      <c r="A22" s="46" t="s">
        <v>510</v>
      </c>
      <c r="B22">
        <v>722641</v>
      </c>
      <c r="C22" s="65">
        <v>44010.023368055554</v>
      </c>
      <c r="D22" t="s">
        <v>817</v>
      </c>
      <c r="E22" t="s">
        <v>804</v>
      </c>
      <c r="F22">
        <v>258216</v>
      </c>
      <c r="G22">
        <v>6</v>
      </c>
      <c r="H22">
        <v>0</v>
      </c>
      <c r="J22" t="s">
        <v>1007</v>
      </c>
    </row>
    <row r="23" spans="1:8" x14ac:dyDescent="0.2">
      <c r="A23" s="46" t="s">
        <v>510</v>
      </c>
      <c r="B23">
        <v>723499</v>
      </c>
      <c r="C23" s="65">
        <v>44012.624236111114</v>
      </c>
      <c r="D23" t="s">
        <v>816</v>
      </c>
      <c r="F23">
        <v>0</v>
      </c>
      <c r="G23">
        <v>0</v>
      </c>
      <c r="H23">
        <v>101.07</v>
      </c>
      <c r="J23" t="s">
        <v>1004</v>
      </c>
    </row>
    <row r="24" spans="1:8" x14ac:dyDescent="0.2">
      <c r="A24" s="46" t="s">
        <v>510</v>
      </c>
      <c r="B24">
        <v>723499</v>
      </c>
      <c r="C24" s="65">
        <v>44012.624236111114</v>
      </c>
      <c r="D24" t="s">
        <v>814</v>
      </c>
      <c r="E24" t="s">
        <v>804</v>
      </c>
      <c r="F24">
        <v>258880</v>
      </c>
      <c r="G24">
        <v>8.48</v>
      </c>
      <c r="H24">
        <v>0</v>
      </c>
      <c r="J24" t="s">
        <v>1005</v>
      </c>
    </row>
    <row r="25" spans="1:8" x14ac:dyDescent="0.2">
      <c r="A25" s="46" t="s">
        <v>510</v>
      </c>
      <c r="B25">
        <v>723545</v>
      </c>
      <c r="C25" s="65">
        <v>44012.636435185188</v>
      </c>
      <c r="D25" t="s">
        <v>815</v>
      </c>
      <c r="E25" t="s">
        <v>806</v>
      </c>
      <c r="F25">
        <v>203668</v>
      </c>
      <c r="G25">
        <v>86.59</v>
      </c>
      <c r="H25">
        <v>0</v>
      </c>
      <c r="J25" t="s">
        <v>1006</v>
      </c>
    </row>
    <row r="26" spans="1:8" x14ac:dyDescent="0.2">
      <c r="A26" s="46" t="s">
        <v>501</v>
      </c>
      <c r="B26">
        <v>716333</v>
      </c>
      <c r="C26" s="65">
        <v>43985.74658564815</v>
      </c>
      <c r="D26" t="s">
        <v>818</v>
      </c>
      <c r="F26">
        <v>0</v>
      </c>
      <c r="G26">
        <v>0</v>
      </c>
      <c r="H26">
        <v>118.04</v>
      </c>
      <c r="J26" t="s">
        <v>1004</v>
      </c>
    </row>
    <row r="27" spans="1:8" x14ac:dyDescent="0.2">
      <c r="A27" s="46" t="s">
        <v>501</v>
      </c>
      <c r="B27">
        <v>716333</v>
      </c>
      <c r="C27" s="65">
        <v>43985.74658564815</v>
      </c>
      <c r="D27" t="s">
        <v>819</v>
      </c>
      <c r="E27" t="s">
        <v>804</v>
      </c>
      <c r="F27">
        <v>255101</v>
      </c>
      <c r="G27">
        <v>9.91</v>
      </c>
      <c r="H27">
        <v>0</v>
      </c>
      <c r="J27" t="s">
        <v>1005</v>
      </c>
    </row>
    <row r="28" spans="1:8" x14ac:dyDescent="0.2">
      <c r="A28" s="46" t="s">
        <v>501</v>
      </c>
      <c r="B28">
        <v>716358</v>
      </c>
      <c r="C28" s="65">
        <v>43985.749490740738</v>
      </c>
      <c r="D28" t="s">
        <v>820</v>
      </c>
      <c r="E28" t="s">
        <v>806</v>
      </c>
      <c r="F28">
        <v>201503</v>
      </c>
      <c r="G28">
        <v>102.13</v>
      </c>
      <c r="H28">
        <v>0</v>
      </c>
      <c r="J28" t="s">
        <v>1006</v>
      </c>
    </row>
    <row r="29" spans="1:8" x14ac:dyDescent="0.2">
      <c r="A29" s="46" t="s">
        <v>501</v>
      </c>
      <c r="B29">
        <v>718279</v>
      </c>
      <c r="C29" s="65">
        <v>43994.516724537039</v>
      </c>
      <c r="D29" t="s">
        <v>821</v>
      </c>
      <c r="F29">
        <v>0</v>
      </c>
      <c r="G29">
        <v>0</v>
      </c>
      <c r="H29">
        <v>343.48</v>
      </c>
      <c r="J29" t="s">
        <v>1004</v>
      </c>
    </row>
    <row r="30" spans="1:8" x14ac:dyDescent="0.2">
      <c r="A30" s="46" t="s">
        <v>501</v>
      </c>
      <c r="B30">
        <v>718279</v>
      </c>
      <c r="C30" s="65">
        <v>43994.516724537039</v>
      </c>
      <c r="D30" t="s">
        <v>819</v>
      </c>
      <c r="E30" t="s">
        <v>804</v>
      </c>
      <c r="F30">
        <v>256023</v>
      </c>
      <c r="G30">
        <v>28.85</v>
      </c>
      <c r="H30">
        <v>0</v>
      </c>
      <c r="J30" t="s">
        <v>1005</v>
      </c>
    </row>
    <row r="31" spans="1:8" x14ac:dyDescent="0.2">
      <c r="A31" s="46" t="s">
        <v>501</v>
      </c>
      <c r="B31">
        <v>718306</v>
      </c>
      <c r="C31" s="65">
        <v>43994.533391203702</v>
      </c>
      <c r="D31" s="46" t="s">
        <v>820</v>
      </c>
      <c r="E31" t="s">
        <v>806</v>
      </c>
      <c r="F31">
        <v>202009</v>
      </c>
      <c r="G31">
        <v>314.63</v>
      </c>
      <c r="H31">
        <v>0</v>
      </c>
      <c r="J31" t="s">
        <v>1006</v>
      </c>
    </row>
    <row r="32" spans="1:8" x14ac:dyDescent="0.2">
      <c r="A32" s="46" t="s">
        <v>501</v>
      </c>
      <c r="B32">
        <v>722641</v>
      </c>
      <c r="C32" s="65">
        <v>44010.023368055554</v>
      </c>
      <c r="D32" t="s">
        <v>822</v>
      </c>
      <c r="E32" t="s">
        <v>804</v>
      </c>
      <c r="F32">
        <v>258277</v>
      </c>
      <c r="G32">
        <v>6</v>
      </c>
      <c r="H32">
        <v>0</v>
      </c>
      <c r="J32" t="s">
        <v>1007</v>
      </c>
    </row>
    <row r="33" spans="1:8" x14ac:dyDescent="0.2">
      <c r="A33" s="46" t="s">
        <v>501</v>
      </c>
      <c r="B33">
        <v>723505</v>
      </c>
      <c r="C33" s="65">
        <v>44012.624236111114</v>
      </c>
      <c r="D33" t="s">
        <v>821</v>
      </c>
      <c r="F33">
        <v>0</v>
      </c>
      <c r="G33">
        <v>0</v>
      </c>
      <c r="H33">
        <v>156.52000000000001</v>
      </c>
      <c r="J33" t="s">
        <v>1004</v>
      </c>
    </row>
    <row r="34" spans="1:8" x14ac:dyDescent="0.2">
      <c r="A34" s="46" t="s">
        <v>501</v>
      </c>
      <c r="B34">
        <v>723505</v>
      </c>
      <c r="C34" s="65">
        <v>44012.624236111114</v>
      </c>
      <c r="D34" t="s">
        <v>819</v>
      </c>
      <c r="E34" t="s">
        <v>804</v>
      </c>
      <c r="F34">
        <v>258886</v>
      </c>
      <c r="G34">
        <v>13.15</v>
      </c>
      <c r="H34">
        <v>0</v>
      </c>
      <c r="J34" t="s">
        <v>1005</v>
      </c>
    </row>
    <row r="35" spans="1:8" x14ac:dyDescent="0.2">
      <c r="A35" s="46" t="s">
        <v>501</v>
      </c>
      <c r="B35">
        <v>723545</v>
      </c>
      <c r="C35" s="65">
        <v>44012.636435185188</v>
      </c>
      <c r="D35" t="s">
        <v>820</v>
      </c>
      <c r="E35" t="s">
        <v>806</v>
      </c>
      <c r="F35">
        <v>203674</v>
      </c>
      <c r="G35">
        <v>137.37</v>
      </c>
      <c r="H35">
        <v>0</v>
      </c>
      <c r="J35" t="s">
        <v>1006</v>
      </c>
    </row>
    <row r="36" spans="1:8" x14ac:dyDescent="0.2">
      <c r="A36" s="46" t="s">
        <v>503</v>
      </c>
      <c r="B36">
        <v>718734</v>
      </c>
      <c r="C36" s="65">
        <v>43997.447858796295</v>
      </c>
      <c r="D36" t="s">
        <v>823</v>
      </c>
      <c r="F36">
        <v>0</v>
      </c>
      <c r="G36">
        <v>0</v>
      </c>
      <c r="H36">
        <v>550</v>
      </c>
      <c r="J36" t="s">
        <v>1004</v>
      </c>
    </row>
    <row r="37" spans="1:8" x14ac:dyDescent="0.2">
      <c r="A37" s="46" t="s">
        <v>503</v>
      </c>
      <c r="B37">
        <v>718734</v>
      </c>
      <c r="C37" s="65">
        <v>43997.447858796295</v>
      </c>
      <c r="D37" t="s">
        <v>824</v>
      </c>
      <c r="E37" t="s">
        <v>804</v>
      </c>
      <c r="F37">
        <v>256176</v>
      </c>
      <c r="G37">
        <v>46.2</v>
      </c>
      <c r="H37">
        <v>0</v>
      </c>
      <c r="J37" t="s">
        <v>1005</v>
      </c>
    </row>
    <row r="38" spans="1:8" x14ac:dyDescent="0.2">
      <c r="A38" s="46" t="s">
        <v>503</v>
      </c>
      <c r="B38">
        <v>718745</v>
      </c>
      <c r="C38" s="65">
        <v>43997.453043981484</v>
      </c>
      <c r="D38" t="s">
        <v>825</v>
      </c>
      <c r="E38" t="s">
        <v>806</v>
      </c>
      <c r="F38">
        <v>202231</v>
      </c>
      <c r="G38">
        <v>497.8</v>
      </c>
      <c r="H38">
        <v>0</v>
      </c>
      <c r="J38" t="s">
        <v>1006</v>
      </c>
    </row>
    <row r="39" spans="1:8" x14ac:dyDescent="0.2">
      <c r="A39" s="46" t="s">
        <v>503</v>
      </c>
      <c r="B39">
        <v>722641</v>
      </c>
      <c r="C39" s="65">
        <v>44010.023368055554</v>
      </c>
      <c r="D39" t="s">
        <v>826</v>
      </c>
      <c r="E39" t="s">
        <v>804</v>
      </c>
      <c r="F39">
        <v>258265</v>
      </c>
      <c r="G39">
        <v>6</v>
      </c>
      <c r="H39">
        <v>0</v>
      </c>
      <c r="J39" t="s">
        <v>1007</v>
      </c>
    </row>
    <row r="40" spans="1:8" x14ac:dyDescent="0.2">
      <c r="A40" t="s">
        <v>505</v>
      </c>
      <c r="B40">
        <v>722641</v>
      </c>
      <c r="C40" s="65">
        <v>44010.023368055554</v>
      </c>
      <c r="D40" t="s">
        <v>827</v>
      </c>
      <c r="E40" t="s">
        <v>804</v>
      </c>
      <c r="F40">
        <v>258267</v>
      </c>
      <c r="G40">
        <v>6</v>
      </c>
      <c r="H40">
        <v>0</v>
      </c>
      <c r="J40" t="s">
        <v>1007</v>
      </c>
    </row>
    <row r="41" spans="1:8" x14ac:dyDescent="0.2">
      <c r="A41" t="s">
        <v>505</v>
      </c>
      <c r="B41">
        <v>722766</v>
      </c>
      <c r="C41" s="65">
        <v>44011.490162037036</v>
      </c>
      <c r="D41" t="s">
        <v>828</v>
      </c>
      <c r="F41">
        <v>0</v>
      </c>
      <c r="G41">
        <v>0</v>
      </c>
      <c r="H41">
        <v>550</v>
      </c>
      <c r="J41" t="s">
        <v>1004</v>
      </c>
    </row>
    <row r="42" spans="1:8" x14ac:dyDescent="0.2">
      <c r="A42" t="s">
        <v>505</v>
      </c>
      <c r="B42">
        <v>722766</v>
      </c>
      <c r="C42" s="65">
        <v>44011.490162037036</v>
      </c>
      <c r="D42" t="s">
        <v>829</v>
      </c>
      <c r="E42" t="s">
        <v>804</v>
      </c>
      <c r="F42">
        <v>258624</v>
      </c>
      <c r="G42">
        <v>46.2</v>
      </c>
      <c r="H42">
        <v>0</v>
      </c>
      <c r="J42" t="s">
        <v>1005</v>
      </c>
    </row>
    <row r="43" spans="1:8" x14ac:dyDescent="0.2">
      <c r="A43" t="s">
        <v>505</v>
      </c>
      <c r="B43">
        <v>722781</v>
      </c>
      <c r="C43" s="65">
        <v>44011.493796296294</v>
      </c>
      <c r="D43" t="s">
        <v>830</v>
      </c>
      <c r="E43" t="s">
        <v>806</v>
      </c>
      <c r="F43">
        <v>203434</v>
      </c>
      <c r="G43">
        <v>491.8</v>
      </c>
      <c r="H43">
        <v>0</v>
      </c>
      <c r="J43" t="s">
        <v>1006</v>
      </c>
    </row>
    <row r="44" spans="1:8" x14ac:dyDescent="0.2">
      <c r="A44" t="s">
        <v>468</v>
      </c>
      <c r="B44">
        <v>722086</v>
      </c>
      <c r="C44" s="65">
        <v>44007.485937500001</v>
      </c>
      <c r="D44" t="s">
        <v>831</v>
      </c>
      <c r="F44">
        <v>0</v>
      </c>
      <c r="G44">
        <v>0</v>
      </c>
      <c r="H44">
        <v>500</v>
      </c>
      <c r="J44" t="s">
        <v>1004</v>
      </c>
    </row>
    <row r="45" spans="1:8" x14ac:dyDescent="0.2">
      <c r="A45" t="s">
        <v>468</v>
      </c>
      <c r="B45">
        <v>722086</v>
      </c>
      <c r="C45" s="65">
        <v>44007.485937500001</v>
      </c>
      <c r="D45" t="s">
        <v>832</v>
      </c>
      <c r="E45" t="s">
        <v>804</v>
      </c>
      <c r="F45">
        <v>257086</v>
      </c>
      <c r="G45">
        <v>42</v>
      </c>
      <c r="H45">
        <v>0</v>
      </c>
      <c r="J45" t="s">
        <v>1005</v>
      </c>
    </row>
    <row r="46" spans="1:8" x14ac:dyDescent="0.2">
      <c r="A46" t="s">
        <v>468</v>
      </c>
      <c r="B46">
        <v>722092</v>
      </c>
      <c r="C46" s="65">
        <v>44007.487291666665</v>
      </c>
      <c r="D46" t="s">
        <v>833</v>
      </c>
      <c r="E46" t="s">
        <v>806</v>
      </c>
      <c r="F46">
        <v>203280</v>
      </c>
      <c r="G46">
        <v>446</v>
      </c>
      <c r="H46">
        <v>0</v>
      </c>
      <c r="J46" t="s">
        <v>1006</v>
      </c>
    </row>
    <row r="47" spans="1:8" x14ac:dyDescent="0.2">
      <c r="A47" t="s">
        <v>468</v>
      </c>
      <c r="B47">
        <v>722641</v>
      </c>
      <c r="C47" s="65">
        <v>44010.023368055554</v>
      </c>
      <c r="D47" t="s">
        <v>834</v>
      </c>
      <c r="E47" t="s">
        <v>804</v>
      </c>
      <c r="F47">
        <v>258378</v>
      </c>
      <c r="G47">
        <v>12</v>
      </c>
      <c r="H47">
        <v>0</v>
      </c>
      <c r="J47" t="s">
        <v>1007</v>
      </c>
    </row>
    <row r="48" spans="1:8" x14ac:dyDescent="0.2">
      <c r="A48" t="s">
        <v>469</v>
      </c>
      <c r="B48">
        <v>721414</v>
      </c>
      <c r="C48" s="65">
        <v>44005.652731481481</v>
      </c>
      <c r="D48" t="s">
        <v>835</v>
      </c>
      <c r="F48">
        <v>0</v>
      </c>
      <c r="G48">
        <v>0</v>
      </c>
      <c r="H48">
        <v>74</v>
      </c>
      <c r="J48" t="s">
        <v>1004</v>
      </c>
    </row>
    <row r="49" spans="1:8" x14ac:dyDescent="0.2">
      <c r="A49" t="s">
        <v>469</v>
      </c>
      <c r="B49">
        <v>721414</v>
      </c>
      <c r="C49" s="65">
        <v>44005.652731481481</v>
      </c>
      <c r="D49" t="s">
        <v>836</v>
      </c>
      <c r="E49" t="s">
        <v>804</v>
      </c>
      <c r="F49">
        <v>256925</v>
      </c>
      <c r="G49">
        <v>5.33</v>
      </c>
      <c r="H49">
        <v>0</v>
      </c>
      <c r="J49" t="s">
        <v>1005</v>
      </c>
    </row>
    <row r="50" spans="1:8" x14ac:dyDescent="0.2">
      <c r="A50" t="s">
        <v>469</v>
      </c>
      <c r="B50">
        <v>721414</v>
      </c>
      <c r="C50" s="65">
        <v>44005.652731481481</v>
      </c>
      <c r="D50" t="s">
        <v>837</v>
      </c>
      <c r="F50">
        <v>0</v>
      </c>
      <c r="G50">
        <v>0</v>
      </c>
      <c r="H50">
        <v>526</v>
      </c>
      <c r="J50" t="s">
        <v>1004</v>
      </c>
    </row>
    <row r="51" spans="1:8" x14ac:dyDescent="0.2">
      <c r="A51" t="s">
        <v>469</v>
      </c>
      <c r="B51">
        <v>721414</v>
      </c>
      <c r="C51" s="65">
        <v>44005.652731481481</v>
      </c>
      <c r="D51" t="s">
        <v>836</v>
      </c>
      <c r="E51" t="s">
        <v>804</v>
      </c>
      <c r="F51">
        <v>256925</v>
      </c>
      <c r="G51">
        <v>37.869999999999997</v>
      </c>
      <c r="H51">
        <v>0</v>
      </c>
      <c r="J51" t="s">
        <v>1005</v>
      </c>
    </row>
    <row r="52" spans="1:8" x14ac:dyDescent="0.2">
      <c r="A52" t="s">
        <v>469</v>
      </c>
      <c r="B52">
        <v>721432</v>
      </c>
      <c r="C52" s="65">
        <v>44005.656111111108</v>
      </c>
      <c r="D52" t="s">
        <v>838</v>
      </c>
      <c r="E52" t="s">
        <v>806</v>
      </c>
      <c r="F52">
        <v>203034</v>
      </c>
      <c r="G52">
        <v>550.79999999999995</v>
      </c>
      <c r="H52">
        <v>0</v>
      </c>
      <c r="J52" t="s">
        <v>1006</v>
      </c>
    </row>
    <row r="53" spans="1:8" x14ac:dyDescent="0.2">
      <c r="A53" t="s">
        <v>469</v>
      </c>
      <c r="B53">
        <v>722641</v>
      </c>
      <c r="C53" s="65">
        <v>44010.023368055554</v>
      </c>
      <c r="D53" t="s">
        <v>839</v>
      </c>
      <c r="E53" t="s">
        <v>804</v>
      </c>
      <c r="F53">
        <v>258380</v>
      </c>
      <c r="G53">
        <v>6</v>
      </c>
      <c r="H53">
        <v>0</v>
      </c>
      <c r="J53" t="s">
        <v>1007</v>
      </c>
    </row>
    <row r="54" spans="1:8" x14ac:dyDescent="0.2">
      <c r="A54" s="46" t="s">
        <v>470</v>
      </c>
      <c r="B54">
        <v>716328</v>
      </c>
      <c r="C54" s="65">
        <v>43985.74658564815</v>
      </c>
      <c r="D54" t="s">
        <v>840</v>
      </c>
      <c r="F54">
        <v>0</v>
      </c>
      <c r="G54">
        <v>0</v>
      </c>
      <c r="H54">
        <v>269.60000000000002</v>
      </c>
      <c r="J54" t="s">
        <v>1004</v>
      </c>
    </row>
    <row r="55" spans="1:8" x14ac:dyDescent="0.2">
      <c r="A55" s="46" t="s">
        <v>470</v>
      </c>
      <c r="B55">
        <v>716328</v>
      </c>
      <c r="C55" s="65">
        <v>43985.74658564815</v>
      </c>
      <c r="D55" t="s">
        <v>841</v>
      </c>
      <c r="E55" t="s">
        <v>804</v>
      </c>
      <c r="F55">
        <v>255096</v>
      </c>
      <c r="G55">
        <v>19.420000000000002</v>
      </c>
      <c r="H55">
        <v>0</v>
      </c>
      <c r="J55" t="s">
        <v>1005</v>
      </c>
    </row>
    <row r="56" spans="1:8" x14ac:dyDescent="0.2">
      <c r="A56" s="46" t="s">
        <v>470</v>
      </c>
      <c r="B56">
        <v>716358</v>
      </c>
      <c r="C56" s="65">
        <v>43985.749490740738</v>
      </c>
      <c r="D56" t="s">
        <v>842</v>
      </c>
      <c r="E56" t="s">
        <v>806</v>
      </c>
      <c r="F56">
        <v>201498</v>
      </c>
      <c r="G56">
        <v>244.18</v>
      </c>
      <c r="H56">
        <v>0</v>
      </c>
      <c r="J56" t="s">
        <v>1006</v>
      </c>
    </row>
    <row r="57" spans="1:8" x14ac:dyDescent="0.2">
      <c r="A57" s="46" t="s">
        <v>470</v>
      </c>
      <c r="B57">
        <v>722641</v>
      </c>
      <c r="C57" s="65">
        <v>44010.023368055554</v>
      </c>
      <c r="D57" t="s">
        <v>843</v>
      </c>
      <c r="E57" t="s">
        <v>804</v>
      </c>
      <c r="F57">
        <v>258382</v>
      </c>
      <c r="G57">
        <v>6</v>
      </c>
      <c r="H57">
        <v>0</v>
      </c>
      <c r="J57" t="s">
        <v>1007</v>
      </c>
    </row>
    <row r="58" spans="1:8" x14ac:dyDescent="0.2">
      <c r="A58" s="46" t="s">
        <v>470</v>
      </c>
      <c r="B58">
        <v>722771</v>
      </c>
      <c r="C58" s="65">
        <v>44011.490162037036</v>
      </c>
      <c r="D58" t="s">
        <v>844</v>
      </c>
      <c r="F58">
        <v>0</v>
      </c>
      <c r="G58">
        <v>0</v>
      </c>
      <c r="H58">
        <v>191.92</v>
      </c>
      <c r="J58" t="s">
        <v>1004</v>
      </c>
    </row>
    <row r="59" spans="1:8" x14ac:dyDescent="0.2">
      <c r="A59" s="46" t="s">
        <v>470</v>
      </c>
      <c r="B59">
        <v>722771</v>
      </c>
      <c r="C59" s="65">
        <v>44011.490162037036</v>
      </c>
      <c r="D59" t="s">
        <v>841</v>
      </c>
      <c r="E59" t="s">
        <v>804</v>
      </c>
      <c r="F59">
        <v>258629</v>
      </c>
      <c r="G59">
        <v>13.82</v>
      </c>
      <c r="H59">
        <v>0</v>
      </c>
      <c r="J59" t="s">
        <v>1005</v>
      </c>
    </row>
    <row r="60" spans="1:8" x14ac:dyDescent="0.2">
      <c r="A60" s="46" t="s">
        <v>470</v>
      </c>
      <c r="B60">
        <v>722781</v>
      </c>
      <c r="C60" s="65">
        <v>44011.493796296294</v>
      </c>
      <c r="D60" t="s">
        <v>842</v>
      </c>
      <c r="E60" t="s">
        <v>806</v>
      </c>
      <c r="F60">
        <v>203439</v>
      </c>
      <c r="G60">
        <v>172.1</v>
      </c>
      <c r="H60">
        <v>0</v>
      </c>
      <c r="J60" t="s">
        <v>1006</v>
      </c>
    </row>
    <row r="61" spans="1:8" x14ac:dyDescent="0.2">
      <c r="A61" s="46" t="s">
        <v>470</v>
      </c>
      <c r="B61">
        <v>723500</v>
      </c>
      <c r="C61" s="65">
        <v>44012.624236111114</v>
      </c>
      <c r="D61" t="s">
        <v>844</v>
      </c>
      <c r="F61">
        <v>0</v>
      </c>
      <c r="G61">
        <v>0</v>
      </c>
      <c r="H61">
        <v>308.08</v>
      </c>
      <c r="J61" t="s">
        <v>1004</v>
      </c>
    </row>
    <row r="62" spans="1:8" x14ac:dyDescent="0.2">
      <c r="A62" s="46" t="s">
        <v>470</v>
      </c>
      <c r="B62">
        <v>723500</v>
      </c>
      <c r="C62" s="65">
        <v>44012.624236111114</v>
      </c>
      <c r="D62" t="s">
        <v>841</v>
      </c>
      <c r="E62" t="s">
        <v>804</v>
      </c>
      <c r="F62">
        <v>258881</v>
      </c>
      <c r="G62">
        <v>22.18</v>
      </c>
      <c r="H62">
        <v>0</v>
      </c>
      <c r="J62" t="s">
        <v>1005</v>
      </c>
    </row>
    <row r="63" spans="1:8" x14ac:dyDescent="0.2">
      <c r="A63" s="46" t="s">
        <v>470</v>
      </c>
      <c r="B63">
        <v>723545</v>
      </c>
      <c r="C63" s="65">
        <v>44012.636435185188</v>
      </c>
      <c r="D63" t="s">
        <v>842</v>
      </c>
      <c r="E63" t="s">
        <v>806</v>
      </c>
      <c r="F63">
        <v>203669</v>
      </c>
      <c r="G63">
        <v>285.89999999999998</v>
      </c>
      <c r="H63">
        <v>0</v>
      </c>
      <c r="J63" t="s">
        <v>1006</v>
      </c>
    </row>
    <row r="64" spans="1:8" x14ac:dyDescent="0.2">
      <c r="A64" s="46" t="s">
        <v>473</v>
      </c>
      <c r="B64">
        <v>716317</v>
      </c>
      <c r="C64" s="65">
        <v>43985.74658564815</v>
      </c>
      <c r="D64" t="s">
        <v>845</v>
      </c>
      <c r="F64">
        <v>0</v>
      </c>
      <c r="G64">
        <v>0</v>
      </c>
      <c r="H64">
        <v>231.12</v>
      </c>
      <c r="J64" t="s">
        <v>1004</v>
      </c>
    </row>
    <row r="65" spans="1:8" x14ac:dyDescent="0.2">
      <c r="A65" s="46" t="s">
        <v>473</v>
      </c>
      <c r="B65">
        <v>716317</v>
      </c>
      <c r="C65" s="65">
        <v>43985.74658564815</v>
      </c>
      <c r="D65" t="s">
        <v>846</v>
      </c>
      <c r="E65" t="s">
        <v>804</v>
      </c>
      <c r="F65">
        <v>255085</v>
      </c>
      <c r="G65">
        <v>16.64</v>
      </c>
      <c r="H65">
        <v>0</v>
      </c>
      <c r="J65" t="s">
        <v>1005</v>
      </c>
    </row>
    <row r="66" spans="1:8" x14ac:dyDescent="0.2">
      <c r="A66" s="46" t="s">
        <v>473</v>
      </c>
      <c r="B66">
        <v>716317</v>
      </c>
      <c r="C66" s="65">
        <v>43985.74658564815</v>
      </c>
      <c r="D66" t="s">
        <v>847</v>
      </c>
      <c r="F66">
        <v>0</v>
      </c>
      <c r="G66">
        <v>0</v>
      </c>
      <c r="H66">
        <v>230.4</v>
      </c>
      <c r="J66" t="s">
        <v>1004</v>
      </c>
    </row>
    <row r="67" spans="1:8" x14ac:dyDescent="0.2">
      <c r="A67" s="46" t="s">
        <v>473</v>
      </c>
      <c r="B67">
        <v>716317</v>
      </c>
      <c r="C67" s="65">
        <v>43985.74658564815</v>
      </c>
      <c r="D67" t="s">
        <v>846</v>
      </c>
      <c r="E67" t="s">
        <v>804</v>
      </c>
      <c r="F67">
        <v>255085</v>
      </c>
      <c r="G67">
        <v>16.579999999999998</v>
      </c>
      <c r="H67">
        <v>0</v>
      </c>
      <c r="J67" t="s">
        <v>1005</v>
      </c>
    </row>
    <row r="68" spans="1:8" x14ac:dyDescent="0.2">
      <c r="A68" s="46" t="s">
        <v>473</v>
      </c>
      <c r="B68">
        <v>716358</v>
      </c>
      <c r="C68" s="65">
        <v>43985.749490740738</v>
      </c>
      <c r="D68" t="s">
        <v>848</v>
      </c>
      <c r="E68" t="s">
        <v>806</v>
      </c>
      <c r="F68">
        <v>201487</v>
      </c>
      <c r="G68">
        <v>422.3</v>
      </c>
      <c r="H68">
        <v>0</v>
      </c>
      <c r="J68" t="s">
        <v>1006</v>
      </c>
    </row>
    <row r="69" spans="1:8" x14ac:dyDescent="0.2">
      <c r="A69" s="46" t="s">
        <v>473</v>
      </c>
      <c r="B69">
        <v>722641</v>
      </c>
      <c r="C69" s="65">
        <v>44010.023368055554</v>
      </c>
      <c r="D69" t="s">
        <v>849</v>
      </c>
      <c r="E69" t="s">
        <v>804</v>
      </c>
      <c r="F69">
        <v>258296</v>
      </c>
      <c r="G69">
        <v>6</v>
      </c>
      <c r="H69">
        <v>0</v>
      </c>
      <c r="J69" t="s">
        <v>1007</v>
      </c>
    </row>
    <row r="70" spans="1:8" x14ac:dyDescent="0.2">
      <c r="A70" s="46" t="s">
        <v>473</v>
      </c>
      <c r="B70">
        <v>723493</v>
      </c>
      <c r="C70" s="65">
        <v>44012.624236111114</v>
      </c>
      <c r="D70" t="s">
        <v>847</v>
      </c>
      <c r="F70">
        <v>0</v>
      </c>
      <c r="G70">
        <v>0</v>
      </c>
      <c r="H70">
        <v>269.60000000000002</v>
      </c>
      <c r="J70" t="s">
        <v>1004</v>
      </c>
    </row>
    <row r="71" spans="1:8" x14ac:dyDescent="0.2">
      <c r="A71" s="46" t="s">
        <v>473</v>
      </c>
      <c r="B71">
        <v>723493</v>
      </c>
      <c r="C71" s="65">
        <v>44012.624236111114</v>
      </c>
      <c r="D71" t="s">
        <v>846</v>
      </c>
      <c r="E71" t="s">
        <v>804</v>
      </c>
      <c r="F71">
        <v>258874</v>
      </c>
      <c r="G71">
        <v>19.420000000000002</v>
      </c>
      <c r="H71">
        <v>0</v>
      </c>
      <c r="J71" t="s">
        <v>1005</v>
      </c>
    </row>
    <row r="72" spans="1:8" x14ac:dyDescent="0.2">
      <c r="A72" s="46" t="s">
        <v>473</v>
      </c>
      <c r="B72">
        <v>723545</v>
      </c>
      <c r="C72" s="65">
        <v>44012.636435185188</v>
      </c>
      <c r="D72" t="s">
        <v>848</v>
      </c>
      <c r="E72" t="s">
        <v>806</v>
      </c>
      <c r="F72">
        <v>203662</v>
      </c>
      <c r="G72">
        <v>244.18</v>
      </c>
      <c r="H72">
        <v>0</v>
      </c>
      <c r="J72" t="s">
        <v>1006</v>
      </c>
    </row>
    <row r="73" spans="1:8" x14ac:dyDescent="0.2">
      <c r="A73" t="s">
        <v>508</v>
      </c>
      <c r="B73">
        <v>722089</v>
      </c>
      <c r="C73" s="65">
        <v>44007.485937500001</v>
      </c>
      <c r="D73" t="s">
        <v>850</v>
      </c>
      <c r="F73">
        <v>0</v>
      </c>
      <c r="G73">
        <v>0</v>
      </c>
      <c r="H73">
        <v>500</v>
      </c>
      <c r="J73" t="s">
        <v>1004</v>
      </c>
    </row>
    <row r="74" spans="1:8" x14ac:dyDescent="0.2">
      <c r="A74" t="s">
        <v>508</v>
      </c>
      <c r="B74">
        <v>722089</v>
      </c>
      <c r="C74" s="65">
        <v>44007.485937500001</v>
      </c>
      <c r="D74" t="s">
        <v>851</v>
      </c>
      <c r="E74" t="s">
        <v>804</v>
      </c>
      <c r="F74">
        <v>257088</v>
      </c>
      <c r="G74">
        <v>42</v>
      </c>
      <c r="H74">
        <v>0</v>
      </c>
      <c r="J74" t="s">
        <v>1005</v>
      </c>
    </row>
    <row r="75" spans="1:8" x14ac:dyDescent="0.2">
      <c r="A75" t="s">
        <v>508</v>
      </c>
      <c r="B75">
        <v>722092</v>
      </c>
      <c r="C75" s="65">
        <v>44007.487291666665</v>
      </c>
      <c r="D75" t="s">
        <v>852</v>
      </c>
      <c r="E75" t="s">
        <v>806</v>
      </c>
      <c r="F75">
        <v>203283</v>
      </c>
      <c r="G75">
        <v>452</v>
      </c>
      <c r="H75">
        <v>0</v>
      </c>
      <c r="J75" t="s">
        <v>1006</v>
      </c>
    </row>
    <row r="76" spans="1:8" x14ac:dyDescent="0.2">
      <c r="A76" t="s">
        <v>508</v>
      </c>
      <c r="B76">
        <v>722641</v>
      </c>
      <c r="C76" s="65">
        <v>44010.023368055554</v>
      </c>
      <c r="D76" t="s">
        <v>853</v>
      </c>
      <c r="E76" t="s">
        <v>804</v>
      </c>
      <c r="F76">
        <v>258290</v>
      </c>
      <c r="G76">
        <v>6</v>
      </c>
      <c r="H76">
        <v>0</v>
      </c>
      <c r="J76" t="s">
        <v>1007</v>
      </c>
    </row>
    <row r="77" spans="1:8" x14ac:dyDescent="0.2">
      <c r="A77" s="46" t="s">
        <v>471</v>
      </c>
      <c r="B77">
        <v>716305</v>
      </c>
      <c r="C77" s="65">
        <v>43985.74658564815</v>
      </c>
      <c r="D77" t="s">
        <v>854</v>
      </c>
      <c r="F77">
        <v>0</v>
      </c>
      <c r="G77">
        <v>0</v>
      </c>
      <c r="H77">
        <v>462.4</v>
      </c>
      <c r="J77" t="s">
        <v>1004</v>
      </c>
    </row>
    <row r="78" spans="1:8" x14ac:dyDescent="0.2">
      <c r="A78" s="46" t="s">
        <v>471</v>
      </c>
      <c r="B78">
        <v>716305</v>
      </c>
      <c r="C78" s="65">
        <v>43985.74658564815</v>
      </c>
      <c r="D78" t="s">
        <v>855</v>
      </c>
      <c r="E78" t="s">
        <v>804</v>
      </c>
      <c r="F78">
        <v>255075</v>
      </c>
      <c r="G78">
        <v>33.29</v>
      </c>
      <c r="H78">
        <v>0</v>
      </c>
      <c r="J78" t="s">
        <v>1005</v>
      </c>
    </row>
    <row r="79" spans="1:8" x14ac:dyDescent="0.2">
      <c r="A79" s="46" t="s">
        <v>471</v>
      </c>
      <c r="B79">
        <v>716358</v>
      </c>
      <c r="C79" s="65">
        <v>43985.749490740738</v>
      </c>
      <c r="D79" t="s">
        <v>856</v>
      </c>
      <c r="E79" t="s">
        <v>806</v>
      </c>
      <c r="F79">
        <v>201475</v>
      </c>
      <c r="G79">
        <v>423.11</v>
      </c>
      <c r="H79">
        <v>0</v>
      </c>
      <c r="J79" t="s">
        <v>1006</v>
      </c>
    </row>
    <row r="80" spans="1:8" x14ac:dyDescent="0.2">
      <c r="A80" s="46" t="s">
        <v>471</v>
      </c>
      <c r="B80">
        <v>721410</v>
      </c>
      <c r="C80" s="65">
        <v>44005.652731481481</v>
      </c>
      <c r="D80" t="s">
        <v>857</v>
      </c>
      <c r="F80">
        <v>0</v>
      </c>
      <c r="G80">
        <v>0</v>
      </c>
      <c r="H80">
        <v>3.72</v>
      </c>
      <c r="J80" t="s">
        <v>1004</v>
      </c>
    </row>
    <row r="81" spans="1:8" x14ac:dyDescent="0.2">
      <c r="A81" s="46" t="s">
        <v>471</v>
      </c>
      <c r="B81">
        <v>721410</v>
      </c>
      <c r="C81" s="65">
        <v>44005.652731481481</v>
      </c>
      <c r="D81" t="s">
        <v>855</v>
      </c>
      <c r="E81" t="s">
        <v>804</v>
      </c>
      <c r="F81">
        <v>256921</v>
      </c>
      <c r="G81">
        <v>0.26</v>
      </c>
      <c r="H81">
        <v>0</v>
      </c>
      <c r="J81" t="s">
        <v>1005</v>
      </c>
    </row>
    <row r="82" spans="1:8" x14ac:dyDescent="0.2">
      <c r="A82" s="46" t="s">
        <v>471</v>
      </c>
      <c r="B82">
        <v>721432</v>
      </c>
      <c r="C82" s="65">
        <v>44005.656111111108</v>
      </c>
      <c r="D82" t="s">
        <v>856</v>
      </c>
      <c r="E82" t="s">
        <v>806</v>
      </c>
      <c r="F82">
        <v>203030</v>
      </c>
      <c r="G82">
        <v>3.46</v>
      </c>
      <c r="H82">
        <v>0</v>
      </c>
      <c r="J82" t="s">
        <v>1006</v>
      </c>
    </row>
    <row r="83" spans="1:8" x14ac:dyDescent="0.2">
      <c r="A83" s="46" t="s">
        <v>471</v>
      </c>
      <c r="B83">
        <v>722641</v>
      </c>
      <c r="C83" s="65">
        <v>44010.023368055554</v>
      </c>
      <c r="D83" t="s">
        <v>858</v>
      </c>
      <c r="E83" t="s">
        <v>804</v>
      </c>
      <c r="F83">
        <v>258288</v>
      </c>
      <c r="G83">
        <v>6</v>
      </c>
      <c r="H83">
        <v>0</v>
      </c>
      <c r="J83" t="s">
        <v>1007</v>
      </c>
    </row>
    <row r="84" spans="1:8" x14ac:dyDescent="0.2">
      <c r="A84" s="46" t="s">
        <v>471</v>
      </c>
      <c r="B84">
        <v>723480</v>
      </c>
      <c r="C84" s="65">
        <v>44012.624236111114</v>
      </c>
      <c r="D84" t="s">
        <v>857</v>
      </c>
      <c r="F84">
        <v>0</v>
      </c>
      <c r="G84">
        <v>0</v>
      </c>
      <c r="H84">
        <v>466.12</v>
      </c>
      <c r="J84" t="s">
        <v>1004</v>
      </c>
    </row>
    <row r="85" spans="1:8" x14ac:dyDescent="0.2">
      <c r="A85" s="46" t="s">
        <v>471</v>
      </c>
      <c r="B85">
        <v>723480</v>
      </c>
      <c r="C85" s="65">
        <v>44012.624236111114</v>
      </c>
      <c r="D85" t="s">
        <v>855</v>
      </c>
      <c r="E85" t="s">
        <v>804</v>
      </c>
      <c r="F85">
        <v>258862</v>
      </c>
      <c r="G85">
        <v>33.56</v>
      </c>
      <c r="H85">
        <v>0</v>
      </c>
      <c r="J85" t="s">
        <v>1005</v>
      </c>
    </row>
    <row r="86" spans="1:8" x14ac:dyDescent="0.2">
      <c r="A86" s="46" t="s">
        <v>471</v>
      </c>
      <c r="B86">
        <v>723545</v>
      </c>
      <c r="C86" s="65">
        <v>44012.636435185188</v>
      </c>
      <c r="D86" t="s">
        <v>856</v>
      </c>
      <c r="E86" t="s">
        <v>806</v>
      </c>
      <c r="F86">
        <v>203649</v>
      </c>
      <c r="G86">
        <v>426.56</v>
      </c>
      <c r="H86">
        <v>0</v>
      </c>
      <c r="J86" t="s">
        <v>1006</v>
      </c>
    </row>
    <row r="87" spans="1:8" x14ac:dyDescent="0.2">
      <c r="A87" t="s">
        <v>478</v>
      </c>
      <c r="B87">
        <v>718042</v>
      </c>
      <c r="C87" s="65">
        <v>43993.536863425928</v>
      </c>
      <c r="D87" t="s">
        <v>859</v>
      </c>
      <c r="F87">
        <v>0</v>
      </c>
      <c r="G87">
        <v>0</v>
      </c>
      <c r="H87">
        <v>350</v>
      </c>
      <c r="J87" t="s">
        <v>1004</v>
      </c>
    </row>
    <row r="88" spans="1:8" x14ac:dyDescent="0.2">
      <c r="A88" t="s">
        <v>478</v>
      </c>
      <c r="B88">
        <v>718042</v>
      </c>
      <c r="C88" s="65">
        <v>43993.536863425928</v>
      </c>
      <c r="D88" t="s">
        <v>860</v>
      </c>
      <c r="E88" t="s">
        <v>804</v>
      </c>
      <c r="F88">
        <v>255946</v>
      </c>
      <c r="G88">
        <v>29.4</v>
      </c>
      <c r="H88">
        <v>0</v>
      </c>
      <c r="J88" t="s">
        <v>1005</v>
      </c>
    </row>
    <row r="89" spans="1:8" x14ac:dyDescent="0.2">
      <c r="A89" t="s">
        <v>478</v>
      </c>
      <c r="B89">
        <v>718047</v>
      </c>
      <c r="C89" s="65">
        <v>43993.541342592594</v>
      </c>
      <c r="D89" t="s">
        <v>861</v>
      </c>
      <c r="E89" t="s">
        <v>806</v>
      </c>
      <c r="F89">
        <v>201965</v>
      </c>
      <c r="G89">
        <v>314.60000000000002</v>
      </c>
      <c r="H89">
        <v>0</v>
      </c>
      <c r="J89" t="s">
        <v>1006</v>
      </c>
    </row>
    <row r="90" spans="1:8" x14ac:dyDescent="0.2">
      <c r="A90" t="s">
        <v>478</v>
      </c>
      <c r="B90">
        <v>722641</v>
      </c>
      <c r="C90" s="65">
        <v>44010.023368055554</v>
      </c>
      <c r="D90" t="s">
        <v>862</v>
      </c>
      <c r="E90" t="s">
        <v>804</v>
      </c>
      <c r="F90">
        <v>258315</v>
      </c>
      <c r="G90">
        <v>6</v>
      </c>
      <c r="H90">
        <v>0</v>
      </c>
      <c r="J90" t="s">
        <v>1007</v>
      </c>
    </row>
    <row r="91" spans="1:8" x14ac:dyDescent="0.2">
      <c r="A91" s="46" t="s">
        <v>559</v>
      </c>
      <c r="B91">
        <v>716063</v>
      </c>
      <c r="C91" s="65">
        <v>43985.705092592594</v>
      </c>
      <c r="D91" t="s">
        <v>863</v>
      </c>
      <c r="F91">
        <v>0</v>
      </c>
      <c r="G91">
        <v>0</v>
      </c>
      <c r="H91">
        <v>520</v>
      </c>
      <c r="J91" t="s">
        <v>1004</v>
      </c>
    </row>
    <row r="92" spans="1:8" x14ac:dyDescent="0.2">
      <c r="A92" s="46" t="s">
        <v>559</v>
      </c>
      <c r="B92">
        <v>716063</v>
      </c>
      <c r="C92" s="65">
        <v>43985.705092592594</v>
      </c>
      <c r="D92" t="s">
        <v>864</v>
      </c>
      <c r="E92" t="s">
        <v>804</v>
      </c>
      <c r="F92">
        <v>254865</v>
      </c>
      <c r="G92">
        <v>43.68</v>
      </c>
      <c r="H92">
        <v>0</v>
      </c>
      <c r="J92" t="s">
        <v>1005</v>
      </c>
    </row>
    <row r="93" spans="1:8" x14ac:dyDescent="0.2">
      <c r="A93" s="46" t="s">
        <v>559</v>
      </c>
      <c r="B93">
        <v>716114</v>
      </c>
      <c r="C93" s="65">
        <v>43985.707465277781</v>
      </c>
      <c r="D93" t="s">
        <v>865</v>
      </c>
      <c r="E93" t="s">
        <v>806</v>
      </c>
      <c r="F93">
        <v>201257</v>
      </c>
      <c r="G93">
        <v>470.32</v>
      </c>
      <c r="H93">
        <v>0</v>
      </c>
      <c r="J93" t="s">
        <v>1006</v>
      </c>
    </row>
    <row r="94" spans="1:8" x14ac:dyDescent="0.2">
      <c r="A94" s="46" t="s">
        <v>559</v>
      </c>
      <c r="B94">
        <v>722641</v>
      </c>
      <c r="C94" s="65">
        <v>44010.023368055554</v>
      </c>
      <c r="D94" t="s">
        <v>866</v>
      </c>
      <c r="E94" t="s">
        <v>804</v>
      </c>
      <c r="F94">
        <v>258317</v>
      </c>
      <c r="G94">
        <v>6</v>
      </c>
      <c r="H94">
        <v>0</v>
      </c>
      <c r="J94" t="s">
        <v>1007</v>
      </c>
    </row>
    <row r="95" spans="1:8" x14ac:dyDescent="0.2">
      <c r="A95" s="46" t="s">
        <v>483</v>
      </c>
      <c r="B95">
        <v>717191</v>
      </c>
      <c r="C95" s="65">
        <v>43990.629745370374</v>
      </c>
      <c r="D95" t="s">
        <v>867</v>
      </c>
      <c r="F95">
        <v>0</v>
      </c>
      <c r="G95">
        <v>0</v>
      </c>
      <c r="H95">
        <v>480.28</v>
      </c>
      <c r="J95" t="s">
        <v>1004</v>
      </c>
    </row>
    <row r="96" spans="1:8" x14ac:dyDescent="0.2">
      <c r="A96" s="46" t="s">
        <v>483</v>
      </c>
      <c r="B96">
        <v>717191</v>
      </c>
      <c r="C96" s="65">
        <v>43990.629745370374</v>
      </c>
      <c r="D96" t="s">
        <v>868</v>
      </c>
      <c r="E96" t="s">
        <v>804</v>
      </c>
      <c r="F96">
        <v>255438</v>
      </c>
      <c r="G96">
        <v>40.340000000000003</v>
      </c>
      <c r="H96">
        <v>0</v>
      </c>
      <c r="J96" t="s">
        <v>1005</v>
      </c>
    </row>
    <row r="97" spans="1:8" x14ac:dyDescent="0.2">
      <c r="A97" s="46" t="s">
        <v>483</v>
      </c>
      <c r="B97">
        <v>717205</v>
      </c>
      <c r="C97" s="65">
        <v>43990.637986111113</v>
      </c>
      <c r="D97" t="s">
        <v>869</v>
      </c>
      <c r="E97" s="46" t="s">
        <v>806</v>
      </c>
      <c r="F97">
        <v>201750</v>
      </c>
      <c r="G97">
        <v>433.94</v>
      </c>
      <c r="H97">
        <v>0</v>
      </c>
      <c r="J97" t="s">
        <v>1006</v>
      </c>
    </row>
    <row r="98" spans="1:8" x14ac:dyDescent="0.2">
      <c r="A98" s="46" t="s">
        <v>483</v>
      </c>
      <c r="B98">
        <v>722641</v>
      </c>
      <c r="C98" s="65">
        <v>44010.023368055554</v>
      </c>
      <c r="D98" t="s">
        <v>870</v>
      </c>
      <c r="E98" t="s">
        <v>804</v>
      </c>
      <c r="F98">
        <v>258455</v>
      </c>
      <c r="G98">
        <v>6</v>
      </c>
      <c r="H98">
        <v>0</v>
      </c>
      <c r="J98" t="s">
        <v>1007</v>
      </c>
    </row>
    <row r="99" spans="1:8" x14ac:dyDescent="0.2">
      <c r="A99" s="46" t="s">
        <v>483</v>
      </c>
      <c r="B99">
        <v>723506</v>
      </c>
      <c r="C99" s="65">
        <v>44012.624236111114</v>
      </c>
      <c r="D99" t="s">
        <v>867</v>
      </c>
      <c r="F99">
        <v>0</v>
      </c>
      <c r="G99">
        <v>0</v>
      </c>
      <c r="H99">
        <v>19.72</v>
      </c>
      <c r="J99" t="s">
        <v>1004</v>
      </c>
    </row>
    <row r="100" spans="1:8" x14ac:dyDescent="0.2">
      <c r="A100" s="46" t="s">
        <v>483</v>
      </c>
      <c r="B100">
        <v>723506</v>
      </c>
      <c r="C100" s="65">
        <v>44012.624236111114</v>
      </c>
      <c r="D100" s="46" t="s">
        <v>868</v>
      </c>
      <c r="E100" s="46" t="s">
        <v>804</v>
      </c>
      <c r="F100">
        <v>258887</v>
      </c>
      <c r="G100">
        <v>1.66</v>
      </c>
      <c r="H100">
        <v>0</v>
      </c>
      <c r="J100" t="s">
        <v>1005</v>
      </c>
    </row>
    <row r="101" spans="1:8" x14ac:dyDescent="0.2">
      <c r="A101" s="46" t="s">
        <v>483</v>
      </c>
      <c r="B101">
        <v>723545</v>
      </c>
      <c r="C101" s="65">
        <v>44012.636435185188</v>
      </c>
      <c r="D101" t="s">
        <v>869</v>
      </c>
      <c r="E101" t="s">
        <v>806</v>
      </c>
      <c r="F101">
        <v>203675</v>
      </c>
      <c r="G101">
        <v>12.06</v>
      </c>
      <c r="H101">
        <v>0</v>
      </c>
      <c r="J101" t="s">
        <v>1006</v>
      </c>
    </row>
    <row r="102" spans="1:8" x14ac:dyDescent="0.2">
      <c r="A102" t="s">
        <v>476</v>
      </c>
      <c r="B102">
        <v>716322</v>
      </c>
      <c r="C102" s="65">
        <v>43985.74658564815</v>
      </c>
      <c r="D102" t="s">
        <v>871</v>
      </c>
      <c r="F102">
        <v>0</v>
      </c>
      <c r="G102">
        <v>0</v>
      </c>
      <c r="H102">
        <v>241.8</v>
      </c>
      <c r="J102" t="s">
        <v>1004</v>
      </c>
    </row>
    <row r="103" spans="1:8" x14ac:dyDescent="0.2">
      <c r="A103" t="s">
        <v>476</v>
      </c>
      <c r="B103">
        <v>716322</v>
      </c>
      <c r="C103" s="65">
        <v>43985.74658564815</v>
      </c>
      <c r="D103" t="s">
        <v>872</v>
      </c>
      <c r="E103" s="46" t="s">
        <v>804</v>
      </c>
      <c r="F103">
        <v>255090</v>
      </c>
      <c r="G103">
        <v>17.41</v>
      </c>
      <c r="H103">
        <v>0</v>
      </c>
      <c r="J103" t="s">
        <v>1005</v>
      </c>
    </row>
    <row r="104" spans="1:8" x14ac:dyDescent="0.2">
      <c r="A104" t="s">
        <v>476</v>
      </c>
      <c r="B104">
        <v>716358</v>
      </c>
      <c r="C104" s="65">
        <v>43985.749490740738</v>
      </c>
      <c r="D104" t="s">
        <v>873</v>
      </c>
      <c r="E104" t="s">
        <v>806</v>
      </c>
      <c r="F104">
        <v>201492</v>
      </c>
      <c r="G104">
        <v>218.39</v>
      </c>
      <c r="H104">
        <v>0</v>
      </c>
      <c r="J104" t="s">
        <v>1006</v>
      </c>
    </row>
    <row r="105" spans="1:8" x14ac:dyDescent="0.2">
      <c r="A105" t="s">
        <v>476</v>
      </c>
      <c r="B105">
        <v>718736</v>
      </c>
      <c r="C105" s="65">
        <v>43997.447858796295</v>
      </c>
      <c r="D105" t="s">
        <v>874</v>
      </c>
      <c r="F105">
        <v>0</v>
      </c>
      <c r="G105">
        <v>0</v>
      </c>
      <c r="H105">
        <v>173.6</v>
      </c>
      <c r="J105" t="s">
        <v>1004</v>
      </c>
    </row>
    <row r="106" spans="1:8" x14ac:dyDescent="0.2">
      <c r="A106" t="s">
        <v>476</v>
      </c>
      <c r="B106">
        <v>718736</v>
      </c>
      <c r="C106" s="65">
        <v>43997.447858796295</v>
      </c>
      <c r="D106" t="s">
        <v>872</v>
      </c>
      <c r="E106" t="s">
        <v>804</v>
      </c>
      <c r="F106">
        <v>256178</v>
      </c>
      <c r="G106">
        <v>12.5</v>
      </c>
      <c r="H106">
        <v>0</v>
      </c>
      <c r="J106" t="s">
        <v>1005</v>
      </c>
    </row>
    <row r="107" spans="1:8" x14ac:dyDescent="0.2">
      <c r="A107" t="s">
        <v>476</v>
      </c>
      <c r="B107">
        <v>718745</v>
      </c>
      <c r="C107" s="65">
        <v>43997.453043981484</v>
      </c>
      <c r="D107" t="s">
        <v>873</v>
      </c>
      <c r="E107" t="s">
        <v>806</v>
      </c>
      <c r="F107">
        <v>202233</v>
      </c>
      <c r="G107">
        <v>161.1</v>
      </c>
      <c r="H107">
        <v>0</v>
      </c>
      <c r="J107" t="s">
        <v>1006</v>
      </c>
    </row>
    <row r="108" spans="1:8" x14ac:dyDescent="0.2">
      <c r="A108" t="s">
        <v>476</v>
      </c>
      <c r="B108">
        <v>722641</v>
      </c>
      <c r="C108" s="65">
        <v>44010.023368055554</v>
      </c>
      <c r="D108" t="s">
        <v>875</v>
      </c>
      <c r="E108" t="s">
        <v>804</v>
      </c>
      <c r="F108">
        <v>258279</v>
      </c>
      <c r="G108">
        <v>6</v>
      </c>
      <c r="H108">
        <v>0</v>
      </c>
      <c r="J108" t="s">
        <v>1007</v>
      </c>
    </row>
    <row r="109" spans="1:8" x14ac:dyDescent="0.2">
      <c r="A109" t="s">
        <v>476</v>
      </c>
      <c r="B109">
        <v>723497</v>
      </c>
      <c r="C109" s="65">
        <v>44012.624236111114</v>
      </c>
      <c r="D109" t="s">
        <v>874</v>
      </c>
      <c r="F109">
        <v>0</v>
      </c>
      <c r="G109">
        <v>0</v>
      </c>
      <c r="H109">
        <v>276.39999999999998</v>
      </c>
      <c r="J109" t="s">
        <v>1004</v>
      </c>
    </row>
    <row r="110" spans="1:8" x14ac:dyDescent="0.2">
      <c r="A110" t="s">
        <v>476</v>
      </c>
      <c r="B110">
        <v>723497</v>
      </c>
      <c r="C110" s="65">
        <v>44012.624236111114</v>
      </c>
      <c r="D110" t="s">
        <v>872</v>
      </c>
      <c r="E110" t="s">
        <v>804</v>
      </c>
      <c r="F110">
        <v>258878</v>
      </c>
      <c r="G110">
        <v>19.899999999999999</v>
      </c>
      <c r="H110">
        <v>0</v>
      </c>
      <c r="J110" t="s">
        <v>1005</v>
      </c>
    </row>
    <row r="111" spans="1:8" x14ac:dyDescent="0.2">
      <c r="A111" t="s">
        <v>476</v>
      </c>
      <c r="B111">
        <v>723545</v>
      </c>
      <c r="C111" s="65">
        <v>44012.636435185188</v>
      </c>
      <c r="D111" t="s">
        <v>873</v>
      </c>
      <c r="E111" t="s">
        <v>806</v>
      </c>
      <c r="F111">
        <v>203666</v>
      </c>
      <c r="G111">
        <v>250.5</v>
      </c>
      <c r="H111">
        <v>0</v>
      </c>
      <c r="J111" t="s">
        <v>1006</v>
      </c>
    </row>
    <row r="112" spans="1:8" x14ac:dyDescent="0.2">
      <c r="A112" s="46" t="s">
        <v>494</v>
      </c>
      <c r="B112">
        <v>716334</v>
      </c>
      <c r="C112" s="65">
        <v>43985.74658564815</v>
      </c>
      <c r="D112" t="s">
        <v>876</v>
      </c>
      <c r="F112">
        <v>0</v>
      </c>
      <c r="G112">
        <v>0</v>
      </c>
      <c r="H112">
        <v>308.08</v>
      </c>
      <c r="J112" t="s">
        <v>1004</v>
      </c>
    </row>
    <row r="113" spans="1:8" x14ac:dyDescent="0.2">
      <c r="A113" s="46" t="s">
        <v>494</v>
      </c>
      <c r="B113">
        <v>716334</v>
      </c>
      <c r="C113" s="65">
        <v>43985.74658564815</v>
      </c>
      <c r="D113" t="s">
        <v>877</v>
      </c>
      <c r="E113" t="s">
        <v>804</v>
      </c>
      <c r="F113">
        <v>255102</v>
      </c>
      <c r="G113">
        <v>25.88</v>
      </c>
      <c r="H113">
        <v>0</v>
      </c>
      <c r="J113" t="s">
        <v>1005</v>
      </c>
    </row>
    <row r="114" spans="1:8" x14ac:dyDescent="0.2">
      <c r="A114" s="46" t="s">
        <v>494</v>
      </c>
      <c r="B114">
        <v>716358</v>
      </c>
      <c r="C114" s="65">
        <v>43985.749490740738</v>
      </c>
      <c r="D114" t="s">
        <v>878</v>
      </c>
      <c r="E114" t="s">
        <v>806</v>
      </c>
      <c r="F114">
        <v>201504</v>
      </c>
      <c r="G114">
        <v>276.2</v>
      </c>
      <c r="H114">
        <v>0</v>
      </c>
      <c r="J114" t="s">
        <v>1006</v>
      </c>
    </row>
    <row r="115" spans="1:8" x14ac:dyDescent="0.2">
      <c r="A115" s="46" t="s">
        <v>494</v>
      </c>
      <c r="B115">
        <v>718737</v>
      </c>
      <c r="C115" s="65">
        <v>43997.447858796295</v>
      </c>
      <c r="D115" t="s">
        <v>879</v>
      </c>
      <c r="F115">
        <v>0</v>
      </c>
      <c r="G115">
        <v>0</v>
      </c>
      <c r="H115">
        <v>153.44</v>
      </c>
      <c r="J115" t="s">
        <v>1004</v>
      </c>
    </row>
    <row r="116" spans="1:8" x14ac:dyDescent="0.2">
      <c r="A116" s="46" t="s">
        <v>494</v>
      </c>
      <c r="B116">
        <v>718737</v>
      </c>
      <c r="C116" s="65">
        <v>43997.447858796295</v>
      </c>
      <c r="D116" t="s">
        <v>877</v>
      </c>
      <c r="E116" t="s">
        <v>804</v>
      </c>
      <c r="F116">
        <v>256179</v>
      </c>
      <c r="G116">
        <v>12.89</v>
      </c>
      <c r="H116">
        <v>0</v>
      </c>
      <c r="J116" t="s">
        <v>1005</v>
      </c>
    </row>
    <row r="117" spans="1:8" x14ac:dyDescent="0.2">
      <c r="A117" s="46" t="s">
        <v>494</v>
      </c>
      <c r="B117">
        <v>718745</v>
      </c>
      <c r="C117" s="65">
        <v>43997.453043981484</v>
      </c>
      <c r="D117" t="s">
        <v>878</v>
      </c>
      <c r="E117" t="s">
        <v>806</v>
      </c>
      <c r="F117">
        <v>202234</v>
      </c>
      <c r="G117">
        <v>140.55000000000001</v>
      </c>
      <c r="H117">
        <v>0</v>
      </c>
      <c r="J117" t="s">
        <v>1006</v>
      </c>
    </row>
    <row r="118" spans="1:8" x14ac:dyDescent="0.2">
      <c r="A118" s="46" t="s">
        <v>494</v>
      </c>
      <c r="B118">
        <v>722641</v>
      </c>
      <c r="C118" s="65">
        <v>44010.023368055554</v>
      </c>
      <c r="D118" t="s">
        <v>880</v>
      </c>
      <c r="E118" t="s">
        <v>804</v>
      </c>
      <c r="F118">
        <v>258218</v>
      </c>
      <c r="G118">
        <v>6</v>
      </c>
      <c r="H118">
        <v>0</v>
      </c>
      <c r="J118" t="s">
        <v>1007</v>
      </c>
    </row>
    <row r="119" spans="1:8" x14ac:dyDescent="0.2">
      <c r="A119" s="46" t="s">
        <v>494</v>
      </c>
      <c r="B119">
        <v>723507</v>
      </c>
      <c r="C119" s="65">
        <v>44012.624236111114</v>
      </c>
      <c r="D119" t="s">
        <v>879</v>
      </c>
      <c r="F119">
        <v>0</v>
      </c>
      <c r="G119">
        <v>0</v>
      </c>
      <c r="H119">
        <v>346.56</v>
      </c>
      <c r="J119" t="s">
        <v>1004</v>
      </c>
    </row>
    <row r="120" spans="1:8" x14ac:dyDescent="0.2">
      <c r="A120" s="46" t="s">
        <v>494</v>
      </c>
      <c r="B120">
        <v>723507</v>
      </c>
      <c r="C120" s="65">
        <v>44012.624236111114</v>
      </c>
      <c r="D120" t="s">
        <v>877</v>
      </c>
      <c r="E120" t="s">
        <v>804</v>
      </c>
      <c r="F120">
        <v>258888</v>
      </c>
      <c r="G120">
        <v>29.11</v>
      </c>
      <c r="H120">
        <v>0</v>
      </c>
      <c r="J120" t="s">
        <v>1005</v>
      </c>
    </row>
    <row r="121" spans="1:8" x14ac:dyDescent="0.2">
      <c r="A121" s="46" t="s">
        <v>494</v>
      </c>
      <c r="B121">
        <v>723545</v>
      </c>
      <c r="C121" s="65">
        <v>44012.636435185188</v>
      </c>
      <c r="D121" t="s">
        <v>878</v>
      </c>
      <c r="E121" t="s">
        <v>806</v>
      </c>
      <c r="F121">
        <v>203676</v>
      </c>
      <c r="G121">
        <v>311.45</v>
      </c>
      <c r="H121">
        <v>0</v>
      </c>
      <c r="J121" t="s">
        <v>1006</v>
      </c>
    </row>
    <row r="122" spans="1:8" x14ac:dyDescent="0.2">
      <c r="A122" s="46" t="s">
        <v>560</v>
      </c>
      <c r="B122">
        <v>722085</v>
      </c>
      <c r="C122" s="65">
        <v>44007.485937500001</v>
      </c>
      <c r="D122" t="s">
        <v>881</v>
      </c>
      <c r="F122">
        <v>0</v>
      </c>
      <c r="G122">
        <v>0</v>
      </c>
      <c r="H122">
        <v>281.73</v>
      </c>
      <c r="J122" t="s">
        <v>1004</v>
      </c>
    </row>
    <row r="123" spans="1:8" x14ac:dyDescent="0.2">
      <c r="A123" s="46" t="s">
        <v>560</v>
      </c>
      <c r="B123">
        <v>722085</v>
      </c>
      <c r="C123" s="65">
        <v>44007.485937500001</v>
      </c>
      <c r="D123" t="s">
        <v>882</v>
      </c>
      <c r="E123" t="s">
        <v>804</v>
      </c>
      <c r="F123">
        <v>257085</v>
      </c>
      <c r="G123">
        <v>20.28</v>
      </c>
      <c r="H123">
        <v>0</v>
      </c>
      <c r="J123" t="s">
        <v>1005</v>
      </c>
    </row>
    <row r="124" spans="1:8" x14ac:dyDescent="0.2">
      <c r="A124" s="46" t="s">
        <v>560</v>
      </c>
      <c r="B124">
        <v>722085</v>
      </c>
      <c r="C124" s="65">
        <v>44007.485937500001</v>
      </c>
      <c r="D124" t="s">
        <v>883</v>
      </c>
      <c r="F124">
        <v>0</v>
      </c>
      <c r="G124">
        <v>0</v>
      </c>
      <c r="H124">
        <v>418.27</v>
      </c>
      <c r="J124" t="s">
        <v>1004</v>
      </c>
    </row>
    <row r="125" spans="1:8" x14ac:dyDescent="0.2">
      <c r="A125" s="46" t="s">
        <v>560</v>
      </c>
      <c r="B125">
        <v>722085</v>
      </c>
      <c r="C125" s="65">
        <v>44007.485937500001</v>
      </c>
      <c r="D125" t="s">
        <v>882</v>
      </c>
      <c r="E125" t="s">
        <v>804</v>
      </c>
      <c r="F125">
        <v>257085</v>
      </c>
      <c r="G125">
        <v>30.12</v>
      </c>
      <c r="H125">
        <v>0</v>
      </c>
      <c r="J125" t="s">
        <v>1005</v>
      </c>
    </row>
    <row r="126" spans="1:8" x14ac:dyDescent="0.2">
      <c r="A126" s="46" t="s">
        <v>560</v>
      </c>
      <c r="B126">
        <v>722092</v>
      </c>
      <c r="C126" s="65">
        <v>44007.487291666665</v>
      </c>
      <c r="D126" t="s">
        <v>884</v>
      </c>
      <c r="E126" t="s">
        <v>806</v>
      </c>
      <c r="F126">
        <v>203279</v>
      </c>
      <c r="G126">
        <v>643.6</v>
      </c>
      <c r="H126">
        <v>0</v>
      </c>
      <c r="J126" t="s">
        <v>1006</v>
      </c>
    </row>
    <row r="127" spans="1:8" x14ac:dyDescent="0.2">
      <c r="A127" s="46" t="s">
        <v>560</v>
      </c>
      <c r="B127">
        <v>722641</v>
      </c>
      <c r="C127" s="65">
        <v>44010.023368055554</v>
      </c>
      <c r="D127" t="s">
        <v>885</v>
      </c>
      <c r="E127" t="s">
        <v>804</v>
      </c>
      <c r="F127">
        <v>258294</v>
      </c>
      <c r="G127">
        <v>6</v>
      </c>
      <c r="H127">
        <v>0</v>
      </c>
      <c r="J127" t="s">
        <v>1007</v>
      </c>
    </row>
    <row r="128" spans="1:8" x14ac:dyDescent="0.2">
      <c r="A128" s="46" t="s">
        <v>484</v>
      </c>
      <c r="B128">
        <v>715101</v>
      </c>
      <c r="C128" s="65">
        <v>43983.509293981479</v>
      </c>
      <c r="D128" t="s">
        <v>886</v>
      </c>
      <c r="F128">
        <v>0</v>
      </c>
      <c r="G128">
        <v>0</v>
      </c>
      <c r="H128">
        <v>250</v>
      </c>
      <c r="J128" t="s">
        <v>1004</v>
      </c>
    </row>
    <row r="129" spans="1:8" x14ac:dyDescent="0.2">
      <c r="A129" s="46" t="s">
        <v>484</v>
      </c>
      <c r="B129">
        <v>715101</v>
      </c>
      <c r="C129" s="65">
        <v>43983.509293981479</v>
      </c>
      <c r="D129" t="s">
        <v>887</v>
      </c>
      <c r="E129" t="s">
        <v>804</v>
      </c>
      <c r="F129">
        <v>254572</v>
      </c>
      <c r="G129">
        <v>18</v>
      </c>
      <c r="H129">
        <v>0</v>
      </c>
      <c r="J129" t="s">
        <v>1005</v>
      </c>
    </row>
    <row r="130" spans="1:8" x14ac:dyDescent="0.2">
      <c r="A130" s="46" t="s">
        <v>484</v>
      </c>
      <c r="B130">
        <v>715111</v>
      </c>
      <c r="C130" s="65">
        <v>43983.51190972222</v>
      </c>
      <c r="D130" t="s">
        <v>888</v>
      </c>
      <c r="E130" t="s">
        <v>806</v>
      </c>
      <c r="F130">
        <v>201076</v>
      </c>
      <c r="G130">
        <v>226</v>
      </c>
      <c r="H130">
        <v>0</v>
      </c>
      <c r="J130" t="s">
        <v>1006</v>
      </c>
    </row>
    <row r="131" spans="1:8" x14ac:dyDescent="0.2">
      <c r="A131" s="46" t="s">
        <v>484</v>
      </c>
      <c r="B131">
        <v>717192</v>
      </c>
      <c r="C131" s="65">
        <v>43990.629745370374</v>
      </c>
      <c r="D131" t="s">
        <v>886</v>
      </c>
      <c r="F131">
        <v>0</v>
      </c>
      <c r="G131">
        <v>0</v>
      </c>
      <c r="H131">
        <v>250</v>
      </c>
      <c r="J131" t="s">
        <v>1004</v>
      </c>
    </row>
    <row r="132" spans="1:8" x14ac:dyDescent="0.2">
      <c r="A132" s="46" t="s">
        <v>484</v>
      </c>
      <c r="B132">
        <v>717192</v>
      </c>
      <c r="C132" s="65">
        <v>43990.629745370374</v>
      </c>
      <c r="D132" t="s">
        <v>887</v>
      </c>
      <c r="E132" t="s">
        <v>804</v>
      </c>
      <c r="F132">
        <v>255439</v>
      </c>
      <c r="G132">
        <v>18</v>
      </c>
      <c r="H132">
        <v>0</v>
      </c>
      <c r="J132" t="s">
        <v>1005</v>
      </c>
    </row>
    <row r="133" spans="1:8" x14ac:dyDescent="0.2">
      <c r="A133" s="46" t="s">
        <v>484</v>
      </c>
      <c r="B133">
        <v>717205</v>
      </c>
      <c r="C133" s="65">
        <v>43990.637986111113</v>
      </c>
      <c r="D133" t="s">
        <v>888</v>
      </c>
      <c r="E133" t="s">
        <v>806</v>
      </c>
      <c r="F133">
        <v>201751</v>
      </c>
      <c r="G133">
        <v>232</v>
      </c>
      <c r="H133">
        <v>0</v>
      </c>
      <c r="J133" t="s">
        <v>1006</v>
      </c>
    </row>
    <row r="134" spans="1:8" x14ac:dyDescent="0.2">
      <c r="A134" s="46" t="s">
        <v>484</v>
      </c>
      <c r="B134">
        <v>722641</v>
      </c>
      <c r="C134" s="65">
        <v>44010.023368055554</v>
      </c>
      <c r="D134" t="s">
        <v>889</v>
      </c>
      <c r="E134" s="46" t="s">
        <v>804</v>
      </c>
      <c r="F134">
        <v>258456</v>
      </c>
      <c r="G134">
        <v>6</v>
      </c>
      <c r="H134">
        <v>0</v>
      </c>
      <c r="J134" t="s">
        <v>1007</v>
      </c>
    </row>
    <row r="135" spans="1:8" x14ac:dyDescent="0.2">
      <c r="A135" s="46" t="s">
        <v>484</v>
      </c>
      <c r="B135">
        <v>723509</v>
      </c>
      <c r="C135" s="65">
        <v>44012.624236111114</v>
      </c>
      <c r="D135" t="s">
        <v>890</v>
      </c>
      <c r="F135">
        <v>0</v>
      </c>
      <c r="G135">
        <v>0</v>
      </c>
      <c r="H135">
        <v>250</v>
      </c>
      <c r="J135" t="s">
        <v>1004</v>
      </c>
    </row>
    <row r="136" spans="1:8" x14ac:dyDescent="0.2">
      <c r="A136" s="46" t="s">
        <v>484</v>
      </c>
      <c r="B136">
        <v>723509</v>
      </c>
      <c r="C136" s="65">
        <v>44012.624236111114</v>
      </c>
      <c r="D136" t="s">
        <v>887</v>
      </c>
      <c r="E136" t="s">
        <v>804</v>
      </c>
      <c r="F136">
        <v>258890</v>
      </c>
      <c r="G136">
        <v>18</v>
      </c>
      <c r="H136">
        <v>0</v>
      </c>
      <c r="J136" t="s">
        <v>1005</v>
      </c>
    </row>
    <row r="137" spans="1:8" x14ac:dyDescent="0.2">
      <c r="A137" s="46" t="s">
        <v>484</v>
      </c>
      <c r="B137">
        <v>723545</v>
      </c>
      <c r="C137" s="65">
        <v>44012.636435185188</v>
      </c>
      <c r="D137" t="s">
        <v>888</v>
      </c>
      <c r="E137" t="s">
        <v>806</v>
      </c>
      <c r="F137">
        <v>203678</v>
      </c>
      <c r="G137">
        <v>226</v>
      </c>
      <c r="H137">
        <v>0</v>
      </c>
      <c r="J137" t="s">
        <v>1006</v>
      </c>
    </row>
    <row r="138" spans="1:8" x14ac:dyDescent="0.2">
      <c r="A138" s="46" t="s">
        <v>492</v>
      </c>
      <c r="B138">
        <v>716321</v>
      </c>
      <c r="C138" s="65">
        <v>43985.74658564815</v>
      </c>
      <c r="D138" t="s">
        <v>891</v>
      </c>
      <c r="F138">
        <v>0</v>
      </c>
      <c r="G138">
        <v>0</v>
      </c>
      <c r="H138">
        <v>73.11</v>
      </c>
      <c r="J138" t="s">
        <v>1004</v>
      </c>
    </row>
    <row r="139" spans="1:8" x14ac:dyDescent="0.2">
      <c r="A139" s="46" t="s">
        <v>492</v>
      </c>
      <c r="B139">
        <v>716321</v>
      </c>
      <c r="C139" s="65">
        <v>43985.74658564815</v>
      </c>
      <c r="D139" t="s">
        <v>892</v>
      </c>
      <c r="E139" t="s">
        <v>804</v>
      </c>
      <c r="F139">
        <v>255089</v>
      </c>
      <c r="G139">
        <v>5.27</v>
      </c>
      <c r="H139">
        <v>0</v>
      </c>
      <c r="J139" t="s">
        <v>1005</v>
      </c>
    </row>
    <row r="140" spans="1:8" x14ac:dyDescent="0.2">
      <c r="A140" s="46" t="s">
        <v>492</v>
      </c>
      <c r="B140">
        <v>716321</v>
      </c>
      <c r="C140" s="65">
        <v>43985.74658564815</v>
      </c>
      <c r="D140" t="s">
        <v>893</v>
      </c>
      <c r="F140">
        <v>0</v>
      </c>
      <c r="G140">
        <v>0</v>
      </c>
      <c r="H140">
        <v>411.49</v>
      </c>
      <c r="J140" t="s">
        <v>1004</v>
      </c>
    </row>
    <row r="141" spans="1:8" x14ac:dyDescent="0.2">
      <c r="A141" s="46" t="s">
        <v>492</v>
      </c>
      <c r="B141">
        <v>716321</v>
      </c>
      <c r="C141" s="65">
        <v>43985.74658564815</v>
      </c>
      <c r="D141" t="s">
        <v>892</v>
      </c>
      <c r="E141" t="s">
        <v>804</v>
      </c>
      <c r="F141">
        <v>255089</v>
      </c>
      <c r="G141">
        <v>29.63</v>
      </c>
      <c r="H141">
        <v>0</v>
      </c>
      <c r="J141" t="s">
        <v>1005</v>
      </c>
    </row>
    <row r="142" spans="1:8" x14ac:dyDescent="0.2">
      <c r="A142" s="46" t="s">
        <v>492</v>
      </c>
      <c r="B142">
        <v>716358</v>
      </c>
      <c r="C142" s="65">
        <v>43985.749490740738</v>
      </c>
      <c r="D142" t="s">
        <v>894</v>
      </c>
      <c r="E142" t="s">
        <v>806</v>
      </c>
      <c r="F142">
        <v>201491</v>
      </c>
      <c r="G142">
        <v>443.7</v>
      </c>
      <c r="H142">
        <v>0</v>
      </c>
      <c r="J142" t="s">
        <v>1006</v>
      </c>
    </row>
    <row r="143" spans="1:8" x14ac:dyDescent="0.2">
      <c r="A143" s="46" t="s">
        <v>492</v>
      </c>
      <c r="B143">
        <v>722641</v>
      </c>
      <c r="C143" s="65">
        <v>44010.023368055554</v>
      </c>
      <c r="D143" t="s">
        <v>895</v>
      </c>
      <c r="E143" t="s">
        <v>804</v>
      </c>
      <c r="F143">
        <v>258214</v>
      </c>
      <c r="G143">
        <v>6</v>
      </c>
      <c r="H143">
        <v>0</v>
      </c>
      <c r="J143" t="s">
        <v>1007</v>
      </c>
    </row>
    <row r="144" spans="1:8" x14ac:dyDescent="0.2">
      <c r="A144" s="46" t="s">
        <v>492</v>
      </c>
      <c r="B144">
        <v>723496</v>
      </c>
      <c r="C144" s="65">
        <v>44012.624236111114</v>
      </c>
      <c r="D144" t="s">
        <v>893</v>
      </c>
      <c r="F144">
        <v>0</v>
      </c>
      <c r="G144">
        <v>0</v>
      </c>
      <c r="H144">
        <v>113.51</v>
      </c>
      <c r="J144" t="s">
        <v>1004</v>
      </c>
    </row>
    <row r="145" spans="1:8" x14ac:dyDescent="0.2">
      <c r="A145" s="46" t="s">
        <v>492</v>
      </c>
      <c r="B145">
        <v>723496</v>
      </c>
      <c r="C145" s="65">
        <v>44012.624236111114</v>
      </c>
      <c r="D145" t="s">
        <v>892</v>
      </c>
      <c r="E145" s="46" t="s">
        <v>804</v>
      </c>
      <c r="F145">
        <v>258877</v>
      </c>
      <c r="G145">
        <v>8.17</v>
      </c>
      <c r="H145">
        <v>0</v>
      </c>
      <c r="J145" t="s">
        <v>1005</v>
      </c>
    </row>
    <row r="146" spans="1:8" x14ac:dyDescent="0.2">
      <c r="A146" s="46" t="s">
        <v>492</v>
      </c>
      <c r="B146">
        <v>723496</v>
      </c>
      <c r="C146" s="65">
        <v>44012.624236111114</v>
      </c>
      <c r="D146" t="s">
        <v>896</v>
      </c>
      <c r="F146">
        <v>0</v>
      </c>
      <c r="G146">
        <v>0</v>
      </c>
      <c r="H146">
        <v>371.09</v>
      </c>
      <c r="J146" t="s">
        <v>1004</v>
      </c>
    </row>
    <row r="147" spans="1:8" x14ac:dyDescent="0.2">
      <c r="A147" s="46" t="s">
        <v>492</v>
      </c>
      <c r="B147">
        <v>723496</v>
      </c>
      <c r="C147" s="65">
        <v>44012.624236111114</v>
      </c>
      <c r="D147" t="s">
        <v>892</v>
      </c>
      <c r="E147" t="s">
        <v>804</v>
      </c>
      <c r="F147">
        <v>258877</v>
      </c>
      <c r="G147">
        <v>26.72</v>
      </c>
      <c r="H147">
        <v>0</v>
      </c>
      <c r="J147" t="s">
        <v>1005</v>
      </c>
    </row>
    <row r="148" spans="1:8" x14ac:dyDescent="0.2">
      <c r="A148" s="46" t="s">
        <v>492</v>
      </c>
      <c r="B148">
        <v>723545</v>
      </c>
      <c r="C148" s="65">
        <v>44012.636435185188</v>
      </c>
      <c r="D148" t="s">
        <v>894</v>
      </c>
      <c r="E148" t="s">
        <v>806</v>
      </c>
      <c r="F148">
        <v>203665</v>
      </c>
      <c r="G148">
        <v>443.71</v>
      </c>
      <c r="H148">
        <v>0</v>
      </c>
      <c r="J148" t="s">
        <v>1006</v>
      </c>
    </row>
    <row r="149" spans="1:8" x14ac:dyDescent="0.2">
      <c r="A149" s="46" t="s">
        <v>493</v>
      </c>
      <c r="B149">
        <v>716332</v>
      </c>
      <c r="C149" s="65">
        <v>43985.74658564815</v>
      </c>
      <c r="D149" t="s">
        <v>897</v>
      </c>
      <c r="F149">
        <v>0</v>
      </c>
      <c r="G149">
        <v>0</v>
      </c>
      <c r="H149">
        <v>300.64</v>
      </c>
      <c r="J149" t="s">
        <v>1004</v>
      </c>
    </row>
    <row r="150" spans="1:8" x14ac:dyDescent="0.2">
      <c r="A150" s="46" t="s">
        <v>493</v>
      </c>
      <c r="B150">
        <v>716332</v>
      </c>
      <c r="C150" s="65">
        <v>43985.74658564815</v>
      </c>
      <c r="D150" t="s">
        <v>898</v>
      </c>
      <c r="E150" s="46" t="s">
        <v>804</v>
      </c>
      <c r="F150">
        <v>255100</v>
      </c>
      <c r="G150">
        <v>21.65</v>
      </c>
      <c r="H150">
        <v>0</v>
      </c>
      <c r="J150" t="s">
        <v>1005</v>
      </c>
    </row>
    <row r="151" spans="1:8" x14ac:dyDescent="0.2">
      <c r="A151" s="46" t="s">
        <v>493</v>
      </c>
      <c r="B151">
        <v>716358</v>
      </c>
      <c r="C151" s="65">
        <v>43985.749490740738</v>
      </c>
      <c r="D151" t="s">
        <v>899</v>
      </c>
      <c r="E151" t="s">
        <v>806</v>
      </c>
      <c r="F151">
        <v>201502</v>
      </c>
      <c r="G151">
        <v>272.99</v>
      </c>
      <c r="H151">
        <v>0</v>
      </c>
      <c r="J151" t="s">
        <v>1006</v>
      </c>
    </row>
    <row r="152" spans="1:8" x14ac:dyDescent="0.2">
      <c r="A152" s="46" t="s">
        <v>493</v>
      </c>
      <c r="B152">
        <v>721416</v>
      </c>
      <c r="C152" s="65">
        <v>44005.652731481481</v>
      </c>
      <c r="D152" t="s">
        <v>900</v>
      </c>
      <c r="F152">
        <v>0</v>
      </c>
      <c r="G152">
        <v>0</v>
      </c>
      <c r="H152">
        <v>151.68</v>
      </c>
      <c r="J152" t="s">
        <v>1004</v>
      </c>
    </row>
    <row r="153" spans="1:8" x14ac:dyDescent="0.2">
      <c r="A153" s="46" t="s">
        <v>493</v>
      </c>
      <c r="B153">
        <v>721416</v>
      </c>
      <c r="C153" s="65">
        <v>44005.652731481481</v>
      </c>
      <c r="D153" t="s">
        <v>898</v>
      </c>
      <c r="E153" t="s">
        <v>804</v>
      </c>
      <c r="F153">
        <v>256927</v>
      </c>
      <c r="G153">
        <v>10.92</v>
      </c>
      <c r="H153">
        <v>0</v>
      </c>
      <c r="J153" t="s">
        <v>1005</v>
      </c>
    </row>
    <row r="154" spans="1:8" x14ac:dyDescent="0.2">
      <c r="A154" s="46" t="s">
        <v>493</v>
      </c>
      <c r="B154">
        <v>721432</v>
      </c>
      <c r="C154" s="65">
        <v>44005.656111111108</v>
      </c>
      <c r="D154" t="s">
        <v>899</v>
      </c>
      <c r="E154" t="s">
        <v>806</v>
      </c>
      <c r="F154">
        <v>203036</v>
      </c>
      <c r="G154">
        <v>140.76</v>
      </c>
      <c r="H154">
        <v>0</v>
      </c>
      <c r="J154" t="s">
        <v>1006</v>
      </c>
    </row>
    <row r="155" spans="1:8" x14ac:dyDescent="0.2">
      <c r="A155" s="46" t="s">
        <v>493</v>
      </c>
      <c r="B155">
        <v>722641</v>
      </c>
      <c r="C155" s="65">
        <v>44010.023368055554</v>
      </c>
      <c r="D155" t="s">
        <v>901</v>
      </c>
      <c r="E155" t="s">
        <v>804</v>
      </c>
      <c r="F155">
        <v>258217</v>
      </c>
      <c r="G155">
        <v>6</v>
      </c>
      <c r="H155">
        <v>0</v>
      </c>
      <c r="J155" t="s">
        <v>1007</v>
      </c>
    </row>
    <row r="156" spans="1:8" x14ac:dyDescent="0.2">
      <c r="A156" s="46" t="s">
        <v>493</v>
      </c>
      <c r="B156">
        <v>723502</v>
      </c>
      <c r="C156" s="65">
        <v>44012.624236111114</v>
      </c>
      <c r="D156" t="s">
        <v>900</v>
      </c>
      <c r="F156">
        <v>0</v>
      </c>
      <c r="G156">
        <v>0</v>
      </c>
      <c r="H156">
        <v>338.32</v>
      </c>
      <c r="J156" t="s">
        <v>1004</v>
      </c>
    </row>
    <row r="157" spans="1:8" x14ac:dyDescent="0.2">
      <c r="A157" s="46" t="s">
        <v>493</v>
      </c>
      <c r="B157">
        <v>723502</v>
      </c>
      <c r="C157" s="65">
        <v>44012.624236111114</v>
      </c>
      <c r="D157" t="s">
        <v>898</v>
      </c>
      <c r="E157" t="s">
        <v>804</v>
      </c>
      <c r="F157">
        <v>258883</v>
      </c>
      <c r="G157">
        <v>24.36</v>
      </c>
      <c r="H157">
        <v>0</v>
      </c>
      <c r="J157" t="s">
        <v>1005</v>
      </c>
    </row>
    <row r="158" spans="1:8" x14ac:dyDescent="0.2">
      <c r="A158" s="46" t="s">
        <v>493</v>
      </c>
      <c r="B158">
        <v>723545</v>
      </c>
      <c r="C158" s="65">
        <v>44012.636435185188</v>
      </c>
      <c r="D158" t="s">
        <v>899</v>
      </c>
      <c r="E158" t="s">
        <v>806</v>
      </c>
      <c r="F158">
        <v>203671</v>
      </c>
      <c r="G158">
        <v>307.95999999999998</v>
      </c>
      <c r="H158">
        <v>0</v>
      </c>
      <c r="J158" t="s">
        <v>1006</v>
      </c>
    </row>
    <row r="159" spans="1:8" x14ac:dyDescent="0.2">
      <c r="A159" s="46" t="s">
        <v>498</v>
      </c>
      <c r="B159">
        <v>716314</v>
      </c>
      <c r="C159" s="65">
        <v>43985.74658564815</v>
      </c>
      <c r="D159" t="s">
        <v>902</v>
      </c>
      <c r="F159">
        <v>0</v>
      </c>
      <c r="G159">
        <v>0</v>
      </c>
      <c r="H159">
        <v>78.16</v>
      </c>
      <c r="J159" t="s">
        <v>1004</v>
      </c>
    </row>
    <row r="160" spans="1:8" x14ac:dyDescent="0.2">
      <c r="A160" s="46" t="s">
        <v>498</v>
      </c>
      <c r="B160">
        <v>716314</v>
      </c>
      <c r="C160" s="65">
        <v>43985.74658564815</v>
      </c>
      <c r="D160" t="s">
        <v>903</v>
      </c>
      <c r="E160" t="s">
        <v>804</v>
      </c>
      <c r="F160">
        <v>255082</v>
      </c>
      <c r="G160">
        <v>5.63</v>
      </c>
      <c r="H160">
        <v>0</v>
      </c>
      <c r="J160" t="s">
        <v>1005</v>
      </c>
    </row>
    <row r="161" spans="1:8" x14ac:dyDescent="0.2">
      <c r="A161" s="46" t="s">
        <v>498</v>
      </c>
      <c r="B161">
        <v>716314</v>
      </c>
      <c r="C161" s="65">
        <v>43985.74658564815</v>
      </c>
      <c r="D161" t="s">
        <v>904</v>
      </c>
      <c r="F161">
        <v>0</v>
      </c>
      <c r="G161">
        <v>0</v>
      </c>
      <c r="H161">
        <v>383.36</v>
      </c>
      <c r="J161" t="s">
        <v>1004</v>
      </c>
    </row>
    <row r="162" spans="1:8" x14ac:dyDescent="0.2">
      <c r="A162" s="46" t="s">
        <v>498</v>
      </c>
      <c r="B162">
        <v>716314</v>
      </c>
      <c r="C162" s="65">
        <v>43985.74658564815</v>
      </c>
      <c r="D162" t="s">
        <v>903</v>
      </c>
      <c r="E162" t="s">
        <v>804</v>
      </c>
      <c r="F162">
        <v>255082</v>
      </c>
      <c r="G162">
        <v>27.6</v>
      </c>
      <c r="H162">
        <v>0</v>
      </c>
      <c r="J162" t="s">
        <v>1005</v>
      </c>
    </row>
    <row r="163" spans="1:8" x14ac:dyDescent="0.2">
      <c r="A163" s="46" t="s">
        <v>498</v>
      </c>
      <c r="B163">
        <v>716358</v>
      </c>
      <c r="C163" s="65">
        <v>43985.749490740738</v>
      </c>
      <c r="D163" t="s">
        <v>905</v>
      </c>
      <c r="E163" t="s">
        <v>806</v>
      </c>
      <c r="F163">
        <v>201484</v>
      </c>
      <c r="G163">
        <v>422.29</v>
      </c>
      <c r="H163">
        <v>0</v>
      </c>
      <c r="J163" t="s">
        <v>1006</v>
      </c>
    </row>
    <row r="164" spans="1:8" x14ac:dyDescent="0.2">
      <c r="A164" s="46" t="s">
        <v>498</v>
      </c>
      <c r="B164">
        <v>722641</v>
      </c>
      <c r="C164" s="65">
        <v>44010.023368055554</v>
      </c>
      <c r="D164" t="s">
        <v>906</v>
      </c>
      <c r="E164" t="s">
        <v>804</v>
      </c>
      <c r="F164">
        <v>258213</v>
      </c>
      <c r="G164">
        <v>6</v>
      </c>
      <c r="H164">
        <v>0</v>
      </c>
      <c r="J164" t="s">
        <v>1007</v>
      </c>
    </row>
    <row r="165" spans="1:8" x14ac:dyDescent="0.2">
      <c r="A165" s="46" t="s">
        <v>498</v>
      </c>
      <c r="B165">
        <v>723490</v>
      </c>
      <c r="C165" s="65">
        <v>44012.624236111114</v>
      </c>
      <c r="D165" t="s">
        <v>904</v>
      </c>
      <c r="F165">
        <v>0</v>
      </c>
      <c r="G165">
        <v>0</v>
      </c>
      <c r="H165">
        <v>116.64</v>
      </c>
      <c r="J165" t="s">
        <v>1004</v>
      </c>
    </row>
    <row r="166" spans="1:8" x14ac:dyDescent="0.2">
      <c r="A166" s="46" t="s">
        <v>498</v>
      </c>
      <c r="B166">
        <v>723490</v>
      </c>
      <c r="C166" s="65">
        <v>44012.624236111114</v>
      </c>
      <c r="D166" t="s">
        <v>903</v>
      </c>
      <c r="E166" t="s">
        <v>804</v>
      </c>
      <c r="F166">
        <v>258871</v>
      </c>
      <c r="G166">
        <v>8.4</v>
      </c>
      <c r="H166">
        <v>0</v>
      </c>
      <c r="J166" t="s">
        <v>1005</v>
      </c>
    </row>
    <row r="167" spans="1:8" x14ac:dyDescent="0.2">
      <c r="A167" s="46" t="s">
        <v>498</v>
      </c>
      <c r="B167">
        <v>723490</v>
      </c>
      <c r="C167" s="65">
        <v>44012.624236111114</v>
      </c>
      <c r="D167" t="s">
        <v>907</v>
      </c>
      <c r="F167">
        <v>0</v>
      </c>
      <c r="G167">
        <v>0</v>
      </c>
      <c r="H167">
        <v>344.88</v>
      </c>
      <c r="J167" t="s">
        <v>1004</v>
      </c>
    </row>
    <row r="168" spans="1:8" x14ac:dyDescent="0.2">
      <c r="A168" s="46" t="s">
        <v>498</v>
      </c>
      <c r="B168">
        <v>723490</v>
      </c>
      <c r="C168" s="65">
        <v>44012.624236111114</v>
      </c>
      <c r="D168" t="s">
        <v>903</v>
      </c>
      <c r="E168" t="s">
        <v>804</v>
      </c>
      <c r="F168">
        <v>258871</v>
      </c>
      <c r="G168">
        <v>24.83</v>
      </c>
      <c r="H168">
        <v>0</v>
      </c>
      <c r="J168" t="s">
        <v>1005</v>
      </c>
    </row>
    <row r="169" spans="1:8" x14ac:dyDescent="0.2">
      <c r="A169" s="46" t="s">
        <v>498</v>
      </c>
      <c r="B169">
        <v>723545</v>
      </c>
      <c r="C169" s="65">
        <v>44012.636435185188</v>
      </c>
      <c r="D169" t="s">
        <v>905</v>
      </c>
      <c r="E169" t="s">
        <v>806</v>
      </c>
      <c r="F169">
        <v>203659</v>
      </c>
      <c r="G169">
        <v>422.29</v>
      </c>
      <c r="H169">
        <v>0</v>
      </c>
      <c r="J169" t="s">
        <v>1006</v>
      </c>
    </row>
    <row r="170" spans="1:8" x14ac:dyDescent="0.2">
      <c r="A170" s="46" t="s">
        <v>504</v>
      </c>
      <c r="B170">
        <v>716312</v>
      </c>
      <c r="C170" s="65">
        <v>43985.74658564815</v>
      </c>
      <c r="D170" t="s">
        <v>908</v>
      </c>
      <c r="F170">
        <v>0</v>
      </c>
      <c r="G170">
        <v>0</v>
      </c>
      <c r="H170">
        <v>233.15</v>
      </c>
      <c r="J170" t="s">
        <v>1004</v>
      </c>
    </row>
    <row r="171" spans="1:8" x14ac:dyDescent="0.2">
      <c r="A171" s="46" t="s">
        <v>504</v>
      </c>
      <c r="B171">
        <v>716312</v>
      </c>
      <c r="C171" s="65">
        <v>43985.74658564815</v>
      </c>
      <c r="D171" t="s">
        <v>909</v>
      </c>
      <c r="E171" t="s">
        <v>804</v>
      </c>
      <c r="F171">
        <v>255081</v>
      </c>
      <c r="G171">
        <v>16.79</v>
      </c>
      <c r="H171">
        <v>0</v>
      </c>
      <c r="J171" t="s">
        <v>1005</v>
      </c>
    </row>
    <row r="172" spans="1:8" x14ac:dyDescent="0.2">
      <c r="A172" s="46" t="s">
        <v>504</v>
      </c>
      <c r="B172">
        <v>716358</v>
      </c>
      <c r="C172" s="65">
        <v>43985.749490740738</v>
      </c>
      <c r="D172" t="s">
        <v>910</v>
      </c>
      <c r="E172" t="s">
        <v>806</v>
      </c>
      <c r="F172">
        <v>201482</v>
      </c>
      <c r="G172">
        <v>210.36</v>
      </c>
      <c r="H172">
        <v>0</v>
      </c>
      <c r="J172" t="s">
        <v>1006</v>
      </c>
    </row>
    <row r="173" spans="1:8" x14ac:dyDescent="0.2">
      <c r="A173" s="46" t="s">
        <v>504</v>
      </c>
      <c r="B173">
        <v>720447</v>
      </c>
      <c r="C173" s="65">
        <v>44001.513113425928</v>
      </c>
      <c r="D173" t="s">
        <v>911</v>
      </c>
      <c r="F173">
        <v>0</v>
      </c>
      <c r="G173">
        <v>0</v>
      </c>
      <c r="H173">
        <v>233.01</v>
      </c>
      <c r="J173" t="s">
        <v>1004</v>
      </c>
    </row>
    <row r="174" spans="1:8" x14ac:dyDescent="0.2">
      <c r="A174" s="46" t="s">
        <v>504</v>
      </c>
      <c r="B174">
        <v>720447</v>
      </c>
      <c r="C174" s="65">
        <v>44001.513113425928</v>
      </c>
      <c r="D174" t="s">
        <v>909</v>
      </c>
      <c r="E174" t="s">
        <v>804</v>
      </c>
      <c r="F174">
        <v>256654</v>
      </c>
      <c r="G174">
        <v>16.78</v>
      </c>
      <c r="H174">
        <v>0</v>
      </c>
      <c r="J174" t="s">
        <v>1005</v>
      </c>
    </row>
    <row r="175" spans="1:8" x14ac:dyDescent="0.2">
      <c r="A175" s="46" t="s">
        <v>504</v>
      </c>
      <c r="B175">
        <v>720474</v>
      </c>
      <c r="C175" s="65">
        <v>44001.526273148149</v>
      </c>
      <c r="D175" t="s">
        <v>910</v>
      </c>
      <c r="E175" t="s">
        <v>806</v>
      </c>
      <c r="F175">
        <v>202762</v>
      </c>
      <c r="G175">
        <v>216.23</v>
      </c>
      <c r="H175">
        <v>0</v>
      </c>
      <c r="J175" t="s">
        <v>1006</v>
      </c>
    </row>
    <row r="176" spans="1:8" x14ac:dyDescent="0.2">
      <c r="A176" s="46" t="s">
        <v>504</v>
      </c>
      <c r="B176">
        <v>722641</v>
      </c>
      <c r="C176" s="65">
        <v>44010.023368055554</v>
      </c>
      <c r="D176" t="s">
        <v>912</v>
      </c>
      <c r="E176" t="s">
        <v>804</v>
      </c>
      <c r="F176">
        <v>258266</v>
      </c>
      <c r="G176">
        <v>6</v>
      </c>
      <c r="H176">
        <v>0</v>
      </c>
      <c r="J176" t="s">
        <v>1007</v>
      </c>
    </row>
    <row r="177" spans="1:8" x14ac:dyDescent="0.2">
      <c r="A177" s="46" t="s">
        <v>504</v>
      </c>
      <c r="B177">
        <v>723485</v>
      </c>
      <c r="C177" s="65">
        <v>44012.624236111114</v>
      </c>
      <c r="D177" t="s">
        <v>911</v>
      </c>
      <c r="F177">
        <v>0</v>
      </c>
      <c r="G177">
        <v>0</v>
      </c>
      <c r="H177">
        <v>271.99</v>
      </c>
      <c r="J177" t="s">
        <v>1004</v>
      </c>
    </row>
    <row r="178" spans="1:8" x14ac:dyDescent="0.2">
      <c r="A178" s="46" t="s">
        <v>504</v>
      </c>
      <c r="B178">
        <v>723485</v>
      </c>
      <c r="C178" s="65">
        <v>44012.624236111114</v>
      </c>
      <c r="D178" t="s">
        <v>909</v>
      </c>
      <c r="E178" t="s">
        <v>804</v>
      </c>
      <c r="F178">
        <v>258867</v>
      </c>
      <c r="G178">
        <v>19.579999999999998</v>
      </c>
      <c r="H178">
        <v>0</v>
      </c>
      <c r="J178" t="s">
        <v>1005</v>
      </c>
    </row>
    <row r="179" spans="1:8" x14ac:dyDescent="0.2">
      <c r="A179" s="46" t="s">
        <v>504</v>
      </c>
      <c r="B179">
        <v>723545</v>
      </c>
      <c r="C179" s="65">
        <v>44012.636435185188</v>
      </c>
      <c r="D179" t="s">
        <v>910</v>
      </c>
      <c r="E179" t="s">
        <v>806</v>
      </c>
      <c r="F179">
        <v>203654</v>
      </c>
      <c r="G179">
        <v>246.41</v>
      </c>
      <c r="H179">
        <v>0</v>
      </c>
      <c r="J179" t="s">
        <v>1006</v>
      </c>
    </row>
    <row r="180" spans="1:8" x14ac:dyDescent="0.2">
      <c r="A180" t="s">
        <v>506</v>
      </c>
      <c r="B180">
        <v>722641</v>
      </c>
      <c r="C180" s="65">
        <v>44010.023368055554</v>
      </c>
      <c r="D180" t="s">
        <v>913</v>
      </c>
      <c r="E180" t="s">
        <v>804</v>
      </c>
      <c r="F180">
        <v>258268</v>
      </c>
      <c r="G180">
        <v>6</v>
      </c>
      <c r="H180">
        <v>0</v>
      </c>
      <c r="J180" t="s">
        <v>1007</v>
      </c>
    </row>
    <row r="181" spans="1:8" x14ac:dyDescent="0.2">
      <c r="A181" t="s">
        <v>506</v>
      </c>
      <c r="B181">
        <v>722767</v>
      </c>
      <c r="C181" s="65">
        <v>44011.490162037036</v>
      </c>
      <c r="D181" t="s">
        <v>914</v>
      </c>
      <c r="F181">
        <v>0</v>
      </c>
      <c r="G181">
        <v>0</v>
      </c>
      <c r="H181">
        <v>525</v>
      </c>
      <c r="J181" t="s">
        <v>1004</v>
      </c>
    </row>
    <row r="182" spans="1:8" x14ac:dyDescent="0.2">
      <c r="A182" t="s">
        <v>506</v>
      </c>
      <c r="B182">
        <v>722767</v>
      </c>
      <c r="C182" s="65">
        <v>44011.490162037036</v>
      </c>
      <c r="D182" t="s">
        <v>915</v>
      </c>
      <c r="E182" t="s">
        <v>804</v>
      </c>
      <c r="F182">
        <v>258625</v>
      </c>
      <c r="G182">
        <v>44.1</v>
      </c>
      <c r="H182">
        <v>0</v>
      </c>
      <c r="J182" t="s">
        <v>1005</v>
      </c>
    </row>
    <row r="183" spans="1:8" x14ac:dyDescent="0.2">
      <c r="A183" t="s">
        <v>506</v>
      </c>
      <c r="B183">
        <v>722781</v>
      </c>
      <c r="C183" s="65">
        <v>44011.493796296294</v>
      </c>
      <c r="D183" t="s">
        <v>916</v>
      </c>
      <c r="E183" t="s">
        <v>806</v>
      </c>
      <c r="F183">
        <v>203435</v>
      </c>
      <c r="G183">
        <v>474.9</v>
      </c>
      <c r="H183">
        <v>0</v>
      </c>
      <c r="J183" t="s">
        <v>1006</v>
      </c>
    </row>
    <row r="184" spans="1:8" x14ac:dyDescent="0.2">
      <c r="C184" s="65"/>
    </row>
    <row r="185" spans="1:8" x14ac:dyDescent="0.2">
      <c r="C185" s="65"/>
    </row>
    <row r="186" spans="1:8" x14ac:dyDescent="0.2">
      <c r="C186" s="65"/>
    </row>
    <row r="187" spans="1:8" x14ac:dyDescent="0.2">
      <c r="C187" s="65"/>
    </row>
    <row r="188" spans="1:8" x14ac:dyDescent="0.2">
      <c r="C188" s="65"/>
    </row>
    <row r="189" spans="1:8" x14ac:dyDescent="0.2">
      <c r="C189" s="65"/>
    </row>
    <row r="190" spans="1:8" x14ac:dyDescent="0.2">
      <c r="C190" s="65"/>
    </row>
    <row r="191" spans="1:8" x14ac:dyDescent="0.2">
      <c r="C191" s="65"/>
    </row>
    <row r="192" spans="1:8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workbookViewId="0" zoomScale="70" zoomScaleNormal="70">
      <selection sqref="A1:XFD1048576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930</v>
      </c>
      <c r="E2" s="170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ref="AB2:AB65" si="0" t="shared"><![CDATA[IF(E2<>"",IF(F2="",D2&" ("&TEXT(E2,"dd/mm/yyyy")&" - present)",D2&" ("&TEXT(E2,"dd/mm/yyyy")&" - "&TEXT(F2,"dd/mm/yyyy")&")"),"")]]>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931</v>
      </c>
      <c r="E3" s="170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si="0" t="shared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70">
        <v>41386</v>
      </c>
      <c r="F4" s="170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si="0" t="shared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70">
        <v>41030</v>
      </c>
      <c r="F5" s="170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si="0" t="shared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70">
        <v>40487</v>
      </c>
      <c r="F6" s="170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si="0" t="shared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70">
        <v>39104</v>
      </c>
      <c r="F7" s="170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si="0" t="shared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70">
        <v>38345</v>
      </c>
      <c r="F8" s="170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si="0" t="shared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70">
        <v>38019</v>
      </c>
      <c r="F9" s="170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si="0" t="shared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70">
        <v>37683</v>
      </c>
      <c r="F10" s="170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si="0" t="shared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932</v>
      </c>
      <c r="E11" s="170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si="0" t="shared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930</v>
      </c>
      <c r="E12" s="170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si="0" t="shared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70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si="0" t="shared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70">
        <v>40452</v>
      </c>
      <c r="F14" s="170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si="0" t="shared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70">
        <v>38561</v>
      </c>
      <c r="F15" s="170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si="0" t="shared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70">
        <v>38310</v>
      </c>
      <c r="F16" s="170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si="0" t="shared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933</v>
      </c>
      <c r="E17" s="170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si="0" t="shared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70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si="0" t="shared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70">
        <v>41655</v>
      </c>
      <c r="F19" s="170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si="0" t="shared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70">
        <v>40839</v>
      </c>
      <c r="F20" s="170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si="0" t="shared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70">
        <v>40448</v>
      </c>
      <c r="F21" s="170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si="0" t="shared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70">
        <v>40120</v>
      </c>
      <c r="F22" s="170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si="0" t="shared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70">
        <v>39879</v>
      </c>
      <c r="F23" s="170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si="0" t="shared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70">
        <v>39535</v>
      </c>
      <c r="F24" s="170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si="0" t="shared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70">
        <v>39013</v>
      </c>
      <c r="F25" s="170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si="0" t="shared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70">
        <v>38961</v>
      </c>
      <c r="F26" s="170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si="0" t="shared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70">
        <v>38229</v>
      </c>
      <c r="F27" s="170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si="0" t="shared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70">
        <v>38002</v>
      </c>
      <c r="F28" s="170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si="0" t="shared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70">
        <v>37802</v>
      </c>
      <c r="F29" s="170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si="0" t="shared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70">
        <v>37670</v>
      </c>
      <c r="F30" s="170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si="0" t="shared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933</v>
      </c>
      <c r="E31" s="170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si="0" t="shared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70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si="0" t="shared"/>
        <v>Carrington (26/11/2010 - present)</v>
      </c>
    </row>
    <row customFormat="1" r="33" s="51" spans="1:29" x14ac:dyDescent="0.2">
      <c r="A33" s="3">
        <v>4</v>
      </c>
      <c r="B33" s="2" t="s">
        <v>56</v>
      </c>
      <c r="C33" s="3">
        <v>120</v>
      </c>
      <c r="D33" s="2" t="s">
        <v>237</v>
      </c>
      <c r="E33" s="170">
        <v>39535</v>
      </c>
      <c r="F33" s="170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si="0" t="shared"/>
        <v>Simpson-Stevens &amp; Scott (28/03/2008 - 01/11/2010)</v>
      </c>
    </row>
    <row customFormat="1" r="34" s="51" spans="1:29" x14ac:dyDescent="0.2">
      <c r="A34" s="3">
        <v>4</v>
      </c>
      <c r="B34" s="2" t="s">
        <v>56</v>
      </c>
      <c r="C34" s="3">
        <v>101</v>
      </c>
      <c r="D34" s="2" t="s">
        <v>159</v>
      </c>
      <c r="E34" s="170">
        <v>39153</v>
      </c>
      <c r="F34" s="170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70">
        <v>38950</v>
      </c>
      <c r="F35" s="170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si="0" t="shared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70">
        <v>38705</v>
      </c>
      <c r="F36" s="170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si="0" t="shared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70">
        <v>38389</v>
      </c>
      <c r="F37" s="170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si="0" t="shared"/>
        <v>Emptage/Robson (06/02/2005 - 12/12/2005)</v>
      </c>
    </row>
    <row customFormat="1" r="38" s="51" spans="1:29" x14ac:dyDescent="0.2">
      <c r="A38" s="3">
        <v>4</v>
      </c>
      <c r="B38" s="2" t="s">
        <v>56</v>
      </c>
      <c r="C38" s="3">
        <v>6</v>
      </c>
      <c r="D38" s="2" t="s">
        <v>10</v>
      </c>
      <c r="E38" s="170">
        <v>37958</v>
      </c>
      <c r="F38" s="170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70">
        <v>37778</v>
      </c>
      <c r="F39" s="170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si="0" t="shared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70">
        <v>37603</v>
      </c>
      <c r="F40" s="170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si="0" t="shared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934</v>
      </c>
      <c r="E41" s="170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si="0" t="shared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70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si="0" t="shared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70">
        <v>41941</v>
      </c>
      <c r="F43" s="170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si="0" t="shared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70">
        <v>40896</v>
      </c>
      <c r="F44" s="170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si="0" t="shared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70">
        <v>40508</v>
      </c>
      <c r="F45" s="170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si="0" t="shared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70">
        <v>39711</v>
      </c>
      <c r="F46" s="170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si="0" t="shared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70">
        <v>38687</v>
      </c>
      <c r="F47" s="170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si="0" t="shared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70">
        <v>37830</v>
      </c>
      <c r="F48" s="170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si="0" t="shared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935</v>
      </c>
      <c r="E49" s="170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si="0" t="shared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70">
        <v>41740</v>
      </c>
      <c r="F50" s="170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si="0" t="shared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70">
        <v>40674</v>
      </c>
      <c r="F51" s="170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si="0" t="shared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70">
        <v>39349</v>
      </c>
      <c r="F52" s="170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si="0" t="shared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70">
        <v>38285</v>
      </c>
      <c r="F53" s="170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si="0" t="shared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70">
        <v>37829</v>
      </c>
      <c r="F54" s="170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si="0" t="shared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70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si="0" t="shared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70">
        <v>40235</v>
      </c>
      <c r="F56" s="170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si="0" t="shared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70">
        <v>37829</v>
      </c>
      <c r="F57" s="170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si="0" t="shared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70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si="0" t="shared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70">
        <v>40773</v>
      </c>
      <c r="F59" s="170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si="0" t="shared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70">
        <v>40326</v>
      </c>
      <c r="F60" s="170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si="0" t="shared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70">
        <v>39731</v>
      </c>
      <c r="F61" s="170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si="0" t="shared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70">
        <v>39248</v>
      </c>
      <c r="F62" s="170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si="0" t="shared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70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si="0" t="shared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70">
        <v>41901</v>
      </c>
      <c r="F64" s="170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si="0" t="shared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70">
        <v>41227</v>
      </c>
      <c r="F65" s="170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si="0" t="shared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70">
        <v>39248</v>
      </c>
      <c r="F66" s="170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ref="AB66:AB130" si="1" t="shared"><![CDATA[IF(E66<>"",IF(F66="",D66&" ("&TEXT(E66,"dd/mm/yyyy")&" - present)",D66&" ("&TEXT(E66,"dd/mm/yyyy")&" - "&TEXT(F66,"dd/mm/yyyy")&")"),"")]]>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994</v>
      </c>
      <c r="E67" s="170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si="1" t="shared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936</v>
      </c>
      <c r="E68" s="170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si="1" t="shared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70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si="1" t="shared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70">
        <v>41409</v>
      </c>
      <c r="F70" s="170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si="1" t="shared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70">
        <v>41390</v>
      </c>
      <c r="F71" s="170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si="1" t="shared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70">
        <v>39288</v>
      </c>
      <c r="F72" s="170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si="1" t="shared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70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si="1" t="shared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70">
        <v>40695</v>
      </c>
      <c r="F74" s="170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si="1" t="shared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70">
        <v>39162</v>
      </c>
      <c r="F75" s="170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si="1" t="shared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70">
        <v>38887</v>
      </c>
      <c r="F76" s="170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si="1" t="shared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70">
        <v>38467</v>
      </c>
      <c r="F77" s="170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si="1" t="shared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70">
        <v>38191</v>
      </c>
      <c r="F78" s="170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si="1" t="shared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70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si="1" t="shared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70">
        <v>40148</v>
      </c>
      <c r="F80" s="170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si="1" t="shared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70">
        <v>39325</v>
      </c>
      <c r="F81" s="170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si="1" t="shared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70">
        <v>38394</v>
      </c>
      <c r="F82" s="170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si="1" t="shared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70">
        <v>38205</v>
      </c>
      <c r="F83" s="170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si="1" t="shared"/>
        <v>Bilham (06/08/2004 - 12/01/2005)</v>
      </c>
    </row>
    <row customFormat="1" r="84" s="51" spans="1:29" x14ac:dyDescent="0.2">
      <c r="A84" s="3">
        <v>11</v>
      </c>
      <c r="B84" s="2" t="s">
        <v>62</v>
      </c>
      <c r="C84" s="3">
        <v>806</v>
      </c>
      <c r="D84" s="2" t="s">
        <v>937</v>
      </c>
      <c r="E84" s="170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70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si="1" t="shared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70">
        <v>40525</v>
      </c>
      <c r="F86" s="170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si="1" t="shared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70">
        <v>40408</v>
      </c>
      <c r="F87" s="170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si="1" t="shared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70">
        <v>40151</v>
      </c>
      <c r="F88" s="170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si="1" t="shared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70">
        <v>39709</v>
      </c>
      <c r="F89" s="170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si="1" t="shared"/>
        <v>Toombs (18/09/2008 - 30/11/2009)</v>
      </c>
    </row>
    <row customFormat="1" r="90" s="51" spans="1:29" x14ac:dyDescent="0.2">
      <c r="A90" s="3">
        <v>11</v>
      </c>
      <c r="B90" s="2" t="s">
        <v>62</v>
      </c>
      <c r="C90" s="3">
        <v>23</v>
      </c>
      <c r="D90" s="2" t="s">
        <v>158</v>
      </c>
      <c r="E90" s="170">
        <v>38324</v>
      </c>
      <c r="F90" s="170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938</v>
      </c>
      <c r="E91" s="170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si="1" t="shared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70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si="1" t="shared"/>
        <v>Martin Gliszczynski (18/04/2011 - present)</v>
      </c>
    </row>
    <row customFormat="1" r="93" s="51" spans="1:29" x14ac:dyDescent="0.2">
      <c r="A93" s="3">
        <v>17</v>
      </c>
      <c r="B93" s="2" t="s">
        <v>63</v>
      </c>
      <c r="C93" s="3">
        <v>187</v>
      </c>
      <c r="D93" s="2" t="s">
        <v>302</v>
      </c>
      <c r="E93" s="170">
        <v>40438</v>
      </c>
      <c r="F93" s="170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70">
        <v>40179</v>
      </c>
      <c r="F94" s="170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si="1" t="shared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70">
        <v>39479</v>
      </c>
      <c r="F95" s="170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si="1" t="shared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70">
        <v>38909</v>
      </c>
      <c r="F96" s="170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si="1" t="shared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70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si="1" t="shared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70">
        <v>38999</v>
      </c>
      <c r="F98" s="170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si="1" t="shared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70">
        <v>38849</v>
      </c>
      <c r="F99" s="170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si="1" t="shared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939</v>
      </c>
      <c r="E100" s="170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si="1" t="shared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70">
        <v>42291</v>
      </c>
      <c r="F101" s="170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si="1" t="shared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70">
        <v>41803</v>
      </c>
      <c r="F102" s="170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si="1" t="shared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70">
        <v>41456</v>
      </c>
      <c r="F103" s="170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si="1" t="shared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70">
        <v>39367</v>
      </c>
      <c r="F104" s="170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si="1" t="shared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70">
        <v>38999</v>
      </c>
      <c r="F105" s="170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si="1" t="shared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70">
        <v>38849</v>
      </c>
      <c r="F106" s="170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si="1" t="shared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70">
        <v>36977</v>
      </c>
      <c r="F107" s="170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si="1" t="shared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940</v>
      </c>
      <c r="E108" s="170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si="1" t="shared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941</v>
      </c>
      <c r="E109" s="170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si="1" t="shared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943</v>
      </c>
      <c r="E110" s="170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si="1" t="shared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942</v>
      </c>
      <c r="E111" s="170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si="1" t="shared"/>
        <v>Tsz Long Wong (18/09/2018 - present)</v>
      </c>
    </row>
    <row customFormat="1" r="112" s="51" spans="1:29" x14ac:dyDescent="0.2">
      <c r="A112" s="3">
        <v>19</v>
      </c>
      <c r="B112" s="2" t="s">
        <v>99</v>
      </c>
      <c r="C112" s="3">
        <v>761</v>
      </c>
      <c r="D112" s="2" t="s">
        <v>944</v>
      </c>
      <c r="E112" s="170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945</v>
      </c>
      <c r="E113" s="170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si="1" t="shared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70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si="1" t="shared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70">
        <v>41883</v>
      </c>
      <c r="F115" s="170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si="1" t="shared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70">
        <v>41821</v>
      </c>
      <c r="F116" s="170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si="1" t="shared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70">
        <v>41518</v>
      </c>
      <c r="F117" s="170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si="1" t="shared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70">
        <v>41153</v>
      </c>
      <c r="F118" s="170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si="1" t="shared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70">
        <v>40432</v>
      </c>
      <c r="F119" s="170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si="1" t="shared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70">
        <v>39927</v>
      </c>
      <c r="F120" s="170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si="1" t="shared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70">
        <v>39507</v>
      </c>
      <c r="F121" s="170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si="1" t="shared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70">
        <v>38638</v>
      </c>
      <c r="F122" s="170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si="1" t="shared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70">
        <v>38423</v>
      </c>
      <c r="F123" s="170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si="1" t="shared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946</v>
      </c>
      <c r="E124" s="170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si="1" t="shared"/>
        <v>T Dunira (30/09/2019 - present)</v>
      </c>
    </row>
    <row customFormat="1" r="125" s="51" spans="1:29" x14ac:dyDescent="0.2">
      <c r="A125" s="3">
        <v>34</v>
      </c>
      <c r="B125" s="2" t="s">
        <v>102</v>
      </c>
      <c r="C125" s="3">
        <v>790</v>
      </c>
      <c r="D125" s="2" t="s">
        <v>947</v>
      </c>
      <c r="E125" s="170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948</v>
      </c>
      <c r="E126" s="170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si="1" t="shared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949</v>
      </c>
      <c r="E127" s="170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si="1" t="shared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950</v>
      </c>
      <c r="E128" s="170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si="1" t="shared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70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si="1" t="shared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70">
        <v>41890</v>
      </c>
      <c r="F130" s="170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si="1" t="shared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70">
        <v>41487</v>
      </c>
      <c r="F131" s="170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ref="AB131:AB194" si="2" t="shared"><![CDATA[IF(E131<>"",IF(F131="",D131&" ("&TEXT(E131,"dd/mm/yyyy")&" - present)",D131&" ("&TEXT(E131,"dd/mm/yyyy")&" - "&TEXT(F131,"dd/mm/yyyy")&")"),"")]]>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70">
        <v>41122</v>
      </c>
      <c r="F132" s="170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si="2" t="shared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70">
        <v>40770</v>
      </c>
      <c r="F133" s="170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si="2" t="shared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70">
        <v>40458</v>
      </c>
      <c r="F134" s="170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si="2" t="shared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70">
        <v>40151</v>
      </c>
      <c r="F135" s="170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si="2" t="shared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70">
        <v>39816</v>
      </c>
      <c r="F136" s="170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si="2" t="shared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70">
        <v>39602</v>
      </c>
      <c r="F137" s="170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si="2" t="shared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70">
        <v>39517</v>
      </c>
      <c r="F138" s="170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si="2" t="shared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70">
        <v>38932</v>
      </c>
      <c r="F139" s="170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si="2" t="shared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70">
        <v>38636</v>
      </c>
      <c r="F140" s="170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si="2" t="shared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70">
        <v>38507</v>
      </c>
      <c r="F141" s="170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si="2" t="shared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si="2" t="shared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si="2" t="shared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995</v>
      </c>
      <c r="E144" s="170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si="2" t="shared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70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si="2" t="shared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70">
        <v>42474</v>
      </c>
      <c r="F146" s="170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si="2" t="shared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70">
        <v>39524</v>
      </c>
      <c r="F147" s="170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si="2" t="shared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70">
        <v>38668</v>
      </c>
      <c r="F148" s="170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si="2" t="shared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70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si="2" t="shared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70">
        <v>41331</v>
      </c>
      <c r="F150" s="170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si="2" t="shared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70">
        <v>40268</v>
      </c>
      <c r="F151" s="170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si="2" t="shared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70">
        <v>40046</v>
      </c>
      <c r="F152" s="170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si="2" t="shared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70">
        <v>39556</v>
      </c>
      <c r="F153" s="170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si="2" t="shared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70">
        <v>39054</v>
      </c>
      <c r="F154" s="170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si="2" t="shared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70">
        <v>38863</v>
      </c>
      <c r="F155" s="170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si="2" t="shared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70">
        <v>38506</v>
      </c>
      <c r="F156" s="170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si="2" t="shared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951</v>
      </c>
      <c r="E157" s="170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si="2" t="shared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952</v>
      </c>
      <c r="E158" s="170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si="2" t="shared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70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si="2" t="shared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70">
        <v>40334</v>
      </c>
      <c r="F160" s="170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si="2" t="shared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70">
        <v>39843</v>
      </c>
      <c r="F161" s="170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si="2" t="shared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70">
        <v>39286</v>
      </c>
      <c r="F162" s="170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si="2" t="shared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70">
        <v>38631</v>
      </c>
      <c r="F163" s="170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si="2" t="shared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953</v>
      </c>
      <c r="E164" s="170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si="2" t="shared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70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si="2" t="shared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70">
        <v>42205</v>
      </c>
      <c r="F166" s="170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si="2" t="shared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70">
        <v>41311</v>
      </c>
      <c r="F167" s="170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si="2" t="shared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70">
        <v>40240</v>
      </c>
      <c r="F168" s="170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si="2" t="shared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70">
        <v>39592</v>
      </c>
      <c r="F169" s="170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si="2" t="shared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70">
        <v>38534</v>
      </c>
      <c r="F170" s="170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si="2" t="shared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996</v>
      </c>
      <c r="E171" s="170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si="2" t="shared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954</v>
      </c>
      <c r="E172" s="170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si="2" t="shared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70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si="2" t="shared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70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si="2" t="shared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70">
        <v>41103</v>
      </c>
      <c r="F175" s="170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si="2" t="shared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70">
        <v>40763</v>
      </c>
      <c r="F176" s="170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si="2" t="shared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70">
        <v>40439</v>
      </c>
      <c r="F177" s="170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si="2" t="shared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70">
        <v>39779</v>
      </c>
      <c r="F178" s="170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si="2" t="shared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70">
        <v>39193</v>
      </c>
      <c r="F179" s="170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si="2" t="shared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997</v>
      </c>
      <c r="E180" s="170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si="2" t="shared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70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si="2" t="shared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70">
        <v>39626</v>
      </c>
      <c r="F182" s="170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si="2" t="shared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70">
        <v>39508</v>
      </c>
      <c r="F183" s="170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si="2" t="shared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955</v>
      </c>
      <c r="E184" s="170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si="2" t="shared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956</v>
      </c>
      <c r="E185" s="170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si="2" t="shared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70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si="2" t="shared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70">
        <v>39508</v>
      </c>
      <c r="F187" s="170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si="2" t="shared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998</v>
      </c>
      <c r="E188" s="170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si="2" t="shared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957</v>
      </c>
      <c r="E189" s="170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si="2" t="shared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70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si="2" t="shared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70">
        <v>41264</v>
      </c>
      <c r="F191" s="170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si="2" t="shared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70">
        <v>40914</v>
      </c>
      <c r="F192" s="170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si="2" t="shared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70">
        <v>40490</v>
      </c>
      <c r="F193" s="170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si="2" t="shared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70">
        <v>40058</v>
      </c>
      <c r="F194" s="170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si="2" t="shared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70">
        <v>39724</v>
      </c>
      <c r="F195" s="170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ref="AB195:AB258" si="3" t="shared"><![CDATA[IF(E195<>"",IF(F195="",D195&" ("&TEXT(E195,"dd/mm/yyyy")&" - present)",D195&" ("&TEXT(E195,"dd/mm/yyyy")&" - "&TEXT(F195,"dd/mm/yyyy")&")"),"")]]>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70">
        <v>39539</v>
      </c>
      <c r="F196" s="170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si="3" t="shared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958</v>
      </c>
      <c r="E197" s="170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si="3" t="shared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959</v>
      </c>
      <c r="E198" s="170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si="3" t="shared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70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si="3" t="shared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70">
        <v>42360</v>
      </c>
      <c r="F200" s="170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si="3" t="shared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70">
        <v>41969</v>
      </c>
      <c r="F201" s="170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si="3" t="shared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70">
        <v>41365</v>
      </c>
      <c r="F202" s="170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si="3" t="shared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70">
        <v>40855</v>
      </c>
      <c r="F203" s="170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si="3" t="shared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70">
        <v>38863</v>
      </c>
      <c r="F204" s="170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si="3" t="shared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70">
        <v>38583</v>
      </c>
      <c r="F205" s="170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si="3" t="shared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960</v>
      </c>
      <c r="E206" s="170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si="3" t="shared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961</v>
      </c>
      <c r="E207" s="170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si="3" t="shared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70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si="3" t="shared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70">
        <v>41376</v>
      </c>
      <c r="F209" s="170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si="3" t="shared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70">
        <v>40975</v>
      </c>
      <c r="F210" s="170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si="3" t="shared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70">
        <v>40114</v>
      </c>
      <c r="F211" s="170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si="3" t="shared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70">
        <v>39132</v>
      </c>
      <c r="F212" s="170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si="3" t="shared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70">
        <v>38638</v>
      </c>
      <c r="F213" s="170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si="3" t="shared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962</v>
      </c>
      <c r="E214" s="170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si="3" t="shared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963</v>
      </c>
      <c r="E215" s="170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si="3" t="shared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964</v>
      </c>
      <c r="E216" s="170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si="3" t="shared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70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si="3" t="shared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70">
        <v>40525</v>
      </c>
      <c r="F218" s="170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si="3" t="shared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70">
        <v>40107</v>
      </c>
      <c r="F219" s="170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si="3" t="shared"/>
        <v>Tim Blanton &amp; Greg Sotheran (21/10/2009 - 31/10/2010)</v>
      </c>
    </row>
    <row customFormat="1" r="220" s="51" spans="1:28" x14ac:dyDescent="0.2">
      <c r="A220" s="3">
        <v>27</v>
      </c>
      <c r="B220" s="2" t="s">
        <v>109</v>
      </c>
      <c r="C220" s="3">
        <v>158</v>
      </c>
      <c r="D220" s="2" t="s">
        <v>275</v>
      </c>
      <c r="E220" s="170">
        <v>40050</v>
      </c>
      <c r="F220" s="170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si="3" t="shared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70">
        <v>39423</v>
      </c>
      <c r="F221" s="170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si="3" t="shared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70">
        <v>38540</v>
      </c>
      <c r="F222" s="170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si="3" t="shared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si="3" t="shared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si="3" t="shared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si="3" t="shared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si="3" t="shared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965</v>
      </c>
      <c r="E227" s="170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si="3" t="shared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966</v>
      </c>
      <c r="E228" s="170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si="3" t="shared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70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si="3" t="shared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70">
        <v>39654</v>
      </c>
      <c r="F230" s="170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si="3" t="shared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70">
        <v>39588</v>
      </c>
      <c r="F231" s="170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si="3" t="shared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70">
        <v>38971</v>
      </c>
      <c r="F232" s="170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si="3" t="shared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70">
        <v>38839</v>
      </c>
      <c r="F233" s="170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si="3" t="shared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967</v>
      </c>
      <c r="E234" s="170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si="3" t="shared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70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si="3" t="shared"/>
        <v>Mr Hopkinson (08/01/2016 - present)</v>
      </c>
    </row>
    <row customFormat="1" r="236" s="51" spans="1:29" x14ac:dyDescent="0.2">
      <c r="A236" s="3">
        <v>52</v>
      </c>
      <c r="B236" s="2" t="s">
        <v>69</v>
      </c>
      <c r="C236" s="3">
        <v>256</v>
      </c>
      <c r="D236" s="2" t="s">
        <v>364</v>
      </c>
      <c r="E236" s="170">
        <v>41824</v>
      </c>
      <c r="F236" s="170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70">
        <v>40871</v>
      </c>
      <c r="F237" s="170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si="3" t="shared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70">
        <v>39101</v>
      </c>
      <c r="F238" s="170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si="3" t="shared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70">
        <v>38880</v>
      </c>
      <c r="F239" s="170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si="3" t="shared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70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si="3" t="shared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70">
        <v>38208</v>
      </c>
      <c r="F241" s="170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si="3" t="shared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968</v>
      </c>
      <c r="E242" s="170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si="3" t="shared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70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si="3" t="shared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70">
        <v>40338</v>
      </c>
      <c r="F244" s="170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si="3" t="shared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70">
        <v>39940</v>
      </c>
      <c r="F245" s="170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si="3" t="shared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70">
        <v>39701</v>
      </c>
      <c r="F246" s="170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si="3" t="shared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70">
        <v>37639</v>
      </c>
      <c r="F247" s="170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si="3" t="shared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969</v>
      </c>
      <c r="E248" s="170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si="3" t="shared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970</v>
      </c>
      <c r="E249" s="170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si="3" t="shared"/>
        <v>Charles Ponan (03/11/2018 - present)</v>
      </c>
    </row>
    <row customFormat="1" r="250" s="51" spans="1:29" x14ac:dyDescent="0.2">
      <c r="A250" s="3">
        <v>49</v>
      </c>
      <c r="B250" s="2" t="s">
        <v>231</v>
      </c>
      <c r="C250" s="3">
        <v>248</v>
      </c>
      <c r="D250" s="2" t="s">
        <v>374</v>
      </c>
      <c r="E250" s="170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Mr P Oakwell (18/07/2014 - present)</v>
      </c>
      <c r="AC250"/>
    </row>
    <row customFormat="1" r="251" s="51" spans="1:29" x14ac:dyDescent="0.2">
      <c r="A251" s="3">
        <v>49</v>
      </c>
      <c r="B251" s="2" t="s">
        <v>231</v>
      </c>
      <c r="C251" s="3">
        <v>199</v>
      </c>
      <c r="D251" s="2" t="s">
        <v>318</v>
      </c>
      <c r="E251" s="170">
        <v>40609</v>
      </c>
      <c r="F251" s="170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S. Porter (07/03/2011 - 07/05/2014)</v>
      </c>
      <c r="AC251"/>
    </row>
    <row customFormat="1" r="252" s="51" spans="1:29" x14ac:dyDescent="0.2">
      <c r="A252" s="3">
        <v>49</v>
      </c>
      <c r="B252" s="2" t="s">
        <v>231</v>
      </c>
      <c r="C252" s="3">
        <v>182</v>
      </c>
      <c r="D252" s="2" t="s">
        <v>306</v>
      </c>
      <c r="E252" s="170">
        <v>40387</v>
      </c>
      <c r="F252" s="170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Mr I Tewelderbrham (28/07/2010 - 27/02/2011)</v>
      </c>
      <c r="AC252"/>
    </row>
    <row customFormat="1" r="253" s="51" spans="1:29" x14ac:dyDescent="0.2">
      <c r="A253" s="3">
        <v>49</v>
      </c>
      <c r="B253" s="2" t="s">
        <v>231</v>
      </c>
      <c r="C253" s="3">
        <v>129</v>
      </c>
      <c r="D253" s="2" t="s">
        <v>232</v>
      </c>
      <c r="E253" s="170">
        <v>39508</v>
      </c>
      <c r="F253" s="170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Oakley (01/03/2008 - 15/05/2010)</v>
      </c>
      <c r="AC253"/>
    </row>
    <row customFormat="1" r="254" s="51" spans="1:29" x14ac:dyDescent="0.2">
      <c r="A254" s="3">
        <v>53</v>
      </c>
      <c r="B254" s="2" t="s">
        <v>70</v>
      </c>
      <c r="C254" s="3">
        <v>803</v>
      </c>
      <c r="D254" s="2" t="s">
        <v>971</v>
      </c>
      <c r="E254" s="170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Paul McIlwraith (06/11/2019 - present)</v>
      </c>
      <c r="AC254"/>
    </row>
    <row customFormat="1" r="255" s="51" spans="1:29" x14ac:dyDescent="0.2">
      <c r="A255" s="3">
        <v>53</v>
      </c>
      <c r="B255" s="2" t="s">
        <v>70</v>
      </c>
      <c r="C255" s="3">
        <v>165</v>
      </c>
      <c r="D255" s="2" t="s">
        <v>285</v>
      </c>
      <c r="E255" s="170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Andrew England (20/11/2009 - present)</v>
      </c>
      <c r="AC255"/>
    </row>
    <row customFormat="1" r="256" s="51" spans="1:29" x14ac:dyDescent="0.2">
      <c r="A256" s="3">
        <v>53</v>
      </c>
      <c r="B256" s="2" t="s">
        <v>70</v>
      </c>
      <c r="C256" s="3">
        <v>151</v>
      </c>
      <c r="D256" s="2" t="s">
        <v>269</v>
      </c>
      <c r="E256" s="170">
        <v>39895</v>
      </c>
      <c r="F256" s="170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70">
        <v>39384</v>
      </c>
      <c r="F257" s="170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si="3" t="shared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70">
        <v>39032</v>
      </c>
      <c r="F258" s="170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si="3" t="shared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971</v>
      </c>
      <c r="E259" s="170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ref="AB259:AB322" si="4" t="shared"><![CDATA[IF(E259<>"",IF(F259="",D259&" ("&TEXT(E259,"dd/mm/yyyy")&" - present)",D259&" ("&TEXT(E259,"dd/mm/yyyy")&" - "&TEXT(F259,"dd/mm/yyyy")&")"),"")]]>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70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si="4" t="shared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70">
        <v>41033</v>
      </c>
      <c r="F261" s="170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si="4" t="shared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70">
        <v>40449</v>
      </c>
      <c r="F262" s="170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si="4" t="shared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70">
        <v>40319</v>
      </c>
      <c r="F263" s="170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si="4" t="shared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70">
        <v>39015</v>
      </c>
      <c r="F264" s="170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si="4" t="shared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70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si="4" t="shared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70">
        <v>41675</v>
      </c>
      <c r="F266" s="170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si="4" t="shared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70">
        <v>41372</v>
      </c>
      <c r="F267" s="170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si="4" t="shared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70">
        <v>38926</v>
      </c>
      <c r="F268" s="170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si="4" t="shared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si="4" t="shared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si="4" t="shared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si="4" t="shared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si="4" t="shared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972</v>
      </c>
      <c r="E273" s="170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si="4" t="shared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973</v>
      </c>
      <c r="E274" s="170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si="4" t="shared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70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si="4" t="shared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70">
        <v>40718</v>
      </c>
      <c r="F276" s="170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si="4" t="shared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70">
        <v>40462</v>
      </c>
      <c r="F277" s="170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si="4" t="shared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70">
        <v>40186</v>
      </c>
      <c r="F278" s="170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si="4" t="shared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70">
        <v>38985</v>
      </c>
      <c r="F279" s="170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si="4" t="shared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974</v>
      </c>
      <c r="E280" s="170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si="4" t="shared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975</v>
      </c>
      <c r="E281" s="170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si="4" t="shared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976</v>
      </c>
      <c r="E282" s="170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si="4" t="shared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70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si="4" t="shared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70">
        <v>39396</v>
      </c>
      <c r="F284" s="170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si="4" t="shared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70">
        <v>38485</v>
      </c>
      <c r="F285" s="170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si="4" t="shared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70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si="4" t="shared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70">
        <v>39787</v>
      </c>
      <c r="F287" s="170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si="4" t="shared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70">
        <v>39304</v>
      </c>
      <c r="F288" s="170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si="4" t="shared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70">
        <v>38848</v>
      </c>
      <c r="F289" s="170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si="4" t="shared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70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si="4" t="shared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70">
        <v>39177</v>
      </c>
      <c r="F291" s="170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si="4" t="shared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70">
        <v>38490</v>
      </c>
      <c r="F292" s="170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si="4" t="shared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975</v>
      </c>
      <c r="E293" s="170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si="4" t="shared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977</v>
      </c>
      <c r="E294" s="170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si="4" t="shared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973</v>
      </c>
      <c r="E295" s="170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si="4" t="shared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70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si="4" t="shared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70">
        <v>39834</v>
      </c>
      <c r="F297" s="170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si="4" t="shared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70">
        <v>38855</v>
      </c>
      <c r="F298" s="170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si="4" t="shared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70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si="4" t="shared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70">
        <v>40988</v>
      </c>
      <c r="F300" s="170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si="4" t="shared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70">
        <v>39517</v>
      </c>
      <c r="F301" s="170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si="4" t="shared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70">
        <v>38862</v>
      </c>
      <c r="F302" s="170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si="4" t="shared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975</v>
      </c>
      <c r="E303" s="170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si="4" t="shared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978</v>
      </c>
      <c r="E304" s="170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si="4" t="shared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70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si="4" t="shared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70">
        <v>40683</v>
      </c>
      <c r="F306" s="170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si="4" t="shared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70">
        <v>40476</v>
      </c>
      <c r="F307" s="170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si="4" t="shared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70">
        <v>40087</v>
      </c>
      <c r="F308" s="170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si="4" t="shared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70">
        <v>39472</v>
      </c>
      <c r="F309" s="170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si="4" t="shared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70">
        <v>39251</v>
      </c>
      <c r="F310" s="170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si="4" t="shared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70">
        <v>39023</v>
      </c>
      <c r="F311" s="170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si="4" t="shared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70">
        <v>38754</v>
      </c>
      <c r="F312" s="170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si="4" t="shared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979</v>
      </c>
      <c r="E313" s="170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si="4" t="shared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980</v>
      </c>
      <c r="E314" s="170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si="4" t="shared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70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si="4" t="shared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70">
        <v>38925</v>
      </c>
      <c r="F316" s="170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si="4" t="shared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si="4" t="shared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si="4" t="shared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si="4" t="shared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si="4" t="shared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si="4" t="shared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si="4" t="shared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ref="AB323:AB386" si="5" t="shared"><![CDATA[IF(E323<>"",IF(F323="",D323&" ("&TEXT(E323,"dd/mm/yyyy")&" - present)",D323&" ("&TEXT(E323,"dd/mm/yyyy")&" - "&TEXT(F323,"dd/mm/yyyy")&")"),"")]]>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si="5" t="shared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70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si="5" t="shared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70">
        <v>40032</v>
      </c>
      <c r="F326" s="170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si="5" t="shared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70">
        <v>39604</v>
      </c>
      <c r="F327" s="170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si="5" t="shared"/>
        <v>Steve Ward (05/06/2008 - 03/06/2009)</v>
      </c>
    </row>
    <row r="328" spans="1:28" x14ac:dyDescent="0.2">
      <c r="AB328" t="str">
        <f si="5" t="shared"/>
        <v/>
      </c>
    </row>
    <row r="329" spans="1:28" x14ac:dyDescent="0.2">
      <c r="AB329" t="str">
        <f si="5" t="shared"/>
        <v/>
      </c>
    </row>
    <row r="330" spans="1:28" x14ac:dyDescent="0.2">
      <c r="AB330" t="str">
        <f si="5" t="shared"/>
        <v/>
      </c>
    </row>
    <row r="331" spans="1:28" x14ac:dyDescent="0.2">
      <c r="AB331" t="str">
        <f si="5" t="shared"/>
        <v/>
      </c>
    </row>
    <row r="332" spans="1:28" x14ac:dyDescent="0.2">
      <c r="AB332" t="str">
        <f si="5" t="shared"/>
        <v/>
      </c>
    </row>
    <row r="333" spans="1:28" x14ac:dyDescent="0.2">
      <c r="AB333" t="str">
        <f si="5" t="shared"/>
        <v/>
      </c>
    </row>
    <row r="334" spans="1:28" x14ac:dyDescent="0.2">
      <c r="AB334" t="str">
        <f si="5" t="shared"/>
        <v/>
      </c>
    </row>
    <row r="335" spans="1:28" x14ac:dyDescent="0.2">
      <c r="AB335" t="str">
        <f si="5" t="shared"/>
        <v/>
      </c>
    </row>
    <row r="336" spans="1:28" x14ac:dyDescent="0.2">
      <c r="AB336" t="str">
        <f si="5" t="shared"/>
        <v/>
      </c>
    </row>
    <row r="337" spans="28:28" x14ac:dyDescent="0.2">
      <c r="AB337" t="str">
        <f si="5" t="shared"/>
        <v/>
      </c>
    </row>
    <row r="338" spans="28:28" x14ac:dyDescent="0.2">
      <c r="AB338" t="str">
        <f si="5" t="shared"/>
        <v/>
      </c>
    </row>
    <row r="339" spans="28:28" x14ac:dyDescent="0.2">
      <c r="AB339" t="str">
        <f si="5" t="shared"/>
        <v/>
      </c>
    </row>
    <row r="340" spans="28:28" x14ac:dyDescent="0.2">
      <c r="AB340" t="str">
        <f si="5" t="shared"/>
        <v/>
      </c>
    </row>
    <row r="341" spans="28:28" x14ac:dyDescent="0.2">
      <c r="AB341" t="str">
        <f si="5" t="shared"/>
        <v/>
      </c>
    </row>
    <row r="342" spans="28:28" x14ac:dyDescent="0.2">
      <c r="AB342" t="str">
        <f si="5" t="shared"/>
        <v/>
      </c>
    </row>
    <row r="343" spans="28:28" x14ac:dyDescent="0.2">
      <c r="AB343" t="str">
        <f si="5" t="shared"/>
        <v/>
      </c>
    </row>
    <row r="344" spans="28:28" x14ac:dyDescent="0.2">
      <c r="AB344" t="str">
        <f si="5" t="shared"/>
        <v/>
      </c>
    </row>
    <row r="345" spans="28:28" x14ac:dyDescent="0.2">
      <c r="AB345" t="str">
        <f si="5" t="shared"/>
        <v/>
      </c>
    </row>
    <row r="346" spans="28:28" x14ac:dyDescent="0.2">
      <c r="AB346" t="str">
        <f si="5" t="shared"/>
        <v/>
      </c>
    </row>
    <row r="347" spans="28:28" x14ac:dyDescent="0.2">
      <c r="AB347" t="str">
        <f si="5" t="shared"/>
        <v/>
      </c>
    </row>
    <row r="348" spans="28:28" x14ac:dyDescent="0.2">
      <c r="AB348" t="str">
        <f si="5" t="shared"/>
        <v/>
      </c>
    </row>
    <row r="349" spans="28:28" x14ac:dyDescent="0.2">
      <c r="AB349" t="str">
        <f si="5" t="shared"/>
        <v/>
      </c>
    </row>
    <row r="350" spans="28:28" x14ac:dyDescent="0.2">
      <c r="AB350" t="str">
        <f si="5" t="shared"/>
        <v/>
      </c>
    </row>
    <row r="351" spans="28:28" x14ac:dyDescent="0.2">
      <c r="AB351" t="str">
        <f si="5" t="shared"/>
        <v/>
      </c>
    </row>
    <row r="352" spans="28:28" x14ac:dyDescent="0.2">
      <c r="AB352" t="str">
        <f si="5" t="shared"/>
        <v/>
      </c>
    </row>
    <row r="353" spans="28:28" x14ac:dyDescent="0.2">
      <c r="AB353" t="str">
        <f si="5" t="shared"/>
        <v/>
      </c>
    </row>
    <row r="354" spans="28:28" x14ac:dyDescent="0.2">
      <c r="AB354" t="str">
        <f si="5" t="shared"/>
        <v/>
      </c>
    </row>
    <row r="355" spans="28:28" x14ac:dyDescent="0.2">
      <c r="AB355" t="str">
        <f si="5" t="shared"/>
        <v/>
      </c>
    </row>
    <row r="356" spans="28:28" x14ac:dyDescent="0.2">
      <c r="AB356" t="str">
        <f si="5" t="shared"/>
        <v/>
      </c>
    </row>
    <row r="357" spans="28:28" x14ac:dyDescent="0.2">
      <c r="AB357" t="str">
        <f si="5" t="shared"/>
        <v/>
      </c>
    </row>
    <row r="358" spans="28:28" x14ac:dyDescent="0.2">
      <c r="AB358" t="str">
        <f si="5" t="shared"/>
        <v/>
      </c>
    </row>
    <row r="359" spans="28:28" x14ac:dyDescent="0.2">
      <c r="AB359" t="str">
        <f si="5" t="shared"/>
        <v/>
      </c>
    </row>
    <row r="360" spans="28:28" x14ac:dyDescent="0.2">
      <c r="AB360" t="str">
        <f si="5" t="shared"/>
        <v/>
      </c>
    </row>
    <row r="361" spans="28:28" x14ac:dyDescent="0.2">
      <c r="AB361" t="str">
        <f si="5" t="shared"/>
        <v/>
      </c>
    </row>
    <row r="362" spans="28:28" x14ac:dyDescent="0.2">
      <c r="AB362" t="str">
        <f si="5" t="shared"/>
        <v/>
      </c>
    </row>
    <row r="363" spans="28:28" x14ac:dyDescent="0.2">
      <c r="AB363" t="str">
        <f si="5" t="shared"/>
        <v/>
      </c>
    </row>
    <row r="364" spans="28:28" x14ac:dyDescent="0.2">
      <c r="AB364" t="str">
        <f si="5" t="shared"/>
        <v/>
      </c>
    </row>
    <row r="365" spans="28:28" x14ac:dyDescent="0.2">
      <c r="AB365" t="str">
        <f si="5" t="shared"/>
        <v/>
      </c>
    </row>
    <row r="366" spans="28:28" x14ac:dyDescent="0.2">
      <c r="AB366" t="str">
        <f si="5" t="shared"/>
        <v/>
      </c>
    </row>
    <row r="367" spans="28:28" x14ac:dyDescent="0.2">
      <c r="AB367" t="str">
        <f si="5" t="shared"/>
        <v/>
      </c>
    </row>
    <row r="368" spans="28:28" x14ac:dyDescent="0.2">
      <c r="AB368" t="str">
        <f si="5" t="shared"/>
        <v/>
      </c>
    </row>
    <row r="369" spans="28:28" x14ac:dyDescent="0.2">
      <c r="AB369" t="str">
        <f si="5" t="shared"/>
        <v/>
      </c>
    </row>
    <row r="370" spans="28:28" x14ac:dyDescent="0.2">
      <c r="AB370" t="str">
        <f si="5" t="shared"/>
        <v/>
      </c>
    </row>
    <row r="371" spans="28:28" x14ac:dyDescent="0.2">
      <c r="AB371" t="str">
        <f si="5" t="shared"/>
        <v/>
      </c>
    </row>
    <row r="372" spans="28:28" x14ac:dyDescent="0.2">
      <c r="AB372" t="str">
        <f si="5" t="shared"/>
        <v/>
      </c>
    </row>
    <row r="373" spans="28:28" x14ac:dyDescent="0.2">
      <c r="AB373" t="str">
        <f si="5" t="shared"/>
        <v/>
      </c>
    </row>
    <row r="374" spans="28:28" x14ac:dyDescent="0.2">
      <c r="AB374" t="str">
        <f si="5" t="shared"/>
        <v/>
      </c>
    </row>
    <row r="375" spans="28:28" x14ac:dyDescent="0.2">
      <c r="AB375" t="str">
        <f si="5" t="shared"/>
        <v/>
      </c>
    </row>
    <row r="376" spans="28:28" x14ac:dyDescent="0.2">
      <c r="AB376" t="str">
        <f si="5" t="shared"/>
        <v/>
      </c>
    </row>
    <row r="377" spans="28:28" x14ac:dyDescent="0.2">
      <c r="AB377" t="str">
        <f si="5" t="shared"/>
        <v/>
      </c>
    </row>
    <row r="378" spans="28:28" x14ac:dyDescent="0.2">
      <c r="AB378" t="str">
        <f si="5" t="shared"/>
        <v/>
      </c>
    </row>
    <row r="379" spans="28:28" x14ac:dyDescent="0.2">
      <c r="AB379" t="str">
        <f si="5" t="shared"/>
        <v/>
      </c>
    </row>
    <row r="380" spans="28:28" x14ac:dyDescent="0.2">
      <c r="AB380" t="str">
        <f si="5" t="shared"/>
        <v/>
      </c>
    </row>
    <row r="381" spans="28:28" x14ac:dyDescent="0.2">
      <c r="AB381" t="str">
        <f si="5" t="shared"/>
        <v/>
      </c>
    </row>
    <row r="382" spans="28:28" x14ac:dyDescent="0.2">
      <c r="AB382" t="str">
        <f si="5" t="shared"/>
        <v/>
      </c>
    </row>
    <row r="383" spans="28:28" x14ac:dyDescent="0.2">
      <c r="AB383" t="str">
        <f si="5" t="shared"/>
        <v/>
      </c>
    </row>
    <row r="384" spans="28:28" x14ac:dyDescent="0.2">
      <c r="AB384" t="str">
        <f si="5" t="shared"/>
        <v/>
      </c>
    </row>
    <row r="385" spans="28:28" x14ac:dyDescent="0.2">
      <c r="AB385" t="str">
        <f si="5" t="shared"/>
        <v/>
      </c>
    </row>
    <row r="386" spans="28:28" x14ac:dyDescent="0.2">
      <c r="AB386" t="str">
        <f si="5" t="shared"/>
        <v/>
      </c>
    </row>
    <row r="387" spans="28:28" x14ac:dyDescent="0.2">
      <c r="AB387" t="str">
        <f ref="AB387:AB450" si="6" t="shared"><![CDATA[IF(E387<>"",IF(F387="",D387&" ("&TEXT(E387,"dd/mm/yyyy")&" - present)",D387&" ("&TEXT(E387,"dd/mm/yyyy")&" - "&TEXT(F387,"dd/mm/yyyy")&")"),"")]]></f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si="6" t="shared"/>
        <v/>
      </c>
    </row>
    <row r="397" spans="28:28" x14ac:dyDescent="0.2">
      <c r="AB397" t="str">
        <f si="6" t="shared"/>
        <v/>
      </c>
    </row>
    <row r="398" spans="28:28" x14ac:dyDescent="0.2">
      <c r="AB398" t="str">
        <f si="6" t="shared"/>
        <v/>
      </c>
    </row>
    <row r="399" spans="28:28" x14ac:dyDescent="0.2">
      <c r="AB399" t="str">
        <f si="6" t="shared"/>
        <v/>
      </c>
    </row>
    <row r="400" spans="28:28" x14ac:dyDescent="0.2">
      <c r="AB400" t="str">
        <f si="6" t="shared"/>
        <v/>
      </c>
    </row>
    <row r="401" spans="28:28" x14ac:dyDescent="0.2">
      <c r="AB401" t="str">
        <f si="6" t="shared"/>
        <v/>
      </c>
    </row>
    <row r="402" spans="28:28" x14ac:dyDescent="0.2">
      <c r="AB402" t="str">
        <f si="6" t="shared"/>
        <v/>
      </c>
    </row>
    <row r="403" spans="28:28" x14ac:dyDescent="0.2">
      <c r="AB403" t="str">
        <f si="6" t="shared"/>
        <v/>
      </c>
    </row>
    <row r="404" spans="28:28" x14ac:dyDescent="0.2">
      <c r="AB404" t="str">
        <f si="6" t="shared"/>
        <v/>
      </c>
    </row>
    <row r="405" spans="28:28" x14ac:dyDescent="0.2">
      <c r="AB405" t="str">
        <f si="6" t="shared"/>
        <v/>
      </c>
    </row>
    <row r="406" spans="28:28" x14ac:dyDescent="0.2">
      <c r="AB406" t="str">
        <f si="6" t="shared"/>
        <v/>
      </c>
    </row>
    <row r="407" spans="28:28" x14ac:dyDescent="0.2">
      <c r="AB407" t="str">
        <f si="6" t="shared"/>
        <v/>
      </c>
    </row>
    <row r="408" spans="28:28" x14ac:dyDescent="0.2">
      <c r="AB408" t="str">
        <f si="6" t="shared"/>
        <v/>
      </c>
    </row>
    <row r="409" spans="28:28" x14ac:dyDescent="0.2">
      <c r="AB409" t="str">
        <f si="6" t="shared"/>
        <v/>
      </c>
    </row>
    <row r="410" spans="28:28" x14ac:dyDescent="0.2">
      <c r="AB410" t="str">
        <f si="6" t="shared"/>
        <v/>
      </c>
    </row>
    <row r="411" spans="28:28" x14ac:dyDescent="0.2">
      <c r="AB411" t="str">
        <f si="6" t="shared"/>
        <v/>
      </c>
    </row>
    <row r="412" spans="28:28" x14ac:dyDescent="0.2">
      <c r="AB412" t="str">
        <f si="6" t="shared"/>
        <v/>
      </c>
    </row>
    <row r="413" spans="28:28" x14ac:dyDescent="0.2">
      <c r="AB413" t="str">
        <f si="6" t="shared"/>
        <v/>
      </c>
    </row>
    <row r="414" spans="28:28" x14ac:dyDescent="0.2">
      <c r="AB414" t="str">
        <f si="6" t="shared"/>
        <v/>
      </c>
    </row>
    <row r="415" spans="28:28" x14ac:dyDescent="0.2">
      <c r="AB415" t="str">
        <f si="6" t="shared"/>
        <v/>
      </c>
    </row>
    <row r="416" spans="28:28" x14ac:dyDescent="0.2">
      <c r="AB416" t="str">
        <f si="6" t="shared"/>
        <v/>
      </c>
    </row>
    <row r="417" spans="28:28" x14ac:dyDescent="0.2">
      <c r="AB417" t="str">
        <f si="6" t="shared"/>
        <v/>
      </c>
    </row>
    <row r="418" spans="28:28" x14ac:dyDescent="0.2">
      <c r="AB418" t="str">
        <f si="6" t="shared"/>
        <v/>
      </c>
    </row>
    <row r="419" spans="28:28" x14ac:dyDescent="0.2">
      <c r="AB419" t="str">
        <f si="6" t="shared"/>
        <v/>
      </c>
    </row>
    <row r="420" spans="28:28" x14ac:dyDescent="0.2">
      <c r="AB420" t="str">
        <f si="6" t="shared"/>
        <v/>
      </c>
    </row>
    <row r="421" spans="28:28" x14ac:dyDescent="0.2">
      <c r="AB421" t="str">
        <f si="6" t="shared"/>
        <v/>
      </c>
    </row>
    <row r="422" spans="28:28" x14ac:dyDescent="0.2">
      <c r="AB422" t="str">
        <f si="6" t="shared"/>
        <v/>
      </c>
    </row>
    <row r="423" spans="28:28" x14ac:dyDescent="0.2">
      <c r="AB423" t="str">
        <f si="6" t="shared"/>
        <v/>
      </c>
    </row>
    <row r="424" spans="28:28" x14ac:dyDescent="0.2">
      <c r="AB424" t="str">
        <f si="6" t="shared"/>
        <v/>
      </c>
    </row>
    <row r="425" spans="28:28" x14ac:dyDescent="0.2">
      <c r="AB425" t="str">
        <f si="6" t="shared"/>
        <v/>
      </c>
    </row>
    <row r="426" spans="28:28" x14ac:dyDescent="0.2">
      <c r="AB426" t="str">
        <f si="6" t="shared"/>
        <v/>
      </c>
    </row>
    <row r="427" spans="28:28" x14ac:dyDescent="0.2">
      <c r="AB427" t="str">
        <f si="6" t="shared"/>
        <v/>
      </c>
    </row>
    <row r="428" spans="28:28" x14ac:dyDescent="0.2">
      <c r="AB428" t="str">
        <f si="6" t="shared"/>
        <v/>
      </c>
    </row>
    <row r="429" spans="28:28" x14ac:dyDescent="0.2">
      <c r="AB429" t="str">
        <f si="6" t="shared"/>
        <v/>
      </c>
    </row>
    <row r="430" spans="28:28" x14ac:dyDescent="0.2">
      <c r="AB430" t="str">
        <f si="6" t="shared"/>
        <v/>
      </c>
    </row>
    <row r="431" spans="28:28" x14ac:dyDescent="0.2">
      <c r="AB431" t="str">
        <f si="6" t="shared"/>
        <v/>
      </c>
    </row>
    <row r="432" spans="28:28" x14ac:dyDescent="0.2">
      <c r="AB432" t="str">
        <f si="6" t="shared"/>
        <v/>
      </c>
    </row>
    <row r="433" spans="28:28" x14ac:dyDescent="0.2">
      <c r="AB433" t="str">
        <f si="6" t="shared"/>
        <v/>
      </c>
    </row>
    <row r="434" spans="28:28" x14ac:dyDescent="0.2">
      <c r="AB434" t="str">
        <f si="6" t="shared"/>
        <v/>
      </c>
    </row>
    <row r="435" spans="28:28" x14ac:dyDescent="0.2">
      <c r="AB435" t="str">
        <f si="6" t="shared"/>
        <v/>
      </c>
    </row>
    <row r="436" spans="28:28" x14ac:dyDescent="0.2">
      <c r="AB436" t="str">
        <f si="6" t="shared"/>
        <v/>
      </c>
    </row>
    <row r="437" spans="28:28" x14ac:dyDescent="0.2">
      <c r="AB437" t="str">
        <f si="6" t="shared"/>
        <v/>
      </c>
    </row>
    <row r="438" spans="28:28" x14ac:dyDescent="0.2">
      <c r="AB438" t="str">
        <f si="6" t="shared"/>
        <v/>
      </c>
    </row>
    <row r="439" spans="28:28" x14ac:dyDescent="0.2">
      <c r="AB439" t="str">
        <f si="6" t="shared"/>
        <v/>
      </c>
    </row>
    <row r="440" spans="28:28" x14ac:dyDescent="0.2">
      <c r="AB440" t="str">
        <f si="6" t="shared"/>
        <v/>
      </c>
    </row>
    <row r="441" spans="28:28" x14ac:dyDescent="0.2">
      <c r="AB441" t="str">
        <f si="6" t="shared"/>
        <v/>
      </c>
    </row>
    <row r="442" spans="28:28" x14ac:dyDescent="0.2">
      <c r="AB442" t="str">
        <f si="6" t="shared"/>
        <v/>
      </c>
    </row>
    <row r="443" spans="28:28" x14ac:dyDescent="0.2">
      <c r="AB443" t="str">
        <f si="6" t="shared"/>
        <v/>
      </c>
    </row>
    <row r="444" spans="28:28" x14ac:dyDescent="0.2">
      <c r="AB444" t="str">
        <f si="6" t="shared"/>
        <v/>
      </c>
    </row>
    <row r="445" spans="28:28" x14ac:dyDescent="0.2">
      <c r="AB445" t="str">
        <f si="6" t="shared"/>
        <v/>
      </c>
    </row>
    <row r="446" spans="28:28" x14ac:dyDescent="0.2">
      <c r="AB446" t="str">
        <f si="6" t="shared"/>
        <v/>
      </c>
    </row>
    <row r="447" spans="28:28" x14ac:dyDescent="0.2">
      <c r="AB447" t="str">
        <f si="6" t="shared"/>
        <v/>
      </c>
    </row>
    <row r="448" spans="28:28" x14ac:dyDescent="0.2">
      <c r="AB448" t="str">
        <f si="6" t="shared"/>
        <v/>
      </c>
    </row>
    <row r="449" spans="28:28" x14ac:dyDescent="0.2">
      <c r="AB449" t="str">
        <f si="6" t="shared"/>
        <v/>
      </c>
    </row>
    <row r="450" spans="28:28" x14ac:dyDescent="0.2">
      <c r="AB450" t="str">
        <f si="6" t="shared"/>
        <v/>
      </c>
    </row>
    <row r="451" spans="28:28" x14ac:dyDescent="0.2">
      <c r="AB451" t="str">
        <f ref="AB451:AB510" si="7" t="shared"><![CDATA[IF(E451<>"",IF(F451="",D451&" ("&TEXT(E451,"dd/mm/yyyy")&" - present)",D451&" ("&TEXT(E451,"dd/mm/yyyy")&" - "&TEXT(F451,"dd/mm/yyyy")&")"),"")]]></f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si="7" t="shared"/>
        <v/>
      </c>
    </row>
    <row r="461" spans="28:28" x14ac:dyDescent="0.2">
      <c r="AB461" t="str">
        <f si="7" t="shared"/>
        <v/>
      </c>
    </row>
    <row r="462" spans="28:28" x14ac:dyDescent="0.2">
      <c r="AB462" t="str">
        <f si="7" t="shared"/>
        <v/>
      </c>
    </row>
    <row r="463" spans="28:28" x14ac:dyDescent="0.2">
      <c r="AB463" t="str">
        <f si="7" t="shared"/>
        <v/>
      </c>
    </row>
    <row r="464" spans="28:28" x14ac:dyDescent="0.2">
      <c r="AB464" t="str">
        <f si="7" t="shared"/>
        <v/>
      </c>
    </row>
    <row r="465" spans="28:28" x14ac:dyDescent="0.2">
      <c r="AB465" t="str">
        <f si="7" t="shared"/>
        <v/>
      </c>
    </row>
    <row r="466" spans="28:28" x14ac:dyDescent="0.2">
      <c r="AB466" t="str">
        <f si="7" t="shared"/>
        <v/>
      </c>
    </row>
    <row r="467" spans="28:28" x14ac:dyDescent="0.2">
      <c r="AB467" t="str">
        <f si="7" t="shared"/>
        <v/>
      </c>
    </row>
    <row r="468" spans="28:28" x14ac:dyDescent="0.2">
      <c r="AB468" t="str">
        <f si="7" t="shared"/>
        <v/>
      </c>
    </row>
    <row r="469" spans="28:28" x14ac:dyDescent="0.2">
      <c r="AB469" t="str">
        <f si="7" t="shared"/>
        <v/>
      </c>
    </row>
    <row r="470" spans="28:28" x14ac:dyDescent="0.2">
      <c r="AB470" t="str">
        <f si="7" t="shared"/>
        <v/>
      </c>
    </row>
    <row r="471" spans="28:28" x14ac:dyDescent="0.2">
      <c r="AB471" t="str">
        <f si="7" t="shared"/>
        <v/>
      </c>
    </row>
    <row r="472" spans="28:28" x14ac:dyDescent="0.2">
      <c r="AB472" t="str">
        <f si="7" t="shared"/>
        <v/>
      </c>
    </row>
    <row r="473" spans="28:28" x14ac:dyDescent="0.2">
      <c r="AB473" t="str">
        <f si="7" t="shared"/>
        <v/>
      </c>
    </row>
    <row r="474" spans="28:28" x14ac:dyDescent="0.2">
      <c r="AB474" t="str">
        <f si="7" t="shared"/>
        <v/>
      </c>
    </row>
    <row r="475" spans="28:28" x14ac:dyDescent="0.2">
      <c r="AB475" t="str">
        <f si="7" t="shared"/>
        <v/>
      </c>
    </row>
    <row r="476" spans="28:28" x14ac:dyDescent="0.2">
      <c r="AB476" t="str">
        <f si="7" t="shared"/>
        <v/>
      </c>
    </row>
    <row r="477" spans="28:28" x14ac:dyDescent="0.2">
      <c r="AB477" t="str">
        <f si="7" t="shared"/>
        <v/>
      </c>
    </row>
    <row r="478" spans="28:28" x14ac:dyDescent="0.2">
      <c r="AB478" t="str">
        <f si="7" t="shared"/>
        <v/>
      </c>
    </row>
    <row r="479" spans="28:28" x14ac:dyDescent="0.2">
      <c r="AB479" t="str">
        <f si="7" t="shared"/>
        <v/>
      </c>
    </row>
    <row r="480" spans="28:28" x14ac:dyDescent="0.2">
      <c r="AB480" t="str">
        <f si="7" t="shared"/>
        <v/>
      </c>
    </row>
    <row r="481" spans="28:28" x14ac:dyDescent="0.2">
      <c r="AB481" t="str">
        <f si="7" t="shared"/>
        <v/>
      </c>
    </row>
    <row r="482" spans="28:28" x14ac:dyDescent="0.2">
      <c r="AB482" t="str">
        <f si="7" t="shared"/>
        <v/>
      </c>
    </row>
    <row r="483" spans="28:28" x14ac:dyDescent="0.2">
      <c r="AB483" t="str">
        <f si="7" t="shared"/>
        <v/>
      </c>
    </row>
    <row r="484" spans="28:28" x14ac:dyDescent="0.2">
      <c r="AB484" t="str">
        <f si="7" t="shared"/>
        <v/>
      </c>
    </row>
    <row r="485" spans="28:28" x14ac:dyDescent="0.2">
      <c r="AB485" t="str">
        <f si="7" t="shared"/>
        <v/>
      </c>
    </row>
    <row r="486" spans="28:28" x14ac:dyDescent="0.2">
      <c r="AB486" t="str">
        <f si="7" t="shared"/>
        <v/>
      </c>
    </row>
    <row r="487" spans="28:28" x14ac:dyDescent="0.2">
      <c r="AB487" t="str">
        <f si="7" t="shared"/>
        <v/>
      </c>
    </row>
    <row r="488" spans="28:28" x14ac:dyDescent="0.2">
      <c r="AB488" t="str">
        <f si="7" t="shared"/>
        <v/>
      </c>
    </row>
    <row r="489" spans="28:28" x14ac:dyDescent="0.2">
      <c r="AB489" t="str">
        <f si="7" t="shared"/>
        <v/>
      </c>
    </row>
    <row r="490" spans="28:28" x14ac:dyDescent="0.2">
      <c r="AB490" t="str">
        <f si="7" t="shared"/>
        <v/>
      </c>
    </row>
    <row r="491" spans="28:28" x14ac:dyDescent="0.2">
      <c r="AB491" t="str">
        <f si="7" t="shared"/>
        <v/>
      </c>
    </row>
    <row r="492" spans="28:28" x14ac:dyDescent="0.2">
      <c r="AB492" t="str">
        <f si="7" t="shared"/>
        <v/>
      </c>
    </row>
    <row r="493" spans="28:28" x14ac:dyDescent="0.2">
      <c r="AB493" t="str">
        <f si="7" t="shared"/>
        <v/>
      </c>
    </row>
    <row r="494" spans="28:28" x14ac:dyDescent="0.2">
      <c r="AB494" t="str">
        <f si="7" t="shared"/>
        <v/>
      </c>
    </row>
    <row r="495" spans="28:28" x14ac:dyDescent="0.2">
      <c r="AB495" t="str">
        <f si="7" t="shared"/>
        <v/>
      </c>
    </row>
    <row r="496" spans="28:28" x14ac:dyDescent="0.2">
      <c r="AB496" t="str">
        <f si="7" t="shared"/>
        <v/>
      </c>
    </row>
    <row r="497" spans="28:28" x14ac:dyDescent="0.2">
      <c r="AB497" t="str">
        <f si="7" t="shared"/>
        <v/>
      </c>
    </row>
    <row r="498" spans="28:28" x14ac:dyDescent="0.2">
      <c r="AB498" t="str">
        <f si="7" t="shared"/>
        <v/>
      </c>
    </row>
    <row r="499" spans="28:28" x14ac:dyDescent="0.2">
      <c r="AB499" t="str">
        <f si="7" t="shared"/>
        <v/>
      </c>
    </row>
    <row r="500" spans="28:28" x14ac:dyDescent="0.2">
      <c r="AB500" t="str">
        <f si="7" t="shared"/>
        <v/>
      </c>
    </row>
    <row r="501" spans="28:28" x14ac:dyDescent="0.2">
      <c r="AB501" t="str">
        <f si="7" t="shared"/>
        <v/>
      </c>
    </row>
    <row r="502" spans="28:28" x14ac:dyDescent="0.2">
      <c r="AB502" t="str">
        <f si="7" t="shared"/>
        <v/>
      </c>
    </row>
    <row r="503" spans="28:28" x14ac:dyDescent="0.2">
      <c r="AB503" t="str">
        <f si="7" t="shared"/>
        <v/>
      </c>
    </row>
    <row r="504" spans="28:28" x14ac:dyDescent="0.2">
      <c r="AB504" t="str">
        <f si="7" t="shared"/>
        <v/>
      </c>
    </row>
    <row r="505" spans="28:28" x14ac:dyDescent="0.2">
      <c r="AB505" t="str">
        <f si="7" t="shared"/>
        <v/>
      </c>
    </row>
    <row r="506" spans="28:28" x14ac:dyDescent="0.2">
      <c r="AB506" t="str">
        <f si="7" t="shared"/>
        <v/>
      </c>
    </row>
    <row r="507" spans="28:28" x14ac:dyDescent="0.2">
      <c r="AB507" t="str">
        <f si="7" t="shared"/>
        <v/>
      </c>
    </row>
    <row r="508" spans="28:28" x14ac:dyDescent="0.2">
      <c r="AB508" t="str">
        <f si="7" t="shared"/>
        <v/>
      </c>
    </row>
    <row r="509" spans="28:28" x14ac:dyDescent="0.2">
      <c r="AB509" t="str">
        <f si="7" t="shared"/>
        <v/>
      </c>
    </row>
    <row r="510" spans="28:28" x14ac:dyDescent="0.2">
      <c r="AB510" t="str">
        <f si="7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2" r:id="rId5" shapeId="5122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6" shapeId="5123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4" r:id="rId7" shapeId="5124">
              <controlPr autoFill="0" autoPict="0" defaultSize="0" macro="[3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5" r:id="rId8" shapeId="5125">
              <controlPr autoFill="0" autoPict="0" defaultSize="0" macro="[4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6" r:id="rId9" shapeId="5126">
              <controlPr autoFill="0" autoPict="0" defaultSize="0" macro="[5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7" r:id="rId10" shapeId="5127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8" r:id="rId11" shapeId="5128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9" r:id="rId12" shapeId="5129">
              <controlPr autoFill="0" autoPict="0" defaultSize="0" macro="[3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10" r:id="rId13" shapeId="5130">
              <controlPr autoFill="0" autoPict="0" defaultSize="0" macro="[4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workbookViewId="0" zoomScale="85" zoomScaleNormal="85">
      <selection activeCell="E36" sqref="E36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2020-08-28T16:15:29Z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