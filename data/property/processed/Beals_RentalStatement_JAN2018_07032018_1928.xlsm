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Beals!$A$1:$K$223</definedName>
    <definedName name="_xlnm._FilterDatabase" localSheetId="5" hidden="1">IV!$A$1:$K$62</definedName>
    <definedName name="_xlnm._FilterDatabase" localSheetId="6" hidden="1">'IV (4040)'!$A$1:$J$109</definedName>
    <definedName name="_xlnm._FilterDatabase" localSheetId="9" hidden="1">'Managed Properties'!$A$1:$E$1</definedName>
    <definedName name="_xlnm._FilterDatabase" localSheetId="4" hidden="1">MT!$A$1:$L$106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B31" i="31690"/>
  <c r="B22" i="31690"/>
  <c r="B25" i="31690"/>
  <c r="C34" i="31690"/>
  <c r="B26" i="31690"/>
  <c r="C24" i="31690"/>
  <c r="B24" i="31690"/>
  <c r="B18" i="31690"/>
  <c r="C33" i="31690"/>
  <c r="C29" i="31690"/>
  <c r="B32" i="31690"/>
  <c r="C31" i="31690"/>
  <c r="C25" i="31690"/>
  <c r="E39" i="31690"/>
  <c r="B29" i="31690"/>
  <c r="C32" i="31690"/>
  <c r="B17" i="31690"/>
  <c r="B30" i="31690"/>
  <c r="C22" i="31690"/>
  <c r="B34" i="31690"/>
  <c r="C30" i="31690"/>
  <c r="C26" i="31690"/>
  <c r="B21" i="31690"/>
  <c r="C17" i="31690"/>
  <c r="C18" i="31690"/>
  <c r="C21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E15" i="31690" l="1"/>
  <c r="E24" i="31690" s="1"/>
  <c r="D36" i="31690"/>
  <c r="F15" i="31690"/>
  <c r="F35" i="31690" s="1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2" i="31690"/>
  <c r="E25" i="31690"/>
  <c r="E34" i="31690"/>
  <c r="E29" i="31690"/>
  <c r="E35" i="31690"/>
  <c r="E26" i="31690"/>
  <c r="E31" i="31690"/>
  <c r="E30" i="31690"/>
  <c r="E36" i="31690" s="1"/>
  <c r="E41" i="31690" s="1"/>
  <c r="E47" i="31690" s="1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<sst xmlns="http://schemas.openxmlformats.org/spreadsheetml/2006/main" count="4542" uniqueCount="1078">
  <si>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</si>
  <si>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</si>
  <si>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</si>
  <si>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</si>
  <si>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</si>
  <si>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</si>
  <si>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</si>
  <si>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</si>
  <si>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</si>
  <si>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</si>
  <si>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</si>
  <si>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</si>
  <si>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</si>
  <si>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</si>
  <si>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</si>
  <si>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</si>
  <si>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</si>
  <si>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</si>
  <si>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</si>
  <si>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</si>
  <si>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</si>
  <si>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</si>
  <si>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</si>
  <si>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</si>
  <si>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</si>
  <si>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</si>
  <si>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</si>
  <si>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</si>
  <si>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</si>
  <si>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</si>
  <si>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</si>
  <si>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</si>
  <si>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</si>
  <si>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</si>
  <si>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</si>
  <si>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</si>
  <si>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</si>
  <si>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</si>
  <si>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</si>
  <si>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</si>
  <si>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</si>
  <si>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</si>
  <si>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</si>
  <si>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</si>
  <si>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</si>
  <si>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</si>
  <si>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</si>
  <si>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</si>
  <si>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</si>
  <si>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</si>
  <si>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</si>
  <si>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</si>
  <si>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</si>
  <si>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</si>
  <si>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</si>
  <si>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</si>
  <si>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</si>
  <si>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</si>
  <si>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</si>
  <si>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</si>
  <si>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</si>
  <si>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</si>
  <si>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</si>
  <si>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</si>
  <si>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</si>
  <si>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</si>
  <si>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</si>
  <si>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</si>
  <si>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</si>
  <si>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</si>
  <si>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</si>
  <si>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</si>
  <si>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</si>
  <si>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</si>
  <si>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</si>
  <si>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</si>
  <si>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</si>
  <si>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</si>
  <si>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</si>
  <si>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</si>
  <si>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</si>
  <si>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</si>
  <si>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</si>
  <si>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</si>
  <si>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</si>
  <si>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</si>
  <si>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</si>
  <si>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</si>
  <si>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</si>
  <si>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</si>
  <si>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</si>
  <si>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</si>
  <si>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</si>
  <si>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</si>
  <si>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</si>
  <si>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</si>
  <si>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</si>
  <si>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</si>
  <si>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</si>
  <si>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</si>
  <si>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</si>
  <si>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</si>
  <si>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</si>
  <si>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</si>
  <si>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</si>
  <si>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</si>
  <si>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</si>
  <si>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</si>
  <si>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</si>
  <si>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</si>
  <si>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</si>
  <si>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</si>
  <si>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</si>
  <si>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</si>
  <si>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</si>
  <si>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</si>
  <si>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</si>
  <si>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</si>
  <si>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</si>
  <si>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</si>
  <si>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</si>
  <si>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</si>
  <si>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</si>
  <si>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</si>
  <si>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</si>
  <si>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</si>
  <si>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</si>
  <si>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</si>
  <si>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</si>
  <si>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</si>
  <si>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</si>
  <si>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</si>
  <si>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</si>
  <si>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</si>
  <si>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</si>
  <si>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</si>
  <si>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</si>
  <si>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</si>
  <si>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</si>
  <si>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</si>
  <si>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</si>
  <si>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</si>
  <si>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</si>
  <si>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</si>
  <si>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</si>
  <si>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</si>
  <si>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</si>
  <si>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</si>
  <si>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</si>
  <si>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</si>
  <si>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</si>
  <si>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</si>
  <si>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</si>
  <si>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</si>
  <si>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</si>
  <si>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</si>
  <si>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</si>
  <si>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</si>
  <si>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</si>
  <si>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</si>
  <si>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</si>
  <si>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</si>
  <si>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</si>
  <si>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</si>
  <si>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</si>
  <si>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</si>
  <si>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</si>
  <si>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</si>
  <si>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</si>
  <si>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</si>
  <si>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</si>
  <si>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</si>
  <si>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</si>
  <si>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</si>
  <si>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</si>
  <si>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</si>
  <si>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</si>
  <si>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</si>
  <si>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</si>
  <si>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</si>
  <si>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</si>
  <si>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</si>
  <si>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</si>
  <si>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</si>
  <si>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</si>
  <si>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</si>
  <si>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</si>
  <si>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</si>
  <si>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</si>
  <si>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</si>
  <si>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</si>
  <si>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</si>
  <si>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</si>
  <si>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</si>
  <si>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</si>
  <si>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</si>
  <si>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</si>
  <si>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</si>
  <si>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</si>
  <si>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</si>
  <si>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</si>
  <si>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</si>
  <si>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</si>
  <si>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</si>
  <si>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</si>
  <si>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</si>
  <si>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</si>
  <si>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</si>
  <si>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</si>
  <si>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</si>
  <si>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</si>
  <si>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</si>
  <si>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</si>
  <si>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</si>
  <si>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</si>
  <si>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</si>
  <si>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</si>
  <si>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</si>
  <si>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</si>
  <si>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</si>
  <si>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</si>
  <si>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</si>
  <si>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</si>
  <si>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</si>
  <si>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</si>
  <si>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</si>
  <si>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</si>
  <si>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</si>
  <si>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</si>
  <si>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</si>
  <si>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</si>
  <si>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</si>
  <si>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</si>
  <si>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</si>
  <si>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</si>
  <si>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</si>
  <si>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</si>
  <si>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</si>
  <si>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</si>
  <si>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</si>
  <si>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</si>
  <si>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</si>
  <si>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</si>
  <si>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</si>
  <si>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</si>
  <si>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</si>
  <si>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</si>
  <si>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</si>
  <si>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</si>
  <si>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</si>
  <si>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</si>
  <si>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</si>
  <si>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</si>
  <si>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</si>
  <si>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</si>
  <si>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</si>
  <si>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</si>
  <si>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</si>
  <si>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</si>
  <si>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</si>
  <si>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</si>
  <si>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</si>
  <si>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</si>
  <si>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</si>
  <si>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</si>
  <si>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</si>
  <si>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</si>
  <si>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</si>
  <si>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</si>
  <si>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</si>
  <si>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</si>
  <si>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</si>
  <si>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</si>
  <si>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</si>
  <si>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</si>
  <si>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</si>
  <si>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</si>
  <si>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</si>
  <si>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</si>
  <si>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</si>
  <si>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</si>
  <si>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</si>
  <si>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</si>
  <si>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</si>
  <si>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</si>
  <si>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</si>
  <si>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</si>
  <si>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</si>
  <si>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</si>
  <si>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</si>
  <si>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</si>
  <si>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</si>
  <si>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</si>
  <si>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</si>
  <si>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</si>
  <si>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</si>
  <si>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</si>
  <si>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</si>
  <si>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</si>
  <si>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</si>
  <si>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</si>
  <si>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</si>
  <si>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</si>
  <si>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</si>
  <si>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</si>
  <si>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</si>
  <si>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</si>
  <si>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</si>
  <si>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</si>
  <si>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</si>
  <si>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</si>
  <si>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</si>
  <si>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</si>
  <si>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</si>
  <si>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</si>
  <si>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</si>
  <si>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</si>
  <si>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</si>
  <si>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</si>
  <si>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</si>
  <si>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</si>
  <si>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</si>
  <si>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</si>
  <si>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</si>
  <si>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</si>
  <si>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</si>
  <si>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</si>
  <si>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</si>
  <si>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</si>
  <si>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</si>
  <si>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</si>
  <si>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</si>
  <si>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</si>
  <si>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</si>
  <si>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</si>
  <si>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</si>
  <si>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</si>
  <si>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</si>
  <si>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</si>
  <si>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</si>
  <si>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</si>
  <si>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</si>
  <si>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</si>
  <si>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</si>
  <si>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</si>
  <si>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</si>
  <si>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</si>
  <si>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</si>
  <si>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</si>
  <si>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</si>
  <si>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</si>
  <si>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</si>
  <si>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</si>
  <si>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</si>
  <si>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</si>
  <si>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</si>
  <si>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</si>
  <si>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</si>
  <si>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</si>
  <si>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</si>
  <si>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</si>
  <si>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</si>
  <si>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</si>
  <si>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</si>
  <si>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</si>
  <si>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</si>
  <si>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</si>
  <si>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</si>
  <si>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</si>
  <si>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</si>
  <si>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</si>
  <si>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</si>
  <si>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</si>
  <si>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</si>
  <si>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</si>
  <si>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</si>
  <si>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</si>
  <si>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</si>
  <si>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</si>
  <si>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</si>
  <si>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</si>
  <si>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</si>
  <si>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</si>
  <si>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</si>
  <si>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</si>
  <si>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</si>
  <si>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</si>
  <si>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</si>
  <si>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</si>
  <si>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</si>
  <si>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</si>
  <si>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</si>
  <si>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</si>
  <si>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</si>
  <si>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</si>
  <si>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</si>
  <si>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</si>
  <si>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</si>
  <si>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</si>
  <si>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</si>
  <si>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</si>
  <si>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</si>
  <si>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</si>
  <si>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</si>
  <si>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</si>
  <si>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</si>
  <si>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</si>
  <si>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</si>
  <si>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</si>
  <si>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</si>
  <si>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</si>
  <si>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</si>
  <si>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</si>
  <si>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</si>
  <si>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</si>
  <si>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</si>
  <si>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</si>
  <si>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</si>
  <si>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</si>
  <si>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</si>
  <si>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</si>
  <si>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</si>
  <si>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</si>
  <si>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</si>
  <si>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</si>
  <si>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</si>
  <si>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</si>
  <si>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</si>
  <si>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</si>
  <si>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</si>
  <si>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</si>
  <si>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</si>
  <si>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</si>
  <si>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</si>
  <si>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</si>
  <si>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</si>
  <si>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</si>
  <si>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</si>
  <si>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</si>
  <si>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</si>
  <si>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</si>
  <si>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</si>
  <si>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</si>
  <si>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</si>
  <si>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</si>
  <si>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</si>
  <si>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</si>
  <si>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</si>
  <si>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</si>
  <si>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</si>
  <si>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</si>
  <si>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</si>
  <si>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</si>
  <si>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</si>
  <si>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</si>
  <si>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</si>
  <si>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</si>
  <si>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</si>
  <si>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</si>
  <si>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</si>
  <si>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</si>
  <si>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</si>
  <si>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</si>
  <si>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</si>
  <si>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</si>
  <si>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</si>
  <si>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</si>
  <si>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</si>
  <si>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</si>
  <si>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</si>
  <si>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</si>
  <si>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</si>
  <si>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</si>
  <si>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</si>
  <si>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</si>
  <si>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</si>
  <si>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</si>
  <si>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</si>
  <si>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</si>
  <si>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</si>
  <si>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</si>
  <si>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</si>
  <si>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</si>
  <si>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</si>
  <si>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</si>
  <si>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</si>
  <si>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</si>
  <si>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</si>
  <si>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</si>
  <si>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</si>
  <si>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</si>
  <si>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</si>
  <si>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</si>
  <si>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</si>
  <si>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</si>
  <si>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</si>
  <si>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</si>
  <si>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</si>
  <si>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</si>
  <si>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</si>
  <si>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</si>
  <si>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</si>
  <si>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</si>
  <si>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</si>
  <si>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</si>
  <si>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</si>
  <si>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</si>
  <si>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</si>
  <si>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</si>
  <si>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</si>
  <si>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</si>
  <si>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</si>
  <si>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</si>
  <si>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</si>
  <si>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</si>
  <si>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</si>
  <si>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</si>
  <si>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</si>
  <si>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</si>
  <si>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</si>
  <si>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</si>
  <si>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</si>
  <si>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</si>
  <si>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</si>
  <si>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</si>
  <si>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</si>
  <si>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</si>
  <si>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</si>
  <si>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</si>
  <si>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</si>
  <si>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</si>
  <si>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</si>
  <si>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</si>
  <si>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</si>
  <si>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</si>
  <si>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</si>
  <si>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</si>
  <si>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</si>
  <si>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</si>
  <si>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</si>
  <si>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</si>
  <si>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</si>
  <si>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</si>
  <si>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</si>
  <si>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</si>
  <si>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</si>
  <si>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</si>
  <si>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</si>
  <si>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</si>
  <si>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</si>
  <si>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</si>
  <si>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</si>
  <si>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</si>
  <si>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</si>
  <si>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</si>
  <si>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</si>
  <si>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</si>
  <si>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</si>
  <si>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</si>
  <si>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</si>
  <si>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</si>
  <si>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</si>
  <si>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</si>
  <si>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</si>
  <si>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</si>
  <si>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</si>
  <si>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</si>
  <si>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</si>
  <si>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</si>
  <si>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</si>
  <si>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</si>
  <si>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</si>
  <si>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</si>
  <si>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</si>
  <si>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</si>
  <si>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</si>
  <si>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</si>
  <si>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</si>
  <si>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</si>
  <si>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</si>
  <si>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</si>
  <si>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</si>
  <si>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</si>
  <si>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1412-14 ALHAM BGC</t>
  </si>
  <si>
    <t>BEALS ESTATE AGENT    FLAT 412-14 ALHAMB BGC</t>
  </si>
  <si>
    <t>BEALS ESTATE AGENT    FLAT 1171 FAWCETT 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</si>
  <si>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</si>
  <si>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</si>
  <si>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</si>
  <si>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</si>
  <si>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</si>
  <si>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</si>
  <si>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</si>
  <si>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</si>
  <si>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</si>
  <si>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</si>
  <si>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</si>
  <si>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</si>
  <si>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</si>
  <si>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</si>
  <si>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</si>
  <si>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</si>
  <si>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</si>
  <si>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</si>
  <si>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</si>
  <si>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</si>
  <si>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</si>
  <si>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</si>
  <si>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</si>
  <si>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</si>
  <si>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</si>
  <si>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</si>
  <si>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BHAM MIDSHIRES        020003649652/41838 DDR</t>
  </si>
  <si>
    <t>OTH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</si>
  <si>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</si>
  <si>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</si>
  <si>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</si>
  <si>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</si>
  <si>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</si>
  <si>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 xml:space="preserve"> </t>
  </si>
  <si>
    <t>BEALS ESTATE AGENT    FLAT 3163 FRATTON  BGC</t>
  </si>
  <si>
    <t>Bills</t>
  </si>
  <si>
    <t>{"*4040*","*BOOTS*"}</t>
  </si>
  <si>
    <t>BEALS ESTATE AGENT    FLAT 1169 FAWCETT  BGC</t>
  </si>
  <si>
    <t>BEALS ESTATE AGENT    FLAT 194-6 ALHAMBR BGC</t>
  </si>
  <si>
    <t/>
  </si>
  <si>
    <t>Secton 21 served?</t>
  </si>
  <si>
    <t>Tenant gave notice on 24/01/18 to end AST on 13/03/18</t>
  </si>
  <si>
    <t>Check this - first month not paid.</t>
  </si>
  <si>
    <t>Need update - tenant paid to 22/11</t>
  </si>
  <si>
    <t>Tenants gave notive. This will need to be refurbished but cannot be done until the roof works have been completed as there was a leak to the bedroom</t>
  </si>
  <si>
    <t>Beals gave notice on 25/01/18 - violent tenant.</t>
  </si>
  <si>
    <t>R: Get update.When did tenant move out? Works required on dampness before re-let</t>
  </si>
  <si>
    <t>Works completed. £811 to pay.Possession 27/11, tenant move out 18th Dec. This needs for the items to be removed and cleaned. The decoration is OK – A few marks and scuffs in places. Would recommend new lino and carpet to rear bedroom – I have asked for a quote for the works that need doing</t>
  </si>
  <si>
    <t>R: £3508.50. CDC. When did tenant move out? This needs to be fully refurbished  however there are damp issues – I have sent the report to Kieran Godkin and he has said that he will contact you</t>
  </si>
  <si>
    <t>Need update- expenses were approved. This need redecorated, flooring laid and cleaning – Costs are decoration - £740, Flooring - £500 and some additional for cleaning – Please can you advise me if you are happy for this to go ahead</t>
  </si>
  <si>
    <t>R: Insurance claim? Tenant died. Needs refurb. CDC quote £4880</t>
  </si>
  <si>
    <t>In £1900 arrears.</t>
  </si>
  <si>
    <t>WINCHESTER S/W BK     ON 29 DEC          CLP</t>
  </si>
  <si>
    <t>NEW COUNTY SERVICE    ON 29 DEC          CLP</t>
  </si>
  <si>
    <t>NEW COUNTY SERVICE    ON 30 DEC          CLP</t>
  </si>
  <si>
    <t xml:space="preserve">PANDORA ESTORE        BELGIUM               </t>
  </si>
  <si>
    <t>LushCOMUK             ON 29 DEC          BCC</t>
  </si>
  <si>
    <t>EE &amp; T-MOBILE         Q13077400784748055 DDR</t>
  </si>
  <si>
    <t>POST OFFICE COUNTE    ON 02 JAN          CLP</t>
  </si>
  <si>
    <t>NEW COUNTY SERVICE    ON 02 JAN          BCC</t>
  </si>
  <si>
    <t>MORTGAGE EXPRESS      2016485130022282   DDR</t>
  </si>
  <si>
    <t>MORTGAGE EXPRESS      2016485040022282   DDR</t>
  </si>
  <si>
    <t>MORTGAGE EXPRESS      2007545250022282   DDR</t>
  </si>
  <si>
    <t>MORTGAGE EXPRESS      2007107760022282   DDR</t>
  </si>
  <si>
    <t>MORTGAGE EXPRESS      2007093450022282   DDR</t>
  </si>
  <si>
    <t>MORTGAGE EXPRESS      2007093360022282   DDR</t>
  </si>
  <si>
    <t>MORTGAGE EXPRESS      2006372640022282   DDR</t>
  </si>
  <si>
    <t>MORTGAGE EXPRESS      0019966240022282   DDR</t>
  </si>
  <si>
    <t>MORTGAGE EXPRESS      0018724700022282   DDR</t>
  </si>
  <si>
    <t>MORTGAGE EXPRESS      0017031550022282   DDR</t>
  </si>
  <si>
    <t>MORTGAGE EXPRESS      0016470530022282   DDR</t>
  </si>
  <si>
    <t>MORTGAGE EXPRESS      0015866140022282   DDR</t>
  </si>
  <si>
    <t xml:space="preserve">BEALS                 MTUCKER F2163FRTTN FT </t>
  </si>
  <si>
    <t xml:space="preserve">BEALS                 MTUCKER F1321LDNRD FT </t>
  </si>
  <si>
    <t xml:space="preserve">BEALS                 MTUCKER LONDONRD   FT </t>
  </si>
  <si>
    <t>TRADERSZ              ON 12 JAN          BCC</t>
  </si>
  <si>
    <t>207409 40406538       001180150000135    TFR</t>
  </si>
  <si>
    <t xml:space="preserve">205330 30728691       MT DEC17           FT </t>
  </si>
  <si>
    <t>CLOPHILL P O &amp; STO    ON 15 JAN          BCC</t>
  </si>
  <si>
    <t>TESCO STORE 2105      ON 22 JAN          BCC</t>
  </si>
  <si>
    <t>PUSHDOCTOR            ON 23 JAN          BCC</t>
  </si>
  <si>
    <t>BOOTS 6407            ON 24 JAN          CLP</t>
  </si>
  <si>
    <t>HUGO BOSS             ON 24 JAN          BCC</t>
  </si>
  <si>
    <t>MKC PARKING RINGGO    ON 24 JAN          BCC</t>
  </si>
  <si>
    <t>NEW COUNTY SERVICE    ON 27 JAN          CLP</t>
  </si>
  <si>
    <t xml:space="preserve">CARDTRONICS UK LTD    SHELL LIPHOOK SOUT    </t>
  </si>
  <si>
    <t>MORTGAGE TRUST        002197389 10102580 DDR</t>
  </si>
  <si>
    <t>MORTGAGE TRUST        002186357 10102580 DDR</t>
  </si>
  <si>
    <t>MORTGAGE TRUST        002186356 10102580 DDR</t>
  </si>
  <si>
    <t>MORTGAGE TRUST        002186317 10102580 DDR</t>
  </si>
  <si>
    <t>EE &amp; T-MOBILE         Q13077400793480471 DDR</t>
  </si>
  <si>
    <t>STO</t>
  </si>
  <si>
    <t>TUCKER MS     %0 P    205330 30728691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</si>
  <si>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</si>
  <si>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</si>
  <si>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</si>
  <si>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</si>
  <si>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</si>
  <si>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MORTGAGE EXPRESS      2007093270022281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</si>
  <si>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</si>
  <si>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</si>
  <si>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</si>
  <si>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</si>
  <si>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</si>
  <si>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MORTGAGE EXPRESS      2016485220022282   DDR</t>
  </si>
  <si>
    <t>BEALS ESTATE AGENT    FLAT 214-6 ALHAMBR BGC</t>
  </si>
  <si>
    <t>KINGSTON UNITY        PL684048A VALENTNO STO</t>
  </si>
  <si>
    <t>SHEPHERDS FS          PN026484A          DDR</t>
  </si>
  <si>
    <t>20-74-09 40406538</t>
  </si>
  <si>
    <t>BCC</t>
  </si>
  <si>
    <t>NEW LOOK 1625         ON 03 JAN          BCC</t>
  </si>
  <si>
    <t>MARKS&amp;SPENCER PLC     ON 03 JAN          CLP</t>
  </si>
  <si>
    <t>KHINDAS BUDGENS       ON 03 JAN          CLP</t>
  </si>
  <si>
    <t>MCDONALDS             ON 03 JAN          CLP</t>
  </si>
  <si>
    <t>TOP STAR              ON 03 JAN          BCC</t>
  </si>
  <si>
    <t>MKC PARKING RINGGO    ON 03 JAN          BCC</t>
  </si>
  <si>
    <t>TESCO STORE 2547      ON 04 JAN          BCC</t>
  </si>
  <si>
    <t>MCDONALDS             ON 06 JAN          CLP</t>
  </si>
  <si>
    <t>LUSH MILTON KEYNES    ON 05 JAN          CLP</t>
  </si>
  <si>
    <t>ONEILL CLOTHING       ON 07 JAN          CLP</t>
  </si>
  <si>
    <t>KFC BEDFORD           ON 07 JAN          CLP</t>
  </si>
  <si>
    <t>COSTA COFFEE 43035    ON 07 JAN          CLP</t>
  </si>
  <si>
    <t>MILLIES COOKIES       ON 05 JAN          CLP</t>
  </si>
  <si>
    <t>MARKS&amp;SPENCER PLC     ON 05 JAN          BCC</t>
  </si>
  <si>
    <t>WM MORRISON PETROL    ON 06 JAN          BCC</t>
  </si>
  <si>
    <t>SPECSAVERS            ON 05 JAN          BCC</t>
  </si>
  <si>
    <t>MKC PARKING RINGGO    ON 05 JAN          BCC</t>
  </si>
  <si>
    <t>LAKESIDE FISH AND     ON 08 JAN          CLP</t>
  </si>
  <si>
    <t>SUBWAY                ON 08 JAN          CLP</t>
  </si>
  <si>
    <t>BP BEDFORD EXPRESS    ON 07 JAN          CLP</t>
  </si>
  <si>
    <t>TOP JUMP TRAMPOLIN    ON 08 JAN          CLP</t>
  </si>
  <si>
    <t>THORNTONS LTD         ON 08 JAN          CLP</t>
  </si>
  <si>
    <t>Harpur Centre         ON 08 JAN          CLP</t>
  </si>
  <si>
    <t>DW SPORTS FITNESS     ON 08 JAN          BCC</t>
  </si>
  <si>
    <t>THE RANGE             ON 09 JAN          CLP</t>
  </si>
  <si>
    <t>IZ *THE PAVILION T    ON 09 JAN          CLP</t>
  </si>
  <si>
    <t>TESCO STORE 2105      ON 10 JAN          CLP</t>
  </si>
  <si>
    <t>WM MORRISON STORE     ON 09 JAN          CLP</t>
  </si>
  <si>
    <t>THE RANGE             ON 10 JAN          CLP</t>
  </si>
  <si>
    <t>IZ *THE PAVILION T    ON 10 JAN          CLP</t>
  </si>
  <si>
    <t>TESCO STORE 2105      ON 11 JAN          CLP</t>
  </si>
  <si>
    <t xml:space="preserve">ITUNES.COM/BILL       IRELAND               </t>
  </si>
  <si>
    <t>PREM NO/PR            TRF                TFR</t>
  </si>
  <si>
    <t>207409 60458872       001180150000135    TFR</t>
  </si>
  <si>
    <t>BP NEWHAM AVENUE C    ON 11 JAN          CLP</t>
  </si>
  <si>
    <t>NEW COUNTY SERVICE    ON 12 JAN          BCC</t>
  </si>
  <si>
    <t>MERCEDES-BENZ CARS    0376305421         DDR</t>
  </si>
  <si>
    <t>T K MAXX              ON 15 JAN          CLP</t>
  </si>
  <si>
    <t>TS HATTERSLEY &amp; SO    ON 15 JAN          BCC</t>
  </si>
  <si>
    <t>WM MORRISON PLC       ON 15 JAN          BCC</t>
  </si>
  <si>
    <t>205330 30728691       TRF                TFR</t>
  </si>
  <si>
    <t>CMT (UK) LTD - GLA    ON 16 JAN          CLP</t>
  </si>
  <si>
    <t>COSTA COFFEE          ON 16 JAN          CLP</t>
  </si>
  <si>
    <t>STARBUCKS             ON 16 JAN          CLP</t>
  </si>
  <si>
    <t>DANIEL WALTER OVER    ON 16 JAN          BCC</t>
  </si>
  <si>
    <t>CENTRAL BEDFORDSHI    ON 16 JAN          BCC</t>
  </si>
  <si>
    <t>WM MORRISON STORE     ON 17 JAN          CLP</t>
  </si>
  <si>
    <t>MARKS&amp;SPENCER PLC     ON 17 JAN          CLP</t>
  </si>
  <si>
    <t>COSTA COFFEE 43035    ON 17 JAN          CLP</t>
  </si>
  <si>
    <t>COSTA COFFEE          ON 17 JAN          CLP</t>
  </si>
  <si>
    <t>NO LIMITZ             ON 17 JAN          BCC</t>
  </si>
  <si>
    <t>BP BEDFORD EXPRESS    ON 16 JAN          BCC</t>
  </si>
  <si>
    <t>PANDORA BEDFORD       ON 18 JAN          CLP</t>
  </si>
  <si>
    <t>MARKS&amp;SPENCER PLC     ON 18 JAN          CLP</t>
  </si>
  <si>
    <t>TESCO STORE 2105      ON 18 JAN          CLP</t>
  </si>
  <si>
    <t>THE RANGE             ON 18 JAN          CLP</t>
  </si>
  <si>
    <t>COSTA COFFEE          ON 18 JAN          CLP</t>
  </si>
  <si>
    <t>SPORTSDIRECT 233      ON 18 JAN          BCC</t>
  </si>
  <si>
    <t>STARBUCKS             ON 20 JAN          CLP</t>
  </si>
  <si>
    <t>RED 5 GUILDFORD       ON 20 JAN          CLP</t>
  </si>
  <si>
    <t>BP BEDFORD EXPRESS    ON 19 JAN          BCC</t>
  </si>
  <si>
    <t>MARKS&amp;SPENCER PLC     ON 20 JAN          BCC</t>
  </si>
  <si>
    <t>NEW COUNTY SERVICE    ON 22 JAN          CLP</t>
  </si>
  <si>
    <t>LIDL UK               ON 22 JAN          CLP</t>
  </si>
  <si>
    <t>MCDONALDS             ON 23 JAN          CLP</t>
  </si>
  <si>
    <t>B&amp;M RETAIL            ON 23 JAN          CLP</t>
  </si>
  <si>
    <t>COSTA COFFEE 43035    ON 23 JAN          CLP</t>
  </si>
  <si>
    <t>205397 30728691       TRF                TFR</t>
  </si>
  <si>
    <t>TESCO STORE 2105      ON 24 JAN          CLP</t>
  </si>
  <si>
    <t>SMIGGLE               ON 24 JAN          CLP</t>
  </si>
  <si>
    <t>WH SMITH              ON 24 JAN          CLP</t>
  </si>
  <si>
    <t>STARBUCKS             ON 24 JAN          CLP</t>
  </si>
  <si>
    <t>TESCO STORES-2105     ON 25 JAN          CLP</t>
  </si>
  <si>
    <t>STARBUCKS             ON 25 JAN          CLP</t>
  </si>
  <si>
    <t>NEW LOOK 1625         ON 25 JAN          BCC</t>
  </si>
  <si>
    <t>DEBENHAMS PLC         ON 25 JAN          BCC</t>
  </si>
  <si>
    <t>TESCO PAY AT PUMP     ON 25 JAN          BCC</t>
  </si>
  <si>
    <t>TUCK+VALEN HSE        207409 40406538    STO</t>
  </si>
  <si>
    <t>MARKS&amp;SPENCER PLC     ON 27 JAN          CLP</t>
  </si>
  <si>
    <t>Wilstead Tandoori     ON 26 JAN          CLP</t>
  </si>
  <si>
    <t>WEIGHT WATCHERSUK     ON 26 JAN          CLP</t>
  </si>
  <si>
    <t>NEW LOOK 1640         ON 27 JAN          CLP</t>
  </si>
  <si>
    <t>BOOTS</t>
  </si>
  <si>
    <t>BEDFORD         ON 26 JAN          CLP</t>
  </si>
  <si>
    <t>CHOPSTIX              ON 28 JAN          CLP</t>
  </si>
  <si>
    <t>LEGO STORE            ON 28 JAN          CLP</t>
  </si>
  <si>
    <t>NEW COUNTY SERVICE    ON 28 JAN          CLP</t>
  </si>
  <si>
    <t>MCDONALDS             ON 26 JAN          CLP</t>
  </si>
  <si>
    <t>MCDONALDS             ON 28 JAN          CLP</t>
  </si>
  <si>
    <t>COSTA COFFEE 43035    ON 27 JAN          CLP</t>
  </si>
  <si>
    <t>Harpur Centre         ON 27 JAN          CLP</t>
  </si>
  <si>
    <t>Harpur Centre         ON 26 JAN          CLP</t>
  </si>
  <si>
    <t>PANDORA               ON 28 JAN          BCC</t>
  </si>
  <si>
    <t>H3G                   976046856201250118 DDR</t>
  </si>
  <si>
    <t>TESCO STORE 2105      ON 29 JAN          CLP</t>
  </si>
  <si>
    <t>BOOTS 6407            ON 29 JAN          CLP</t>
  </si>
  <si>
    <t>SUBWAY                ON 29 JAN          CLP</t>
  </si>
  <si>
    <t>COSTA COFFEE 43035    ON 29 JAN          CLP</t>
  </si>
  <si>
    <t>TESCO PAY AT PUMP     ON 29 JAN          BCC</t>
  </si>
  <si>
    <t>20-53-97 30728691</t>
  </si>
  <si>
    <t>BEALS                 F23 46 ALH TUCKER  BBP</t>
  </si>
  <si>
    <t>BHAM MIDSHIRES        020007900597/89565 DDR</t>
  </si>
  <si>
    <t>THE HARPUR TRUST D    TUCKM8  PVALA1     DDR</t>
  </si>
  <si>
    <t>THE HARPUR TRUST D    TUCKM8  BVALR8     DDR</t>
  </si>
  <si>
    <t>THE HARPUR TRUST D    TUCKMS  GVALS1     DDR</t>
  </si>
  <si>
    <t xml:space="preserve">BEALS                 VALENTINO F51214AL FT </t>
  </si>
  <si>
    <t>BEALS ESTATE AGENT    23C HAMPSHIRE TERR BGC</t>
  </si>
  <si>
    <t>AVIVA LIFE            014033997          DDR</t>
  </si>
  <si>
    <t>EE &amp; T-MOBILE         Q20664165788190098 DDR</t>
  </si>
  <si>
    <t>BEALS ESTATE AGENT    196B KINGSTON ROAD BGC</t>
  </si>
  <si>
    <t>BT GROUP PLC          GB14092007-000040  DDR</t>
  </si>
  <si>
    <t>PLATFORM FUNDING      01050228957685     DDR</t>
  </si>
  <si>
    <t>MORTGAGE EXPRESS      2006332310022294   DDR</t>
  </si>
  <si>
    <t>MORTGAGE EXPRESS      2005787290022294   DDR</t>
  </si>
  <si>
    <t>MORTGAGE EXPRESS      2008784100022294   DDR</t>
  </si>
  <si>
    <t>MORTGAGE EXPRESS      2007664780022294   DDR</t>
  </si>
  <si>
    <t>MORTGAGE EXPRESS      2007545340022294   DDR</t>
  </si>
  <si>
    <t>MORTGAGE EXPRESS      2007544710022294   DDR</t>
  </si>
  <si>
    <t>MORTGAGE EXPRESS      2007107670022294   DDR</t>
  </si>
  <si>
    <t xml:space="preserve">207409 60458872       MT DEC17           FT </t>
  </si>
  <si>
    <t>207409 40406538       TRF                TFR</t>
  </si>
  <si>
    <t>EE &amp; T-MOBILE         Q20664165790109577 BGC</t>
  </si>
  <si>
    <t>BEALS ESTATE AGENT    FLAT 1112-14 ALHAM BGC</t>
  </si>
  <si>
    <t>BEALS ESTATE AGENT    FLAT 512-14 ALHAMB BGC</t>
  </si>
  <si>
    <t>BEALS ESTATE AGENT    FLAT 1612-14 ALHAM BGC</t>
  </si>
  <si>
    <t>BEALS ESTATE AGENT    FLAT 1216-18 ALHAM BGC</t>
  </si>
  <si>
    <t>BEALS ESTATE AGENT    FLAT 716-18 ALHAMB BGC</t>
  </si>
  <si>
    <t>BEALS ESTATE AGENT    FLAT 3171 FAWCETT  BGC</t>
  </si>
  <si>
    <t>BEALS ESTATE AGENT    FLAT 312-14 ALHAMB BGC</t>
  </si>
  <si>
    <t>********************** Pers OD Tier 2   £1.5</t>
  </si>
  <si>
    <t xml:space="preserve">ID MOBILE LIMITED     11245718/001          </t>
  </si>
  <si>
    <t xml:space="preserve">H3G                   980404269601240118    </t>
  </si>
  <si>
    <t>MR MATTHEW STUART     207409 40406538    STO</t>
  </si>
  <si>
    <t>BOOTS REWARDSCHEME    A45028400000736    DDR</t>
  </si>
  <si>
    <t>BEALS ESTATE AGENT    FLAT 88 ALHAMBRA R BGC</t>
  </si>
  <si>
    <t>Rent for period 14/12/2017 - 13/01/2018 from Mr John Sharpe - 196b Kingston Road, Portsmouth</t>
  </si>
  <si>
    <t>Management Fee at 6% - 196b Kingston Road, Portsmouth</t>
  </si>
  <si>
    <t>Amount payable to Ms Ivana Valentino - 196b Kingston Road, Portsmouth</t>
  </si>
  <si>
    <t>Rent for period 14/01/2018 - 13/02/2018 from Mr John Sharpe - 196b Kingston Road, Portsmouth</t>
  </si>
  <si>
    <t>Rent for period 26/12/2017 - 25/01/2018 from Miss Ximena Pintado - 23c Hampshire Terrace, Portsmouth</t>
  </si>
  <si>
    <t>Management Fee at 6% - 23c Hampshire Terrace, Portsmouth</t>
  </si>
  <si>
    <t>Amount payable to Ms Ivana Valentino - 23c Hampshire Terrace, Portsmouth</t>
  </si>
  <si>
    <t>Rent for period 26/01/2018 - 25/02/2018 from Ms Lisa Pegg - Flat 8, 8 Alhambra Road, Southsea</t>
  </si>
  <si>
    <t>Management Fee at 6% - Flat 8, 8 Alhambra Road, Southsea</t>
  </si>
  <si>
    <t>Amount payable to Ms Ivana Valentino - Flat 8, 8 Alhambra Road, Southsea</t>
  </si>
  <si>
    <t>Rent for period 30/12/2017 - 29/01/2018 from Mr Benjamin Prior - Flat 21, 4-6 Alhambra Road, Southsea</t>
  </si>
  <si>
    <t>Management Fee at 6% - Flat 21, 4-6 Alhambra Road, Southsea</t>
  </si>
  <si>
    <t>Rent for period 30/11/2017 - 29/12/2017 from Mr Benjamin Prior - Flat 21, 4-6 Alhambra Road, Southsea</t>
  </si>
  <si>
    <t>Amount payable to Ms Ivana Valentino - Flat 21, 4-6 Alhambra Road, Southsea</t>
  </si>
  <si>
    <t>Rent for period 30/01/2018 - 27/02/2018 from Mr Benjamin Prior - Flat 21, 4-6 Alhambra Road, Southsea</t>
  </si>
  <si>
    <t>AD Clearance &amp; Cleaning - Regal Contract Cleaning - Flat 22, 4-6 Alhambra Road, Southsea</t>
  </si>
  <si>
    <t>Overpayment from PCC for 15.12.17 - 17.12.17 - Beals Client - Flat 22, 4-6 Alhambra Road, Southsea</t>
  </si>
  <si>
    <t>AD New Flooring - TMT Flooring - Flat 22, 4-6 Alhambra Road, Southsea</t>
  </si>
  <si>
    <t>AD Flooring - TMT Flooring - Flat 23, 4-6 Alhambra Road, Southsea</t>
  </si>
  <si>
    <t>Receipt - Flat 23, 4-6 Alhambra Road, Southsea</t>
  </si>
  <si>
    <t>AD Oven - Kingston Domestics - Flat 23, 4-6 Alhambra Road, Southsea</t>
  </si>
  <si>
    <t>Electric top up -  - Flat 23, 4-6 Alhambra Road, Southsea</t>
  </si>
  <si>
    <t>Rent for period 18/01/2018 - 17/02/2018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</si>
  <si>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</si>
  <si>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</si>
  <si>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Receipt - Flat 5, 12-14 Alhambra Road, Southsea</t>
  </si>
  <si>
    <t>Rent for period 23/12/2017 - 22/01/2018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</si>
  <si>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</si>
  <si>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</si>
  <si>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23/01/2018 - 22/02/2018 from Mr Michael Valverde - Flat 5, 12-14 Alhambra Road, Southsea</t>
  </si>
  <si>
    <t>Rent for period 19/12/2017 - 18/01/2018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</si>
  <si>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</si>
  <si>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</si>
  <si>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19/01/2018 - 18/02/2018 from Mr Peter Oakwell - Flat 11, 12-14 Alhambra Road, Southsea</t>
  </si>
  <si>
    <t>Rent for period 19/12/2017 - 18/01/2018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</si>
  <si>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</si>
  <si>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</si>
  <si>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19/01/2018 - 18/02/2018 from Mr Aubrey Milligan - Flat 16, 12-14 Alhambra Road, Southsea</t>
  </si>
  <si>
    <t>Rent for period 08/01/2018 - 07/02/2018 from Mr Alan Young - Flat 7, 16-18 Alhambra Road, Southsea</t>
  </si>
  <si>
    <t>Management Fee at 6% - Flat 7, 16-18 Alhambra Road, Southsea</t>
  </si>
  <si>
    <t>Rent for period 08/12/2017 - 07/01/2018 from Mr Alan Young - Flat 7, 16-18 Alhambra Road, Southsea</t>
  </si>
  <si>
    <t>Amount payable to Ms Ivana Valentino - Flat 7, 16-18 Alhambra Road, Southsea</t>
  </si>
  <si>
    <t>Rent for period 19/12/2017 - 18/01/2018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</si>
  <si>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</si>
  <si>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</si>
  <si>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19/01/2018 - 18/02/2018 from Mr Jason Passmore - Flat 12, 16-18 Alhambra Road, Southsea</t>
  </si>
  <si>
    <t>AD Leak In Lounge - United P H Limited - Flat 16, 16-18 Alhambra Road, Southsea</t>
  </si>
  <si>
    <t>AD Redecoration - Pete Miles Maintenance Services - Flat 16, 16-18 Alhambra Road, Southsea</t>
  </si>
  <si>
    <t>AD Carpets - TMT Flooring - Flat 16, 16-18 Alhambra Road, Southsea</t>
  </si>
  <si>
    <t>AD Cylinder Leaking (Part 2) - United P H Limited - Flat 16, 16-18 Alhambra Road, Southsea</t>
  </si>
  <si>
    <t>Rent for period 09/01/2018 - 08/02/2018 from Mr Nick Olsen - Flat 3, 171 Fawcett Road, Southsea</t>
  </si>
  <si>
    <t>Management Fee at 6% - Flat 3, 171 Fawcett Road, Southsea</t>
  </si>
  <si>
    <t>Rent for period 09/12/2017 - 08/01/2018 from Mr Nick Olsen - Flat 3, 171 Fawcett Road, Southsea</t>
  </si>
  <si>
    <t>Amount payable to Ms Ivana Valentino - Flat 3, 171 Fawcett Road, Southsea</t>
  </si>
  <si>
    <t>Rent for period 16/01/2018 - 15/02/2018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</si>
  <si>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</si>
  <si>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</si>
  <si>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20/10/2017 - 19/11/2017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</si>
  <si>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</si>
  <si>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</si>
  <si>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10/01/2018 - 09/02/2018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</si>
  <si>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</si>
  <si>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</si>
  <si>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26/12/2017 - 25/01/2018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</si>
  <si>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</si>
  <si>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</si>
  <si>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26/01/2018 - 25/02/2018 from Mrs Dionne McLaughlin - Flat 18, 4-6 Alhambra Road, Southsea</t>
  </si>
  <si>
    <t>Rent for period 20/12/2017 - 19/01/2018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</si>
  <si>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</si>
  <si>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</si>
  <si>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20/01/2018 - 19/02/2018 from Mr Andrew England - Flat 10, 12-14 Alhambra Road, Southsea</t>
  </si>
  <si>
    <t>Rent for period 06/01/2018 - 05/02/2018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</si>
  <si>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</si>
  <si>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</si>
  <si>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Landlord Gas Safety  - Beals Plumbing - Flat 14, 12-14 Alhambra Road, Southsea</t>
  </si>
  <si>
    <t>boiler issues and sink - D B Gas Services - Flat 14, 12-14 Alhambra Road, Southsea</t>
  </si>
  <si>
    <t>Blockage still present need rods - S Underwood Maintenance &amp; Home Improvements - Flat 14, 12-14 Alhambra Road, Southsea</t>
  </si>
  <si>
    <t>Rent for period 06/01/2018 - 05/02/2018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</si>
  <si>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</si>
  <si>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</si>
  <si>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boiler down - D B Gas Services - Flat 4, 12-14 Alhambra Road, Southsea</t>
  </si>
  <si>
    <t>oven issues - Kingston Domestics - Flat 4, 12-14 Alhambra Road, Southsea</t>
  </si>
  <si>
    <t>Rent for period 12/01/2018 - 11/02/2018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</si>
  <si>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</si>
  <si>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</si>
  <si>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AD Attend to boiler  - United P H Limited - Flat 6, 16-18 Alhambra Road, Southsea</t>
  </si>
  <si>
    <t>Rent for period 05/01/2018 - 04/02/2018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</si>
  <si>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</si>
  <si>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</si>
  <si>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12/01/2018 - 11/02/2018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</si>
  <si>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</si>
  <si>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</si>
  <si>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monthly communal clean - FAC Contract Cleaning LTD - Flat 1, 321 London Road, Portsmouth</t>
  </si>
  <si>
    <t>Receipt - for works - Flat 1, 321 London Road, Portsmouth</t>
  </si>
  <si>
    <t>bathroom works 50% part payment  - S Underwood Maintenance &amp; Home Improvements - Flat 1, 321 London Road, Portsmouth</t>
  </si>
  <si>
    <t>Receipt - Flat 1, 321 London Road, Portsmouth</t>
  </si>
  <si>
    <t>Rent for period 23/12/2017 - 22/01/2018 from Mr David Connor - Flat 1, 321 London Road, Portsmouth</t>
  </si>
  <si>
    <t>Management Fee at 6% - Flat 1, 321 London Road, Portsmouth</t>
  </si>
  <si>
    <t>Amount payable to Mr Mathew Tucker - Flat 1, 321 London Road, Portsmouth</t>
  </si>
  <si>
    <t>Rent for period 23/01/2018 - 22/02/2018 from Mr David Connor - Flat 1, 321 London Road, Portsmouth</t>
  </si>
  <si>
    <t>damages to the building from No 1 - Express Electrical - Flat 1, 321 London Road, Portsmouth</t>
  </si>
  <si>
    <t>50% 2nd part paymetn when invocie received and wor - S Underwood Maintenance &amp; Home Improvements - Flat 1, 321 London Road, Portsmouth</t>
  </si>
  <si>
    <t>Rent for period 23/12/2017 - 22/01/2018 from Ms Sharon Briscoe - Flat 2, 321 London Road, Portsmouth</t>
  </si>
  <si>
    <t>Management Fee at 6% - Flat 2, 321 London Road, Portsmouth</t>
  </si>
  <si>
    <t>Amount payable to Mr Mathew Tucker - Flat 2, 321 London Road, Portsmouth</t>
  </si>
  <si>
    <t>Rent for period 23/01/2018 - 22/02/2018 from Ms Sharon Briscoe - Flat 2, 321 London Road, Portsmouth</t>
  </si>
  <si>
    <t>Rent for period 03/01/2018 - 02/02/2018 from Mr Joshua Brown - Flat 3, 321 London Road, Portsmouth</t>
  </si>
  <si>
    <t>Management Fee at 6% - Flat 3, 321 London Road, Portsmouth</t>
  </si>
  <si>
    <t>Rent for period 03/12/2017 - 02/01/2018 from Mr Joshua Brown - Flat 3, 321 London Road, Portsmouth</t>
  </si>
  <si>
    <t>Amount payable to Mr Mathew Tucker - Flat 3, 321 London Road, Portsmouth</t>
  </si>
  <si>
    <t>water issues  - Ardent Building, Plumbing and Maintenance - Flat 3, 321 London Road, Portsmouth</t>
  </si>
  <si>
    <t>Rent for period 26/12/2017 - 25/01/2018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</si>
  <si>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</si>
  <si>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</si>
  <si>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26/01/2018 - 25/02/2018 from Miss Carol Carrington - Flat 4, 321 London Road, Portsmouth</t>
  </si>
  <si>
    <t>Rent for period 17/01/2018 - 16/02/2018 from Mr Nicholas Wright - Flat 4, 163 Fratton Road, Portsmouth</t>
  </si>
  <si>
    <t>Management Fee at 6% - Flat 4, 163 Fratton Road, Portsmouth</t>
  </si>
  <si>
    <t>Rent for period 17/12/2017 - 16/01/2018 from Mr Nicholas Wright - Flat 4, 163 Fratton Road, Portsmouth</t>
  </si>
  <si>
    <t>Amount payable to Mr Mathew Tucker - Flat 4, 163 Fratton Road, Portsmouth</t>
  </si>
  <si>
    <t>Rent for period 02/12/2017 - 01/01/2018 from Mr Michael Pedace - Flat 2, 171 Fawcett Road, Southsea</t>
  </si>
  <si>
    <t>Management Fee at 6% - Flat 2, 171 Fawcett Road, Southsea</t>
  </si>
  <si>
    <t>Rent for period 02/01/2018 - 01/02/2018 from Mr Michael Pedace - Flat 2, 171 Fawcett Road, Southsea</t>
  </si>
  <si>
    <t>Amount payable to Mr Mathew Tucker - Flat 2, 171 Fawcett Road, Southsea</t>
  </si>
  <si>
    <t>Rent for period 15/01/2018 - 14/02/2018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</si>
  <si>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</si>
  <si>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</si>
  <si>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11/01/2018 - 10/02/2018 from Mr Lee Knowles - Flat 2, 169 Fawcett Road, Southsea</t>
  </si>
  <si>
    <t>Management Fee at 6% - Flat 2, 169 Fawcett Road, Southsea</t>
  </si>
  <si>
    <t>Rent for period 11/12/2017 - 10/01/2018 from Mr Lee Knowles - Flat 2, 169 Fawcett Road, Southsea</t>
  </si>
  <si>
    <t>Amount payable to Mr Mathew Tucker - Flat 2, 169 Fawcett Road, Southsea</t>
  </si>
  <si>
    <t>Rent for period 06/01/2018 - 05/02/2018 from Ms Susan Parkinson - Flat 1, 169 Fawcett Road, Southsea</t>
  </si>
  <si>
    <t>Management Fee at 6% - Flat 1, 169 Fawcett Road, Southsea</t>
  </si>
  <si>
    <t>Rent for period 06/12/2017 - 05/01/2018 from Ms Susan Parkinson - Flat 1, 169 Fawcett Road, Southsea</t>
  </si>
  <si>
    <t>Amount payable to Mr Mathew Tucker - Flat 1, 169 Fawcett Road, Southsea</t>
  </si>
  <si>
    <t>Rent for period 11/01/2018 - 10/02/2018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</si>
  <si>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</si>
  <si>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</si>
  <si>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01/01/2018 - 31/01/2018 from Ms Joyce Henson - 196a Kingston Road, Portsmouth</t>
  </si>
  <si>
    <t>Management Fee at 6% - 196a Kingston Road, Portsmouth</t>
  </si>
  <si>
    <t>Amount payable to Mr Mathew Tucker - 196a Kingston Road, Portsmouth</t>
  </si>
  <si>
    <t>Rent for period 08/01/2018 - 07/02/2018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</si>
  <si>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</si>
  <si>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</si>
  <si>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14/01/2018 - 13/02/2018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</si>
  <si>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</si>
  <si>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</si>
  <si>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01/01/2018 - 31/01/2018 from Mr AK MD ARIF IZZUDDIN PG HJ ISMAIL - 23b Hampshire Terrace, Portsmouth</t>
  </si>
  <si>
    <t>Management Fee at 6% - 23b Hampshire Terrace, Portsmouth</t>
  </si>
  <si>
    <t>Rent for period 01/01/2018 - 31/01/2018 from Mr AK MD AFIF IZZUDDIN PG HJ ISMAIL - 23b Hampshire Terrace, Portsmouth</t>
  </si>
  <si>
    <t>Amount payable to Mr Mathew Tucker - 23b Hampshire Terrace, Portsmouth</t>
  </si>
  <si>
    <t>Rent for period 14/01/2018 - 13/02/2018 from Mr Martin Brett - Flat 3, 163 Fratton Road, Portsmouth</t>
  </si>
  <si>
    <t>Management Fee at 6% - Flat 3, 163 Fratton Road, Portsmouth</t>
  </si>
  <si>
    <t>Rent for period 14/12/2017 - 13/01/2018 from Mr Martin Brett - Flat 3, 163 Fratton Road, Portsmouth</t>
  </si>
  <si>
    <t>Amount payable to Mr Mathew Tucker - Flat 3, 163 Fratton Road, Portsmouth</t>
  </si>
  <si>
    <t>Rent for period 14/01/2018 - 13/02/2018 from Mr Aleksandra Raadzevics - Flat 7, 12-14 Alhambra Road, Southsea</t>
  </si>
  <si>
    <t>Management Fee at 6% - Flat 7, 12-14 Alhambra Road, Southsea</t>
  </si>
  <si>
    <t>Rent for period 14/12/2017 - 13/01/2018 from Mr Aleksandra Raadzevics - Flat 7, 12-14 Alhambra Road, Southsea</t>
  </si>
  <si>
    <t>Amount payable to Mr Mathew Tucker - Flat 7, 12-14 Alhambra Road, Southsea</t>
  </si>
  <si>
    <t>Receipt - Flat 2, 163 Fratton Road, Portsmouth</t>
  </si>
  <si>
    <t>Rent for period 06/12/2017 - 05/01/2018 from Ms Kirstine Aldridge - Flat 1, 171 Fawcett Road, Southsea</t>
  </si>
  <si>
    <t>Management Fee at 6% - Flat 1, 171 Fawcett Road, Southsea</t>
  </si>
  <si>
    <t>Rent for period 06/01/2018 - 05/02/2018 from Ms Kirstine Aldridge - Flat 1, 171 Fawcett Road, Southsea</t>
  </si>
  <si>
    <t>Amount payable to Mr Mathew Tucker - Flat 1, 171 Fawcett Road, Southsea</t>
  </si>
  <si>
    <t>PL2763</t>
  </si>
  <si>
    <t>Supplier</t>
  </si>
  <si>
    <t>December payment</t>
  </si>
  <si>
    <t>I</t>
  </si>
  <si>
    <t>New suit.</t>
  </si>
  <si>
    <t>Payment for Dec from MT</t>
  </si>
  <si>
    <t>CLAIRES ACCESSORI    ON 08 JAN          BCC</t>
  </si>
  <si>
    <t>SAINSBURYS S/MKT     ON 27 JAN          BCC</t>
  </si>
  <si>
    <t>BK</t>
  </si>
  <si>
    <t>BK,MT</t>
  </si>
  <si>
    <t>BK,PM,EX</t>
  </si>
  <si>
    <t>RT</t>
  </si>
  <si>
    <t>MF</t>
  </si>
  <si>
    <t>PM</t>
  </si>
  <si>
    <t>EX</t>
  </si>
  <si>
    <t>321 London Rd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</si>
  <si>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</si>
  <si>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</si>
  <si>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</si>
  <si>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</si>
  <si>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</si>
  <si>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</si>
  <si>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</si>
  <si>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</si>
  <si>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</si>
  <si>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</si>
  <si>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</si>
  <si>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</si>
  <si>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</si>
  <si>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</si>
  <si>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</si>
  <si>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</si>
  <si>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</si>
  <si>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</si>
  <si>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</si>
  <si>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</si>
  <si>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</si>
  <si>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</si>
  <si>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</si>
  <si>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</si>
  <si>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</si>
  <si>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</si>
  <si>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</si>
  <si>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</si>
  <si>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</si>
  <si>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</si>
  <si>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</si>
  <si>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</si>
  <si>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</si>
  <si>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</si>
  <si>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</si>
  <si>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</si>
  <si>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</si>
  <si>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</si>
  <si>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</si>
  <si>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</si>
  <si>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</si>
  <si>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</si>
  <si>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</si>
  <si>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</si>
  <si>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</si>
  <si>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</si>
  <si>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</si>
  <si>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</si>
  <si>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quote for further works after leak - S Underwood Property Maintenance LTD - Flat 5, 12-14 Alhambra Road, Southsea</t>
  </si>
  <si>
    <t>JOINED</t>
  </si>
  <si>
    <t>Landlord Gas Safety - Beals Plumbing - Flat 5, 12-14 Alhambra Road, Southsea</t>
  </si>
  <si>
    <t>Supply &amp; Fit 1x Duel Alarm and 1x Smoke Alarm - Beals Property Management - Flat 5, 12-14 Alhambra Road, Southsea</t>
  </si>
  <si>
    <t>Rent for period 23/11/2017 - 22/12/2017 from Mr Michael Valverde - Flat 5, 12-14 Alhambra Road, Southsea</t>
  </si>
  <si>
    <t>Rent for period 23/10/2017 - 22/11/2017 from Mr Michael Valverde - Flat 5, 12-14 Alhambra Road, Southsea</t>
  </si>
  <si>
    <t>Toilet Leak - S Underwood Maintenance &amp; Home Improvements - 23b Hampshire Terrace,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</si>
  <si>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</si>
  <si>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</si>
  <si>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</si>
  <si>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</si>
  <si>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</si>
  <si>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</si>
  <si>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</si>
  <si>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</si>
  <si>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</si>
  <si>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Carpets and redecoration</t>
  </si>
  <si>
    <t>Underwood bathroom works 50%.</t>
  </si>
  <si>
    <t>Carried forward to February</t>
  </si>
  <si>
    <t>Less Dec top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</si>
</sst>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0"/>
      <color rgb="FF222222"/>
      <name val="Arial"/>
      <family val="2"/>
    </font>
    <font>
      <i/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/>
    <xf numFmtId="2" fontId="1" fillId="0" borderId="9" xfId="0" applyNumberFormat="1" applyFont="1" applyBorder="1"/>
    <xf numFmtId="14" fontId="0" fillId="0" borderId="0" xfId="0" applyNumberFormat="1"/>
    <xf numFmtId="0" fontId="5" fillId="6" borderId="6" xfId="0" applyFont="1" applyFill="1" applyBorder="1" applyProtection="1">
      <protection locked="0"/>
    </xf>
    <xf numFmtId="0" fontId="5" fillId="8" borderId="6" xfId="0" applyFont="1" applyFill="1" applyBorder="1" applyProtection="1">
      <protection locked="0"/>
    </xf>
    <xf numFmtId="0" fontId="5" fillId="9" borderId="6" xfId="0" applyFont="1" applyFill="1" applyBorder="1" applyProtection="1">
      <protection locked="0"/>
    </xf>
    <xf numFmtId="0" fontId="23" fillId="6" borderId="0" xfId="0" applyFont="1" applyFill="1"/>
    <xf numFmtId="0" fontId="0" fillId="10" borderId="0" xfId="0" applyFill="1"/>
    <xf numFmtId="0" fontId="24" fillId="0" borderId="0" xfId="0" applyFont="1"/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topLeftCell="A7" zoomScale="70" zoomScaleNormal="70" workbookViewId="0">
      <selection activeCell="N61" sqref="N61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43131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1009</v>
      </c>
      <c r="B9" s="44" t="s">
        <v>625</v>
      </c>
      <c r="C9" s="45"/>
      <c r="D9" s="81"/>
      <c r="E9" s="81"/>
      <c r="F9" s="82"/>
      <c r="G9" s="83"/>
      <c r="H9" s="83"/>
      <c r="I9" s="84"/>
      <c r="J9" s="87"/>
      <c r="K9" s="85"/>
      <c r="L9" s="84">
        <v>25</v>
      </c>
      <c r="M9" s="124">
        <f>IF(F9-G9-H9-I9-L9&lt;&gt;0, F9-G9-H9-I9-L9,"")</f>
        <v>-25</v>
      </c>
      <c r="N9" s="47"/>
      <c r="O9" s="82"/>
      <c r="P9" s="46">
        <f t="shared" ref="P9:P20" si="0">IFERROR(IF(M9-O9&lt;&gt;0,M9-O9,""),-O9)</f>
        <v>-25</v>
      </c>
      <c r="Q9" s="150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1010</v>
      </c>
      <c r="C10" s="27" t="s">
        <v>95</v>
      </c>
      <c r="D10" s="81">
        <v>43092</v>
      </c>
      <c r="E10" s="85">
        <v>43153</v>
      </c>
      <c r="F10" s="86">
        <v>461.52</v>
      </c>
      <c r="G10" s="83">
        <v>27.68</v>
      </c>
      <c r="H10" s="83">
        <v>5.54</v>
      </c>
      <c r="I10" s="84"/>
      <c r="J10" s="87">
        <v>428.3</v>
      </c>
      <c r="K10" s="85">
        <v>43116.691284722219</v>
      </c>
      <c r="L10" s="84">
        <v>925</v>
      </c>
      <c r="M10" s="124">
        <f t="shared" ref="M10:M63" si="1">IF(F10-G10-H10-I10-L10&lt;&gt;0, F10-G10-H10-I10-L10,"")</f>
        <v>-496.70000000000005</v>
      </c>
      <c r="N10" s="47" t="s">
        <v>6</v>
      </c>
      <c r="O10" s="86">
        <v>159.34</v>
      </c>
      <c r="P10" s="46">
        <f t="shared" si="0"/>
        <v>-656.04000000000008</v>
      </c>
      <c r="Q10" s="151">
        <f t="shared" ref="Q10:Q63" si="2">IF(F10&lt;&gt;"",F10-G10-H10-I10-J10,0)</f>
        <v>-5.6843418860808015E-14</v>
      </c>
      <c r="R10" s="60" t="s">
        <v>631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1011</v>
      </c>
      <c r="C11" s="27" t="s">
        <v>1012</v>
      </c>
      <c r="D11" s="81">
        <v>43092</v>
      </c>
      <c r="E11" s="85">
        <v>43153</v>
      </c>
      <c r="F11" s="86">
        <v>504.28</v>
      </c>
      <c r="G11" s="83">
        <v>30.26</v>
      </c>
      <c r="H11" s="83">
        <v>6.05</v>
      </c>
      <c r="I11" s="84"/>
      <c r="J11" s="87">
        <v>467.97</v>
      </c>
      <c r="K11" s="85">
        <v>43110.625532407408</v>
      </c>
      <c r="L11" s="84"/>
      <c r="M11" s="124">
        <f t="shared" si="1"/>
        <v>467.96999999999997</v>
      </c>
      <c r="N11" s="47" t="s">
        <v>6</v>
      </c>
      <c r="O11" s="86">
        <v>145.03</v>
      </c>
      <c r="P11" s="46">
        <f t="shared" si="0"/>
        <v>322.93999999999994</v>
      </c>
      <c r="Q11" s="151">
        <f t="shared" si="2"/>
        <v>-5.6843418860808015E-14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1013</v>
      </c>
      <c r="C12" s="27" t="s">
        <v>95</v>
      </c>
      <c r="D12" s="81">
        <v>43072</v>
      </c>
      <c r="E12" s="85">
        <v>43133</v>
      </c>
      <c r="F12" s="86">
        <v>466.12</v>
      </c>
      <c r="G12" s="83">
        <v>27.97</v>
      </c>
      <c r="H12" s="83">
        <v>5.59</v>
      </c>
      <c r="I12" s="84"/>
      <c r="J12" s="87">
        <v>432.56</v>
      </c>
      <c r="K12" s="85">
        <v>43116.691284722219</v>
      </c>
      <c r="L12" s="84"/>
      <c r="M12" s="124">
        <f t="shared" si="1"/>
        <v>432.56</v>
      </c>
      <c r="N12" s="47" t="s">
        <v>6</v>
      </c>
      <c r="O12" s="86">
        <v>109.15</v>
      </c>
      <c r="P12" s="46">
        <f t="shared" si="0"/>
        <v>323.40999999999997</v>
      </c>
      <c r="Q12" s="151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1014</v>
      </c>
      <c r="C13" s="27" t="s">
        <v>95</v>
      </c>
      <c r="D13" s="81">
        <v>43095</v>
      </c>
      <c r="E13" s="85">
        <v>43156</v>
      </c>
      <c r="F13" s="86">
        <v>461.52</v>
      </c>
      <c r="G13" s="83">
        <v>27.68</v>
      </c>
      <c r="H13" s="83">
        <v>5.54</v>
      </c>
      <c r="I13" s="84"/>
      <c r="J13" s="87">
        <v>428.3</v>
      </c>
      <c r="K13" s="85">
        <v>43116.691284722219</v>
      </c>
      <c r="L13" s="84"/>
      <c r="M13" s="124">
        <f t="shared" si="1"/>
        <v>428.29999999999995</v>
      </c>
      <c r="N13" s="47" t="s">
        <v>6</v>
      </c>
      <c r="O13" s="86">
        <v>159.38</v>
      </c>
      <c r="P13" s="46">
        <f t="shared" si="0"/>
        <v>268.91999999999996</v>
      </c>
      <c r="Q13" s="151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1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1015</v>
      </c>
      <c r="C15" s="27" t="s">
        <v>1012</v>
      </c>
      <c r="D15" s="81">
        <v>43075</v>
      </c>
      <c r="E15" s="81">
        <v>43136</v>
      </c>
      <c r="F15" s="86">
        <v>466.12</v>
      </c>
      <c r="G15" s="83">
        <v>27.98</v>
      </c>
      <c r="H15" s="83">
        <v>5.59</v>
      </c>
      <c r="I15" s="84"/>
      <c r="J15" s="87">
        <v>432.55</v>
      </c>
      <c r="K15" s="85">
        <v>43116.691284722219</v>
      </c>
      <c r="L15" s="84"/>
      <c r="M15" s="124">
        <f t="shared" si="1"/>
        <v>432.55</v>
      </c>
      <c r="N15" s="47" t="s">
        <v>6</v>
      </c>
      <c r="O15" s="86">
        <v>143.55000000000001</v>
      </c>
      <c r="P15" s="46">
        <f t="shared" si="0"/>
        <v>289</v>
      </c>
      <c r="Q15" s="151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1016</v>
      </c>
      <c r="C16" s="27" t="s">
        <v>95</v>
      </c>
      <c r="D16" s="81">
        <v>43080</v>
      </c>
      <c r="E16" s="85">
        <v>43141</v>
      </c>
      <c r="F16" s="86">
        <v>461.52</v>
      </c>
      <c r="G16" s="83">
        <v>27.68</v>
      </c>
      <c r="H16" s="83">
        <v>5.54</v>
      </c>
      <c r="I16" s="84"/>
      <c r="J16" s="87">
        <v>428.3</v>
      </c>
      <c r="K16" s="85">
        <v>43116.691284722219</v>
      </c>
      <c r="L16" s="84"/>
      <c r="M16" s="124">
        <f t="shared" si="1"/>
        <v>428.29999999999995</v>
      </c>
      <c r="N16" s="47" t="s">
        <v>6</v>
      </c>
      <c r="O16" s="86">
        <v>109.73</v>
      </c>
      <c r="P16" s="46">
        <f t="shared" si="0"/>
        <v>318.56999999999994</v>
      </c>
      <c r="Q16" s="151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1017</v>
      </c>
      <c r="C17" s="27" t="s">
        <v>95</v>
      </c>
      <c r="D17" s="81">
        <v>43115</v>
      </c>
      <c r="E17" s="85">
        <v>43145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43125.648946759262</v>
      </c>
      <c r="L17" s="84"/>
      <c r="M17" s="124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51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1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1018</v>
      </c>
      <c r="C19" s="27" t="s">
        <v>95</v>
      </c>
      <c r="D19" s="81">
        <v>43075</v>
      </c>
      <c r="E19" s="81">
        <v>43136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43124.659953703704</v>
      </c>
      <c r="L19" s="84"/>
      <c r="M19" s="124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51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1019</v>
      </c>
      <c r="C20" s="27" t="s">
        <v>95</v>
      </c>
      <c r="D20" s="81">
        <v>43071</v>
      </c>
      <c r="E20" s="85">
        <v>43132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43116.691284722219</v>
      </c>
      <c r="L20" s="84"/>
      <c r="M20" s="124">
        <f t="shared" si="1"/>
        <v>428.28999999999996</v>
      </c>
      <c r="N20" s="47" t="s">
        <v>6</v>
      </c>
      <c r="O20" s="86">
        <v>188.25</v>
      </c>
      <c r="P20" s="46">
        <f t="shared" si="0"/>
        <v>240.03999999999996</v>
      </c>
      <c r="Q20" s="151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1020</v>
      </c>
      <c r="C21" s="27" t="s">
        <v>95</v>
      </c>
      <c r="D21" s="81">
        <v>43078</v>
      </c>
      <c r="E21" s="85">
        <v>43139</v>
      </c>
      <c r="F21" s="86">
        <v>461.52</v>
      </c>
      <c r="G21" s="83">
        <v>27.7</v>
      </c>
      <c r="H21" s="83">
        <v>5.54</v>
      </c>
      <c r="I21" s="84"/>
      <c r="J21" s="87">
        <v>428.28</v>
      </c>
      <c r="K21" s="85">
        <v>43116.691284722219</v>
      </c>
      <c r="L21" s="84"/>
      <c r="M21" s="124">
        <f t="shared" si="1"/>
        <v>428.28</v>
      </c>
      <c r="N21" s="47" t="s">
        <v>6</v>
      </c>
      <c r="O21" s="86">
        <v>228.8</v>
      </c>
      <c r="P21" s="46">
        <f>IFERROR(IF(M21-O21&lt;&gt;0,M21-O21,""),-O21)</f>
        <v>199.47999999999996</v>
      </c>
      <c r="Q21" s="151">
        <f t="shared" si="2"/>
        <v>0</v>
      </c>
      <c r="R21" s="156" t="s">
        <v>626</v>
      </c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1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625</v>
      </c>
      <c r="C23" s="27"/>
      <c r="D23" s="81"/>
      <c r="E23" s="85"/>
      <c r="F23" s="86"/>
      <c r="G23" s="83"/>
      <c r="H23" s="83"/>
      <c r="I23" s="84"/>
      <c r="J23" s="87"/>
      <c r="K23" s="85"/>
      <c r="L23" s="84">
        <v>435</v>
      </c>
      <c r="M23" s="124">
        <f t="shared" si="1"/>
        <v>-435</v>
      </c>
      <c r="N23" s="47" t="s">
        <v>202</v>
      </c>
      <c r="O23" s="86">
        <v>152.33000000000001</v>
      </c>
      <c r="P23" s="46">
        <f t="shared" si="3"/>
        <v>-587.33000000000004</v>
      </c>
      <c r="Q23" s="151">
        <f t="shared" si="2"/>
        <v>0</v>
      </c>
      <c r="R23" s="157" t="s">
        <v>636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1021</v>
      </c>
      <c r="C24" s="27" t="s">
        <v>95</v>
      </c>
      <c r="D24" s="81">
        <v>43083</v>
      </c>
      <c r="E24" s="85">
        <v>43144</v>
      </c>
      <c r="F24" s="86">
        <v>415.4</v>
      </c>
      <c r="G24" s="83">
        <v>24.92</v>
      </c>
      <c r="H24" s="83">
        <v>4.9800000000000004</v>
      </c>
      <c r="I24" s="84"/>
      <c r="J24" s="87">
        <v>385.5</v>
      </c>
      <c r="K24" s="85">
        <v>43116.691284722219</v>
      </c>
      <c r="L24" s="84"/>
      <c r="M24" s="124">
        <f t="shared" si="1"/>
        <v>385.49999999999994</v>
      </c>
      <c r="N24" s="47" t="s">
        <v>6</v>
      </c>
      <c r="O24" s="86">
        <v>145.46</v>
      </c>
      <c r="P24" s="46">
        <f t="shared" si="3"/>
        <v>240.03999999999994</v>
      </c>
      <c r="Q24" s="151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1022</v>
      </c>
      <c r="C25" s="27" t="s">
        <v>95</v>
      </c>
      <c r="D25" s="81">
        <v>43086</v>
      </c>
      <c r="E25" s="85">
        <v>43147</v>
      </c>
      <c r="F25" s="86">
        <v>364.6</v>
      </c>
      <c r="G25" s="83">
        <v>21.88</v>
      </c>
      <c r="H25" s="83">
        <v>4.37</v>
      </c>
      <c r="I25" s="84"/>
      <c r="J25" s="87">
        <v>338.35</v>
      </c>
      <c r="K25" s="85">
        <v>43117.648449074077</v>
      </c>
      <c r="L25" s="84"/>
      <c r="M25" s="124">
        <f t="shared" si="1"/>
        <v>338.35</v>
      </c>
      <c r="N25" s="47" t="s">
        <v>6</v>
      </c>
      <c r="O25" s="86">
        <v>129.16999999999999</v>
      </c>
      <c r="P25" s="46">
        <f t="shared" si="3"/>
        <v>209.18000000000004</v>
      </c>
      <c r="Q25" s="151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1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1023</v>
      </c>
      <c r="C27" s="27" t="s">
        <v>1012</v>
      </c>
      <c r="D27" s="81">
        <v>43111</v>
      </c>
      <c r="E27" s="81">
        <v>43141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43109.621388888889</v>
      </c>
      <c r="L27" s="84"/>
      <c r="M27" s="124">
        <f t="shared" si="1"/>
        <v>324.8</v>
      </c>
      <c r="N27" s="47" t="s">
        <v>6</v>
      </c>
      <c r="O27" s="131">
        <v>140</v>
      </c>
      <c r="P27" s="46">
        <f t="shared" si="3"/>
        <v>184.8</v>
      </c>
      <c r="Q27" s="151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1024</v>
      </c>
      <c r="C28" s="27" t="s">
        <v>95</v>
      </c>
      <c r="D28" s="81">
        <v>43101</v>
      </c>
      <c r="E28" s="81">
        <v>43131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43103.664166666669</v>
      </c>
      <c r="L28" s="84"/>
      <c r="M28" s="124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51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1025</v>
      </c>
      <c r="C29" s="27" t="s">
        <v>95</v>
      </c>
      <c r="D29" s="81">
        <v>43083</v>
      </c>
      <c r="E29" s="81">
        <v>43144</v>
      </c>
      <c r="F29" s="82">
        <v>701.12</v>
      </c>
      <c r="G29" s="83">
        <v>42.08</v>
      </c>
      <c r="H29" s="83">
        <v>8.41</v>
      </c>
      <c r="I29" s="84"/>
      <c r="J29" s="87">
        <v>650.63</v>
      </c>
      <c r="K29" s="85">
        <v>43111.640682870369</v>
      </c>
      <c r="L29" s="84"/>
      <c r="M29" s="124">
        <f t="shared" si="1"/>
        <v>650.63</v>
      </c>
      <c r="N29" s="60" t="s">
        <v>6</v>
      </c>
      <c r="O29" s="82">
        <v>218.42</v>
      </c>
      <c r="P29" s="46">
        <f t="shared" si="3"/>
        <v>432.21000000000004</v>
      </c>
      <c r="Q29" s="151">
        <f t="shared" si="2"/>
        <v>0</v>
      </c>
      <c r="R29" s="66" t="s">
        <v>627</v>
      </c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1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1026</v>
      </c>
      <c r="C31" s="27" t="s">
        <v>1012</v>
      </c>
      <c r="D31" s="81">
        <v>43101</v>
      </c>
      <c r="E31" s="81">
        <v>43131</v>
      </c>
      <c r="F31" s="82">
        <v>720</v>
      </c>
      <c r="G31" s="83">
        <v>43.2</v>
      </c>
      <c r="H31" s="83">
        <v>8.64</v>
      </c>
      <c r="I31" s="84">
        <v>55</v>
      </c>
      <c r="J31" s="87">
        <v>613.16</v>
      </c>
      <c r="K31" s="85">
        <v>43109.621388888889</v>
      </c>
      <c r="L31" s="84"/>
      <c r="M31" s="124">
        <f t="shared" si="1"/>
        <v>613.16</v>
      </c>
      <c r="N31" s="47" t="s">
        <v>6</v>
      </c>
      <c r="O31" s="82">
        <v>190.58</v>
      </c>
      <c r="P31" s="46">
        <f t="shared" si="3"/>
        <v>422.57999999999993</v>
      </c>
      <c r="Q31" s="151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1027</v>
      </c>
      <c r="C32" s="27" t="s">
        <v>1012</v>
      </c>
      <c r="D32" s="81">
        <v>43095</v>
      </c>
      <c r="E32" s="81">
        <v>43125</v>
      </c>
      <c r="F32" s="82">
        <v>700</v>
      </c>
      <c r="G32" s="83">
        <v>42</v>
      </c>
      <c r="H32" s="83">
        <v>8.4</v>
      </c>
      <c r="I32" s="84"/>
      <c r="J32" s="87">
        <v>649.6</v>
      </c>
      <c r="K32" s="85">
        <v>43105.50675925926</v>
      </c>
      <c r="L32" s="84"/>
      <c r="M32" s="124">
        <f t="shared" si="1"/>
        <v>649.6</v>
      </c>
      <c r="N32" s="47" t="s">
        <v>6</v>
      </c>
      <c r="O32" s="82">
        <v>524.26</v>
      </c>
      <c r="P32" s="46">
        <f t="shared" si="3"/>
        <v>125.34000000000003</v>
      </c>
      <c r="Q32" s="151">
        <f t="shared" si="2"/>
        <v>0</v>
      </c>
      <c r="R32" s="140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1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1028</v>
      </c>
      <c r="C34" s="27" t="s">
        <v>95</v>
      </c>
      <c r="D34" s="81">
        <v>43114</v>
      </c>
      <c r="E34" s="85">
        <v>43144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43115.637615740743</v>
      </c>
      <c r="L34" s="84"/>
      <c r="M34" s="124">
        <f t="shared" si="1"/>
        <v>468.64</v>
      </c>
      <c r="N34" s="59" t="s">
        <v>6</v>
      </c>
      <c r="O34" s="86">
        <v>190.56</v>
      </c>
      <c r="P34" s="46">
        <f t="shared" si="3"/>
        <v>278.08</v>
      </c>
      <c r="Q34" s="151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1029</v>
      </c>
      <c r="C35" s="27" t="s">
        <v>95</v>
      </c>
      <c r="D35" s="81">
        <v>43108</v>
      </c>
      <c r="E35" s="81">
        <v>43138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43108.63894675926</v>
      </c>
      <c r="L35" s="84"/>
      <c r="M35" s="124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51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625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4" t="str">
        <f t="shared" si="1"/>
        <v/>
      </c>
      <c r="N36" s="59" t="s">
        <v>202</v>
      </c>
      <c r="O36" s="86">
        <v>184.79</v>
      </c>
      <c r="P36" s="46">
        <f t="shared" si="3"/>
        <v>-184.79</v>
      </c>
      <c r="Q36" s="151">
        <f t="shared" si="2"/>
        <v>0</v>
      </c>
      <c r="R36" s="156" t="s">
        <v>632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1030</v>
      </c>
      <c r="C37" s="27" t="s">
        <v>95</v>
      </c>
      <c r="D37" s="85">
        <v>43126</v>
      </c>
      <c r="E37" s="85">
        <v>43156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43126.549340277779</v>
      </c>
      <c r="L37" s="84"/>
      <c r="M37" s="124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51">
        <f t="shared" si="2"/>
        <v>0</v>
      </c>
      <c r="R37" s="60" t="s">
        <v>619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1031</v>
      </c>
      <c r="C38" s="27" t="s">
        <v>95</v>
      </c>
      <c r="D38" s="85">
        <v>43110</v>
      </c>
      <c r="E38" s="85">
        <v>43140</v>
      </c>
      <c r="F38" s="82">
        <v>410.22</v>
      </c>
      <c r="G38" s="83">
        <v>24.62</v>
      </c>
      <c r="H38" s="83">
        <v>4.92</v>
      </c>
      <c r="I38" s="84"/>
      <c r="J38" s="87">
        <v>380.68</v>
      </c>
      <c r="K38" s="85">
        <v>43111.640682870369</v>
      </c>
      <c r="L38" s="84"/>
      <c r="M38" s="124">
        <f t="shared" si="1"/>
        <v>380.68</v>
      </c>
      <c r="N38" s="47" t="s">
        <v>6</v>
      </c>
      <c r="O38" s="82">
        <v>190.56</v>
      </c>
      <c r="P38" s="46">
        <f t="shared" si="3"/>
        <v>190.12</v>
      </c>
      <c r="Q38" s="151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1032</v>
      </c>
      <c r="C39" s="27" t="s">
        <v>95</v>
      </c>
      <c r="D39" s="85">
        <v>43095</v>
      </c>
      <c r="E39" s="85">
        <v>43156</v>
      </c>
      <c r="F39" s="82">
        <v>461.52</v>
      </c>
      <c r="G39" s="83">
        <v>27.68</v>
      </c>
      <c r="H39" s="83">
        <v>5.54</v>
      </c>
      <c r="I39" s="84"/>
      <c r="J39" s="87">
        <v>428.3</v>
      </c>
      <c r="K39" s="81">
        <v>43116.691284722219</v>
      </c>
      <c r="L39" s="84"/>
      <c r="M39" s="124">
        <f t="shared" si="1"/>
        <v>428.29999999999995</v>
      </c>
      <c r="N39" s="47" t="s">
        <v>6</v>
      </c>
      <c r="O39" s="82">
        <v>190.56</v>
      </c>
      <c r="P39" s="46">
        <f t="shared" si="3"/>
        <v>237.73999999999995</v>
      </c>
      <c r="Q39" s="151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1033</v>
      </c>
      <c r="C40" s="27" t="s">
        <v>1012</v>
      </c>
      <c r="D40" s="85">
        <v>43028</v>
      </c>
      <c r="E40" s="85">
        <v>43058</v>
      </c>
      <c r="F40" s="86">
        <v>442.04</v>
      </c>
      <c r="G40" s="83">
        <v>26.52</v>
      </c>
      <c r="H40" s="83">
        <v>5.3</v>
      </c>
      <c r="I40" s="84"/>
      <c r="J40" s="87">
        <v>410.22</v>
      </c>
      <c r="K40" s="85">
        <v>43116.691284722219</v>
      </c>
      <c r="L40" s="84"/>
      <c r="M40" s="124">
        <f t="shared" si="1"/>
        <v>410.22</v>
      </c>
      <c r="N40" s="47" t="s">
        <v>258</v>
      </c>
      <c r="O40" s="86">
        <v>219.7</v>
      </c>
      <c r="P40" s="46">
        <f t="shared" si="3"/>
        <v>190.52000000000004</v>
      </c>
      <c r="Q40" s="151">
        <f t="shared" si="2"/>
        <v>0</v>
      </c>
      <c r="R40" s="60" t="s">
        <v>637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1034</v>
      </c>
      <c r="C41" s="27" t="s">
        <v>95</v>
      </c>
      <c r="D41" s="81">
        <v>43116</v>
      </c>
      <c r="E41" s="81">
        <v>43146</v>
      </c>
      <c r="F41" s="82">
        <v>600</v>
      </c>
      <c r="G41" s="83">
        <v>36</v>
      </c>
      <c r="H41" s="83">
        <v>7.2</v>
      </c>
      <c r="I41" s="84"/>
      <c r="J41" s="87">
        <v>556.79999999999995</v>
      </c>
      <c r="K41" s="81">
        <v>43116.691284722219</v>
      </c>
      <c r="L41" s="84"/>
      <c r="M41" s="124">
        <f t="shared" si="1"/>
        <v>556.79999999999995</v>
      </c>
      <c r="N41" s="47" t="s">
        <v>6</v>
      </c>
      <c r="O41" s="82">
        <v>217.96</v>
      </c>
      <c r="P41" s="46">
        <f t="shared" si="3"/>
        <v>338.83999999999992</v>
      </c>
      <c r="Q41" s="151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1035</v>
      </c>
      <c r="C42" s="27" t="s">
        <v>95</v>
      </c>
      <c r="D42" s="85">
        <v>43069</v>
      </c>
      <c r="E42" s="85">
        <v>43158</v>
      </c>
      <c r="F42" s="86">
        <v>1040</v>
      </c>
      <c r="G42" s="83">
        <v>62.4</v>
      </c>
      <c r="H42" s="83">
        <v>12.48</v>
      </c>
      <c r="I42" s="84"/>
      <c r="J42" s="87">
        <v>965.12</v>
      </c>
      <c r="K42" s="85">
        <v>43102.561585648145</v>
      </c>
      <c r="L42" s="84"/>
      <c r="M42" s="124">
        <f t="shared" si="1"/>
        <v>965.12</v>
      </c>
      <c r="N42" s="47" t="s">
        <v>6</v>
      </c>
      <c r="O42" s="86">
        <v>367.24</v>
      </c>
      <c r="P42" s="46">
        <f t="shared" si="3"/>
        <v>597.88</v>
      </c>
      <c r="Q42" s="151">
        <f t="shared" si="2"/>
        <v>0</v>
      </c>
      <c r="R42" s="156" t="s">
        <v>628</v>
      </c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625</v>
      </c>
      <c r="C43" s="27"/>
      <c r="D43" s="81"/>
      <c r="E43" s="81"/>
      <c r="F43" s="82"/>
      <c r="G43" s="83"/>
      <c r="H43" s="83"/>
      <c r="I43" s="84"/>
      <c r="J43" s="87"/>
      <c r="K43" s="81"/>
      <c r="L43" s="84"/>
      <c r="M43" s="124" t="str">
        <f t="shared" si="1"/>
        <v/>
      </c>
      <c r="N43" s="47" t="s">
        <v>202</v>
      </c>
      <c r="O43" s="82">
        <v>217.96</v>
      </c>
      <c r="P43" s="46">
        <f t="shared" si="3"/>
        <v>-217.96</v>
      </c>
      <c r="Q43" s="151">
        <f t="shared" si="2"/>
        <v>0</v>
      </c>
      <c r="R43" s="158" t="s">
        <v>633</v>
      </c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625</v>
      </c>
      <c r="C44" s="40"/>
      <c r="D44" s="81"/>
      <c r="E44" s="81"/>
      <c r="F44" s="82"/>
      <c r="G44" s="88"/>
      <c r="H44" s="83"/>
      <c r="I44" s="84"/>
      <c r="J44" s="87"/>
      <c r="K44" s="81"/>
      <c r="L44" s="84">
        <v>1550</v>
      </c>
      <c r="M44" s="124">
        <f t="shared" si="1"/>
        <v>-1550</v>
      </c>
      <c r="N44" s="59" t="s">
        <v>206</v>
      </c>
      <c r="O44" s="82">
        <v>219.74</v>
      </c>
      <c r="P44" s="46">
        <f t="shared" si="3"/>
        <v>-1769.74</v>
      </c>
      <c r="Q44" s="151">
        <f t="shared" si="2"/>
        <v>0</v>
      </c>
      <c r="R44" s="60" t="s">
        <v>619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1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1036</v>
      </c>
      <c r="C46" s="27" t="s">
        <v>1012</v>
      </c>
      <c r="D46" s="81">
        <v>43118</v>
      </c>
      <c r="E46" s="81">
        <v>43148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43118.64298611111</v>
      </c>
      <c r="L46" s="84"/>
      <c r="M46" s="124">
        <f t="shared" si="1"/>
        <v>487.2</v>
      </c>
      <c r="N46" s="47" t="s">
        <v>6</v>
      </c>
      <c r="O46" s="82">
        <v>186.16</v>
      </c>
      <c r="P46" s="46">
        <f t="shared" si="3"/>
        <v>301.03999999999996</v>
      </c>
      <c r="Q46" s="151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1037</v>
      </c>
      <c r="C47" s="27" t="s">
        <v>1012</v>
      </c>
      <c r="D47" s="81">
        <v>43106</v>
      </c>
      <c r="E47" s="81">
        <v>43136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43108.63894675926</v>
      </c>
      <c r="L47" s="84"/>
      <c r="M47" s="124">
        <f t="shared" si="1"/>
        <v>487.2</v>
      </c>
      <c r="N47" s="47" t="s">
        <v>6</v>
      </c>
      <c r="O47" s="82">
        <v>82.6</v>
      </c>
      <c r="P47" s="46">
        <f t="shared" si="3"/>
        <v>404.6</v>
      </c>
      <c r="Q47" s="151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1038</v>
      </c>
      <c r="C48" s="27" t="s">
        <v>95</v>
      </c>
      <c r="D48" s="81">
        <v>43031</v>
      </c>
      <c r="E48" s="81">
        <v>43153</v>
      </c>
      <c r="F48" s="82">
        <v>1356.96</v>
      </c>
      <c r="G48" s="83">
        <v>81.42</v>
      </c>
      <c r="H48" s="83">
        <v>16.29</v>
      </c>
      <c r="I48" s="84">
        <v>781</v>
      </c>
      <c r="J48" s="87">
        <v>478.25</v>
      </c>
      <c r="K48" s="85">
        <v>43116.691284722219</v>
      </c>
      <c r="L48" s="84">
        <v>65</v>
      </c>
      <c r="M48" s="124">
        <f t="shared" si="1"/>
        <v>413.25</v>
      </c>
      <c r="N48" s="47" t="s">
        <v>6</v>
      </c>
      <c r="O48" s="82">
        <v>186.13</v>
      </c>
      <c r="P48" s="46">
        <f t="shared" si="3"/>
        <v>227.12</v>
      </c>
      <c r="Q48" s="151">
        <f t="shared" si="2"/>
        <v>0</v>
      </c>
      <c r="R48" s="156" t="s">
        <v>629</v>
      </c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1039</v>
      </c>
      <c r="C49" s="27" t="s">
        <v>1012</v>
      </c>
      <c r="D49" s="85">
        <v>43083</v>
      </c>
      <c r="E49" s="85">
        <v>43144</v>
      </c>
      <c r="F49" s="86">
        <v>461.52</v>
      </c>
      <c r="G49" s="83">
        <v>27.68</v>
      </c>
      <c r="H49" s="83">
        <v>5.54</v>
      </c>
      <c r="I49" s="84"/>
      <c r="J49" s="87">
        <v>428.3</v>
      </c>
      <c r="K49" s="85">
        <v>43116.691284722219</v>
      </c>
      <c r="L49" s="84"/>
      <c r="M49" s="124">
        <f t="shared" si="1"/>
        <v>428.29999999999995</v>
      </c>
      <c r="N49" s="47" t="s">
        <v>6</v>
      </c>
      <c r="O49" s="86">
        <v>184.91</v>
      </c>
      <c r="P49" s="46">
        <f t="shared" si="3"/>
        <v>243.38999999999996</v>
      </c>
      <c r="Q49" s="151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1040</v>
      </c>
      <c r="C50" s="27" t="s">
        <v>95</v>
      </c>
      <c r="D50" s="81">
        <v>43088</v>
      </c>
      <c r="E50" s="81">
        <v>43149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43116.691284722219</v>
      </c>
      <c r="L50" s="84"/>
      <c r="M50" s="124">
        <f t="shared" si="1"/>
        <v>428.28999999999996</v>
      </c>
      <c r="N50" s="47" t="s">
        <v>6</v>
      </c>
      <c r="O50" s="82">
        <v>186.13</v>
      </c>
      <c r="P50" s="46">
        <f t="shared" si="3"/>
        <v>242.15999999999997</v>
      </c>
      <c r="Q50" s="151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1041</v>
      </c>
      <c r="C51" s="27" t="s">
        <v>95</v>
      </c>
      <c r="D51" s="85">
        <v>43089</v>
      </c>
      <c r="E51" s="85">
        <v>43150</v>
      </c>
      <c r="F51" s="82">
        <v>461.52</v>
      </c>
      <c r="G51" s="83">
        <v>27.68</v>
      </c>
      <c r="H51" s="83">
        <v>5.54</v>
      </c>
      <c r="I51" s="84"/>
      <c r="J51" s="87">
        <v>428.3</v>
      </c>
      <c r="K51" s="85">
        <v>43116.691284722219</v>
      </c>
      <c r="L51" s="84"/>
      <c r="M51" s="124">
        <f t="shared" si="1"/>
        <v>428.29999999999995</v>
      </c>
      <c r="N51" s="47" t="s">
        <v>6</v>
      </c>
      <c r="O51" s="82">
        <v>186.14</v>
      </c>
      <c r="P51" s="46">
        <f t="shared" si="3"/>
        <v>242.15999999999997</v>
      </c>
      <c r="Q51" s="151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1042</v>
      </c>
      <c r="C52" s="27" t="s">
        <v>1012</v>
      </c>
      <c r="D52" s="81">
        <v>43106</v>
      </c>
      <c r="E52" s="81">
        <v>43136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43108.63894675926</v>
      </c>
      <c r="L52" s="84"/>
      <c r="M52" s="124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51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1043</v>
      </c>
      <c r="C53" s="27" t="s">
        <v>95</v>
      </c>
      <c r="D53" s="81">
        <v>43088</v>
      </c>
      <c r="E53" s="81">
        <v>43149</v>
      </c>
      <c r="F53" s="82">
        <v>461.52</v>
      </c>
      <c r="G53" s="83">
        <v>27.68</v>
      </c>
      <c r="H53" s="83">
        <v>5.54</v>
      </c>
      <c r="I53" s="84"/>
      <c r="J53" s="87">
        <v>428.3</v>
      </c>
      <c r="K53" s="85">
        <v>43116.691284722219</v>
      </c>
      <c r="L53" s="84"/>
      <c r="M53" s="124">
        <f t="shared" si="1"/>
        <v>428.29999999999995</v>
      </c>
      <c r="N53" s="47" t="s">
        <v>6</v>
      </c>
      <c r="O53" s="82">
        <v>192.58</v>
      </c>
      <c r="P53" s="46">
        <f t="shared" si="3"/>
        <v>235.71999999999994</v>
      </c>
      <c r="Q53" s="151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1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1044</v>
      </c>
      <c r="C55" s="27" t="s">
        <v>95</v>
      </c>
      <c r="D55" s="81">
        <v>43105</v>
      </c>
      <c r="E55" s="81">
        <v>43135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43109.621388888889</v>
      </c>
      <c r="L55" s="84"/>
      <c r="M55" s="124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51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625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203</v>
      </c>
      <c r="O56" s="82">
        <v>186.14</v>
      </c>
      <c r="P56" s="46">
        <f t="shared" si="3"/>
        <v>-186.14</v>
      </c>
      <c r="Q56" s="151">
        <f t="shared" si="2"/>
        <v>0</v>
      </c>
      <c r="R56" s="157" t="s">
        <v>634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1045</v>
      </c>
      <c r="C57" s="27" t="s">
        <v>95</v>
      </c>
      <c r="D57" s="81">
        <v>43112</v>
      </c>
      <c r="E57" s="81">
        <v>43142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43112.545347222222</v>
      </c>
      <c r="L57" s="84"/>
      <c r="M57" s="124">
        <f t="shared" si="1"/>
        <v>464</v>
      </c>
      <c r="N57" s="47" t="s">
        <v>6</v>
      </c>
      <c r="O57" s="82">
        <v>200.86</v>
      </c>
      <c r="P57" s="46">
        <f t="shared" si="3"/>
        <v>263.14</v>
      </c>
      <c r="Q57" s="151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1046</v>
      </c>
      <c r="C58" s="27" t="s">
        <v>95</v>
      </c>
      <c r="D58" s="81">
        <v>43077</v>
      </c>
      <c r="E58" s="81">
        <v>43138</v>
      </c>
      <c r="F58" s="82">
        <v>461.52</v>
      </c>
      <c r="G58" s="83">
        <v>27.68</v>
      </c>
      <c r="H58" s="83">
        <v>5.54</v>
      </c>
      <c r="I58" s="84"/>
      <c r="J58" s="87">
        <v>428.3</v>
      </c>
      <c r="K58" s="85">
        <v>43116.691284722219</v>
      </c>
      <c r="L58" s="84"/>
      <c r="M58" s="124">
        <f t="shared" si="1"/>
        <v>428.29999999999995</v>
      </c>
      <c r="N58" s="47" t="s">
        <v>6</v>
      </c>
      <c r="O58" s="82">
        <v>186.1</v>
      </c>
      <c r="P58" s="46">
        <f t="shared" si="3"/>
        <v>242.19999999999996</v>
      </c>
      <c r="Q58" s="151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1047</v>
      </c>
      <c r="C59" s="27" t="s">
        <v>1012</v>
      </c>
      <c r="D59" s="81">
        <v>43112</v>
      </c>
      <c r="E59" s="81">
        <v>43142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43115.637615740743</v>
      </c>
      <c r="L59" s="84"/>
      <c r="M59" s="124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51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1048</v>
      </c>
      <c r="C60" s="27" t="s">
        <v>95</v>
      </c>
      <c r="D60" s="81">
        <v>43088</v>
      </c>
      <c r="E60" s="81">
        <v>43149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43116.691284722219</v>
      </c>
      <c r="L60" s="84"/>
      <c r="M60" s="124">
        <f t="shared" si="1"/>
        <v>432.56</v>
      </c>
      <c r="N60" s="47" t="s">
        <v>6</v>
      </c>
      <c r="O60" s="82">
        <v>186.1</v>
      </c>
      <c r="P60" s="46">
        <f t="shared" si="3"/>
        <v>246.46</v>
      </c>
      <c r="Q60" s="151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625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4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51">
        <f t="shared" si="2"/>
        <v>0</v>
      </c>
      <c r="R61" s="60" t="s">
        <v>630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625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4" t="str">
        <f t="shared" si="1"/>
        <v/>
      </c>
      <c r="N62" s="47" t="s">
        <v>202</v>
      </c>
      <c r="O62" s="89">
        <v>192.58</v>
      </c>
      <c r="P62" s="46">
        <f t="shared" si="3"/>
        <v>-192.58</v>
      </c>
      <c r="Q62" s="151">
        <f t="shared" si="2"/>
        <v>0</v>
      </c>
      <c r="R62" s="159" t="s">
        <v>635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2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20439.700000000004</v>
      </c>
      <c r="G65" s="42">
        <f>SUM(G9:G63)</f>
        <v>1226.3399999999999</v>
      </c>
      <c r="H65" s="42">
        <f>SUM(H9:H63)</f>
        <v>245.26999999999998</v>
      </c>
      <c r="I65" s="42">
        <f>SUM(I9:I63)</f>
        <v>836</v>
      </c>
      <c r="J65" s="42">
        <f>SUM(J9:J63)</f>
        <v>18132.090000000004</v>
      </c>
      <c r="K65" s="41"/>
      <c r="L65" s="42">
        <f>SUM(L9:L63)</f>
        <v>3000</v>
      </c>
      <c r="M65" s="42">
        <f>SUM(M9:M63)</f>
        <v>15132.089999999997</v>
      </c>
      <c r="N65" s="41"/>
      <c r="O65" s="42">
        <f>SUM(O9:O63)</f>
        <v>8852.1500000000033</v>
      </c>
      <c r="P65" s="42">
        <f>SUM(P9:P63)</f>
        <v>6279.9400000000005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"/>
  <sheetViews>
    <sheetView zoomScale="85" zoomScaleNormal="85" workbookViewId="0">
      <selection activeCell="C27" sqref="C27:C2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61" t="s">
        <v>1049</v>
      </c>
    </row>
    <row r="4" spans="1:15" x14ac:dyDescent="0.2">
      <c r="A4" t="s">
        <v>1050</v>
      </c>
      <c r="B4">
        <v>26</v>
      </c>
    </row>
    <row r="5" spans="1:15" x14ac:dyDescent="0.2">
      <c r="A5" t="s">
        <v>1051</v>
      </c>
      <c r="B5">
        <v>70</v>
      </c>
    </row>
    <row r="6" spans="1:15" x14ac:dyDescent="0.2">
      <c r="A6" t="s">
        <v>1052</v>
      </c>
      <c r="B6">
        <v>70</v>
      </c>
    </row>
    <row r="7" spans="1:15" x14ac:dyDescent="0.2">
      <c r="A7" t="s">
        <v>1053</v>
      </c>
      <c r="B7">
        <v>56</v>
      </c>
    </row>
    <row r="8" spans="1:15" x14ac:dyDescent="0.2">
      <c r="A8" t="s">
        <v>1054</v>
      </c>
      <c r="B8">
        <v>12</v>
      </c>
    </row>
    <row r="9" spans="1:15" x14ac:dyDescent="0.2">
      <c r="A9" t="s">
        <v>1055</v>
      </c>
      <c r="B9">
        <v>21</v>
      </c>
    </row>
    <row r="10" spans="1:15" x14ac:dyDescent="0.2">
      <c r="A10" s="149"/>
      <c r="B10" s="149"/>
      <c r="C10" s="149"/>
      <c r="D10" s="149"/>
      <c r="E10" s="149"/>
      <c r="F10" s="149"/>
      <c r="G10" s="149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61" t="s">
        <v>24</v>
      </c>
      <c r="B11" s="161" t="s">
        <v>513</v>
      </c>
      <c r="C11" s="161" t="s">
        <v>515</v>
      </c>
      <c r="D11" s="161" t="s">
        <v>550</v>
      </c>
      <c r="E11" s="161" t="s">
        <v>1056</v>
      </c>
      <c r="F11" s="161" t="s">
        <v>1057</v>
      </c>
    </row>
    <row r="12" spans="1:15" x14ac:dyDescent="0.2">
      <c r="A12" t="s">
        <v>86</v>
      </c>
      <c r="B12" s="162">
        <v>43056.586423611108</v>
      </c>
      <c r="C12">
        <v>-684</v>
      </c>
      <c r="D12" t="s">
        <v>1058</v>
      </c>
      <c r="E12">
        <v>179919</v>
      </c>
      <c r="F12" t="s">
        <v>1059</v>
      </c>
    </row>
    <row r="13" spans="1:15" x14ac:dyDescent="0.2">
      <c r="A13" t="s">
        <v>86</v>
      </c>
      <c r="B13" s="162">
        <v>43040.54891203704</v>
      </c>
      <c r="C13">
        <v>-90</v>
      </c>
      <c r="D13" t="s">
        <v>1060</v>
      </c>
      <c r="E13">
        <v>179918</v>
      </c>
      <c r="F13" t="s">
        <v>1059</v>
      </c>
    </row>
    <row r="14" spans="1:15" x14ac:dyDescent="0.2">
      <c r="A14" t="s">
        <v>86</v>
      </c>
      <c r="B14" s="162">
        <v>43033.424097222225</v>
      </c>
      <c r="C14">
        <v>-72</v>
      </c>
      <c r="D14" t="s">
        <v>1061</v>
      </c>
      <c r="E14">
        <v>178762</v>
      </c>
      <c r="F14" t="s">
        <v>1059</v>
      </c>
    </row>
    <row r="15" spans="1:15" x14ac:dyDescent="0.2">
      <c r="A15" t="s">
        <v>86</v>
      </c>
      <c r="B15" s="162">
        <v>43096.595682870371</v>
      </c>
      <c r="C15">
        <v>-5.39</v>
      </c>
      <c r="D15" t="s">
        <v>858</v>
      </c>
      <c r="E15">
        <v>180587</v>
      </c>
      <c r="F15" t="s">
        <v>1059</v>
      </c>
    </row>
    <row r="16" spans="1:15" x14ac:dyDescent="0.2">
      <c r="A16" t="s">
        <v>86</v>
      </c>
      <c r="B16" s="162">
        <v>43096.595682870371</v>
      </c>
      <c r="C16">
        <v>74.88</v>
      </c>
      <c r="D16" t="s">
        <v>1062</v>
      </c>
      <c r="E16">
        <v>180586</v>
      </c>
      <c r="F16" t="s">
        <v>1059</v>
      </c>
    </row>
    <row r="17" spans="1:6" x14ac:dyDescent="0.2">
      <c r="A17" t="s">
        <v>86</v>
      </c>
      <c r="B17" s="162">
        <v>43096.595682870371</v>
      </c>
      <c r="C17">
        <v>-27.18</v>
      </c>
      <c r="D17" t="s">
        <v>858</v>
      </c>
      <c r="E17">
        <v>180585</v>
      </c>
      <c r="F17" t="s">
        <v>1059</v>
      </c>
    </row>
    <row r="18" spans="1:6" x14ac:dyDescent="0.2">
      <c r="A18" t="s">
        <v>86</v>
      </c>
      <c r="B18" s="162">
        <v>43096.595682870371</v>
      </c>
      <c r="C18">
        <v>377.44</v>
      </c>
      <c r="D18" t="s">
        <v>857</v>
      </c>
      <c r="E18">
        <v>180584</v>
      </c>
      <c r="F18" t="s">
        <v>1059</v>
      </c>
    </row>
    <row r="19" spans="1:6" x14ac:dyDescent="0.2">
      <c r="A19" t="s">
        <v>86</v>
      </c>
      <c r="B19" s="162">
        <v>43070.483634259261</v>
      </c>
      <c r="C19">
        <v>-2.68</v>
      </c>
      <c r="D19" t="s">
        <v>858</v>
      </c>
      <c r="E19">
        <v>180583</v>
      </c>
      <c r="F19" t="s">
        <v>1059</v>
      </c>
    </row>
    <row r="20" spans="1:6" x14ac:dyDescent="0.2">
      <c r="A20" t="s">
        <v>86</v>
      </c>
      <c r="B20" s="162">
        <v>43070.483634259261</v>
      </c>
      <c r="C20">
        <v>37.200000000000003</v>
      </c>
      <c r="D20" t="s">
        <v>1063</v>
      </c>
      <c r="E20">
        <v>180582</v>
      </c>
      <c r="F20" t="s">
        <v>1059</v>
      </c>
    </row>
    <row r="21" spans="1:6" x14ac:dyDescent="0.2">
      <c r="A21" t="s">
        <v>86</v>
      </c>
      <c r="B21" s="162">
        <v>43070.483634259261</v>
      </c>
      <c r="C21">
        <v>-29.89</v>
      </c>
      <c r="D21" t="s">
        <v>858</v>
      </c>
      <c r="E21">
        <v>180581</v>
      </c>
      <c r="F21" t="s">
        <v>1059</v>
      </c>
    </row>
    <row r="22" spans="1:6" x14ac:dyDescent="0.2">
      <c r="A22" t="s">
        <v>86</v>
      </c>
      <c r="B22" s="162">
        <v>43070.483634259261</v>
      </c>
      <c r="C22">
        <v>415.12</v>
      </c>
      <c r="D22" t="s">
        <v>1062</v>
      </c>
      <c r="E22">
        <v>180580</v>
      </c>
      <c r="F22" t="s">
        <v>1059</v>
      </c>
    </row>
    <row r="23" spans="1:6" x14ac:dyDescent="0.2">
      <c r="A23" t="s">
        <v>99</v>
      </c>
      <c r="B23" s="162">
        <v>43090.710914351854</v>
      </c>
      <c r="C23">
        <v>-55</v>
      </c>
      <c r="D23" t="s">
        <v>1064</v>
      </c>
      <c r="E23">
        <v>180750</v>
      </c>
      <c r="F23" t="s">
        <v>1059</v>
      </c>
    </row>
    <row r="24" spans="1:6" x14ac:dyDescent="0.2">
      <c r="A24" t="s">
        <v>67</v>
      </c>
      <c r="B24" s="162">
        <v>43118.522673611114</v>
      </c>
      <c r="C24">
        <v>-410</v>
      </c>
      <c r="D24" t="s">
        <v>846</v>
      </c>
      <c r="E24">
        <v>181256</v>
      </c>
      <c r="F24" t="s">
        <v>1065</v>
      </c>
    </row>
    <row r="25" spans="1:6" x14ac:dyDescent="0.2">
      <c r="A25" t="s">
        <v>67</v>
      </c>
      <c r="B25" s="162">
        <v>43119.402627314812</v>
      </c>
      <c r="C25">
        <v>-36.9</v>
      </c>
      <c r="D25" t="s">
        <v>847</v>
      </c>
      <c r="E25">
        <v>181257</v>
      </c>
      <c r="F25" t="s">
        <v>1065</v>
      </c>
    </row>
    <row r="26" spans="1:6" x14ac:dyDescent="0.2">
      <c r="A26" t="s">
        <v>67</v>
      </c>
      <c r="B26" s="162">
        <v>43125.635995370372</v>
      </c>
      <c r="C26">
        <v>-240</v>
      </c>
      <c r="D26" t="s">
        <v>848</v>
      </c>
      <c r="E26">
        <v>181258</v>
      </c>
      <c r="F26" t="s">
        <v>1065</v>
      </c>
    </row>
    <row r="27" spans="1:6" x14ac:dyDescent="0.2">
      <c r="A27" t="s">
        <v>109</v>
      </c>
      <c r="B27" s="162">
        <v>43108.397905092592</v>
      </c>
      <c r="C27">
        <v>-690</v>
      </c>
      <c r="D27" t="s">
        <v>849</v>
      </c>
      <c r="E27">
        <v>181259</v>
      </c>
      <c r="F27" t="s">
        <v>1065</v>
      </c>
    </row>
    <row r="28" spans="1:6" x14ac:dyDescent="0.2">
      <c r="A28" t="s">
        <v>109</v>
      </c>
      <c r="B28" s="162">
        <v>43109.417407407411</v>
      </c>
      <c r="C28">
        <v>1550</v>
      </c>
      <c r="D28" t="s">
        <v>850</v>
      </c>
      <c r="E28">
        <v>181260</v>
      </c>
      <c r="F28" t="s">
        <v>1065</v>
      </c>
    </row>
    <row r="29" spans="1:6" x14ac:dyDescent="0.2">
      <c r="A29" t="s">
        <v>109</v>
      </c>
      <c r="B29" s="162">
        <v>43109.443310185183</v>
      </c>
      <c r="C29">
        <v>-140</v>
      </c>
      <c r="D29" t="s">
        <v>851</v>
      </c>
      <c r="E29">
        <v>181261</v>
      </c>
      <c r="F29" t="s">
        <v>1065</v>
      </c>
    </row>
    <row r="30" spans="1:6" x14ac:dyDescent="0.2">
      <c r="A30" t="s">
        <v>109</v>
      </c>
      <c r="B30" s="162">
        <v>43109.521782407406</v>
      </c>
      <c r="C30">
        <v>-40</v>
      </c>
      <c r="D30" t="s">
        <v>852</v>
      </c>
      <c r="E30">
        <v>181262</v>
      </c>
      <c r="F30" t="s">
        <v>1065</v>
      </c>
    </row>
    <row r="31" spans="1:6" x14ac:dyDescent="0.2">
      <c r="A31" t="s">
        <v>75</v>
      </c>
      <c r="B31" s="162">
        <v>43118.521979166668</v>
      </c>
      <c r="C31">
        <v>-100.8</v>
      </c>
      <c r="D31" t="s">
        <v>877</v>
      </c>
      <c r="E31">
        <v>181296</v>
      </c>
      <c r="F31" t="s">
        <v>1065</v>
      </c>
    </row>
    <row r="32" spans="1:6" x14ac:dyDescent="0.2">
      <c r="A32" t="s">
        <v>75</v>
      </c>
      <c r="B32" s="162">
        <v>43123.458518518521</v>
      </c>
      <c r="C32">
        <v>-930</v>
      </c>
      <c r="D32" t="s">
        <v>878</v>
      </c>
      <c r="E32">
        <v>181297</v>
      </c>
      <c r="F32" t="s">
        <v>1065</v>
      </c>
    </row>
    <row r="33" spans="1:6" x14ac:dyDescent="0.2">
      <c r="A33" t="s">
        <v>75</v>
      </c>
      <c r="B33" s="162">
        <v>43129.401689814818</v>
      </c>
      <c r="C33">
        <v>-500</v>
      </c>
      <c r="D33" t="s">
        <v>879</v>
      </c>
      <c r="E33">
        <v>181298</v>
      </c>
      <c r="F33" t="s">
        <v>1065</v>
      </c>
    </row>
    <row r="34" spans="1:6" x14ac:dyDescent="0.2">
      <c r="A34" t="s">
        <v>75</v>
      </c>
      <c r="B34" s="162">
        <v>43131.500763888886</v>
      </c>
      <c r="C34">
        <v>-135</v>
      </c>
      <c r="D34" t="s">
        <v>880</v>
      </c>
      <c r="E34">
        <v>181299</v>
      </c>
      <c r="F34" t="s">
        <v>1065</v>
      </c>
    </row>
    <row r="35" spans="1:6" x14ac:dyDescent="0.2">
      <c r="A35" t="s">
        <v>71</v>
      </c>
      <c r="B35" s="162">
        <v>43110.5075462963</v>
      </c>
      <c r="C35">
        <v>-72</v>
      </c>
      <c r="D35" t="s">
        <v>905</v>
      </c>
      <c r="E35">
        <v>181335</v>
      </c>
      <c r="F35" t="s">
        <v>1065</v>
      </c>
    </row>
    <row r="36" spans="1:6" x14ac:dyDescent="0.2">
      <c r="A36" t="s">
        <v>71</v>
      </c>
      <c r="B36" s="162">
        <v>43111.393703703703</v>
      </c>
      <c r="C36">
        <v>-364.66</v>
      </c>
      <c r="D36" t="s">
        <v>906</v>
      </c>
      <c r="E36">
        <v>181336</v>
      </c>
      <c r="F36" t="s">
        <v>1065</v>
      </c>
    </row>
    <row r="37" spans="1:6" x14ac:dyDescent="0.2">
      <c r="A37" t="s">
        <v>71</v>
      </c>
      <c r="B37" s="162">
        <v>43122.620659722219</v>
      </c>
      <c r="C37">
        <v>-85</v>
      </c>
      <c r="D37" t="s">
        <v>907</v>
      </c>
      <c r="E37">
        <v>181337</v>
      </c>
      <c r="F37" t="s">
        <v>1065</v>
      </c>
    </row>
    <row r="38" spans="1:6" x14ac:dyDescent="0.2">
      <c r="A38" t="s">
        <v>69</v>
      </c>
      <c r="B38" s="162">
        <v>43119.497245370374</v>
      </c>
      <c r="C38">
        <v>-57.17</v>
      </c>
      <c r="D38" t="s">
        <v>911</v>
      </c>
      <c r="E38">
        <v>181344</v>
      </c>
      <c r="F38" t="s">
        <v>1065</v>
      </c>
    </row>
    <row r="39" spans="1:6" x14ac:dyDescent="0.2">
      <c r="A39" t="s">
        <v>69</v>
      </c>
      <c r="B39" s="162">
        <v>43119.498043981483</v>
      </c>
      <c r="C39">
        <v>-73.5</v>
      </c>
      <c r="D39" t="s">
        <v>912</v>
      </c>
      <c r="E39">
        <v>181345</v>
      </c>
      <c r="F39" t="s">
        <v>1065</v>
      </c>
    </row>
    <row r="40" spans="1:6" x14ac:dyDescent="0.2">
      <c r="A40" t="s">
        <v>115</v>
      </c>
      <c r="B40" s="162">
        <v>43127.472754629627</v>
      </c>
      <c r="C40">
        <v>-135</v>
      </c>
      <c r="D40" t="s">
        <v>916</v>
      </c>
      <c r="E40">
        <v>181352</v>
      </c>
      <c r="F40" t="s">
        <v>1065</v>
      </c>
    </row>
    <row r="41" spans="1:6" x14ac:dyDescent="0.2">
      <c r="A41" t="s">
        <v>53</v>
      </c>
      <c r="B41" s="162">
        <v>43131.725486111114</v>
      </c>
      <c r="C41">
        <v>-432</v>
      </c>
      <c r="D41" t="s">
        <v>931</v>
      </c>
      <c r="E41">
        <v>181369</v>
      </c>
      <c r="F41" t="s">
        <v>1065</v>
      </c>
    </row>
    <row r="42" spans="1:6" x14ac:dyDescent="0.2">
      <c r="A42" t="s">
        <v>53</v>
      </c>
      <c r="B42" s="162">
        <v>43131.725891203707</v>
      </c>
      <c r="C42">
        <v>-925</v>
      </c>
      <c r="D42" t="s">
        <v>932</v>
      </c>
      <c r="E42">
        <v>181370</v>
      </c>
      <c r="F42" t="s">
        <v>1065</v>
      </c>
    </row>
    <row r="43" spans="1:6" x14ac:dyDescent="0.2">
      <c r="A43" t="s">
        <v>55</v>
      </c>
      <c r="B43" s="162">
        <v>43126.643564814818</v>
      </c>
      <c r="C43">
        <v>-96</v>
      </c>
      <c r="D43" t="s">
        <v>941</v>
      </c>
      <c r="E43">
        <v>181382</v>
      </c>
      <c r="F43" t="s">
        <v>1065</v>
      </c>
    </row>
    <row r="44" spans="1:6" x14ac:dyDescent="0.2">
      <c r="A44" t="s">
        <v>60</v>
      </c>
      <c r="B44" s="162">
        <v>43110.376932870371</v>
      </c>
      <c r="C44">
        <v>435</v>
      </c>
      <c r="D44" t="s">
        <v>989</v>
      </c>
      <c r="E44">
        <v>181445</v>
      </c>
      <c r="F44" t="s">
        <v>1065</v>
      </c>
    </row>
    <row r="46" spans="1:6" ht="15" x14ac:dyDescent="0.25">
      <c r="A46" s="161" t="s">
        <v>1066</v>
      </c>
    </row>
    <row r="47" spans="1:6" x14ac:dyDescent="0.2">
      <c r="A47" t="s">
        <v>1067</v>
      </c>
      <c r="B47" t="s">
        <v>522</v>
      </c>
    </row>
    <row r="48" spans="1:6" x14ac:dyDescent="0.2">
      <c r="A48" t="s">
        <v>1068</v>
      </c>
      <c r="B48">
        <v>105</v>
      </c>
    </row>
    <row r="49" spans="1:3" x14ac:dyDescent="0.2">
      <c r="A49" t="s">
        <v>1069</v>
      </c>
      <c r="B49">
        <v>105</v>
      </c>
    </row>
    <row r="50" spans="1:3" x14ac:dyDescent="0.2">
      <c r="A50" t="s">
        <v>1070</v>
      </c>
      <c r="B50">
        <v>0</v>
      </c>
    </row>
    <row r="51" spans="1:3" x14ac:dyDescent="0.2">
      <c r="A51" t="s">
        <v>1071</v>
      </c>
      <c r="B51">
        <v>105</v>
      </c>
      <c r="C51">
        <v>104</v>
      </c>
    </row>
    <row r="52" spans="1:3" x14ac:dyDescent="0.2">
      <c r="A52" t="s">
        <v>1072</v>
      </c>
      <c r="B52">
        <v>3</v>
      </c>
      <c r="C52">
        <v>3</v>
      </c>
    </row>
    <row r="53" spans="1:3" x14ac:dyDescent="0.2">
      <c r="A53" t="s">
        <v>1073</v>
      </c>
      <c r="B53">
        <v>30</v>
      </c>
      <c r="C53">
        <v>30</v>
      </c>
    </row>
    <row r="55" spans="1:3" x14ac:dyDescent="0.2">
      <c r="A55" t="s">
        <v>1067</v>
      </c>
      <c r="B55" t="s">
        <v>523</v>
      </c>
    </row>
    <row r="56" spans="1:3" x14ac:dyDescent="0.2">
      <c r="A56" t="s">
        <v>1068</v>
      </c>
      <c r="B56">
        <v>61</v>
      </c>
    </row>
    <row r="57" spans="1:3" x14ac:dyDescent="0.2">
      <c r="A57" t="s">
        <v>1069</v>
      </c>
      <c r="B57">
        <v>61</v>
      </c>
    </row>
    <row r="58" spans="1:3" x14ac:dyDescent="0.2">
      <c r="A58" t="s">
        <v>1070</v>
      </c>
      <c r="B58">
        <v>0</v>
      </c>
    </row>
    <row r="59" spans="1:3" x14ac:dyDescent="0.2">
      <c r="A59" t="s">
        <v>1071</v>
      </c>
      <c r="B59">
        <v>61</v>
      </c>
      <c r="C59">
        <v>61</v>
      </c>
    </row>
    <row r="60" spans="1:3" x14ac:dyDescent="0.2">
      <c r="A60" t="s">
        <v>1072</v>
      </c>
      <c r="B60">
        <v>2</v>
      </c>
      <c r="C60">
        <v>2</v>
      </c>
    </row>
    <row r="61" spans="1:3" x14ac:dyDescent="0.2">
      <c r="A61" t="s">
        <v>1073</v>
      </c>
      <c r="B61">
        <v>16</v>
      </c>
      <c r="C61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3"/>
  <sheetViews>
    <sheetView zoomScale="85" zoomScaleNormal="85" workbookViewId="0">
      <selection activeCell="J35" sqref="J35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20439.700000000004</v>
      </c>
      <c r="E5" s="52">
        <v>13299.420000000002</v>
      </c>
      <c r="H5" s="52">
        <v>7140.2800000000016</v>
      </c>
    </row>
    <row r="6" spans="1:9" x14ac:dyDescent="0.2">
      <c r="A6" t="s">
        <v>214</v>
      </c>
      <c r="C6" s="55">
        <v>-8852.1500000000033</v>
      </c>
      <c r="F6" s="55">
        <v>-5032.1400000000003</v>
      </c>
      <c r="I6" s="55">
        <v>-3820.0099999999993</v>
      </c>
    </row>
    <row r="7" spans="1:9" x14ac:dyDescent="0.2">
      <c r="A7" t="s">
        <v>213</v>
      </c>
      <c r="C7" s="55">
        <v>-1226.3399999999999</v>
      </c>
      <c r="F7" s="55">
        <v>-797.93</v>
      </c>
      <c r="I7" s="55">
        <v>-428.41000000000008</v>
      </c>
    </row>
    <row r="8" spans="1:9" x14ac:dyDescent="0.2">
      <c r="A8" t="s">
        <v>212</v>
      </c>
      <c r="C8" s="55">
        <v>-245.26999999999998</v>
      </c>
      <c r="F8" s="55">
        <v>-159.58000000000001</v>
      </c>
      <c r="I8" s="55">
        <v>-85.690000000000012</v>
      </c>
    </row>
    <row r="9" spans="1:9" x14ac:dyDescent="0.2">
      <c r="A9" t="s">
        <v>211</v>
      </c>
      <c r="C9" s="55">
        <v>-3836</v>
      </c>
      <c r="F9" s="55">
        <v>-1440</v>
      </c>
      <c r="I9" s="55">
        <v>-2396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6279.9400000000005</v>
      </c>
      <c r="D12" s="53"/>
      <c r="E12" s="141">
        <v>5869.7700000000013</v>
      </c>
      <c r="H12" s="141">
        <v>410.1700000000028</v>
      </c>
    </row>
    <row r="13" spans="1:9" ht="15.75" thickTop="1" x14ac:dyDescent="0.25">
      <c r="A13" s="103"/>
      <c r="B13" s="103"/>
      <c r="C13" s="162"/>
      <c r="F13" s="162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5869.7700000000013</v>
      </c>
      <c r="C15" s="100">
        <v>410.1700000000028</v>
      </c>
      <c r="D15" s="108"/>
      <c r="E15" s="109">
        <v>0.93468568171033439</v>
      </c>
      <c r="F15" s="110">
        <v>6.5314318289665593E-2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-4926.75</v>
      </c>
      <c r="C17" s="100">
        <v>-3820.0099999999993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12286.919999999998</v>
      </c>
      <c r="C18" s="100">
        <v>5362.6100000000006</v>
      </c>
      <c r="D18" s="115"/>
      <c r="E18" s="116"/>
      <c r="F18" s="117"/>
      <c r="H18" t="s">
        <v>520</v>
      </c>
    </row>
    <row r="19" spans="1:17" x14ac:dyDescent="0.2">
      <c r="A19" s="99"/>
      <c r="B19" s="101">
        <v>7360.1699999999983</v>
      </c>
      <c r="C19" s="101">
        <v>1542.6000000000013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62" t="s">
        <v>527</v>
      </c>
      <c r="B22" s="100">
        <v>-50</v>
      </c>
      <c r="C22" s="100">
        <v>-50</v>
      </c>
      <c r="D22" s="115"/>
      <c r="E22" s="116"/>
      <c r="F22" s="117"/>
      <c r="H22" s="162" t="s">
        <v>528</v>
      </c>
    </row>
    <row r="23" spans="1:17" x14ac:dyDescent="0.2">
      <c r="A23" s="162"/>
      <c r="B23" s="100"/>
      <c r="C23" s="100"/>
      <c r="D23" s="115"/>
      <c r="E23" s="116"/>
      <c r="F23" s="117"/>
      <c r="H23" s="162"/>
    </row>
    <row r="24" spans="1:17" x14ac:dyDescent="0.2">
      <c r="A24" s="162" t="s">
        <v>533</v>
      </c>
      <c r="B24" s="100">
        <v>-118.75999999999999</v>
      </c>
      <c r="C24" s="100">
        <v>-49.319999999999993</v>
      </c>
      <c r="D24" s="115"/>
      <c r="E24" s="116">
        <v>0</v>
      </c>
      <c r="F24" s="117">
        <v>0</v>
      </c>
      <c r="H24" s="162" t="s">
        <v>534</v>
      </c>
    </row>
    <row r="25" spans="1:17" x14ac:dyDescent="0.2">
      <c r="A25" s="162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62" t="s">
        <v>541</v>
      </c>
    </row>
    <row r="26" spans="1:17" x14ac:dyDescent="0.2">
      <c r="A26" s="162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62" t="s">
        <v>543</v>
      </c>
    </row>
    <row r="27" spans="1:17" x14ac:dyDescent="0.2">
      <c r="A27" s="162"/>
      <c r="B27" s="100"/>
      <c r="C27" s="100"/>
      <c r="D27" s="115"/>
      <c r="E27" s="116"/>
      <c r="F27" s="117"/>
      <c r="H27" s="162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62"/>
    </row>
    <row r="29" spans="1:17" x14ac:dyDescent="0.2">
      <c r="A29" t="s">
        <v>529</v>
      </c>
      <c r="B29" s="142">
        <v>0</v>
      </c>
      <c r="C29" s="101">
        <v>-200</v>
      </c>
      <c r="D29" s="143">
        <v>-200</v>
      </c>
      <c r="E29" s="144">
        <v>-186.93713634206688</v>
      </c>
      <c r="F29" s="145">
        <v>-13.062863657933118</v>
      </c>
      <c r="H29" t="s">
        <v>530</v>
      </c>
      <c r="J29" s="56"/>
      <c r="Q29" s="56"/>
    </row>
    <row r="30" spans="1:17" x14ac:dyDescent="0.2">
      <c r="A30" s="162" t="s">
        <v>531</v>
      </c>
      <c r="B30" s="146">
        <v>0</v>
      </c>
      <c r="C30" s="132">
        <v>-3783.8999999999996</v>
      </c>
      <c r="D30" s="115">
        <v>-3783.8999999999996</v>
      </c>
      <c r="E30" s="116">
        <v>-3536.757151023734</v>
      </c>
      <c r="F30" s="117">
        <v>-247.14284897626561</v>
      </c>
      <c r="H30" s="162" t="s">
        <v>532</v>
      </c>
      <c r="Q30" s="56"/>
    </row>
    <row r="31" spans="1:17" x14ac:dyDescent="0.2">
      <c r="A31" s="162" t="s">
        <v>535</v>
      </c>
      <c r="B31" s="146">
        <v>0</v>
      </c>
      <c r="C31" s="132">
        <v>-37.950000000000003</v>
      </c>
      <c r="D31" s="115">
        <v>-37.950000000000003</v>
      </c>
      <c r="E31" s="116">
        <v>-35.47132162090719</v>
      </c>
      <c r="F31" s="117">
        <v>-2.4786783790928095</v>
      </c>
      <c r="H31" t="s">
        <v>536</v>
      </c>
    </row>
    <row r="32" spans="1:17" x14ac:dyDescent="0.2">
      <c r="A32" s="162" t="s">
        <v>537</v>
      </c>
      <c r="B32" s="146">
        <v>0</v>
      </c>
      <c r="C32" s="132">
        <v>-53.99</v>
      </c>
      <c r="D32" s="115">
        <v>-53.99</v>
      </c>
      <c r="E32" s="116">
        <v>-50.463679955540954</v>
      </c>
      <c r="F32" s="117">
        <v>-3.5263200444590455</v>
      </c>
      <c r="H32" t="s">
        <v>538</v>
      </c>
    </row>
    <row r="33" spans="1:8" ht="15" x14ac:dyDescent="0.25">
      <c r="A33" s="162" t="s">
        <v>539</v>
      </c>
      <c r="B33" s="154">
        <v>-503.92</v>
      </c>
      <c r="C33" s="132">
        <v>-2053</v>
      </c>
      <c r="D33" s="115">
        <v>-2556.92</v>
      </c>
      <c r="E33" s="116">
        <v>-2389.9165132787884</v>
      </c>
      <c r="F33" s="117">
        <v>-167.00348672121174</v>
      </c>
      <c r="H33" s="56" t="s">
        <v>622</v>
      </c>
    </row>
    <row r="34" spans="1:8" x14ac:dyDescent="0.2">
      <c r="A34" s="162" t="s">
        <v>25</v>
      </c>
      <c r="B34" s="146">
        <v>0</v>
      </c>
      <c r="C34" s="132">
        <v>0</v>
      </c>
      <c r="D34" s="115">
        <v>0</v>
      </c>
      <c r="E34" s="116">
        <v>0</v>
      </c>
      <c r="F34" s="117">
        <v>0</v>
      </c>
      <c r="H34" s="162" t="s">
        <v>544</v>
      </c>
    </row>
    <row r="35" spans="1:8" x14ac:dyDescent="0.2">
      <c r="A35" s="130" t="s">
        <v>621</v>
      </c>
      <c r="B35" s="147">
        <v>0</v>
      </c>
      <c r="C35" s="148">
        <v>0</v>
      </c>
      <c r="D35" s="115">
        <v>0</v>
      </c>
      <c r="E35" s="116">
        <v>0</v>
      </c>
      <c r="F35" s="117">
        <v>0</v>
      </c>
      <c r="H35" s="130"/>
    </row>
    <row r="36" spans="1:8" x14ac:dyDescent="0.2">
      <c r="B36" s="118">
        <v>-503.92</v>
      </c>
      <c r="C36" s="118">
        <v>-6128.8399999999992</v>
      </c>
      <c r="D36" s="119">
        <v>-6632.7599999999993</v>
      </c>
      <c r="E36" s="120">
        <v>-6199.5458022210369</v>
      </c>
      <c r="F36" s="118">
        <v>-433.21419777896233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v>-503.92</v>
      </c>
      <c r="F38" s="100">
        <v>-6128.8399999999992</v>
      </c>
    </row>
    <row r="39" spans="1:8" x14ac:dyDescent="0.2">
      <c r="A39" s="130" t="s">
        <v>556</v>
      </c>
      <c r="E39" s="122">
        <v>-2609.16</v>
      </c>
      <c r="F39" s="100"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v>-3086.4658022210369</v>
      </c>
      <c r="F41" s="120">
        <v>3086.4658022210369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 t="s">
        <v>1077</v>
      </c>
      <c r="E45" s="100">
        <v>1183.6400000000001</v>
      </c>
    </row>
    <row r="46" spans="1:8" x14ac:dyDescent="0.2">
      <c r="A46" s="135"/>
    </row>
    <row r="47" spans="1:8" x14ac:dyDescent="0.2">
      <c r="A47" s="135"/>
      <c r="E47" s="118">
        <v>-1902.8258022210368</v>
      </c>
      <c r="F47" s="56" t="s">
        <v>1076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3"/>
  <sheetViews>
    <sheetView zoomScale="85" zoomScaleNormal="85" workbookViewId="0">
      <selection activeCell="M48" sqref="M48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20439.700000000004</v>
      </c>
      <c r="E5" s="52">
        <f>SUMIF('Rent Statement'!S9:S63,"=Mathew Tucker", 'Rent Statement'!F9:F63)</f>
        <v>13299.420000000002</v>
      </c>
      <c r="H5" s="52">
        <f>SUMIF('Rent Statement'!S9:S63,"Ivana Valentino", 'Rent Statement'!F9:F63)</f>
        <v>7140.2800000000016</v>
      </c>
    </row>
    <row r="6" spans="1:9" x14ac:dyDescent="0.2">
      <c r="A6" t="s">
        <v>214</v>
      </c>
      <c r="C6" s="55">
        <f>-SUM('Rent Statement'!O9:O63)</f>
        <v>-8852.1500000000033</v>
      </c>
      <c r="F6" s="55">
        <f>-SUMIF('Rent Statement'!S9:S63,"Mathew Tucker",'Rent Statement'!O9:O63)</f>
        <v>-5032.1400000000003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-1226.3399999999999</v>
      </c>
      <c r="F7" s="55">
        <f>-SUMIF('Rent Statement'!S9:S63,"Mathew Tucker",'Rent Statement'!G9:G63)</f>
        <v>-797.93</v>
      </c>
      <c r="I7" s="55">
        <f>-SUMIF('Rent Statement'!S9:S63,"Ivana Valentino",'Rent Statement'!G9:G63)</f>
        <v>-428.41000000000008</v>
      </c>
    </row>
    <row r="8" spans="1:9" x14ac:dyDescent="0.2">
      <c r="A8" t="s">
        <v>212</v>
      </c>
      <c r="C8" s="55">
        <f>-SUM('Rent Statement'!H9:H63)</f>
        <v>-245.26999999999998</v>
      </c>
      <c r="F8" s="55">
        <f>-SUMIF('Rent Statement'!S9:S63,"Mathew Tucker",'Rent Statement'!H9:H63)</f>
        <v>-159.58000000000001</v>
      </c>
      <c r="I8" s="55">
        <f>-SUMIF('Rent Statement'!S9:S63,"Ivana Valentino",'Rent Statement'!H9:H63)</f>
        <v>-85.690000000000012</v>
      </c>
    </row>
    <row r="9" spans="1:9" x14ac:dyDescent="0.2">
      <c r="A9" t="s">
        <v>211</v>
      </c>
      <c r="C9" s="55">
        <f>-SUM('Rent Statement'!I9:I63)-SUM('Rent Statement'!L9:L63)</f>
        <v>-3836</v>
      </c>
      <c r="F9" s="55">
        <f>-SUMIF('Rent Statement'!S9:S63,"Mathew Tucker",'Rent Statement'!I9:I63)-SUMIF('Rent Statement'!S9:S63,"Mathew Tucker",'Rent Statement'!L9:L63)</f>
        <v>-1440</v>
      </c>
      <c r="I9" s="55">
        <f>-SUMIF('Rent Statement'!S9:S63,"Ivana Valentino",'Rent Statement'!I9:I63)-SUMIF('Rent Statement'!S9:S63,"Ivana Valentino",'Rent Statement'!L9:L63)</f>
        <v>-2396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6279.9400000000005</v>
      </c>
      <c r="D12" s="53"/>
      <c r="E12" s="141">
        <f>E5+SUM(F6:F10)</f>
        <v>5869.7700000000013</v>
      </c>
      <c r="H12" s="141">
        <f>H5+SUM(I6:I10)</f>
        <v>410.1700000000028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5869.7700000000013</v>
      </c>
      <c r="C15" s="100">
        <f>H12</f>
        <v>410.1700000000028</v>
      </c>
      <c r="D15" s="108"/>
      <c r="E15" s="109">
        <f>IFERROR(B15/($B$15+$C$15),"")</f>
        <v>0.93468568171033439</v>
      </c>
      <c r="F15" s="110">
        <f>IFERROR(C15/($B$15+$C$15),"")</f>
        <v>6.5314318289665593E-2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>EVAL("SUM(SUMIFS(MT_Amount, MT_BankRef," &amp;$H17&amp; "))")</f>
        <v>-4926.75</v>
      </c>
      <c r="C17" s="100">
        <f>EVAL("SUM(SUMIFS(IV_Amount, IV_BankRef," &amp;$H17&amp; "))")</f>
        <v>-3820.0099999999993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10831.070000000005</v>
      </c>
      <c r="C18" s="100">
        <f>EVAL("SUM(SUMIFS(IV_Amount, IV_BankRef," &amp;$H18&amp; "))")</f>
        <v>5867.6900000000005</v>
      </c>
      <c r="D18" s="115"/>
      <c r="E18" s="116"/>
      <c r="F18" s="117"/>
      <c r="H18" t="s">
        <v>520</v>
      </c>
    </row>
    <row r="19" spans="1:17" x14ac:dyDescent="0.2">
      <c r="A19" s="99"/>
      <c r="B19" s="101">
        <f>SUM(B17:B18)</f>
        <v>5904.3200000000052</v>
      </c>
      <c r="C19" s="101">
        <f>SUM(C17:C18)</f>
        <v>2047.6800000000012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1.51</v>
      </c>
      <c r="D24" s="115"/>
      <c r="E24" s="116">
        <f t="shared" ref="E24:F26" si="0">IFERROR(($D24)*E$15,"")</f>
        <v>0</v>
      </c>
      <c r="F24" s="117">
        <f t="shared" si="0"/>
        <v>0</v>
      </c>
      <c r="H24" s="129" t="s">
        <v>534</v>
      </c>
    </row>
    <row r="25" spans="1:17" x14ac:dyDescent="0.2">
      <c r="A25" s="129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5"/>
      <c r="E25" s="116">
        <f t="shared" si="0"/>
        <v>0</v>
      </c>
      <c r="F25" s="117">
        <f t="shared" si="0"/>
        <v>0</v>
      </c>
      <c r="H25" s="129" t="s">
        <v>541</v>
      </c>
    </row>
    <row r="26" spans="1:17" x14ac:dyDescent="0.2">
      <c r="A26" s="129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5"/>
      <c r="E26" s="116">
        <f t="shared" si="0"/>
        <v>0</v>
      </c>
      <c r="F26" s="117">
        <f t="shared" si="0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2">
        <f>EVAL("SUM(SUMIFS(MT_Amount, MT_BankRef," &amp;$H29&amp; "))")</f>
        <v>0</v>
      </c>
      <c r="C29" s="101">
        <f>EVAL("SUM(SUMIFS(IV_Amount, IV_BankRef," &amp;$H29&amp; "))")</f>
        <v>-200</v>
      </c>
      <c r="D29" s="143">
        <f t="shared" ref="D29:D35" si="1">B29+C29</f>
        <v>-200</v>
      </c>
      <c r="E29" s="144">
        <f>IFERROR(($D29)*E$15,"")</f>
        <v>-186.93713634206688</v>
      </c>
      <c r="F29" s="145">
        <f>IFERROR(($D29)*F$15,"")</f>
        <v>-13.062863657933118</v>
      </c>
      <c r="H29" t="s">
        <v>530</v>
      </c>
      <c r="J29" s="56"/>
      <c r="Q29" s="56"/>
    </row>
    <row r="30" spans="1:17" x14ac:dyDescent="0.2">
      <c r="A30" s="129" t="s">
        <v>531</v>
      </c>
      <c r="B30" s="146">
        <f>EVAL("SUM(SUMIFS(MT_Amount, MT_BankRef," &amp;$H30&amp; "))")</f>
        <v>0</v>
      </c>
      <c r="C30" s="132">
        <f>EVAL("SUM(SUMIFS(IV_Amount, IV_BankRef," &amp;$H30&amp; "))")</f>
        <v>-3783.89</v>
      </c>
      <c r="D30" s="115">
        <f t="shared" si="1"/>
        <v>-3783.89</v>
      </c>
      <c r="E30" s="116">
        <f t="shared" ref="E30:F35" si="2">IFERROR(($D30)*E$15,"")</f>
        <v>-3536.7478041669169</v>
      </c>
      <c r="F30" s="117">
        <f t="shared" si="2"/>
        <v>-247.14219583308272</v>
      </c>
      <c r="H30" s="129" t="s">
        <v>532</v>
      </c>
      <c r="Q30" s="56"/>
    </row>
    <row r="31" spans="1:17" x14ac:dyDescent="0.2">
      <c r="A31" s="129" t="s">
        <v>535</v>
      </c>
      <c r="B31" s="146">
        <f>EVAL("SUM(SUMIFS(MT_Amount, MT_BankRef," &amp;$H31&amp; "))")</f>
        <v>0</v>
      </c>
      <c r="C31" s="132">
        <f>EVAL("SUM(SUMIFS(IV_Amount, IV_BankRef," &amp;$H31&amp; "))")</f>
        <v>-37.950000000000003</v>
      </c>
      <c r="D31" s="115">
        <f t="shared" si="1"/>
        <v>-37.950000000000003</v>
      </c>
      <c r="E31" s="116">
        <f t="shared" si="2"/>
        <v>-35.47132162090719</v>
      </c>
      <c r="F31" s="117">
        <f t="shared" si="2"/>
        <v>-2.4786783790928095</v>
      </c>
      <c r="H31" t="s">
        <v>536</v>
      </c>
    </row>
    <row r="32" spans="1:17" x14ac:dyDescent="0.2">
      <c r="A32" s="129" t="s">
        <v>537</v>
      </c>
      <c r="B32" s="146">
        <f>EVAL("SUM(SUMIFS(MT_Amount, MT_BankRef," &amp;$H32&amp; "))")</f>
        <v>0</v>
      </c>
      <c r="C32" s="132">
        <f>EVAL("SUM(SUMIFS(IV_Amount, IV_BankRef," &amp;$H32&amp; "))")</f>
        <v>-58.91</v>
      </c>
      <c r="D32" s="115">
        <f t="shared" si="1"/>
        <v>-58.91</v>
      </c>
      <c r="E32" s="116">
        <f t="shared" si="2"/>
        <v>-55.062333509555799</v>
      </c>
      <c r="F32" s="117">
        <f t="shared" si="2"/>
        <v>-3.8476664904441997</v>
      </c>
      <c r="H32" t="s">
        <v>538</v>
      </c>
    </row>
    <row r="33" spans="1:8" ht="15" x14ac:dyDescent="0.25">
      <c r="A33" s="129" t="s">
        <v>539</v>
      </c>
      <c r="B33" s="154">
        <f>SUMIFS(MT_Amount, MT_Include,"I")</f>
        <v>-503.92</v>
      </c>
      <c r="C33" s="132">
        <f>EVAL("SUM(SUMIFS(IV_Amount, IV_BankRef," &amp;$H33&amp; "))")-SUMIFS(IV_Amount_4040, IV_BankRef_4040,"=X")</f>
        <v>-1583</v>
      </c>
      <c r="D33" s="115">
        <f t="shared" si="1"/>
        <v>-2086.92</v>
      </c>
      <c r="E33" s="116">
        <f t="shared" si="2"/>
        <v>-1950.6142428749311</v>
      </c>
      <c r="F33" s="117">
        <f t="shared" si="2"/>
        <v>-136.30575712506894</v>
      </c>
      <c r="H33" s="56" t="s">
        <v>622</v>
      </c>
    </row>
    <row r="34" spans="1:8" x14ac:dyDescent="0.2">
      <c r="A34" s="129" t="s">
        <v>25</v>
      </c>
      <c r="B34" s="146">
        <f>EVAL("SUM(SUMIFS(MT_Amount, MT_BankRef," &amp;$H34&amp; "))")</f>
        <v>0</v>
      </c>
      <c r="C34" s="132">
        <f>EVAL("SUM(SUMIFS(IV_Amount, IV_BankRef," &amp;$H34&amp; "))")</f>
        <v>0</v>
      </c>
      <c r="D34" s="115">
        <f t="shared" si="1"/>
        <v>0</v>
      </c>
      <c r="E34" s="116">
        <f t="shared" si="2"/>
        <v>0</v>
      </c>
      <c r="F34" s="117">
        <f t="shared" si="2"/>
        <v>0</v>
      </c>
      <c r="H34" s="129" t="s">
        <v>544</v>
      </c>
    </row>
    <row r="35" spans="1:8" x14ac:dyDescent="0.2">
      <c r="A35" s="130" t="s">
        <v>621</v>
      </c>
      <c r="B35" s="147">
        <v>0</v>
      </c>
      <c r="C35" s="148">
        <v>0</v>
      </c>
      <c r="D35" s="115">
        <f t="shared" si="1"/>
        <v>0</v>
      </c>
      <c r="E35" s="116">
        <f t="shared" si="2"/>
        <v>0</v>
      </c>
      <c r="F35" s="117">
        <f t="shared" si="2"/>
        <v>0</v>
      </c>
      <c r="H35" s="130"/>
    </row>
    <row r="36" spans="1:8" x14ac:dyDescent="0.2">
      <c r="B36" s="118">
        <f>SUBTOTAL(9,B29:B35)</f>
        <v>-503.92</v>
      </c>
      <c r="C36" s="118">
        <f>SUBTOTAL(9,C29:C35)</f>
        <v>-5663.75</v>
      </c>
      <c r="D36" s="119">
        <f>SUBTOTAL(9,D20:D35)</f>
        <v>-6167.67</v>
      </c>
      <c r="E36" s="120">
        <f>SUBTOTAL(9,E29:E35)</f>
        <v>-5764.8328385143777</v>
      </c>
      <c r="F36" s="118">
        <f>SUBTOTAL(9,F29:F35)</f>
        <v>-402.83716148562178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f>SUM(B29:B35)</f>
        <v>-503.92</v>
      </c>
      <c r="F38" s="100">
        <f>SUM(C29:C35)</f>
        <v>-5663.75</v>
      </c>
    </row>
    <row r="39" spans="1:8" x14ac:dyDescent="0.2">
      <c r="A39" s="130" t="s">
        <v>556</v>
      </c>
      <c r="E39" s="122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f>E36-E38-E39</f>
        <v>-2651.7528385143778</v>
      </c>
      <c r="F41" s="120">
        <f>F36-F38-F39</f>
        <v>2651.7528385143787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 t="s">
        <v>1077</v>
      </c>
      <c r="E45" s="100">
        <v>1183.6400000000001</v>
      </c>
    </row>
    <row r="46" spans="1:8" x14ac:dyDescent="0.2">
      <c r="A46" s="135"/>
    </row>
    <row r="47" spans="1:8" x14ac:dyDescent="0.2">
      <c r="A47" s="135"/>
      <c r="E47" s="118">
        <f>E41+E44+E45</f>
        <v>-1468.1128385143777</v>
      </c>
      <c r="F47" s="56" t="s">
        <v>1076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9"/>
  <sheetViews>
    <sheetView topLeftCell="A10" zoomScale="85" zoomScaleNormal="85" workbookViewId="0">
      <selection activeCell="H41" sqref="H41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t="s">
        <v>619</v>
      </c>
      <c r="B2" s="155">
        <v>43102</v>
      </c>
      <c r="C2" t="s">
        <v>564</v>
      </c>
      <c r="D2">
        <v>-24.86</v>
      </c>
      <c r="E2" t="s">
        <v>578</v>
      </c>
      <c r="F2" t="s">
        <v>638</v>
      </c>
      <c r="I2" t="s">
        <v>1002</v>
      </c>
      <c r="J2" s="128"/>
      <c r="K2" s="128"/>
      <c r="L2" s="128"/>
    </row>
    <row r="3" spans="1:12" x14ac:dyDescent="0.2">
      <c r="A3" t="s">
        <v>619</v>
      </c>
      <c r="B3" s="155">
        <v>43102</v>
      </c>
      <c r="C3" t="s">
        <v>564</v>
      </c>
      <c r="D3">
        <v>-12.58</v>
      </c>
      <c r="E3" t="s">
        <v>578</v>
      </c>
      <c r="F3" t="s">
        <v>639</v>
      </c>
      <c r="I3" t="s">
        <v>1002</v>
      </c>
      <c r="J3" s="136" t="s">
        <v>997</v>
      </c>
      <c r="K3" s="128"/>
      <c r="L3" s="128"/>
    </row>
    <row r="4" spans="1:12" x14ac:dyDescent="0.2">
      <c r="A4" t="s">
        <v>619</v>
      </c>
      <c r="B4" s="155">
        <v>43102</v>
      </c>
      <c r="C4" t="s">
        <v>564</v>
      </c>
      <c r="D4">
        <v>-10.74</v>
      </c>
      <c r="E4" t="s">
        <v>578</v>
      </c>
      <c r="F4" t="s">
        <v>640</v>
      </c>
      <c r="I4" t="s">
        <v>1002</v>
      </c>
      <c r="J4" s="136" t="s">
        <v>997</v>
      </c>
      <c r="K4" s="128"/>
      <c r="L4" s="128"/>
    </row>
    <row r="5" spans="1:12" x14ac:dyDescent="0.2">
      <c r="A5" t="s">
        <v>619</v>
      </c>
      <c r="B5" s="155">
        <v>43102</v>
      </c>
      <c r="C5" t="s">
        <v>564</v>
      </c>
      <c r="D5">
        <v>-3.14</v>
      </c>
      <c r="E5" t="s">
        <v>578</v>
      </c>
      <c r="F5" t="s">
        <v>640</v>
      </c>
      <c r="I5" t="s">
        <v>1002</v>
      </c>
      <c r="J5" s="136" t="s">
        <v>997</v>
      </c>
      <c r="K5" s="128"/>
      <c r="L5" s="128"/>
    </row>
    <row r="6" spans="1:12" x14ac:dyDescent="0.2">
      <c r="A6" t="s">
        <v>619</v>
      </c>
      <c r="B6" s="155">
        <v>43102</v>
      </c>
      <c r="C6" t="s">
        <v>564</v>
      </c>
      <c r="D6">
        <v>-30</v>
      </c>
      <c r="E6" t="s">
        <v>578</v>
      </c>
      <c r="F6" t="s">
        <v>641</v>
      </c>
      <c r="I6" t="s">
        <v>1002</v>
      </c>
      <c r="J6" s="128"/>
      <c r="K6" s="128"/>
      <c r="L6" s="128"/>
    </row>
    <row r="7" spans="1:12" x14ac:dyDescent="0.2">
      <c r="A7" t="s">
        <v>619</v>
      </c>
      <c r="B7" s="155">
        <v>43102</v>
      </c>
      <c r="C7" t="s">
        <v>564</v>
      </c>
      <c r="D7">
        <v>-19.350000000000001</v>
      </c>
      <c r="E7" t="s">
        <v>578</v>
      </c>
      <c r="F7" t="s">
        <v>642</v>
      </c>
      <c r="I7" t="s">
        <v>1002</v>
      </c>
      <c r="J7" s="128"/>
      <c r="K7" s="128"/>
      <c r="L7" s="128"/>
    </row>
    <row r="8" spans="1:12" x14ac:dyDescent="0.2">
      <c r="A8" t="s">
        <v>619</v>
      </c>
      <c r="B8" s="155">
        <v>43102</v>
      </c>
      <c r="C8" t="s">
        <v>564</v>
      </c>
      <c r="D8">
        <v>-2609.16</v>
      </c>
      <c r="E8" t="s">
        <v>565</v>
      </c>
      <c r="F8" t="s">
        <v>566</v>
      </c>
      <c r="I8" t="s">
        <v>1002</v>
      </c>
      <c r="J8" s="128"/>
      <c r="K8" s="128"/>
      <c r="L8" s="128"/>
    </row>
    <row r="9" spans="1:12" x14ac:dyDescent="0.2">
      <c r="A9" t="s">
        <v>619</v>
      </c>
      <c r="B9" s="155">
        <v>43102</v>
      </c>
      <c r="C9" t="s">
        <v>564</v>
      </c>
      <c r="D9">
        <v>-232.5</v>
      </c>
      <c r="E9" t="s">
        <v>565</v>
      </c>
      <c r="F9" t="s">
        <v>572</v>
      </c>
      <c r="I9" t="s">
        <v>1002</v>
      </c>
      <c r="J9" s="128"/>
      <c r="K9" s="128"/>
      <c r="L9" s="128"/>
    </row>
    <row r="10" spans="1:12" x14ac:dyDescent="0.2">
      <c r="A10" t="s">
        <v>619</v>
      </c>
      <c r="B10" s="155">
        <v>43102</v>
      </c>
      <c r="C10" t="s">
        <v>564</v>
      </c>
      <c r="D10">
        <v>-196.79</v>
      </c>
      <c r="E10" t="s">
        <v>565</v>
      </c>
      <c r="F10" t="s">
        <v>567</v>
      </c>
      <c r="I10" t="s">
        <v>1002</v>
      </c>
      <c r="J10" s="128"/>
      <c r="K10" s="128"/>
      <c r="L10" s="128"/>
    </row>
    <row r="11" spans="1:12" x14ac:dyDescent="0.2">
      <c r="A11" t="s">
        <v>619</v>
      </c>
      <c r="B11" s="155">
        <v>43102</v>
      </c>
      <c r="C11" t="s">
        <v>564</v>
      </c>
      <c r="D11">
        <v>-160</v>
      </c>
      <c r="E11" t="s">
        <v>565</v>
      </c>
      <c r="F11" t="s">
        <v>570</v>
      </c>
      <c r="I11" t="s">
        <v>1002</v>
      </c>
      <c r="J11" s="128"/>
      <c r="K11" s="128"/>
      <c r="L11" s="128"/>
    </row>
    <row r="12" spans="1:12" x14ac:dyDescent="0.2">
      <c r="A12" t="s">
        <v>619</v>
      </c>
      <c r="B12" s="155">
        <v>43102</v>
      </c>
      <c r="C12" t="s">
        <v>564</v>
      </c>
      <c r="D12">
        <v>-157.5</v>
      </c>
      <c r="E12" t="s">
        <v>565</v>
      </c>
      <c r="F12" t="s">
        <v>571</v>
      </c>
      <c r="I12" t="s">
        <v>1002</v>
      </c>
      <c r="J12" s="128"/>
      <c r="K12" s="128"/>
      <c r="L12" s="128"/>
    </row>
    <row r="13" spans="1:12" x14ac:dyDescent="0.2">
      <c r="A13" t="s">
        <v>619</v>
      </c>
      <c r="B13" s="155">
        <v>43102</v>
      </c>
      <c r="C13" t="s">
        <v>564</v>
      </c>
      <c r="D13">
        <v>-50</v>
      </c>
      <c r="E13" t="s">
        <v>565</v>
      </c>
      <c r="F13" t="s">
        <v>568</v>
      </c>
      <c r="I13" t="s">
        <v>1002</v>
      </c>
      <c r="J13" s="128"/>
      <c r="K13" s="128"/>
      <c r="L13" s="128"/>
    </row>
    <row r="14" spans="1:12" x14ac:dyDescent="0.2">
      <c r="A14" t="s">
        <v>619</v>
      </c>
      <c r="B14" s="155">
        <v>43102</v>
      </c>
      <c r="C14" t="s">
        <v>564</v>
      </c>
      <c r="D14">
        <v>-50</v>
      </c>
      <c r="E14" t="s">
        <v>565</v>
      </c>
      <c r="F14" t="s">
        <v>569</v>
      </c>
      <c r="I14" t="s">
        <v>1002</v>
      </c>
      <c r="J14" s="128"/>
      <c r="K14" s="128"/>
      <c r="L14" s="128"/>
    </row>
    <row r="15" spans="1:12" x14ac:dyDescent="0.2">
      <c r="A15" t="s">
        <v>619</v>
      </c>
      <c r="B15" s="155">
        <v>43102</v>
      </c>
      <c r="C15" t="s">
        <v>564</v>
      </c>
      <c r="D15">
        <v>-200.86</v>
      </c>
      <c r="E15" t="s">
        <v>573</v>
      </c>
      <c r="F15" t="s">
        <v>575</v>
      </c>
      <c r="I15" t="s">
        <v>1003</v>
      </c>
      <c r="J15" s="128"/>
      <c r="K15" s="128"/>
      <c r="L15" s="128"/>
    </row>
    <row r="16" spans="1:12" x14ac:dyDescent="0.2">
      <c r="A16" t="s">
        <v>619</v>
      </c>
      <c r="B16" s="155">
        <v>43102</v>
      </c>
      <c r="C16" t="s">
        <v>564</v>
      </c>
      <c r="D16">
        <v>-217.96</v>
      </c>
      <c r="E16" t="s">
        <v>573</v>
      </c>
      <c r="F16" t="s">
        <v>574</v>
      </c>
      <c r="I16" t="s">
        <v>1003</v>
      </c>
      <c r="J16" s="128"/>
      <c r="K16" s="128"/>
      <c r="L16" s="128"/>
    </row>
    <row r="17" spans="1:12" x14ac:dyDescent="0.2">
      <c r="A17" t="s">
        <v>619</v>
      </c>
      <c r="B17" s="155">
        <v>43102</v>
      </c>
      <c r="C17" t="s">
        <v>564</v>
      </c>
      <c r="D17">
        <v>-59.08</v>
      </c>
      <c r="E17" t="s">
        <v>573</v>
      </c>
      <c r="F17" t="s">
        <v>643</v>
      </c>
      <c r="I17" t="s">
        <v>1002</v>
      </c>
      <c r="J17" s="136"/>
      <c r="K17" s="128"/>
      <c r="L17" s="128"/>
    </row>
    <row r="18" spans="1:12" x14ac:dyDescent="0.2">
      <c r="A18" t="s">
        <v>619</v>
      </c>
      <c r="B18" s="155">
        <v>43102</v>
      </c>
      <c r="C18" t="s">
        <v>564</v>
      </c>
      <c r="D18">
        <v>-109.15</v>
      </c>
      <c r="E18" t="s">
        <v>573</v>
      </c>
      <c r="F18" t="s">
        <v>576</v>
      </c>
      <c r="I18" t="s">
        <v>1003</v>
      </c>
      <c r="J18" s="136"/>
      <c r="K18" s="128"/>
      <c r="L18" s="128"/>
    </row>
    <row r="19" spans="1:12" x14ac:dyDescent="0.2">
      <c r="A19" t="s">
        <v>619</v>
      </c>
      <c r="B19" s="155">
        <v>43102</v>
      </c>
      <c r="C19" t="s">
        <v>564</v>
      </c>
      <c r="D19">
        <v>-109.73</v>
      </c>
      <c r="E19" t="s">
        <v>573</v>
      </c>
      <c r="F19" t="s">
        <v>577</v>
      </c>
      <c r="I19" t="s">
        <v>1003</v>
      </c>
      <c r="J19" s="136"/>
      <c r="K19" s="128"/>
      <c r="L19" s="128"/>
    </row>
    <row r="20" spans="1:12" x14ac:dyDescent="0.2">
      <c r="A20" t="s">
        <v>619</v>
      </c>
      <c r="B20" s="155">
        <v>43103</v>
      </c>
      <c r="C20" t="s">
        <v>564</v>
      </c>
      <c r="D20">
        <v>-4.4000000000000004</v>
      </c>
      <c r="E20" t="s">
        <v>578</v>
      </c>
      <c r="F20" t="s">
        <v>644</v>
      </c>
      <c r="I20" t="s">
        <v>1002</v>
      </c>
      <c r="J20" s="137" t="s">
        <v>997</v>
      </c>
      <c r="K20" s="128"/>
      <c r="L20" s="128"/>
    </row>
    <row r="21" spans="1:12" x14ac:dyDescent="0.2">
      <c r="A21" t="s">
        <v>619</v>
      </c>
      <c r="B21" s="155">
        <v>43103</v>
      </c>
      <c r="C21" t="s">
        <v>564</v>
      </c>
      <c r="D21">
        <v>-44.93</v>
      </c>
      <c r="E21" t="s">
        <v>578</v>
      </c>
      <c r="F21" t="s">
        <v>645</v>
      </c>
      <c r="I21" t="s">
        <v>1002</v>
      </c>
      <c r="J21" s="136"/>
      <c r="K21" s="128"/>
      <c r="L21" s="128"/>
    </row>
    <row r="22" spans="1:12" x14ac:dyDescent="0.2">
      <c r="A22" t="s">
        <v>619</v>
      </c>
      <c r="B22" s="155">
        <v>43103</v>
      </c>
      <c r="C22" t="s">
        <v>564</v>
      </c>
      <c r="D22">
        <v>-188.25</v>
      </c>
      <c r="E22" t="s">
        <v>573</v>
      </c>
      <c r="F22" t="s">
        <v>646</v>
      </c>
      <c r="I22" t="s">
        <v>1003</v>
      </c>
      <c r="J22" s="128"/>
      <c r="K22" s="128"/>
      <c r="L22" s="128"/>
    </row>
    <row r="23" spans="1:12" x14ac:dyDescent="0.2">
      <c r="A23" t="s">
        <v>619</v>
      </c>
      <c r="B23" s="155">
        <v>43103</v>
      </c>
      <c r="C23" t="s">
        <v>564</v>
      </c>
      <c r="D23">
        <v>-212.8</v>
      </c>
      <c r="E23" t="s">
        <v>573</v>
      </c>
      <c r="F23" t="s">
        <v>647</v>
      </c>
      <c r="I23" t="s">
        <v>1003</v>
      </c>
      <c r="J23" s="128"/>
      <c r="K23" s="128"/>
      <c r="L23" s="128"/>
    </row>
    <row r="24" spans="1:12" x14ac:dyDescent="0.2">
      <c r="A24" t="s">
        <v>619</v>
      </c>
      <c r="B24" s="155">
        <v>43103</v>
      </c>
      <c r="C24" t="s">
        <v>564</v>
      </c>
      <c r="D24">
        <v>-234.89</v>
      </c>
      <c r="E24" t="s">
        <v>573</v>
      </c>
      <c r="F24" t="s">
        <v>648</v>
      </c>
      <c r="I24" t="s">
        <v>1003</v>
      </c>
      <c r="J24" s="128"/>
      <c r="K24" s="128"/>
      <c r="L24" s="128"/>
    </row>
    <row r="25" spans="1:12" x14ac:dyDescent="0.2">
      <c r="A25" t="s">
        <v>619</v>
      </c>
      <c r="B25" s="155">
        <v>43103</v>
      </c>
      <c r="C25" t="s">
        <v>564</v>
      </c>
      <c r="D25">
        <v>-226.77</v>
      </c>
      <c r="E25" t="s">
        <v>573</v>
      </c>
      <c r="F25" t="s">
        <v>649</v>
      </c>
      <c r="I25" t="s">
        <v>1003</v>
      </c>
      <c r="J25" s="128"/>
      <c r="K25" s="128"/>
      <c r="L25" s="128"/>
    </row>
    <row r="26" spans="1:12" x14ac:dyDescent="0.2">
      <c r="A26" t="s">
        <v>619</v>
      </c>
      <c r="B26" s="155">
        <v>43103</v>
      </c>
      <c r="C26" t="s">
        <v>564</v>
      </c>
      <c r="D26">
        <v>-186.24</v>
      </c>
      <c r="E26" t="s">
        <v>573</v>
      </c>
      <c r="F26" t="s">
        <v>650</v>
      </c>
      <c r="I26" t="s">
        <v>1003</v>
      </c>
      <c r="J26" s="128"/>
      <c r="K26" s="128"/>
      <c r="L26" s="128"/>
    </row>
    <row r="27" spans="1:12" x14ac:dyDescent="0.2">
      <c r="A27" t="s">
        <v>619</v>
      </c>
      <c r="B27" s="155">
        <v>43103</v>
      </c>
      <c r="C27" t="s">
        <v>564</v>
      </c>
      <c r="D27">
        <v>-226.6</v>
      </c>
      <c r="E27" t="s">
        <v>573</v>
      </c>
      <c r="F27" t="s">
        <v>651</v>
      </c>
      <c r="I27" t="s">
        <v>1003</v>
      </c>
      <c r="J27" s="128"/>
      <c r="K27" s="128"/>
      <c r="L27" s="128"/>
    </row>
    <row r="28" spans="1:12" x14ac:dyDescent="0.2">
      <c r="A28" t="s">
        <v>619</v>
      </c>
      <c r="B28" s="155">
        <v>43103</v>
      </c>
      <c r="C28" t="s">
        <v>564</v>
      </c>
      <c r="D28">
        <v>-186.13</v>
      </c>
      <c r="E28" t="s">
        <v>573</v>
      </c>
      <c r="F28" t="s">
        <v>652</v>
      </c>
      <c r="I28" t="s">
        <v>1003</v>
      </c>
      <c r="J28" s="128"/>
      <c r="K28" s="128"/>
      <c r="L28" s="128"/>
    </row>
    <row r="29" spans="1:12" x14ac:dyDescent="0.2">
      <c r="A29" t="s">
        <v>619</v>
      </c>
      <c r="B29" s="155">
        <v>43103</v>
      </c>
      <c r="C29" t="s">
        <v>564</v>
      </c>
      <c r="D29">
        <v>-143.55000000000001</v>
      </c>
      <c r="E29" t="s">
        <v>573</v>
      </c>
      <c r="F29" t="s">
        <v>653</v>
      </c>
      <c r="I29" t="s">
        <v>1003</v>
      </c>
      <c r="J29" s="128"/>
      <c r="K29" s="128"/>
      <c r="L29" s="128"/>
    </row>
    <row r="30" spans="1:12" x14ac:dyDescent="0.2">
      <c r="A30" t="s">
        <v>619</v>
      </c>
      <c r="B30" s="155">
        <v>43103</v>
      </c>
      <c r="C30" t="s">
        <v>564</v>
      </c>
      <c r="D30">
        <v>-159.34</v>
      </c>
      <c r="E30" t="s">
        <v>573</v>
      </c>
      <c r="F30" t="s">
        <v>654</v>
      </c>
      <c r="I30" t="s">
        <v>1003</v>
      </c>
      <c r="J30" s="128"/>
      <c r="K30" s="128"/>
      <c r="L30" s="128"/>
    </row>
    <row r="31" spans="1:12" x14ac:dyDescent="0.2">
      <c r="A31" t="s">
        <v>619</v>
      </c>
      <c r="B31" s="155">
        <v>43103</v>
      </c>
      <c r="C31" t="s">
        <v>564</v>
      </c>
      <c r="D31">
        <v>-159.38</v>
      </c>
      <c r="E31" t="s">
        <v>573</v>
      </c>
      <c r="F31" t="s">
        <v>655</v>
      </c>
      <c r="I31" t="s">
        <v>1003</v>
      </c>
      <c r="J31" s="128"/>
      <c r="K31" s="128"/>
      <c r="L31" s="128"/>
    </row>
    <row r="32" spans="1:12" x14ac:dyDescent="0.2">
      <c r="A32" t="s">
        <v>619</v>
      </c>
      <c r="B32" s="155">
        <v>43103</v>
      </c>
      <c r="C32" t="s">
        <v>564</v>
      </c>
      <c r="D32">
        <v>-152.33000000000001</v>
      </c>
      <c r="E32" t="s">
        <v>573</v>
      </c>
      <c r="F32" t="s">
        <v>656</v>
      </c>
      <c r="I32" t="s">
        <v>1003</v>
      </c>
      <c r="J32" s="128"/>
      <c r="K32" s="128"/>
      <c r="L32" s="128"/>
    </row>
    <row r="33" spans="1:12" x14ac:dyDescent="0.2">
      <c r="A33" t="s">
        <v>619</v>
      </c>
      <c r="B33" s="155">
        <v>43103</v>
      </c>
      <c r="C33" t="s">
        <v>564</v>
      </c>
      <c r="D33">
        <v>-145.46</v>
      </c>
      <c r="E33" t="s">
        <v>573</v>
      </c>
      <c r="F33" t="s">
        <v>657</v>
      </c>
      <c r="I33" t="s">
        <v>1003</v>
      </c>
      <c r="J33" s="128"/>
      <c r="K33" s="128"/>
      <c r="L33" s="128"/>
    </row>
    <row r="34" spans="1:12" x14ac:dyDescent="0.2">
      <c r="A34" t="s">
        <v>619</v>
      </c>
      <c r="B34" s="155">
        <v>43105</v>
      </c>
      <c r="C34" t="s">
        <v>564</v>
      </c>
      <c r="D34">
        <v>482.56</v>
      </c>
      <c r="E34" t="s">
        <v>580</v>
      </c>
      <c r="F34" t="s">
        <v>581</v>
      </c>
      <c r="I34" t="s">
        <v>1002</v>
      </c>
      <c r="J34" s="136"/>
      <c r="K34" s="128"/>
      <c r="L34" s="128"/>
    </row>
    <row r="35" spans="1:12" x14ac:dyDescent="0.2">
      <c r="A35" t="s">
        <v>619</v>
      </c>
      <c r="B35" s="155">
        <v>43109</v>
      </c>
      <c r="C35" t="s">
        <v>564</v>
      </c>
      <c r="D35">
        <v>-435</v>
      </c>
      <c r="E35" t="s">
        <v>615</v>
      </c>
      <c r="F35" t="s">
        <v>658</v>
      </c>
      <c r="G35" t="s">
        <v>476</v>
      </c>
      <c r="H35" s="136"/>
      <c r="I35" t="s">
        <v>1004</v>
      </c>
      <c r="J35" s="136"/>
      <c r="K35" s="128"/>
      <c r="L35" s="128"/>
    </row>
    <row r="36" spans="1:12" x14ac:dyDescent="0.2">
      <c r="A36" t="s">
        <v>619</v>
      </c>
      <c r="B36" s="155">
        <v>43109</v>
      </c>
      <c r="C36" t="s">
        <v>564</v>
      </c>
      <c r="D36">
        <v>-32.049999999999997</v>
      </c>
      <c r="E36" t="s">
        <v>578</v>
      </c>
      <c r="F36" s="56" t="s">
        <v>1000</v>
      </c>
      <c r="H36" s="128"/>
      <c r="I36" t="s">
        <v>1002</v>
      </c>
      <c r="J36" s="136"/>
      <c r="K36" s="128"/>
      <c r="L36" s="128"/>
    </row>
    <row r="37" spans="1:12" x14ac:dyDescent="0.2">
      <c r="A37" t="s">
        <v>619</v>
      </c>
      <c r="B37" s="155">
        <v>43109</v>
      </c>
      <c r="C37" t="s">
        <v>564</v>
      </c>
      <c r="D37">
        <v>-19.940000000000001</v>
      </c>
      <c r="E37" t="s">
        <v>573</v>
      </c>
      <c r="F37" t="s">
        <v>597</v>
      </c>
      <c r="H37" s="136"/>
      <c r="I37" t="s">
        <v>1003</v>
      </c>
      <c r="J37" s="136"/>
      <c r="K37" s="128"/>
      <c r="L37" s="128"/>
    </row>
    <row r="38" spans="1:12" x14ac:dyDescent="0.2">
      <c r="A38" t="s">
        <v>619</v>
      </c>
      <c r="B38" s="155">
        <v>43110</v>
      </c>
      <c r="C38" t="s">
        <v>564</v>
      </c>
      <c r="D38">
        <v>464</v>
      </c>
      <c r="E38" t="s">
        <v>580</v>
      </c>
      <c r="F38" t="s">
        <v>583</v>
      </c>
      <c r="H38" s="136"/>
      <c r="I38" t="s">
        <v>1002</v>
      </c>
      <c r="J38" s="136"/>
      <c r="K38" s="128"/>
      <c r="L38" s="128"/>
    </row>
    <row r="39" spans="1:12" x14ac:dyDescent="0.2">
      <c r="A39" t="s">
        <v>619</v>
      </c>
      <c r="B39" s="155">
        <v>43110</v>
      </c>
      <c r="C39" t="s">
        <v>564</v>
      </c>
      <c r="D39">
        <v>196.4</v>
      </c>
      <c r="E39" t="s">
        <v>580</v>
      </c>
      <c r="F39" t="s">
        <v>598</v>
      </c>
      <c r="H39" s="128"/>
      <c r="I39" t="s">
        <v>1002</v>
      </c>
      <c r="J39" s="128"/>
      <c r="K39" s="128"/>
      <c r="L39" s="128"/>
    </row>
    <row r="40" spans="1:12" x14ac:dyDescent="0.2">
      <c r="A40" t="s">
        <v>619</v>
      </c>
      <c r="B40" s="155">
        <v>43110</v>
      </c>
      <c r="C40" t="s">
        <v>564</v>
      </c>
      <c r="D40">
        <v>132.51</v>
      </c>
      <c r="E40" t="s">
        <v>580</v>
      </c>
      <c r="F40" t="s">
        <v>584</v>
      </c>
      <c r="H40" s="128"/>
      <c r="I40" t="s">
        <v>1002</v>
      </c>
      <c r="J40" s="128"/>
      <c r="K40" s="128"/>
      <c r="L40" s="128"/>
    </row>
    <row r="41" spans="1:12" x14ac:dyDescent="0.2">
      <c r="A41" t="s">
        <v>619</v>
      </c>
      <c r="B41" s="155">
        <v>43110</v>
      </c>
      <c r="C41" t="s">
        <v>564</v>
      </c>
      <c r="D41">
        <v>-925</v>
      </c>
      <c r="E41" t="s">
        <v>615</v>
      </c>
      <c r="F41" t="s">
        <v>659</v>
      </c>
      <c r="G41" t="s">
        <v>469</v>
      </c>
      <c r="H41" s="136" t="s">
        <v>1075</v>
      </c>
      <c r="I41" t="s">
        <v>1004</v>
      </c>
      <c r="J41" s="136"/>
      <c r="K41" s="128"/>
      <c r="L41" s="128"/>
    </row>
    <row r="42" spans="1:12" x14ac:dyDescent="0.2">
      <c r="A42" t="s">
        <v>619</v>
      </c>
      <c r="B42" s="155">
        <v>43110</v>
      </c>
      <c r="C42" t="s">
        <v>564</v>
      </c>
      <c r="D42">
        <v>-82.6</v>
      </c>
      <c r="E42" t="s">
        <v>573</v>
      </c>
      <c r="F42" t="s">
        <v>600</v>
      </c>
      <c r="H42" s="136"/>
      <c r="I42" t="s">
        <v>1003</v>
      </c>
      <c r="J42" s="136"/>
      <c r="K42" s="128"/>
      <c r="L42" s="128"/>
    </row>
    <row r="43" spans="1:12" x14ac:dyDescent="0.2">
      <c r="A43" t="s">
        <v>619</v>
      </c>
      <c r="B43" s="155">
        <v>43111</v>
      </c>
      <c r="C43" t="s">
        <v>564</v>
      </c>
      <c r="D43">
        <v>613.16</v>
      </c>
      <c r="E43" t="s">
        <v>580</v>
      </c>
      <c r="F43" t="s">
        <v>604</v>
      </c>
      <c r="H43" s="128"/>
      <c r="I43" t="s">
        <v>1002</v>
      </c>
      <c r="J43" s="136"/>
      <c r="K43" s="128"/>
      <c r="L43" s="128"/>
    </row>
    <row r="44" spans="1:12" x14ac:dyDescent="0.2">
      <c r="A44" t="s">
        <v>619</v>
      </c>
      <c r="B44" s="155">
        <v>43111</v>
      </c>
      <c r="C44" t="s">
        <v>564</v>
      </c>
      <c r="D44">
        <v>603.20000000000005</v>
      </c>
      <c r="E44" t="s">
        <v>580</v>
      </c>
      <c r="F44" t="s">
        <v>606</v>
      </c>
      <c r="H44" s="128"/>
      <c r="I44" t="s">
        <v>1002</v>
      </c>
      <c r="J44" s="136"/>
      <c r="K44" s="128"/>
      <c r="L44" s="128"/>
    </row>
    <row r="45" spans="1:12" x14ac:dyDescent="0.2">
      <c r="A45" t="s">
        <v>619</v>
      </c>
      <c r="B45" s="155">
        <v>43111</v>
      </c>
      <c r="C45" t="s">
        <v>564</v>
      </c>
      <c r="D45">
        <v>324.8</v>
      </c>
      <c r="E45" t="s">
        <v>580</v>
      </c>
      <c r="F45" t="s">
        <v>602</v>
      </c>
      <c r="H45" s="128"/>
      <c r="I45" t="s">
        <v>1002</v>
      </c>
      <c r="J45" s="128"/>
      <c r="K45" s="128"/>
      <c r="L45" s="128"/>
    </row>
    <row r="46" spans="1:12" x14ac:dyDescent="0.2">
      <c r="A46" t="s">
        <v>619</v>
      </c>
      <c r="B46" s="155">
        <v>43112</v>
      </c>
      <c r="C46" t="s">
        <v>564</v>
      </c>
      <c r="D46">
        <v>358.98</v>
      </c>
      <c r="E46" t="s">
        <v>580</v>
      </c>
      <c r="F46" t="s">
        <v>586</v>
      </c>
      <c r="H46" s="136"/>
      <c r="I46" t="s">
        <v>1002</v>
      </c>
      <c r="J46" s="128"/>
      <c r="K46" s="128"/>
      <c r="L46" s="128"/>
    </row>
    <row r="47" spans="1:12" x14ac:dyDescent="0.2">
      <c r="A47" t="s">
        <v>619</v>
      </c>
      <c r="B47" s="155">
        <v>43112</v>
      </c>
      <c r="C47" t="s">
        <v>564</v>
      </c>
      <c r="D47">
        <v>-25</v>
      </c>
      <c r="E47" t="s">
        <v>615</v>
      </c>
      <c r="F47" t="s">
        <v>660</v>
      </c>
      <c r="G47" s="56" t="s">
        <v>559</v>
      </c>
      <c r="H47" s="136"/>
      <c r="I47" t="s">
        <v>1004</v>
      </c>
      <c r="J47" s="128"/>
      <c r="K47" s="128"/>
      <c r="L47" s="128"/>
    </row>
    <row r="48" spans="1:12" x14ac:dyDescent="0.2">
      <c r="A48" t="s">
        <v>619</v>
      </c>
      <c r="B48" s="155">
        <v>43112</v>
      </c>
      <c r="C48" t="s">
        <v>564</v>
      </c>
      <c r="D48">
        <v>-140.36000000000001</v>
      </c>
      <c r="E48" t="s">
        <v>573</v>
      </c>
      <c r="F48" t="s">
        <v>599</v>
      </c>
      <c r="H48" s="136"/>
      <c r="I48" t="s">
        <v>1003</v>
      </c>
      <c r="J48" s="128"/>
      <c r="K48" s="128"/>
      <c r="L48" s="128"/>
    </row>
    <row r="49" spans="1:12" x14ac:dyDescent="0.2">
      <c r="A49" t="s">
        <v>619</v>
      </c>
      <c r="B49" s="155">
        <v>43115</v>
      </c>
      <c r="C49" t="s">
        <v>564</v>
      </c>
      <c r="D49">
        <v>16.5</v>
      </c>
      <c r="E49" t="s">
        <v>580</v>
      </c>
      <c r="F49" t="s">
        <v>587</v>
      </c>
      <c r="H49" s="136"/>
      <c r="I49" t="s">
        <v>1002</v>
      </c>
      <c r="J49" s="128"/>
      <c r="K49" s="128"/>
      <c r="L49" s="128"/>
    </row>
    <row r="50" spans="1:12" x14ac:dyDescent="0.2">
      <c r="A50" t="s">
        <v>619</v>
      </c>
      <c r="B50" s="155">
        <v>43115</v>
      </c>
      <c r="C50" t="s">
        <v>564</v>
      </c>
      <c r="D50" s="160">
        <v>-64.989999999999995</v>
      </c>
      <c r="E50" t="s">
        <v>578</v>
      </c>
      <c r="F50" t="s">
        <v>661</v>
      </c>
      <c r="H50" s="128"/>
      <c r="I50" t="s">
        <v>1002</v>
      </c>
      <c r="J50" s="128"/>
      <c r="K50" s="128"/>
      <c r="L50" s="128"/>
    </row>
    <row r="51" spans="1:12" x14ac:dyDescent="0.2">
      <c r="A51" t="s">
        <v>619</v>
      </c>
      <c r="B51" s="155">
        <v>43115</v>
      </c>
      <c r="C51" t="s">
        <v>564</v>
      </c>
      <c r="D51">
        <v>-476.44</v>
      </c>
      <c r="E51" t="s">
        <v>573</v>
      </c>
      <c r="F51" t="s">
        <v>607</v>
      </c>
      <c r="H51" s="128"/>
      <c r="I51" t="s">
        <v>1002</v>
      </c>
      <c r="J51" s="137"/>
      <c r="K51" s="128"/>
      <c r="L51" s="128"/>
    </row>
    <row r="52" spans="1:12" x14ac:dyDescent="0.2">
      <c r="A52" t="s">
        <v>619</v>
      </c>
      <c r="B52" s="155">
        <v>43115</v>
      </c>
      <c r="C52" t="s">
        <v>564</v>
      </c>
      <c r="D52">
        <v>-219.7</v>
      </c>
      <c r="E52" t="s">
        <v>573</v>
      </c>
      <c r="F52" t="s">
        <v>608</v>
      </c>
      <c r="H52" s="128"/>
      <c r="I52" t="s">
        <v>1003</v>
      </c>
      <c r="J52" s="128"/>
      <c r="K52" s="128"/>
      <c r="L52" s="128"/>
    </row>
    <row r="53" spans="1:12" x14ac:dyDescent="0.2">
      <c r="A53" t="s">
        <v>619</v>
      </c>
      <c r="B53" s="155">
        <v>43115</v>
      </c>
      <c r="C53" t="s">
        <v>564</v>
      </c>
      <c r="D53">
        <v>-184.79</v>
      </c>
      <c r="E53" t="s">
        <v>573</v>
      </c>
      <c r="F53" t="s">
        <v>609</v>
      </c>
      <c r="H53" s="136"/>
      <c r="I53" t="s">
        <v>1003</v>
      </c>
      <c r="J53" s="136"/>
      <c r="K53" s="128"/>
      <c r="L53" s="128"/>
    </row>
    <row r="54" spans="1:12" x14ac:dyDescent="0.2">
      <c r="A54" t="s">
        <v>619</v>
      </c>
      <c r="B54" s="155">
        <v>43115</v>
      </c>
      <c r="C54" t="s">
        <v>564</v>
      </c>
      <c r="D54">
        <v>-44</v>
      </c>
      <c r="E54" t="s">
        <v>613</v>
      </c>
      <c r="F54" t="s">
        <v>662</v>
      </c>
      <c r="H54" s="128"/>
      <c r="I54" t="s">
        <v>1002</v>
      </c>
      <c r="J54" s="128"/>
      <c r="K54" s="128"/>
      <c r="L54" s="128"/>
    </row>
    <row r="55" spans="1:12" x14ac:dyDescent="0.2">
      <c r="A55" t="s">
        <v>619</v>
      </c>
      <c r="B55" s="155">
        <v>43116</v>
      </c>
      <c r="C55" t="s">
        <v>564</v>
      </c>
      <c r="D55">
        <v>69.45</v>
      </c>
      <c r="E55" t="s">
        <v>580</v>
      </c>
      <c r="F55" t="s">
        <v>601</v>
      </c>
      <c r="H55" s="128"/>
      <c r="I55" t="s">
        <v>1002</v>
      </c>
      <c r="J55" s="128"/>
      <c r="K55" s="128"/>
      <c r="L55" s="128"/>
    </row>
    <row r="56" spans="1:12" x14ac:dyDescent="0.2">
      <c r="A56" t="s">
        <v>619</v>
      </c>
      <c r="B56" s="155">
        <v>43116</v>
      </c>
      <c r="C56" t="s">
        <v>564</v>
      </c>
      <c r="D56">
        <v>-1183.6400000000001</v>
      </c>
      <c r="E56" t="s">
        <v>615</v>
      </c>
      <c r="F56" t="s">
        <v>663</v>
      </c>
      <c r="H56" s="136" t="s">
        <v>996</v>
      </c>
      <c r="I56" t="s">
        <v>1002</v>
      </c>
      <c r="J56" s="128"/>
      <c r="K56" s="128"/>
      <c r="L56" s="128"/>
    </row>
    <row r="57" spans="1:12" x14ac:dyDescent="0.2">
      <c r="A57" t="s">
        <v>619</v>
      </c>
      <c r="B57" s="155">
        <v>43116</v>
      </c>
      <c r="C57" t="s">
        <v>564</v>
      </c>
      <c r="D57">
        <v>-9.36</v>
      </c>
      <c r="E57" t="s">
        <v>578</v>
      </c>
      <c r="F57" t="s">
        <v>664</v>
      </c>
      <c r="H57" s="136"/>
      <c r="I57" t="s">
        <v>1002</v>
      </c>
      <c r="J57" s="136" t="s">
        <v>997</v>
      </c>
      <c r="K57" s="128"/>
      <c r="L57" s="128"/>
    </row>
    <row r="58" spans="1:12" x14ac:dyDescent="0.2">
      <c r="A58" t="s">
        <v>619</v>
      </c>
      <c r="B58" s="155">
        <v>43116</v>
      </c>
      <c r="C58" t="s">
        <v>564</v>
      </c>
      <c r="D58">
        <v>-14.67</v>
      </c>
      <c r="E58" t="s">
        <v>573</v>
      </c>
      <c r="F58" t="s">
        <v>610</v>
      </c>
      <c r="H58" s="136"/>
      <c r="I58" t="s">
        <v>1003</v>
      </c>
      <c r="J58" s="136"/>
      <c r="K58" s="128"/>
      <c r="L58" s="128"/>
    </row>
    <row r="59" spans="1:12" x14ac:dyDescent="0.2">
      <c r="A59" t="s">
        <v>619</v>
      </c>
      <c r="B59" s="155">
        <v>43116</v>
      </c>
      <c r="C59" t="s">
        <v>564</v>
      </c>
      <c r="D59">
        <v>-190.58</v>
      </c>
      <c r="E59" t="s">
        <v>573</v>
      </c>
      <c r="F59" t="s">
        <v>611</v>
      </c>
      <c r="H59" s="128"/>
      <c r="I59" t="s">
        <v>1003</v>
      </c>
      <c r="J59" s="128"/>
      <c r="K59" s="128"/>
      <c r="L59" s="128"/>
    </row>
    <row r="60" spans="1:12" x14ac:dyDescent="0.2">
      <c r="A60" t="s">
        <v>619</v>
      </c>
      <c r="B60" s="155">
        <v>43117</v>
      </c>
      <c r="C60" t="s">
        <v>564</v>
      </c>
      <c r="D60">
        <v>510.4</v>
      </c>
      <c r="E60" t="s">
        <v>580</v>
      </c>
      <c r="F60" t="s">
        <v>603</v>
      </c>
      <c r="H60" s="128"/>
      <c r="I60" t="s">
        <v>1002</v>
      </c>
      <c r="J60" s="128"/>
      <c r="K60" s="128"/>
      <c r="L60" s="128"/>
    </row>
    <row r="61" spans="1:12" x14ac:dyDescent="0.2">
      <c r="A61" t="s">
        <v>619</v>
      </c>
      <c r="B61" s="155">
        <v>43117</v>
      </c>
      <c r="C61" t="s">
        <v>564</v>
      </c>
      <c r="D61">
        <v>81.91</v>
      </c>
      <c r="E61" t="s">
        <v>580</v>
      </c>
      <c r="F61" t="s">
        <v>589</v>
      </c>
      <c r="H61" s="128"/>
      <c r="I61" t="s">
        <v>1002</v>
      </c>
      <c r="J61" s="128"/>
      <c r="K61" s="128"/>
      <c r="L61" s="128"/>
    </row>
    <row r="62" spans="1:12" x14ac:dyDescent="0.2">
      <c r="A62" t="s">
        <v>619</v>
      </c>
      <c r="B62" s="155">
        <v>43118</v>
      </c>
      <c r="C62" t="s">
        <v>564</v>
      </c>
      <c r="D62">
        <v>432.56</v>
      </c>
      <c r="E62" t="s">
        <v>580</v>
      </c>
      <c r="F62" t="s">
        <v>590</v>
      </c>
      <c r="H62" s="128"/>
      <c r="I62" t="s">
        <v>1002</v>
      </c>
      <c r="J62" s="136"/>
      <c r="K62" s="128"/>
      <c r="L62" s="128"/>
    </row>
    <row r="63" spans="1:12" x14ac:dyDescent="0.2">
      <c r="A63" t="s">
        <v>619</v>
      </c>
      <c r="B63" s="155">
        <v>43118</v>
      </c>
      <c r="C63" t="s">
        <v>564</v>
      </c>
      <c r="D63">
        <v>432.55</v>
      </c>
      <c r="E63" t="s">
        <v>580</v>
      </c>
      <c r="F63" t="s">
        <v>623</v>
      </c>
      <c r="H63" s="128"/>
      <c r="I63" t="s">
        <v>1002</v>
      </c>
      <c r="J63" s="128"/>
      <c r="K63" s="128"/>
      <c r="L63" s="128"/>
    </row>
    <row r="64" spans="1:12" x14ac:dyDescent="0.2">
      <c r="A64" t="s">
        <v>619</v>
      </c>
      <c r="B64" s="155">
        <v>43118</v>
      </c>
      <c r="C64" t="s">
        <v>564</v>
      </c>
      <c r="D64">
        <v>428.3</v>
      </c>
      <c r="E64" t="s">
        <v>580</v>
      </c>
      <c r="F64" t="s">
        <v>593</v>
      </c>
      <c r="H64" s="128"/>
      <c r="I64" t="s">
        <v>1002</v>
      </c>
      <c r="J64" s="136"/>
      <c r="K64" s="128"/>
      <c r="L64" s="128"/>
    </row>
    <row r="65" spans="1:12" x14ac:dyDescent="0.2">
      <c r="A65" t="s">
        <v>619</v>
      </c>
      <c r="B65" s="155">
        <v>43118</v>
      </c>
      <c r="C65" t="s">
        <v>564</v>
      </c>
      <c r="D65">
        <v>428.3</v>
      </c>
      <c r="E65" t="s">
        <v>580</v>
      </c>
      <c r="F65" t="s">
        <v>592</v>
      </c>
      <c r="H65" s="128"/>
      <c r="I65" t="s">
        <v>1002</v>
      </c>
      <c r="J65" s="128"/>
      <c r="K65" s="128"/>
      <c r="L65" s="128"/>
    </row>
    <row r="66" spans="1:12" x14ac:dyDescent="0.2">
      <c r="A66" t="s">
        <v>619</v>
      </c>
      <c r="B66" s="155">
        <v>43118</v>
      </c>
      <c r="C66" t="s">
        <v>564</v>
      </c>
      <c r="D66">
        <v>428.29</v>
      </c>
      <c r="E66" t="s">
        <v>580</v>
      </c>
      <c r="F66" t="s">
        <v>588</v>
      </c>
      <c r="H66" s="128"/>
      <c r="I66" t="s">
        <v>1002</v>
      </c>
      <c r="J66" s="128"/>
      <c r="K66" s="128"/>
      <c r="L66" s="128"/>
    </row>
    <row r="67" spans="1:12" x14ac:dyDescent="0.2">
      <c r="A67" t="s">
        <v>619</v>
      </c>
      <c r="B67" s="155">
        <v>43118</v>
      </c>
      <c r="C67" t="s">
        <v>564</v>
      </c>
      <c r="D67">
        <v>410.22</v>
      </c>
      <c r="E67" t="s">
        <v>580</v>
      </c>
      <c r="F67" t="s">
        <v>624</v>
      </c>
      <c r="H67" s="136"/>
      <c r="I67" t="s">
        <v>1002</v>
      </c>
      <c r="J67" s="136"/>
      <c r="K67" s="128"/>
      <c r="L67" s="128"/>
    </row>
    <row r="68" spans="1:12" x14ac:dyDescent="0.2">
      <c r="A68" t="s">
        <v>619</v>
      </c>
      <c r="B68" s="155">
        <v>43118</v>
      </c>
      <c r="C68" t="s">
        <v>564</v>
      </c>
      <c r="D68">
        <v>394.55</v>
      </c>
      <c r="E68" t="s">
        <v>580</v>
      </c>
      <c r="F68" t="s">
        <v>601</v>
      </c>
      <c r="H68" s="128"/>
      <c r="I68" t="s">
        <v>1002</v>
      </c>
      <c r="J68" s="128"/>
      <c r="K68" s="128"/>
      <c r="L68" s="128"/>
    </row>
    <row r="69" spans="1:12" x14ac:dyDescent="0.2">
      <c r="A69" t="s">
        <v>619</v>
      </c>
      <c r="B69" s="155">
        <v>43118</v>
      </c>
      <c r="C69" t="s">
        <v>564</v>
      </c>
      <c r="D69">
        <v>386.73</v>
      </c>
      <c r="E69" t="s">
        <v>580</v>
      </c>
      <c r="F69" t="s">
        <v>589</v>
      </c>
      <c r="H69" s="128"/>
      <c r="I69" t="s">
        <v>1002</v>
      </c>
      <c r="J69" s="136"/>
      <c r="K69" s="128"/>
      <c r="L69" s="128"/>
    </row>
    <row r="70" spans="1:12" x14ac:dyDescent="0.2">
      <c r="A70" t="s">
        <v>619</v>
      </c>
      <c r="B70" s="155">
        <v>43118</v>
      </c>
      <c r="C70" t="s">
        <v>564</v>
      </c>
      <c r="D70">
        <v>385.5</v>
      </c>
      <c r="E70" t="s">
        <v>580</v>
      </c>
      <c r="F70" t="s">
        <v>620</v>
      </c>
      <c r="H70" s="128"/>
      <c r="I70" t="s">
        <v>1002</v>
      </c>
      <c r="J70" s="136"/>
      <c r="K70" s="128"/>
      <c r="L70" s="128"/>
    </row>
    <row r="71" spans="1:12" x14ac:dyDescent="0.2">
      <c r="A71" t="s">
        <v>619</v>
      </c>
      <c r="B71" s="155">
        <v>43118</v>
      </c>
      <c r="C71" t="s">
        <v>564</v>
      </c>
      <c r="D71">
        <v>364.18</v>
      </c>
      <c r="E71" t="s">
        <v>580</v>
      </c>
      <c r="F71" t="s">
        <v>587</v>
      </c>
      <c r="H71" s="128"/>
      <c r="I71" t="s">
        <v>1002</v>
      </c>
      <c r="J71" s="136"/>
      <c r="K71" s="128"/>
      <c r="L71" s="128"/>
    </row>
    <row r="72" spans="1:12" x14ac:dyDescent="0.2">
      <c r="A72" t="s">
        <v>619</v>
      </c>
      <c r="B72" s="155">
        <v>43118</v>
      </c>
      <c r="C72" t="s">
        <v>564</v>
      </c>
      <c r="D72">
        <v>354.69</v>
      </c>
      <c r="E72" t="s">
        <v>580</v>
      </c>
      <c r="F72" t="s">
        <v>584</v>
      </c>
      <c r="H72" s="136"/>
      <c r="I72" t="s">
        <v>1002</v>
      </c>
      <c r="J72" s="136"/>
      <c r="K72" s="128"/>
      <c r="L72" s="128"/>
    </row>
    <row r="73" spans="1:12" x14ac:dyDescent="0.2">
      <c r="A73" t="s">
        <v>619</v>
      </c>
      <c r="B73" s="155">
        <v>43118</v>
      </c>
      <c r="C73" t="s">
        <v>564</v>
      </c>
      <c r="D73">
        <v>324.8</v>
      </c>
      <c r="E73" t="s">
        <v>580</v>
      </c>
      <c r="F73" t="s">
        <v>605</v>
      </c>
      <c r="H73" s="128"/>
      <c r="I73" t="s">
        <v>1002</v>
      </c>
      <c r="J73" s="136"/>
      <c r="K73" s="128"/>
      <c r="L73" s="128"/>
    </row>
    <row r="74" spans="1:12" x14ac:dyDescent="0.2">
      <c r="A74" t="s">
        <v>619</v>
      </c>
      <c r="B74" s="155">
        <v>43118</v>
      </c>
      <c r="C74" t="s">
        <v>564</v>
      </c>
      <c r="D74">
        <v>267.60000000000002</v>
      </c>
      <c r="E74" t="s">
        <v>580</v>
      </c>
      <c r="F74" t="s">
        <v>598</v>
      </c>
      <c r="H74" s="136"/>
      <c r="I74" t="s">
        <v>1002</v>
      </c>
      <c r="J74" s="136"/>
      <c r="K74" s="128"/>
      <c r="L74" s="128"/>
    </row>
    <row r="75" spans="1:12" x14ac:dyDescent="0.2">
      <c r="A75" t="s">
        <v>619</v>
      </c>
      <c r="B75" s="155">
        <v>43118</v>
      </c>
      <c r="C75" t="s">
        <v>564</v>
      </c>
      <c r="D75">
        <v>107.81</v>
      </c>
      <c r="E75" t="s">
        <v>580</v>
      </c>
      <c r="F75" t="s">
        <v>591</v>
      </c>
      <c r="H75" s="128"/>
      <c r="I75" t="s">
        <v>1002</v>
      </c>
      <c r="J75" s="136"/>
      <c r="K75" s="128"/>
      <c r="L75" s="128"/>
    </row>
    <row r="76" spans="1:12" x14ac:dyDescent="0.2">
      <c r="A76" t="s">
        <v>619</v>
      </c>
      <c r="B76" s="155">
        <v>43118</v>
      </c>
      <c r="C76" t="s">
        <v>564</v>
      </c>
      <c r="D76">
        <v>107.8</v>
      </c>
      <c r="E76" t="s">
        <v>580</v>
      </c>
      <c r="F76" t="s">
        <v>595</v>
      </c>
      <c r="H76" s="128"/>
      <c r="I76" t="s">
        <v>1002</v>
      </c>
      <c r="J76" s="136"/>
      <c r="K76" s="128"/>
      <c r="L76" s="128"/>
    </row>
    <row r="77" spans="1:12" x14ac:dyDescent="0.2">
      <c r="A77" t="s">
        <v>619</v>
      </c>
      <c r="B77" s="155">
        <v>43118</v>
      </c>
      <c r="C77" t="s">
        <v>564</v>
      </c>
      <c r="D77">
        <v>107.8</v>
      </c>
      <c r="E77" t="s">
        <v>580</v>
      </c>
      <c r="F77" t="s">
        <v>596</v>
      </c>
      <c r="H77" s="128"/>
      <c r="I77" t="s">
        <v>1002</v>
      </c>
      <c r="J77" s="128"/>
      <c r="K77" s="128"/>
      <c r="L77" s="128"/>
    </row>
    <row r="78" spans="1:12" x14ac:dyDescent="0.2">
      <c r="A78" t="s">
        <v>619</v>
      </c>
      <c r="B78" s="155">
        <v>43118</v>
      </c>
      <c r="C78" t="s">
        <v>564</v>
      </c>
      <c r="D78">
        <v>107.8</v>
      </c>
      <c r="E78" t="s">
        <v>580</v>
      </c>
      <c r="F78" t="s">
        <v>582</v>
      </c>
      <c r="H78" s="137"/>
      <c r="I78" t="s">
        <v>1002</v>
      </c>
      <c r="J78" s="136"/>
      <c r="K78" s="128"/>
      <c r="L78" s="128"/>
    </row>
    <row r="79" spans="1:12" x14ac:dyDescent="0.2">
      <c r="A79" t="s">
        <v>619</v>
      </c>
      <c r="B79" s="155">
        <v>43118</v>
      </c>
      <c r="C79" t="s">
        <v>564</v>
      </c>
      <c r="D79">
        <v>-145.03</v>
      </c>
      <c r="E79" t="s">
        <v>573</v>
      </c>
      <c r="F79" t="s">
        <v>612</v>
      </c>
      <c r="H79" s="137"/>
      <c r="I79" t="s">
        <v>1003</v>
      </c>
      <c r="J79" s="136"/>
      <c r="K79" s="128"/>
      <c r="L79" s="128"/>
    </row>
    <row r="80" spans="1:12" x14ac:dyDescent="0.2">
      <c r="A80" t="s">
        <v>619</v>
      </c>
      <c r="B80" s="155">
        <v>43119</v>
      </c>
      <c r="C80" t="s">
        <v>564</v>
      </c>
      <c r="D80">
        <v>338.35</v>
      </c>
      <c r="E80" t="s">
        <v>580</v>
      </c>
      <c r="F80" t="s">
        <v>594</v>
      </c>
      <c r="H80" s="128"/>
      <c r="I80" t="s">
        <v>1002</v>
      </c>
      <c r="J80" s="128"/>
      <c r="K80" s="128"/>
      <c r="L80" s="128"/>
    </row>
    <row r="81" spans="1:12" x14ac:dyDescent="0.2">
      <c r="A81" t="s">
        <v>619</v>
      </c>
      <c r="B81" s="155">
        <v>43122</v>
      </c>
      <c r="C81" t="s">
        <v>564</v>
      </c>
      <c r="D81">
        <v>-183.88</v>
      </c>
      <c r="E81" t="s">
        <v>573</v>
      </c>
      <c r="F81" t="s">
        <v>614</v>
      </c>
      <c r="H81" s="128"/>
      <c r="I81" t="s">
        <v>1003</v>
      </c>
      <c r="J81" s="128"/>
      <c r="K81" s="128"/>
      <c r="L81" s="128"/>
    </row>
    <row r="82" spans="1:12" x14ac:dyDescent="0.2">
      <c r="A82" t="s">
        <v>619</v>
      </c>
      <c r="B82" s="155">
        <v>43123</v>
      </c>
      <c r="C82" t="s">
        <v>564</v>
      </c>
      <c r="D82">
        <v>-290.74</v>
      </c>
      <c r="E82" t="s">
        <v>578</v>
      </c>
      <c r="F82" t="s">
        <v>665</v>
      </c>
      <c r="H82" s="128"/>
      <c r="I82" t="s">
        <v>1002</v>
      </c>
      <c r="J82" s="136" t="s">
        <v>997</v>
      </c>
      <c r="K82" s="128"/>
      <c r="L82" s="128"/>
    </row>
    <row r="83" spans="1:12" x14ac:dyDescent="0.2">
      <c r="A83" t="s">
        <v>619</v>
      </c>
      <c r="B83" s="155">
        <v>43124</v>
      </c>
      <c r="C83" t="s">
        <v>564</v>
      </c>
      <c r="D83">
        <v>320.49</v>
      </c>
      <c r="E83" t="s">
        <v>580</v>
      </c>
      <c r="F83" t="s">
        <v>591</v>
      </c>
      <c r="H83" s="128"/>
      <c r="I83" t="s">
        <v>1002</v>
      </c>
      <c r="J83" s="128"/>
      <c r="K83" s="128"/>
      <c r="L83" s="128"/>
    </row>
    <row r="84" spans="1:12" x14ac:dyDescent="0.2">
      <c r="A84" t="s">
        <v>619</v>
      </c>
      <c r="B84" s="155">
        <v>43124</v>
      </c>
      <c r="C84" t="s">
        <v>564</v>
      </c>
      <c r="D84">
        <v>-20</v>
      </c>
      <c r="E84" t="s">
        <v>578</v>
      </c>
      <c r="F84" t="s">
        <v>666</v>
      </c>
      <c r="H84" s="128"/>
      <c r="I84" t="s">
        <v>1002</v>
      </c>
      <c r="J84" s="128"/>
      <c r="K84" s="128"/>
      <c r="L84" s="128"/>
    </row>
    <row r="85" spans="1:12" x14ac:dyDescent="0.2">
      <c r="A85" t="s">
        <v>619</v>
      </c>
      <c r="B85" s="155">
        <v>43124</v>
      </c>
      <c r="C85" t="s">
        <v>564</v>
      </c>
      <c r="D85">
        <v>-8</v>
      </c>
      <c r="E85" t="s">
        <v>578</v>
      </c>
      <c r="F85" t="s">
        <v>666</v>
      </c>
      <c r="H85" s="128"/>
      <c r="I85" t="s">
        <v>1002</v>
      </c>
      <c r="J85" s="128"/>
      <c r="K85" s="128"/>
      <c r="L85" s="128"/>
    </row>
    <row r="86" spans="1:12" x14ac:dyDescent="0.2">
      <c r="A86" t="s">
        <v>619</v>
      </c>
      <c r="B86" s="155">
        <v>43125</v>
      </c>
      <c r="C86" t="s">
        <v>564</v>
      </c>
      <c r="D86">
        <v>320.5</v>
      </c>
      <c r="E86" t="s">
        <v>580</v>
      </c>
      <c r="F86" t="s">
        <v>596</v>
      </c>
      <c r="H86" s="128"/>
      <c r="I86" t="s">
        <v>1002</v>
      </c>
      <c r="J86" s="128"/>
      <c r="K86" s="128"/>
      <c r="L86" s="128"/>
    </row>
    <row r="87" spans="1:12" x14ac:dyDescent="0.2">
      <c r="A87" t="s">
        <v>619</v>
      </c>
      <c r="B87" s="155">
        <v>43125</v>
      </c>
      <c r="C87" t="s">
        <v>564</v>
      </c>
      <c r="D87">
        <v>-6</v>
      </c>
      <c r="E87" t="s">
        <v>578</v>
      </c>
      <c r="F87" t="s">
        <v>667</v>
      </c>
      <c r="H87" s="128"/>
      <c r="I87" t="s">
        <v>1002</v>
      </c>
      <c r="J87" s="136" t="s">
        <v>997</v>
      </c>
      <c r="K87" s="128"/>
      <c r="L87" s="128"/>
    </row>
    <row r="88" spans="1:12" x14ac:dyDescent="0.2">
      <c r="A88" t="s">
        <v>619</v>
      </c>
      <c r="B88" s="155">
        <v>43125</v>
      </c>
      <c r="C88" t="s">
        <v>564</v>
      </c>
      <c r="D88">
        <v>-795</v>
      </c>
      <c r="E88" t="s">
        <v>578</v>
      </c>
      <c r="F88" t="s">
        <v>668</v>
      </c>
      <c r="H88" s="136" t="s">
        <v>998</v>
      </c>
      <c r="I88" t="s">
        <v>1002</v>
      </c>
      <c r="J88" s="128"/>
      <c r="K88" s="128"/>
      <c r="L88" s="128"/>
    </row>
    <row r="89" spans="1:12" x14ac:dyDescent="0.2">
      <c r="A89" t="s">
        <v>619</v>
      </c>
      <c r="B89" s="155">
        <v>43125</v>
      </c>
      <c r="C89" t="s">
        <v>564</v>
      </c>
      <c r="D89" s="160">
        <v>-4.18</v>
      </c>
      <c r="E89" t="s">
        <v>578</v>
      </c>
      <c r="F89" t="s">
        <v>669</v>
      </c>
      <c r="H89" s="136"/>
      <c r="I89" t="s">
        <v>1002</v>
      </c>
      <c r="J89" s="128"/>
      <c r="K89" s="128"/>
      <c r="L89" s="128"/>
    </row>
    <row r="90" spans="1:12" x14ac:dyDescent="0.2">
      <c r="A90" t="s">
        <v>619</v>
      </c>
      <c r="B90" s="155">
        <v>43125</v>
      </c>
      <c r="C90" t="s">
        <v>564</v>
      </c>
      <c r="D90" s="160">
        <v>-4.18</v>
      </c>
      <c r="E90" t="s">
        <v>578</v>
      </c>
      <c r="F90" t="s">
        <v>669</v>
      </c>
      <c r="H90" s="128"/>
      <c r="I90" t="s">
        <v>1002</v>
      </c>
      <c r="J90" s="128"/>
      <c r="K90" s="128"/>
      <c r="L90" s="128"/>
    </row>
    <row r="91" spans="1:12" x14ac:dyDescent="0.2">
      <c r="A91" t="s">
        <v>619</v>
      </c>
      <c r="B91" s="155">
        <v>43125</v>
      </c>
      <c r="C91" t="s">
        <v>564</v>
      </c>
      <c r="D91">
        <v>-102</v>
      </c>
      <c r="E91" t="s">
        <v>565</v>
      </c>
      <c r="F91" t="s">
        <v>616</v>
      </c>
      <c r="H91" s="128"/>
      <c r="I91" t="s">
        <v>1002</v>
      </c>
      <c r="J91" s="128"/>
      <c r="K91" s="128"/>
      <c r="L91" s="128"/>
    </row>
    <row r="92" spans="1:12" x14ac:dyDescent="0.2">
      <c r="A92" t="s">
        <v>619</v>
      </c>
      <c r="B92" s="155">
        <v>43126</v>
      </c>
      <c r="C92" t="s">
        <v>564</v>
      </c>
      <c r="D92">
        <v>538.24</v>
      </c>
      <c r="E92" t="s">
        <v>580</v>
      </c>
      <c r="F92" t="s">
        <v>585</v>
      </c>
      <c r="H92" s="128"/>
      <c r="I92" t="s">
        <v>1002</v>
      </c>
      <c r="J92" s="128"/>
      <c r="K92" s="128"/>
      <c r="L92" s="128"/>
    </row>
    <row r="93" spans="1:12" x14ac:dyDescent="0.2">
      <c r="A93" t="s">
        <v>619</v>
      </c>
      <c r="B93" s="155">
        <v>43126</v>
      </c>
      <c r="C93" t="s">
        <v>564</v>
      </c>
      <c r="D93">
        <v>108.99</v>
      </c>
      <c r="E93" t="s">
        <v>580</v>
      </c>
      <c r="F93" t="s">
        <v>586</v>
      </c>
      <c r="H93" s="128"/>
      <c r="I93" t="s">
        <v>1002</v>
      </c>
      <c r="J93" s="128"/>
      <c r="K93" s="128"/>
      <c r="L93" s="128"/>
    </row>
    <row r="94" spans="1:12" x14ac:dyDescent="0.2">
      <c r="A94" t="s">
        <v>619</v>
      </c>
      <c r="B94" s="155">
        <v>43129</v>
      </c>
      <c r="C94" t="s">
        <v>564</v>
      </c>
      <c r="D94">
        <v>464</v>
      </c>
      <c r="E94" t="s">
        <v>580</v>
      </c>
      <c r="F94" t="s">
        <v>617</v>
      </c>
      <c r="H94" s="137"/>
      <c r="I94" t="s">
        <v>1002</v>
      </c>
      <c r="J94" s="136"/>
      <c r="K94" s="128"/>
      <c r="L94" s="128"/>
    </row>
    <row r="95" spans="1:12" x14ac:dyDescent="0.2">
      <c r="A95" t="s">
        <v>619</v>
      </c>
      <c r="B95" s="155">
        <v>43129</v>
      </c>
      <c r="C95" t="s">
        <v>564</v>
      </c>
      <c r="D95">
        <v>-20.51</v>
      </c>
      <c r="E95" t="s">
        <v>578</v>
      </c>
      <c r="F95" t="s">
        <v>670</v>
      </c>
      <c r="H95" s="128"/>
      <c r="I95" t="s">
        <v>1002</v>
      </c>
      <c r="J95" s="136" t="s">
        <v>997</v>
      </c>
      <c r="K95" s="128"/>
      <c r="L95" s="128"/>
    </row>
    <row r="96" spans="1:12" x14ac:dyDescent="0.2">
      <c r="A96" t="s">
        <v>619</v>
      </c>
      <c r="B96" s="155">
        <v>43129</v>
      </c>
      <c r="C96" t="s">
        <v>564</v>
      </c>
      <c r="D96">
        <v>-50</v>
      </c>
      <c r="E96" t="s">
        <v>579</v>
      </c>
      <c r="F96" t="s">
        <v>671</v>
      </c>
      <c r="H96" s="128"/>
      <c r="I96" t="s">
        <v>1002</v>
      </c>
      <c r="J96" s="128"/>
      <c r="K96" s="128"/>
      <c r="L96" s="128"/>
    </row>
    <row r="97" spans="1:12" x14ac:dyDescent="0.2">
      <c r="A97" t="s">
        <v>619</v>
      </c>
      <c r="B97" s="155">
        <v>43129</v>
      </c>
      <c r="C97" t="s">
        <v>564</v>
      </c>
      <c r="D97">
        <v>-146.44999999999999</v>
      </c>
      <c r="E97" t="s">
        <v>578</v>
      </c>
      <c r="F97" s="56" t="s">
        <v>1001</v>
      </c>
      <c r="H97" s="128"/>
      <c r="I97" t="s">
        <v>1002</v>
      </c>
      <c r="J97" s="136" t="s">
        <v>997</v>
      </c>
      <c r="K97" s="128"/>
      <c r="L97" s="128"/>
    </row>
    <row r="98" spans="1:12" x14ac:dyDescent="0.2">
      <c r="A98" t="s">
        <v>619</v>
      </c>
      <c r="B98" s="155">
        <v>43129</v>
      </c>
      <c r="C98" t="s">
        <v>564</v>
      </c>
      <c r="D98">
        <v>-129.16999999999999</v>
      </c>
      <c r="E98" t="s">
        <v>573</v>
      </c>
      <c r="F98" t="s">
        <v>618</v>
      </c>
      <c r="H98" s="128"/>
      <c r="I98" t="s">
        <v>1003</v>
      </c>
      <c r="J98" s="128"/>
      <c r="K98" s="128"/>
      <c r="L98" s="128"/>
    </row>
    <row r="99" spans="1:12" x14ac:dyDescent="0.2">
      <c r="A99" t="s">
        <v>619</v>
      </c>
      <c r="B99" s="155">
        <v>43130</v>
      </c>
      <c r="C99" t="s">
        <v>564</v>
      </c>
      <c r="D99">
        <v>320.5</v>
      </c>
      <c r="E99" t="s">
        <v>580</v>
      </c>
      <c r="F99" t="s">
        <v>595</v>
      </c>
      <c r="H99" s="136"/>
      <c r="I99" t="s">
        <v>1002</v>
      </c>
      <c r="J99" s="136"/>
      <c r="K99" s="128"/>
      <c r="L99" s="128"/>
    </row>
    <row r="100" spans="1:12" x14ac:dyDescent="0.2">
      <c r="A100" t="s">
        <v>619</v>
      </c>
      <c r="B100" s="155">
        <v>43130</v>
      </c>
      <c r="C100" t="s">
        <v>564</v>
      </c>
      <c r="D100">
        <v>320.5</v>
      </c>
      <c r="E100" t="s">
        <v>580</v>
      </c>
      <c r="F100" t="s">
        <v>582</v>
      </c>
      <c r="H100" s="137"/>
      <c r="I100" t="s">
        <v>1002</v>
      </c>
      <c r="J100" s="136"/>
      <c r="K100" s="128"/>
      <c r="L100" s="128"/>
    </row>
    <row r="101" spans="1:12" x14ac:dyDescent="0.2">
      <c r="A101" t="s">
        <v>619</v>
      </c>
      <c r="B101" s="155">
        <v>43131</v>
      </c>
      <c r="C101" t="s">
        <v>564</v>
      </c>
      <c r="D101">
        <v>232</v>
      </c>
      <c r="E101" t="s">
        <v>580</v>
      </c>
      <c r="F101" t="s">
        <v>605</v>
      </c>
      <c r="H101" s="137"/>
      <c r="I101" t="s">
        <v>1002</v>
      </c>
      <c r="J101" s="136"/>
      <c r="K101" s="128"/>
      <c r="L101" s="128"/>
    </row>
    <row r="102" spans="1:12" x14ac:dyDescent="0.2">
      <c r="A102" t="s">
        <v>619</v>
      </c>
      <c r="B102" s="155">
        <v>43131</v>
      </c>
      <c r="C102" t="s">
        <v>564</v>
      </c>
      <c r="D102">
        <v>-184.91</v>
      </c>
      <c r="E102" t="s">
        <v>573</v>
      </c>
      <c r="F102" t="s">
        <v>672</v>
      </c>
      <c r="H102" s="137"/>
      <c r="I102" t="s">
        <v>1003</v>
      </c>
      <c r="J102" s="136"/>
      <c r="K102" s="128"/>
      <c r="L102" s="128"/>
    </row>
    <row r="103" spans="1:12" x14ac:dyDescent="0.2">
      <c r="A103" t="s">
        <v>619</v>
      </c>
      <c r="B103" s="155">
        <v>43131</v>
      </c>
      <c r="C103" t="s">
        <v>564</v>
      </c>
      <c r="D103">
        <v>-190.56</v>
      </c>
      <c r="E103" t="s">
        <v>573</v>
      </c>
      <c r="F103" t="s">
        <v>673</v>
      </c>
      <c r="H103" s="137"/>
      <c r="I103" t="s">
        <v>1003</v>
      </c>
      <c r="J103" s="136"/>
      <c r="K103" s="128"/>
      <c r="L103" s="128"/>
    </row>
    <row r="104" spans="1:12" x14ac:dyDescent="0.2">
      <c r="A104" t="s">
        <v>619</v>
      </c>
      <c r="B104" s="155">
        <v>43131</v>
      </c>
      <c r="C104" t="s">
        <v>564</v>
      </c>
      <c r="D104">
        <v>-190.56</v>
      </c>
      <c r="E104" t="s">
        <v>573</v>
      </c>
      <c r="F104" t="s">
        <v>674</v>
      </c>
      <c r="H104" s="137"/>
      <c r="I104" t="s">
        <v>1003</v>
      </c>
      <c r="J104" s="136"/>
      <c r="K104" s="128"/>
      <c r="L104" s="128"/>
    </row>
    <row r="105" spans="1:12" x14ac:dyDescent="0.2">
      <c r="A105" t="s">
        <v>619</v>
      </c>
      <c r="B105" s="155">
        <v>43131</v>
      </c>
      <c r="C105" t="s">
        <v>564</v>
      </c>
      <c r="D105">
        <v>-190.56</v>
      </c>
      <c r="E105" t="s">
        <v>573</v>
      </c>
      <c r="F105" t="s">
        <v>675</v>
      </c>
      <c r="H105" s="137"/>
      <c r="I105" t="s">
        <v>1003</v>
      </c>
      <c r="J105" s="136"/>
      <c r="K105" s="128"/>
      <c r="L105" s="128"/>
    </row>
    <row r="106" spans="1:12" x14ac:dyDescent="0.2">
      <c r="A106" t="s">
        <v>619</v>
      </c>
      <c r="B106" s="155">
        <v>43131</v>
      </c>
      <c r="C106" t="s">
        <v>564</v>
      </c>
      <c r="D106">
        <v>-59.68</v>
      </c>
      <c r="E106" t="s">
        <v>573</v>
      </c>
      <c r="F106" t="s">
        <v>676</v>
      </c>
      <c r="H106" s="128"/>
      <c r="I106" t="s">
        <v>1002</v>
      </c>
      <c r="J106" s="128"/>
      <c r="K106" s="128"/>
      <c r="L106" s="128"/>
    </row>
    <row r="107" spans="1:12" x14ac:dyDescent="0.2">
      <c r="A107" s="128"/>
      <c r="B107" s="138"/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</row>
    <row r="108" spans="1:12" x14ac:dyDescent="0.2">
      <c r="A108" s="128"/>
      <c r="B108" s="138"/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</row>
    <row r="109" spans="1:12" x14ac:dyDescent="0.2">
      <c r="A109" s="128"/>
      <c r="B109" s="138"/>
      <c r="C109" s="128"/>
      <c r="D109" s="128"/>
      <c r="E109" s="128"/>
      <c r="F109" s="128"/>
      <c r="G109" s="128"/>
      <c r="H109" s="128"/>
      <c r="I109" s="128"/>
      <c r="J109" s="128"/>
      <c r="K109" s="128"/>
    </row>
    <row r="110" spans="1:12" x14ac:dyDescent="0.2">
      <c r="A110" s="128"/>
      <c r="B110" s="138"/>
      <c r="C110" s="128"/>
      <c r="D110" s="128"/>
      <c r="E110" s="128"/>
      <c r="F110" s="128"/>
      <c r="G110" s="128"/>
      <c r="H110" s="128"/>
      <c r="I110" s="128"/>
      <c r="J110" s="136"/>
      <c r="K110" s="128"/>
    </row>
    <row r="111" spans="1:12" x14ac:dyDescent="0.2">
      <c r="A111" s="128"/>
      <c r="B111" s="138"/>
      <c r="C111" s="128"/>
      <c r="D111" s="128"/>
      <c r="E111" s="128"/>
      <c r="F111" s="128"/>
      <c r="G111" s="128"/>
      <c r="H111" s="128"/>
      <c r="I111" s="128"/>
      <c r="J111" s="136"/>
      <c r="K111" s="128"/>
    </row>
    <row r="112" spans="1:12" x14ac:dyDescent="0.2">
      <c r="A112" s="128"/>
      <c r="B112" s="138"/>
      <c r="C112" s="128"/>
      <c r="D112" s="128"/>
      <c r="E112" s="128"/>
      <c r="F112" s="128"/>
      <c r="G112" s="128"/>
      <c r="H112" s="128"/>
      <c r="I112" s="128"/>
      <c r="J112" s="136"/>
      <c r="K112" s="128"/>
    </row>
    <row r="113" spans="1:11" x14ac:dyDescent="0.2">
      <c r="A113" s="128"/>
      <c r="B113" s="138"/>
      <c r="C113" s="128"/>
      <c r="D113" s="128"/>
      <c r="E113" s="128"/>
      <c r="F113" s="128"/>
      <c r="G113" s="128"/>
      <c r="H113" s="128"/>
      <c r="I113" s="128"/>
      <c r="J113" s="136"/>
      <c r="K113" s="128"/>
    </row>
    <row r="114" spans="1:11" x14ac:dyDescent="0.2">
      <c r="A114" s="128"/>
      <c r="B114" s="138"/>
      <c r="C114" s="128"/>
      <c r="D114" s="128"/>
      <c r="E114" s="128"/>
      <c r="F114" s="128"/>
      <c r="G114" s="128"/>
      <c r="H114" s="128"/>
      <c r="I114" s="128"/>
      <c r="J114" s="128"/>
      <c r="K114" s="128"/>
    </row>
    <row r="115" spans="1:11" x14ac:dyDescent="0.2">
      <c r="A115" s="128"/>
      <c r="B115" s="138"/>
      <c r="C115" s="128"/>
      <c r="D115" s="128"/>
      <c r="E115" s="128"/>
      <c r="F115" s="128"/>
      <c r="G115" s="128"/>
      <c r="H115" s="128"/>
      <c r="I115" s="128"/>
      <c r="J115" s="128"/>
      <c r="K115" s="128"/>
    </row>
    <row r="116" spans="1:11" x14ac:dyDescent="0.2">
      <c r="A116" s="128"/>
      <c r="B116" s="138"/>
      <c r="C116" s="128"/>
      <c r="D116" s="128"/>
      <c r="E116" s="128"/>
      <c r="F116" s="128"/>
      <c r="G116" s="128"/>
      <c r="H116" s="128"/>
      <c r="I116" s="128"/>
      <c r="J116" s="128"/>
      <c r="K116" s="128"/>
    </row>
    <row r="117" spans="1:11" x14ac:dyDescent="0.2">
      <c r="A117" s="128"/>
      <c r="B117" s="138"/>
      <c r="C117" s="128"/>
      <c r="D117" s="128"/>
      <c r="E117" s="128"/>
      <c r="F117" s="128"/>
      <c r="G117" s="128"/>
      <c r="H117" s="137"/>
      <c r="I117" s="128"/>
      <c r="J117" s="136"/>
      <c r="K117" s="128"/>
    </row>
    <row r="118" spans="1:11" x14ac:dyDescent="0.2">
      <c r="A118" s="128"/>
      <c r="B118" s="138"/>
      <c r="C118" s="128"/>
      <c r="D118" s="128"/>
      <c r="E118" s="128"/>
      <c r="F118" s="128"/>
      <c r="G118" s="128"/>
      <c r="H118" s="137"/>
      <c r="I118" s="128"/>
      <c r="J118" s="136"/>
      <c r="K118" s="128"/>
    </row>
    <row r="119" spans="1:11" x14ac:dyDescent="0.2">
      <c r="A119" s="128"/>
      <c r="B119" s="138"/>
      <c r="C119" s="128"/>
      <c r="D119" s="128"/>
      <c r="E119" s="128"/>
      <c r="F119" s="128"/>
      <c r="G119" s="128"/>
      <c r="H119" s="136"/>
      <c r="I119" s="128"/>
      <c r="J119" s="136"/>
      <c r="K119" s="128"/>
    </row>
    <row r="120" spans="1:11" x14ac:dyDescent="0.2">
      <c r="A120" s="128"/>
      <c r="B120" s="138"/>
      <c r="C120" s="128"/>
      <c r="D120" s="128"/>
      <c r="E120" s="128"/>
      <c r="F120" s="128"/>
      <c r="G120" s="128"/>
      <c r="H120" s="136"/>
      <c r="I120" s="128"/>
      <c r="J120" s="136"/>
      <c r="K120" s="128"/>
    </row>
    <row r="121" spans="1:11" x14ac:dyDescent="0.2">
      <c r="A121" s="128"/>
      <c r="B121" s="138"/>
      <c r="C121" s="128"/>
      <c r="D121" s="128"/>
      <c r="E121" s="128"/>
      <c r="F121" s="128"/>
      <c r="G121" s="128"/>
      <c r="H121" s="136"/>
      <c r="I121" s="128"/>
      <c r="J121" s="128"/>
      <c r="K121" s="128"/>
    </row>
    <row r="122" spans="1:11" x14ac:dyDescent="0.2">
      <c r="A122" s="128"/>
      <c r="B122" s="138"/>
      <c r="C122" s="128"/>
      <c r="D122" s="128"/>
      <c r="E122" s="128"/>
      <c r="F122" s="128"/>
      <c r="G122" s="128"/>
      <c r="H122" s="136"/>
      <c r="I122" s="128"/>
      <c r="J122" s="128"/>
      <c r="K122" s="128"/>
    </row>
    <row r="123" spans="1:11" x14ac:dyDescent="0.2">
      <c r="A123" s="128"/>
      <c r="B123" s="138"/>
      <c r="C123" s="128"/>
      <c r="D123" s="128"/>
      <c r="E123" s="128"/>
      <c r="F123" s="128"/>
      <c r="G123" s="128"/>
      <c r="H123" s="136"/>
      <c r="I123" s="128"/>
      <c r="J123" s="128"/>
      <c r="K123" s="128"/>
    </row>
    <row r="124" spans="1:11" x14ac:dyDescent="0.2">
      <c r="A124" s="128"/>
      <c r="B124" s="138"/>
      <c r="C124" s="128"/>
      <c r="D124" s="128"/>
      <c r="E124" s="128"/>
      <c r="F124" s="128"/>
      <c r="G124" s="128"/>
      <c r="H124" s="136"/>
      <c r="I124" s="128"/>
      <c r="J124" s="128"/>
      <c r="K124" s="128"/>
    </row>
    <row r="125" spans="1:11" x14ac:dyDescent="0.2">
      <c r="A125" s="128"/>
      <c r="B125" s="138"/>
      <c r="C125" s="128"/>
      <c r="D125" s="128"/>
      <c r="E125" s="128"/>
      <c r="F125" s="128"/>
      <c r="G125" s="128"/>
      <c r="H125" s="136"/>
      <c r="I125" s="128"/>
      <c r="J125" s="136"/>
      <c r="K125" s="128"/>
    </row>
    <row r="126" spans="1:11" x14ac:dyDescent="0.2">
      <c r="B126" s="139"/>
      <c r="G126" s="128"/>
      <c r="H126" s="136"/>
      <c r="I126" s="128"/>
      <c r="J126" s="128"/>
    </row>
    <row r="127" spans="1:11" x14ac:dyDescent="0.2">
      <c r="B127" s="139"/>
      <c r="G127" s="128"/>
      <c r="H127" s="136"/>
      <c r="I127" s="128"/>
      <c r="J127" s="128"/>
    </row>
    <row r="128" spans="1:11" x14ac:dyDescent="0.2">
      <c r="B128" s="139"/>
      <c r="G128" s="128"/>
      <c r="H128" s="136"/>
      <c r="I128" s="128"/>
      <c r="J128" s="128"/>
    </row>
    <row r="129" spans="1:10" x14ac:dyDescent="0.2">
      <c r="B129" s="139"/>
      <c r="G129" s="128"/>
      <c r="H129" s="136"/>
      <c r="I129" s="128"/>
      <c r="J129" s="128"/>
    </row>
    <row r="130" spans="1:10" x14ac:dyDescent="0.2">
      <c r="B130" s="139"/>
      <c r="G130" s="128"/>
      <c r="H130" s="136"/>
      <c r="I130" s="128"/>
      <c r="J130" s="128"/>
    </row>
    <row r="131" spans="1:10" x14ac:dyDescent="0.2">
      <c r="B131" s="139"/>
      <c r="G131" s="128"/>
      <c r="H131" s="136"/>
      <c r="I131" s="128"/>
      <c r="J131" s="128"/>
    </row>
    <row r="132" spans="1:10" x14ac:dyDescent="0.2">
      <c r="A132" s="128"/>
      <c r="B132" s="138"/>
      <c r="C132" s="128"/>
      <c r="D132" s="128"/>
      <c r="E132" s="128"/>
      <c r="F132" s="128"/>
      <c r="G132" s="128"/>
      <c r="H132" s="128"/>
      <c r="I132" s="128"/>
      <c r="J132" s="128"/>
    </row>
    <row r="133" spans="1:10" x14ac:dyDescent="0.2">
      <c r="A133" s="128"/>
      <c r="B133" s="138"/>
      <c r="C133" s="128"/>
      <c r="D133" s="128"/>
      <c r="E133" s="128"/>
      <c r="F133" s="128"/>
      <c r="G133" s="128"/>
      <c r="H133" s="128"/>
      <c r="I133" s="128"/>
      <c r="J133" s="128"/>
    </row>
    <row r="134" spans="1:10" x14ac:dyDescent="0.2">
      <c r="A134" s="128"/>
      <c r="B134" s="138"/>
      <c r="C134" s="128"/>
      <c r="D134" s="128"/>
      <c r="E134" s="128"/>
      <c r="F134" s="128"/>
      <c r="G134" s="128"/>
      <c r="H134" s="136"/>
      <c r="I134" s="128"/>
      <c r="J134" s="136"/>
    </row>
    <row r="135" spans="1:10" x14ac:dyDescent="0.2">
      <c r="A135" s="128"/>
      <c r="B135" s="138"/>
      <c r="C135" s="128"/>
      <c r="D135" s="128"/>
      <c r="E135" s="128"/>
      <c r="F135" s="128"/>
      <c r="G135" s="128"/>
      <c r="H135" s="136"/>
      <c r="I135" s="128"/>
      <c r="J135" s="136"/>
    </row>
    <row r="136" spans="1:10" x14ac:dyDescent="0.2">
      <c r="A136" s="128"/>
      <c r="B136" s="138"/>
      <c r="C136" s="128"/>
      <c r="D136" s="128"/>
      <c r="E136" s="128"/>
      <c r="F136" s="128"/>
      <c r="G136" s="128"/>
      <c r="H136" s="136"/>
      <c r="I136" s="128"/>
      <c r="J136" s="136"/>
    </row>
    <row r="137" spans="1:10" x14ac:dyDescent="0.2">
      <c r="A137" s="128"/>
      <c r="B137" s="138"/>
      <c r="C137" s="128"/>
      <c r="D137" s="128"/>
      <c r="E137" s="128"/>
      <c r="F137" s="128"/>
      <c r="G137" s="128"/>
      <c r="H137" s="136"/>
      <c r="I137" s="128"/>
      <c r="J137" s="136"/>
    </row>
    <row r="138" spans="1:10" x14ac:dyDescent="0.2">
      <c r="A138" s="128"/>
      <c r="B138" s="138"/>
      <c r="C138" s="128"/>
      <c r="D138" s="128"/>
      <c r="E138" s="128"/>
      <c r="F138" s="128"/>
      <c r="G138" s="128"/>
      <c r="H138" s="136"/>
      <c r="I138" s="128"/>
      <c r="J138" s="136"/>
    </row>
    <row r="139" spans="1:10" x14ac:dyDescent="0.2">
      <c r="A139" s="128"/>
      <c r="B139" s="138"/>
      <c r="C139" s="128"/>
      <c r="D139" s="128"/>
      <c r="E139" s="128"/>
      <c r="F139" s="128"/>
      <c r="G139" s="128"/>
      <c r="H139" s="136"/>
      <c r="I139" s="128"/>
      <c r="J139" s="136"/>
    </row>
    <row r="140" spans="1:10" x14ac:dyDescent="0.2">
      <c r="A140" s="128"/>
      <c r="B140" s="138"/>
      <c r="C140" s="128"/>
      <c r="D140" s="128"/>
      <c r="E140" s="128"/>
      <c r="F140" s="128"/>
      <c r="G140" s="128"/>
      <c r="H140" s="136"/>
      <c r="I140" s="128"/>
      <c r="J140" s="136"/>
    </row>
    <row r="141" spans="1:10" x14ac:dyDescent="0.2">
      <c r="A141" s="128"/>
      <c r="B141" s="138"/>
      <c r="C141" s="128"/>
      <c r="D141" s="128"/>
      <c r="E141" s="128"/>
      <c r="F141" s="128"/>
      <c r="G141" s="128"/>
      <c r="H141" s="136"/>
      <c r="I141" s="128"/>
      <c r="J141" s="136"/>
    </row>
    <row r="142" spans="1:10" x14ac:dyDescent="0.2">
      <c r="A142" s="128"/>
      <c r="B142" s="138"/>
      <c r="C142" s="128"/>
      <c r="D142" s="128"/>
      <c r="E142" s="128"/>
      <c r="F142" s="128"/>
      <c r="G142" s="128"/>
      <c r="H142" s="136"/>
      <c r="I142" s="128"/>
      <c r="J142" s="136"/>
    </row>
    <row r="143" spans="1:10" x14ac:dyDescent="0.2">
      <c r="A143" s="128"/>
      <c r="B143" s="138"/>
      <c r="C143" s="128"/>
      <c r="D143" s="128"/>
      <c r="E143" s="128"/>
      <c r="F143" s="128"/>
      <c r="G143" s="128"/>
      <c r="H143" s="136"/>
      <c r="I143" s="128"/>
      <c r="J143" s="136"/>
    </row>
    <row r="144" spans="1:10" x14ac:dyDescent="0.2">
      <c r="A144" s="128"/>
      <c r="B144" s="138"/>
      <c r="C144" s="128"/>
      <c r="D144" s="128"/>
      <c r="E144" s="128"/>
      <c r="F144" s="128"/>
      <c r="G144" s="128"/>
      <c r="H144" s="136"/>
      <c r="I144" s="128"/>
      <c r="J144" s="128"/>
    </row>
    <row r="145" spans="1:10" x14ac:dyDescent="0.2">
      <c r="A145" s="128"/>
      <c r="B145" s="138"/>
      <c r="C145" s="128"/>
      <c r="D145" s="128"/>
      <c r="E145" s="128"/>
      <c r="F145" s="128"/>
      <c r="G145" s="128"/>
      <c r="H145" s="128"/>
      <c r="I145" s="128"/>
      <c r="J145" s="128"/>
    </row>
    <row r="146" spans="1:10" x14ac:dyDescent="0.2">
      <c r="A146" s="128"/>
      <c r="B146" s="138"/>
      <c r="C146" s="128"/>
      <c r="D146" s="128"/>
      <c r="E146" s="128"/>
      <c r="F146" s="128"/>
      <c r="G146" s="128"/>
      <c r="H146" s="128"/>
      <c r="I146" s="128"/>
      <c r="J146" s="128"/>
    </row>
    <row r="147" spans="1:10" x14ac:dyDescent="0.2">
      <c r="A147" s="128"/>
      <c r="B147" s="138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8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8"/>
      <c r="C149" s="128"/>
      <c r="D149" s="128"/>
      <c r="E149" s="128"/>
      <c r="F149" s="128"/>
      <c r="G149" s="128"/>
      <c r="H149" s="128"/>
      <c r="I149" s="128"/>
      <c r="J149" s="128"/>
    </row>
    <row r="150" spans="1:10" x14ac:dyDescent="0.2">
      <c r="A150" s="128"/>
      <c r="B150" s="138"/>
      <c r="C150" s="128"/>
      <c r="D150" s="128"/>
      <c r="E150" s="128"/>
      <c r="F150" s="128"/>
      <c r="G150" s="128"/>
      <c r="H150" s="128"/>
      <c r="I150" s="128"/>
      <c r="J150" s="128"/>
    </row>
    <row r="151" spans="1:10" x14ac:dyDescent="0.2">
      <c r="A151" s="128"/>
      <c r="B151" s="138"/>
      <c r="C151" s="128"/>
      <c r="D151" s="128"/>
      <c r="E151" s="128"/>
      <c r="F151" s="128"/>
      <c r="G151" s="128"/>
      <c r="H151" s="128"/>
      <c r="I151" s="128"/>
      <c r="J151" s="128"/>
    </row>
    <row r="152" spans="1:10" x14ac:dyDescent="0.2">
      <c r="A152" s="128"/>
      <c r="B152" s="138"/>
      <c r="C152" s="128"/>
      <c r="D152" s="128"/>
      <c r="E152" s="128"/>
      <c r="F152" s="128"/>
      <c r="G152" s="128"/>
      <c r="H152" s="128"/>
      <c r="I152" s="128"/>
      <c r="J152" s="128"/>
    </row>
    <row r="153" spans="1:10" x14ac:dyDescent="0.2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1:10" x14ac:dyDescent="0.2">
      <c r="A154" s="128"/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1:10" x14ac:dyDescent="0.2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1:10" x14ac:dyDescent="0.2">
      <c r="A158" s="128"/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1:10" x14ac:dyDescent="0.2">
      <c r="A159" s="128"/>
      <c r="B159" s="128"/>
      <c r="C159" s="128"/>
      <c r="D159" s="128"/>
      <c r="E159" s="128"/>
      <c r="F159" s="128"/>
      <c r="G159" s="128"/>
      <c r="H159" s="128"/>
      <c r="I159" s="128"/>
      <c r="J159" s="128"/>
    </row>
  </sheetData>
  <autoFilter ref="A1:L10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73"/>
  <sheetViews>
    <sheetView zoomScale="85" zoomScaleNormal="85" workbookViewId="0">
      <selection activeCell="D59" activeCellId="1" sqref="D61 D59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t="s">
        <v>619</v>
      </c>
      <c r="B2" s="155">
        <v>43102</v>
      </c>
      <c r="C2" t="s">
        <v>795</v>
      </c>
      <c r="D2">
        <v>2609.16</v>
      </c>
      <c r="E2" t="s">
        <v>677</v>
      </c>
      <c r="F2" t="s">
        <v>678</v>
      </c>
      <c r="G2" s="128"/>
      <c r="H2" s="128"/>
      <c r="I2" t="s">
        <v>1002</v>
      </c>
      <c r="J2" s="128"/>
      <c r="K2" s="128"/>
    </row>
    <row r="3" spans="1:11" x14ac:dyDescent="0.2">
      <c r="A3" t="s">
        <v>619</v>
      </c>
      <c r="B3" s="155">
        <v>43102</v>
      </c>
      <c r="C3" t="s">
        <v>795</v>
      </c>
      <c r="D3">
        <v>-50</v>
      </c>
      <c r="E3" t="s">
        <v>565</v>
      </c>
      <c r="F3" t="s">
        <v>682</v>
      </c>
      <c r="G3" s="128"/>
      <c r="H3" s="128"/>
      <c r="I3" t="s">
        <v>1002</v>
      </c>
      <c r="J3" s="128"/>
      <c r="K3" s="128"/>
    </row>
    <row r="4" spans="1:11" x14ac:dyDescent="0.2">
      <c r="A4" t="s">
        <v>619</v>
      </c>
      <c r="B4" s="155">
        <v>43102</v>
      </c>
      <c r="C4" t="s">
        <v>795</v>
      </c>
      <c r="D4">
        <v>-50</v>
      </c>
      <c r="E4" t="s">
        <v>565</v>
      </c>
      <c r="F4" t="s">
        <v>569</v>
      </c>
      <c r="G4" s="128"/>
      <c r="H4" s="128"/>
      <c r="I4" t="s">
        <v>1002</v>
      </c>
      <c r="J4" s="128"/>
      <c r="K4" s="128"/>
    </row>
    <row r="5" spans="1:11" x14ac:dyDescent="0.2">
      <c r="A5" t="s">
        <v>619</v>
      </c>
      <c r="B5" s="155">
        <v>43102</v>
      </c>
      <c r="C5" t="s">
        <v>795</v>
      </c>
      <c r="D5">
        <v>-160</v>
      </c>
      <c r="E5" t="s">
        <v>565</v>
      </c>
      <c r="F5" t="s">
        <v>680</v>
      </c>
      <c r="G5" s="128"/>
      <c r="H5" s="128"/>
      <c r="I5" t="s">
        <v>1002</v>
      </c>
      <c r="J5" s="128"/>
      <c r="K5" s="128"/>
    </row>
    <row r="6" spans="1:11" x14ac:dyDescent="0.2">
      <c r="A6" t="s">
        <v>619</v>
      </c>
      <c r="B6" s="155">
        <v>43102</v>
      </c>
      <c r="C6" t="s">
        <v>795</v>
      </c>
      <c r="D6">
        <v>-157.5</v>
      </c>
      <c r="E6" t="s">
        <v>565</v>
      </c>
      <c r="F6" t="s">
        <v>681</v>
      </c>
      <c r="G6" s="128"/>
      <c r="H6" s="128"/>
      <c r="I6" t="s">
        <v>1002</v>
      </c>
      <c r="J6" s="128"/>
      <c r="K6" s="128"/>
    </row>
    <row r="7" spans="1:11" x14ac:dyDescent="0.2">
      <c r="A7" t="s">
        <v>619</v>
      </c>
      <c r="B7" s="155">
        <v>43102</v>
      </c>
      <c r="C7" t="s">
        <v>795</v>
      </c>
      <c r="D7">
        <v>-232.5</v>
      </c>
      <c r="E7" t="s">
        <v>565</v>
      </c>
      <c r="F7" t="s">
        <v>679</v>
      </c>
      <c r="G7" s="128"/>
      <c r="H7" s="128"/>
      <c r="I7" t="s">
        <v>1002</v>
      </c>
      <c r="J7" s="128"/>
      <c r="K7" s="128"/>
    </row>
    <row r="8" spans="1:11" hidden="1" x14ac:dyDescent="0.2">
      <c r="A8" t="s">
        <v>619</v>
      </c>
      <c r="B8" s="155">
        <v>43102</v>
      </c>
      <c r="C8" t="s">
        <v>795</v>
      </c>
      <c r="D8">
        <v>-524.26</v>
      </c>
      <c r="E8" t="s">
        <v>573</v>
      </c>
      <c r="F8" t="s">
        <v>683</v>
      </c>
      <c r="G8" s="128"/>
      <c r="H8" s="128"/>
      <c r="I8" t="s">
        <v>1003</v>
      </c>
      <c r="J8" s="128"/>
      <c r="K8" s="128"/>
    </row>
    <row r="9" spans="1:11" hidden="1" x14ac:dyDescent="0.2">
      <c r="A9" t="s">
        <v>619</v>
      </c>
      <c r="B9" s="155">
        <v>43102</v>
      </c>
      <c r="C9" t="s">
        <v>795</v>
      </c>
      <c r="D9">
        <v>-186.14</v>
      </c>
      <c r="E9" t="s">
        <v>573</v>
      </c>
      <c r="F9" t="s">
        <v>684</v>
      </c>
      <c r="G9" s="128"/>
      <c r="H9" s="128"/>
      <c r="I9" t="s">
        <v>1003</v>
      </c>
      <c r="J9" s="128"/>
      <c r="K9" s="128"/>
    </row>
    <row r="10" spans="1:11" hidden="1" x14ac:dyDescent="0.2">
      <c r="A10" t="s">
        <v>619</v>
      </c>
      <c r="B10" s="155">
        <v>43102</v>
      </c>
      <c r="C10" t="s">
        <v>795</v>
      </c>
      <c r="D10">
        <v>-367.24</v>
      </c>
      <c r="E10" t="s">
        <v>573</v>
      </c>
      <c r="F10" t="s">
        <v>688</v>
      </c>
      <c r="G10" s="128"/>
      <c r="H10" s="128"/>
      <c r="I10" t="s">
        <v>1003</v>
      </c>
      <c r="J10" s="128"/>
      <c r="K10" s="128"/>
    </row>
    <row r="11" spans="1:11" hidden="1" x14ac:dyDescent="0.2">
      <c r="A11" t="s">
        <v>619</v>
      </c>
      <c r="B11" s="155">
        <v>43102</v>
      </c>
      <c r="C11" t="s">
        <v>795</v>
      </c>
      <c r="D11">
        <v>-356.87</v>
      </c>
      <c r="E11" t="s">
        <v>573</v>
      </c>
      <c r="F11" t="s">
        <v>689</v>
      </c>
      <c r="G11" s="128"/>
      <c r="H11" s="128"/>
      <c r="I11" t="s">
        <v>1003</v>
      </c>
      <c r="J11" s="128"/>
      <c r="K11" s="128"/>
    </row>
    <row r="12" spans="1:11" hidden="1" x14ac:dyDescent="0.2">
      <c r="A12" t="s">
        <v>619</v>
      </c>
      <c r="B12" s="155">
        <v>43102</v>
      </c>
      <c r="C12" t="s">
        <v>795</v>
      </c>
      <c r="D12">
        <v>-37.950000000000003</v>
      </c>
      <c r="E12" t="s">
        <v>573</v>
      </c>
      <c r="F12" t="s">
        <v>685</v>
      </c>
      <c r="G12" s="128"/>
      <c r="H12" s="128"/>
      <c r="I12" t="s">
        <v>1002</v>
      </c>
      <c r="J12" s="128"/>
      <c r="K12" s="128"/>
    </row>
    <row r="13" spans="1:11" hidden="1" x14ac:dyDescent="0.2">
      <c r="A13" t="s">
        <v>619</v>
      </c>
      <c r="B13" s="155">
        <v>43102</v>
      </c>
      <c r="C13" t="s">
        <v>795</v>
      </c>
      <c r="D13">
        <v>-217.96</v>
      </c>
      <c r="E13" t="s">
        <v>573</v>
      </c>
      <c r="F13" t="s">
        <v>686</v>
      </c>
      <c r="G13" s="128"/>
      <c r="H13" s="128"/>
      <c r="I13" t="s">
        <v>1003</v>
      </c>
      <c r="J13" s="128"/>
      <c r="K13" s="128"/>
    </row>
    <row r="14" spans="1:11" hidden="1" x14ac:dyDescent="0.2">
      <c r="A14" t="s">
        <v>619</v>
      </c>
      <c r="B14" s="155">
        <v>43102</v>
      </c>
      <c r="C14" t="s">
        <v>795</v>
      </c>
      <c r="D14">
        <v>-219.74</v>
      </c>
      <c r="E14" t="s">
        <v>573</v>
      </c>
      <c r="F14" t="s">
        <v>687</v>
      </c>
      <c r="G14" s="128"/>
      <c r="H14" s="128"/>
      <c r="I14" t="s">
        <v>1003</v>
      </c>
      <c r="J14" s="128"/>
      <c r="K14" s="128"/>
    </row>
    <row r="15" spans="1:11" hidden="1" x14ac:dyDescent="0.2">
      <c r="A15" t="s">
        <v>619</v>
      </c>
      <c r="B15" s="155">
        <v>43103</v>
      </c>
      <c r="C15" t="s">
        <v>795</v>
      </c>
      <c r="D15">
        <v>-228.8</v>
      </c>
      <c r="E15" t="s">
        <v>573</v>
      </c>
      <c r="F15" t="s">
        <v>690</v>
      </c>
      <c r="G15" s="128"/>
      <c r="H15" s="128"/>
      <c r="I15" t="s">
        <v>1003</v>
      </c>
      <c r="J15" s="128"/>
      <c r="K15" s="128"/>
    </row>
    <row r="16" spans="1:11" hidden="1" x14ac:dyDescent="0.2">
      <c r="A16" t="s">
        <v>619</v>
      </c>
      <c r="B16" s="155">
        <v>43104</v>
      </c>
      <c r="C16" t="s">
        <v>795</v>
      </c>
      <c r="D16">
        <v>482.56</v>
      </c>
      <c r="E16" t="s">
        <v>580</v>
      </c>
      <c r="F16" t="s">
        <v>691</v>
      </c>
      <c r="G16" s="128"/>
      <c r="H16" s="128"/>
      <c r="I16" t="s">
        <v>1002</v>
      </c>
      <c r="J16" s="128"/>
      <c r="K16" s="128"/>
    </row>
    <row r="17" spans="1:11" x14ac:dyDescent="0.2">
      <c r="A17" t="s">
        <v>619</v>
      </c>
      <c r="B17" s="155">
        <v>43104</v>
      </c>
      <c r="C17" t="s">
        <v>795</v>
      </c>
      <c r="D17">
        <v>-75</v>
      </c>
      <c r="E17" t="s">
        <v>565</v>
      </c>
      <c r="F17" t="s">
        <v>692</v>
      </c>
      <c r="G17" s="128"/>
      <c r="H17" s="128"/>
      <c r="I17" t="s">
        <v>1002</v>
      </c>
      <c r="J17" s="128"/>
      <c r="K17" s="128"/>
    </row>
    <row r="18" spans="1:11" hidden="1" x14ac:dyDescent="0.2">
      <c r="A18" t="s">
        <v>619</v>
      </c>
      <c r="B18" s="155">
        <v>43104</v>
      </c>
      <c r="C18" t="s">
        <v>795</v>
      </c>
      <c r="D18">
        <v>-75</v>
      </c>
      <c r="E18" t="s">
        <v>573</v>
      </c>
      <c r="F18" t="s">
        <v>693</v>
      </c>
      <c r="G18" s="128"/>
      <c r="H18" s="128"/>
      <c r="I18" t="s">
        <v>1002</v>
      </c>
      <c r="J18" s="128"/>
      <c r="K18" s="128"/>
    </row>
    <row r="19" spans="1:11" hidden="1" x14ac:dyDescent="0.2">
      <c r="A19" s="128" t="s">
        <v>625</v>
      </c>
      <c r="B19" s="155">
        <v>43108</v>
      </c>
      <c r="C19" t="s">
        <v>795</v>
      </c>
      <c r="D19">
        <v>-1550</v>
      </c>
      <c r="E19" t="s">
        <v>578</v>
      </c>
      <c r="F19" t="s">
        <v>796</v>
      </c>
      <c r="G19" t="s">
        <v>510</v>
      </c>
      <c r="H19" s="136" t="s">
        <v>1074</v>
      </c>
      <c r="I19" t="s">
        <v>1004</v>
      </c>
      <c r="J19" s="128"/>
      <c r="K19" s="128"/>
    </row>
    <row r="20" spans="1:11" hidden="1" x14ac:dyDescent="0.2">
      <c r="A20" s="128" t="s">
        <v>625</v>
      </c>
      <c r="B20" s="155">
        <v>43108</v>
      </c>
      <c r="C20" t="s">
        <v>795</v>
      </c>
      <c r="D20">
        <v>-218.42</v>
      </c>
      <c r="E20" t="s">
        <v>573</v>
      </c>
      <c r="F20" t="s">
        <v>797</v>
      </c>
      <c r="G20" s="128"/>
      <c r="H20" s="128"/>
      <c r="I20" t="s">
        <v>1003</v>
      </c>
      <c r="J20" s="128"/>
      <c r="K20" s="128"/>
    </row>
    <row r="21" spans="1:11" hidden="1" x14ac:dyDescent="0.2">
      <c r="A21" s="128" t="s">
        <v>625</v>
      </c>
      <c r="B21" s="155">
        <v>43108</v>
      </c>
      <c r="C21" t="s">
        <v>795</v>
      </c>
      <c r="D21">
        <v>-1072.2</v>
      </c>
      <c r="E21" t="s">
        <v>573</v>
      </c>
      <c r="F21" t="s">
        <v>798</v>
      </c>
      <c r="G21" s="128"/>
      <c r="H21" s="128"/>
      <c r="I21" t="s">
        <v>1002</v>
      </c>
      <c r="J21" s="128"/>
      <c r="K21" s="128"/>
    </row>
    <row r="22" spans="1:11" hidden="1" x14ac:dyDescent="0.2">
      <c r="A22" s="128" t="s">
        <v>625</v>
      </c>
      <c r="B22" s="155">
        <v>43108</v>
      </c>
      <c r="C22" t="s">
        <v>795</v>
      </c>
      <c r="D22">
        <v>-1330.34</v>
      </c>
      <c r="E22" t="s">
        <v>573</v>
      </c>
      <c r="F22" t="s">
        <v>799</v>
      </c>
      <c r="G22" s="128"/>
      <c r="H22" s="128"/>
      <c r="I22" t="s">
        <v>1002</v>
      </c>
      <c r="J22" s="128"/>
      <c r="K22" s="128"/>
    </row>
    <row r="23" spans="1:11" hidden="1" x14ac:dyDescent="0.2">
      <c r="A23" s="128" t="s">
        <v>625</v>
      </c>
      <c r="B23" s="155">
        <v>43108</v>
      </c>
      <c r="C23" t="s">
        <v>795</v>
      </c>
      <c r="D23">
        <v>-1381.36</v>
      </c>
      <c r="E23" t="s">
        <v>573</v>
      </c>
      <c r="F23" t="s">
        <v>800</v>
      </c>
      <c r="G23" s="128"/>
      <c r="H23" s="128"/>
      <c r="I23" t="s">
        <v>1002</v>
      </c>
      <c r="J23" s="128"/>
      <c r="K23" s="128"/>
    </row>
    <row r="24" spans="1:11" hidden="1" x14ac:dyDescent="0.2">
      <c r="A24" s="128" t="s">
        <v>625</v>
      </c>
      <c r="B24" s="155">
        <v>43109</v>
      </c>
      <c r="C24" t="s">
        <v>795</v>
      </c>
      <c r="D24">
        <v>-65</v>
      </c>
      <c r="E24" t="s">
        <v>615</v>
      </c>
      <c r="F24" t="s">
        <v>801</v>
      </c>
      <c r="G24" t="s">
        <v>494</v>
      </c>
      <c r="H24" s="137"/>
      <c r="I24" t="s">
        <v>1004</v>
      </c>
      <c r="J24" s="128"/>
      <c r="K24" s="128"/>
    </row>
    <row r="25" spans="1:11" hidden="1" x14ac:dyDescent="0.2">
      <c r="A25" s="128" t="s">
        <v>625</v>
      </c>
      <c r="B25" s="155">
        <v>43109</v>
      </c>
      <c r="C25" t="s">
        <v>795</v>
      </c>
      <c r="D25">
        <v>324.8</v>
      </c>
      <c r="E25" t="s">
        <v>580</v>
      </c>
      <c r="F25" t="s">
        <v>802</v>
      </c>
      <c r="G25" s="128"/>
      <c r="H25" s="128"/>
      <c r="I25" t="s">
        <v>1002</v>
      </c>
      <c r="J25" s="128"/>
      <c r="K25" s="128"/>
    </row>
    <row r="26" spans="1:11" hidden="1" x14ac:dyDescent="0.2">
      <c r="A26" s="128" t="s">
        <v>625</v>
      </c>
      <c r="B26" s="155">
        <v>43111</v>
      </c>
      <c r="C26" t="s">
        <v>795</v>
      </c>
      <c r="D26">
        <v>324.8</v>
      </c>
      <c r="E26" t="s">
        <v>580</v>
      </c>
      <c r="F26" t="s">
        <v>802</v>
      </c>
      <c r="G26" s="128"/>
      <c r="H26" s="136"/>
      <c r="I26" t="s">
        <v>1002</v>
      </c>
      <c r="J26" s="128"/>
      <c r="K26" s="128"/>
    </row>
    <row r="27" spans="1:11" hidden="1" x14ac:dyDescent="0.2">
      <c r="A27" s="128" t="s">
        <v>625</v>
      </c>
      <c r="B27" s="155">
        <v>43112</v>
      </c>
      <c r="C27" t="s">
        <v>795</v>
      </c>
      <c r="D27">
        <v>-37.68</v>
      </c>
      <c r="E27" t="s">
        <v>573</v>
      </c>
      <c r="F27" t="s">
        <v>803</v>
      </c>
      <c r="G27" s="128"/>
      <c r="H27" s="128"/>
      <c r="I27" t="s">
        <v>1002</v>
      </c>
      <c r="J27" s="128"/>
      <c r="K27" s="128"/>
    </row>
    <row r="28" spans="1:11" hidden="1" x14ac:dyDescent="0.2">
      <c r="A28" s="128" t="s">
        <v>625</v>
      </c>
      <c r="B28" s="155">
        <v>43112</v>
      </c>
      <c r="C28" t="s">
        <v>795</v>
      </c>
      <c r="D28">
        <v>-75.41</v>
      </c>
      <c r="E28" t="s">
        <v>573</v>
      </c>
      <c r="F28" t="s">
        <v>804</v>
      </c>
      <c r="G28" s="128"/>
      <c r="H28" s="128"/>
      <c r="I28" t="s">
        <v>1002</v>
      </c>
      <c r="J28" s="128"/>
      <c r="K28" s="128"/>
    </row>
    <row r="29" spans="1:11" x14ac:dyDescent="0.2">
      <c r="A29" s="128" t="s">
        <v>625</v>
      </c>
      <c r="B29" s="155">
        <v>43115</v>
      </c>
      <c r="C29" t="s">
        <v>795</v>
      </c>
      <c r="D29">
        <v>-300</v>
      </c>
      <c r="E29" t="s">
        <v>613</v>
      </c>
      <c r="F29" t="s">
        <v>728</v>
      </c>
      <c r="G29" s="128"/>
      <c r="H29" s="128"/>
      <c r="I29" t="s">
        <v>1002</v>
      </c>
      <c r="J29" s="128"/>
      <c r="K29" s="128"/>
    </row>
    <row r="30" spans="1:11" hidden="1" x14ac:dyDescent="0.2">
      <c r="A30" s="128" t="s">
        <v>625</v>
      </c>
      <c r="B30" s="155">
        <v>43115</v>
      </c>
      <c r="C30" t="s">
        <v>795</v>
      </c>
      <c r="D30">
        <v>111.36</v>
      </c>
      <c r="E30" t="s">
        <v>580</v>
      </c>
      <c r="F30" t="s">
        <v>805</v>
      </c>
      <c r="G30" s="128"/>
      <c r="H30" s="136"/>
      <c r="I30" t="s">
        <v>1002</v>
      </c>
      <c r="J30" s="128"/>
      <c r="K30" s="128"/>
    </row>
    <row r="31" spans="1:11" hidden="1" x14ac:dyDescent="0.2">
      <c r="A31" s="128" t="s">
        <v>625</v>
      </c>
      <c r="B31" s="155">
        <v>43115</v>
      </c>
      <c r="C31" t="s">
        <v>795</v>
      </c>
      <c r="D31">
        <v>-53.99</v>
      </c>
      <c r="E31" t="s">
        <v>573</v>
      </c>
      <c r="F31" t="s">
        <v>806</v>
      </c>
      <c r="G31" s="128"/>
      <c r="H31" s="136"/>
      <c r="I31" t="s">
        <v>1002</v>
      </c>
      <c r="J31" s="128"/>
      <c r="K31" s="128"/>
    </row>
    <row r="32" spans="1:11" hidden="1" x14ac:dyDescent="0.2">
      <c r="A32" s="128" t="s">
        <v>625</v>
      </c>
      <c r="B32" s="155">
        <v>43115</v>
      </c>
      <c r="C32" t="s">
        <v>795</v>
      </c>
      <c r="D32">
        <v>-184.79</v>
      </c>
      <c r="E32" t="s">
        <v>573</v>
      </c>
      <c r="F32" t="s">
        <v>807</v>
      </c>
      <c r="G32" s="128"/>
      <c r="H32" s="128"/>
      <c r="I32" t="s">
        <v>1003</v>
      </c>
      <c r="J32" s="128"/>
      <c r="K32" s="128"/>
    </row>
    <row r="33" spans="1:11" hidden="1" x14ac:dyDescent="0.2">
      <c r="A33" s="128" t="s">
        <v>625</v>
      </c>
      <c r="B33" s="155">
        <v>43115</v>
      </c>
      <c r="C33" t="s">
        <v>795</v>
      </c>
      <c r="D33">
        <v>-186.16</v>
      </c>
      <c r="E33" t="s">
        <v>573</v>
      </c>
      <c r="F33" t="s">
        <v>808</v>
      </c>
      <c r="G33" s="128"/>
      <c r="H33" s="128"/>
      <c r="I33" t="s">
        <v>1003</v>
      </c>
      <c r="J33" s="128"/>
      <c r="K33" s="128"/>
    </row>
    <row r="34" spans="1:11" hidden="1" x14ac:dyDescent="0.2">
      <c r="A34" s="128" t="s">
        <v>625</v>
      </c>
      <c r="B34" s="155">
        <v>43115</v>
      </c>
      <c r="C34" t="s">
        <v>795</v>
      </c>
      <c r="D34">
        <v>-186.13</v>
      </c>
      <c r="E34" t="s">
        <v>573</v>
      </c>
      <c r="F34" t="s">
        <v>809</v>
      </c>
      <c r="G34" s="128"/>
      <c r="H34" s="128"/>
      <c r="I34" t="s">
        <v>1003</v>
      </c>
      <c r="J34" s="128"/>
      <c r="K34" s="128"/>
    </row>
    <row r="35" spans="1:11" hidden="1" x14ac:dyDescent="0.2">
      <c r="A35" s="128" t="s">
        <v>625</v>
      </c>
      <c r="B35" s="155">
        <v>43115</v>
      </c>
      <c r="C35" t="s">
        <v>795</v>
      </c>
      <c r="D35">
        <v>-186.1</v>
      </c>
      <c r="E35" t="s">
        <v>573</v>
      </c>
      <c r="F35" t="s">
        <v>810</v>
      </c>
      <c r="G35" s="56"/>
      <c r="H35" s="136"/>
      <c r="I35" t="s">
        <v>1003</v>
      </c>
      <c r="J35" s="128"/>
      <c r="K35" s="128"/>
    </row>
    <row r="36" spans="1:11" hidden="1" x14ac:dyDescent="0.2">
      <c r="A36" s="128" t="s">
        <v>625</v>
      </c>
      <c r="B36" s="155">
        <v>43115</v>
      </c>
      <c r="C36" t="s">
        <v>795</v>
      </c>
      <c r="D36">
        <v>-192.58</v>
      </c>
      <c r="E36" t="s">
        <v>573</v>
      </c>
      <c r="F36" t="s">
        <v>811</v>
      </c>
      <c r="G36" s="128"/>
      <c r="H36" s="128"/>
      <c r="I36" t="s">
        <v>1003</v>
      </c>
      <c r="J36" s="128"/>
      <c r="K36" s="128"/>
    </row>
    <row r="37" spans="1:11" hidden="1" x14ac:dyDescent="0.2">
      <c r="A37" s="128" t="s">
        <v>625</v>
      </c>
      <c r="B37" s="155">
        <v>43115</v>
      </c>
      <c r="C37" t="s">
        <v>795</v>
      </c>
      <c r="D37">
        <v>-192.58</v>
      </c>
      <c r="E37" t="s">
        <v>573</v>
      </c>
      <c r="F37" t="s">
        <v>812</v>
      </c>
      <c r="G37" s="128"/>
      <c r="H37" s="128"/>
      <c r="I37" t="s">
        <v>1003</v>
      </c>
      <c r="J37" s="128"/>
      <c r="K37" s="128"/>
    </row>
    <row r="38" spans="1:11" hidden="1" x14ac:dyDescent="0.2">
      <c r="A38" s="128" t="s">
        <v>625</v>
      </c>
      <c r="B38" s="155">
        <v>43115</v>
      </c>
      <c r="C38" t="s">
        <v>795</v>
      </c>
      <c r="D38">
        <v>-186.14</v>
      </c>
      <c r="E38" t="s">
        <v>573</v>
      </c>
      <c r="F38" t="s">
        <v>813</v>
      </c>
      <c r="G38" s="128"/>
      <c r="H38" s="128"/>
      <c r="I38" t="s">
        <v>1003</v>
      </c>
      <c r="J38" s="128"/>
      <c r="K38" s="128"/>
    </row>
    <row r="39" spans="1:11" hidden="1" x14ac:dyDescent="0.2">
      <c r="A39" s="128" t="s">
        <v>625</v>
      </c>
      <c r="B39" s="155">
        <v>43115</v>
      </c>
      <c r="C39" t="s">
        <v>795</v>
      </c>
      <c r="D39">
        <v>-186.1</v>
      </c>
      <c r="E39" t="s">
        <v>573</v>
      </c>
      <c r="F39" t="s">
        <v>814</v>
      </c>
      <c r="G39" s="128"/>
      <c r="H39" s="128"/>
      <c r="I39" t="s">
        <v>1003</v>
      </c>
      <c r="J39" s="128"/>
      <c r="K39" s="128"/>
    </row>
    <row r="40" spans="1:11" hidden="1" x14ac:dyDescent="0.2">
      <c r="A40" s="128" t="s">
        <v>625</v>
      </c>
      <c r="B40" s="155">
        <v>43116</v>
      </c>
      <c r="C40" t="s">
        <v>795</v>
      </c>
      <c r="D40">
        <v>1183.6400000000001</v>
      </c>
      <c r="E40" t="s">
        <v>615</v>
      </c>
      <c r="F40" t="s">
        <v>815</v>
      </c>
      <c r="G40" s="128"/>
      <c r="H40" s="137" t="s">
        <v>999</v>
      </c>
      <c r="I40" t="s">
        <v>1002</v>
      </c>
      <c r="J40" s="128"/>
      <c r="K40" s="128"/>
    </row>
    <row r="41" spans="1:11" x14ac:dyDescent="0.2">
      <c r="A41" s="128" t="s">
        <v>625</v>
      </c>
      <c r="B41" s="155">
        <v>43117</v>
      </c>
      <c r="C41" t="s">
        <v>795</v>
      </c>
      <c r="D41">
        <v>-300</v>
      </c>
      <c r="E41" t="s">
        <v>613</v>
      </c>
      <c r="F41" t="s">
        <v>816</v>
      </c>
      <c r="G41" s="128"/>
      <c r="H41" s="128"/>
      <c r="I41" t="s">
        <v>1002</v>
      </c>
      <c r="J41" s="128"/>
      <c r="K41" s="128"/>
    </row>
    <row r="42" spans="1:11" hidden="1" x14ac:dyDescent="0.2">
      <c r="A42" s="128" t="s">
        <v>625</v>
      </c>
      <c r="B42" s="155">
        <v>43117</v>
      </c>
      <c r="C42" t="s">
        <v>795</v>
      </c>
      <c r="D42">
        <v>26.09</v>
      </c>
      <c r="E42" t="s">
        <v>580</v>
      </c>
      <c r="F42" t="s">
        <v>817</v>
      </c>
      <c r="G42" s="128"/>
      <c r="H42" s="128"/>
      <c r="I42" t="s">
        <v>1002</v>
      </c>
      <c r="J42" s="128"/>
      <c r="K42" s="128"/>
    </row>
    <row r="43" spans="1:11" hidden="1" x14ac:dyDescent="0.2">
      <c r="A43" s="128" t="s">
        <v>625</v>
      </c>
      <c r="B43" s="155">
        <v>43118</v>
      </c>
      <c r="C43" t="s">
        <v>795</v>
      </c>
      <c r="D43">
        <v>72.09</v>
      </c>
      <c r="E43" t="s">
        <v>580</v>
      </c>
      <c r="F43" t="s">
        <v>818</v>
      </c>
      <c r="G43" s="128"/>
      <c r="H43" s="128"/>
      <c r="I43" t="s">
        <v>1002</v>
      </c>
      <c r="J43" s="128"/>
      <c r="K43" s="128"/>
    </row>
    <row r="44" spans="1:11" hidden="1" x14ac:dyDescent="0.2">
      <c r="A44" s="128" t="s">
        <v>625</v>
      </c>
      <c r="B44" s="155">
        <v>43118</v>
      </c>
      <c r="C44" t="s">
        <v>795</v>
      </c>
      <c r="D44">
        <v>162.96</v>
      </c>
      <c r="E44" t="s">
        <v>580</v>
      </c>
      <c r="F44" t="s">
        <v>819</v>
      </c>
      <c r="G44" s="128"/>
      <c r="H44" s="128"/>
      <c r="I44" t="s">
        <v>1002</v>
      </c>
      <c r="J44" s="128"/>
      <c r="K44" s="128"/>
    </row>
    <row r="45" spans="1:11" hidden="1" x14ac:dyDescent="0.2">
      <c r="A45" s="128" t="s">
        <v>625</v>
      </c>
      <c r="B45" s="155">
        <v>43118</v>
      </c>
      <c r="C45" t="s">
        <v>795</v>
      </c>
      <c r="D45">
        <v>357.54</v>
      </c>
      <c r="E45" t="s">
        <v>580</v>
      </c>
      <c r="F45" t="s">
        <v>820</v>
      </c>
      <c r="G45" s="128"/>
      <c r="H45" s="128"/>
      <c r="I45" t="s">
        <v>1002</v>
      </c>
      <c r="J45" s="128"/>
      <c r="K45" s="128"/>
    </row>
    <row r="46" spans="1:11" hidden="1" x14ac:dyDescent="0.2">
      <c r="A46" s="128" t="s">
        <v>625</v>
      </c>
      <c r="B46" s="155">
        <v>43118</v>
      </c>
      <c r="C46" t="s">
        <v>795</v>
      </c>
      <c r="D46">
        <v>36.49</v>
      </c>
      <c r="E46" t="s">
        <v>580</v>
      </c>
      <c r="F46" t="s">
        <v>821</v>
      </c>
      <c r="G46" s="128"/>
      <c r="H46" s="128"/>
      <c r="I46" t="s">
        <v>1002</v>
      </c>
      <c r="J46" s="128"/>
      <c r="K46" s="128"/>
    </row>
    <row r="47" spans="1:11" hidden="1" x14ac:dyDescent="0.2">
      <c r="A47" s="128" t="s">
        <v>625</v>
      </c>
      <c r="B47" s="155">
        <v>43118</v>
      </c>
      <c r="C47" t="s">
        <v>795</v>
      </c>
      <c r="D47">
        <v>428.3</v>
      </c>
      <c r="E47" t="s">
        <v>580</v>
      </c>
      <c r="F47" t="s">
        <v>822</v>
      </c>
      <c r="G47" s="128"/>
      <c r="H47" s="128"/>
      <c r="I47" t="s">
        <v>1002</v>
      </c>
      <c r="J47" s="128"/>
      <c r="K47" s="128"/>
    </row>
    <row r="48" spans="1:11" hidden="1" x14ac:dyDescent="0.2">
      <c r="A48" s="128" t="s">
        <v>625</v>
      </c>
      <c r="B48" s="155">
        <v>43118</v>
      </c>
      <c r="C48" t="s">
        <v>795</v>
      </c>
      <c r="D48">
        <v>428.28</v>
      </c>
      <c r="E48" t="s">
        <v>580</v>
      </c>
      <c r="F48" t="s">
        <v>823</v>
      </c>
      <c r="G48" s="128"/>
      <c r="H48" s="128"/>
      <c r="I48" t="s">
        <v>1002</v>
      </c>
      <c r="J48" s="128"/>
      <c r="K48" s="128"/>
    </row>
    <row r="49" spans="1:11" hidden="1" x14ac:dyDescent="0.2">
      <c r="A49" s="128" t="s">
        <v>625</v>
      </c>
      <c r="B49" s="155">
        <v>43118</v>
      </c>
      <c r="C49" t="s">
        <v>795</v>
      </c>
      <c r="D49">
        <v>539.27</v>
      </c>
      <c r="E49" t="s">
        <v>580</v>
      </c>
      <c r="F49" t="s">
        <v>805</v>
      </c>
      <c r="G49" s="128"/>
      <c r="H49" s="128"/>
      <c r="I49" t="s">
        <v>1002</v>
      </c>
      <c r="J49" s="128"/>
      <c r="K49" s="128"/>
    </row>
    <row r="50" spans="1:11" hidden="1" x14ac:dyDescent="0.2">
      <c r="A50" s="128" t="s">
        <v>625</v>
      </c>
      <c r="B50" s="155">
        <v>43122</v>
      </c>
      <c r="C50" t="s">
        <v>795</v>
      </c>
      <c r="D50">
        <v>487.2</v>
      </c>
      <c r="E50" t="s">
        <v>580</v>
      </c>
      <c r="F50" t="s">
        <v>824</v>
      </c>
      <c r="G50" s="128"/>
      <c r="H50" s="128"/>
      <c r="I50" t="s">
        <v>1002</v>
      </c>
      <c r="J50" s="128"/>
      <c r="K50" s="128"/>
    </row>
    <row r="51" spans="1:11" x14ac:dyDescent="0.2">
      <c r="A51" s="128" t="s">
        <v>625</v>
      </c>
      <c r="B51" s="155">
        <v>43122</v>
      </c>
      <c r="C51" t="s">
        <v>795</v>
      </c>
      <c r="D51">
        <v>-16.5</v>
      </c>
      <c r="E51" t="s">
        <v>613</v>
      </c>
      <c r="F51" t="s">
        <v>825</v>
      </c>
      <c r="G51" s="128"/>
      <c r="H51" s="128"/>
      <c r="I51" t="s">
        <v>1002</v>
      </c>
      <c r="J51" s="128"/>
      <c r="K51" s="128"/>
    </row>
    <row r="52" spans="1:11" hidden="1" x14ac:dyDescent="0.2">
      <c r="A52" s="128" t="s">
        <v>625</v>
      </c>
      <c r="B52" s="155">
        <v>43123</v>
      </c>
      <c r="C52" t="s">
        <v>795</v>
      </c>
      <c r="D52">
        <v>396.07</v>
      </c>
      <c r="E52" t="s">
        <v>580</v>
      </c>
      <c r="F52" t="s">
        <v>821</v>
      </c>
      <c r="G52" s="128"/>
      <c r="H52" s="128"/>
      <c r="I52" t="s">
        <v>1002</v>
      </c>
      <c r="J52" s="128"/>
      <c r="K52" s="128"/>
    </row>
    <row r="53" spans="1:11" hidden="1" x14ac:dyDescent="0.2">
      <c r="A53" s="128" t="s">
        <v>625</v>
      </c>
      <c r="B53" s="155">
        <v>43123</v>
      </c>
      <c r="C53" t="s">
        <v>795</v>
      </c>
      <c r="D53">
        <v>70.760000000000005</v>
      </c>
      <c r="E53" t="s">
        <v>580</v>
      </c>
      <c r="F53" t="s">
        <v>820</v>
      </c>
      <c r="G53" s="128"/>
      <c r="H53" s="128"/>
      <c r="I53" t="s">
        <v>1002</v>
      </c>
      <c r="J53" s="128"/>
      <c r="K53" s="128"/>
    </row>
    <row r="54" spans="1:11" hidden="1" x14ac:dyDescent="0.2">
      <c r="A54" s="128" t="s">
        <v>625</v>
      </c>
      <c r="B54" s="155">
        <v>43123</v>
      </c>
      <c r="C54" t="s">
        <v>795</v>
      </c>
      <c r="D54">
        <v>356.2</v>
      </c>
      <c r="E54" t="s">
        <v>580</v>
      </c>
      <c r="F54" t="s">
        <v>818</v>
      </c>
      <c r="G54" s="128"/>
      <c r="H54" s="128"/>
      <c r="I54" t="s">
        <v>1002</v>
      </c>
      <c r="J54" s="128"/>
      <c r="K54" s="128"/>
    </row>
    <row r="55" spans="1:11" hidden="1" x14ac:dyDescent="0.2">
      <c r="A55" s="128" t="s">
        <v>625</v>
      </c>
      <c r="B55" s="155">
        <v>43124</v>
      </c>
      <c r="C55" t="s">
        <v>795</v>
      </c>
      <c r="D55">
        <v>-5</v>
      </c>
      <c r="E55" t="s">
        <v>573</v>
      </c>
      <c r="F55" t="s">
        <v>826</v>
      </c>
      <c r="G55" s="128"/>
      <c r="H55" s="128"/>
      <c r="I55" t="s">
        <v>1002</v>
      </c>
      <c r="J55" s="128"/>
      <c r="K55" s="128"/>
    </row>
    <row r="56" spans="1:11" hidden="1" x14ac:dyDescent="0.2">
      <c r="A56" s="128" t="s">
        <v>625</v>
      </c>
      <c r="B56" s="155">
        <v>43125</v>
      </c>
      <c r="C56" t="s">
        <v>795</v>
      </c>
      <c r="D56">
        <v>315.29000000000002</v>
      </c>
      <c r="E56" t="s">
        <v>580</v>
      </c>
      <c r="F56" t="s">
        <v>819</v>
      </c>
      <c r="G56" s="128"/>
      <c r="H56" s="128"/>
      <c r="I56" t="s">
        <v>1002</v>
      </c>
      <c r="J56" s="128"/>
      <c r="K56" s="128"/>
    </row>
    <row r="57" spans="1:11" x14ac:dyDescent="0.2">
      <c r="A57" s="128" t="s">
        <v>625</v>
      </c>
      <c r="B57" s="155">
        <v>43125</v>
      </c>
      <c r="C57" t="s">
        <v>795</v>
      </c>
      <c r="D57">
        <v>-260</v>
      </c>
      <c r="E57" t="s">
        <v>613</v>
      </c>
      <c r="F57" t="s">
        <v>816</v>
      </c>
      <c r="G57" s="128"/>
      <c r="H57" s="128"/>
      <c r="I57" t="s">
        <v>1002</v>
      </c>
      <c r="J57" s="128"/>
      <c r="K57" s="128"/>
    </row>
    <row r="58" spans="1:11" hidden="1" x14ac:dyDescent="0.2">
      <c r="A58" s="128" t="s">
        <v>625</v>
      </c>
      <c r="B58" s="155">
        <v>43126</v>
      </c>
      <c r="C58" t="s">
        <v>795</v>
      </c>
      <c r="D58">
        <v>-15.84</v>
      </c>
      <c r="E58" t="s">
        <v>573</v>
      </c>
      <c r="F58" t="s">
        <v>827</v>
      </c>
      <c r="G58" s="128"/>
      <c r="H58" s="128"/>
      <c r="I58" t="s">
        <v>1002</v>
      </c>
      <c r="J58" s="128"/>
      <c r="K58" s="128"/>
    </row>
    <row r="59" spans="1:11" x14ac:dyDescent="0.2">
      <c r="A59" s="128" t="s">
        <v>625</v>
      </c>
      <c r="B59" s="155">
        <v>43129</v>
      </c>
      <c r="C59" t="s">
        <v>795</v>
      </c>
      <c r="D59">
        <v>-1200</v>
      </c>
      <c r="E59" t="s">
        <v>565</v>
      </c>
      <c r="F59" t="s">
        <v>828</v>
      </c>
      <c r="G59" s="128"/>
      <c r="H59" s="128"/>
      <c r="I59" t="s">
        <v>1002</v>
      </c>
      <c r="J59" s="128"/>
      <c r="K59" s="128"/>
    </row>
    <row r="60" spans="1:11" hidden="1" x14ac:dyDescent="0.2">
      <c r="B60" s="155">
        <v>43129</v>
      </c>
      <c r="C60" t="s">
        <v>795</v>
      </c>
      <c r="D60">
        <v>-33</v>
      </c>
      <c r="E60" t="s">
        <v>573</v>
      </c>
      <c r="F60" t="s">
        <v>829</v>
      </c>
      <c r="I60" t="s">
        <v>1002</v>
      </c>
    </row>
    <row r="61" spans="1:11" x14ac:dyDescent="0.2">
      <c r="B61" s="155">
        <v>43129</v>
      </c>
      <c r="C61" t="s">
        <v>795</v>
      </c>
      <c r="D61">
        <v>-260</v>
      </c>
      <c r="E61" t="s">
        <v>613</v>
      </c>
      <c r="F61" t="s">
        <v>816</v>
      </c>
      <c r="I61" t="s">
        <v>1002</v>
      </c>
    </row>
    <row r="62" spans="1:11" hidden="1" x14ac:dyDescent="0.2">
      <c r="B62" s="155">
        <v>43130</v>
      </c>
      <c r="C62" t="s">
        <v>795</v>
      </c>
      <c r="D62">
        <v>468.64</v>
      </c>
      <c r="E62" t="s">
        <v>580</v>
      </c>
      <c r="F62" t="s">
        <v>830</v>
      </c>
      <c r="I62" t="s">
        <v>1002</v>
      </c>
    </row>
    <row r="63" spans="1:11" x14ac:dyDescent="0.2">
      <c r="B63" s="139"/>
    </row>
    <row r="64" spans="1:11" x14ac:dyDescent="0.2">
      <c r="B64" s="139"/>
    </row>
    <row r="65" spans="2:2" x14ac:dyDescent="0.2">
      <c r="B65" s="139"/>
    </row>
    <row r="66" spans="2:2" x14ac:dyDescent="0.2">
      <c r="B66" s="139"/>
    </row>
    <row r="67" spans="2:2" x14ac:dyDescent="0.2">
      <c r="B67" s="139"/>
    </row>
    <row r="68" spans="2:2" x14ac:dyDescent="0.2">
      <c r="B68" s="139"/>
    </row>
    <row r="69" spans="2:2" x14ac:dyDescent="0.2">
      <c r="B69" s="139"/>
    </row>
    <row r="70" spans="2:2" x14ac:dyDescent="0.2">
      <c r="B70" s="139"/>
    </row>
    <row r="71" spans="2:2" x14ac:dyDescent="0.2">
      <c r="B71" s="139"/>
    </row>
    <row r="72" spans="2:2" x14ac:dyDescent="0.2">
      <c r="B72" s="139"/>
    </row>
    <row r="73" spans="2:2" x14ac:dyDescent="0.2">
      <c r="B73" s="139"/>
    </row>
  </sheetData>
  <autoFilter ref="A1:K62">
    <filterColumn colId="4">
      <filters>
        <filter val="OTH"/>
        <filter val="REPEATPMT"/>
        <filter val="STO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85"/>
  <sheetViews>
    <sheetView zoomScale="85" zoomScaleNormal="85" workbookViewId="0">
      <selection activeCell="F2" sqref="F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619</v>
      </c>
      <c r="B2" s="155">
        <v>43104</v>
      </c>
      <c r="C2" t="s">
        <v>694</v>
      </c>
      <c r="D2">
        <v>58.97</v>
      </c>
      <c r="E2" t="s">
        <v>695</v>
      </c>
      <c r="F2" t="s">
        <v>696</v>
      </c>
      <c r="J2" s="128"/>
    </row>
    <row r="3" spans="1:10" x14ac:dyDescent="0.2">
      <c r="A3" t="s">
        <v>619</v>
      </c>
      <c r="B3" s="155">
        <v>43104</v>
      </c>
      <c r="C3" t="s">
        <v>694</v>
      </c>
      <c r="D3">
        <v>-26.49</v>
      </c>
      <c r="E3" t="s">
        <v>578</v>
      </c>
      <c r="F3" t="s">
        <v>697</v>
      </c>
      <c r="J3" s="128"/>
    </row>
    <row r="4" spans="1:10" x14ac:dyDescent="0.2">
      <c r="A4" t="s">
        <v>619</v>
      </c>
      <c r="B4" s="155">
        <v>43104</v>
      </c>
      <c r="C4" t="s">
        <v>694</v>
      </c>
      <c r="D4">
        <v>-24.14</v>
      </c>
      <c r="E4" t="s">
        <v>578</v>
      </c>
      <c r="F4" t="s">
        <v>698</v>
      </c>
      <c r="J4" s="128"/>
    </row>
    <row r="5" spans="1:10" x14ac:dyDescent="0.2">
      <c r="A5" t="s">
        <v>619</v>
      </c>
      <c r="B5" s="155">
        <v>43104</v>
      </c>
      <c r="C5" t="s">
        <v>694</v>
      </c>
      <c r="D5">
        <v>-19.05</v>
      </c>
      <c r="E5" t="s">
        <v>578</v>
      </c>
      <c r="F5" t="s">
        <v>697</v>
      </c>
      <c r="J5" s="128"/>
    </row>
    <row r="6" spans="1:10" x14ac:dyDescent="0.2">
      <c r="A6" t="s">
        <v>619</v>
      </c>
      <c r="B6" s="155">
        <v>43104</v>
      </c>
      <c r="C6" t="s">
        <v>694</v>
      </c>
      <c r="D6">
        <v>-7.55</v>
      </c>
      <c r="E6" t="s">
        <v>578</v>
      </c>
      <c r="F6" t="s">
        <v>699</v>
      </c>
      <c r="J6" s="128"/>
    </row>
    <row r="7" spans="1:10" x14ac:dyDescent="0.2">
      <c r="A7" t="s">
        <v>619</v>
      </c>
      <c r="B7" s="155">
        <v>43104</v>
      </c>
      <c r="C7" t="s">
        <v>694</v>
      </c>
      <c r="D7">
        <v>-50</v>
      </c>
      <c r="E7" t="s">
        <v>578</v>
      </c>
      <c r="F7" t="s">
        <v>700</v>
      </c>
      <c r="J7" s="128"/>
    </row>
    <row r="8" spans="1:10" x14ac:dyDescent="0.2">
      <c r="A8" t="s">
        <v>619</v>
      </c>
      <c r="B8" s="155">
        <v>43104</v>
      </c>
      <c r="C8" t="s">
        <v>694</v>
      </c>
      <c r="D8">
        <v>-4.18</v>
      </c>
      <c r="E8" t="s">
        <v>578</v>
      </c>
      <c r="F8" t="s">
        <v>701</v>
      </c>
      <c r="J8" s="128"/>
    </row>
    <row r="9" spans="1:10" x14ac:dyDescent="0.2">
      <c r="A9" t="s">
        <v>619</v>
      </c>
      <c r="B9" s="155">
        <v>43105</v>
      </c>
      <c r="C9" t="s">
        <v>694</v>
      </c>
      <c r="D9">
        <v>-117.04</v>
      </c>
      <c r="E9" t="s">
        <v>578</v>
      </c>
      <c r="F9" t="s">
        <v>702</v>
      </c>
      <c r="J9" s="128"/>
    </row>
    <row r="10" spans="1:10" x14ac:dyDescent="0.2">
      <c r="A10" t="s">
        <v>619</v>
      </c>
      <c r="B10" s="155">
        <v>43108</v>
      </c>
      <c r="C10" t="s">
        <v>694</v>
      </c>
      <c r="D10">
        <v>-18.13</v>
      </c>
      <c r="E10" t="s">
        <v>578</v>
      </c>
      <c r="F10" t="s">
        <v>703</v>
      </c>
      <c r="J10" s="128"/>
    </row>
    <row r="11" spans="1:10" x14ac:dyDescent="0.2">
      <c r="A11" t="s">
        <v>619</v>
      </c>
      <c r="B11" s="155">
        <v>43108</v>
      </c>
      <c r="C11" t="s">
        <v>694</v>
      </c>
      <c r="D11">
        <v>-17.95</v>
      </c>
      <c r="E11" t="s">
        <v>578</v>
      </c>
      <c r="F11" t="s">
        <v>704</v>
      </c>
      <c r="J11" s="128"/>
    </row>
    <row r="12" spans="1:10" x14ac:dyDescent="0.2">
      <c r="A12" t="s">
        <v>619</v>
      </c>
      <c r="B12" s="155">
        <v>43108</v>
      </c>
      <c r="C12" t="s">
        <v>694</v>
      </c>
      <c r="D12">
        <v>-14.95</v>
      </c>
      <c r="E12" t="s">
        <v>578</v>
      </c>
      <c r="F12" t="s">
        <v>704</v>
      </c>
      <c r="J12" s="128"/>
    </row>
    <row r="13" spans="1:10" x14ac:dyDescent="0.2">
      <c r="A13" t="s">
        <v>619</v>
      </c>
      <c r="B13" s="155">
        <v>43108</v>
      </c>
      <c r="C13" t="s">
        <v>694</v>
      </c>
      <c r="D13">
        <v>-7.99</v>
      </c>
      <c r="E13" t="s">
        <v>578</v>
      </c>
      <c r="F13" t="s">
        <v>705</v>
      </c>
      <c r="J13" s="128"/>
    </row>
    <row r="14" spans="1:10" x14ac:dyDescent="0.2">
      <c r="A14" t="s">
        <v>619</v>
      </c>
      <c r="B14" s="155">
        <v>43108</v>
      </c>
      <c r="C14" t="s">
        <v>694</v>
      </c>
      <c r="D14">
        <v>-7.58</v>
      </c>
      <c r="E14" t="s">
        <v>578</v>
      </c>
      <c r="F14" t="s">
        <v>706</v>
      </c>
      <c r="J14" s="128"/>
    </row>
    <row r="15" spans="1:10" x14ac:dyDescent="0.2">
      <c r="A15" t="s">
        <v>619</v>
      </c>
      <c r="B15" s="155">
        <v>43108</v>
      </c>
      <c r="C15" t="s">
        <v>694</v>
      </c>
      <c r="D15">
        <v>-6.7</v>
      </c>
      <c r="E15" t="s">
        <v>578</v>
      </c>
      <c r="F15" t="s">
        <v>707</v>
      </c>
      <c r="J15" s="128"/>
    </row>
    <row r="16" spans="1:10" x14ac:dyDescent="0.2">
      <c r="A16" t="s">
        <v>619</v>
      </c>
      <c r="B16" s="155">
        <v>43108</v>
      </c>
      <c r="C16" t="s">
        <v>694</v>
      </c>
      <c r="D16">
        <v>-6</v>
      </c>
      <c r="E16" t="s">
        <v>578</v>
      </c>
      <c r="F16" t="s">
        <v>708</v>
      </c>
      <c r="J16" s="128"/>
    </row>
    <row r="17" spans="1:10" x14ac:dyDescent="0.2">
      <c r="A17" t="s">
        <v>619</v>
      </c>
      <c r="B17" s="155">
        <v>43108</v>
      </c>
      <c r="C17" t="s">
        <v>694</v>
      </c>
      <c r="D17">
        <v>-106.55</v>
      </c>
      <c r="E17" t="s">
        <v>578</v>
      </c>
      <c r="F17" t="s">
        <v>709</v>
      </c>
      <c r="J17" s="128"/>
    </row>
    <row r="18" spans="1:10" x14ac:dyDescent="0.2">
      <c r="A18" t="s">
        <v>619</v>
      </c>
      <c r="B18" s="155">
        <v>43108</v>
      </c>
      <c r="C18" t="s">
        <v>694</v>
      </c>
      <c r="D18">
        <v>-64.62</v>
      </c>
      <c r="E18" t="s">
        <v>578</v>
      </c>
      <c r="F18" t="s">
        <v>710</v>
      </c>
      <c r="J18" s="128"/>
    </row>
    <row r="19" spans="1:10" x14ac:dyDescent="0.2">
      <c r="A19" t="s">
        <v>619</v>
      </c>
      <c r="B19" s="155">
        <v>43108</v>
      </c>
      <c r="C19" t="s">
        <v>694</v>
      </c>
      <c r="D19">
        <v>-41.45</v>
      </c>
      <c r="E19" t="s">
        <v>578</v>
      </c>
      <c r="F19" t="s">
        <v>709</v>
      </c>
      <c r="J19" s="128"/>
    </row>
    <row r="20" spans="1:10" x14ac:dyDescent="0.2">
      <c r="A20" t="s">
        <v>619</v>
      </c>
      <c r="B20" s="155">
        <v>43108</v>
      </c>
      <c r="C20" t="s">
        <v>694</v>
      </c>
      <c r="D20">
        <v>-32.5</v>
      </c>
      <c r="E20" t="s">
        <v>578</v>
      </c>
      <c r="F20" t="s">
        <v>711</v>
      </c>
      <c r="J20" s="128"/>
    </row>
    <row r="21" spans="1:10" x14ac:dyDescent="0.2">
      <c r="A21" t="s">
        <v>619</v>
      </c>
      <c r="B21" s="155">
        <v>43108</v>
      </c>
      <c r="C21" t="s">
        <v>694</v>
      </c>
      <c r="D21">
        <v>-4.18</v>
      </c>
      <c r="E21" t="s">
        <v>578</v>
      </c>
      <c r="F21" t="s">
        <v>712</v>
      </c>
      <c r="J21" s="128"/>
    </row>
    <row r="22" spans="1:10" x14ac:dyDescent="0.2">
      <c r="A22" t="s">
        <v>619</v>
      </c>
      <c r="B22" s="155">
        <v>43109</v>
      </c>
      <c r="C22" t="s">
        <v>694</v>
      </c>
      <c r="D22">
        <v>-26.9</v>
      </c>
      <c r="E22" t="s">
        <v>578</v>
      </c>
      <c r="F22" t="s">
        <v>713</v>
      </c>
      <c r="J22" s="128"/>
    </row>
    <row r="23" spans="1:10" x14ac:dyDescent="0.2">
      <c r="A23" t="s">
        <v>619</v>
      </c>
      <c r="B23" s="155">
        <v>43109</v>
      </c>
      <c r="C23" t="s">
        <v>694</v>
      </c>
      <c r="D23">
        <v>-15</v>
      </c>
      <c r="E23" t="s">
        <v>578</v>
      </c>
      <c r="F23" t="s">
        <v>714</v>
      </c>
      <c r="J23" s="128"/>
    </row>
    <row r="24" spans="1:10" x14ac:dyDescent="0.2">
      <c r="A24" t="s">
        <v>619</v>
      </c>
      <c r="B24" s="155">
        <v>43109</v>
      </c>
      <c r="C24" t="s">
        <v>694</v>
      </c>
      <c r="D24">
        <v>-7.59</v>
      </c>
      <c r="E24" t="s">
        <v>578</v>
      </c>
      <c r="F24" t="s">
        <v>715</v>
      </c>
      <c r="J24" s="128"/>
    </row>
    <row r="25" spans="1:10" x14ac:dyDescent="0.2">
      <c r="A25" t="s">
        <v>619</v>
      </c>
      <c r="B25" s="155">
        <v>43109</v>
      </c>
      <c r="C25" t="s">
        <v>694</v>
      </c>
      <c r="D25">
        <v>-7.2</v>
      </c>
      <c r="E25" t="s">
        <v>578</v>
      </c>
      <c r="F25" t="s">
        <v>716</v>
      </c>
      <c r="J25" s="128"/>
    </row>
    <row r="26" spans="1:10" x14ac:dyDescent="0.2">
      <c r="A26" t="s">
        <v>619</v>
      </c>
      <c r="B26" s="155">
        <v>43109</v>
      </c>
      <c r="C26" t="s">
        <v>694</v>
      </c>
      <c r="D26">
        <v>-6.4</v>
      </c>
      <c r="E26" t="s">
        <v>578</v>
      </c>
      <c r="F26" t="s">
        <v>716</v>
      </c>
      <c r="J26" s="128"/>
    </row>
    <row r="27" spans="1:10" x14ac:dyDescent="0.2">
      <c r="A27" t="s">
        <v>619</v>
      </c>
      <c r="B27" s="155">
        <v>43109</v>
      </c>
      <c r="C27" t="s">
        <v>694</v>
      </c>
      <c r="D27">
        <v>-6</v>
      </c>
      <c r="E27" t="s">
        <v>578</v>
      </c>
      <c r="F27" t="s">
        <v>716</v>
      </c>
      <c r="J27" s="128"/>
    </row>
    <row r="28" spans="1:10" x14ac:dyDescent="0.2">
      <c r="A28" t="s">
        <v>619</v>
      </c>
      <c r="B28" s="155">
        <v>43109</v>
      </c>
      <c r="C28" t="s">
        <v>694</v>
      </c>
      <c r="D28">
        <v>-6</v>
      </c>
      <c r="E28" t="s">
        <v>578</v>
      </c>
      <c r="F28" t="s">
        <v>717</v>
      </c>
      <c r="J28" s="128"/>
    </row>
    <row r="29" spans="1:10" x14ac:dyDescent="0.2">
      <c r="A29" t="s">
        <v>619</v>
      </c>
      <c r="B29" s="155">
        <v>43109</v>
      </c>
      <c r="C29" t="s">
        <v>694</v>
      </c>
      <c r="D29">
        <v>-1.3</v>
      </c>
      <c r="E29" t="s">
        <v>578</v>
      </c>
      <c r="F29" t="s">
        <v>718</v>
      </c>
      <c r="J29" s="128"/>
    </row>
    <row r="30" spans="1:10" x14ac:dyDescent="0.2">
      <c r="A30" t="s">
        <v>619</v>
      </c>
      <c r="B30" s="155">
        <v>43109</v>
      </c>
      <c r="C30" t="s">
        <v>694</v>
      </c>
      <c r="D30">
        <v>-23</v>
      </c>
      <c r="E30" t="s">
        <v>578</v>
      </c>
      <c r="F30" t="s">
        <v>719</v>
      </c>
      <c r="J30" s="128"/>
    </row>
    <row r="31" spans="1:10" x14ac:dyDescent="0.2">
      <c r="A31" t="s">
        <v>619</v>
      </c>
      <c r="B31" s="155">
        <v>43109</v>
      </c>
      <c r="C31" t="s">
        <v>694</v>
      </c>
      <c r="D31">
        <v>-3</v>
      </c>
      <c r="E31" t="s">
        <v>578</v>
      </c>
      <c r="F31" s="56" t="s">
        <v>1000</v>
      </c>
      <c r="J31" s="128"/>
    </row>
    <row r="32" spans="1:10" x14ac:dyDescent="0.2">
      <c r="A32" t="s">
        <v>619</v>
      </c>
      <c r="B32" s="155">
        <v>43110</v>
      </c>
      <c r="C32" t="s">
        <v>694</v>
      </c>
      <c r="D32">
        <v>-23.37</v>
      </c>
      <c r="E32" t="s">
        <v>578</v>
      </c>
      <c r="F32" t="s">
        <v>720</v>
      </c>
      <c r="J32" s="128"/>
    </row>
    <row r="33" spans="1:10" x14ac:dyDescent="0.2">
      <c r="A33" t="s">
        <v>619</v>
      </c>
      <c r="B33" s="155">
        <v>43110</v>
      </c>
      <c r="C33" t="s">
        <v>694</v>
      </c>
      <c r="D33">
        <v>-4.7</v>
      </c>
      <c r="E33" t="s">
        <v>578</v>
      </c>
      <c r="F33" t="s">
        <v>721</v>
      </c>
      <c r="J33" s="128"/>
    </row>
    <row r="34" spans="1:10" x14ac:dyDescent="0.2">
      <c r="A34" t="s">
        <v>619</v>
      </c>
      <c r="B34" s="155">
        <v>43111</v>
      </c>
      <c r="C34" t="s">
        <v>694</v>
      </c>
      <c r="D34">
        <v>-29.48</v>
      </c>
      <c r="E34" t="s">
        <v>578</v>
      </c>
      <c r="F34" t="s">
        <v>722</v>
      </c>
      <c r="J34" s="128"/>
    </row>
    <row r="35" spans="1:10" x14ac:dyDescent="0.2">
      <c r="A35" t="s">
        <v>619</v>
      </c>
      <c r="B35" s="155">
        <v>43111</v>
      </c>
      <c r="C35" t="s">
        <v>694</v>
      </c>
      <c r="D35">
        <v>-27.53</v>
      </c>
      <c r="E35" t="s">
        <v>578</v>
      </c>
      <c r="F35" t="s">
        <v>723</v>
      </c>
      <c r="J35" s="128"/>
    </row>
    <row r="36" spans="1:10" x14ac:dyDescent="0.2">
      <c r="A36" t="s">
        <v>619</v>
      </c>
      <c r="B36" s="155">
        <v>43111</v>
      </c>
      <c r="C36" t="s">
        <v>694</v>
      </c>
      <c r="D36">
        <v>-9.82</v>
      </c>
      <c r="E36" t="s">
        <v>578</v>
      </c>
      <c r="F36" t="s">
        <v>724</v>
      </c>
      <c r="J36" s="128"/>
    </row>
    <row r="37" spans="1:10" x14ac:dyDescent="0.2">
      <c r="A37" t="s">
        <v>619</v>
      </c>
      <c r="B37" s="155">
        <v>43111</v>
      </c>
      <c r="C37" t="s">
        <v>694</v>
      </c>
      <c r="D37">
        <v>-2.1</v>
      </c>
      <c r="E37" t="s">
        <v>578</v>
      </c>
      <c r="F37" t="s">
        <v>725</v>
      </c>
      <c r="J37" s="128"/>
    </row>
    <row r="38" spans="1:10" x14ac:dyDescent="0.2">
      <c r="A38" t="s">
        <v>619</v>
      </c>
      <c r="B38" s="155">
        <v>43112</v>
      </c>
      <c r="C38" t="s">
        <v>694</v>
      </c>
      <c r="D38">
        <v>-12.36</v>
      </c>
      <c r="E38" t="s">
        <v>578</v>
      </c>
      <c r="F38" t="s">
        <v>726</v>
      </c>
      <c r="J38" s="128"/>
    </row>
    <row r="39" spans="1:10" x14ac:dyDescent="0.2">
      <c r="A39" t="s">
        <v>619</v>
      </c>
      <c r="B39" s="155">
        <v>43112</v>
      </c>
      <c r="C39" t="s">
        <v>694</v>
      </c>
      <c r="D39">
        <v>-11.77</v>
      </c>
      <c r="E39" t="s">
        <v>578</v>
      </c>
      <c r="F39" t="s">
        <v>726</v>
      </c>
      <c r="J39" s="128"/>
    </row>
    <row r="40" spans="1:10" x14ac:dyDescent="0.2">
      <c r="A40" t="s">
        <v>619</v>
      </c>
      <c r="B40" s="155">
        <v>43112</v>
      </c>
      <c r="C40" t="s">
        <v>694</v>
      </c>
      <c r="D40">
        <v>-0.79</v>
      </c>
      <c r="E40" t="s">
        <v>578</v>
      </c>
      <c r="F40" t="s">
        <v>727</v>
      </c>
      <c r="J40" s="128"/>
    </row>
    <row r="41" spans="1:10" x14ac:dyDescent="0.2">
      <c r="A41" t="s">
        <v>619</v>
      </c>
      <c r="B41" s="155">
        <v>43115</v>
      </c>
      <c r="C41" t="s">
        <v>694</v>
      </c>
      <c r="D41">
        <v>300</v>
      </c>
      <c r="E41" t="s">
        <v>613</v>
      </c>
      <c r="F41" t="s">
        <v>728</v>
      </c>
      <c r="J41" s="128"/>
    </row>
    <row r="42" spans="1:10" x14ac:dyDescent="0.2">
      <c r="A42" t="s">
        <v>619</v>
      </c>
      <c r="B42" s="155">
        <v>43115</v>
      </c>
      <c r="C42" t="s">
        <v>694</v>
      </c>
      <c r="D42">
        <v>44</v>
      </c>
      <c r="E42" t="s">
        <v>613</v>
      </c>
      <c r="F42" t="s">
        <v>729</v>
      </c>
      <c r="J42" s="128"/>
    </row>
    <row r="43" spans="1:10" x14ac:dyDescent="0.2">
      <c r="A43" t="s">
        <v>619</v>
      </c>
      <c r="B43" s="155">
        <v>43115</v>
      </c>
      <c r="C43" t="s">
        <v>694</v>
      </c>
      <c r="D43">
        <v>-10.42</v>
      </c>
      <c r="E43" t="s">
        <v>578</v>
      </c>
      <c r="F43" t="s">
        <v>730</v>
      </c>
      <c r="J43" s="128"/>
    </row>
    <row r="44" spans="1:10" x14ac:dyDescent="0.2">
      <c r="A44" t="s">
        <v>619</v>
      </c>
      <c r="B44" s="155">
        <v>43115</v>
      </c>
      <c r="C44" t="s">
        <v>694</v>
      </c>
      <c r="D44">
        <v>-30</v>
      </c>
      <c r="E44" t="s">
        <v>578</v>
      </c>
      <c r="F44" t="s">
        <v>731</v>
      </c>
      <c r="J44" s="128"/>
    </row>
    <row r="45" spans="1:10" x14ac:dyDescent="0.2">
      <c r="A45" t="s">
        <v>619</v>
      </c>
      <c r="B45" s="155">
        <v>43115</v>
      </c>
      <c r="C45" t="s">
        <v>694</v>
      </c>
      <c r="D45">
        <v>-61.5</v>
      </c>
      <c r="E45" t="s">
        <v>573</v>
      </c>
      <c r="F45" t="s">
        <v>732</v>
      </c>
      <c r="J45" s="128"/>
    </row>
    <row r="46" spans="1:10" x14ac:dyDescent="0.2">
      <c r="A46" t="s">
        <v>619</v>
      </c>
      <c r="B46" s="155">
        <v>43116</v>
      </c>
      <c r="C46" t="s">
        <v>694</v>
      </c>
      <c r="D46">
        <v>-13.96</v>
      </c>
      <c r="E46" t="s">
        <v>578</v>
      </c>
      <c r="F46" t="s">
        <v>733</v>
      </c>
      <c r="J46" s="128"/>
    </row>
    <row r="47" spans="1:10" x14ac:dyDescent="0.2">
      <c r="A47" t="s">
        <v>619</v>
      </c>
      <c r="B47" s="155">
        <v>43116</v>
      </c>
      <c r="C47" t="s">
        <v>694</v>
      </c>
      <c r="D47">
        <v>-40</v>
      </c>
      <c r="E47" t="s">
        <v>578</v>
      </c>
      <c r="F47" t="s">
        <v>734</v>
      </c>
      <c r="J47" s="128"/>
    </row>
    <row r="48" spans="1:10" x14ac:dyDescent="0.2">
      <c r="A48" t="s">
        <v>619</v>
      </c>
      <c r="B48" s="155">
        <v>43116</v>
      </c>
      <c r="C48" t="s">
        <v>694</v>
      </c>
      <c r="D48">
        <v>-30.08</v>
      </c>
      <c r="E48" t="s">
        <v>578</v>
      </c>
      <c r="F48" t="s">
        <v>735</v>
      </c>
      <c r="J48" s="128"/>
    </row>
    <row r="49" spans="1:10" x14ac:dyDescent="0.2">
      <c r="A49" t="s">
        <v>619</v>
      </c>
      <c r="B49" s="155">
        <v>43117</v>
      </c>
      <c r="C49" t="s">
        <v>694</v>
      </c>
      <c r="D49">
        <v>300</v>
      </c>
      <c r="E49" t="s">
        <v>613</v>
      </c>
      <c r="F49" t="s">
        <v>736</v>
      </c>
      <c r="J49" s="128"/>
    </row>
    <row r="50" spans="1:10" x14ac:dyDescent="0.2">
      <c r="A50" t="s">
        <v>619</v>
      </c>
      <c r="B50" s="155">
        <v>43117</v>
      </c>
      <c r="C50" t="s">
        <v>694</v>
      </c>
      <c r="D50">
        <v>-8.8000000000000007</v>
      </c>
      <c r="E50" t="s">
        <v>578</v>
      </c>
      <c r="F50" t="s">
        <v>737</v>
      </c>
      <c r="J50" s="128"/>
    </row>
    <row r="51" spans="1:10" x14ac:dyDescent="0.2">
      <c r="A51" t="s">
        <v>619</v>
      </c>
      <c r="B51" s="155">
        <v>43117</v>
      </c>
      <c r="C51" t="s">
        <v>694</v>
      </c>
      <c r="D51">
        <v>-3.6</v>
      </c>
      <c r="E51" t="s">
        <v>578</v>
      </c>
      <c r="F51" t="s">
        <v>738</v>
      </c>
      <c r="J51" s="128"/>
    </row>
    <row r="52" spans="1:10" x14ac:dyDescent="0.2">
      <c r="A52" t="s">
        <v>619</v>
      </c>
      <c r="B52" s="155">
        <v>43117</v>
      </c>
      <c r="C52" t="s">
        <v>694</v>
      </c>
      <c r="D52">
        <v>-1.95</v>
      </c>
      <c r="E52" t="s">
        <v>578</v>
      </c>
      <c r="F52" t="s">
        <v>739</v>
      </c>
      <c r="J52" s="128"/>
    </row>
    <row r="53" spans="1:10" x14ac:dyDescent="0.2">
      <c r="A53" t="s">
        <v>619</v>
      </c>
      <c r="B53" s="155">
        <v>43117</v>
      </c>
      <c r="C53" t="s">
        <v>694</v>
      </c>
      <c r="D53">
        <v>-1.95</v>
      </c>
      <c r="E53" t="s">
        <v>578</v>
      </c>
      <c r="F53" t="s">
        <v>739</v>
      </c>
      <c r="J53" s="128"/>
    </row>
    <row r="54" spans="1:10" x14ac:dyDescent="0.2">
      <c r="A54" t="s">
        <v>619</v>
      </c>
      <c r="B54" s="155">
        <v>43117</v>
      </c>
      <c r="C54" t="s">
        <v>694</v>
      </c>
      <c r="D54">
        <v>-10.199999999999999</v>
      </c>
      <c r="E54" t="s">
        <v>578</v>
      </c>
      <c r="F54" t="s">
        <v>740</v>
      </c>
      <c r="J54" s="128"/>
    </row>
    <row r="55" spans="1:10" x14ac:dyDescent="0.2">
      <c r="A55" t="s">
        <v>619</v>
      </c>
      <c r="B55" s="155">
        <v>43117</v>
      </c>
      <c r="C55" t="s">
        <v>694</v>
      </c>
      <c r="D55">
        <v>-5</v>
      </c>
      <c r="E55" t="s">
        <v>578</v>
      </c>
      <c r="F55" t="s">
        <v>741</v>
      </c>
      <c r="J55" s="128"/>
    </row>
    <row r="56" spans="1:10" x14ac:dyDescent="0.2">
      <c r="A56" t="s">
        <v>619</v>
      </c>
      <c r="B56" s="155">
        <v>43118</v>
      </c>
      <c r="C56" t="s">
        <v>694</v>
      </c>
      <c r="D56">
        <v>-25.15</v>
      </c>
      <c r="E56" t="s">
        <v>578</v>
      </c>
      <c r="F56" t="s">
        <v>742</v>
      </c>
      <c r="J56" s="128"/>
    </row>
    <row r="57" spans="1:10" x14ac:dyDescent="0.2">
      <c r="A57" t="s">
        <v>619</v>
      </c>
      <c r="B57" s="155">
        <v>43118</v>
      </c>
      <c r="C57" t="s">
        <v>694</v>
      </c>
      <c r="D57">
        <v>-15.4</v>
      </c>
      <c r="E57" t="s">
        <v>578</v>
      </c>
      <c r="F57" t="s">
        <v>743</v>
      </c>
      <c r="J57" s="128"/>
    </row>
    <row r="58" spans="1:10" x14ac:dyDescent="0.2">
      <c r="A58" t="s">
        <v>619</v>
      </c>
      <c r="B58" s="155">
        <v>43118</v>
      </c>
      <c r="C58" t="s">
        <v>694</v>
      </c>
      <c r="D58">
        <v>-8.3000000000000007</v>
      </c>
      <c r="E58" t="s">
        <v>578</v>
      </c>
      <c r="F58" t="s">
        <v>744</v>
      </c>
      <c r="J58" s="128"/>
    </row>
    <row r="59" spans="1:10" x14ac:dyDescent="0.2">
      <c r="A59" t="s">
        <v>619</v>
      </c>
      <c r="B59" s="155">
        <v>43118</v>
      </c>
      <c r="C59" t="s">
        <v>694</v>
      </c>
      <c r="D59">
        <v>-4.8</v>
      </c>
      <c r="E59" t="s">
        <v>578</v>
      </c>
      <c r="F59" t="s">
        <v>745</v>
      </c>
      <c r="J59" s="128"/>
    </row>
    <row r="60" spans="1:10" x14ac:dyDescent="0.2">
      <c r="A60" t="s">
        <v>619</v>
      </c>
      <c r="B60" s="155">
        <v>43118</v>
      </c>
      <c r="C60" t="s">
        <v>694</v>
      </c>
      <c r="D60">
        <v>-64.989999999999995</v>
      </c>
      <c r="E60" t="s">
        <v>578</v>
      </c>
      <c r="F60" t="s">
        <v>746</v>
      </c>
      <c r="J60" s="128"/>
    </row>
    <row r="61" spans="1:10" x14ac:dyDescent="0.2">
      <c r="A61" t="s">
        <v>619</v>
      </c>
      <c r="B61" s="155">
        <v>43118</v>
      </c>
      <c r="C61" t="s">
        <v>694</v>
      </c>
      <c r="D61">
        <v>-50.85</v>
      </c>
      <c r="E61" t="s">
        <v>578</v>
      </c>
      <c r="F61" t="s">
        <v>747</v>
      </c>
      <c r="J61" s="128"/>
    </row>
    <row r="62" spans="1:10" x14ac:dyDescent="0.2">
      <c r="A62" t="s">
        <v>619</v>
      </c>
      <c r="B62" s="155">
        <v>43119</v>
      </c>
      <c r="C62" t="s">
        <v>694</v>
      </c>
      <c r="D62">
        <v>-25</v>
      </c>
      <c r="E62" t="s">
        <v>578</v>
      </c>
      <c r="F62" t="s">
        <v>748</v>
      </c>
      <c r="J62" s="128"/>
    </row>
    <row r="63" spans="1:10" x14ac:dyDescent="0.2">
      <c r="A63" t="s">
        <v>619</v>
      </c>
      <c r="B63" s="155">
        <v>43119</v>
      </c>
      <c r="C63" t="s">
        <v>694</v>
      </c>
      <c r="D63">
        <v>-10.050000000000001</v>
      </c>
      <c r="E63" t="s">
        <v>578</v>
      </c>
      <c r="F63" t="s">
        <v>749</v>
      </c>
      <c r="J63" s="128"/>
    </row>
    <row r="64" spans="1:10" x14ac:dyDescent="0.2">
      <c r="A64" t="s">
        <v>619</v>
      </c>
      <c r="B64" s="155">
        <v>43119</v>
      </c>
      <c r="C64" t="s">
        <v>694</v>
      </c>
      <c r="D64">
        <v>-6.95</v>
      </c>
      <c r="E64" t="s">
        <v>578</v>
      </c>
      <c r="F64" t="s">
        <v>750</v>
      </c>
      <c r="J64" s="128"/>
    </row>
    <row r="65" spans="1:10" x14ac:dyDescent="0.2">
      <c r="A65" t="s">
        <v>619</v>
      </c>
      <c r="B65" s="155">
        <v>43119</v>
      </c>
      <c r="C65" t="s">
        <v>694</v>
      </c>
      <c r="D65">
        <v>-4.91</v>
      </c>
      <c r="E65" t="s">
        <v>578</v>
      </c>
      <c r="F65" t="s">
        <v>751</v>
      </c>
      <c r="J65" s="128"/>
    </row>
    <row r="66" spans="1:10" x14ac:dyDescent="0.2">
      <c r="A66" t="s">
        <v>619</v>
      </c>
      <c r="B66" s="155">
        <v>43119</v>
      </c>
      <c r="C66" t="s">
        <v>694</v>
      </c>
      <c r="D66">
        <v>-4.9000000000000004</v>
      </c>
      <c r="E66" t="s">
        <v>578</v>
      </c>
      <c r="F66" t="s">
        <v>752</v>
      </c>
      <c r="J66" s="128"/>
    </row>
    <row r="67" spans="1:10" x14ac:dyDescent="0.2">
      <c r="A67" t="s">
        <v>619</v>
      </c>
      <c r="B67" s="155">
        <v>43119</v>
      </c>
      <c r="C67" t="s">
        <v>694</v>
      </c>
      <c r="D67">
        <v>-32</v>
      </c>
      <c r="E67" t="s">
        <v>578</v>
      </c>
      <c r="F67" t="s">
        <v>753</v>
      </c>
      <c r="J67" s="128"/>
    </row>
    <row r="68" spans="1:10" x14ac:dyDescent="0.2">
      <c r="A68" t="s">
        <v>619</v>
      </c>
      <c r="B68" s="155">
        <v>43122</v>
      </c>
      <c r="C68" t="s">
        <v>694</v>
      </c>
      <c r="D68">
        <v>-14.79</v>
      </c>
      <c r="E68" t="s">
        <v>578</v>
      </c>
      <c r="F68" t="s">
        <v>754</v>
      </c>
      <c r="J68" s="128"/>
    </row>
    <row r="69" spans="1:10" x14ac:dyDescent="0.2">
      <c r="A69" t="s">
        <v>619</v>
      </c>
      <c r="B69" s="155">
        <v>43122</v>
      </c>
      <c r="C69" t="s">
        <v>694</v>
      </c>
      <c r="D69">
        <v>-5.99</v>
      </c>
      <c r="E69" t="s">
        <v>578</v>
      </c>
      <c r="F69" t="s">
        <v>755</v>
      </c>
      <c r="J69" s="128"/>
    </row>
    <row r="70" spans="1:10" x14ac:dyDescent="0.2">
      <c r="A70" t="s">
        <v>619</v>
      </c>
      <c r="B70" s="155">
        <v>43122</v>
      </c>
      <c r="C70" t="s">
        <v>694</v>
      </c>
      <c r="D70">
        <v>-2.5499999999999998</v>
      </c>
      <c r="E70" t="s">
        <v>578</v>
      </c>
      <c r="F70" t="s">
        <v>754</v>
      </c>
      <c r="J70" s="128"/>
    </row>
    <row r="71" spans="1:10" x14ac:dyDescent="0.2">
      <c r="A71" t="s">
        <v>619</v>
      </c>
      <c r="B71" s="155">
        <v>43122</v>
      </c>
      <c r="C71" t="s">
        <v>694</v>
      </c>
      <c r="D71">
        <v>-51.93</v>
      </c>
      <c r="E71" t="s">
        <v>578</v>
      </c>
      <c r="F71" t="s">
        <v>756</v>
      </c>
      <c r="J71" s="128"/>
    </row>
    <row r="72" spans="1:10" x14ac:dyDescent="0.2">
      <c r="A72" t="s">
        <v>619</v>
      </c>
      <c r="B72" s="155">
        <v>43122</v>
      </c>
      <c r="C72" t="s">
        <v>694</v>
      </c>
      <c r="D72">
        <v>-32.979999999999997</v>
      </c>
      <c r="E72" t="s">
        <v>578</v>
      </c>
      <c r="F72" t="s">
        <v>757</v>
      </c>
      <c r="J72" s="128"/>
    </row>
    <row r="73" spans="1:10" x14ac:dyDescent="0.2">
      <c r="A73" t="s">
        <v>619</v>
      </c>
      <c r="B73" s="155">
        <v>43123</v>
      </c>
      <c r="C73" t="s">
        <v>694</v>
      </c>
      <c r="D73">
        <v>-24.82</v>
      </c>
      <c r="E73" t="s">
        <v>578</v>
      </c>
      <c r="F73" t="s">
        <v>758</v>
      </c>
      <c r="J73" s="128"/>
    </row>
    <row r="74" spans="1:10" x14ac:dyDescent="0.2">
      <c r="A74" t="s">
        <v>619</v>
      </c>
      <c r="B74" s="155">
        <v>43123</v>
      </c>
      <c r="C74" t="s">
        <v>694</v>
      </c>
      <c r="D74">
        <v>-11.63</v>
      </c>
      <c r="E74" t="s">
        <v>578</v>
      </c>
      <c r="F74" t="s">
        <v>759</v>
      </c>
      <c r="J74" s="128"/>
    </row>
    <row r="75" spans="1:10" x14ac:dyDescent="0.2">
      <c r="A75" t="s">
        <v>619</v>
      </c>
      <c r="B75" s="155">
        <v>43124</v>
      </c>
      <c r="C75" t="s">
        <v>694</v>
      </c>
      <c r="D75">
        <v>-12.17</v>
      </c>
      <c r="E75" t="s">
        <v>578</v>
      </c>
      <c r="F75" t="s">
        <v>760</v>
      </c>
      <c r="J75" s="128"/>
    </row>
    <row r="76" spans="1:10" x14ac:dyDescent="0.2">
      <c r="A76" t="s">
        <v>619</v>
      </c>
      <c r="B76" s="155">
        <v>43124</v>
      </c>
      <c r="C76" t="s">
        <v>694</v>
      </c>
      <c r="D76">
        <v>-8.7200000000000006</v>
      </c>
      <c r="E76" t="s">
        <v>578</v>
      </c>
      <c r="F76" t="s">
        <v>761</v>
      </c>
      <c r="J76" s="128"/>
    </row>
    <row r="77" spans="1:10" x14ac:dyDescent="0.2">
      <c r="A77" t="s">
        <v>619</v>
      </c>
      <c r="B77" s="155">
        <v>43124</v>
      </c>
      <c r="C77" t="s">
        <v>694</v>
      </c>
      <c r="D77">
        <v>-2.2999999999999998</v>
      </c>
      <c r="E77" t="s">
        <v>578</v>
      </c>
      <c r="F77" t="s">
        <v>762</v>
      </c>
      <c r="J77" s="128"/>
    </row>
    <row r="78" spans="1:10" x14ac:dyDescent="0.2">
      <c r="A78" t="s">
        <v>619</v>
      </c>
      <c r="B78" s="155">
        <v>43125</v>
      </c>
      <c r="C78" t="s">
        <v>694</v>
      </c>
      <c r="D78">
        <v>260</v>
      </c>
      <c r="E78" t="s">
        <v>613</v>
      </c>
      <c r="F78" t="s">
        <v>763</v>
      </c>
      <c r="J78" s="128"/>
    </row>
    <row r="79" spans="1:10" x14ac:dyDescent="0.2">
      <c r="A79" t="s">
        <v>619</v>
      </c>
      <c r="B79" s="155">
        <v>43125</v>
      </c>
      <c r="C79" t="s">
        <v>694</v>
      </c>
      <c r="D79">
        <v>-28.1</v>
      </c>
      <c r="E79" t="s">
        <v>578</v>
      </c>
      <c r="F79" t="s">
        <v>764</v>
      </c>
      <c r="J79" s="128"/>
    </row>
    <row r="80" spans="1:10" x14ac:dyDescent="0.2">
      <c r="A80" t="s">
        <v>619</v>
      </c>
      <c r="B80" s="155">
        <v>43125</v>
      </c>
      <c r="C80" t="s">
        <v>694</v>
      </c>
      <c r="D80">
        <v>-16.55</v>
      </c>
      <c r="E80" t="s">
        <v>578</v>
      </c>
      <c r="F80" t="s">
        <v>765</v>
      </c>
      <c r="J80" s="128"/>
    </row>
    <row r="81" spans="1:10" x14ac:dyDescent="0.2">
      <c r="A81" t="s">
        <v>619</v>
      </c>
      <c r="B81" s="155">
        <v>43125</v>
      </c>
      <c r="C81" t="s">
        <v>694</v>
      </c>
      <c r="D81">
        <v>-9.65</v>
      </c>
      <c r="E81" t="s">
        <v>578</v>
      </c>
      <c r="F81" t="s">
        <v>766</v>
      </c>
      <c r="J81" s="128"/>
    </row>
    <row r="82" spans="1:10" x14ac:dyDescent="0.2">
      <c r="A82" t="s">
        <v>619</v>
      </c>
      <c r="B82" s="155">
        <v>43125</v>
      </c>
      <c r="C82" t="s">
        <v>694</v>
      </c>
      <c r="D82">
        <v>-1.95</v>
      </c>
      <c r="E82" t="s">
        <v>578</v>
      </c>
      <c r="F82" t="s">
        <v>767</v>
      </c>
      <c r="J82" s="128"/>
    </row>
    <row r="83" spans="1:10" x14ac:dyDescent="0.2">
      <c r="A83" t="s">
        <v>619</v>
      </c>
      <c r="B83" s="155">
        <v>43126</v>
      </c>
      <c r="C83" t="s">
        <v>694</v>
      </c>
      <c r="D83">
        <v>-9.25</v>
      </c>
      <c r="E83" t="s">
        <v>578</v>
      </c>
      <c r="F83" t="s">
        <v>768</v>
      </c>
      <c r="J83" s="128"/>
    </row>
    <row r="84" spans="1:10" x14ac:dyDescent="0.2">
      <c r="A84" t="s">
        <v>619</v>
      </c>
      <c r="B84" s="155">
        <v>43126</v>
      </c>
      <c r="C84" t="s">
        <v>694</v>
      </c>
      <c r="D84">
        <v>-2.5499999999999998</v>
      </c>
      <c r="E84" t="s">
        <v>578</v>
      </c>
      <c r="F84" t="s">
        <v>769</v>
      </c>
      <c r="J84" s="128"/>
    </row>
    <row r="85" spans="1:10" x14ac:dyDescent="0.2">
      <c r="A85" t="s">
        <v>619</v>
      </c>
      <c r="B85" s="155">
        <v>43126</v>
      </c>
      <c r="C85" t="s">
        <v>694</v>
      </c>
      <c r="D85">
        <v>-35.99</v>
      </c>
      <c r="E85" t="s">
        <v>578</v>
      </c>
      <c r="F85" t="s">
        <v>770</v>
      </c>
      <c r="J85" s="128"/>
    </row>
    <row r="86" spans="1:10" x14ac:dyDescent="0.2">
      <c r="A86" t="s">
        <v>619</v>
      </c>
      <c r="B86" s="155">
        <v>43126</v>
      </c>
      <c r="C86" t="s">
        <v>694</v>
      </c>
      <c r="D86">
        <v>-31.87</v>
      </c>
      <c r="E86" t="s">
        <v>578</v>
      </c>
      <c r="F86" t="s">
        <v>771</v>
      </c>
      <c r="J86" s="128"/>
    </row>
    <row r="87" spans="1:10" x14ac:dyDescent="0.2">
      <c r="A87" t="s">
        <v>619</v>
      </c>
      <c r="B87" s="155">
        <v>43126</v>
      </c>
      <c r="C87" t="s">
        <v>694</v>
      </c>
      <c r="D87">
        <v>-22.14</v>
      </c>
      <c r="E87" t="s">
        <v>578</v>
      </c>
      <c r="F87" t="s">
        <v>772</v>
      </c>
      <c r="J87" s="128"/>
    </row>
    <row r="88" spans="1:10" x14ac:dyDescent="0.2">
      <c r="A88" t="s">
        <v>619</v>
      </c>
      <c r="B88" s="155">
        <v>43129</v>
      </c>
      <c r="C88" t="s">
        <v>694</v>
      </c>
      <c r="D88">
        <v>1200</v>
      </c>
      <c r="E88" t="s">
        <v>677</v>
      </c>
      <c r="F88" t="s">
        <v>773</v>
      </c>
      <c r="J88" s="128"/>
    </row>
    <row r="89" spans="1:10" x14ac:dyDescent="0.2">
      <c r="A89" t="s">
        <v>619</v>
      </c>
      <c r="B89" s="155">
        <v>43129</v>
      </c>
      <c r="C89" t="s">
        <v>694</v>
      </c>
      <c r="D89">
        <v>260</v>
      </c>
      <c r="E89" t="s">
        <v>613</v>
      </c>
      <c r="F89" t="s">
        <v>763</v>
      </c>
      <c r="J89" s="128"/>
    </row>
    <row r="90" spans="1:10" x14ac:dyDescent="0.2">
      <c r="A90" t="s">
        <v>619</v>
      </c>
      <c r="B90" s="155">
        <v>43129</v>
      </c>
      <c r="C90" t="s">
        <v>694</v>
      </c>
      <c r="D90">
        <v>-19.239999999999998</v>
      </c>
      <c r="E90" t="s">
        <v>578</v>
      </c>
      <c r="F90" t="s">
        <v>774</v>
      </c>
      <c r="J90" s="128"/>
    </row>
    <row r="91" spans="1:10" x14ac:dyDescent="0.2">
      <c r="A91" t="s">
        <v>619</v>
      </c>
      <c r="B91" s="155">
        <v>43129</v>
      </c>
      <c r="C91" t="s">
        <v>694</v>
      </c>
      <c r="D91">
        <v>-16.899999999999999</v>
      </c>
      <c r="E91" t="s">
        <v>578</v>
      </c>
      <c r="F91" t="s">
        <v>775</v>
      </c>
      <c r="J91" s="128"/>
    </row>
    <row r="92" spans="1:10" x14ac:dyDescent="0.2">
      <c r="A92" t="s">
        <v>619</v>
      </c>
      <c r="B92" s="155">
        <v>43129</v>
      </c>
      <c r="C92" t="s">
        <v>694</v>
      </c>
      <c r="D92">
        <v>-11.2</v>
      </c>
      <c r="E92" t="s">
        <v>578</v>
      </c>
      <c r="F92" t="s">
        <v>776</v>
      </c>
      <c r="J92" s="128"/>
    </row>
    <row r="93" spans="1:10" x14ac:dyDescent="0.2">
      <c r="A93" t="s">
        <v>619</v>
      </c>
      <c r="B93" s="155">
        <v>43129</v>
      </c>
      <c r="C93" t="s">
        <v>694</v>
      </c>
      <c r="D93">
        <v>-7.98</v>
      </c>
      <c r="E93" t="s">
        <v>578</v>
      </c>
      <c r="F93" t="s">
        <v>777</v>
      </c>
      <c r="J93" s="128"/>
    </row>
    <row r="94" spans="1:10" x14ac:dyDescent="0.2">
      <c r="A94" t="s">
        <v>619</v>
      </c>
      <c r="B94" s="155">
        <v>43129</v>
      </c>
      <c r="C94" t="s">
        <v>694</v>
      </c>
      <c r="D94">
        <v>-6.62</v>
      </c>
      <c r="E94" t="s">
        <v>578</v>
      </c>
      <c r="F94" t="s">
        <v>778</v>
      </c>
      <c r="G94" t="s">
        <v>779</v>
      </c>
      <c r="J94" s="128"/>
    </row>
    <row r="95" spans="1:10" x14ac:dyDescent="0.2">
      <c r="A95" t="s">
        <v>619</v>
      </c>
      <c r="B95" s="155">
        <v>43129</v>
      </c>
      <c r="C95" t="s">
        <v>694</v>
      </c>
      <c r="D95">
        <v>-6</v>
      </c>
      <c r="E95" t="s">
        <v>578</v>
      </c>
      <c r="F95" t="s">
        <v>780</v>
      </c>
      <c r="J95" s="128"/>
    </row>
    <row r="96" spans="1:10" x14ac:dyDescent="0.2">
      <c r="A96" t="s">
        <v>619</v>
      </c>
      <c r="B96" s="155">
        <v>43129</v>
      </c>
      <c r="C96" t="s">
        <v>694</v>
      </c>
      <c r="D96">
        <v>-5.04</v>
      </c>
      <c r="E96" t="s">
        <v>578</v>
      </c>
      <c r="F96" t="s">
        <v>781</v>
      </c>
      <c r="J96" s="128"/>
    </row>
    <row r="97" spans="1:10" x14ac:dyDescent="0.2">
      <c r="A97" t="s">
        <v>619</v>
      </c>
      <c r="B97" s="155">
        <v>43129</v>
      </c>
      <c r="C97" t="s">
        <v>694</v>
      </c>
      <c r="D97">
        <v>-4.49</v>
      </c>
      <c r="E97" t="s">
        <v>578</v>
      </c>
      <c r="F97" t="s">
        <v>782</v>
      </c>
      <c r="J97" s="128"/>
    </row>
    <row r="98" spans="1:10" x14ac:dyDescent="0.2">
      <c r="A98" t="s">
        <v>619</v>
      </c>
      <c r="B98" s="155">
        <v>43129</v>
      </c>
      <c r="C98" t="s">
        <v>694</v>
      </c>
      <c r="D98">
        <v>-4.28</v>
      </c>
      <c r="E98" t="s">
        <v>578</v>
      </c>
      <c r="F98" t="s">
        <v>783</v>
      </c>
      <c r="J98" s="128"/>
    </row>
    <row r="99" spans="1:10" x14ac:dyDescent="0.2">
      <c r="A99" t="s">
        <v>619</v>
      </c>
      <c r="B99" s="155">
        <v>43129</v>
      </c>
      <c r="C99" t="s">
        <v>694</v>
      </c>
      <c r="D99">
        <v>-4.26</v>
      </c>
      <c r="E99" t="s">
        <v>578</v>
      </c>
      <c r="F99" t="s">
        <v>784</v>
      </c>
      <c r="J99" s="128"/>
    </row>
    <row r="100" spans="1:10" x14ac:dyDescent="0.2">
      <c r="A100" t="s">
        <v>619</v>
      </c>
      <c r="B100" s="155">
        <v>43129</v>
      </c>
      <c r="C100" t="s">
        <v>694</v>
      </c>
      <c r="D100">
        <v>-2.2999999999999998</v>
      </c>
      <c r="E100" t="s">
        <v>578</v>
      </c>
      <c r="F100" t="s">
        <v>785</v>
      </c>
      <c r="J100" s="128"/>
    </row>
    <row r="101" spans="1:10" x14ac:dyDescent="0.2">
      <c r="A101" t="s">
        <v>619</v>
      </c>
      <c r="B101" s="155">
        <v>43129</v>
      </c>
      <c r="C101" t="s">
        <v>694</v>
      </c>
      <c r="D101">
        <v>-1.3</v>
      </c>
      <c r="E101" t="s">
        <v>578</v>
      </c>
      <c r="F101" t="s">
        <v>786</v>
      </c>
      <c r="J101" s="128"/>
    </row>
    <row r="102" spans="1:10" x14ac:dyDescent="0.2">
      <c r="A102" t="s">
        <v>619</v>
      </c>
      <c r="B102" s="155">
        <v>43129</v>
      </c>
      <c r="C102" t="s">
        <v>694</v>
      </c>
      <c r="D102">
        <v>-1.3</v>
      </c>
      <c r="E102" t="s">
        <v>578</v>
      </c>
      <c r="F102" t="s">
        <v>787</v>
      </c>
      <c r="J102" s="128"/>
    </row>
    <row r="103" spans="1:10" x14ac:dyDescent="0.2">
      <c r="A103" t="s">
        <v>619</v>
      </c>
      <c r="B103" s="155">
        <v>43129</v>
      </c>
      <c r="C103" t="s">
        <v>694</v>
      </c>
      <c r="D103">
        <v>-45</v>
      </c>
      <c r="E103" t="s">
        <v>578</v>
      </c>
      <c r="F103" t="s">
        <v>788</v>
      </c>
      <c r="J103" s="128"/>
    </row>
    <row r="104" spans="1:10" x14ac:dyDescent="0.2">
      <c r="A104" t="s">
        <v>619</v>
      </c>
      <c r="B104" s="155">
        <v>43129</v>
      </c>
      <c r="C104" t="s">
        <v>694</v>
      </c>
      <c r="D104">
        <v>-9</v>
      </c>
      <c r="E104" t="s">
        <v>573</v>
      </c>
      <c r="F104" t="s">
        <v>789</v>
      </c>
      <c r="J104" s="128"/>
    </row>
    <row r="105" spans="1:10" x14ac:dyDescent="0.2">
      <c r="A105" t="s">
        <v>619</v>
      </c>
      <c r="B105" s="155">
        <v>43130</v>
      </c>
      <c r="C105" t="s">
        <v>694</v>
      </c>
      <c r="D105">
        <v>-29.83</v>
      </c>
      <c r="E105" t="s">
        <v>578</v>
      </c>
      <c r="F105" t="s">
        <v>790</v>
      </c>
      <c r="J105" s="128"/>
    </row>
    <row r="106" spans="1:10" x14ac:dyDescent="0.2">
      <c r="A106" t="s">
        <v>619</v>
      </c>
      <c r="B106" s="155">
        <v>43130</v>
      </c>
      <c r="C106" t="s">
        <v>694</v>
      </c>
      <c r="D106">
        <v>-17.62</v>
      </c>
      <c r="E106" t="s">
        <v>578</v>
      </c>
      <c r="F106" t="s">
        <v>791</v>
      </c>
      <c r="J106" s="128"/>
    </row>
    <row r="107" spans="1:10" x14ac:dyDescent="0.2">
      <c r="A107" t="s">
        <v>619</v>
      </c>
      <c r="B107" s="155">
        <v>43130</v>
      </c>
      <c r="C107" t="s">
        <v>694</v>
      </c>
      <c r="D107">
        <v>-8.6</v>
      </c>
      <c r="E107" t="s">
        <v>578</v>
      </c>
      <c r="F107" t="s">
        <v>792</v>
      </c>
      <c r="J107" s="128"/>
    </row>
    <row r="108" spans="1:10" x14ac:dyDescent="0.2">
      <c r="A108" t="s">
        <v>619</v>
      </c>
      <c r="B108" s="155">
        <v>43130</v>
      </c>
      <c r="C108" t="s">
        <v>694</v>
      </c>
      <c r="D108">
        <v>-2</v>
      </c>
      <c r="E108" t="s">
        <v>578</v>
      </c>
      <c r="F108" t="s">
        <v>793</v>
      </c>
      <c r="J108" s="128"/>
    </row>
    <row r="109" spans="1:10" x14ac:dyDescent="0.2">
      <c r="A109" t="s">
        <v>619</v>
      </c>
      <c r="B109" s="155">
        <v>43130</v>
      </c>
      <c r="C109" t="s">
        <v>694</v>
      </c>
      <c r="D109">
        <v>-46.4</v>
      </c>
      <c r="E109" t="s">
        <v>578</v>
      </c>
      <c r="F109" t="s">
        <v>794</v>
      </c>
      <c r="J109" s="128"/>
    </row>
    <row r="110" spans="1:10" x14ac:dyDescent="0.2">
      <c r="B110" s="153"/>
      <c r="J110" s="128"/>
    </row>
    <row r="111" spans="1:10" x14ac:dyDescent="0.2">
      <c r="B111" s="153"/>
      <c r="J111" s="128"/>
    </row>
    <row r="112" spans="1:10" x14ac:dyDescent="0.2">
      <c r="B112" s="153"/>
      <c r="J112" s="128"/>
    </row>
    <row r="113" spans="2:2" x14ac:dyDescent="0.2">
      <c r="B113" s="153"/>
    </row>
    <row r="114" spans="2:2" x14ac:dyDescent="0.2">
      <c r="B114" s="153"/>
    </row>
    <row r="115" spans="2:2" x14ac:dyDescent="0.2">
      <c r="B115" s="153"/>
    </row>
    <row r="116" spans="2:2" x14ac:dyDescent="0.2">
      <c r="B116" s="153"/>
    </row>
    <row r="117" spans="2:2" x14ac:dyDescent="0.2">
      <c r="B117" s="153"/>
    </row>
    <row r="118" spans="2:2" x14ac:dyDescent="0.2">
      <c r="B118" s="153"/>
    </row>
    <row r="119" spans="2:2" x14ac:dyDescent="0.2">
      <c r="B119" s="153"/>
    </row>
    <row r="120" spans="2:2" x14ac:dyDescent="0.2">
      <c r="B120" s="139"/>
    </row>
    <row r="121" spans="2:2" x14ac:dyDescent="0.2">
      <c r="B121" s="139"/>
    </row>
    <row r="122" spans="2:2" x14ac:dyDescent="0.2">
      <c r="B122" s="139"/>
    </row>
    <row r="123" spans="2:2" x14ac:dyDescent="0.2">
      <c r="B123" s="139"/>
    </row>
    <row r="124" spans="2:2" x14ac:dyDescent="0.2">
      <c r="B124" s="139"/>
    </row>
    <row r="125" spans="2:2" x14ac:dyDescent="0.2">
      <c r="B125" s="139"/>
    </row>
    <row r="126" spans="2:2" x14ac:dyDescent="0.2">
      <c r="B126" s="139"/>
    </row>
    <row r="127" spans="2:2" x14ac:dyDescent="0.2">
      <c r="B127" s="139"/>
    </row>
    <row r="128" spans="2:2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  <row r="136" spans="2:2" x14ac:dyDescent="0.2">
      <c r="B136" s="139"/>
    </row>
    <row r="137" spans="2:2" x14ac:dyDescent="0.2">
      <c r="B137" s="139"/>
    </row>
    <row r="138" spans="2:2" x14ac:dyDescent="0.2">
      <c r="B138" s="139"/>
    </row>
    <row r="139" spans="2:2" x14ac:dyDescent="0.2">
      <c r="B139" s="139"/>
    </row>
    <row r="140" spans="2:2" x14ac:dyDescent="0.2">
      <c r="B140" s="139"/>
    </row>
    <row r="141" spans="2:2" x14ac:dyDescent="0.2">
      <c r="B141" s="139"/>
    </row>
    <row r="142" spans="2:2" x14ac:dyDescent="0.2">
      <c r="B142" s="139"/>
    </row>
    <row r="143" spans="2:2" x14ac:dyDescent="0.2">
      <c r="B143" s="139"/>
    </row>
    <row r="144" spans="2:2" x14ac:dyDescent="0.2">
      <c r="B144" s="139"/>
    </row>
    <row r="145" spans="2:2" x14ac:dyDescent="0.2">
      <c r="B145" s="139"/>
    </row>
    <row r="146" spans="2:2" x14ac:dyDescent="0.2">
      <c r="B146" s="139"/>
    </row>
    <row r="147" spans="2:2" x14ac:dyDescent="0.2">
      <c r="B147" s="139"/>
    </row>
    <row r="148" spans="2:2" x14ac:dyDescent="0.2">
      <c r="B148" s="139"/>
    </row>
    <row r="149" spans="2:2" x14ac:dyDescent="0.2">
      <c r="B149" s="139"/>
    </row>
    <row r="150" spans="2:2" x14ac:dyDescent="0.2">
      <c r="B150" s="139"/>
    </row>
    <row r="151" spans="2:2" x14ac:dyDescent="0.2">
      <c r="B151" s="139"/>
    </row>
    <row r="152" spans="2:2" x14ac:dyDescent="0.2">
      <c r="B152" s="139"/>
    </row>
    <row r="153" spans="2:2" x14ac:dyDescent="0.2">
      <c r="B153" s="139"/>
    </row>
    <row r="154" spans="2:2" x14ac:dyDescent="0.2">
      <c r="B154" s="139"/>
    </row>
    <row r="155" spans="2:2" x14ac:dyDescent="0.2">
      <c r="B155" s="139"/>
    </row>
    <row r="156" spans="2:2" x14ac:dyDescent="0.2">
      <c r="B156" s="139"/>
    </row>
    <row r="157" spans="2:2" x14ac:dyDescent="0.2">
      <c r="B157" s="139"/>
    </row>
    <row r="158" spans="2:2" x14ac:dyDescent="0.2">
      <c r="B158" s="139"/>
    </row>
    <row r="159" spans="2:2" x14ac:dyDescent="0.2">
      <c r="B159" s="139"/>
    </row>
    <row r="160" spans="2:2" x14ac:dyDescent="0.2">
      <c r="B160" s="139"/>
    </row>
    <row r="161" spans="2:2" x14ac:dyDescent="0.2">
      <c r="B161" s="139"/>
    </row>
    <row r="162" spans="2:2" x14ac:dyDescent="0.2">
      <c r="B162" s="139"/>
    </row>
    <row r="163" spans="2:2" x14ac:dyDescent="0.2">
      <c r="B163" s="139"/>
    </row>
    <row r="164" spans="2:2" x14ac:dyDescent="0.2">
      <c r="B164" s="139"/>
    </row>
    <row r="165" spans="2:2" x14ac:dyDescent="0.2">
      <c r="B165" s="139"/>
    </row>
    <row r="166" spans="2:2" x14ac:dyDescent="0.2">
      <c r="B166" s="139"/>
    </row>
    <row r="167" spans="2:2" x14ac:dyDescent="0.2">
      <c r="B167" s="139"/>
    </row>
    <row r="168" spans="2:2" x14ac:dyDescent="0.2">
      <c r="B168" s="139"/>
    </row>
    <row r="169" spans="2:2" x14ac:dyDescent="0.2">
      <c r="B169" s="139"/>
    </row>
    <row r="170" spans="2:2" x14ac:dyDescent="0.2">
      <c r="B170" s="139"/>
    </row>
    <row r="171" spans="2:2" x14ac:dyDescent="0.2">
      <c r="B171" s="139"/>
    </row>
    <row r="172" spans="2:2" x14ac:dyDescent="0.2">
      <c r="B172" s="139"/>
    </row>
    <row r="173" spans="2:2" x14ac:dyDescent="0.2">
      <c r="B173" s="139"/>
    </row>
    <row r="174" spans="2:2" x14ac:dyDescent="0.2">
      <c r="B174" s="139"/>
    </row>
    <row r="175" spans="2:2" x14ac:dyDescent="0.2">
      <c r="B175" s="139"/>
    </row>
    <row r="176" spans="2:2" x14ac:dyDescent="0.2">
      <c r="B176" s="139"/>
    </row>
    <row r="177" spans="2:2" x14ac:dyDescent="0.2">
      <c r="B177" s="139"/>
    </row>
    <row r="178" spans="2:2" x14ac:dyDescent="0.2">
      <c r="B178" s="139"/>
    </row>
    <row r="179" spans="2:2" x14ac:dyDescent="0.2">
      <c r="B179" s="139"/>
    </row>
    <row r="180" spans="2:2" x14ac:dyDescent="0.2">
      <c r="B180" s="139"/>
    </row>
    <row r="181" spans="2:2" x14ac:dyDescent="0.2">
      <c r="B181" s="139"/>
    </row>
    <row r="182" spans="2:2" x14ac:dyDescent="0.2">
      <c r="B182" s="139"/>
    </row>
    <row r="183" spans="2:2" x14ac:dyDescent="0.2">
      <c r="B183" s="139"/>
    </row>
    <row r="184" spans="2:2" x14ac:dyDescent="0.2">
      <c r="B184" s="139"/>
    </row>
    <row r="185" spans="2:2" x14ac:dyDescent="0.2">
      <c r="B185" s="139"/>
    </row>
  </sheetData>
  <autoFilter ref="A1:J109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K309"/>
  <sheetViews>
    <sheetView zoomScale="85" zoomScaleNormal="85" workbookViewId="0">
      <selection activeCell="G32" activeCellId="1" sqref="G34:G35 G32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hidden="1" x14ac:dyDescent="0.2">
      <c r="A2" t="s">
        <v>480</v>
      </c>
      <c r="B2">
        <v>465684</v>
      </c>
      <c r="C2" s="80">
        <v>43111.635011574072</v>
      </c>
      <c r="D2" t="s">
        <v>831</v>
      </c>
      <c r="E2" s="128" t="s">
        <v>625</v>
      </c>
      <c r="F2">
        <v>0</v>
      </c>
      <c r="G2">
        <v>0</v>
      </c>
      <c r="H2">
        <v>120</v>
      </c>
      <c r="I2" s="128"/>
      <c r="J2" t="s">
        <v>1005</v>
      </c>
      <c r="K2" s="128"/>
    </row>
    <row r="3" spans="1:11" hidden="1" x14ac:dyDescent="0.2">
      <c r="A3" t="s">
        <v>480</v>
      </c>
      <c r="B3">
        <v>465684</v>
      </c>
      <c r="C3" s="80">
        <v>43111.635011574072</v>
      </c>
      <c r="D3" t="s">
        <v>832</v>
      </c>
      <c r="E3" s="128" t="s">
        <v>625</v>
      </c>
      <c r="F3">
        <v>144528</v>
      </c>
      <c r="G3">
        <v>8.64</v>
      </c>
      <c r="H3">
        <v>0</v>
      </c>
      <c r="I3" s="128"/>
      <c r="J3" t="s">
        <v>1006</v>
      </c>
      <c r="K3" s="128"/>
    </row>
    <row r="4" spans="1:11" hidden="1" x14ac:dyDescent="0.2">
      <c r="A4" t="s">
        <v>480</v>
      </c>
      <c r="B4">
        <v>465743</v>
      </c>
      <c r="C4" s="80">
        <v>43111.640682870369</v>
      </c>
      <c r="D4" t="s">
        <v>833</v>
      </c>
      <c r="E4" s="128" t="s">
        <v>625</v>
      </c>
      <c r="F4">
        <v>124366</v>
      </c>
      <c r="G4">
        <v>111.36</v>
      </c>
      <c r="H4">
        <v>0</v>
      </c>
      <c r="I4" s="128"/>
      <c r="J4" t="s">
        <v>1007</v>
      </c>
      <c r="K4" s="128"/>
    </row>
    <row r="5" spans="1:11" hidden="1" x14ac:dyDescent="0.2">
      <c r="A5" t="s">
        <v>480</v>
      </c>
      <c r="B5">
        <v>467443</v>
      </c>
      <c r="C5" s="80">
        <v>43116.670868055553</v>
      </c>
      <c r="D5" t="s">
        <v>834</v>
      </c>
      <c r="E5" s="128" t="s">
        <v>625</v>
      </c>
      <c r="F5">
        <v>0</v>
      </c>
      <c r="G5">
        <v>0</v>
      </c>
      <c r="H5">
        <v>467.32</v>
      </c>
      <c r="I5" s="128"/>
      <c r="J5" t="s">
        <v>1005</v>
      </c>
      <c r="K5" s="128"/>
    </row>
    <row r="6" spans="1:11" hidden="1" x14ac:dyDescent="0.2">
      <c r="A6" t="s">
        <v>480</v>
      </c>
      <c r="B6">
        <v>467443</v>
      </c>
      <c r="C6" s="80">
        <v>43116.670868055553</v>
      </c>
      <c r="D6" t="s">
        <v>832</v>
      </c>
      <c r="E6" s="128" t="s">
        <v>625</v>
      </c>
      <c r="F6">
        <v>144909</v>
      </c>
      <c r="G6">
        <v>33.65</v>
      </c>
      <c r="H6">
        <v>0</v>
      </c>
      <c r="I6" s="128"/>
      <c r="J6" t="s">
        <v>1006</v>
      </c>
      <c r="K6" s="128"/>
    </row>
    <row r="7" spans="1:11" hidden="1" x14ac:dyDescent="0.2">
      <c r="A7" t="s">
        <v>480</v>
      </c>
      <c r="B7">
        <v>467443</v>
      </c>
      <c r="C7" s="80">
        <v>43116.670868055553</v>
      </c>
      <c r="D7" t="s">
        <v>831</v>
      </c>
      <c r="E7" s="128" t="s">
        <v>625</v>
      </c>
      <c r="F7">
        <v>0</v>
      </c>
      <c r="G7">
        <v>0</v>
      </c>
      <c r="H7">
        <v>113.8</v>
      </c>
      <c r="I7" s="128"/>
      <c r="J7" t="s">
        <v>1005</v>
      </c>
      <c r="K7" s="128"/>
    </row>
    <row r="8" spans="1:11" hidden="1" x14ac:dyDescent="0.2">
      <c r="A8" t="s">
        <v>480</v>
      </c>
      <c r="B8">
        <v>467443</v>
      </c>
      <c r="C8" s="80">
        <v>43116.670868055553</v>
      </c>
      <c r="D8" t="s">
        <v>832</v>
      </c>
      <c r="E8" s="128" t="s">
        <v>625</v>
      </c>
      <c r="F8">
        <v>144909</v>
      </c>
      <c r="G8">
        <v>8.1999999999999993</v>
      </c>
      <c r="H8">
        <v>0</v>
      </c>
      <c r="I8" s="128"/>
      <c r="J8" t="s">
        <v>1006</v>
      </c>
      <c r="K8" s="128"/>
    </row>
    <row r="9" spans="1:11" hidden="1" x14ac:dyDescent="0.2">
      <c r="A9" t="s">
        <v>480</v>
      </c>
      <c r="B9">
        <v>467612</v>
      </c>
      <c r="C9" s="80">
        <v>43116.691284722219</v>
      </c>
      <c r="D9" t="s">
        <v>833</v>
      </c>
      <c r="E9" s="128" t="s">
        <v>625</v>
      </c>
      <c r="F9">
        <v>124953</v>
      </c>
      <c r="G9">
        <v>539.27</v>
      </c>
      <c r="H9">
        <v>0</v>
      </c>
      <c r="I9" s="128"/>
      <c r="J9" t="s">
        <v>1007</v>
      </c>
      <c r="K9" s="128"/>
    </row>
    <row r="10" spans="1:11" hidden="1" x14ac:dyDescent="0.2">
      <c r="A10" t="s">
        <v>482</v>
      </c>
      <c r="B10">
        <v>464293</v>
      </c>
      <c r="C10" s="80">
        <v>43105.502685185187</v>
      </c>
      <c r="D10" t="s">
        <v>835</v>
      </c>
      <c r="E10" s="128" t="s">
        <v>625</v>
      </c>
      <c r="F10">
        <v>0</v>
      </c>
      <c r="G10">
        <v>0</v>
      </c>
      <c r="H10">
        <v>350</v>
      </c>
      <c r="I10" s="128"/>
      <c r="J10" t="s">
        <v>1005</v>
      </c>
      <c r="K10" s="128"/>
    </row>
    <row r="11" spans="1:11" hidden="1" x14ac:dyDescent="0.2">
      <c r="A11" t="s">
        <v>482</v>
      </c>
      <c r="B11">
        <v>464293</v>
      </c>
      <c r="C11" s="80">
        <v>43105.502685185187</v>
      </c>
      <c r="D11" t="s">
        <v>836</v>
      </c>
      <c r="E11" s="128" t="s">
        <v>625</v>
      </c>
      <c r="F11">
        <v>144060</v>
      </c>
      <c r="G11">
        <v>25.2</v>
      </c>
      <c r="H11">
        <v>0</v>
      </c>
      <c r="I11" s="128"/>
      <c r="J11" t="s">
        <v>1006</v>
      </c>
      <c r="K11" s="128"/>
    </row>
    <row r="12" spans="1:11" hidden="1" x14ac:dyDescent="0.2">
      <c r="A12" t="s">
        <v>482</v>
      </c>
      <c r="B12">
        <v>464347</v>
      </c>
      <c r="C12" s="80">
        <v>43105.50675925926</v>
      </c>
      <c r="D12" t="s">
        <v>837</v>
      </c>
      <c r="E12" s="128" t="s">
        <v>625</v>
      </c>
      <c r="F12">
        <v>123980</v>
      </c>
      <c r="G12">
        <v>324.8</v>
      </c>
      <c r="H12">
        <v>0</v>
      </c>
      <c r="I12" s="128"/>
      <c r="J12" t="s">
        <v>1007</v>
      </c>
      <c r="K12" s="128"/>
    </row>
    <row r="13" spans="1:11" hidden="1" x14ac:dyDescent="0.2">
      <c r="A13" t="s">
        <v>482</v>
      </c>
      <c r="B13">
        <v>465068</v>
      </c>
      <c r="C13" s="80">
        <v>43109.618217592593</v>
      </c>
      <c r="D13" t="s">
        <v>835</v>
      </c>
      <c r="E13" s="128" t="s">
        <v>625</v>
      </c>
      <c r="F13">
        <v>0</v>
      </c>
      <c r="G13">
        <v>0</v>
      </c>
      <c r="H13">
        <v>350</v>
      </c>
      <c r="I13" s="128"/>
      <c r="J13" t="s">
        <v>1005</v>
      </c>
      <c r="K13" s="128"/>
    </row>
    <row r="14" spans="1:11" hidden="1" x14ac:dyDescent="0.2">
      <c r="A14" t="s">
        <v>482</v>
      </c>
      <c r="B14">
        <v>465068</v>
      </c>
      <c r="C14" s="80">
        <v>43109.618217592593</v>
      </c>
      <c r="D14" t="s">
        <v>836</v>
      </c>
      <c r="E14" s="128" t="s">
        <v>625</v>
      </c>
      <c r="F14">
        <v>144315</v>
      </c>
      <c r="G14">
        <v>25.2</v>
      </c>
      <c r="H14">
        <v>0</v>
      </c>
      <c r="I14" s="128"/>
      <c r="J14" t="s">
        <v>1006</v>
      </c>
      <c r="K14" s="128"/>
    </row>
    <row r="15" spans="1:11" hidden="1" x14ac:dyDescent="0.2">
      <c r="A15" t="s">
        <v>482</v>
      </c>
      <c r="B15">
        <v>465160</v>
      </c>
      <c r="C15" s="80">
        <v>43109.621388888889</v>
      </c>
      <c r="D15" t="s">
        <v>837</v>
      </c>
      <c r="E15" s="128" t="s">
        <v>625</v>
      </c>
      <c r="F15">
        <v>124173</v>
      </c>
      <c r="G15">
        <v>324.8</v>
      </c>
      <c r="H15">
        <v>0</v>
      </c>
      <c r="I15" s="128"/>
      <c r="J15" t="s">
        <v>1007</v>
      </c>
      <c r="K15" s="128"/>
    </row>
    <row r="16" spans="1:11" hidden="1" x14ac:dyDescent="0.2">
      <c r="A16" t="s">
        <v>486</v>
      </c>
      <c r="B16">
        <v>470132</v>
      </c>
      <c r="C16" s="80">
        <v>43126.5471875</v>
      </c>
      <c r="D16" t="s">
        <v>838</v>
      </c>
      <c r="E16" s="128" t="s">
        <v>625</v>
      </c>
      <c r="F16">
        <v>0</v>
      </c>
      <c r="G16">
        <v>0</v>
      </c>
      <c r="H16">
        <v>505</v>
      </c>
      <c r="I16" s="128"/>
      <c r="J16" t="s">
        <v>1005</v>
      </c>
      <c r="K16" s="128"/>
    </row>
    <row r="17" spans="1:11" hidden="1" x14ac:dyDescent="0.2">
      <c r="A17" t="s">
        <v>486</v>
      </c>
      <c r="B17">
        <v>470132</v>
      </c>
      <c r="C17" s="80">
        <v>43126.5471875</v>
      </c>
      <c r="D17" t="s">
        <v>839</v>
      </c>
      <c r="E17" s="128" t="s">
        <v>625</v>
      </c>
      <c r="F17">
        <v>145902</v>
      </c>
      <c r="G17">
        <v>36.36</v>
      </c>
      <c r="H17">
        <v>0</v>
      </c>
      <c r="I17" s="128"/>
      <c r="J17" t="s">
        <v>1006</v>
      </c>
      <c r="K17" s="128"/>
    </row>
    <row r="18" spans="1:11" hidden="1" x14ac:dyDescent="0.2">
      <c r="A18" t="s">
        <v>486</v>
      </c>
      <c r="B18">
        <v>470140</v>
      </c>
      <c r="C18" s="80">
        <v>43126.549340277779</v>
      </c>
      <c r="D18" t="s">
        <v>840</v>
      </c>
      <c r="E18" s="128" t="s">
        <v>625</v>
      </c>
      <c r="F18">
        <v>125754</v>
      </c>
      <c r="G18">
        <v>468.64</v>
      </c>
      <c r="H18">
        <v>0</v>
      </c>
      <c r="I18" s="128"/>
      <c r="J18" t="s">
        <v>1007</v>
      </c>
      <c r="K18" s="128"/>
    </row>
    <row r="19" spans="1:11" hidden="1" x14ac:dyDescent="0.2">
      <c r="A19" t="s">
        <v>491</v>
      </c>
      <c r="B19">
        <v>462971</v>
      </c>
      <c r="C19" s="80">
        <v>43102.554629629631</v>
      </c>
      <c r="D19" t="s">
        <v>841</v>
      </c>
      <c r="E19" s="128" t="s">
        <v>625</v>
      </c>
      <c r="F19">
        <v>0</v>
      </c>
      <c r="G19">
        <v>0</v>
      </c>
      <c r="H19">
        <v>472.32</v>
      </c>
      <c r="I19" s="128"/>
      <c r="J19" t="s">
        <v>1005</v>
      </c>
      <c r="K19" s="128"/>
    </row>
    <row r="20" spans="1:11" hidden="1" x14ac:dyDescent="0.2">
      <c r="A20" t="s">
        <v>491</v>
      </c>
      <c r="B20">
        <v>462971</v>
      </c>
      <c r="C20" s="80">
        <v>43102.554629629631</v>
      </c>
      <c r="D20" t="s">
        <v>842</v>
      </c>
      <c r="E20" s="128" t="s">
        <v>625</v>
      </c>
      <c r="F20">
        <v>143589</v>
      </c>
      <c r="G20">
        <v>34.01</v>
      </c>
      <c r="H20">
        <v>0</v>
      </c>
      <c r="I20" s="128"/>
      <c r="J20" t="s">
        <v>1006</v>
      </c>
      <c r="K20" s="128"/>
    </row>
    <row r="21" spans="1:11" hidden="1" x14ac:dyDescent="0.2">
      <c r="A21" t="s">
        <v>491</v>
      </c>
      <c r="B21">
        <v>462971</v>
      </c>
      <c r="C21" s="80">
        <v>43102.554629629631</v>
      </c>
      <c r="D21" t="s">
        <v>843</v>
      </c>
      <c r="E21" s="128" t="s">
        <v>625</v>
      </c>
      <c r="F21">
        <v>0</v>
      </c>
      <c r="G21">
        <v>0</v>
      </c>
      <c r="H21">
        <v>47.68</v>
      </c>
      <c r="I21" s="128"/>
      <c r="J21" t="s">
        <v>1005</v>
      </c>
      <c r="K21" s="128"/>
    </row>
    <row r="22" spans="1:11" hidden="1" x14ac:dyDescent="0.2">
      <c r="A22" t="s">
        <v>491</v>
      </c>
      <c r="B22">
        <v>462971</v>
      </c>
      <c r="C22" s="80">
        <v>43102.554629629631</v>
      </c>
      <c r="D22" t="s">
        <v>842</v>
      </c>
      <c r="E22" s="128" t="s">
        <v>625</v>
      </c>
      <c r="F22">
        <v>143589</v>
      </c>
      <c r="G22">
        <v>3.43</v>
      </c>
      <c r="H22">
        <v>0</v>
      </c>
      <c r="I22" s="128"/>
      <c r="J22" t="s">
        <v>1006</v>
      </c>
      <c r="K22" s="128"/>
    </row>
    <row r="23" spans="1:11" hidden="1" x14ac:dyDescent="0.2">
      <c r="A23" t="s">
        <v>491</v>
      </c>
      <c r="B23">
        <v>462982</v>
      </c>
      <c r="C23" s="80">
        <v>43102.561585648145</v>
      </c>
      <c r="D23" t="s">
        <v>844</v>
      </c>
      <c r="E23" s="128" t="s">
        <v>625</v>
      </c>
      <c r="F23">
        <v>123550</v>
      </c>
      <c r="G23">
        <v>482.56</v>
      </c>
      <c r="H23">
        <v>0</v>
      </c>
      <c r="I23" s="128"/>
      <c r="J23" t="s">
        <v>1007</v>
      </c>
      <c r="K23" s="128"/>
    </row>
    <row r="24" spans="1:11" hidden="1" x14ac:dyDescent="0.2">
      <c r="A24" t="s">
        <v>491</v>
      </c>
      <c r="B24">
        <v>471238</v>
      </c>
      <c r="C24" s="80">
        <v>43130.658541666664</v>
      </c>
      <c r="D24" t="s">
        <v>845</v>
      </c>
      <c r="E24" s="128" t="s">
        <v>625</v>
      </c>
      <c r="F24">
        <v>0</v>
      </c>
      <c r="G24">
        <v>0</v>
      </c>
      <c r="H24">
        <v>472.32</v>
      </c>
      <c r="I24" s="128"/>
      <c r="J24" t="s">
        <v>1005</v>
      </c>
      <c r="K24" s="128"/>
    </row>
    <row r="25" spans="1:11" hidden="1" x14ac:dyDescent="0.2">
      <c r="A25" t="s">
        <v>491</v>
      </c>
      <c r="B25">
        <v>471238</v>
      </c>
      <c r="C25" s="80">
        <v>43130.658541666664</v>
      </c>
      <c r="D25" t="s">
        <v>842</v>
      </c>
      <c r="E25" s="128" t="s">
        <v>625</v>
      </c>
      <c r="F25">
        <v>146381</v>
      </c>
      <c r="G25">
        <v>34.01</v>
      </c>
      <c r="H25">
        <v>0</v>
      </c>
      <c r="I25" s="128"/>
      <c r="J25" t="s">
        <v>1006</v>
      </c>
      <c r="K25" s="128"/>
    </row>
    <row r="26" spans="1:11" hidden="1" x14ac:dyDescent="0.2">
      <c r="A26" t="s">
        <v>491</v>
      </c>
      <c r="B26">
        <v>471238</v>
      </c>
      <c r="C26" s="80">
        <v>43130.658541666664</v>
      </c>
      <c r="D26" t="s">
        <v>841</v>
      </c>
      <c r="E26" s="128" t="s">
        <v>625</v>
      </c>
      <c r="F26">
        <v>0</v>
      </c>
      <c r="G26">
        <v>0</v>
      </c>
      <c r="H26">
        <v>47.68</v>
      </c>
      <c r="I26" s="128"/>
      <c r="J26" t="s">
        <v>1005</v>
      </c>
      <c r="K26" s="128"/>
    </row>
    <row r="27" spans="1:11" hidden="1" x14ac:dyDescent="0.2">
      <c r="A27" t="s">
        <v>491</v>
      </c>
      <c r="B27">
        <v>471238</v>
      </c>
      <c r="C27" s="80">
        <v>43130.658541666664</v>
      </c>
      <c r="D27" t="s">
        <v>842</v>
      </c>
      <c r="E27" s="128" t="s">
        <v>625</v>
      </c>
      <c r="F27">
        <v>146381</v>
      </c>
      <c r="G27">
        <v>3.43</v>
      </c>
      <c r="H27">
        <v>0</v>
      </c>
      <c r="I27" s="128"/>
      <c r="J27" t="s">
        <v>1006</v>
      </c>
      <c r="K27" s="128"/>
    </row>
    <row r="28" spans="1:11" hidden="1" x14ac:dyDescent="0.2">
      <c r="A28" t="s">
        <v>491</v>
      </c>
      <c r="B28">
        <v>471258</v>
      </c>
      <c r="C28" s="80">
        <v>43130.661597222221</v>
      </c>
      <c r="D28" t="s">
        <v>844</v>
      </c>
      <c r="E28" s="128" t="s">
        <v>625</v>
      </c>
      <c r="F28">
        <v>126063</v>
      </c>
      <c r="G28">
        <v>482.56</v>
      </c>
      <c r="H28">
        <v>0</v>
      </c>
      <c r="I28" s="128"/>
      <c r="J28" t="s">
        <v>1007</v>
      </c>
      <c r="K28" s="128"/>
    </row>
    <row r="29" spans="1:11" hidden="1" x14ac:dyDescent="0.2">
      <c r="A29" t="s">
        <v>492</v>
      </c>
      <c r="B29">
        <v>468088</v>
      </c>
      <c r="C29" s="80">
        <v>43118.522673611114</v>
      </c>
      <c r="D29" t="s">
        <v>846</v>
      </c>
      <c r="E29" s="136" t="s">
        <v>995</v>
      </c>
      <c r="F29">
        <v>1017</v>
      </c>
      <c r="G29">
        <v>410</v>
      </c>
      <c r="H29">
        <v>0</v>
      </c>
      <c r="I29" s="128"/>
      <c r="J29" t="s">
        <v>1008</v>
      </c>
      <c r="K29" s="128"/>
    </row>
    <row r="30" spans="1:11" hidden="1" x14ac:dyDescent="0.2">
      <c r="A30" t="s">
        <v>492</v>
      </c>
      <c r="B30">
        <v>468260</v>
      </c>
      <c r="C30" s="80">
        <v>43119.402627314812</v>
      </c>
      <c r="D30" t="s">
        <v>847</v>
      </c>
      <c r="E30" s="136" t="s">
        <v>995</v>
      </c>
      <c r="G30">
        <v>36.9</v>
      </c>
      <c r="H30">
        <v>0</v>
      </c>
      <c r="I30" s="128"/>
      <c r="J30" t="s">
        <v>1008</v>
      </c>
      <c r="K30" s="128"/>
    </row>
    <row r="31" spans="1:11" hidden="1" x14ac:dyDescent="0.2">
      <c r="A31" t="s">
        <v>492</v>
      </c>
      <c r="B31">
        <v>469856</v>
      </c>
      <c r="C31" s="80">
        <v>43125.635995370372</v>
      </c>
      <c r="D31" t="s">
        <v>848</v>
      </c>
      <c r="E31" s="136" t="s">
        <v>995</v>
      </c>
      <c r="F31">
        <v>38</v>
      </c>
      <c r="G31">
        <v>240</v>
      </c>
      <c r="H31">
        <v>0</v>
      </c>
      <c r="I31" s="128"/>
      <c r="J31" t="s">
        <v>1008</v>
      </c>
      <c r="K31" s="128"/>
    </row>
    <row r="32" spans="1:11" x14ac:dyDescent="0.2">
      <c r="A32" t="s">
        <v>510</v>
      </c>
      <c r="B32">
        <v>464523</v>
      </c>
      <c r="C32" s="80">
        <v>43108.397905092592</v>
      </c>
      <c r="D32" t="s">
        <v>849</v>
      </c>
      <c r="E32" s="136" t="s">
        <v>995</v>
      </c>
      <c r="F32">
        <v>34</v>
      </c>
      <c r="G32">
        <v>690</v>
      </c>
      <c r="H32">
        <v>0</v>
      </c>
      <c r="I32" s="128"/>
      <c r="J32" t="s">
        <v>1008</v>
      </c>
      <c r="K32" s="128"/>
    </row>
    <row r="33" spans="1:11" x14ac:dyDescent="0.2">
      <c r="A33" t="s">
        <v>510</v>
      </c>
      <c r="B33">
        <v>464925</v>
      </c>
      <c r="C33" s="80">
        <v>43109.417407407411</v>
      </c>
      <c r="D33" t="s">
        <v>850</v>
      </c>
      <c r="E33" s="128" t="s">
        <v>625</v>
      </c>
      <c r="F33">
        <v>149954</v>
      </c>
      <c r="G33">
        <v>0</v>
      </c>
      <c r="H33">
        <v>1550</v>
      </c>
      <c r="I33" s="128"/>
      <c r="J33" t="s">
        <v>1008</v>
      </c>
      <c r="K33" s="128"/>
    </row>
    <row r="34" spans="1:11" x14ac:dyDescent="0.2">
      <c r="A34" t="s">
        <v>510</v>
      </c>
      <c r="B34">
        <v>464952</v>
      </c>
      <c r="C34" s="80">
        <v>43109.443310185183</v>
      </c>
      <c r="D34" t="s">
        <v>851</v>
      </c>
      <c r="E34" s="136" t="s">
        <v>995</v>
      </c>
      <c r="F34">
        <v>1450</v>
      </c>
      <c r="G34">
        <v>140</v>
      </c>
      <c r="H34">
        <v>0</v>
      </c>
      <c r="I34" s="128"/>
      <c r="J34" t="s">
        <v>1008</v>
      </c>
      <c r="K34" s="128"/>
    </row>
    <row r="35" spans="1:11" x14ac:dyDescent="0.2">
      <c r="A35" t="s">
        <v>510</v>
      </c>
      <c r="B35">
        <v>465005</v>
      </c>
      <c r="C35" s="80">
        <v>43109.521782407406</v>
      </c>
      <c r="D35" t="s">
        <v>852</v>
      </c>
      <c r="E35" s="136" t="s">
        <v>995</v>
      </c>
      <c r="G35">
        <v>40</v>
      </c>
      <c r="H35">
        <v>0</v>
      </c>
      <c r="I35" s="128"/>
      <c r="J35" t="s">
        <v>1008</v>
      </c>
      <c r="K35" s="128"/>
    </row>
    <row r="36" spans="1:11" hidden="1" x14ac:dyDescent="0.2">
      <c r="A36" t="s">
        <v>493</v>
      </c>
      <c r="B36">
        <v>468168</v>
      </c>
      <c r="C36" s="80">
        <v>43118.640972222223</v>
      </c>
      <c r="D36" t="s">
        <v>853</v>
      </c>
      <c r="E36" s="128" t="s">
        <v>625</v>
      </c>
      <c r="F36">
        <v>0</v>
      </c>
      <c r="G36">
        <v>0</v>
      </c>
      <c r="H36">
        <v>525</v>
      </c>
      <c r="I36" s="128"/>
      <c r="J36" t="s">
        <v>1005</v>
      </c>
      <c r="K36" s="128"/>
    </row>
    <row r="37" spans="1:11" hidden="1" x14ac:dyDescent="0.2">
      <c r="A37" t="s">
        <v>493</v>
      </c>
      <c r="B37">
        <v>468168</v>
      </c>
      <c r="C37" s="80">
        <v>43118.640972222223</v>
      </c>
      <c r="D37" t="s">
        <v>854</v>
      </c>
      <c r="E37" s="128" t="s">
        <v>625</v>
      </c>
      <c r="F37">
        <v>145231</v>
      </c>
      <c r="G37">
        <v>37.799999999999997</v>
      </c>
      <c r="H37">
        <v>0</v>
      </c>
      <c r="I37" s="128"/>
      <c r="J37" t="s">
        <v>1006</v>
      </c>
      <c r="K37" s="128"/>
    </row>
    <row r="38" spans="1:11" hidden="1" x14ac:dyDescent="0.2">
      <c r="A38" t="s">
        <v>493</v>
      </c>
      <c r="B38">
        <v>468176</v>
      </c>
      <c r="C38" s="80">
        <v>43118.64298611111</v>
      </c>
      <c r="D38" t="s">
        <v>855</v>
      </c>
      <c r="E38" s="128" t="s">
        <v>625</v>
      </c>
      <c r="F38">
        <v>125244</v>
      </c>
      <c r="G38">
        <v>487.2</v>
      </c>
      <c r="H38">
        <v>0</v>
      </c>
      <c r="I38" s="128"/>
      <c r="J38" t="s">
        <v>1007</v>
      </c>
      <c r="K38" s="128"/>
    </row>
    <row r="39" spans="1:11" hidden="1" x14ac:dyDescent="0.2">
      <c r="A39" t="s">
        <v>494</v>
      </c>
      <c r="B39">
        <v>465217</v>
      </c>
      <c r="C39" s="80">
        <v>43110.366712962961</v>
      </c>
      <c r="D39" t="s">
        <v>856</v>
      </c>
      <c r="E39" s="128" t="s">
        <v>625</v>
      </c>
      <c r="F39">
        <v>149986</v>
      </c>
      <c r="G39">
        <v>0</v>
      </c>
      <c r="H39">
        <v>65</v>
      </c>
      <c r="I39" s="128"/>
      <c r="J39" t="s">
        <v>1008</v>
      </c>
      <c r="K39" s="128"/>
    </row>
    <row r="40" spans="1:11" hidden="1" x14ac:dyDescent="0.2">
      <c r="A40" t="s">
        <v>494</v>
      </c>
      <c r="B40">
        <v>467581</v>
      </c>
      <c r="C40" s="80">
        <v>43116.6871875</v>
      </c>
      <c r="D40" t="s">
        <v>857</v>
      </c>
      <c r="E40" s="128" t="s">
        <v>625</v>
      </c>
      <c r="F40">
        <v>0</v>
      </c>
      <c r="G40">
        <v>0</v>
      </c>
      <c r="H40">
        <v>112.56</v>
      </c>
      <c r="I40" s="128"/>
      <c r="J40" t="s">
        <v>1005</v>
      </c>
      <c r="K40" s="128"/>
    </row>
    <row r="41" spans="1:11" hidden="1" x14ac:dyDescent="0.2">
      <c r="A41" t="s">
        <v>494</v>
      </c>
      <c r="B41">
        <v>467581</v>
      </c>
      <c r="C41" s="80">
        <v>43116.6871875</v>
      </c>
      <c r="D41" t="s">
        <v>858</v>
      </c>
      <c r="E41" s="136" t="s">
        <v>625</v>
      </c>
      <c r="F41">
        <v>145039</v>
      </c>
      <c r="G41">
        <v>8.1</v>
      </c>
      <c r="H41">
        <v>0</v>
      </c>
      <c r="I41" s="128"/>
      <c r="J41" t="s">
        <v>1006</v>
      </c>
      <c r="K41" s="128"/>
    </row>
    <row r="42" spans="1:11" hidden="1" x14ac:dyDescent="0.2">
      <c r="A42" t="s">
        <v>494</v>
      </c>
      <c r="B42">
        <v>467612</v>
      </c>
      <c r="C42" s="80">
        <v>43116.691284722219</v>
      </c>
      <c r="D42" t="s">
        <v>859</v>
      </c>
      <c r="E42" s="128" t="s">
        <v>625</v>
      </c>
      <c r="F42">
        <v>125090</v>
      </c>
      <c r="G42">
        <v>162.96</v>
      </c>
      <c r="H42">
        <v>0</v>
      </c>
      <c r="I42" s="128"/>
      <c r="J42" t="s">
        <v>1007</v>
      </c>
      <c r="K42" s="128"/>
    </row>
    <row r="43" spans="1:11" hidden="1" x14ac:dyDescent="0.2">
      <c r="A43" t="s">
        <v>494</v>
      </c>
      <c r="B43">
        <v>469363</v>
      </c>
      <c r="C43" s="80">
        <v>43123.599664351852</v>
      </c>
      <c r="D43" t="s">
        <v>860</v>
      </c>
      <c r="E43" s="128" t="s">
        <v>625</v>
      </c>
      <c r="F43">
        <v>0</v>
      </c>
      <c r="G43">
        <v>0</v>
      </c>
      <c r="H43">
        <v>339.76</v>
      </c>
      <c r="I43" s="128"/>
      <c r="J43" t="s">
        <v>1005</v>
      </c>
      <c r="K43" s="128"/>
    </row>
    <row r="44" spans="1:11" hidden="1" x14ac:dyDescent="0.2">
      <c r="A44" t="s">
        <v>494</v>
      </c>
      <c r="B44">
        <v>469363</v>
      </c>
      <c r="C44" s="80">
        <v>43123.599664351852</v>
      </c>
      <c r="D44" t="s">
        <v>858</v>
      </c>
      <c r="E44" s="128" t="s">
        <v>625</v>
      </c>
      <c r="F44">
        <v>145582</v>
      </c>
      <c r="G44">
        <v>24.47</v>
      </c>
      <c r="H44">
        <v>0</v>
      </c>
      <c r="I44" s="128"/>
      <c r="J44" t="s">
        <v>1006</v>
      </c>
      <c r="K44" s="128"/>
    </row>
    <row r="45" spans="1:11" hidden="1" x14ac:dyDescent="0.2">
      <c r="A45" t="s">
        <v>494</v>
      </c>
      <c r="B45">
        <v>469368</v>
      </c>
      <c r="C45" s="80">
        <v>43123.60260416667</v>
      </c>
      <c r="D45" t="s">
        <v>859</v>
      </c>
      <c r="E45" s="128" t="s">
        <v>625</v>
      </c>
      <c r="F45">
        <v>125551</v>
      </c>
      <c r="G45">
        <v>315.29000000000002</v>
      </c>
      <c r="H45">
        <v>0</v>
      </c>
      <c r="I45" s="128"/>
      <c r="J45" t="s">
        <v>1007</v>
      </c>
      <c r="K45" s="128"/>
    </row>
    <row r="46" spans="1:11" hidden="1" x14ac:dyDescent="0.2">
      <c r="A46" t="s">
        <v>497</v>
      </c>
      <c r="B46">
        <v>467555</v>
      </c>
      <c r="C46" s="80">
        <v>43116.6871875</v>
      </c>
      <c r="D46" t="s">
        <v>861</v>
      </c>
      <c r="E46" s="128" t="s">
        <v>625</v>
      </c>
      <c r="F46">
        <v>0</v>
      </c>
      <c r="G46">
        <v>0</v>
      </c>
      <c r="H46">
        <v>77.680000000000007</v>
      </c>
      <c r="I46" s="128"/>
      <c r="J46" t="s">
        <v>1005</v>
      </c>
      <c r="K46" s="128"/>
    </row>
    <row r="47" spans="1:11" hidden="1" x14ac:dyDescent="0.2">
      <c r="A47" t="s">
        <v>497</v>
      </c>
      <c r="B47">
        <v>467555</v>
      </c>
      <c r="C47" s="80">
        <v>43116.6871875</v>
      </c>
      <c r="D47" t="s">
        <v>862</v>
      </c>
      <c r="E47" s="128" t="s">
        <v>625</v>
      </c>
      <c r="F47">
        <v>145013</v>
      </c>
      <c r="G47">
        <v>5.59</v>
      </c>
      <c r="H47">
        <v>0</v>
      </c>
      <c r="I47" s="128"/>
      <c r="J47" t="s">
        <v>1006</v>
      </c>
      <c r="K47" s="128"/>
    </row>
    <row r="48" spans="1:11" hidden="1" x14ac:dyDescent="0.2">
      <c r="A48" t="s">
        <v>497</v>
      </c>
      <c r="B48">
        <v>467612</v>
      </c>
      <c r="C48" s="80">
        <v>43116.691284722219</v>
      </c>
      <c r="D48" t="s">
        <v>863</v>
      </c>
      <c r="E48" s="128" t="s">
        <v>625</v>
      </c>
      <c r="F48">
        <v>125064</v>
      </c>
      <c r="G48">
        <v>72.09</v>
      </c>
      <c r="H48">
        <v>0</v>
      </c>
      <c r="I48" s="128"/>
      <c r="J48" t="s">
        <v>1007</v>
      </c>
      <c r="K48" s="128"/>
    </row>
    <row r="49" spans="1:11" hidden="1" x14ac:dyDescent="0.2">
      <c r="A49" t="s">
        <v>497</v>
      </c>
      <c r="B49">
        <v>468607</v>
      </c>
      <c r="C49" s="80">
        <v>43119.558356481481</v>
      </c>
      <c r="D49" t="s">
        <v>864</v>
      </c>
      <c r="E49" s="128" t="s">
        <v>625</v>
      </c>
      <c r="F49">
        <v>0</v>
      </c>
      <c r="G49">
        <v>0</v>
      </c>
      <c r="H49">
        <v>383.84</v>
      </c>
      <c r="I49" s="128"/>
      <c r="J49" t="s">
        <v>1005</v>
      </c>
      <c r="K49" s="128"/>
    </row>
    <row r="50" spans="1:11" hidden="1" x14ac:dyDescent="0.2">
      <c r="A50" t="s">
        <v>497</v>
      </c>
      <c r="B50">
        <v>468607</v>
      </c>
      <c r="C50" s="80">
        <v>43119.558356481481</v>
      </c>
      <c r="D50" t="s">
        <v>862</v>
      </c>
      <c r="E50" s="128" t="s">
        <v>625</v>
      </c>
      <c r="F50">
        <v>145331</v>
      </c>
      <c r="G50">
        <v>27.64</v>
      </c>
      <c r="H50">
        <v>0</v>
      </c>
      <c r="I50" s="128"/>
      <c r="J50" t="s">
        <v>1006</v>
      </c>
      <c r="K50" s="128"/>
    </row>
    <row r="51" spans="1:11" hidden="1" x14ac:dyDescent="0.2">
      <c r="A51" t="s">
        <v>497</v>
      </c>
      <c r="B51">
        <v>468622</v>
      </c>
      <c r="C51" s="80">
        <v>43119.562175925923</v>
      </c>
      <c r="D51" t="s">
        <v>863</v>
      </c>
      <c r="E51" s="128" t="s">
        <v>625</v>
      </c>
      <c r="F51">
        <v>125376</v>
      </c>
      <c r="G51">
        <v>356.2</v>
      </c>
      <c r="H51">
        <v>0</v>
      </c>
      <c r="I51" s="128"/>
      <c r="J51" t="s">
        <v>1007</v>
      </c>
      <c r="K51" s="128"/>
    </row>
    <row r="52" spans="1:11" hidden="1" x14ac:dyDescent="0.2">
      <c r="A52" t="s">
        <v>499</v>
      </c>
      <c r="B52">
        <v>467559</v>
      </c>
      <c r="C52" s="80">
        <v>43116.6871875</v>
      </c>
      <c r="D52" t="s">
        <v>865</v>
      </c>
      <c r="E52" s="128" t="s">
        <v>625</v>
      </c>
      <c r="F52">
        <v>0</v>
      </c>
      <c r="G52">
        <v>0</v>
      </c>
      <c r="H52">
        <v>385.28</v>
      </c>
      <c r="I52" s="128"/>
      <c r="J52" t="s">
        <v>1005</v>
      </c>
      <c r="K52" s="128"/>
    </row>
    <row r="53" spans="1:11" hidden="1" x14ac:dyDescent="0.2">
      <c r="A53" t="s">
        <v>499</v>
      </c>
      <c r="B53">
        <v>467559</v>
      </c>
      <c r="C53" s="80">
        <v>43116.6871875</v>
      </c>
      <c r="D53" t="s">
        <v>866</v>
      </c>
      <c r="E53" s="128" t="s">
        <v>625</v>
      </c>
      <c r="F53">
        <v>145017</v>
      </c>
      <c r="G53">
        <v>27.74</v>
      </c>
      <c r="H53">
        <v>0</v>
      </c>
      <c r="I53" s="128"/>
      <c r="J53" t="s">
        <v>1006</v>
      </c>
      <c r="K53" s="128"/>
    </row>
    <row r="54" spans="1:11" hidden="1" x14ac:dyDescent="0.2">
      <c r="A54" t="s">
        <v>499</v>
      </c>
      <c r="B54">
        <v>467612</v>
      </c>
      <c r="C54" s="80">
        <v>43116.691284722219</v>
      </c>
      <c r="D54" t="s">
        <v>867</v>
      </c>
      <c r="E54" s="128" t="s">
        <v>625</v>
      </c>
      <c r="F54">
        <v>125068</v>
      </c>
      <c r="G54">
        <v>357.54</v>
      </c>
      <c r="H54">
        <v>0</v>
      </c>
      <c r="I54" s="128"/>
      <c r="J54" t="s">
        <v>1007</v>
      </c>
      <c r="K54" s="128"/>
    </row>
    <row r="55" spans="1:11" hidden="1" x14ac:dyDescent="0.2">
      <c r="A55" t="s">
        <v>499</v>
      </c>
      <c r="B55">
        <v>468609</v>
      </c>
      <c r="C55" s="80">
        <v>43119.558356481481</v>
      </c>
      <c r="D55" t="s">
        <v>868</v>
      </c>
      <c r="E55" s="128" t="s">
        <v>625</v>
      </c>
      <c r="F55">
        <v>0</v>
      </c>
      <c r="G55">
        <v>0</v>
      </c>
      <c r="H55">
        <v>76.239999999999995</v>
      </c>
      <c r="I55" s="128"/>
      <c r="J55" t="s">
        <v>1005</v>
      </c>
      <c r="K55" s="128"/>
    </row>
    <row r="56" spans="1:11" hidden="1" x14ac:dyDescent="0.2">
      <c r="A56" t="s">
        <v>499</v>
      </c>
      <c r="B56">
        <v>468609</v>
      </c>
      <c r="C56" s="80">
        <v>43119.558356481481</v>
      </c>
      <c r="D56" t="s">
        <v>866</v>
      </c>
      <c r="E56" s="128" t="s">
        <v>625</v>
      </c>
      <c r="F56">
        <v>145333</v>
      </c>
      <c r="G56">
        <v>5.48</v>
      </c>
      <c r="H56">
        <v>0</v>
      </c>
      <c r="I56" s="128"/>
      <c r="J56" t="s">
        <v>1006</v>
      </c>
      <c r="K56" s="128"/>
    </row>
    <row r="57" spans="1:11" hidden="1" x14ac:dyDescent="0.2">
      <c r="A57" t="s">
        <v>499</v>
      </c>
      <c r="B57">
        <v>468622</v>
      </c>
      <c r="C57" s="80">
        <v>43119.562175925923</v>
      </c>
      <c r="D57" t="s">
        <v>867</v>
      </c>
      <c r="E57" s="128" t="s">
        <v>625</v>
      </c>
      <c r="F57">
        <v>125378</v>
      </c>
      <c r="G57">
        <v>70.760000000000005</v>
      </c>
      <c r="H57">
        <v>0</v>
      </c>
      <c r="I57" s="128"/>
      <c r="J57" t="s">
        <v>1007</v>
      </c>
      <c r="K57" s="128"/>
    </row>
    <row r="58" spans="1:11" hidden="1" x14ac:dyDescent="0.2">
      <c r="A58" t="s">
        <v>503</v>
      </c>
      <c r="B58">
        <v>467586</v>
      </c>
      <c r="C58" s="80">
        <v>43116.6871875</v>
      </c>
      <c r="D58" t="s">
        <v>869</v>
      </c>
      <c r="E58" s="128" t="s">
        <v>625</v>
      </c>
      <c r="F58">
        <v>0</v>
      </c>
      <c r="G58">
        <v>0</v>
      </c>
      <c r="H58">
        <v>365.36</v>
      </c>
      <c r="I58" s="128"/>
      <c r="J58" t="s">
        <v>1005</v>
      </c>
      <c r="K58" s="128"/>
    </row>
    <row r="59" spans="1:11" hidden="1" x14ac:dyDescent="0.2">
      <c r="A59" t="s">
        <v>503</v>
      </c>
      <c r="B59">
        <v>467586</v>
      </c>
      <c r="C59" s="80">
        <v>43116.6871875</v>
      </c>
      <c r="D59" t="s">
        <v>870</v>
      </c>
      <c r="E59" s="128" t="s">
        <v>625</v>
      </c>
      <c r="F59">
        <v>145044</v>
      </c>
      <c r="G59">
        <v>26.3</v>
      </c>
      <c r="H59">
        <v>0</v>
      </c>
      <c r="I59" s="128"/>
      <c r="J59" t="s">
        <v>1006</v>
      </c>
      <c r="K59" s="128"/>
    </row>
    <row r="60" spans="1:11" hidden="1" x14ac:dyDescent="0.2">
      <c r="A60" t="s">
        <v>503</v>
      </c>
      <c r="B60">
        <v>467586</v>
      </c>
      <c r="C60" s="80">
        <v>43116.6871875</v>
      </c>
      <c r="D60" t="s">
        <v>871</v>
      </c>
      <c r="E60" s="128" t="s">
        <v>625</v>
      </c>
      <c r="F60">
        <v>0</v>
      </c>
      <c r="G60">
        <v>0</v>
      </c>
      <c r="H60">
        <v>96.16</v>
      </c>
      <c r="I60" s="128"/>
      <c r="J60" t="s">
        <v>1005</v>
      </c>
      <c r="K60" s="128"/>
    </row>
    <row r="61" spans="1:11" hidden="1" x14ac:dyDescent="0.2">
      <c r="A61" t="s">
        <v>503</v>
      </c>
      <c r="B61">
        <v>467586</v>
      </c>
      <c r="C61" s="80">
        <v>43116.6871875</v>
      </c>
      <c r="D61" t="s">
        <v>870</v>
      </c>
      <c r="E61" s="128" t="s">
        <v>625</v>
      </c>
      <c r="F61">
        <v>145044</v>
      </c>
      <c r="G61">
        <v>6.92</v>
      </c>
      <c r="H61">
        <v>0</v>
      </c>
      <c r="I61" s="128"/>
      <c r="J61" t="s">
        <v>1006</v>
      </c>
      <c r="K61" s="128"/>
    </row>
    <row r="62" spans="1:11" hidden="1" x14ac:dyDescent="0.2">
      <c r="A62" t="s">
        <v>503</v>
      </c>
      <c r="B62">
        <v>467612</v>
      </c>
      <c r="C62" s="80">
        <v>43116.691284722219</v>
      </c>
      <c r="D62" t="s">
        <v>872</v>
      </c>
      <c r="E62" s="128" t="s">
        <v>625</v>
      </c>
      <c r="F62">
        <v>125095</v>
      </c>
      <c r="G62">
        <v>428.3</v>
      </c>
      <c r="H62">
        <v>0</v>
      </c>
      <c r="I62" s="128"/>
      <c r="J62" t="s">
        <v>1007</v>
      </c>
      <c r="K62" s="128"/>
    </row>
    <row r="63" spans="1:11" hidden="1" x14ac:dyDescent="0.2">
      <c r="A63" t="s">
        <v>505</v>
      </c>
      <c r="B63">
        <v>467557</v>
      </c>
      <c r="C63" s="80">
        <v>43116.6871875</v>
      </c>
      <c r="D63" t="s">
        <v>873</v>
      </c>
      <c r="E63" s="128" t="s">
        <v>625</v>
      </c>
      <c r="F63">
        <v>0</v>
      </c>
      <c r="G63">
        <v>0</v>
      </c>
      <c r="H63">
        <v>39.32</v>
      </c>
      <c r="I63" s="128"/>
      <c r="J63" t="s">
        <v>1005</v>
      </c>
      <c r="K63" s="128"/>
    </row>
    <row r="64" spans="1:11" hidden="1" x14ac:dyDescent="0.2">
      <c r="A64" t="s">
        <v>505</v>
      </c>
      <c r="B64">
        <v>467557</v>
      </c>
      <c r="C64" s="80">
        <v>43116.6871875</v>
      </c>
      <c r="D64" t="s">
        <v>874</v>
      </c>
      <c r="E64" s="128" t="s">
        <v>625</v>
      </c>
      <c r="F64">
        <v>145015</v>
      </c>
      <c r="G64">
        <v>2.83</v>
      </c>
      <c r="H64">
        <v>0</v>
      </c>
      <c r="I64" s="128"/>
      <c r="J64" t="s">
        <v>1006</v>
      </c>
      <c r="K64" s="128"/>
    </row>
    <row r="65" spans="1:11" hidden="1" x14ac:dyDescent="0.2">
      <c r="A65" t="s">
        <v>505</v>
      </c>
      <c r="B65">
        <v>467612</v>
      </c>
      <c r="C65" s="80">
        <v>43116.691284722219</v>
      </c>
      <c r="D65" t="s">
        <v>875</v>
      </c>
      <c r="E65" s="128" t="s">
        <v>625</v>
      </c>
      <c r="F65">
        <v>125066</v>
      </c>
      <c r="G65">
        <v>36.49</v>
      </c>
      <c r="H65">
        <v>0</v>
      </c>
      <c r="I65" s="128"/>
      <c r="J65" t="s">
        <v>1007</v>
      </c>
      <c r="K65" s="128"/>
    </row>
    <row r="66" spans="1:11" hidden="1" x14ac:dyDescent="0.2">
      <c r="A66" t="s">
        <v>505</v>
      </c>
      <c r="B66">
        <v>468608</v>
      </c>
      <c r="C66" s="80">
        <v>43119.558356481481</v>
      </c>
      <c r="D66" t="s">
        <v>876</v>
      </c>
      <c r="E66" s="128" t="s">
        <v>625</v>
      </c>
      <c r="F66">
        <v>0</v>
      </c>
      <c r="G66">
        <v>0</v>
      </c>
      <c r="H66">
        <v>426.8</v>
      </c>
      <c r="I66" s="128"/>
      <c r="J66" t="s">
        <v>1005</v>
      </c>
      <c r="K66" s="128"/>
    </row>
    <row r="67" spans="1:11" hidden="1" x14ac:dyDescent="0.2">
      <c r="A67" t="s">
        <v>505</v>
      </c>
      <c r="B67">
        <v>468608</v>
      </c>
      <c r="C67" s="80">
        <v>43119.558356481481</v>
      </c>
      <c r="D67" t="s">
        <v>874</v>
      </c>
      <c r="E67" s="128" t="s">
        <v>625</v>
      </c>
      <c r="F67">
        <v>145332</v>
      </c>
      <c r="G67">
        <v>30.73</v>
      </c>
      <c r="H67">
        <v>0</v>
      </c>
      <c r="I67" s="128"/>
      <c r="J67" t="s">
        <v>1006</v>
      </c>
      <c r="K67" s="128"/>
    </row>
    <row r="68" spans="1:11" hidden="1" x14ac:dyDescent="0.2">
      <c r="A68" t="s">
        <v>505</v>
      </c>
      <c r="B68">
        <v>468622</v>
      </c>
      <c r="C68" s="80">
        <v>43119.562175925923</v>
      </c>
      <c r="D68" t="s">
        <v>875</v>
      </c>
      <c r="E68" s="128" t="s">
        <v>625</v>
      </c>
      <c r="F68">
        <v>125377</v>
      </c>
      <c r="G68">
        <v>396.07</v>
      </c>
      <c r="H68">
        <v>0</v>
      </c>
      <c r="I68" s="128"/>
      <c r="J68" t="s">
        <v>1007</v>
      </c>
      <c r="K68" s="128"/>
    </row>
    <row r="69" spans="1:11" hidden="1" x14ac:dyDescent="0.2">
      <c r="A69" t="s">
        <v>507</v>
      </c>
      <c r="B69">
        <v>468087</v>
      </c>
      <c r="C69" s="80">
        <v>43118.521979166668</v>
      </c>
      <c r="D69" t="s">
        <v>877</v>
      </c>
      <c r="E69" s="136" t="s">
        <v>995</v>
      </c>
      <c r="F69">
        <v>1393</v>
      </c>
      <c r="G69">
        <v>100.8</v>
      </c>
      <c r="H69">
        <v>0</v>
      </c>
      <c r="I69" s="128"/>
      <c r="J69" t="s">
        <v>1008</v>
      </c>
      <c r="K69" s="128"/>
    </row>
    <row r="70" spans="1:11" hidden="1" x14ac:dyDescent="0.2">
      <c r="A70" t="s">
        <v>507</v>
      </c>
      <c r="B70">
        <v>469246</v>
      </c>
      <c r="C70" s="80">
        <v>43123.458518518521</v>
      </c>
      <c r="D70" t="s">
        <v>878</v>
      </c>
      <c r="E70" s="136" t="s">
        <v>995</v>
      </c>
      <c r="F70">
        <v>57</v>
      </c>
      <c r="G70">
        <v>930</v>
      </c>
      <c r="H70">
        <v>0</v>
      </c>
      <c r="I70" s="128"/>
      <c r="J70" t="s">
        <v>1008</v>
      </c>
      <c r="K70" s="128"/>
    </row>
    <row r="71" spans="1:11" hidden="1" x14ac:dyDescent="0.2">
      <c r="A71" t="s">
        <v>507</v>
      </c>
      <c r="B71">
        <v>470416</v>
      </c>
      <c r="C71" s="80">
        <v>43129.401689814818</v>
      </c>
      <c r="D71" t="s">
        <v>879</v>
      </c>
      <c r="E71" s="136" t="s">
        <v>995</v>
      </c>
      <c r="F71">
        <v>39</v>
      </c>
      <c r="G71">
        <v>500</v>
      </c>
      <c r="H71">
        <v>0</v>
      </c>
      <c r="I71" s="128"/>
      <c r="J71" t="s">
        <v>1008</v>
      </c>
      <c r="K71" s="128"/>
    </row>
    <row r="72" spans="1:11" hidden="1" x14ac:dyDescent="0.2">
      <c r="A72" t="s">
        <v>507</v>
      </c>
      <c r="B72">
        <v>471488</v>
      </c>
      <c r="C72" s="80">
        <v>43131.500763888886</v>
      </c>
      <c r="D72" t="s">
        <v>880</v>
      </c>
      <c r="E72" s="136" t="s">
        <v>995</v>
      </c>
      <c r="F72">
        <v>1485</v>
      </c>
      <c r="G72">
        <v>135</v>
      </c>
      <c r="H72">
        <v>0</v>
      </c>
      <c r="I72" s="128"/>
      <c r="J72" t="s">
        <v>1008</v>
      </c>
      <c r="K72" s="128"/>
    </row>
    <row r="73" spans="1:11" hidden="1" x14ac:dyDescent="0.2">
      <c r="A73" t="s">
        <v>475</v>
      </c>
      <c r="B73">
        <v>467570</v>
      </c>
      <c r="C73" s="80">
        <v>43116.6871875</v>
      </c>
      <c r="D73" t="s">
        <v>881</v>
      </c>
      <c r="E73" s="128" t="s">
        <v>625</v>
      </c>
      <c r="F73">
        <v>0</v>
      </c>
      <c r="G73">
        <v>0</v>
      </c>
      <c r="H73">
        <v>228.43</v>
      </c>
      <c r="I73" s="128"/>
      <c r="J73" t="s">
        <v>1005</v>
      </c>
      <c r="K73" s="128"/>
    </row>
    <row r="74" spans="1:11" hidden="1" x14ac:dyDescent="0.2">
      <c r="A74" t="s">
        <v>475</v>
      </c>
      <c r="B74">
        <v>467570</v>
      </c>
      <c r="C74" s="80">
        <v>43116.6871875</v>
      </c>
      <c r="D74" t="s">
        <v>882</v>
      </c>
      <c r="E74" s="128" t="s">
        <v>625</v>
      </c>
      <c r="F74">
        <v>145028</v>
      </c>
      <c r="G74">
        <v>16.45</v>
      </c>
      <c r="H74">
        <v>0</v>
      </c>
      <c r="I74" s="128"/>
      <c r="J74" t="s">
        <v>1006</v>
      </c>
      <c r="K74" s="128"/>
    </row>
    <row r="75" spans="1:11" hidden="1" x14ac:dyDescent="0.2">
      <c r="A75" t="s">
        <v>475</v>
      </c>
      <c r="B75">
        <v>467570</v>
      </c>
      <c r="C75" s="80">
        <v>43116.6871875</v>
      </c>
      <c r="D75" t="s">
        <v>883</v>
      </c>
      <c r="E75" s="128" t="s">
        <v>625</v>
      </c>
      <c r="F75">
        <v>0</v>
      </c>
      <c r="G75">
        <v>0</v>
      </c>
      <c r="H75">
        <v>233.09</v>
      </c>
      <c r="I75" s="128"/>
      <c r="J75" t="s">
        <v>1005</v>
      </c>
      <c r="K75" s="128"/>
    </row>
    <row r="76" spans="1:11" hidden="1" x14ac:dyDescent="0.2">
      <c r="A76" t="s">
        <v>475</v>
      </c>
      <c r="B76">
        <v>467570</v>
      </c>
      <c r="C76" s="80">
        <v>43116.6871875</v>
      </c>
      <c r="D76" t="s">
        <v>882</v>
      </c>
      <c r="E76" s="128" t="s">
        <v>625</v>
      </c>
      <c r="F76">
        <v>145028</v>
      </c>
      <c r="G76">
        <v>16.79</v>
      </c>
      <c r="H76">
        <v>0</v>
      </c>
      <c r="I76" s="128"/>
      <c r="J76" t="s">
        <v>1006</v>
      </c>
      <c r="K76" s="128"/>
    </row>
    <row r="77" spans="1:11" hidden="1" x14ac:dyDescent="0.2">
      <c r="A77" t="s">
        <v>475</v>
      </c>
      <c r="B77">
        <v>467612</v>
      </c>
      <c r="C77" s="80">
        <v>43116.691284722219</v>
      </c>
      <c r="D77" t="s">
        <v>884</v>
      </c>
      <c r="E77" s="128" t="s">
        <v>625</v>
      </c>
      <c r="F77">
        <v>125079</v>
      </c>
      <c r="G77">
        <v>428.28</v>
      </c>
      <c r="H77">
        <v>0</v>
      </c>
      <c r="I77" s="128"/>
      <c r="J77" t="s">
        <v>1007</v>
      </c>
      <c r="K77" s="128"/>
    </row>
    <row r="78" spans="1:11" hidden="1" x14ac:dyDescent="0.2">
      <c r="A78" t="s">
        <v>490</v>
      </c>
      <c r="B78">
        <v>467568</v>
      </c>
      <c r="C78" s="80">
        <v>43116.6871875</v>
      </c>
      <c r="D78" t="s">
        <v>885</v>
      </c>
      <c r="E78" s="128" t="s">
        <v>625</v>
      </c>
      <c r="F78">
        <v>0</v>
      </c>
      <c r="G78">
        <v>0</v>
      </c>
      <c r="H78">
        <v>350</v>
      </c>
      <c r="I78" s="128"/>
      <c r="J78" t="s">
        <v>1005</v>
      </c>
      <c r="K78" s="128"/>
    </row>
    <row r="79" spans="1:11" hidden="1" x14ac:dyDescent="0.2">
      <c r="A79" t="s">
        <v>490</v>
      </c>
      <c r="B79">
        <v>467568</v>
      </c>
      <c r="C79" s="80">
        <v>43116.6871875</v>
      </c>
      <c r="D79" t="s">
        <v>886</v>
      </c>
      <c r="E79" s="128" t="s">
        <v>625</v>
      </c>
      <c r="F79">
        <v>145026</v>
      </c>
      <c r="G79">
        <v>25.2</v>
      </c>
      <c r="H79">
        <v>0</v>
      </c>
      <c r="I79" s="128"/>
      <c r="J79" t="s">
        <v>1006</v>
      </c>
      <c r="K79" s="128"/>
    </row>
    <row r="80" spans="1:11" hidden="1" x14ac:dyDescent="0.2">
      <c r="A80" t="s">
        <v>490</v>
      </c>
      <c r="B80">
        <v>467612</v>
      </c>
      <c r="C80" s="80">
        <v>43116.691284722219</v>
      </c>
      <c r="D80" t="s">
        <v>887</v>
      </c>
      <c r="E80" s="128" t="s">
        <v>625</v>
      </c>
      <c r="F80">
        <v>125077</v>
      </c>
      <c r="G80">
        <v>324.8</v>
      </c>
      <c r="H80">
        <v>0</v>
      </c>
      <c r="I80" s="128"/>
      <c r="J80" t="s">
        <v>1007</v>
      </c>
      <c r="K80" s="128"/>
    </row>
    <row r="81" spans="1:11" hidden="1" x14ac:dyDescent="0.2">
      <c r="A81" t="s">
        <v>490</v>
      </c>
      <c r="B81">
        <v>470635</v>
      </c>
      <c r="C81" s="80">
        <v>43129.634687500002</v>
      </c>
      <c r="D81" t="s">
        <v>885</v>
      </c>
      <c r="E81" s="128" t="s">
        <v>625</v>
      </c>
      <c r="F81">
        <v>0</v>
      </c>
      <c r="G81">
        <v>0</v>
      </c>
      <c r="H81">
        <v>250</v>
      </c>
      <c r="I81" s="128"/>
      <c r="J81" t="s">
        <v>1005</v>
      </c>
      <c r="K81" s="128"/>
    </row>
    <row r="82" spans="1:11" hidden="1" x14ac:dyDescent="0.2">
      <c r="A82" t="s">
        <v>490</v>
      </c>
      <c r="B82">
        <v>470635</v>
      </c>
      <c r="C82" s="80">
        <v>43129.634687500002</v>
      </c>
      <c r="D82" t="s">
        <v>886</v>
      </c>
      <c r="E82" s="128" t="s">
        <v>625</v>
      </c>
      <c r="F82">
        <v>146167</v>
      </c>
      <c r="G82">
        <v>18</v>
      </c>
      <c r="H82">
        <v>0</v>
      </c>
      <c r="I82" s="128"/>
      <c r="J82" t="s">
        <v>1006</v>
      </c>
      <c r="K82" s="128"/>
    </row>
    <row r="83" spans="1:11" hidden="1" x14ac:dyDescent="0.2">
      <c r="A83" t="s">
        <v>490</v>
      </c>
      <c r="B83">
        <v>470644</v>
      </c>
      <c r="C83" s="80">
        <v>43129.644016203703</v>
      </c>
      <c r="D83" t="s">
        <v>887</v>
      </c>
      <c r="E83" s="136" t="s">
        <v>625</v>
      </c>
      <c r="F83">
        <v>125868</v>
      </c>
      <c r="G83">
        <v>232</v>
      </c>
      <c r="H83">
        <v>0</v>
      </c>
      <c r="I83" s="128"/>
      <c r="J83" t="s">
        <v>1007</v>
      </c>
      <c r="K83" s="128"/>
    </row>
    <row r="84" spans="1:11" hidden="1" x14ac:dyDescent="0.2">
      <c r="A84" t="s">
        <v>489</v>
      </c>
      <c r="B84">
        <v>467562</v>
      </c>
      <c r="C84" s="80">
        <v>43116.6871875</v>
      </c>
      <c r="D84" t="s">
        <v>888</v>
      </c>
      <c r="E84" s="128" t="s">
        <v>625</v>
      </c>
      <c r="F84">
        <v>0</v>
      </c>
      <c r="G84">
        <v>0</v>
      </c>
      <c r="H84">
        <v>442.04</v>
      </c>
      <c r="I84" s="128"/>
      <c r="J84" t="s">
        <v>1005</v>
      </c>
      <c r="K84" s="128"/>
    </row>
    <row r="85" spans="1:11" hidden="1" x14ac:dyDescent="0.2">
      <c r="A85" t="s">
        <v>489</v>
      </c>
      <c r="B85">
        <v>467562</v>
      </c>
      <c r="C85" s="80">
        <v>43116.6871875</v>
      </c>
      <c r="D85" t="s">
        <v>889</v>
      </c>
      <c r="E85" s="128" t="s">
        <v>625</v>
      </c>
      <c r="F85">
        <v>145020</v>
      </c>
      <c r="G85">
        <v>31.82</v>
      </c>
      <c r="H85">
        <v>0</v>
      </c>
      <c r="I85" s="128"/>
      <c r="J85" t="s">
        <v>1006</v>
      </c>
      <c r="K85" s="128"/>
    </row>
    <row r="86" spans="1:11" hidden="1" x14ac:dyDescent="0.2">
      <c r="A86" t="s">
        <v>489</v>
      </c>
      <c r="B86">
        <v>467612</v>
      </c>
      <c r="C86" s="80">
        <v>43116.691284722219</v>
      </c>
      <c r="D86" t="s">
        <v>890</v>
      </c>
      <c r="E86" s="128" t="s">
        <v>625</v>
      </c>
      <c r="F86">
        <v>125071</v>
      </c>
      <c r="G86">
        <v>410.22</v>
      </c>
      <c r="H86">
        <v>0</v>
      </c>
      <c r="I86" s="128"/>
      <c r="J86" t="s">
        <v>1007</v>
      </c>
      <c r="K86" s="128"/>
    </row>
    <row r="87" spans="1:11" hidden="1" x14ac:dyDescent="0.2">
      <c r="A87" t="s">
        <v>487</v>
      </c>
      <c r="B87">
        <v>465731</v>
      </c>
      <c r="C87" s="80">
        <v>43111.635011574072</v>
      </c>
      <c r="D87" t="s">
        <v>891</v>
      </c>
      <c r="E87" s="128" t="s">
        <v>625</v>
      </c>
      <c r="F87">
        <v>0</v>
      </c>
      <c r="G87">
        <v>0</v>
      </c>
      <c r="H87">
        <v>17.78</v>
      </c>
      <c r="I87" s="128"/>
      <c r="J87" t="s">
        <v>1005</v>
      </c>
      <c r="K87" s="128"/>
    </row>
    <row r="88" spans="1:11" hidden="1" x14ac:dyDescent="0.2">
      <c r="A88" t="s">
        <v>487</v>
      </c>
      <c r="B88">
        <v>465731</v>
      </c>
      <c r="C88" s="80">
        <v>43111.635011574072</v>
      </c>
      <c r="D88" t="s">
        <v>892</v>
      </c>
      <c r="E88" s="128" t="s">
        <v>625</v>
      </c>
      <c r="F88">
        <v>144565</v>
      </c>
      <c r="G88">
        <v>1.28</v>
      </c>
      <c r="H88">
        <v>0</v>
      </c>
      <c r="I88" s="128"/>
      <c r="J88" t="s">
        <v>1006</v>
      </c>
      <c r="K88" s="128"/>
    </row>
    <row r="89" spans="1:11" hidden="1" x14ac:dyDescent="0.2">
      <c r="A89" t="s">
        <v>487</v>
      </c>
      <c r="B89">
        <v>465743</v>
      </c>
      <c r="C89" s="80">
        <v>43111.640682870369</v>
      </c>
      <c r="D89" t="s">
        <v>893</v>
      </c>
      <c r="E89" s="128" t="s">
        <v>625</v>
      </c>
      <c r="F89">
        <v>124413</v>
      </c>
      <c r="G89">
        <v>16.5</v>
      </c>
      <c r="H89">
        <v>0</v>
      </c>
      <c r="I89" s="128"/>
      <c r="J89" t="s">
        <v>1007</v>
      </c>
      <c r="K89" s="128"/>
    </row>
    <row r="90" spans="1:11" hidden="1" x14ac:dyDescent="0.2">
      <c r="A90" t="s">
        <v>487</v>
      </c>
      <c r="B90">
        <v>467560</v>
      </c>
      <c r="C90" s="80">
        <v>43116.6871875</v>
      </c>
      <c r="D90" t="s">
        <v>891</v>
      </c>
      <c r="E90" s="128" t="s">
        <v>625</v>
      </c>
      <c r="F90">
        <v>0</v>
      </c>
      <c r="G90">
        <v>0</v>
      </c>
      <c r="H90">
        <v>392.44</v>
      </c>
      <c r="I90" s="128"/>
      <c r="J90" t="s">
        <v>1005</v>
      </c>
      <c r="K90" s="128"/>
    </row>
    <row r="91" spans="1:11" hidden="1" x14ac:dyDescent="0.2">
      <c r="A91" t="s">
        <v>487</v>
      </c>
      <c r="B91">
        <v>467560</v>
      </c>
      <c r="C91" s="80">
        <v>43116.6871875</v>
      </c>
      <c r="D91" t="s">
        <v>892</v>
      </c>
      <c r="E91" s="128" t="s">
        <v>625</v>
      </c>
      <c r="F91">
        <v>145018</v>
      </c>
      <c r="G91">
        <v>28.26</v>
      </c>
      <c r="H91">
        <v>0</v>
      </c>
      <c r="I91" s="128"/>
      <c r="J91" t="s">
        <v>1006</v>
      </c>
      <c r="K91" s="128"/>
    </row>
    <row r="92" spans="1:11" hidden="1" x14ac:dyDescent="0.2">
      <c r="A92" t="s">
        <v>487</v>
      </c>
      <c r="B92">
        <v>467612</v>
      </c>
      <c r="C92" s="80">
        <v>43116.691284722219</v>
      </c>
      <c r="D92" t="s">
        <v>893</v>
      </c>
      <c r="E92" s="128" t="s">
        <v>625</v>
      </c>
      <c r="F92">
        <v>125069</v>
      </c>
      <c r="G92">
        <v>364.18</v>
      </c>
      <c r="H92">
        <v>0</v>
      </c>
      <c r="I92" s="128"/>
      <c r="J92" t="s">
        <v>1007</v>
      </c>
      <c r="K92" s="128"/>
    </row>
    <row r="93" spans="1:11" hidden="1" x14ac:dyDescent="0.2">
      <c r="A93" t="s">
        <v>488</v>
      </c>
      <c r="B93">
        <v>467561</v>
      </c>
      <c r="C93" s="80">
        <v>43116.6871875</v>
      </c>
      <c r="D93" t="s">
        <v>894</v>
      </c>
      <c r="E93" s="128" t="s">
        <v>625</v>
      </c>
      <c r="F93">
        <v>0</v>
      </c>
      <c r="G93">
        <v>0</v>
      </c>
      <c r="H93">
        <v>116.16</v>
      </c>
      <c r="I93" s="128"/>
      <c r="J93" t="s">
        <v>1005</v>
      </c>
      <c r="K93" s="128"/>
    </row>
    <row r="94" spans="1:11" hidden="1" x14ac:dyDescent="0.2">
      <c r="A94" t="s">
        <v>488</v>
      </c>
      <c r="B94">
        <v>467561</v>
      </c>
      <c r="C94" s="80">
        <v>43116.6871875</v>
      </c>
      <c r="D94" t="s">
        <v>895</v>
      </c>
      <c r="E94" s="128" t="s">
        <v>625</v>
      </c>
      <c r="F94">
        <v>145019</v>
      </c>
      <c r="G94">
        <v>8.36</v>
      </c>
      <c r="H94">
        <v>0</v>
      </c>
      <c r="I94" s="128"/>
      <c r="J94" t="s">
        <v>1006</v>
      </c>
      <c r="K94" s="128"/>
    </row>
    <row r="95" spans="1:11" hidden="1" x14ac:dyDescent="0.2">
      <c r="A95" t="s">
        <v>488</v>
      </c>
      <c r="B95">
        <v>467612</v>
      </c>
      <c r="C95" s="80">
        <v>43116.691284722219</v>
      </c>
      <c r="D95" t="s">
        <v>896</v>
      </c>
      <c r="E95" s="128" t="s">
        <v>625</v>
      </c>
      <c r="F95">
        <v>125070</v>
      </c>
      <c r="G95">
        <v>107.8</v>
      </c>
      <c r="H95">
        <v>0</v>
      </c>
      <c r="I95" s="128"/>
      <c r="J95" t="s">
        <v>1007</v>
      </c>
      <c r="K95" s="128"/>
    </row>
    <row r="96" spans="1:11" hidden="1" x14ac:dyDescent="0.2">
      <c r="A96" t="s">
        <v>488</v>
      </c>
      <c r="B96">
        <v>470128</v>
      </c>
      <c r="C96" s="80">
        <v>43126.5471875</v>
      </c>
      <c r="D96" t="s">
        <v>897</v>
      </c>
      <c r="E96" s="128" t="s">
        <v>625</v>
      </c>
      <c r="F96">
        <v>0</v>
      </c>
      <c r="G96">
        <v>0</v>
      </c>
      <c r="H96">
        <v>345.36</v>
      </c>
      <c r="I96" s="128"/>
      <c r="J96" t="s">
        <v>1005</v>
      </c>
      <c r="K96" s="128"/>
    </row>
    <row r="97" spans="1:11" hidden="1" x14ac:dyDescent="0.2">
      <c r="A97" t="s">
        <v>488</v>
      </c>
      <c r="B97">
        <v>470128</v>
      </c>
      <c r="C97" s="80">
        <v>43126.5471875</v>
      </c>
      <c r="D97" t="s">
        <v>895</v>
      </c>
      <c r="E97" s="128" t="s">
        <v>625</v>
      </c>
      <c r="F97">
        <v>145898</v>
      </c>
      <c r="G97">
        <v>24.86</v>
      </c>
      <c r="H97">
        <v>0</v>
      </c>
      <c r="I97" s="128"/>
      <c r="J97" t="s">
        <v>1006</v>
      </c>
      <c r="K97" s="128"/>
    </row>
    <row r="98" spans="1:11" hidden="1" x14ac:dyDescent="0.2">
      <c r="A98" t="s">
        <v>488</v>
      </c>
      <c r="B98">
        <v>470140</v>
      </c>
      <c r="C98" s="80">
        <v>43126.549340277779</v>
      </c>
      <c r="D98" t="s">
        <v>896</v>
      </c>
      <c r="E98" s="128" t="s">
        <v>625</v>
      </c>
      <c r="F98">
        <v>125750</v>
      </c>
      <c r="G98">
        <v>320.5</v>
      </c>
      <c r="H98">
        <v>0</v>
      </c>
      <c r="I98" s="128"/>
      <c r="J98" t="s">
        <v>1007</v>
      </c>
      <c r="K98" s="128"/>
    </row>
    <row r="99" spans="1:11" hidden="1" x14ac:dyDescent="0.2">
      <c r="A99" t="s">
        <v>496</v>
      </c>
      <c r="B99">
        <v>467552</v>
      </c>
      <c r="C99" s="80">
        <v>43116.6871875</v>
      </c>
      <c r="D99" t="s">
        <v>898</v>
      </c>
      <c r="E99" s="128" t="s">
        <v>625</v>
      </c>
      <c r="F99">
        <v>0</v>
      </c>
      <c r="G99">
        <v>0</v>
      </c>
      <c r="H99">
        <v>116.17</v>
      </c>
      <c r="I99" s="128"/>
      <c r="J99" t="s">
        <v>1005</v>
      </c>
      <c r="K99" s="128"/>
    </row>
    <row r="100" spans="1:11" hidden="1" x14ac:dyDescent="0.2">
      <c r="A100" t="s">
        <v>496</v>
      </c>
      <c r="B100">
        <v>467552</v>
      </c>
      <c r="C100" s="80">
        <v>43116.6871875</v>
      </c>
      <c r="D100" t="s">
        <v>899</v>
      </c>
      <c r="E100" s="128" t="s">
        <v>625</v>
      </c>
      <c r="F100">
        <v>145010</v>
      </c>
      <c r="G100">
        <v>8.36</v>
      </c>
      <c r="H100">
        <v>0</v>
      </c>
      <c r="I100" s="128"/>
      <c r="J100" t="s">
        <v>1006</v>
      </c>
      <c r="K100" s="128"/>
    </row>
    <row r="101" spans="1:11" hidden="1" x14ac:dyDescent="0.2">
      <c r="A101" t="s">
        <v>496</v>
      </c>
      <c r="B101">
        <v>467612</v>
      </c>
      <c r="C101" s="80">
        <v>43116.691284722219</v>
      </c>
      <c r="D101" t="s">
        <v>900</v>
      </c>
      <c r="E101" s="136" t="s">
        <v>625</v>
      </c>
      <c r="F101">
        <v>125061</v>
      </c>
      <c r="G101">
        <v>107.81</v>
      </c>
      <c r="H101">
        <v>0</v>
      </c>
      <c r="I101" s="128"/>
      <c r="J101" t="s">
        <v>1007</v>
      </c>
      <c r="K101" s="128"/>
    </row>
    <row r="102" spans="1:11" hidden="1" x14ac:dyDescent="0.2">
      <c r="A102" t="s">
        <v>496</v>
      </c>
      <c r="B102">
        <v>469044</v>
      </c>
      <c r="C102" s="80">
        <v>43122.63386574074</v>
      </c>
      <c r="D102" t="s">
        <v>901</v>
      </c>
      <c r="E102" s="128" t="s">
        <v>625</v>
      </c>
      <c r="F102">
        <v>0</v>
      </c>
      <c r="G102">
        <v>0</v>
      </c>
      <c r="H102">
        <v>345.35</v>
      </c>
      <c r="I102" s="128"/>
      <c r="J102" t="s">
        <v>1005</v>
      </c>
      <c r="K102" s="128"/>
    </row>
    <row r="103" spans="1:11" hidden="1" x14ac:dyDescent="0.2">
      <c r="A103" t="s">
        <v>496</v>
      </c>
      <c r="B103">
        <v>469044</v>
      </c>
      <c r="C103" s="80">
        <v>43122.63386574074</v>
      </c>
      <c r="D103" t="s">
        <v>899</v>
      </c>
      <c r="E103" s="128" t="s">
        <v>625</v>
      </c>
      <c r="F103">
        <v>145470</v>
      </c>
      <c r="G103">
        <v>24.86</v>
      </c>
      <c r="H103">
        <v>0</v>
      </c>
      <c r="I103" s="128"/>
      <c r="J103" t="s">
        <v>1006</v>
      </c>
      <c r="K103" s="128"/>
    </row>
    <row r="104" spans="1:11" hidden="1" x14ac:dyDescent="0.2">
      <c r="A104" t="s">
        <v>496</v>
      </c>
      <c r="B104">
        <v>469054</v>
      </c>
      <c r="C104" s="80">
        <v>43122.635127314818</v>
      </c>
      <c r="D104" t="s">
        <v>900</v>
      </c>
      <c r="E104" s="128" t="s">
        <v>625</v>
      </c>
      <c r="F104">
        <v>125469</v>
      </c>
      <c r="G104">
        <v>320.49</v>
      </c>
      <c r="H104">
        <v>0</v>
      </c>
      <c r="I104" s="128"/>
      <c r="J104" t="s">
        <v>1007</v>
      </c>
      <c r="K104" s="128"/>
    </row>
    <row r="105" spans="1:11" hidden="1" x14ac:dyDescent="0.2">
      <c r="A105" t="s">
        <v>498</v>
      </c>
      <c r="B105">
        <v>464682</v>
      </c>
      <c r="C105" s="80">
        <v>43108.635497685187</v>
      </c>
      <c r="D105" t="s">
        <v>902</v>
      </c>
      <c r="E105" s="128" t="s">
        <v>625</v>
      </c>
      <c r="F105">
        <v>0</v>
      </c>
      <c r="G105">
        <v>0</v>
      </c>
      <c r="H105">
        <v>500</v>
      </c>
      <c r="I105" s="128"/>
      <c r="J105" t="s">
        <v>1005</v>
      </c>
      <c r="K105" s="128"/>
    </row>
    <row r="106" spans="1:11" hidden="1" x14ac:dyDescent="0.2">
      <c r="A106" t="s">
        <v>498</v>
      </c>
      <c r="B106">
        <v>464682</v>
      </c>
      <c r="C106" s="80">
        <v>43108.635497685187</v>
      </c>
      <c r="D106" t="s">
        <v>903</v>
      </c>
      <c r="E106" s="128" t="s">
        <v>625</v>
      </c>
      <c r="F106">
        <v>144227</v>
      </c>
      <c r="G106">
        <v>36</v>
      </c>
      <c r="H106">
        <v>0</v>
      </c>
      <c r="I106" s="128"/>
      <c r="J106" t="s">
        <v>1006</v>
      </c>
      <c r="K106" s="128"/>
    </row>
    <row r="107" spans="1:11" hidden="1" x14ac:dyDescent="0.2">
      <c r="A107" t="s">
        <v>498</v>
      </c>
      <c r="B107">
        <v>464693</v>
      </c>
      <c r="C107" s="80">
        <v>43108.63894675926</v>
      </c>
      <c r="D107" t="s">
        <v>904</v>
      </c>
      <c r="E107" s="128" t="s">
        <v>625</v>
      </c>
      <c r="F107">
        <v>124112</v>
      </c>
      <c r="G107">
        <v>464</v>
      </c>
      <c r="H107">
        <v>0</v>
      </c>
      <c r="I107" s="128"/>
      <c r="J107" t="s">
        <v>1007</v>
      </c>
      <c r="K107" s="128"/>
    </row>
    <row r="108" spans="1:11" hidden="1" x14ac:dyDescent="0.2">
      <c r="A108" t="s">
        <v>498</v>
      </c>
      <c r="B108">
        <v>465351</v>
      </c>
      <c r="C108" s="80">
        <v>43110.5075462963</v>
      </c>
      <c r="D108" t="s">
        <v>905</v>
      </c>
      <c r="E108" s="136" t="s">
        <v>995</v>
      </c>
      <c r="F108" t="s">
        <v>994</v>
      </c>
      <c r="G108">
        <v>72</v>
      </c>
      <c r="H108">
        <v>0</v>
      </c>
      <c r="I108" s="128"/>
      <c r="J108" t="s">
        <v>1008</v>
      </c>
      <c r="K108" s="128"/>
    </row>
    <row r="109" spans="1:11" hidden="1" x14ac:dyDescent="0.2">
      <c r="A109" t="s">
        <v>498</v>
      </c>
      <c r="B109">
        <v>465564</v>
      </c>
      <c r="C109" s="80">
        <v>43111.393703703703</v>
      </c>
      <c r="D109" t="s">
        <v>906</v>
      </c>
      <c r="E109" s="136" t="s">
        <v>995</v>
      </c>
      <c r="F109">
        <v>140</v>
      </c>
      <c r="G109">
        <v>364.66</v>
      </c>
      <c r="H109">
        <v>0</v>
      </c>
      <c r="I109" s="128"/>
      <c r="J109" t="s">
        <v>1008</v>
      </c>
      <c r="K109" s="128"/>
    </row>
    <row r="110" spans="1:11" hidden="1" x14ac:dyDescent="0.2">
      <c r="A110" t="s">
        <v>498</v>
      </c>
      <c r="B110">
        <v>468968</v>
      </c>
      <c r="C110" s="80">
        <v>43122.620659722219</v>
      </c>
      <c r="D110" t="s">
        <v>907</v>
      </c>
      <c r="E110" s="136" t="s">
        <v>995</v>
      </c>
      <c r="F110">
        <v>1010</v>
      </c>
      <c r="G110">
        <v>85</v>
      </c>
      <c r="H110">
        <v>0</v>
      </c>
      <c r="I110" s="128"/>
      <c r="J110" t="s">
        <v>1008</v>
      </c>
      <c r="K110" s="128"/>
    </row>
    <row r="111" spans="1:11" hidden="1" x14ac:dyDescent="0.2">
      <c r="A111" t="s">
        <v>511</v>
      </c>
      <c r="B111">
        <v>464686</v>
      </c>
      <c r="C111" s="80">
        <v>43108.635497685187</v>
      </c>
      <c r="D111" t="s">
        <v>908</v>
      </c>
      <c r="E111" s="136" t="s">
        <v>625</v>
      </c>
      <c r="F111">
        <v>0</v>
      </c>
      <c r="G111">
        <v>0</v>
      </c>
      <c r="H111">
        <v>142.79</v>
      </c>
      <c r="I111" s="128"/>
      <c r="J111" t="s">
        <v>1005</v>
      </c>
      <c r="K111" s="128"/>
    </row>
    <row r="112" spans="1:11" hidden="1" x14ac:dyDescent="0.2">
      <c r="A112" t="s">
        <v>511</v>
      </c>
      <c r="B112">
        <v>464686</v>
      </c>
      <c r="C112" s="80">
        <v>43108.635497685187</v>
      </c>
      <c r="D112" t="s">
        <v>909</v>
      </c>
      <c r="E112" s="128" t="s">
        <v>625</v>
      </c>
      <c r="F112">
        <v>144231</v>
      </c>
      <c r="G112">
        <v>10.28</v>
      </c>
      <c r="H112">
        <v>0</v>
      </c>
      <c r="I112" s="128"/>
      <c r="J112" t="s">
        <v>1006</v>
      </c>
      <c r="K112" s="128"/>
    </row>
    <row r="113" spans="1:11" hidden="1" x14ac:dyDescent="0.2">
      <c r="A113" t="s">
        <v>511</v>
      </c>
      <c r="B113">
        <v>464693</v>
      </c>
      <c r="C113" s="80">
        <v>43108.63894675926</v>
      </c>
      <c r="D113" t="s">
        <v>910</v>
      </c>
      <c r="E113" s="128" t="s">
        <v>625</v>
      </c>
      <c r="F113">
        <v>124116</v>
      </c>
      <c r="G113">
        <v>132.51</v>
      </c>
      <c r="H113">
        <v>0</v>
      </c>
      <c r="I113" s="128"/>
      <c r="J113" t="s">
        <v>1007</v>
      </c>
      <c r="K113" s="128"/>
    </row>
    <row r="114" spans="1:11" hidden="1" x14ac:dyDescent="0.2">
      <c r="A114" t="s">
        <v>511</v>
      </c>
      <c r="B114">
        <v>467578</v>
      </c>
      <c r="C114" s="80">
        <v>43116.6871875</v>
      </c>
      <c r="D114" t="s">
        <v>908</v>
      </c>
      <c r="E114" s="128" t="s">
        <v>625</v>
      </c>
      <c r="F114">
        <v>0</v>
      </c>
      <c r="G114">
        <v>0</v>
      </c>
      <c r="H114">
        <v>382.21</v>
      </c>
      <c r="I114" s="128"/>
      <c r="J114" t="s">
        <v>1005</v>
      </c>
      <c r="K114" s="128"/>
    </row>
    <row r="115" spans="1:11" hidden="1" x14ac:dyDescent="0.2">
      <c r="A115" t="s">
        <v>511</v>
      </c>
      <c r="B115">
        <v>467578</v>
      </c>
      <c r="C115" s="80">
        <v>43116.6871875</v>
      </c>
      <c r="D115" t="s">
        <v>909</v>
      </c>
      <c r="E115" s="128" t="s">
        <v>625</v>
      </c>
      <c r="F115">
        <v>145036</v>
      </c>
      <c r="G115">
        <v>27.52</v>
      </c>
      <c r="H115">
        <v>0</v>
      </c>
      <c r="I115" s="128"/>
      <c r="J115" t="s">
        <v>1006</v>
      </c>
      <c r="K115" s="128"/>
    </row>
    <row r="116" spans="1:11" hidden="1" x14ac:dyDescent="0.2">
      <c r="A116" t="s">
        <v>511</v>
      </c>
      <c r="B116">
        <v>467612</v>
      </c>
      <c r="C116" s="80">
        <v>43116.691284722219</v>
      </c>
      <c r="D116" t="s">
        <v>910</v>
      </c>
      <c r="E116" s="128" t="s">
        <v>625</v>
      </c>
      <c r="F116">
        <v>125087</v>
      </c>
      <c r="G116">
        <v>354.69</v>
      </c>
      <c r="H116">
        <v>0</v>
      </c>
      <c r="I116" s="128"/>
      <c r="J116" t="s">
        <v>1007</v>
      </c>
      <c r="K116" s="128"/>
    </row>
    <row r="117" spans="1:11" hidden="1" x14ac:dyDescent="0.2">
      <c r="A117" t="s">
        <v>511</v>
      </c>
      <c r="B117">
        <v>468400</v>
      </c>
      <c r="C117" s="80">
        <v>43119.497245370374</v>
      </c>
      <c r="D117" t="s">
        <v>911</v>
      </c>
      <c r="E117" s="136" t="s">
        <v>995</v>
      </c>
      <c r="F117">
        <v>144</v>
      </c>
      <c r="G117">
        <v>57.17</v>
      </c>
      <c r="H117">
        <v>0</v>
      </c>
      <c r="I117" s="128"/>
      <c r="J117" t="s">
        <v>1008</v>
      </c>
      <c r="K117" s="128"/>
    </row>
    <row r="118" spans="1:11" hidden="1" x14ac:dyDescent="0.2">
      <c r="A118" t="s">
        <v>511</v>
      </c>
      <c r="B118">
        <v>468402</v>
      </c>
      <c r="C118" s="80">
        <v>43119.498043981483</v>
      </c>
      <c r="D118" t="s">
        <v>912</v>
      </c>
      <c r="E118" s="136" t="s">
        <v>995</v>
      </c>
      <c r="F118">
        <v>1477</v>
      </c>
      <c r="G118">
        <v>73.5</v>
      </c>
      <c r="H118">
        <v>0</v>
      </c>
      <c r="I118" s="128"/>
      <c r="J118" t="s">
        <v>1008</v>
      </c>
      <c r="K118" s="128"/>
    </row>
    <row r="119" spans="1:11" hidden="1" x14ac:dyDescent="0.2">
      <c r="A119" t="s">
        <v>502</v>
      </c>
      <c r="B119">
        <v>465940</v>
      </c>
      <c r="C119" s="80">
        <v>43112.542939814812</v>
      </c>
      <c r="D119" t="s">
        <v>913</v>
      </c>
      <c r="E119" s="128" t="s">
        <v>625</v>
      </c>
      <c r="F119">
        <v>0</v>
      </c>
      <c r="G119">
        <v>0</v>
      </c>
      <c r="H119">
        <v>74.84</v>
      </c>
      <c r="I119" s="128"/>
      <c r="J119" t="s">
        <v>1005</v>
      </c>
      <c r="K119" s="128"/>
    </row>
    <row r="120" spans="1:11" hidden="1" x14ac:dyDescent="0.2">
      <c r="A120" t="s">
        <v>502</v>
      </c>
      <c r="B120">
        <v>465940</v>
      </c>
      <c r="C120" s="80">
        <v>43112.542939814812</v>
      </c>
      <c r="D120" t="s">
        <v>914</v>
      </c>
      <c r="E120" s="128" t="s">
        <v>625</v>
      </c>
      <c r="F120">
        <v>144639</v>
      </c>
      <c r="G120">
        <v>5.39</v>
      </c>
      <c r="H120">
        <v>0</v>
      </c>
      <c r="I120" s="128"/>
      <c r="J120" t="s">
        <v>1006</v>
      </c>
      <c r="K120" s="128"/>
    </row>
    <row r="121" spans="1:11" hidden="1" x14ac:dyDescent="0.2">
      <c r="A121" t="s">
        <v>502</v>
      </c>
      <c r="B121">
        <v>465945</v>
      </c>
      <c r="C121" s="80">
        <v>43112.545347222222</v>
      </c>
      <c r="D121" t="s">
        <v>915</v>
      </c>
      <c r="E121" s="128" t="s">
        <v>625</v>
      </c>
      <c r="F121">
        <v>124469</v>
      </c>
      <c r="G121">
        <v>69.45</v>
      </c>
      <c r="H121">
        <v>0</v>
      </c>
      <c r="I121" s="128"/>
      <c r="J121" t="s">
        <v>1007</v>
      </c>
      <c r="K121" s="128"/>
    </row>
    <row r="122" spans="1:11" hidden="1" x14ac:dyDescent="0.2">
      <c r="A122" t="s">
        <v>502</v>
      </c>
      <c r="B122">
        <v>467583</v>
      </c>
      <c r="C122" s="80">
        <v>43116.6871875</v>
      </c>
      <c r="D122" t="s">
        <v>913</v>
      </c>
      <c r="E122" s="128" t="s">
        <v>625</v>
      </c>
      <c r="F122">
        <v>0</v>
      </c>
      <c r="G122">
        <v>0</v>
      </c>
      <c r="H122">
        <v>425.16</v>
      </c>
      <c r="I122" s="128"/>
      <c r="J122" t="s">
        <v>1005</v>
      </c>
      <c r="K122" s="128"/>
    </row>
    <row r="123" spans="1:11" hidden="1" x14ac:dyDescent="0.2">
      <c r="A123" t="s">
        <v>502</v>
      </c>
      <c r="B123">
        <v>467583</v>
      </c>
      <c r="C123" s="80">
        <v>43116.6871875</v>
      </c>
      <c r="D123" t="s">
        <v>914</v>
      </c>
      <c r="E123" s="128" t="s">
        <v>625</v>
      </c>
      <c r="F123">
        <v>145041</v>
      </c>
      <c r="G123">
        <v>30.61</v>
      </c>
      <c r="H123">
        <v>0</v>
      </c>
      <c r="I123" s="128"/>
      <c r="J123" t="s">
        <v>1006</v>
      </c>
      <c r="K123" s="128"/>
    </row>
    <row r="124" spans="1:11" hidden="1" x14ac:dyDescent="0.2">
      <c r="A124" t="s">
        <v>502</v>
      </c>
      <c r="B124">
        <v>467612</v>
      </c>
      <c r="C124" s="80">
        <v>43116.691284722219</v>
      </c>
      <c r="D124" t="s">
        <v>915</v>
      </c>
      <c r="E124" s="128" t="s">
        <v>625</v>
      </c>
      <c r="F124">
        <v>125092</v>
      </c>
      <c r="G124">
        <v>394.55</v>
      </c>
      <c r="H124">
        <v>0</v>
      </c>
      <c r="I124" s="128"/>
      <c r="J124" t="s">
        <v>1007</v>
      </c>
      <c r="K124" s="128"/>
    </row>
    <row r="125" spans="1:11" hidden="1" x14ac:dyDescent="0.2">
      <c r="A125" t="s">
        <v>502</v>
      </c>
      <c r="B125">
        <v>470367</v>
      </c>
      <c r="C125" s="80">
        <v>43127.472754629627</v>
      </c>
      <c r="D125" t="s">
        <v>916</v>
      </c>
      <c r="E125" s="136" t="s">
        <v>995</v>
      </c>
      <c r="F125">
        <v>1485</v>
      </c>
      <c r="G125">
        <v>135</v>
      </c>
      <c r="H125">
        <v>0</v>
      </c>
      <c r="I125" s="128"/>
      <c r="J125" t="s">
        <v>1008</v>
      </c>
      <c r="K125" s="128"/>
    </row>
    <row r="126" spans="1:11" hidden="1" x14ac:dyDescent="0.2">
      <c r="A126" t="s">
        <v>500</v>
      </c>
      <c r="B126">
        <v>465141</v>
      </c>
      <c r="C126" s="80">
        <v>43109.618217592593</v>
      </c>
      <c r="D126" t="s">
        <v>917</v>
      </c>
      <c r="E126" s="128" t="s">
        <v>625</v>
      </c>
      <c r="F126">
        <v>0</v>
      </c>
      <c r="G126">
        <v>0</v>
      </c>
      <c r="H126">
        <v>650</v>
      </c>
      <c r="I126" s="128"/>
      <c r="J126" t="s">
        <v>1005</v>
      </c>
      <c r="K126" s="128"/>
    </row>
    <row r="127" spans="1:11" hidden="1" x14ac:dyDescent="0.2">
      <c r="A127" t="s">
        <v>500</v>
      </c>
      <c r="B127">
        <v>465141</v>
      </c>
      <c r="C127" s="80">
        <v>43109.618217592593</v>
      </c>
      <c r="D127" t="s">
        <v>918</v>
      </c>
      <c r="E127" s="128" t="s">
        <v>625</v>
      </c>
      <c r="F127">
        <v>144382</v>
      </c>
      <c r="G127">
        <v>46.8</v>
      </c>
      <c r="H127">
        <v>0</v>
      </c>
      <c r="I127" s="128"/>
      <c r="J127" t="s">
        <v>1006</v>
      </c>
      <c r="K127" s="128"/>
    </row>
    <row r="128" spans="1:11" hidden="1" x14ac:dyDescent="0.2">
      <c r="A128" t="s">
        <v>500</v>
      </c>
      <c r="B128">
        <v>465160</v>
      </c>
      <c r="C128" s="80">
        <v>43109.621388888889</v>
      </c>
      <c r="D128" t="s">
        <v>919</v>
      </c>
      <c r="E128" s="128" t="s">
        <v>625</v>
      </c>
      <c r="F128">
        <v>124246</v>
      </c>
      <c r="G128">
        <v>603.20000000000005</v>
      </c>
      <c r="H128">
        <v>0</v>
      </c>
      <c r="I128" s="128"/>
      <c r="J128" t="s">
        <v>1007</v>
      </c>
      <c r="K128" s="128"/>
    </row>
    <row r="129" spans="1:11" hidden="1" x14ac:dyDescent="0.2">
      <c r="A129" t="s">
        <v>504</v>
      </c>
      <c r="B129">
        <v>466725</v>
      </c>
      <c r="C129" s="80">
        <v>43115.634988425925</v>
      </c>
      <c r="D129" t="s">
        <v>920</v>
      </c>
      <c r="E129" s="128" t="s">
        <v>625</v>
      </c>
      <c r="F129">
        <v>0</v>
      </c>
      <c r="G129">
        <v>0</v>
      </c>
      <c r="H129">
        <v>550</v>
      </c>
      <c r="I129" s="128"/>
      <c r="J129" t="s">
        <v>1005</v>
      </c>
      <c r="K129" s="128"/>
    </row>
    <row r="130" spans="1:11" hidden="1" x14ac:dyDescent="0.2">
      <c r="A130" t="s">
        <v>504</v>
      </c>
      <c r="B130">
        <v>466725</v>
      </c>
      <c r="C130" s="80">
        <v>43115.634988425925</v>
      </c>
      <c r="D130" t="s">
        <v>921</v>
      </c>
      <c r="E130" s="128" t="s">
        <v>625</v>
      </c>
      <c r="F130">
        <v>144807</v>
      </c>
      <c r="G130">
        <v>39.6</v>
      </c>
      <c r="H130">
        <v>0</v>
      </c>
      <c r="I130" s="128"/>
      <c r="J130" t="s">
        <v>1006</v>
      </c>
      <c r="K130" s="128"/>
    </row>
    <row r="131" spans="1:11" hidden="1" x14ac:dyDescent="0.2">
      <c r="A131" t="s">
        <v>504</v>
      </c>
      <c r="B131">
        <v>466741</v>
      </c>
      <c r="C131" s="80">
        <v>43115.637615740743</v>
      </c>
      <c r="D131" t="s">
        <v>922</v>
      </c>
      <c r="E131" s="128" t="s">
        <v>625</v>
      </c>
      <c r="F131">
        <v>124713</v>
      </c>
      <c r="G131">
        <v>510.4</v>
      </c>
      <c r="H131">
        <v>0</v>
      </c>
      <c r="I131" s="128"/>
      <c r="J131" t="s">
        <v>1007</v>
      </c>
      <c r="K131" s="128"/>
    </row>
    <row r="132" spans="1:11" hidden="1" x14ac:dyDescent="0.2">
      <c r="A132" t="s">
        <v>469</v>
      </c>
      <c r="B132">
        <v>465197</v>
      </c>
      <c r="C132" s="80">
        <v>43109.719976851855</v>
      </c>
      <c r="D132" t="s">
        <v>923</v>
      </c>
      <c r="E132" s="136" t="s">
        <v>995</v>
      </c>
      <c r="F132">
        <v>7100</v>
      </c>
      <c r="G132">
        <v>25</v>
      </c>
      <c r="H132">
        <v>0</v>
      </c>
      <c r="I132" s="128"/>
      <c r="J132" t="s">
        <v>1008</v>
      </c>
      <c r="K132" s="128"/>
    </row>
    <row r="133" spans="1:11" hidden="1" x14ac:dyDescent="0.2">
      <c r="A133" t="s">
        <v>469</v>
      </c>
      <c r="B133">
        <v>465548</v>
      </c>
      <c r="C133" s="80">
        <v>43111.37195601852</v>
      </c>
      <c r="D133" t="s">
        <v>924</v>
      </c>
      <c r="E133" s="128" t="s">
        <v>625</v>
      </c>
      <c r="F133">
        <v>150097</v>
      </c>
      <c r="G133">
        <v>0</v>
      </c>
      <c r="H133">
        <v>925</v>
      </c>
      <c r="I133" s="128"/>
      <c r="J133" t="s">
        <v>1008</v>
      </c>
      <c r="K133" s="128"/>
    </row>
    <row r="134" spans="1:11" hidden="1" x14ac:dyDescent="0.2">
      <c r="A134" t="s">
        <v>469</v>
      </c>
      <c r="B134">
        <v>465565</v>
      </c>
      <c r="C134" s="80">
        <v>43111.394189814811</v>
      </c>
      <c r="D134" t="s">
        <v>925</v>
      </c>
      <c r="E134" s="136" t="s">
        <v>995</v>
      </c>
      <c r="F134">
        <v>990</v>
      </c>
      <c r="G134">
        <v>925</v>
      </c>
      <c r="H134">
        <v>0</v>
      </c>
      <c r="I134" s="128"/>
      <c r="J134" t="s">
        <v>1008</v>
      </c>
      <c r="K134" s="128"/>
    </row>
    <row r="135" spans="1:11" hidden="1" x14ac:dyDescent="0.2">
      <c r="A135" t="s">
        <v>469</v>
      </c>
      <c r="B135">
        <v>466350</v>
      </c>
      <c r="C135" s="80">
        <v>43115.397777777776</v>
      </c>
      <c r="D135" t="s">
        <v>926</v>
      </c>
      <c r="E135" s="128" t="s">
        <v>625</v>
      </c>
      <c r="F135">
        <v>150329</v>
      </c>
      <c r="G135">
        <v>0</v>
      </c>
      <c r="H135">
        <v>25</v>
      </c>
      <c r="I135" s="128"/>
      <c r="J135" t="s">
        <v>1008</v>
      </c>
      <c r="K135" s="128"/>
    </row>
    <row r="136" spans="1:11" hidden="1" x14ac:dyDescent="0.2">
      <c r="A136" t="s">
        <v>469</v>
      </c>
      <c r="B136">
        <v>467549</v>
      </c>
      <c r="C136" s="80">
        <v>43116.6871875</v>
      </c>
      <c r="D136" t="s">
        <v>927</v>
      </c>
      <c r="E136" s="128" t="s">
        <v>625</v>
      </c>
      <c r="F136">
        <v>0</v>
      </c>
      <c r="G136">
        <v>0</v>
      </c>
      <c r="H136">
        <v>116.16</v>
      </c>
      <c r="I136" s="128"/>
      <c r="J136" t="s">
        <v>1005</v>
      </c>
      <c r="K136" s="128"/>
    </row>
    <row r="137" spans="1:11" hidden="1" x14ac:dyDescent="0.2">
      <c r="A137" t="s">
        <v>469</v>
      </c>
      <c r="B137">
        <v>467549</v>
      </c>
      <c r="C137" s="80">
        <v>43116.6871875</v>
      </c>
      <c r="D137" t="s">
        <v>928</v>
      </c>
      <c r="E137" s="128" t="s">
        <v>625</v>
      </c>
      <c r="F137">
        <v>145007</v>
      </c>
      <c r="G137">
        <v>8.36</v>
      </c>
      <c r="H137">
        <v>0</v>
      </c>
      <c r="I137" s="128"/>
      <c r="J137" t="s">
        <v>1006</v>
      </c>
      <c r="K137" s="128"/>
    </row>
    <row r="138" spans="1:11" hidden="1" x14ac:dyDescent="0.2">
      <c r="A138" t="s">
        <v>469</v>
      </c>
      <c r="B138">
        <v>467612</v>
      </c>
      <c r="C138" s="80">
        <v>43116.691284722219</v>
      </c>
      <c r="D138" t="s">
        <v>929</v>
      </c>
      <c r="E138" s="128" t="s">
        <v>625</v>
      </c>
      <c r="F138">
        <v>125058</v>
      </c>
      <c r="G138">
        <v>107.8</v>
      </c>
      <c r="H138">
        <v>0</v>
      </c>
      <c r="I138" s="128"/>
      <c r="J138" t="s">
        <v>1007</v>
      </c>
      <c r="K138" s="128"/>
    </row>
    <row r="139" spans="1:11" hidden="1" x14ac:dyDescent="0.2">
      <c r="A139" t="s">
        <v>469</v>
      </c>
      <c r="B139">
        <v>469359</v>
      </c>
      <c r="C139" s="80">
        <v>43123.599664351852</v>
      </c>
      <c r="D139" t="s">
        <v>930</v>
      </c>
      <c r="E139" s="128" t="s">
        <v>625</v>
      </c>
      <c r="F139">
        <v>0</v>
      </c>
      <c r="G139">
        <v>0</v>
      </c>
      <c r="H139">
        <v>345.36</v>
      </c>
      <c r="I139" s="128"/>
      <c r="J139" t="s">
        <v>1005</v>
      </c>
      <c r="K139" s="128"/>
    </row>
    <row r="140" spans="1:11" hidden="1" x14ac:dyDescent="0.2">
      <c r="A140" t="s">
        <v>469</v>
      </c>
      <c r="B140">
        <v>469359</v>
      </c>
      <c r="C140" s="80">
        <v>43123.599664351852</v>
      </c>
      <c r="D140" t="s">
        <v>928</v>
      </c>
      <c r="E140" s="128" t="s">
        <v>625</v>
      </c>
      <c r="F140">
        <v>145578</v>
      </c>
      <c r="G140">
        <v>24.86</v>
      </c>
      <c r="H140">
        <v>0</v>
      </c>
      <c r="I140" s="128"/>
      <c r="J140" t="s">
        <v>1006</v>
      </c>
      <c r="K140" s="128"/>
    </row>
    <row r="141" spans="1:11" hidden="1" x14ac:dyDescent="0.2">
      <c r="A141" t="s">
        <v>469</v>
      </c>
      <c r="B141">
        <v>469368</v>
      </c>
      <c r="C141" s="80">
        <v>43123.60260416667</v>
      </c>
      <c r="D141" t="s">
        <v>929</v>
      </c>
      <c r="E141" s="128" t="s">
        <v>625</v>
      </c>
      <c r="F141">
        <v>125547</v>
      </c>
      <c r="G141">
        <v>320.5</v>
      </c>
      <c r="H141">
        <v>0</v>
      </c>
      <c r="I141" s="128"/>
      <c r="J141" t="s">
        <v>1007</v>
      </c>
      <c r="K141" s="128"/>
    </row>
    <row r="142" spans="1:11" hidden="1" x14ac:dyDescent="0.2">
      <c r="A142" t="s">
        <v>469</v>
      </c>
      <c r="B142">
        <v>471789</v>
      </c>
      <c r="C142" s="80">
        <v>43131.725486111114</v>
      </c>
      <c r="D142" t="s">
        <v>931</v>
      </c>
      <c r="E142" s="136" t="s">
        <v>995</v>
      </c>
      <c r="F142">
        <v>13058</v>
      </c>
      <c r="G142">
        <v>432</v>
      </c>
      <c r="H142">
        <v>0</v>
      </c>
      <c r="I142" s="128"/>
      <c r="J142" t="s">
        <v>1008</v>
      </c>
      <c r="K142" s="128"/>
    </row>
    <row r="143" spans="1:11" hidden="1" x14ac:dyDescent="0.2">
      <c r="A143" t="s">
        <v>469</v>
      </c>
      <c r="B143">
        <v>471790</v>
      </c>
      <c r="C143" s="80">
        <v>43131.725891203707</v>
      </c>
      <c r="D143" t="s">
        <v>932</v>
      </c>
      <c r="E143" s="136" t="s">
        <v>995</v>
      </c>
      <c r="F143">
        <v>1032</v>
      </c>
      <c r="G143">
        <v>925</v>
      </c>
      <c r="H143">
        <v>0</v>
      </c>
      <c r="I143" s="128"/>
      <c r="J143" t="s">
        <v>1008</v>
      </c>
      <c r="K143" s="128"/>
    </row>
    <row r="144" spans="1:11" hidden="1" x14ac:dyDescent="0.2">
      <c r="A144" t="s">
        <v>561</v>
      </c>
      <c r="B144">
        <v>465444</v>
      </c>
      <c r="C144" s="80">
        <v>43110.621944444443</v>
      </c>
      <c r="D144" t="s">
        <v>933</v>
      </c>
      <c r="E144" s="128" t="s">
        <v>625</v>
      </c>
      <c r="F144">
        <v>0</v>
      </c>
      <c r="G144">
        <v>0</v>
      </c>
      <c r="H144">
        <v>386.83</v>
      </c>
      <c r="I144" s="128"/>
      <c r="J144" t="s">
        <v>1005</v>
      </c>
      <c r="K144" s="128"/>
    </row>
    <row r="145" spans="1:11" hidden="1" x14ac:dyDescent="0.2">
      <c r="A145" t="s">
        <v>561</v>
      </c>
      <c r="B145">
        <v>465444</v>
      </c>
      <c r="C145" s="80">
        <v>43110.621944444443</v>
      </c>
      <c r="D145" t="s">
        <v>934</v>
      </c>
      <c r="E145" s="128" t="s">
        <v>625</v>
      </c>
      <c r="F145">
        <v>144471</v>
      </c>
      <c r="G145">
        <v>27.85</v>
      </c>
      <c r="H145">
        <v>0</v>
      </c>
      <c r="I145" s="128"/>
      <c r="J145" t="s">
        <v>1006</v>
      </c>
      <c r="K145" s="128"/>
    </row>
    <row r="146" spans="1:11" hidden="1" x14ac:dyDescent="0.2">
      <c r="A146" t="s">
        <v>561</v>
      </c>
      <c r="B146">
        <v>465450</v>
      </c>
      <c r="C146" s="80">
        <v>43110.625532407408</v>
      </c>
      <c r="D146" t="s">
        <v>935</v>
      </c>
      <c r="E146" s="128" t="s">
        <v>625</v>
      </c>
      <c r="F146">
        <v>124332</v>
      </c>
      <c r="G146">
        <v>358.98</v>
      </c>
      <c r="H146">
        <v>0</v>
      </c>
      <c r="I146" s="128"/>
      <c r="J146" t="s">
        <v>1007</v>
      </c>
      <c r="K146" s="128"/>
    </row>
    <row r="147" spans="1:11" hidden="1" x14ac:dyDescent="0.2">
      <c r="A147" t="s">
        <v>561</v>
      </c>
      <c r="B147">
        <v>469661</v>
      </c>
      <c r="C147" s="80">
        <v>43124.651354166665</v>
      </c>
      <c r="D147" t="s">
        <v>936</v>
      </c>
      <c r="E147" s="128" t="s">
        <v>625</v>
      </c>
      <c r="F147">
        <v>0</v>
      </c>
      <c r="G147">
        <v>0</v>
      </c>
      <c r="H147">
        <v>117.45</v>
      </c>
      <c r="I147" s="128"/>
      <c r="J147" t="s">
        <v>1005</v>
      </c>
      <c r="K147" s="128"/>
    </row>
    <row r="148" spans="1:11" hidden="1" x14ac:dyDescent="0.2">
      <c r="A148" t="s">
        <v>561</v>
      </c>
      <c r="B148">
        <v>469661</v>
      </c>
      <c r="C148" s="80">
        <v>43124.651354166665</v>
      </c>
      <c r="D148" t="s">
        <v>934</v>
      </c>
      <c r="E148" s="128" t="s">
        <v>625</v>
      </c>
      <c r="F148">
        <v>145676</v>
      </c>
      <c r="G148">
        <v>8.4600000000000009</v>
      </c>
      <c r="H148">
        <v>0</v>
      </c>
      <c r="I148" s="128"/>
      <c r="J148" t="s">
        <v>1006</v>
      </c>
      <c r="K148" s="128"/>
    </row>
    <row r="149" spans="1:11" hidden="1" x14ac:dyDescent="0.2">
      <c r="A149" t="s">
        <v>561</v>
      </c>
      <c r="B149">
        <v>469686</v>
      </c>
      <c r="C149" s="80">
        <v>43124.659953703704</v>
      </c>
      <c r="D149" t="s">
        <v>935</v>
      </c>
      <c r="E149" s="128" t="s">
        <v>625</v>
      </c>
      <c r="F149">
        <v>125632</v>
      </c>
      <c r="G149">
        <v>108.99</v>
      </c>
      <c r="H149">
        <v>0</v>
      </c>
      <c r="I149" s="128"/>
      <c r="J149" t="s">
        <v>1007</v>
      </c>
      <c r="K149" s="128"/>
    </row>
    <row r="150" spans="1:11" hidden="1" x14ac:dyDescent="0.2">
      <c r="A150" t="s">
        <v>470</v>
      </c>
      <c r="B150">
        <v>467572</v>
      </c>
      <c r="C150" s="80">
        <v>43116.6871875</v>
      </c>
      <c r="D150" t="s">
        <v>937</v>
      </c>
      <c r="E150" s="128" t="s">
        <v>625</v>
      </c>
      <c r="F150">
        <v>0</v>
      </c>
      <c r="G150">
        <v>0</v>
      </c>
      <c r="H150">
        <v>271.16000000000003</v>
      </c>
      <c r="I150" s="128"/>
      <c r="J150" t="s">
        <v>1005</v>
      </c>
      <c r="K150" s="128"/>
    </row>
    <row r="151" spans="1:11" hidden="1" x14ac:dyDescent="0.2">
      <c r="A151" t="s">
        <v>470</v>
      </c>
      <c r="B151">
        <v>467572</v>
      </c>
      <c r="C151" s="80">
        <v>43116.6871875</v>
      </c>
      <c r="D151" t="s">
        <v>938</v>
      </c>
      <c r="E151" s="128" t="s">
        <v>625</v>
      </c>
      <c r="F151">
        <v>145030</v>
      </c>
      <c r="G151">
        <v>19.52</v>
      </c>
      <c r="H151">
        <v>0</v>
      </c>
      <c r="I151" s="128"/>
      <c r="J151" t="s">
        <v>1006</v>
      </c>
      <c r="K151" s="128"/>
    </row>
    <row r="152" spans="1:11" hidden="1" x14ac:dyDescent="0.2">
      <c r="A152" t="s">
        <v>470</v>
      </c>
      <c r="B152">
        <v>467572</v>
      </c>
      <c r="C152" s="80">
        <v>43116.6871875</v>
      </c>
      <c r="D152" t="s">
        <v>939</v>
      </c>
      <c r="E152" s="128" t="s">
        <v>625</v>
      </c>
      <c r="F152">
        <v>0</v>
      </c>
      <c r="G152">
        <v>0</v>
      </c>
      <c r="H152">
        <v>194.96</v>
      </c>
      <c r="I152" s="128"/>
      <c r="J152" t="s">
        <v>1005</v>
      </c>
      <c r="K152" s="128"/>
    </row>
    <row r="153" spans="1:11" hidden="1" x14ac:dyDescent="0.2">
      <c r="A153" t="s">
        <v>470</v>
      </c>
      <c r="B153">
        <v>467572</v>
      </c>
      <c r="C153" s="80">
        <v>43116.6871875</v>
      </c>
      <c r="D153" t="s">
        <v>938</v>
      </c>
      <c r="E153" s="136" t="s">
        <v>625</v>
      </c>
      <c r="F153">
        <v>145030</v>
      </c>
      <c r="G153">
        <v>14.04</v>
      </c>
      <c r="H153">
        <v>0</v>
      </c>
      <c r="I153" s="128"/>
      <c r="J153" t="s">
        <v>1006</v>
      </c>
      <c r="K153" s="128"/>
    </row>
    <row r="154" spans="1:11" hidden="1" x14ac:dyDescent="0.2">
      <c r="A154" t="s">
        <v>470</v>
      </c>
      <c r="B154">
        <v>467612</v>
      </c>
      <c r="C154" s="80">
        <v>43116.691284722219</v>
      </c>
      <c r="D154" t="s">
        <v>940</v>
      </c>
      <c r="E154" s="128" t="s">
        <v>625</v>
      </c>
      <c r="F154">
        <v>125081</v>
      </c>
      <c r="G154">
        <v>432.56</v>
      </c>
      <c r="H154">
        <v>0</v>
      </c>
      <c r="I154" s="128"/>
      <c r="J154" t="s">
        <v>1007</v>
      </c>
      <c r="K154" s="128"/>
    </row>
    <row r="155" spans="1:11" hidden="1" x14ac:dyDescent="0.2">
      <c r="A155" t="s">
        <v>470</v>
      </c>
      <c r="B155">
        <v>470175</v>
      </c>
      <c r="C155" s="80">
        <v>43126.643564814818</v>
      </c>
      <c r="D155" t="s">
        <v>941</v>
      </c>
      <c r="E155" s="136" t="s">
        <v>995</v>
      </c>
      <c r="F155">
        <v>25012018</v>
      </c>
      <c r="G155">
        <v>96</v>
      </c>
      <c r="H155">
        <v>0</v>
      </c>
      <c r="I155" s="128"/>
      <c r="J155" t="s">
        <v>1008</v>
      </c>
      <c r="K155" s="128"/>
    </row>
    <row r="156" spans="1:11" hidden="1" x14ac:dyDescent="0.2">
      <c r="A156" t="s">
        <v>471</v>
      </c>
      <c r="B156">
        <v>467579</v>
      </c>
      <c r="C156" s="80">
        <v>43116.6871875</v>
      </c>
      <c r="D156" t="s">
        <v>942</v>
      </c>
      <c r="E156" s="128" t="s">
        <v>625</v>
      </c>
      <c r="F156">
        <v>0</v>
      </c>
      <c r="G156">
        <v>0</v>
      </c>
      <c r="H156">
        <v>116.16</v>
      </c>
      <c r="I156" s="128"/>
      <c r="J156" t="s">
        <v>1005</v>
      </c>
      <c r="K156" s="128"/>
    </row>
    <row r="157" spans="1:11" hidden="1" x14ac:dyDescent="0.2">
      <c r="A157" t="s">
        <v>471</v>
      </c>
      <c r="B157">
        <v>467579</v>
      </c>
      <c r="C157" s="80">
        <v>43116.6871875</v>
      </c>
      <c r="D157" t="s">
        <v>943</v>
      </c>
      <c r="E157" s="128" t="s">
        <v>625</v>
      </c>
      <c r="F157">
        <v>145037</v>
      </c>
      <c r="G157">
        <v>8.36</v>
      </c>
      <c r="H157">
        <v>0</v>
      </c>
      <c r="I157" s="128"/>
      <c r="J157" t="s">
        <v>1006</v>
      </c>
      <c r="K157" s="128"/>
    </row>
    <row r="158" spans="1:11" hidden="1" x14ac:dyDescent="0.2">
      <c r="A158" t="s">
        <v>471</v>
      </c>
      <c r="B158">
        <v>467612</v>
      </c>
      <c r="C158" s="80">
        <v>43116.691284722219</v>
      </c>
      <c r="D158" t="s">
        <v>944</v>
      </c>
      <c r="E158" s="128" t="s">
        <v>625</v>
      </c>
      <c r="F158">
        <v>125088</v>
      </c>
      <c r="G158">
        <v>107.8</v>
      </c>
      <c r="H158">
        <v>0</v>
      </c>
      <c r="I158" s="128"/>
      <c r="J158" t="s">
        <v>1007</v>
      </c>
      <c r="K158" s="128"/>
    </row>
    <row r="159" spans="1:11" hidden="1" x14ac:dyDescent="0.2">
      <c r="A159" t="s">
        <v>471</v>
      </c>
      <c r="B159">
        <v>470131</v>
      </c>
      <c r="C159" s="80">
        <v>43126.5471875</v>
      </c>
      <c r="D159" t="s">
        <v>945</v>
      </c>
      <c r="E159" s="128" t="s">
        <v>625</v>
      </c>
      <c r="F159">
        <v>0</v>
      </c>
      <c r="G159">
        <v>0</v>
      </c>
      <c r="H159">
        <v>345.36</v>
      </c>
      <c r="I159" s="128"/>
      <c r="J159" t="s">
        <v>1005</v>
      </c>
      <c r="K159" s="128"/>
    </row>
    <row r="160" spans="1:11" hidden="1" x14ac:dyDescent="0.2">
      <c r="A160" t="s">
        <v>471</v>
      </c>
      <c r="B160">
        <v>470131</v>
      </c>
      <c r="C160" s="80">
        <v>43126.5471875</v>
      </c>
      <c r="D160" t="s">
        <v>943</v>
      </c>
      <c r="E160" s="128" t="s">
        <v>625</v>
      </c>
      <c r="F160">
        <v>145901</v>
      </c>
      <c r="G160">
        <v>24.86</v>
      </c>
      <c r="H160">
        <v>0</v>
      </c>
      <c r="I160" s="128"/>
      <c r="J160" t="s">
        <v>1006</v>
      </c>
      <c r="K160" s="128"/>
    </row>
    <row r="161" spans="1:11" hidden="1" x14ac:dyDescent="0.2">
      <c r="A161" t="s">
        <v>471</v>
      </c>
      <c r="B161">
        <v>470140</v>
      </c>
      <c r="C161" s="80">
        <v>43126.549340277779</v>
      </c>
      <c r="D161" t="s">
        <v>944</v>
      </c>
      <c r="E161" s="128" t="s">
        <v>625</v>
      </c>
      <c r="F161">
        <v>125753</v>
      </c>
      <c r="G161">
        <v>320.5</v>
      </c>
      <c r="H161">
        <v>0</v>
      </c>
      <c r="I161" s="128"/>
      <c r="J161" t="s">
        <v>1007</v>
      </c>
      <c r="K161" s="128"/>
    </row>
    <row r="162" spans="1:11" hidden="1" x14ac:dyDescent="0.2">
      <c r="A162" t="s">
        <v>478</v>
      </c>
      <c r="B162">
        <v>467839</v>
      </c>
      <c r="C162" s="80">
        <v>43117.645925925928</v>
      </c>
      <c r="D162" t="s">
        <v>946</v>
      </c>
      <c r="E162" s="136" t="s">
        <v>625</v>
      </c>
      <c r="F162">
        <v>0</v>
      </c>
      <c r="G162">
        <v>0</v>
      </c>
      <c r="H162">
        <v>362.8</v>
      </c>
      <c r="I162" s="128"/>
      <c r="J162" t="s">
        <v>1005</v>
      </c>
      <c r="K162" s="128"/>
    </row>
    <row r="163" spans="1:11" hidden="1" x14ac:dyDescent="0.2">
      <c r="A163" t="s">
        <v>478</v>
      </c>
      <c r="B163">
        <v>467839</v>
      </c>
      <c r="C163" s="80">
        <v>43117.645925925928</v>
      </c>
      <c r="D163" t="s">
        <v>947</v>
      </c>
      <c r="E163" s="136" t="s">
        <v>625</v>
      </c>
      <c r="F163">
        <v>145138</v>
      </c>
      <c r="G163">
        <v>26.12</v>
      </c>
      <c r="H163">
        <v>0</v>
      </c>
      <c r="I163" s="128"/>
      <c r="J163" t="s">
        <v>1006</v>
      </c>
      <c r="K163" s="128"/>
    </row>
    <row r="164" spans="1:11" hidden="1" x14ac:dyDescent="0.2">
      <c r="A164" t="s">
        <v>478</v>
      </c>
      <c r="B164">
        <v>467839</v>
      </c>
      <c r="C164" s="80">
        <v>43117.645925925928</v>
      </c>
      <c r="D164" t="s">
        <v>948</v>
      </c>
      <c r="E164" s="136" t="s">
        <v>625</v>
      </c>
      <c r="F164">
        <v>0</v>
      </c>
      <c r="G164">
        <v>0</v>
      </c>
      <c r="H164">
        <v>1.8</v>
      </c>
      <c r="I164" s="128"/>
      <c r="J164" t="s">
        <v>1005</v>
      </c>
      <c r="K164" s="128"/>
    </row>
    <row r="165" spans="1:11" hidden="1" x14ac:dyDescent="0.2">
      <c r="A165" t="s">
        <v>478</v>
      </c>
      <c r="B165">
        <v>467839</v>
      </c>
      <c r="C165" s="80">
        <v>43117.645925925928</v>
      </c>
      <c r="D165" t="s">
        <v>947</v>
      </c>
      <c r="E165" s="136" t="s">
        <v>625</v>
      </c>
      <c r="F165">
        <v>145138</v>
      </c>
      <c r="G165">
        <v>0.13</v>
      </c>
      <c r="H165">
        <v>0</v>
      </c>
      <c r="I165" s="128"/>
      <c r="J165" t="s">
        <v>1006</v>
      </c>
      <c r="K165" s="128"/>
    </row>
    <row r="166" spans="1:11" hidden="1" x14ac:dyDescent="0.2">
      <c r="A166" t="s">
        <v>478</v>
      </c>
      <c r="B166">
        <v>467846</v>
      </c>
      <c r="C166" s="80">
        <v>43117.648449074077</v>
      </c>
      <c r="D166" t="s">
        <v>949</v>
      </c>
      <c r="E166" s="136" t="s">
        <v>625</v>
      </c>
      <c r="F166">
        <v>125176</v>
      </c>
      <c r="G166">
        <v>338.35</v>
      </c>
      <c r="H166">
        <v>0</v>
      </c>
      <c r="I166" s="128"/>
      <c r="J166" t="s">
        <v>1007</v>
      </c>
      <c r="K166" s="128"/>
    </row>
    <row r="167" spans="1:11" hidden="1" x14ac:dyDescent="0.2">
      <c r="A167" t="s">
        <v>474</v>
      </c>
      <c r="B167">
        <v>467565</v>
      </c>
      <c r="C167" s="80">
        <v>43116.6871875</v>
      </c>
      <c r="D167" t="s">
        <v>950</v>
      </c>
      <c r="E167" s="128" t="s">
        <v>625</v>
      </c>
      <c r="F167">
        <v>0</v>
      </c>
      <c r="G167">
        <v>0</v>
      </c>
      <c r="H167">
        <v>120.98</v>
      </c>
      <c r="I167" s="128"/>
      <c r="J167" t="s">
        <v>1005</v>
      </c>
      <c r="K167" s="128"/>
    </row>
    <row r="168" spans="1:11" hidden="1" x14ac:dyDescent="0.2">
      <c r="A168" t="s">
        <v>474</v>
      </c>
      <c r="B168">
        <v>467565</v>
      </c>
      <c r="C168" s="80">
        <v>43116.6871875</v>
      </c>
      <c r="D168" t="s">
        <v>951</v>
      </c>
      <c r="E168" s="128" t="s">
        <v>625</v>
      </c>
      <c r="F168">
        <v>145023</v>
      </c>
      <c r="G168">
        <v>8.7100000000000009</v>
      </c>
      <c r="H168">
        <v>0</v>
      </c>
      <c r="I168" s="128"/>
      <c r="J168" t="s">
        <v>1006</v>
      </c>
      <c r="K168" s="128"/>
    </row>
    <row r="169" spans="1:11" hidden="1" x14ac:dyDescent="0.2">
      <c r="A169" t="s">
        <v>474</v>
      </c>
      <c r="B169">
        <v>467565</v>
      </c>
      <c r="C169" s="80">
        <v>43116.6871875</v>
      </c>
      <c r="D169" t="s">
        <v>952</v>
      </c>
      <c r="E169" s="128" t="s">
        <v>625</v>
      </c>
      <c r="F169">
        <v>0</v>
      </c>
      <c r="G169">
        <v>0</v>
      </c>
      <c r="H169">
        <v>340.54</v>
      </c>
      <c r="I169" s="128"/>
      <c r="J169" t="s">
        <v>1005</v>
      </c>
      <c r="K169" s="128"/>
    </row>
    <row r="170" spans="1:11" hidden="1" x14ac:dyDescent="0.2">
      <c r="A170" t="s">
        <v>474</v>
      </c>
      <c r="B170">
        <v>467565</v>
      </c>
      <c r="C170" s="80">
        <v>43116.6871875</v>
      </c>
      <c r="D170" t="s">
        <v>951</v>
      </c>
      <c r="E170" s="128" t="s">
        <v>625</v>
      </c>
      <c r="F170">
        <v>145023</v>
      </c>
      <c r="G170">
        <v>24.52</v>
      </c>
      <c r="H170">
        <v>0</v>
      </c>
      <c r="I170" s="128"/>
      <c r="J170" t="s">
        <v>1006</v>
      </c>
      <c r="K170" s="128"/>
    </row>
    <row r="171" spans="1:11" hidden="1" x14ac:dyDescent="0.2">
      <c r="A171" t="s">
        <v>474</v>
      </c>
      <c r="B171">
        <v>467612</v>
      </c>
      <c r="C171" s="80">
        <v>43116.691284722219</v>
      </c>
      <c r="D171" t="s">
        <v>953</v>
      </c>
      <c r="E171" s="128" t="s">
        <v>625</v>
      </c>
      <c r="F171">
        <v>125074</v>
      </c>
      <c r="G171">
        <v>428.29</v>
      </c>
      <c r="H171">
        <v>0</v>
      </c>
      <c r="I171" s="128"/>
      <c r="J171" t="s">
        <v>1007</v>
      </c>
      <c r="K171" s="128"/>
    </row>
    <row r="172" spans="1:11" hidden="1" x14ac:dyDescent="0.2">
      <c r="A172" t="s">
        <v>509</v>
      </c>
      <c r="B172">
        <v>469895</v>
      </c>
      <c r="C172" s="80">
        <v>43125.647106481483</v>
      </c>
      <c r="D172" t="s">
        <v>954</v>
      </c>
      <c r="E172" s="128" t="s">
        <v>625</v>
      </c>
      <c r="F172">
        <v>0</v>
      </c>
      <c r="G172">
        <v>0</v>
      </c>
      <c r="H172">
        <v>500</v>
      </c>
      <c r="I172" s="128"/>
      <c r="J172" t="s">
        <v>1005</v>
      </c>
      <c r="K172" s="128"/>
    </row>
    <row r="173" spans="1:11" hidden="1" x14ac:dyDescent="0.2">
      <c r="A173" t="s">
        <v>509</v>
      </c>
      <c r="B173">
        <v>469895</v>
      </c>
      <c r="C173" s="80">
        <v>43125.647106481483</v>
      </c>
      <c r="D173" t="s">
        <v>955</v>
      </c>
      <c r="E173" s="128" t="s">
        <v>625</v>
      </c>
      <c r="F173">
        <v>145747</v>
      </c>
      <c r="G173">
        <v>36</v>
      </c>
      <c r="H173">
        <v>0</v>
      </c>
      <c r="I173" s="128"/>
      <c r="J173" t="s">
        <v>1006</v>
      </c>
      <c r="K173" s="128"/>
    </row>
    <row r="174" spans="1:11" hidden="1" x14ac:dyDescent="0.2">
      <c r="A174" t="s">
        <v>509</v>
      </c>
      <c r="B174">
        <v>469902</v>
      </c>
      <c r="C174" s="80">
        <v>43125.648946759262</v>
      </c>
      <c r="D174" t="s">
        <v>956</v>
      </c>
      <c r="E174" s="128" t="s">
        <v>625</v>
      </c>
      <c r="F174">
        <v>125686</v>
      </c>
      <c r="G174">
        <v>464</v>
      </c>
      <c r="H174">
        <v>0</v>
      </c>
      <c r="I174" s="128"/>
      <c r="J174" t="s">
        <v>1007</v>
      </c>
      <c r="K174" s="128"/>
    </row>
    <row r="175" spans="1:11" hidden="1" x14ac:dyDescent="0.2">
      <c r="A175" t="s">
        <v>473</v>
      </c>
      <c r="B175">
        <v>467564</v>
      </c>
      <c r="C175" s="80">
        <v>43116.6871875</v>
      </c>
      <c r="D175" t="s">
        <v>957</v>
      </c>
      <c r="E175" s="128" t="s">
        <v>625</v>
      </c>
      <c r="F175">
        <v>0</v>
      </c>
      <c r="G175">
        <v>0</v>
      </c>
      <c r="H175">
        <v>345.36</v>
      </c>
      <c r="I175" s="128"/>
      <c r="J175" t="s">
        <v>1005</v>
      </c>
      <c r="K175" s="128"/>
    </row>
    <row r="176" spans="1:11" hidden="1" x14ac:dyDescent="0.2">
      <c r="A176" t="s">
        <v>473</v>
      </c>
      <c r="B176">
        <v>467564</v>
      </c>
      <c r="C176" s="80">
        <v>43116.6871875</v>
      </c>
      <c r="D176" t="s">
        <v>958</v>
      </c>
      <c r="E176" s="128" t="s">
        <v>625</v>
      </c>
      <c r="F176">
        <v>145022</v>
      </c>
      <c r="G176">
        <v>24.86</v>
      </c>
      <c r="H176">
        <v>0</v>
      </c>
      <c r="I176" s="128"/>
      <c r="J176" t="s">
        <v>1006</v>
      </c>
      <c r="K176" s="128"/>
    </row>
    <row r="177" spans="1:11" hidden="1" x14ac:dyDescent="0.2">
      <c r="A177" t="s">
        <v>473</v>
      </c>
      <c r="B177">
        <v>467564</v>
      </c>
      <c r="C177" s="80">
        <v>43116.6871875</v>
      </c>
      <c r="D177" t="s">
        <v>959</v>
      </c>
      <c r="E177" s="136" t="s">
        <v>625</v>
      </c>
      <c r="F177">
        <v>0</v>
      </c>
      <c r="G177">
        <v>0</v>
      </c>
      <c r="H177">
        <v>116.16</v>
      </c>
      <c r="I177" s="128"/>
      <c r="J177" t="s">
        <v>1005</v>
      </c>
      <c r="K177" s="128"/>
    </row>
    <row r="178" spans="1:11" hidden="1" x14ac:dyDescent="0.2">
      <c r="A178" t="s">
        <v>473</v>
      </c>
      <c r="B178">
        <v>467564</v>
      </c>
      <c r="C178" s="80">
        <v>43116.6871875</v>
      </c>
      <c r="D178" t="s">
        <v>958</v>
      </c>
      <c r="E178" s="128" t="s">
        <v>625</v>
      </c>
      <c r="F178">
        <v>145022</v>
      </c>
      <c r="G178">
        <v>8.36</v>
      </c>
      <c r="H178">
        <v>0</v>
      </c>
      <c r="I178" s="128"/>
      <c r="J178" t="s">
        <v>1006</v>
      </c>
      <c r="K178" s="128"/>
    </row>
    <row r="179" spans="1:11" hidden="1" x14ac:dyDescent="0.2">
      <c r="A179" t="s">
        <v>473</v>
      </c>
      <c r="B179">
        <v>467612</v>
      </c>
      <c r="C179" s="80">
        <v>43116.691284722219</v>
      </c>
      <c r="D179" t="s">
        <v>960</v>
      </c>
      <c r="E179" s="128" t="s">
        <v>625</v>
      </c>
      <c r="F179">
        <v>125073</v>
      </c>
      <c r="G179">
        <v>428.3</v>
      </c>
      <c r="H179">
        <v>0</v>
      </c>
      <c r="I179" s="128"/>
      <c r="J179" t="s">
        <v>1007</v>
      </c>
      <c r="K179" s="128"/>
    </row>
    <row r="180" spans="1:11" hidden="1" x14ac:dyDescent="0.2">
      <c r="A180" t="s">
        <v>472</v>
      </c>
      <c r="B180">
        <v>467548</v>
      </c>
      <c r="C180" s="80">
        <v>43116.6871875</v>
      </c>
      <c r="D180" t="s">
        <v>961</v>
      </c>
      <c r="E180" s="128" t="s">
        <v>625</v>
      </c>
      <c r="F180">
        <v>0</v>
      </c>
      <c r="G180">
        <v>0</v>
      </c>
      <c r="H180">
        <v>199</v>
      </c>
      <c r="I180" s="128"/>
      <c r="J180" t="s">
        <v>1005</v>
      </c>
      <c r="K180" s="128"/>
    </row>
    <row r="181" spans="1:11" hidden="1" x14ac:dyDescent="0.2">
      <c r="A181" t="s">
        <v>472</v>
      </c>
      <c r="B181">
        <v>467548</v>
      </c>
      <c r="C181" s="80">
        <v>43116.6871875</v>
      </c>
      <c r="D181" t="s">
        <v>962</v>
      </c>
      <c r="E181" s="128" t="s">
        <v>625</v>
      </c>
      <c r="F181">
        <v>145006</v>
      </c>
      <c r="G181">
        <v>14.33</v>
      </c>
      <c r="H181">
        <v>0</v>
      </c>
      <c r="I181" s="128"/>
      <c r="J181" t="s">
        <v>1006</v>
      </c>
      <c r="K181" s="128"/>
    </row>
    <row r="182" spans="1:11" hidden="1" x14ac:dyDescent="0.2">
      <c r="A182" t="s">
        <v>472</v>
      </c>
      <c r="B182">
        <v>467548</v>
      </c>
      <c r="C182" s="80">
        <v>43116.6871875</v>
      </c>
      <c r="D182" t="s">
        <v>963</v>
      </c>
      <c r="E182" s="128" t="s">
        <v>625</v>
      </c>
      <c r="F182">
        <v>0</v>
      </c>
      <c r="G182">
        <v>0</v>
      </c>
      <c r="H182">
        <v>267.12</v>
      </c>
      <c r="I182" s="128"/>
      <c r="J182" t="s">
        <v>1005</v>
      </c>
      <c r="K182" s="128"/>
    </row>
    <row r="183" spans="1:11" hidden="1" x14ac:dyDescent="0.2">
      <c r="A183" t="s">
        <v>472</v>
      </c>
      <c r="B183">
        <v>467548</v>
      </c>
      <c r="C183" s="80">
        <v>43116.6871875</v>
      </c>
      <c r="D183" t="s">
        <v>962</v>
      </c>
      <c r="E183" s="128" t="s">
        <v>625</v>
      </c>
      <c r="F183">
        <v>145006</v>
      </c>
      <c r="G183">
        <v>19.239999999999998</v>
      </c>
      <c r="H183">
        <v>0</v>
      </c>
      <c r="I183" s="128"/>
      <c r="J183" t="s">
        <v>1006</v>
      </c>
      <c r="K183" s="128"/>
    </row>
    <row r="184" spans="1:11" hidden="1" x14ac:dyDescent="0.2">
      <c r="A184" t="s">
        <v>472</v>
      </c>
      <c r="B184">
        <v>467612</v>
      </c>
      <c r="C184" s="80">
        <v>43116.691284722219</v>
      </c>
      <c r="D184" t="s">
        <v>964</v>
      </c>
      <c r="E184" s="128" t="s">
        <v>625</v>
      </c>
      <c r="F184">
        <v>125057</v>
      </c>
      <c r="G184">
        <v>432.55</v>
      </c>
      <c r="H184">
        <v>0</v>
      </c>
      <c r="I184" s="128"/>
      <c r="J184" t="s">
        <v>1007</v>
      </c>
      <c r="K184" s="128"/>
    </row>
    <row r="185" spans="1:11" hidden="1" x14ac:dyDescent="0.2">
      <c r="A185" t="s">
        <v>479</v>
      </c>
      <c r="B185">
        <v>465157</v>
      </c>
      <c r="C185" s="80">
        <v>43109.618217592593</v>
      </c>
      <c r="D185" t="s">
        <v>965</v>
      </c>
      <c r="E185" s="128" t="s">
        <v>625</v>
      </c>
      <c r="F185">
        <v>0</v>
      </c>
      <c r="G185">
        <v>0</v>
      </c>
      <c r="H185">
        <v>350</v>
      </c>
      <c r="I185" s="128"/>
      <c r="J185" t="s">
        <v>1005</v>
      </c>
      <c r="K185" s="128"/>
    </row>
    <row r="186" spans="1:11" hidden="1" x14ac:dyDescent="0.2">
      <c r="A186" t="s">
        <v>479</v>
      </c>
      <c r="B186">
        <v>465157</v>
      </c>
      <c r="C186" s="80">
        <v>43109.618217592593</v>
      </c>
      <c r="D186" t="s">
        <v>966</v>
      </c>
      <c r="E186" s="128" t="s">
        <v>625</v>
      </c>
      <c r="F186">
        <v>144397</v>
      </c>
      <c r="G186">
        <v>25.2</v>
      </c>
      <c r="H186">
        <v>0</v>
      </c>
      <c r="I186" s="128"/>
      <c r="J186" t="s">
        <v>1006</v>
      </c>
      <c r="K186" s="128"/>
    </row>
    <row r="187" spans="1:11" hidden="1" x14ac:dyDescent="0.2">
      <c r="A187" t="s">
        <v>479</v>
      </c>
      <c r="B187">
        <v>465160</v>
      </c>
      <c r="C187" s="80">
        <v>43109.621388888889</v>
      </c>
      <c r="D187" t="s">
        <v>967</v>
      </c>
      <c r="E187" s="128" t="s">
        <v>625</v>
      </c>
      <c r="F187">
        <v>124262</v>
      </c>
      <c r="G187">
        <v>324.8</v>
      </c>
      <c r="H187">
        <v>0</v>
      </c>
      <c r="I187" s="128"/>
      <c r="J187" t="s">
        <v>1007</v>
      </c>
      <c r="K187" s="128"/>
    </row>
    <row r="188" spans="1:11" hidden="1" x14ac:dyDescent="0.2">
      <c r="A188" t="s">
        <v>562</v>
      </c>
      <c r="B188">
        <v>463649</v>
      </c>
      <c r="C188" s="80">
        <v>43103.641006944446</v>
      </c>
      <c r="D188" t="s">
        <v>968</v>
      </c>
      <c r="E188" s="128" t="s">
        <v>625</v>
      </c>
      <c r="F188">
        <v>0</v>
      </c>
      <c r="G188">
        <v>0</v>
      </c>
      <c r="H188">
        <v>520</v>
      </c>
      <c r="I188" s="128"/>
      <c r="J188" t="s">
        <v>1005</v>
      </c>
      <c r="K188" s="128"/>
    </row>
    <row r="189" spans="1:11" hidden="1" x14ac:dyDescent="0.2">
      <c r="A189" t="s">
        <v>562</v>
      </c>
      <c r="B189">
        <v>463649</v>
      </c>
      <c r="C189" s="80">
        <v>43103.641006944446</v>
      </c>
      <c r="D189" t="s">
        <v>969</v>
      </c>
      <c r="E189" s="128" t="s">
        <v>625</v>
      </c>
      <c r="F189">
        <v>143716</v>
      </c>
      <c r="G189">
        <v>37.44</v>
      </c>
      <c r="H189">
        <v>0</v>
      </c>
      <c r="I189" s="128"/>
      <c r="J189" t="s">
        <v>1006</v>
      </c>
      <c r="K189" s="128"/>
    </row>
    <row r="190" spans="1:11" hidden="1" x14ac:dyDescent="0.2">
      <c r="A190" t="s">
        <v>562</v>
      </c>
      <c r="B190">
        <v>463889</v>
      </c>
      <c r="C190" s="80">
        <v>43103.664166666669</v>
      </c>
      <c r="D190" t="s">
        <v>970</v>
      </c>
      <c r="E190" s="128" t="s">
        <v>625</v>
      </c>
      <c r="F190">
        <v>123646</v>
      </c>
      <c r="G190">
        <v>482.56</v>
      </c>
      <c r="H190">
        <v>0</v>
      </c>
      <c r="I190" s="128"/>
      <c r="J190" t="s">
        <v>1007</v>
      </c>
      <c r="K190" s="128"/>
    </row>
    <row r="191" spans="1:11" hidden="1" x14ac:dyDescent="0.2">
      <c r="A191" t="s">
        <v>484</v>
      </c>
      <c r="B191">
        <v>464689</v>
      </c>
      <c r="C191" s="80">
        <v>43108.635497685187</v>
      </c>
      <c r="D191" t="s">
        <v>971</v>
      </c>
      <c r="E191" s="128" t="s">
        <v>625</v>
      </c>
      <c r="F191">
        <v>0</v>
      </c>
      <c r="G191">
        <v>0</v>
      </c>
      <c r="H191">
        <v>211.64</v>
      </c>
      <c r="I191" s="128"/>
      <c r="J191" t="s">
        <v>1005</v>
      </c>
      <c r="K191" s="128"/>
    </row>
    <row r="192" spans="1:11" hidden="1" x14ac:dyDescent="0.2">
      <c r="A192" t="s">
        <v>484</v>
      </c>
      <c r="B192">
        <v>464689</v>
      </c>
      <c r="C192" s="80">
        <v>43108.635497685187</v>
      </c>
      <c r="D192" t="s">
        <v>972</v>
      </c>
      <c r="E192" s="128" t="s">
        <v>625</v>
      </c>
      <c r="F192">
        <v>144234</v>
      </c>
      <c r="G192">
        <v>15.24</v>
      </c>
      <c r="H192">
        <v>0</v>
      </c>
      <c r="I192" s="128"/>
      <c r="J192" t="s">
        <v>1006</v>
      </c>
      <c r="K192" s="128"/>
    </row>
    <row r="193" spans="1:11" hidden="1" x14ac:dyDescent="0.2">
      <c r="A193" t="s">
        <v>484</v>
      </c>
      <c r="B193">
        <v>464693</v>
      </c>
      <c r="C193" s="80">
        <v>43108.63894675926</v>
      </c>
      <c r="D193" t="s">
        <v>973</v>
      </c>
      <c r="E193" s="128" t="s">
        <v>625</v>
      </c>
      <c r="F193">
        <v>124119</v>
      </c>
      <c r="G193">
        <v>196.4</v>
      </c>
      <c r="H193">
        <v>0</v>
      </c>
      <c r="I193" s="128"/>
      <c r="J193" t="s">
        <v>1007</v>
      </c>
      <c r="K193" s="128"/>
    </row>
    <row r="194" spans="1:11" hidden="1" x14ac:dyDescent="0.2">
      <c r="A194" t="s">
        <v>484</v>
      </c>
      <c r="B194">
        <v>467584</v>
      </c>
      <c r="C194" s="80">
        <v>43116.6871875</v>
      </c>
      <c r="D194" t="s">
        <v>971</v>
      </c>
      <c r="E194" s="128" t="s">
        <v>625</v>
      </c>
      <c r="F194">
        <v>0</v>
      </c>
      <c r="G194">
        <v>0</v>
      </c>
      <c r="H194">
        <v>288.36</v>
      </c>
      <c r="I194" s="128"/>
      <c r="J194" t="s">
        <v>1005</v>
      </c>
      <c r="K194" s="128"/>
    </row>
    <row r="195" spans="1:11" hidden="1" x14ac:dyDescent="0.2">
      <c r="A195" t="s">
        <v>484</v>
      </c>
      <c r="B195">
        <v>467584</v>
      </c>
      <c r="C195" s="80">
        <v>43116.6871875</v>
      </c>
      <c r="D195" t="s">
        <v>972</v>
      </c>
      <c r="E195" s="136" t="s">
        <v>625</v>
      </c>
      <c r="F195">
        <v>145042</v>
      </c>
      <c r="G195">
        <v>20.76</v>
      </c>
      <c r="H195">
        <v>0</v>
      </c>
      <c r="I195" s="128"/>
      <c r="J195" t="s">
        <v>1006</v>
      </c>
      <c r="K195" s="128"/>
    </row>
    <row r="196" spans="1:11" hidden="1" x14ac:dyDescent="0.2">
      <c r="A196" t="s">
        <v>484</v>
      </c>
      <c r="B196">
        <v>467612</v>
      </c>
      <c r="C196" s="80">
        <v>43116.691284722219</v>
      </c>
      <c r="D196" t="s">
        <v>973</v>
      </c>
      <c r="E196" s="136" t="s">
        <v>625</v>
      </c>
      <c r="F196">
        <v>125093</v>
      </c>
      <c r="G196">
        <v>267.60000000000002</v>
      </c>
      <c r="H196">
        <v>0</v>
      </c>
      <c r="I196" s="128"/>
      <c r="J196" t="s">
        <v>1007</v>
      </c>
      <c r="K196" s="128"/>
    </row>
    <row r="197" spans="1:11" hidden="1" x14ac:dyDescent="0.2">
      <c r="A197" t="s">
        <v>483</v>
      </c>
      <c r="B197">
        <v>466727</v>
      </c>
      <c r="C197" s="80">
        <v>43115.634988425925</v>
      </c>
      <c r="D197" t="s">
        <v>974</v>
      </c>
      <c r="E197" s="128" t="s">
        <v>625</v>
      </c>
      <c r="F197">
        <v>0</v>
      </c>
      <c r="G197">
        <v>0</v>
      </c>
      <c r="H197">
        <v>88.27</v>
      </c>
      <c r="I197" s="128"/>
      <c r="J197" t="s">
        <v>1005</v>
      </c>
      <c r="K197" s="128"/>
    </row>
    <row r="198" spans="1:11" hidden="1" x14ac:dyDescent="0.2">
      <c r="A198" t="s">
        <v>483</v>
      </c>
      <c r="B198">
        <v>466727</v>
      </c>
      <c r="C198" s="80">
        <v>43115.634988425925</v>
      </c>
      <c r="D198" t="s">
        <v>975</v>
      </c>
      <c r="E198" s="128" t="s">
        <v>625</v>
      </c>
      <c r="F198">
        <v>144809</v>
      </c>
      <c r="G198">
        <v>6.36</v>
      </c>
      <c r="H198">
        <v>0</v>
      </c>
      <c r="I198" s="128"/>
      <c r="J198" t="s">
        <v>1006</v>
      </c>
      <c r="K198" s="128"/>
    </row>
    <row r="199" spans="1:11" hidden="1" x14ac:dyDescent="0.2">
      <c r="A199" t="s">
        <v>483</v>
      </c>
      <c r="B199">
        <v>466741</v>
      </c>
      <c r="C199" s="80">
        <v>43115.637615740743</v>
      </c>
      <c r="D199" t="s">
        <v>976</v>
      </c>
      <c r="E199" s="128" t="s">
        <v>625</v>
      </c>
      <c r="F199">
        <v>124715</v>
      </c>
      <c r="G199">
        <v>81.91</v>
      </c>
      <c r="H199">
        <v>0</v>
      </c>
      <c r="I199" s="128"/>
      <c r="J199" t="s">
        <v>1007</v>
      </c>
      <c r="K199" s="128"/>
    </row>
    <row r="200" spans="1:11" hidden="1" x14ac:dyDescent="0.2">
      <c r="A200" t="s">
        <v>483</v>
      </c>
      <c r="B200">
        <v>467582</v>
      </c>
      <c r="C200" s="80">
        <v>43116.6871875</v>
      </c>
      <c r="D200" t="s">
        <v>974</v>
      </c>
      <c r="E200" s="128" t="s">
        <v>625</v>
      </c>
      <c r="F200">
        <v>0</v>
      </c>
      <c r="G200">
        <v>0</v>
      </c>
      <c r="H200">
        <v>416.73</v>
      </c>
      <c r="I200" s="128"/>
      <c r="J200" t="s">
        <v>1005</v>
      </c>
      <c r="K200" s="128"/>
    </row>
    <row r="201" spans="1:11" hidden="1" x14ac:dyDescent="0.2">
      <c r="A201" t="s">
        <v>483</v>
      </c>
      <c r="B201">
        <v>467582</v>
      </c>
      <c r="C201" s="80">
        <v>43116.6871875</v>
      </c>
      <c r="D201" t="s">
        <v>975</v>
      </c>
      <c r="E201" s="128" t="s">
        <v>625</v>
      </c>
      <c r="F201">
        <v>145040</v>
      </c>
      <c r="G201">
        <v>30</v>
      </c>
      <c r="H201">
        <v>0</v>
      </c>
      <c r="I201" s="128"/>
      <c r="J201" t="s">
        <v>1006</v>
      </c>
      <c r="K201" s="128"/>
    </row>
    <row r="202" spans="1:11" hidden="1" x14ac:dyDescent="0.2">
      <c r="A202" t="s">
        <v>483</v>
      </c>
      <c r="B202">
        <v>467612</v>
      </c>
      <c r="C202" s="80">
        <v>43116.691284722219</v>
      </c>
      <c r="D202" t="s">
        <v>976</v>
      </c>
      <c r="E202" s="128" t="s">
        <v>625</v>
      </c>
      <c r="F202">
        <v>125091</v>
      </c>
      <c r="G202">
        <v>386.73</v>
      </c>
      <c r="H202">
        <v>0</v>
      </c>
      <c r="I202" s="128"/>
      <c r="J202" t="s">
        <v>1007</v>
      </c>
      <c r="K202" s="128"/>
    </row>
    <row r="203" spans="1:11" hidden="1" x14ac:dyDescent="0.2">
      <c r="A203" t="s">
        <v>481</v>
      </c>
      <c r="B203">
        <v>465067</v>
      </c>
      <c r="C203" s="80">
        <v>43109.618217592593</v>
      </c>
      <c r="D203" t="s">
        <v>977</v>
      </c>
      <c r="E203" s="128" t="s">
        <v>625</v>
      </c>
      <c r="F203">
        <v>0</v>
      </c>
      <c r="G203">
        <v>0</v>
      </c>
      <c r="H203">
        <v>360</v>
      </c>
      <c r="I203" s="128"/>
      <c r="J203" t="s">
        <v>1005</v>
      </c>
      <c r="K203" s="128"/>
    </row>
    <row r="204" spans="1:11" hidden="1" x14ac:dyDescent="0.2">
      <c r="A204" t="s">
        <v>481</v>
      </c>
      <c r="B204">
        <v>465067</v>
      </c>
      <c r="C204" s="80">
        <v>43109.618217592593</v>
      </c>
      <c r="D204" t="s">
        <v>978</v>
      </c>
      <c r="E204" s="128" t="s">
        <v>625</v>
      </c>
      <c r="F204">
        <v>144314</v>
      </c>
      <c r="G204">
        <v>25.92</v>
      </c>
      <c r="H204">
        <v>0</v>
      </c>
      <c r="I204" s="128"/>
      <c r="J204" t="s">
        <v>1006</v>
      </c>
      <c r="K204" s="128"/>
    </row>
    <row r="205" spans="1:11" hidden="1" x14ac:dyDescent="0.2">
      <c r="A205" t="s">
        <v>481</v>
      </c>
      <c r="B205">
        <v>465067</v>
      </c>
      <c r="C205" s="80">
        <v>43109.618217592593</v>
      </c>
      <c r="D205" t="s">
        <v>979</v>
      </c>
      <c r="E205" s="128" t="s">
        <v>625</v>
      </c>
      <c r="F205">
        <v>0</v>
      </c>
      <c r="G205">
        <v>0</v>
      </c>
      <c r="H205">
        <v>360</v>
      </c>
      <c r="I205" s="128"/>
      <c r="J205" t="s">
        <v>1005</v>
      </c>
      <c r="K205" s="128"/>
    </row>
    <row r="206" spans="1:11" hidden="1" x14ac:dyDescent="0.2">
      <c r="A206" t="s">
        <v>481</v>
      </c>
      <c r="B206">
        <v>465067</v>
      </c>
      <c r="C206" s="80">
        <v>43109.618217592593</v>
      </c>
      <c r="D206" t="s">
        <v>978</v>
      </c>
      <c r="E206" s="128" t="s">
        <v>625</v>
      </c>
      <c r="F206">
        <v>144314</v>
      </c>
      <c r="G206">
        <v>25.92</v>
      </c>
      <c r="H206">
        <v>0</v>
      </c>
      <c r="I206" s="128"/>
      <c r="J206" t="s">
        <v>1006</v>
      </c>
      <c r="K206" s="128"/>
    </row>
    <row r="207" spans="1:11" hidden="1" x14ac:dyDescent="0.2">
      <c r="A207" t="s">
        <v>481</v>
      </c>
      <c r="B207">
        <v>465160</v>
      </c>
      <c r="C207" s="80">
        <v>43109.621388888889</v>
      </c>
      <c r="D207" t="s">
        <v>980</v>
      </c>
      <c r="E207" s="128" t="s">
        <v>625</v>
      </c>
      <c r="F207">
        <v>124172</v>
      </c>
      <c r="G207">
        <v>613.16</v>
      </c>
      <c r="H207">
        <v>0</v>
      </c>
      <c r="I207" s="128"/>
      <c r="J207" t="s">
        <v>1007</v>
      </c>
      <c r="K207" s="128"/>
    </row>
    <row r="208" spans="1:11" hidden="1" x14ac:dyDescent="0.2">
      <c r="A208" t="s">
        <v>477</v>
      </c>
      <c r="B208">
        <v>467569</v>
      </c>
      <c r="C208" s="80">
        <v>43116.6871875</v>
      </c>
      <c r="D208" t="s">
        <v>981</v>
      </c>
      <c r="E208" s="128" t="s">
        <v>625</v>
      </c>
      <c r="F208">
        <v>0</v>
      </c>
      <c r="G208">
        <v>0</v>
      </c>
      <c r="H208">
        <v>346.2</v>
      </c>
      <c r="I208" s="128"/>
      <c r="J208" t="s">
        <v>1005</v>
      </c>
      <c r="K208" s="128"/>
    </row>
    <row r="209" spans="1:11" hidden="1" x14ac:dyDescent="0.2">
      <c r="A209" t="s">
        <v>477</v>
      </c>
      <c r="B209">
        <v>467569</v>
      </c>
      <c r="C209" s="80">
        <v>43116.6871875</v>
      </c>
      <c r="D209" t="s">
        <v>982</v>
      </c>
      <c r="E209" s="128" t="s">
        <v>625</v>
      </c>
      <c r="F209">
        <v>145027</v>
      </c>
      <c r="G209">
        <v>24.92</v>
      </c>
      <c r="H209">
        <v>0</v>
      </c>
      <c r="I209" s="128"/>
      <c r="J209" t="s">
        <v>1006</v>
      </c>
      <c r="K209" s="128"/>
    </row>
    <row r="210" spans="1:11" hidden="1" x14ac:dyDescent="0.2">
      <c r="A210" t="s">
        <v>477</v>
      </c>
      <c r="B210">
        <v>467569</v>
      </c>
      <c r="C210" s="80">
        <v>43116.6871875</v>
      </c>
      <c r="D210" t="s">
        <v>983</v>
      </c>
      <c r="E210" s="128" t="s">
        <v>625</v>
      </c>
      <c r="F210">
        <v>0</v>
      </c>
      <c r="G210">
        <v>0</v>
      </c>
      <c r="H210">
        <v>69.2</v>
      </c>
      <c r="I210" s="128"/>
      <c r="J210" t="s">
        <v>1005</v>
      </c>
      <c r="K210" s="128"/>
    </row>
    <row r="211" spans="1:11" hidden="1" x14ac:dyDescent="0.2">
      <c r="A211" t="s">
        <v>477</v>
      </c>
      <c r="B211">
        <v>467569</v>
      </c>
      <c r="C211" s="80">
        <v>43116.6871875</v>
      </c>
      <c r="D211" t="s">
        <v>982</v>
      </c>
      <c r="E211" s="128" t="s">
        <v>625</v>
      </c>
      <c r="F211">
        <v>145027</v>
      </c>
      <c r="G211">
        <v>4.9800000000000004</v>
      </c>
      <c r="H211">
        <v>0</v>
      </c>
      <c r="I211" s="128"/>
      <c r="J211" t="s">
        <v>1006</v>
      </c>
      <c r="K211" s="128"/>
    </row>
    <row r="212" spans="1:11" hidden="1" x14ac:dyDescent="0.2">
      <c r="A212" t="s">
        <v>477</v>
      </c>
      <c r="B212">
        <v>467612</v>
      </c>
      <c r="C212" s="80">
        <v>43116.691284722219</v>
      </c>
      <c r="D212" t="s">
        <v>984</v>
      </c>
      <c r="E212" s="128" t="s">
        <v>625</v>
      </c>
      <c r="F212">
        <v>125078</v>
      </c>
      <c r="G212">
        <v>385.5</v>
      </c>
      <c r="H212">
        <v>0</v>
      </c>
      <c r="I212" s="128"/>
      <c r="J212" t="s">
        <v>1007</v>
      </c>
      <c r="K212" s="128"/>
    </row>
    <row r="213" spans="1:11" hidden="1" x14ac:dyDescent="0.2">
      <c r="A213" t="s">
        <v>495</v>
      </c>
      <c r="B213">
        <v>467585</v>
      </c>
      <c r="C213" s="80">
        <v>43116.6871875</v>
      </c>
      <c r="D213" t="s">
        <v>985</v>
      </c>
      <c r="E213" s="128" t="s">
        <v>625</v>
      </c>
      <c r="F213">
        <v>0</v>
      </c>
      <c r="G213">
        <v>0</v>
      </c>
      <c r="H213">
        <v>345.34</v>
      </c>
      <c r="I213" s="128"/>
      <c r="J213" t="s">
        <v>1005</v>
      </c>
      <c r="K213" s="128"/>
    </row>
    <row r="214" spans="1:11" hidden="1" x14ac:dyDescent="0.2">
      <c r="A214" t="s">
        <v>495</v>
      </c>
      <c r="B214">
        <v>467585</v>
      </c>
      <c r="C214" s="80">
        <v>43116.6871875</v>
      </c>
      <c r="D214" t="s">
        <v>986</v>
      </c>
      <c r="E214" s="128" t="s">
        <v>625</v>
      </c>
      <c r="F214">
        <v>145043</v>
      </c>
      <c r="G214">
        <v>24.86</v>
      </c>
      <c r="H214">
        <v>0</v>
      </c>
      <c r="I214" s="128"/>
      <c r="J214" t="s">
        <v>1006</v>
      </c>
      <c r="K214" s="128"/>
    </row>
    <row r="215" spans="1:11" hidden="1" x14ac:dyDescent="0.2">
      <c r="A215" t="s">
        <v>495</v>
      </c>
      <c r="B215">
        <v>467585</v>
      </c>
      <c r="C215" s="80">
        <v>43116.6871875</v>
      </c>
      <c r="D215" t="s">
        <v>987</v>
      </c>
      <c r="F215">
        <v>0</v>
      </c>
      <c r="G215">
        <v>0</v>
      </c>
      <c r="H215">
        <v>116.18</v>
      </c>
      <c r="J215" t="s">
        <v>1005</v>
      </c>
    </row>
    <row r="216" spans="1:11" hidden="1" x14ac:dyDescent="0.2">
      <c r="A216" t="s">
        <v>495</v>
      </c>
      <c r="B216">
        <v>467585</v>
      </c>
      <c r="C216" s="80">
        <v>43116.6871875</v>
      </c>
      <c r="D216" t="s">
        <v>986</v>
      </c>
      <c r="F216">
        <v>145043</v>
      </c>
      <c r="G216">
        <v>8.36</v>
      </c>
      <c r="H216">
        <v>0</v>
      </c>
      <c r="J216" t="s">
        <v>1006</v>
      </c>
    </row>
    <row r="217" spans="1:11" hidden="1" x14ac:dyDescent="0.2">
      <c r="A217" t="s">
        <v>495</v>
      </c>
      <c r="B217">
        <v>467612</v>
      </c>
      <c r="C217" s="80">
        <v>43116.691284722219</v>
      </c>
      <c r="D217" t="s">
        <v>988</v>
      </c>
      <c r="F217">
        <v>125094</v>
      </c>
      <c r="G217">
        <v>428.3</v>
      </c>
      <c r="H217">
        <v>0</v>
      </c>
      <c r="J217" t="s">
        <v>1007</v>
      </c>
    </row>
    <row r="218" spans="1:11" hidden="1" x14ac:dyDescent="0.2">
      <c r="A218" t="s">
        <v>476</v>
      </c>
      <c r="B218">
        <v>465235</v>
      </c>
      <c r="C218" s="80">
        <v>43110.376932870371</v>
      </c>
      <c r="D218" t="s">
        <v>989</v>
      </c>
      <c r="F218">
        <v>149998</v>
      </c>
      <c r="G218">
        <v>0</v>
      </c>
      <c r="H218">
        <v>435</v>
      </c>
      <c r="J218" t="s">
        <v>1008</v>
      </c>
    </row>
    <row r="219" spans="1:11" hidden="1" x14ac:dyDescent="0.2">
      <c r="A219" t="s">
        <v>563</v>
      </c>
      <c r="B219">
        <v>469656</v>
      </c>
      <c r="C219" s="80">
        <v>43124.651354166665</v>
      </c>
      <c r="D219" t="s">
        <v>990</v>
      </c>
      <c r="F219">
        <v>0</v>
      </c>
      <c r="G219">
        <v>0</v>
      </c>
      <c r="H219">
        <v>1.73</v>
      </c>
      <c r="J219" t="s">
        <v>1005</v>
      </c>
    </row>
    <row r="220" spans="1:11" hidden="1" x14ac:dyDescent="0.2">
      <c r="A220" t="s">
        <v>563</v>
      </c>
      <c r="B220">
        <v>469656</v>
      </c>
      <c r="C220" s="80">
        <v>43124.651354166665</v>
      </c>
      <c r="D220" t="s">
        <v>991</v>
      </c>
      <c r="F220">
        <v>145671</v>
      </c>
      <c r="G220">
        <v>0.12</v>
      </c>
      <c r="H220">
        <v>0</v>
      </c>
      <c r="J220" t="s">
        <v>1006</v>
      </c>
    </row>
    <row r="221" spans="1:11" hidden="1" x14ac:dyDescent="0.2">
      <c r="A221" t="s">
        <v>563</v>
      </c>
      <c r="B221">
        <v>469656</v>
      </c>
      <c r="C221" s="80">
        <v>43124.651354166665</v>
      </c>
      <c r="D221" t="s">
        <v>992</v>
      </c>
      <c r="F221">
        <v>0</v>
      </c>
      <c r="G221">
        <v>0</v>
      </c>
      <c r="H221">
        <v>578.27</v>
      </c>
      <c r="J221" t="s">
        <v>1005</v>
      </c>
    </row>
    <row r="222" spans="1:11" hidden="1" x14ac:dyDescent="0.2">
      <c r="A222" t="s">
        <v>563</v>
      </c>
      <c r="B222">
        <v>469656</v>
      </c>
      <c r="C222" s="80">
        <v>43124.651354166665</v>
      </c>
      <c r="D222" t="s">
        <v>991</v>
      </c>
      <c r="F222">
        <v>145671</v>
      </c>
      <c r="G222">
        <v>41.64</v>
      </c>
      <c r="H222">
        <v>0</v>
      </c>
      <c r="J222" t="s">
        <v>1006</v>
      </c>
    </row>
    <row r="223" spans="1:11" hidden="1" x14ac:dyDescent="0.2">
      <c r="A223" t="s">
        <v>563</v>
      </c>
      <c r="B223">
        <v>469686</v>
      </c>
      <c r="C223" s="80">
        <v>43124.659953703704</v>
      </c>
      <c r="D223" t="s">
        <v>993</v>
      </c>
      <c r="F223">
        <v>125627</v>
      </c>
      <c r="G223">
        <v>538.24</v>
      </c>
      <c r="H223">
        <v>0</v>
      </c>
      <c r="J223" t="s">
        <v>1007</v>
      </c>
    </row>
    <row r="224" spans="1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K223">
    <filterColumn colId="0">
      <filters>
        <filter val="F2346ALH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topLeftCell="A13" zoomScale="70" workbookViewId="0">
      <selection activeCell="E38" sqref="E3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1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2018-03-07T20:01:52Z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