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99F03F65-6EE5-B2FF-AC1D-F4DDD12603F5}" lastEdited="7" lowestEdited="7" rupBuild="21425"/>
  <workbookPr codeName="ThisWorkbook" defaultThemeVersion="124226"/>
  <mc:AlternateContent>
    <mc:Choice Requires="x15">
      <x15ac:absPath xmlns:x15ac="http://schemas.microsoft.com/office/spreadsheetml/2010/11/ac" url="M:\My Documents\Business\Property\Statements\waiting\"/>
    </mc:Choice>
  </mc:AlternateContent>
  <xr:revisionPtr documentId="13_ncr:1_{41FADBB8-D0A1-4557-870A-362652C325EB}" revIDLastSave="0" xr10:uidLastSave="{00000000-0000-0000-0000-000000000000}" xr6:coauthVersionLast="43" xr6:coauthVersionMax="43"/>
  <bookViews>
    <workbookView activeTab="6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definedNames>
    <definedName hidden="1" localSheetId="6" name="_xlnm._FilterDatabase">Beals!$A$1:$J$220</definedName>
    <definedName hidden="1" localSheetId="4" name="_xlnm._FilterDatabase">IV!$A$1:$I$65</definedName>
    <definedName hidden="1" localSheetId="5" name="_xlnm._FilterDatabase">'IV (4040)'!$A$1:$I$135</definedName>
    <definedName hidden="1" localSheetId="3" name="_xlnm._FilterDatabase">MT!$A$1:$J$211</definedName>
    <definedName hidden="1" localSheetId="0" name="_xlnm._FilterDatabase">'Rent Statement'!$B$7:$U$63</definedName>
    <definedName hidden="1" localSheetId="7" name="_xlnm._FilterDatabase">Tenancies!$A$1:$L$255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MT!$D$2:$D$493</definedName>
    <definedName name="MT_BankRef">MT!$F$2:$F$493</definedName>
    <definedName name="MT_Desc">MT!$H$2:$H$493</definedName>
    <definedName name="MT_Include">MT!$J$2:$J$493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90" l="1" r="B33"/>
  <c i="31690" r="E39"/>
  <c i="31690" r="B25"/>
  <c i="31690" r="C17"/>
  <c i="31690" r="B34"/>
  <c i="31690" r="C33"/>
  <c i="31690" r="B24"/>
  <c i="31690" r="B31"/>
  <c i="31690" r="C31"/>
  <c i="31690" r="C18"/>
  <c i="31690" r="C29"/>
  <c i="31690" r="C34"/>
  <c i="31690" r="C32"/>
  <c i="31690" r="C30"/>
  <c i="31690" r="C25"/>
  <c i="31690" r="B21"/>
  <c i="31690" r="B29"/>
  <c i="31690" r="B17"/>
  <c i="31690" r="B32"/>
  <c i="31690" r="C24"/>
  <c i="31690" r="B22"/>
  <c i="31690" r="C22"/>
  <c i="31690" r="B30"/>
  <c i="31690" r="C21"/>
  <c i="31690" r="B26"/>
  <c i="31690" r="C26"/>
  <c i="31690" r="B18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15"/>
  <c i="31690" r="F35" s="1"/>
  <c i="31690" r="E15"/>
  <c i="31690" r="E34" s="1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19"/>
  <c i="31680" r="AB244"/>
  <c i="31680" r="AB42"/>
  <c i="31680" r="AB39"/>
  <c i="31680" r="AB152"/>
  <c i="31680" r="AB134"/>
  <c i="31680" r="AB27"/>
  <c i="31680" r="AB6"/>
  <c i="31680" r="AB241"/>
  <c i="31680" r="AB73"/>
  <c i="31680" r="AB101"/>
  <c i="31680" r="AB264"/>
  <c i="31680" r="AB200"/>
  <c i="31680" r="AB130"/>
  <c i="31680" r="AB33"/>
  <c i="31680" r="AB207"/>
  <c i="31680" r="AB98"/>
  <c i="31680" r="AB29"/>
  <c i="31680" r="AB56"/>
  <c i="31680" r="AB132"/>
  <c i="31680" r="AB86"/>
  <c i="31680" r="AB268"/>
  <c i="31680" r="AB269"/>
  <c i="31680" r="AB270"/>
  <c i="31680" r="AB208"/>
  <c i="31680" r="AB162"/>
  <c i="31680" r="AB118"/>
  <c i="31680" r="AB271"/>
  <c i="31680" r="AB205"/>
  <c i="31680" r="AB148"/>
  <c i="31680" r="AB211"/>
  <c i="31680" r="AB225"/>
  <c i="31680" r="AB226"/>
  <c i="31680" r="AB240"/>
  <c i="31680" r="AB169"/>
  <c i="31680" r="AB62"/>
  <c i="31680" r="AB30"/>
  <c i="31680" r="AB32"/>
  <c i="31680" r="AB31"/>
  <c i="31680" r="AB107"/>
  <c i="31680" r="AB141"/>
  <c i="31680" r="AB102"/>
  <c i="31680" r="AB242"/>
  <c i="31680" r="AB11"/>
  <c i="31680" r="AB13"/>
  <c i="31680" r="AB120"/>
  <c i="31680" r="AB67"/>
  <c i="31680" r="AB189"/>
  <c i="31680" r="AB157"/>
  <c i="31680" r="AB239"/>
  <c i="31680" r="AB273"/>
  <c i="31680" r="AB156"/>
  <c i="31680" r="AB187"/>
  <c i="31680" r="AB191"/>
  <c i="31680" r="AB150"/>
  <c i="31680" r="AB5"/>
  <c i="31680" r="AB7"/>
  <c i="31680" r="AB172"/>
  <c i="31680" r="AB266"/>
  <c i="31680" r="AB146"/>
  <c i="31680" r="AB72"/>
  <c i="31680" r="AB71"/>
  <c i="31680" r="AB265"/>
  <c i="31680" r="AB192"/>
  <c i="31680" r="AB18"/>
  <c i="31680" r="AB125"/>
  <c i="31680" r="AB236"/>
  <c i="31680" r="AB180"/>
  <c i="31680" r="AB267"/>
  <c i="31680" r="AB229"/>
  <c i="31680" r="AB65"/>
  <c i="31680" r="AB20"/>
  <c i="31680" r="AB170"/>
  <c i="31680" r="AB112"/>
  <c i="31680" r="AB216"/>
  <c i="31680" r="AB184"/>
  <c i="31680" r="AB131"/>
  <c i="31680" r="AB41"/>
  <c i="31680" r="AB139"/>
  <c i="31680" r="AB106"/>
  <c i="31680" r="AB149"/>
  <c i="31680" r="AB22"/>
  <c i="31680" r="AB16"/>
  <c i="31680" r="AB47"/>
  <c i="31680" r="AB140"/>
  <c i="31680" r="AB48"/>
  <c i="31680" r="AB274"/>
  <c i="31680" r="AB209"/>
  <c i="31680" r="AB261"/>
  <c i="31680" r="AB44"/>
  <c i="31680" r="AB45"/>
  <c i="31680" r="AB36"/>
  <c i="31680" r="AB136"/>
  <c i="31680" r="AB168"/>
  <c i="31680" r="AB8"/>
  <c i="31680" r="AB38"/>
  <c i="31680" r="AB17"/>
  <c i="31680" r="AB154"/>
  <c i="31680" r="AB213"/>
  <c i="31680" r="AB43"/>
  <c i="31680" r="AB57"/>
  <c i="31680" r="AB111"/>
  <c i="31680" r="AB15"/>
  <c i="31680" r="AB253"/>
  <c i="31680" r="AB248"/>
  <c i="31680" r="AB212"/>
  <c i="31680" r="AB60"/>
  <c i="31680" r="AB124"/>
  <c i="31680" r="AB232"/>
  <c i="31680" r="AB82"/>
  <c i="31680" r="AB198"/>
  <c i="31680" r="AB53"/>
  <c i="31680" r="AB46"/>
  <c i="31680" r="AB97"/>
  <c i="31680" r="AB138"/>
  <c i="31680" r="AB181"/>
  <c i="31680" r="AB167"/>
  <c i="31680" r="AB174"/>
  <c i="31680" r="AB103"/>
  <c i="31680" r="AB256"/>
  <c i="31680" r="AB257"/>
  <c i="31680" r="AB105"/>
  <c i="31680" r="AB166"/>
  <c i="31680" r="AB218"/>
  <c i="31680" r="AB99"/>
  <c i="31680" r="AB70"/>
  <c i="31680" r="AB204"/>
  <c i="31680" r="AB115"/>
  <c i="31680" r="AB151"/>
  <c i="31680" r="AB153"/>
  <c i="31680" r="AB272"/>
  <c i="31680" r="AB104"/>
  <c i="31680" r="AB203"/>
  <c i="31680" r="AB95"/>
  <c i="31680" r="AB223"/>
  <c i="31680" r="AB77"/>
  <c i="31680" r="AB76"/>
  <c i="31680" r="AB121"/>
  <c i="31680" r="AB233"/>
  <c i="31680" r="AB227"/>
  <c i="31680" r="AB251"/>
  <c i="31680" r="AB250"/>
  <c i="31680" r="AB230"/>
  <c i="31680" r="AB206"/>
  <c i="31680" r="AB113"/>
  <c i="31680" r="AB9"/>
  <c i="31680" r="AB114"/>
  <c i="31680" r="AB75"/>
  <c i="31680" r="AB176"/>
  <c i="31680" r="AB63"/>
  <c i="31680" r="AB175"/>
  <c i="31680" r="AB92"/>
  <c i="31680" r="AB21"/>
  <c i="31680" r="AB108"/>
  <c i="31680" r="AB96"/>
  <c i="31680" r="AB165"/>
  <c i="31680" r="AB52"/>
  <c i="31680" r="AB59"/>
  <c i="31680" r="AB61"/>
  <c i="31680" r="AB224"/>
  <c i="31680" r="AB87"/>
  <c i="31680" r="AB88"/>
  <c i="31680" r="AB171"/>
  <c i="31680" r="AB68"/>
  <c i="31680" r="AB247"/>
  <c i="31680" r="AB89"/>
  <c i="31680" r="AB197"/>
  <c i="31680" r="AB196"/>
  <c i="31680" r="AB210"/>
  <c i="31680" r="AB260"/>
  <c i="31680" r="AB259"/>
  <c i="31680" r="AB215"/>
  <c i="31680" r="AB110"/>
  <c i="31680" r="AB249"/>
  <c i="31680" r="AB147"/>
  <c i="31680" r="AB145"/>
  <c i="31680" r="AB155"/>
  <c i="31680" r="AB4"/>
  <c i="31680" r="AB142"/>
  <c i="31680" r="AB143"/>
  <c i="31680" r="AB144"/>
  <c i="31680" r="AB129"/>
  <c i="31680" r="AB119"/>
  <c i="31680" r="AB185"/>
  <c i="31680" r="AB133"/>
  <c i="31680" r="AB164"/>
  <c i="31680" r="AB194"/>
  <c i="31680" r="AB231"/>
  <c i="31680" r="AB54"/>
  <c i="31680" r="AB81"/>
  <c i="31680" r="AB228"/>
  <c i="31680" r="AB190"/>
  <c i="31680" r="AB84"/>
  <c i="31680" r="AB254"/>
  <c i="31680" r="AB128"/>
  <c i="31680" r="AB255"/>
  <c i="31680" r="AB109"/>
  <c i="31680" r="AB237"/>
  <c i="31680" r="AB238"/>
  <c i="31680" r="AB93"/>
  <c i="31680" r="AB94"/>
  <c i="31680" r="AB173"/>
  <c i="31680" r="AB243"/>
  <c i="31680" r="AB245"/>
  <c i="31680" r="AB91"/>
  <c i="31680" r="AB26"/>
  <c i="31680" r="AB246"/>
  <c i="31680" r="AB188"/>
  <c i="31680" r="AB37"/>
  <c i="31680" r="AB158"/>
  <c i="31680" r="AB234"/>
  <c i="31680" r="AB50"/>
  <c i="31680" r="AB183"/>
  <c i="31680" r="AB182"/>
  <c i="31680" r="AB235"/>
  <c i="31680" r="AB159"/>
  <c i="31680" r="AB161"/>
  <c i="31680" r="AB160"/>
  <c i="31680" r="AB55"/>
  <c i="31680" r="AB14"/>
  <c i="31680" r="AB25"/>
  <c i="31680" r="AB49"/>
  <c i="31680" r="AB258"/>
  <c i="31680" r="AB117"/>
  <c i="31680" r="AB58"/>
  <c i="31680" r="AB199"/>
  <c i="31680" r="AB122"/>
  <c i="31680" r="AB221"/>
  <c i="31680" r="AB201"/>
  <c i="31680" r="AB100"/>
  <c i="31680" r="AB28"/>
  <c i="31680" r="AB83"/>
  <c i="31680" r="AB163"/>
  <c i="31680" r="AB195"/>
  <c i="31680" r="AB19"/>
  <c i="31680" r="AB126"/>
  <c i="31680" r="AB10"/>
  <c i="31680" r="AB34"/>
  <c i="31680" r="AB12"/>
  <c i="31680" r="AB202"/>
  <c i="31680" r="AB74"/>
  <c i="31680" r="AB69"/>
  <c i="31680" r="AB90"/>
  <c i="31680" r="AB137"/>
  <c i="31680" r="AB78"/>
  <c i="31680" r="AB177"/>
  <c i="31680" r="AB40"/>
  <c i="31680" r="AB252"/>
  <c i="31680" r="AB217"/>
  <c i="31680" r="AB220"/>
  <c i="31680" r="AB79"/>
  <c i="31680" r="AB116"/>
  <c i="31680" r="AB178"/>
  <c i="31680" r="AB35"/>
  <c i="31680" r="AB24"/>
  <c i="31680" r="AB179"/>
  <c i="31680" r="AB23"/>
  <c i="31680" r="AB186"/>
  <c i="31680" r="AB127"/>
  <c i="31680" r="AB85"/>
  <c i="31680" r="AB222"/>
  <c i="31680" r="AB66"/>
  <c i="31680" r="AB80"/>
  <c i="31680" r="AB193"/>
  <c i="31680" r="AB64"/>
  <c i="31680" r="AB263"/>
  <c i="31680" r="AB214"/>
  <c i="31680" r="AB262"/>
  <c i="31680" r="AB135"/>
  <c i="31680" r="AB123"/>
  <c i="31680" r="AB51"/>
  <c i="31680" r="AB2"/>
  <c i="31680" r="AB3"/>
  <c i="31680" r="AB275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<sst xmlns="http://schemas.openxmlformats.org/spreadsheetml/2006/main" count="6197" uniqueCount="1233">
  <si>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</si>
  <si>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</si>
  <si>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</si>
  <si>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</si>
  <si>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</si>
  <si>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</si>
  <si>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</si>
  <si>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</si>
  <si>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</si>
  <si>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</si>
  <si>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</si>
  <si>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</si>
  <si>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</si>
  <si>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</si>
  <si>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</si>
  <si>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</si>
  <si>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</si>
  <si>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</si>
  <si>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</si>
  <si>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</si>
  <si>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</si>
  <si>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</si>
  <si>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</si>
  <si>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</si>
  <si>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</si>
  <si>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</si>
  <si>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</si>
  <si>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</si>
  <si>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</si>
  <si>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</si>
  <si>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</si>
  <si>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</si>
  <si>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</si>
  <si>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</si>
  <si>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</si>
  <si>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</si>
  <si>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</si>
  <si>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</si>
  <si>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</si>
  <si>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</si>
  <si>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</si>
  <si>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</si>
  <si>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</si>
  <si>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</si>
  <si>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</si>
  <si>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</si>
  <si>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</si>
  <si>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</si>
  <si>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</si>
  <si>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</si>
  <si>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</si>
  <si>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</si>
  <si>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</si>
  <si>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</si>
  <si>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</si>
  <si>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</si>
  <si>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</si>
  <si>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</si>
  <si>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</si>
  <si>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</si>
  <si>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</si>
  <si>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</si>
  <si>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</si>
  <si>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</si>
  <si>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</si>
  <si>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</si>
  <si>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</si>
  <si>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</si>
  <si>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</si>
  <si>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</si>
  <si>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</si>
  <si>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</si>
  <si>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</si>
  <si>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</si>
  <si>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</si>
  <si>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</si>
  <si>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</si>
  <si>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</si>
  <si>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</si>
  <si>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</si>
  <si>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</si>
  <si>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</si>
  <si>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</si>
  <si>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</si>
  <si>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</si>
  <si>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</si>
  <si>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</si>
  <si>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</si>
  <si>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</si>
  <si>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</si>
  <si>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</si>
  <si>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</si>
  <si>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</si>
  <si>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</si>
  <si>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</si>
  <si>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</si>
  <si>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</si>
  <si>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</si>
  <si>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</si>
  <si>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</si>
  <si>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</si>
  <si>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</si>
  <si>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</si>
  <si>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</si>
  <si>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</si>
  <si>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</si>
  <si>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</si>
  <si>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</si>
  <si>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</si>
  <si>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</si>
  <si>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</si>
  <si>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</si>
  <si>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</si>
  <si>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</si>
  <si>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</si>
  <si>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</si>
  <si>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</si>
  <si>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</si>
  <si>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</si>
  <si>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</si>
  <si>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</si>
  <si>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</si>
  <si>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</si>
  <si>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</si>
  <si>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</si>
  <si>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</si>
  <si>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</si>
  <si>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</si>
  <si>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</si>
  <si>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</si>
  <si>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</si>
  <si>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</si>
  <si>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</si>
  <si>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</si>
  <si>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</si>
  <si>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</si>
  <si>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</si>
  <si>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</si>
  <si>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</si>
  <si>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</si>
  <si>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</si>
  <si>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</si>
  <si>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</si>
  <si>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</si>
  <si>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</si>
  <si>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</si>
  <si>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</si>
  <si>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</si>
  <si>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</si>
  <si>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</si>
  <si>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</si>
  <si>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</si>
  <si>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</si>
  <si>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</si>
  <si>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</si>
  <si>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</si>
  <si>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</si>
  <si>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</si>
  <si>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</si>
  <si>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</si>
  <si>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</si>
  <si>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</si>
  <si>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</si>
  <si>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</si>
  <si>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</si>
  <si>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</si>
  <si>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</si>
  <si>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</si>
  <si>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</si>
  <si>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</si>
  <si>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</si>
  <si>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</si>
  <si>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</si>
  <si>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</si>
  <si>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</si>
  <si>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</si>
  <si>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</si>
  <si>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</si>
  <si>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</si>
  <si>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</si>
  <si>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</si>
  <si>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</si>
  <si>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</si>
  <si>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</si>
  <si>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</si>
  <si>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</si>
  <si>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</si>
  <si>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</si>
  <si>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</si>
  <si>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</si>
  <si>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</si>
  <si>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</si>
  <si>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</si>
  <si>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</si>
  <si>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</si>
  <si>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</si>
  <si>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</si>
  <si>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</si>
  <si>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</si>
  <si>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</si>
  <si>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</si>
  <si>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</si>
  <si>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</si>
  <si>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</si>
  <si>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</si>
  <si>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</si>
  <si>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</si>
  <si>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</si>
  <si>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</si>
  <si>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</si>
  <si>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</si>
  <si>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</si>
  <si>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</si>
  <si>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</si>
  <si>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</si>
  <si>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</si>
  <si>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</si>
  <si>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</si>
  <si>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</si>
  <si>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</si>
  <si>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</si>
  <si>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</si>
  <si>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</si>
  <si>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</si>
  <si>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</si>
  <si>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</si>
  <si>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</si>
  <si>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</si>
  <si>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</si>
  <si>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</si>
  <si>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</si>
  <si>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</si>
  <si>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</si>
  <si>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</si>
  <si>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</si>
  <si>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</si>
  <si>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</si>
  <si>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</si>
  <si>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</si>
  <si>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</si>
  <si>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</si>
  <si>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</si>
  <si>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</si>
  <si>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</si>
  <si>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</si>
  <si>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</si>
  <si>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</si>
  <si>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</si>
  <si>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</si>
  <si>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</si>
  <si>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</si>
  <si>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</si>
  <si>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</si>
  <si>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</si>
  <si>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</si>
  <si>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</si>
  <si>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</si>
  <si>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</si>
  <si>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</si>
  <si>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</si>
  <si>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</si>
  <si>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</si>
  <si>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</si>
  <si>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</si>
  <si>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</si>
  <si>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</si>
  <si>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</si>
  <si>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</si>
  <si>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</si>
  <si>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</si>
  <si>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</si>
  <si>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</si>
  <si>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</si>
  <si>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</si>
  <si>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</si>
  <si>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</si>
  <si>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</si>
  <si>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</si>
  <si>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</si>
  <si>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</si>
  <si>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</si>
  <si>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</si>
  <si>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</si>
  <si>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</si>
  <si>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</si>
  <si>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</si>
  <si>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</si>
  <si>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</si>
  <si>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</si>
  <si>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</si>
  <si>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</si>
  <si>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</si>
  <si>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</si>
  <si>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</si>
  <si>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</si>
  <si>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</si>
  <si>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</si>
  <si>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</si>
  <si>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</si>
  <si>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</si>
  <si>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</si>
  <si>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</si>
  <si>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</si>
  <si>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</si>
  <si>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</si>
  <si>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</si>
  <si>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</si>
  <si>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</si>
  <si>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</si>
  <si>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</si>
  <si>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</si>
  <si>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</si>
  <si>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</si>
  <si>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</si>
  <si>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</si>
  <si>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</si>
  <si>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</si>
  <si>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</si>
  <si>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</si>
  <si>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</si>
  <si>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</si>
  <si>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</si>
  <si>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</si>
  <si>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</si>
  <si>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</si>
  <si>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</si>
  <si>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</si>
  <si>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</si>
  <si>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</si>
  <si>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</si>
  <si>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</si>
  <si>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</si>
  <si>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</si>
  <si>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</si>
  <si>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</si>
  <si>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</si>
  <si>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</si>
  <si>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</si>
  <si>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</si>
  <si>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</si>
  <si>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</si>
  <si>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</si>
  <si>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</si>
  <si>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</si>
  <si>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</si>
  <si>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</si>
  <si>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</si>
  <si>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</si>
  <si>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</si>
  <si>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</si>
  <si>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</si>
  <si>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</si>
  <si>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</si>
  <si>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</si>
  <si>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</si>
  <si>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</si>
  <si>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</si>
  <si>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</si>
  <si>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</si>
  <si>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</si>
  <si>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</si>
  <si>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</si>
  <si>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</si>
  <si>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</si>
  <si>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</si>
  <si>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</si>
  <si>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</si>
  <si>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</si>
  <si>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</si>
  <si>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</si>
  <si>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</si>
  <si>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</si>
  <si>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</si>
  <si>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</si>
  <si>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</si>
  <si>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</si>
  <si>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</si>
  <si>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</si>
  <si>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</si>
  <si>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</si>
  <si>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</si>
  <si>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</si>
  <si>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</si>
  <si>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</si>
  <si>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</si>
  <si>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</si>
  <si>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</si>
  <si>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</si>
  <si>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</si>
  <si>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</si>
  <si>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</si>
  <si>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</si>
  <si>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</si>
  <si>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</si>
  <si>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</si>
  <si>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</si>
  <si>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</si>
  <si>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</si>
  <si>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</si>
  <si>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</si>
  <si>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</si>
  <si>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</si>
  <si>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</si>
  <si>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</si>
  <si>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</si>
  <si>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</si>
  <si>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</si>
  <si>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</si>
  <si>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</si>
  <si>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</si>
  <si>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</si>
  <si>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</si>
  <si>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</si>
  <si>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</si>
  <si>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</si>
  <si>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</si>
  <si>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</si>
  <si>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</si>
  <si>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</si>
  <si>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</si>
  <si>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</si>
  <si>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</si>
  <si>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</si>
  <si>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</si>
  <si>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</si>
  <si>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</si>
  <si>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</si>
  <si>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</si>
  <si>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</si>
  <si>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</si>
  <si>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</si>
  <si>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</si>
  <si>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</si>
  <si>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</si>
  <si>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</si>
  <si>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</si>
  <si>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</si>
  <si>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</si>
  <si>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</si>
  <si>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</si>
  <si>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</si>
  <si>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</si>
  <si>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</si>
  <si>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</si>
  <si>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</si>
  <si>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</si>
  <si>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</si>
  <si>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</si>
  <si>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</si>
  <si>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</si>
  <si>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</si>
  <si>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</si>
  <si>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</si>
  <si>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</si>
  <si>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</si>
  <si>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</si>
  <si>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</si>
  <si>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</si>
  <si>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</si>
  <si>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</si>
  <si>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</si>
  <si>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</si>
  <si>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</si>
  <si>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</si>
  <si>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</si>
  <si>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</si>
  <si>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</si>
  <si>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</si>
  <si>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</si>
  <si>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</si>
  <si>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</si>
  <si>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</si>
  <si>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</si>
  <si>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</si>
  <si>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</si>
  <si>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</si>
  <si>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</si>
  <si>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</si>
  <si>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</si>
  <si>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</si>
  <si>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</si>
  <si>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</si>
  <si>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</si>
  <si>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</si>
  <si>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</si>
  <si>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</si>
  <si>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</si>
  <si>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</si>
  <si>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</si>
  <si>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</si>
  <si>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</si>
  <si>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</si>
  <si>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</si>
  <si>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</si>
  <si>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</si>
  <si>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</si>
  <si>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</si>
  <si>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</si>
  <si>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</si>
  <si>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</si>
  <si>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</si>
  <si>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</si>
  <si>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</si>
  <si>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</si>
  <si>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</si>
  <si>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</si>
  <si>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</si>
  <si>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</si>
  <si>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</si>
  <si>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</si>
  <si>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</si>
  <si>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</si>
  <si>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</si>
  <si>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</si>
  <si>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</si>
  <si>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</si>
  <si>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</si>
  <si>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</si>
  <si>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</si>
  <si>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</si>
  <si>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</si>
  <si>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</si>
  <si>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</si>
  <si>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</si>
  <si>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</si>
  <si>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</si>
  <si>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</si>
  <si>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</si>
  <si>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</si>
  <si>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</si>
  <si>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</si>
  <si>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</si>
  <si>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</si>
  <si>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</si>
  <si>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</si>
  <si>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</si>
  <si>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</si>
  <si>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</si>
  <si>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</si>
  <si>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</si>
  <si>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</si>
  <si>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</si>
  <si>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</si>
  <si>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</si>
  <si>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</si>
  <si>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</si>
  <si>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</si>
  <si>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</si>
  <si>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</si>
  <si>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</si>
  <si>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</si>
  <si>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</si>
  <si>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</si>
  <si>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</si>
  <si>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</si>
  <si>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</si>
  <si>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</si>
  <si>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</si>
  <si>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</si>
  <si>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</si>
  <si>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</si>
  <si>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</si>
  <si>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</si>
  <si>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</si>
  <si>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</si>
  <si>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</si>
  <si>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</si>
  <si>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</si>
  <si>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</si>
  <si>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</si>
  <si>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</si>
  <si>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</si>
  <si>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</si>
  <si>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</si>
  <si>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</si>
  <si>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</si>
  <si>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</si>
  <si>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</si>
  <si>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</si>
  <si>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</si>
  <si>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</si>
  <si>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</si>
  <si>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</si>
  <si>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</si>
  <si>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</si>
  <si>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</si>
  <si>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</si>
  <si>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</si>
  <si>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</si>
  <si>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</si>
  <si>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</si>
  <si>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</si>
  <si>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CASH</t>
  </si>
  <si>
    <t xml:space="preserve">FT </t>
  </si>
  <si>
    <t>OTH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</si>
  <si>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</si>
  <si>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</si>
  <si>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</si>
  <si>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</si>
  <si>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</si>
  <si>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</si>
  <si>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</si>
  <si>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68 ALHAMBRA R BGC</t>
  </si>
  <si>
    <t>BHAM MIDSHIRES        020000389757/37175 DDR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</si>
  <si>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</si>
  <si>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</si>
  <si>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</si>
  <si>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</si>
  <si>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</si>
  <si>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</si>
  <si>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</si>
  <si>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</si>
  <si>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</si>
  <si>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</si>
  <si>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</si>
  <si>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BHAM MIDSHIRES        020007882432/46801 DDR</t>
  </si>
  <si>
    <t>G&amp;F VALENTINO         MTUCKER            STO</t>
  </si>
  <si>
    <t>BEALS ESTATE AGENT    FLAT 3169 FAWCETT  BGC</t>
  </si>
  <si>
    <t>BEALS ESTATE AGENT    FLAT 712-14 ALHAMB BGC</t>
  </si>
  <si>
    <t>BEALS ESTATE AGENT    FLAT 1169 FAWCETT  BGC</t>
  </si>
  <si>
    <t>BEALS ESTATE AGENT    FLAT 194-6 ALHAMBR BGC</t>
  </si>
  <si>
    <t>BEALS ESTATE AGENT    FLAT 184-6 ALHAMBR BGC</t>
  </si>
  <si>
    <t>BEALS ESTATE AGENT    FLAT 4321 LONDON R BGC</t>
  </si>
  <si>
    <t>20-53-97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</si>
  <si>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</si>
  <si>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</si>
  <si>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</si>
  <si>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</si>
  <si>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</si>
  <si>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</si>
  <si>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</si>
  <si>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</si>
  <si>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</si>
  <si>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</si>
  <si>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</si>
  <si>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</si>
  <si>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</si>
  <si>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</si>
  <si>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</si>
  <si>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</si>
  <si>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</si>
  <si>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</si>
  <si>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</si>
  <si>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</si>
  <si>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</si>
  <si>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</si>
  <si>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</si>
  <si>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</si>
  <si>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</si>
  <si>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</si>
  <si>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</si>
  <si>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</si>
  <si>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</si>
  <si>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</si>
  <si>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</si>
  <si>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</si>
  <si>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</si>
  <si>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</si>
  <si>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</si>
  <si>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</si>
  <si>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</si>
  <si>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205397 30728691       OPTIONAL           FT </t>
  </si>
  <si>
    <t>TUCK&amp;VALEN HSE%0 P    207409 40406538    STO</t>
  </si>
  <si>
    <t>IVANA TO CHASE UP NON PAID owes 1400 guarantor</t>
  </si>
  <si>
    <t>PORTSMOUTH COUNCIL    104502110          STO</t>
  </si>
  <si>
    <t>BHAM MIDSHIRES        020002731371/28015 DDR</t>
  </si>
  <si>
    <t>BOOTS</t>
  </si>
  <si>
    <t>BOOTS REWARDSCHEME    A45028400000736    DDR</t>
  </si>
  <si>
    <t>TOPAZ FIN JASPER      PRU00010/190959705 DDR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</si>
  <si>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</si>
  <si>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</si>
  <si>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</si>
  <si>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</si>
  <si>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Check Notice given - drug dealer- we need to get her out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</si>
  <si>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</si>
  <si>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</si>
  <si>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</si>
  <si>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</si>
  <si>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BEALS ESTATE AGENT    FLAT 1012-14 ALHAM BGC</t>
  </si>
  <si>
    <t>BEALS ESTATE AGENT    FLAT 1112-14 ALHAM BGC</t>
  </si>
  <si>
    <t>BEALS ESTATE AGENT    FLAT 88 ALHAMBRA R BGC</t>
  </si>
  <si>
    <t>Management Fee at 6% - Flat 3, 171 Fawcett Road, Southsea</t>
  </si>
  <si>
    <t>Amount payable to Ms Ivana Valentino - Flat 3, 171 Fawcett Road, Southsea</t>
  </si>
  <si>
    <t>Management Fee at 6% - Flat 16, 16-18 Alhambra Road, Southsea</t>
  </si>
  <si>
    <t>Amount payable to Ms Ivana Valentino - Flat 16, 16-18 Alhambra Road, Southsea</t>
  </si>
  <si>
    <t>Management Fee at 6% - Flat 12, 16-18 Alhambra Road, Southsea</t>
  </si>
  <si>
    <t>Amount payable to Ms Ivana Valentino - Flat 12, 16-18 Alhambra Road, Southsea</t>
  </si>
  <si>
    <t>Management Fee at 6% - Flat 16, 12-14 Alhambra Road, Southsea</t>
  </si>
  <si>
    <t>Amount payable to Ms Ivana Valentino - Flat 16, 12-14 Alhambra Road, Southsea</t>
  </si>
  <si>
    <t>Management Fee at 6% - Flat 11, 12-14 Alhambra Road, Southsea</t>
  </si>
  <si>
    <t>Amount payable to Ms Ivana Valentino - Flat 11, 12-14 Alhambra Road, Southsea</t>
  </si>
  <si>
    <t>Management Fee at 6% - Flat 5, 12-14 Alhambra Road, Southsea</t>
  </si>
  <si>
    <t>Amount payable to Ms Ivana Valentino - Flat 5, 12-14 Alhambra Road, Southsea</t>
  </si>
  <si>
    <t>Management Fee at 6% - Flat 3, 12-14 Alhambra Road, Southsea</t>
  </si>
  <si>
    <t>Amount payable to Ms Ivana Valentino - Flat 3, 12-14 Alhambra Road, Southsea</t>
  </si>
  <si>
    <t>Management Fee at 6%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</si>
  <si>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</si>
  <si>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</si>
  <si>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</si>
  <si>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Management Fee at 6% - 23c Hampshire Terrace, Portsmouth</t>
  </si>
  <si>
    <t>Amount payable to Ms Ivana Valentino - 23c Hampshire Terrace, Portsmouth</t>
  </si>
  <si>
    <t>Management Fee at 6% - 196b Kingston Road, Portsmouth</t>
  </si>
  <si>
    <t>Amount payable to Ms Ivana Valentino - 196b Kingston Road, Portsmouth</t>
  </si>
  <si>
    <t>Management Fee at 6% - Flat 20, 4-6 Alhambra Road, Southsea</t>
  </si>
  <si>
    <t>Amount payable to Mr Mathew Tucker - Flat 20, 4-6 Alhambra Road, Southsea</t>
  </si>
  <si>
    <t>Management Fee at 6% - Flat 19, 4-6 Alhambra Road, Southsea</t>
  </si>
  <si>
    <t>Amount payable to Mr Mathew Tucker - Flat 19,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</si>
  <si>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</si>
  <si>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</si>
  <si>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</si>
  <si>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</si>
  <si>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</si>
  <si>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</si>
  <si>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</si>
  <si>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</si>
  <si>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</si>
  <si>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</si>
  <si>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11, 16-18 Alhambra Road, Southsea</t>
  </si>
  <si>
    <t>Amount payable to Mr Mathew Tucker - Flat 11, 16-18 Alhambra Road, Southsea</t>
  </si>
  <si>
    <t>Management Fee at 6% - Flat 4, 321 London Road, Portsmouth</t>
  </si>
  <si>
    <t>Amount payable to Mr Mathew Tucker - Flat 4, 321 London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</si>
  <si>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</si>
  <si>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</si>
  <si>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</si>
  <si>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</si>
  <si>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</si>
  <si>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</si>
  <si>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</si>
  <si>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</si>
  <si>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</si>
  <si>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</si>
  <si>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</si>
  <si>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</si>
  <si>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</si>
  <si>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</si>
  <si>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</si>
  <si>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</si>
  <si>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Amount payable to Mr Mathew Tucker - Flat 3, 163 Fratton Road, Portsmouth</t>
  </si>
  <si>
    <t>Management Fee at 6% - Flat 7, 12-14 Alhambra Road, Southsea</t>
  </si>
  <si>
    <t>Amount payable to Mr Mathew Tucker - Flat 7, 12-14 Alhambra Road, Southsea</t>
  </si>
  <si>
    <t>Not paid in Oct - please check - Dates do not continue Set, Oct, Dec</t>
  </si>
  <si>
    <t>Evicted</t>
  </si>
  <si>
    <t>paid up until feb 2019</t>
  </si>
  <si>
    <t>Selling</t>
  </si>
  <si>
    <t>163FRA</t>
  </si>
  <si>
    <t>MT Period here covers 2 months but rent is 1 month</t>
  </si>
  <si>
    <t>MT Period here covers 2 months but rent is 1 month, same for NOV</t>
  </si>
  <si>
    <t>MT No rent and November period covers 2 months but rent is 1 month, same for NOV</t>
  </si>
  <si>
    <t>MT Rent Period November</t>
  </si>
  <si>
    <t>MT Missed payment</t>
  </si>
  <si>
    <t>For sale</t>
  </si>
  <si>
    <t>Notice given expired 19 Dec. Apply for possession on 18/01</t>
  </si>
  <si>
    <t>BEALS ESTATE AGENT    FLAT 2169 FAWCETT  BGC</t>
  </si>
  <si>
    <t>THE HARPUR TRUST D    TUCKM8  BVALR8     DDR</t>
  </si>
  <si>
    <t>THE HARPUR TRUST D    TUCKM8  PVALA1     DDR</t>
  </si>
  <si>
    <t>THE HARPUR TRUST D    TUCKMS  GVALS1     DDR</t>
  </si>
  <si>
    <t>Legislation &amp; Compliance  - 196b Kingston Road, Portsmouth</t>
  </si>
  <si>
    <t>Legislation &amp; Compliance  - 23c Hampshire Terrace, Portsmouth</t>
  </si>
  <si>
    <t>Legislation &amp; Compliance  - Flat 7, 8 Alhambra Road, Southsea</t>
  </si>
  <si>
    <t>Legislation &amp; Compliance  - Flat 8, 8 Alhambra Road, Southsea</t>
  </si>
  <si>
    <t>Legislation &amp; Compliance  - Flat 21, 4-6 Alhambra Road, Southsea</t>
  </si>
  <si>
    <t>Legislation &amp; Compliance  - Flat 3, 12-14 Alhambra Road, Southsea</t>
  </si>
  <si>
    <t>Legislation &amp; Compliance  - Flat 5, 12-14 Alhambra Road, Southsea</t>
  </si>
  <si>
    <t>Legislation &amp; Compliance  - Flat 11, 12-14 Alhambra Road, Southsea</t>
  </si>
  <si>
    <t>Legislation &amp; Compliance  - Flat 16, 12-14 Alhambra Road, Southsea</t>
  </si>
  <si>
    <t>Legislation &amp; Compliance  - Flat 7, 16-18 Alhambra Road, Southsea</t>
  </si>
  <si>
    <t>Legislation &amp; Compliance  - Flat 12, 16-18 Alhambra Road, Southsea</t>
  </si>
  <si>
    <t>Legislation &amp; Compliance  - Flat 16, 16-18 Alhambra Road, Southsea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</si>
  <si>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</si>
  <si>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</si>
  <si>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</si>
  <si>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</si>
  <si>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</si>
  <si>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</si>
  <si>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</si>
  <si>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</si>
  <si>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13, 16-18 Alhambra Road, Southsea</t>
  </si>
  <si>
    <t>Legislation &amp; Compliance  - Flat 1, 321 London Road, Portsmouth</t>
  </si>
  <si>
    <t>Legislation &amp; Compliance  - Flat 2, 321 London Road, Portsmouth</t>
  </si>
  <si>
    <t>Legislation &amp; Compliance  - Flat 3, 321 London Road, Portsmouth</t>
  </si>
  <si>
    <t>Legislation &amp; Compliance  - Flat 4, 321 London Road, Portsmouth</t>
  </si>
  <si>
    <t>Legislation &amp; Compliance  - Flat 2, 171 Fawcett Road, Southsea</t>
  </si>
  <si>
    <t>Legislation &amp; Compliance  - Flat 3, 169 Fawcett Road, Southsea</t>
  </si>
  <si>
    <t>Amount payable to Mr Mathew Tucker - Flat 2, 169 Fawcett Road, Southsea</t>
  </si>
  <si>
    <t>Legislation &amp; Compliance  - Flat 2, 169 Fawcett Road, Southsea</t>
  </si>
  <si>
    <t>Legislation &amp; Compliance  - Flat 1, 169 Fawcett Road, Southsea</t>
  </si>
  <si>
    <t>Legislation &amp; Compliance  - Shop, 196 Kingston Road, Portsmouth</t>
  </si>
  <si>
    <t>Legislation &amp; Compliance  - 196a Kingston Road, Portsmouth</t>
  </si>
  <si>
    <t>Legislation &amp; Compliance  - Flat 6, 8 Alhambra Road, Southsea</t>
  </si>
  <si>
    <t>Legislation &amp; Compliance  - Flat 5, 8 Alhambra Road, Southsea</t>
  </si>
  <si>
    <t>Legislation &amp; Compliance  - 23b Hampshire Terrace, Portsmouth</t>
  </si>
  <si>
    <t>Legislation &amp; Compliance  - Flat 3, 163 Fratton Road, Portsmouth</t>
  </si>
  <si>
    <t>Legislation &amp; Compliance  - Flat 7, 12-14 Alhambra Road, Southsea</t>
  </si>
  <si>
    <t>ID Check</t>
  </si>
  <si>
    <t>Paid to Jan in advance</t>
  </si>
  <si>
    <t>Carry forward from DEC</t>
  </si>
  <si>
    <t>Paid by IV for MT (F19 Court Fee)</t>
  </si>
  <si>
    <t>Paid by MT for IV (23C HT EPC)</t>
  </si>
  <si>
    <t>Carry to Feb</t>
  </si>
  <si>
    <t>BCC</t>
  </si>
  <si>
    <t>REFUND</t>
  </si>
  <si>
    <t>Rent for period 09/01/2019 - 08/02/2019 from Mr Nick Olsen - Flat 3, 171 Fawcett Road, Southsea</t>
  </si>
  <si>
    <t>Legislation &amp; Compliance  - Flat 3, 171 Fawcett Road, Southsea</t>
  </si>
  <si>
    <t>Rent for period 19/02/2019 - 18/03/2019 from Mr Jason Passmore - Flat 12, 16-18 Alhambra Road, Southsea</t>
  </si>
  <si>
    <t>Receipt - Works - Flat 3, 16-18 Alhambra Road, Southsea</t>
  </si>
  <si>
    <t>Rent for period 19/02/2019 - 18/03/2019 from Mr Aubrey Milligan - Flat 16, 12-14 Alhambra Road, Southsea</t>
  </si>
  <si>
    <t>Rent for period 23/02/2019 - 22/03/2019 from Mr Michael Valverde - Flat 5, 12-14 Alhambra Road, Southsea</t>
  </si>
  <si>
    <t>Rent for period 18/02/2019 - 17/03/2019 from Mr Andrew Greer - Flat 3, 12-14 Alhambra Road, Southsea</t>
  </si>
  <si>
    <t>Receipt - Works - Flat 23, 4-6 Alhambra Road, Southsea</t>
  </si>
  <si>
    <t>Rent for period 14/01/2019 - 13/02/2019 from Mr Christian John Bartlett - Flat 21, 4-6 Alhambra Road, Southsea</t>
  </si>
  <si>
    <t>Management Fee at 6% - Flat 21, 4-6 Alhambra Road, Southsea</t>
  </si>
  <si>
    <t>Rent for period 28/02/2019 - 29/03/2019 from Mr Andrew Austin - Flat 7, 8 Alhambra Road, Southsea</t>
  </si>
  <si>
    <t>Rent for period 14/02/2019 - 13/03/2019 from Mr John Sharpe - 196b Kingston Road, Portsmouth</t>
  </si>
  <si>
    <t>Rent for period 20/07/2018 - 19/08/2018 from Miss Sinead OBrien - Flat 19, 4-6 Alhambra Road, Southsea</t>
  </si>
  <si>
    <t>Rent for period 10/12/2018 - 09/01/2019 from Mr Johnathan Hill - Flat 17, 4-6 Alhambra Road, Southsea</t>
  </si>
  <si>
    <t>Management Fee at 6% - Flat 17, 4-6 Alhambra Road, Southsea</t>
  </si>
  <si>
    <t>Rent for period 26/02/2019 - 25/03/2019 from Mrs Dionne McLaughlin - Flat 18, 4-6 Alhambra Road, Southsea</t>
  </si>
  <si>
    <t>Rent for period 20/02/2019 - 19/03/2019 from Mr Andrew England - Flat 10, 12-14 Alhambra Road, Southsea</t>
  </si>
  <si>
    <t>Rent for period 12/02/2019 - 11/03/2019 from Mr Peter Taperek - Flat 6, 16-18 Alhambra Road, Southsea</t>
  </si>
  <si>
    <t>Rent for period 28/01/2019 - 27/02/2019 from Mr Tomas Gamarro Garcia, Miss Agnieszka Helena Kraus - Flat 13, 16-18 Alhambra Road, Southsea</t>
  </si>
  <si>
    <t>Management Fee at 6% - Flat 13, 16-18 Alhambra Road, Southsea</t>
  </si>
  <si>
    <t>Rent for period 28/02/2019 - 27/03/2019 from Mr Tomas Gamarro Garcia, Miss Agnieszka Helena Kraus - Flat 13, 16-18 Alhambra Road, Southsea</t>
  </si>
  <si>
    <t>Rent for period 26/02/2019 - 25/03/2019 from Miss Carol Carrington - Flat 4, 321 London Road, Portsmouth</t>
  </si>
  <si>
    <t>Rent for period 02/02/2019 - 01/03/2019 from Mr Michael Pedace - Flat 2, 171 Fawcett Road, Southsea</t>
  </si>
  <si>
    <t>Rent for period 11/02/2019 - 10/03/2019 from Mr Lee Knowles - Flat 2, 169 Fawcett Road, Southsea</t>
  </si>
  <si>
    <t>Rent for period 06/02/2019 - 05/03/2019 from Ms Susan Parkinson - Flat 1, 169 Fawcett Road, Southsea</t>
  </si>
  <si>
    <t>Rent for period 14/02/2019 - 13/03/2019 from Mr Martin Brett - Flat 3, 163 Fratton Road, Portsmouth</t>
  </si>
  <si>
    <t>Rent for period 14/02/2019 - 13/03/2019 from Mr Aleksandra Radzevics - Flat 7, 12-14 Alhambra Road, Southsea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</si>
  <si>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</si>
  <si>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</si>
  <si>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</si>
  <si>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</si>
  <si>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</si>
  <si>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</si>
  <si>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</si>
  <si>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</si>
  <si>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</si>
  <si>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</si>
  <si>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final payment for works -  - 196b Kingston Road, Portsmouth</t>
  </si>
  <si>
    <t>Gas safety certificate - Beals Plumbing - Flat 14, 12-14 Alhambra Road, Southsea</t>
  </si>
  <si>
    <t>Legislation &amp; Compliance  - Flat 1, 16-18 Alhambra Road, Southsea</t>
  </si>
  <si>
    <t>Insurance - Pi-Property Insurance - Flat 1, 321 London Road, Portsmouth</t>
  </si>
  <si>
    <t>Receipt - Insurance Money - Flat 1, 321 London Road, Portsmouth</t>
  </si>
  <si>
    <t>new filling loop required  - SC Plumbers LTD - 196a Kingston Road, Portsmouth</t>
  </si>
  <si>
    <t>Gas safety certificate &amp; Service - Beals Plumbing - Flat 7,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</si>
  <si>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</si>
  <si>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</si>
  <si>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</si>
  <si>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</si>
  <si>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</si>
  <si>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</si>
  <si>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</si>
  <si>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</si>
  <si>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</si>
  <si>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Rent for period 14/03/2019 - 13/04/2019 from Mr John Sharpe - 196b Kingston Road, Portsmouth</t>
  </si>
  <si>
    <t>Rent for period 01/03/2019 - 31/03/2019 from Miss Phoebe Louise Ranger - 23c Hampshire Terrace, Portsmouth</t>
  </si>
  <si>
    <t>Rent for period 26/02/2019 - 25/03/2019 from Ms Lisa Pegg - Flat 8, 8 Alhambra Road, Southsea</t>
  </si>
  <si>
    <t>Rent for period 14/02/2019 - 13/03/2019 from Mr Christian John Bartlett - Flat 21, 4-6 Alhambra Road, Southsea</t>
  </si>
  <si>
    <t>Amount payable to Ms Ivana Valentino - Flat 21, 4-6 Alhambra Road, Southsea</t>
  </si>
  <si>
    <t>Rent for period 18/03/2019 - 17/04/2019 from Mr Andrew Greer - Flat 3, 12-14 Alhambra Road, Southsea</t>
  </si>
  <si>
    <t>Rent for period 23/03/2019 - 22/04/2019 from Mr Michael Valverde - Flat 5, 12-14 Alhambra Road, Southsea</t>
  </si>
  <si>
    <t>Rent for period 03/03/2019 - 02/04/2019 from Mr Charles Ponan - Flat 11, 12-14 Alhambra Road, Southsea</t>
  </si>
  <si>
    <t>Rent for period 28/02/2019 - 27/03/2019 from Miss Julie Betteridge - Flat 3, 16-18 Alhambra Road, Southsea</t>
  </si>
  <si>
    <t>Management Fee at 6% - Flat 3, 16-18 Alhambra Road, Southsea</t>
  </si>
  <si>
    <t>Amount payable to Ms Ivana Valentino - Flat 3, 16-18 Alhambra Road, Southsea</t>
  </si>
  <si>
    <t>Legislation &amp; Compliance  - Flat 3, 16-18 Alhambra Road, Southsea</t>
  </si>
  <si>
    <t>Rent for period 08/03/2019 - 07/04/2019 from Mr Alan Young - Flat 7, 16-18 Alhambra Road, Southsea</t>
  </si>
  <si>
    <t>Management Fee at 6% - Flat 7, 16-18 Alhambra Road, Southsea</t>
  </si>
  <si>
    <t>Rent for period 08/02/2019 - 07/03/2019 from Mr Alan Young - Flat 7, 16-18 Alhambra Road, Southsea</t>
  </si>
  <si>
    <t>Rent for period 08/01/2019 - 07/02/2019 from Mr Alan Young - Flat 7, 16-18 Alhambra Road, Southsea</t>
  </si>
  <si>
    <t>Amount payable to Ms Ivana Valentino - Flat 7, 16-18 Alhambra Road, Southsea</t>
  </si>
  <si>
    <t>Rent for period 19/03/2019 - 18/04/2019 from Mr Jason Passmore - Flat 12, 16-18 Alhambra Road, Southsea</t>
  </si>
  <si>
    <t>Rent for period 28/03/2019 - 27/04/2019 from Mr Peter Gradon - Flat 16, 16-18 Alhambra Road, Southsea</t>
  </si>
  <si>
    <t>Rent for period 09/02/2019 - 08/03/2019 from Mr Nick Olsen - Flat 3, 171 Fawcett Road, Southsea</t>
  </si>
  <si>
    <t>Rent for period 16/02/2019 - 15/03/2019 from Miss Ausra Baziukiene - Flat 20, 4-6 Alhambra Road, Southsea</t>
  </si>
  <si>
    <t>Rent for period 16/03/2019 - 15/04/2019 from Miss Ausra Baziukiene - Flat 20, 4-6 Alhambra Road, Southsea</t>
  </si>
  <si>
    <t>Rent for period 20/08/2018 - 19/09/2018 from Miss Sinead OBrien - Flat 19, 4-6 Alhambra Road, Southsea</t>
  </si>
  <si>
    <t>Smoke Detector -  - Flat 17, 4-6 Alhambra Road, Southsea</t>
  </si>
  <si>
    <t>Rent for period 28/03/2019 - 31/03/2019 from Miss Maja Zuzanna Olczak - Flat 17, 4-6 Alhambra Road, Southsea</t>
  </si>
  <si>
    <t>First rent for period 28/02/2019 - 27/03/2019 from Miss Maja Zuzanna Olczak - Flat 17, 4-6 Alhambra Road, Southsea</t>
  </si>
  <si>
    <t>Amount payable to Mr Mathew Tucker - Flat 17, 4-6 Alhambra Road, Southsea</t>
  </si>
  <si>
    <t>keys -  - Flat 17, 4-6 Alhambra Road, Southsea</t>
  </si>
  <si>
    <t>Rent for period 26/03/2019 - 25/04/2019 from Mrs Dionne McLaughlin - Flat 18, 4-6 Alhambra Road, Southsea</t>
  </si>
  <si>
    <t>Rent for period 20/03/2019 - 19/04/2019 from Mr Andrew England - Flat 10, 12-14 Alhambra Road, Southsea</t>
  </si>
  <si>
    <t>Rent for period 06/03/2019 - 05/04/2019 from Mr Paul McIlwraith - Flat 14, 12-14 Alhambra Road, Southsea</t>
  </si>
  <si>
    <t>Rent for period 06/03/2019 - 05/04/2019 from Mr Tony Di-Marco - Flat 4, 12-14 Alhambra Road, Southsea</t>
  </si>
  <si>
    <t>Rent for period 12/03/2019 - 11/04/2019 from Mr Peter Taperek - Flat 6, 16-18 Alhambra Road, Southsea</t>
  </si>
  <si>
    <t>keys -  - Flat 6, 16-18 Alhambra Road, Southsea</t>
  </si>
  <si>
    <t>Rent for period 12/03/2019 - 11/04/2019 from Mr Sam Yates - Flat 11, 16-18 Alhambra Road, Southsea</t>
  </si>
  <si>
    <t>Rent for period 28/03/2019 - 27/04/2019 from Mr Tomas Gamarro Garcia, Miss Agnieszka Helena Kraus - Flat 13, 16-18 Alhambra Road, Southsea</t>
  </si>
  <si>
    <t>blocked toilet - One2Call - Flat 3, 321 London Road, Portsmouth</t>
  </si>
  <si>
    <t>Deep Clean - Mr Robert Ayres - Flat 4, 321 London Road, Portsmouth</t>
  </si>
  <si>
    <t>BE79-020119</t>
  </si>
  <si>
    <t>Rent for period 26/03/2019 - 25/04/2019 from Miss Carol Carrington - Flat 4, 321 London Road, Portsmouth</t>
  </si>
  <si>
    <t>Rent for period 02/03/2019 - 01/04/2019 from Mr Michael Pedace - Flat 2, 171 Fawcett Road, Southsea</t>
  </si>
  <si>
    <t>Rent for period 15/03/2019 - 14/04/2019 from Mr Graham Robinson - Flat 3, 169 Fawcett Road, Southsea</t>
  </si>
  <si>
    <t>Rent for period 11/03/2019 - 10/04/2019 from Mr Lee Knowles - Flat 2, 169 Fawcett Road, Southsea</t>
  </si>
  <si>
    <t>Rent for period 06/03/2019 - 05/04/2019 from Ms Susan Parkinson - Flat 1, 169 Fawcett Road, Southsea</t>
  </si>
  <si>
    <t>Rent for period 11/03/2019 - 10/04/2019 from Mr Martin Gliszczynski (SIE-SOF T/A Pol Help) - Shop, 196 Kingston Road, Portsmouth</t>
  </si>
  <si>
    <t>Rent for period 01/03/2019 - 31/03/2019 from Ms Joyce Henson - 196a Kingston Road, Portsmouth</t>
  </si>
  <si>
    <t>Rent for period 08/03/2019 - 07/04/2019 from Mr Antony Raymond Hinks - Flat 6, 8 Alhambra Road, Southsea</t>
  </si>
  <si>
    <t>Rent for period 14/03/2019 - 13/04/2019 from Ms Sharon Smith - Flat 5, 8 Alhambra Road, Southsea</t>
  </si>
  <si>
    <t>Rent for period 14/03/2019 - 13/04/2019 from Mr Martin Brett - Flat 3, 163 Fratton Road, Portsmouth</t>
  </si>
  <si>
    <t>Rent for period 14/03/2019 - 13/04/2019 from Mr Aleksandra Radzevics - Flat 7, 12-14 Alhambra Road, Southsea</t>
  </si>
  <si>
    <t>Rent for period 06/01/2019 - 05/02/2019 from Ms Kirstine Aldridge - Flat 1, 171 Fawcett Road, Southsea</t>
  </si>
  <si>
    <t>Management Fee at 6% - Flat 1, 171 Fawcett Road, Southsea</t>
  </si>
  <si>
    <t>Rent for period 06/03/2019 - 05/04/2019 from Ms Kirstine Aldridge - Flat 1, 171 Fawcett Road, Southsea</t>
  </si>
  <si>
    <t>Rent for period 06/02/2019 - 05/03/2019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</si>
  <si>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</si>
  <si>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</si>
  <si>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QUEENSWAY COFFEE      ON 28 FEB          CLP</t>
  </si>
  <si>
    <t>NYA*Express Vendin    ON 28 FEB          CLP</t>
  </si>
  <si>
    <t>M Tucker              M TUCKER           BGC</t>
  </si>
  <si>
    <t xml:space="preserve">COMPANIES HOUSE       1A 04148498        FT </t>
  </si>
  <si>
    <t>SQ *DECANT WINE AN    ON 02 MAR          CLP</t>
  </si>
  <si>
    <t>CO OPERATIVE FOOD     ON 03 MAR          CLP</t>
  </si>
  <si>
    <t>THE HIGHLANDS PHAR    ON 03 MAR          BCC</t>
  </si>
  <si>
    <t>PROPERTY118           ON 03 MAR          BCC</t>
  </si>
  <si>
    <t>NEW COUNTY SERVICE    ON 03 MAR          BCC</t>
  </si>
  <si>
    <t>LAND REGISTRY         ON 03 MAR          BCC</t>
  </si>
  <si>
    <t>CO OPERATIVE FOOD     ON 03 MAR          BCC</t>
  </si>
  <si>
    <t>BEALS ESTATE AGENT    SHOP196 KINGSTON R BGC</t>
  </si>
  <si>
    <t>EE LIMITED            Q13077400906272586 DDR</t>
  </si>
  <si>
    <t xml:space="preserve">Kindle Svcs*MW3QB8    LUXEMBOURG            </t>
  </si>
  <si>
    <t>DVLA VEHICLE TAX      ON 02 MAR          BCC</t>
  </si>
  <si>
    <t>PAYPAL CODE 5956      PAYPAL CODE 5956   BGC</t>
  </si>
  <si>
    <t>SOUTHERN ELECTRIC     6882766014         BBP</t>
  </si>
  <si>
    <t>SOUTHERN ELECTRIC     1410117012         BBP</t>
  </si>
  <si>
    <t>HMRC SELF ASSESSME    6776465142K        BBP</t>
  </si>
  <si>
    <t>QUEENSWAY COFFEE      ON 01 MAR          CLP</t>
  </si>
  <si>
    <t>NYA*Express Vendin    ON 01 MAR          CLP</t>
  </si>
  <si>
    <t>MARKS&amp;SPENCER PLC     ON 01 MAR          CLP</t>
  </si>
  <si>
    <t>NYA*Express Vendin    ON 04 MAR          CLP</t>
  </si>
  <si>
    <t>MARKS&amp;SPENCER PLC     ON 04 MAR          CLP</t>
  </si>
  <si>
    <t>LV INSURANCE W        ON 04 MAR          BCC</t>
  </si>
  <si>
    <t>KWIK-FIT.COM          ON 04 MAR          BCC</t>
  </si>
  <si>
    <t>BEALS ESTATE AGENT    FLAT 174-6 ALHAMBR BGC</t>
  </si>
  <si>
    <t xml:space="preserve">Prime Video*MW6CZ1    LUXEMBOURG            </t>
  </si>
  <si>
    <t>QUEENSWAY COFFEE      ON 05 MAR          CLP</t>
  </si>
  <si>
    <t>NYA*Express Vendin    ON 05 MAR          CLP</t>
  </si>
  <si>
    <t>CO OPERATIVE FOOD     ON 05 MAR          CLP</t>
  </si>
  <si>
    <t>RICHY HAIR UK         ON 05 MAR          BCC</t>
  </si>
  <si>
    <t>204112 07MAR 16.24    HITCHIN 3          ATM</t>
  </si>
  <si>
    <t>NYA*Express Vendin    ON 06 MAR          CLP</t>
  </si>
  <si>
    <t>MARKS&amp;SPENCER PLC     ON 06 MAR          CLP</t>
  </si>
  <si>
    <t>WH SMITH              ON 07 MAR          CLP</t>
  </si>
  <si>
    <t>WAITROSE 685          ON 07 MAR          CLP</t>
  </si>
  <si>
    <t>NYA*Express Vendin    ON 07 MAR          CLP</t>
  </si>
  <si>
    <t>MARKS&amp;SPENCER PLC     ON 07 MAR          CLP</t>
  </si>
  <si>
    <t>LATCHFORD AND LATC    ON 07 MAR          BCC</t>
  </si>
  <si>
    <t>Audible.co.uk         ON 07 MAR          BCC</t>
  </si>
  <si>
    <t>LAKESIDE FISH AND     ON 08 MAR          CLP</t>
  </si>
  <si>
    <t>TOP GIFT LTD          ON 10 MAR          CLP</t>
  </si>
  <si>
    <t>CO OPERATIVE FOOD     ON 08 MAR          CLP</t>
  </si>
  <si>
    <t>Wilstead Tandoori     ON 08 MAR          CLP</t>
  </si>
  <si>
    <t>CO OPERATIVE FOOD     ON 09 MAR          CLP</t>
  </si>
  <si>
    <t>COAL GRILL AND BAR    ON 10 MAR          BCC</t>
  </si>
  <si>
    <t>CO OPERATIVE FOOD     ON 09 MAR          BCC</t>
  </si>
  <si>
    <t>SABA PARK SVS UK -    ON 10 MAR          BCC</t>
  </si>
  <si>
    <t>MARKS&amp;SPENCER PLC     ON 11 MAR          CLP</t>
  </si>
  <si>
    <t>BP BEDFORD EXPRESS    ON 10 MAR          CLP</t>
  </si>
  <si>
    <t>QUEENSWAY COFFEE      ON 11 MAR          CLP</t>
  </si>
  <si>
    <t>NYA*Express Vendin    ON 11 MAR          CLP</t>
  </si>
  <si>
    <t>QUEENSWAY COFFEE      ON 12 MAR          CLP</t>
  </si>
  <si>
    <t>MARKS&amp;SPENCER PLC     ON 12 MAR          CLP</t>
  </si>
  <si>
    <t>NYA*Express Vendin    ON 12 MAR          CLP</t>
  </si>
  <si>
    <t>MARKS&amp;SPENCER PLC     ON 13 MAR          CLP</t>
  </si>
  <si>
    <t>NYA*Express Vendin    ON 13 MAR          CLP</t>
  </si>
  <si>
    <t>Spotify P09EA12044    ON 13 MAR          BCC</t>
  </si>
  <si>
    <t xml:space="preserve">Prime Video*MW23P2    LUXEMBOURG            </t>
  </si>
  <si>
    <t>NYA*Express Vendin    ON 14 MAR          CLP</t>
  </si>
  <si>
    <t>NEW COUNTY SERVICE    ON 14 MAR          BCC</t>
  </si>
  <si>
    <t>HOMEBASE LTD 049      ON 17 MAR          CLP</t>
  </si>
  <si>
    <t>Wilstead Tandoori     ON 16 MAR          CLP</t>
  </si>
  <si>
    <t>NEW COUNTY SERVICE    ON 17 MAR          CLP</t>
  </si>
  <si>
    <t>QUEENSWAY COFFEE      ON 15 MAR          CLP</t>
  </si>
  <si>
    <t>CO OPERATIVE FOOD     ON 17 MAR          CLP</t>
  </si>
  <si>
    <t>NYA*Express Vendin    ON 15 MAR          CLP</t>
  </si>
  <si>
    <t>MERCEDES BENZ B/SH    ON 15 MAR          BCC</t>
  </si>
  <si>
    <t>B &amp; Q 1142            ON 16 MAR          BCC</t>
  </si>
  <si>
    <t xml:space="preserve">AMZN Mktp UK*MW2M5    LUXEMBOURG            </t>
  </si>
  <si>
    <t xml:space="preserve">AMZN Mktp UK*MW89J    LUXEMBOURG            </t>
  </si>
  <si>
    <t xml:space="preserve">Prime Video*MW6852    LUXEMBOURG            </t>
  </si>
  <si>
    <t xml:space="preserve">PAYPAL PAYMENT        5CM22229DF5GW         </t>
  </si>
  <si>
    <t>MARKS&amp;SPENCER PLC     ON 18 MAR          CLP</t>
  </si>
  <si>
    <t>NYA*Express Vendin    ON 18 MAR          CLP</t>
  </si>
  <si>
    <t>QUEENSWAY COFFEE      ON 19 MAR          CLP</t>
  </si>
  <si>
    <t>NYA*Express Vendin    ON 19 MAR          CLP</t>
  </si>
  <si>
    <t xml:space="preserve">CHARGES               Pers OD Tier 2        </t>
  </si>
  <si>
    <t>MARKS&amp;SPENCER PLC     ON 20 MAR          CLP</t>
  </si>
  <si>
    <t>NYA*Express Vendin    ON 20 MAR          CLP</t>
  </si>
  <si>
    <t>MARKS&amp;SPENCER PLC     ON 21 MAR          CLP</t>
  </si>
  <si>
    <t>NYA*Express Vendin    ON 21 MAR          CLP</t>
  </si>
  <si>
    <t>WWW.DOORDEALS.CO.U    ON 21 MAR          BCC</t>
  </si>
  <si>
    <t>HM PASSPORT OFFICE    ON 21 MAR          BCC</t>
  </si>
  <si>
    <t xml:space="preserve">Amazon.co.uk*MW5MA    LUXEMBOURG            </t>
  </si>
  <si>
    <t>PUSHDOCTOR PUSH DO    ON 21 MAR          BCC</t>
  </si>
  <si>
    <t xml:space="preserve">JOHN PLUMBER          TUCKER VALENTINO   FT </t>
  </si>
  <si>
    <t>CO OPERATIVE FOOD     ON 24 MAR          CLP</t>
  </si>
  <si>
    <t>BOOTS 6407            ON 24 MAR          CLP</t>
  </si>
  <si>
    <t>IZ *Ampthill park     ON 23 MAR          CLP</t>
  </si>
  <si>
    <t>THE HALF MOON         ON 22 MAR          CLP</t>
  </si>
  <si>
    <t>NYA*Express Vendin    ON 22 MAR          CLP</t>
  </si>
  <si>
    <t>PETS AT HOME          ON 24 MAR          BCC</t>
  </si>
  <si>
    <t>ARGOS                 ON 24 MAR          BCC</t>
  </si>
  <si>
    <t>WH SMITH              ON 25 MAR          CLP</t>
  </si>
  <si>
    <t>MARKS&amp;SPENCER PLC     ON 25 MAR          CLP</t>
  </si>
  <si>
    <t>QUEENSWAY COFFEE      ON 25 MAR          CLP</t>
  </si>
  <si>
    <t>NYA*Express Vendin    ON 25 MAR          CLP</t>
  </si>
  <si>
    <t>HOMEBASE LTD 049      ON 25 MAR          BCC</t>
  </si>
  <si>
    <t>NEW COUNTY SERVICE    ON 25 MAR          BCC</t>
  </si>
  <si>
    <t xml:space="preserve">AMZN Mktp UK*MZ7R2    LUXEMBOURG            </t>
  </si>
  <si>
    <t>BEALS ESTATE AGENT    FLAT 1171 FAWCETT  BGC</t>
  </si>
  <si>
    <t>MARKS&amp;SPENCER PLC     ON 26 MAR          CLP</t>
  </si>
  <si>
    <t>QUEENSWAY COFFEE      ON 26 MAR          CLP</t>
  </si>
  <si>
    <t>NYA*Express Vendin    ON 26 MAR          CLP</t>
  </si>
  <si>
    <t>PAYPAL PAYMENT        5CM22229DF5GW      DDR</t>
  </si>
  <si>
    <t xml:space="preserve">MARK JONES PAINTER    TUCKRVALENTIN 0230 FT </t>
  </si>
  <si>
    <t xml:space="preserve">ANDREA                VALENTINO TUCKER   FT </t>
  </si>
  <si>
    <t xml:space="preserve">ANDY GAS              VALENTINTUCKR21780 FT </t>
  </si>
  <si>
    <t>ARGOS HITCHIN         ON 27 MAR          CLP</t>
  </si>
  <si>
    <t>NYA*Express Vendin    ON 27 MAR          CLP</t>
  </si>
  <si>
    <t xml:space="preserve">CITY DAMP             TUCKR VALENTNO 182 FT </t>
  </si>
  <si>
    <t>HOMEBASE LTD 049      ON 28 MAR          CLP</t>
  </si>
  <si>
    <t>MARKS&amp;SPENCER PLC     ON 28 MAR          CLP</t>
  </si>
  <si>
    <t>QUEENSWAY COFFEE      ON 28 MAR          CLP</t>
  </si>
  <si>
    <t>NYA*Express Vendin    ON 28 MAR          CLP</t>
  </si>
  <si>
    <t xml:space="preserve">AMZN DIGITAL*MZ4G7    LUXEMBOURG            </t>
  </si>
  <si>
    <t>MORTGAGE TRUST        002197389 10106820 DDR</t>
  </si>
  <si>
    <t>MORTGAGE TRUST        002186357 10106820 DDR</t>
  </si>
  <si>
    <t>MORTGAGE TRUST        002186356 10106820 DDR</t>
  </si>
  <si>
    <t>MORTGAGE TRUST        002186317 10106820 DDR</t>
  </si>
  <si>
    <t>Bugisiw Limited       BUGISIW LTD        BGC</t>
  </si>
  <si>
    <t>BEALS ESTATE AGENT    FLAT 1616-18 ALHAM BGC</t>
  </si>
  <si>
    <t>VLS RE KLARNA BANK    273295205206015    DDR</t>
  </si>
  <si>
    <t>BEALS ESTATE AGENT    FLAT 214-6 ALHAMBR BGC</t>
  </si>
  <si>
    <t>BHAM MIDSHIRES        020007900597/59348 DDR</t>
  </si>
  <si>
    <t>BT GROUP PLC          GB14092007-000054  DDR</t>
  </si>
  <si>
    <t>BEALS ESTATE AGENT    FLAT 316-18 ALHAMB BGC</t>
  </si>
  <si>
    <t xml:space="preserve">CHARGES               Pers OD Tier 3        </t>
  </si>
  <si>
    <t xml:space="preserve">207409 40406538       GASSTY 23 4-6ALHAM FT </t>
  </si>
  <si>
    <t>H3G                   980404269602220319 DDR</t>
  </si>
  <si>
    <t>BEALS ESTATE AGENT    FLAT 716-18 ALHAMB BGC</t>
  </si>
  <si>
    <t>MARKS&amp;SPENCER PLC     ON 28 FEB          CLP</t>
  </si>
  <si>
    <t>COSTA COFFEE 43035    ON 28 FEB          CLP</t>
  </si>
  <si>
    <t>BP BEDFORD EXPRESS    ON 27 FEB          CLP</t>
  </si>
  <si>
    <t>BP BEDFORD EXPRESS    ON 27 FEB          BCC</t>
  </si>
  <si>
    <t>H3G                   976046856201270219 DDR</t>
  </si>
  <si>
    <t xml:space="preserve">POST OFFICE           4 THE GREEN           </t>
  </si>
  <si>
    <t>MCDONALDS             ON 03 MAR          CLP</t>
  </si>
  <si>
    <t>BP BEDFORD EXPRESS    ON 02 MAR          CLP</t>
  </si>
  <si>
    <t>BP BEDFORD EXPRESS    ON 02 MAR          BCC</t>
  </si>
  <si>
    <t>MARKS&amp;SPENCER PLC     ON 02 MAR          CLP</t>
  </si>
  <si>
    <t>CO OPERATIVE FOOD     ON 02 MAR          CLP</t>
  </si>
  <si>
    <t>BOOTS 6407            ON 02 MAR          BCC</t>
  </si>
  <si>
    <t>TESCO STORE 2105      ON 01 MAR          CLP</t>
  </si>
  <si>
    <t>COSTA COFFEE 43035    ON 01 MAR          CLP</t>
  </si>
  <si>
    <t>BP BEDFORD EXPRESS    ON 28 FEB          CLP</t>
  </si>
  <si>
    <t>BOOTS 6407            ON 01 MAR          CLP</t>
  </si>
  <si>
    <t>COSTA COFFEE 43035    ON 04 MAR          CLP</t>
  </si>
  <si>
    <t>CO OPERATIVE FOOD     ON 04 MAR          CLP</t>
  </si>
  <si>
    <t>BUDGENS               ON 04 MAR          CLP</t>
  </si>
  <si>
    <t>MCDONALDS             ON 05 MAR          CLP</t>
  </si>
  <si>
    <t>NEW COUNTY SERVICE    ON 05 MAR          BCC</t>
  </si>
  <si>
    <t>DEBENHAMS.COM         ON 05 MAR          BCC</t>
  </si>
  <si>
    <t xml:space="preserve">TESCO                 TESCO BE BR DR EXP    </t>
  </si>
  <si>
    <t>CO OPERATIVE FOOD     ON 06 MAR          CLP</t>
  </si>
  <si>
    <t xml:space="preserve">POST OFFICE           47 - 49 KINGSTON R    </t>
  </si>
  <si>
    <t>TESCO STORES 6579     ON 07 MAR          CLP</t>
  </si>
  <si>
    <t>NEXT RETAIL LTD       ON 07 MAR          CLP</t>
  </si>
  <si>
    <t>CO OPERATIVE FOOD     ON 07 MAR          CLP</t>
  </si>
  <si>
    <t>BP BEDFORD EXPRESS    ON 06 MAR          CLP</t>
  </si>
  <si>
    <t>COSTA COFFEE 43035    ON 08 MAR          CLP</t>
  </si>
  <si>
    <t>BP BEDFORD EXPRESS    ON 07 MAR          CLP</t>
  </si>
  <si>
    <t>LIPHOOK SOUTH 230     ON 08 MAR          CLP</t>
  </si>
  <si>
    <t>TESCO PAY AT PUMP     ON 08 MAR          BCC</t>
  </si>
  <si>
    <t>LIPHOOK SOUTH 230     ON 08 MAR          BCC</t>
  </si>
  <si>
    <t>TESCO STORE 2105      ON 11 MAR          BCC</t>
  </si>
  <si>
    <t>CO OPERATIVE FOOD     ON 11 MAR          BCC</t>
  </si>
  <si>
    <t>BP BEDFORD EXPRESS    ON 12 MAR          CLP</t>
  </si>
  <si>
    <t>MCDONALDS             ON 13 MAR          CLP</t>
  </si>
  <si>
    <t>WWW.MONEYCLAIM.GOV    ON 13 MAR          BCC</t>
  </si>
  <si>
    <t>DEBENHAMS.COM         ON 13 MAR          BCC</t>
  </si>
  <si>
    <t>TESCO STORE 2105      ON 14 MAR          CLP</t>
  </si>
  <si>
    <t>TESCO STORE 2105      ON 14 MAR          BCC</t>
  </si>
  <si>
    <t xml:space="preserve">M LEPORE              ROCCO VT GIFT      FT </t>
  </si>
  <si>
    <t>MARKS&amp;SPENCER PLC     ON 15 MAR          CLP</t>
  </si>
  <si>
    <t>BOOTS 6407            ON 16 MAR          CLP</t>
  </si>
  <si>
    <t>BP NEWHAM AVENUE C    ON 14 MAR          CLP</t>
  </si>
  <si>
    <t>JOHN LEWIS            ON 16 MAR          CLP</t>
  </si>
  <si>
    <t>NEXT RETAIL LTD       ON 16 MAR          CLP</t>
  </si>
  <si>
    <t>WILKO BEDFORD INT     ON 16 MAR          CLP</t>
  </si>
  <si>
    <t>BP BEDFORD EXPRESS    ON 16 MAR          CLP</t>
  </si>
  <si>
    <t>STARBUCKS             ON 15 MAR          CLP</t>
  </si>
  <si>
    <t>BUDGENS               ON 15 MAR          CLP</t>
  </si>
  <si>
    <t>COSTA COFFEE 43035    ON 16 MAR          CLP</t>
  </si>
  <si>
    <t>PRET A MANGER         ON 16 MAR          CLP</t>
  </si>
  <si>
    <t>COSTA COFFEE 43035    ON 15 MAR          CLP</t>
  </si>
  <si>
    <t>Harpur Centre         ON 16 MAR          CLP</t>
  </si>
  <si>
    <t xml:space="preserve">POST OFFICE           46 ST JOHNS STREET    </t>
  </si>
  <si>
    <t>BOOTS 6407            ON 15 MAR          BCC</t>
  </si>
  <si>
    <t>JOHN LEWIS            ON 16 MAR          BCC</t>
  </si>
  <si>
    <t>MARKS&amp;SPENCER PLC     ON 17 MAR          BCC</t>
  </si>
  <si>
    <t>MKC PARKING RINGGO    ON 16 MAR          BCC</t>
  </si>
  <si>
    <t>TESCO STORE 2105      ON 18 MAR          CLP</t>
  </si>
  <si>
    <t>COSTA COFFEE 43035    ON 18 MAR          CLP</t>
  </si>
  <si>
    <t>BEDFORD BOROUGH CO    ON 16 MAR          BCC</t>
  </si>
  <si>
    <t>DEBENHAMS             ON 19 MAR          CLR</t>
  </si>
  <si>
    <t>MARKS&amp;SPENCER PLC     ON 19 MAR          CLP</t>
  </si>
  <si>
    <t>PHOTO ME INTERNATI    ON 19 MAR          CLP</t>
  </si>
  <si>
    <t>STARBUCKS CO          ON 19 MAR          CLP</t>
  </si>
  <si>
    <t>BUDGENS               ON 19 MAR          CLP</t>
  </si>
  <si>
    <t>Harpur Centre         ON 19 MAR          CLP</t>
  </si>
  <si>
    <t>BEDFORD BC - LURKE    ON 19 MAR          CLP</t>
  </si>
  <si>
    <t>BP NEWHAM AVENUE C    ON 18 MAR          BCC</t>
  </si>
  <si>
    <t>TESCO STORE 2105      ON 20 MAR          CLP</t>
  </si>
  <si>
    <t>POST OFFICE COUNTE    ON 20 MAR          CLP</t>
  </si>
  <si>
    <t>COSTA COFFEE 43035    ON 20 MAR          CLP</t>
  </si>
  <si>
    <t>BOOTS 6407            ON 21 MAR          CLP</t>
  </si>
  <si>
    <t>PHOTO ME INTERNATI    ON 21 MAR          CLP</t>
  </si>
  <si>
    <t>COSTA COFFEE 43035    ON 21 MAR          CLP</t>
  </si>
  <si>
    <t>Harpur Centre         ON 21 MAR          CLP</t>
  </si>
  <si>
    <t>WM MORRISONS PETRO    ON 21 MAR          BCC</t>
  </si>
  <si>
    <t>WH SMITH              ON 21 MAR          BCC</t>
  </si>
  <si>
    <t xml:space="preserve">205397 30728691       GASSTY 23 4-6ALHAM FT </t>
  </si>
  <si>
    <t>PAUL  SALT            GASSFTY 23 4-6ALHA BBP</t>
  </si>
  <si>
    <t>MARKS&amp;SPENCER PLC     ON 24 MAR          CLP</t>
  </si>
  <si>
    <t>MARKS&amp;SPENCER PLC     ON 23 MAR          CLP</t>
  </si>
  <si>
    <t>IZ *Happyfones Ltd    ON 23 MAR          CLP</t>
  </si>
  <si>
    <t>MCDONALDS 1548        ON 22 MAR          CLP</t>
  </si>
  <si>
    <t>NEXTR ETAIL LTD       ON 23 MAR          CLP</t>
  </si>
  <si>
    <t>CO OPERATIVE FOOD     ON 22 MAR          CLP</t>
  </si>
  <si>
    <t>MCDONALDS             ON 22 MAR          CLP</t>
  </si>
  <si>
    <t>MARKS&amp;SPENCER PLC     ON 22 MAR          CLP</t>
  </si>
  <si>
    <t>STARBUCKS             ON 22 MAR          CLP</t>
  </si>
  <si>
    <t>MCDONALDS             ON 23 MAR          CLP</t>
  </si>
  <si>
    <t>COSTA COFFEE 43035    ON 23 MAR          CLP</t>
  </si>
  <si>
    <t xml:space="preserve">AMAZON PRIME*MW3IM    LUXEMBOURG            </t>
  </si>
  <si>
    <t>PHONEANDPAY.CO.UK     ON 23 MAR          BCC</t>
  </si>
  <si>
    <t>HOBBYCRAFT            ON 25 MAR          CLP</t>
  </si>
  <si>
    <t>BUDGENS               ON 25 MAR          CLP</t>
  </si>
  <si>
    <t>COSTA COFFEE 43035    ON 25 MAR          CLP</t>
  </si>
  <si>
    <t>STARBUCKS             ON 25 MAR          CLP</t>
  </si>
  <si>
    <t xml:space="preserve">PILGRIMS PARENTS      VALENTINO TUCKER   FT </t>
  </si>
  <si>
    <t>NO LIMITZ             ON 26 MAR          CLP</t>
  </si>
  <si>
    <t>COSTA COFFEE 43035    ON 26 MAR          CLP</t>
  </si>
  <si>
    <t>MCDONALDS             ON 26 MAR          BCC</t>
  </si>
  <si>
    <t>MARKS&amp;SPENCER PLC     ON 27 MAR          CLP</t>
  </si>
  <si>
    <t>WWW.ARGOS.CO.UK       ON 27 MAR          BCC</t>
  </si>
  <si>
    <t>MKC PARKING RINGGO    ON 27 MAR          BCC</t>
  </si>
  <si>
    <t>CO OPERATIVE FOOD     ON 28 MAR          CLP</t>
  </si>
  <si>
    <t>POST OFFICE COUNTE    ON 28 MAR          CLP</t>
  </si>
  <si>
    <t>HOLLISTER (MIDSUMM    ON 27 MAR          BCC</t>
  </si>
  <si>
    <t>WAITROSE              ON 28 MAR          BCC</t>
  </si>
  <si>
    <t>H3G                   976046856201270319 DDR</t>
  </si>
  <si>
    <t>Plumb dw</t>
  </si>
  <si>
    <t>Plastering Fratton Rd</t>
  </si>
  <si>
    <t>EPC</t>
  </si>
  <si>
    <t>F2 London Rd damp</t>
  </si>
  <si>
    <t>Fix boiler + GSC</t>
  </si>
  <si>
    <t>Tax consultation</t>
  </si>
  <si>
    <t>I</t>
  </si>
  <si>
    <t>Car tax</t>
  </si>
  <si>
    <t>Personal tax</t>
  </si>
  <si>
    <t>Car insurance</t>
  </si>
  <si>
    <t>Car MOT</t>
  </si>
  <si>
    <t>Ivana hair</t>
  </si>
  <si>
    <t>Ivana dentist</t>
  </si>
  <si>
    <t>Ivana birthday</t>
  </si>
  <si>
    <t>Ivana car</t>
  </si>
  <si>
    <t>Passports</t>
  </si>
  <si>
    <t>Dog foods</t>
  </si>
  <si>
    <t>Need to get refund for this - property was sold on 22/2</t>
  </si>
  <si>
    <t>GSC</t>
  </si>
  <si>
    <t>Check</t>
  </si>
  <si>
    <t>171 Fawcett Rd communal door</t>
  </si>
  <si>
    <t>JAMIES SHOE REPAI    ON 11 MAR          CLP</t>
  </si>
  <si>
    <t>Washing machine F23</t>
  </si>
  <si>
    <t>Bailiffs</t>
  </si>
  <si>
    <t>Statement</t>
  </si>
  <si>
    <t>Invoice</t>
  </si>
  <si>
    <t>Supplier</t>
  </si>
  <si>
    <t/>
  </si>
  <si>
    <t>BK</t>
  </si>
  <si>
    <t>BK,PM,EX</t>
  </si>
  <si>
    <t>BK,MT</t>
  </si>
  <si>
    <t>RT</t>
  </si>
  <si>
    <t>MF</t>
  </si>
  <si>
    <t>PM</t>
  </si>
  <si>
    <t>EX</t>
  </si>
  <si>
    <t>321 London Rd</t>
  </si>
  <si>
    <t>Carrington (26/11/2010 - present)</t>
  </si>
  <si>
    <t>169 Fawcett Rd</t>
  </si>
  <si>
    <t>Susan Parkinson (06/11/2016 - present)</t>
  </si>
  <si>
    <t>Beals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</si>
  <si>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</si>
  <si>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</si>
  <si>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</si>
  <si>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</si>
  <si>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</si>
  <si>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163 Fratton Rd</t>
  </si>
  <si>
    <t>Martin Brett (14/04/2010 -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</si>
  <si>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</si>
  <si>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</si>
  <si>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</si>
  <si>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</si>
  <si>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</si>
  <si>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</si>
  <si>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</si>
  <si>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</si>
  <si>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</si>
  <si>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</si>
  <si>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</si>
  <si>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</si>
  <si>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Christian John Bartlett (14/12/2018 -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</si>
  <si>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</si>
  <si>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</si>
  <si>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</si>
  <si>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</si>
  <si>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</si>
  <si>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</si>
  <si>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</si>
  <si>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</si>
  <si>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</si>
  <si>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</si>
  <si>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</si>
  <si>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</si>
  <si>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</si>
  <si>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Peter Gradon (28/02/2018 - present)</t>
  </si>
  <si>
    <t>Toilet Leaking - SC Plumbers LTD - Flat 21, 4-6 Alhambra Road, Southsea</t>
  </si>
  <si>
    <t>No water at all and no heating - SC Plumbers LTD - Flat 21, 4-6 Alhambra Road, Southsea</t>
  </si>
  <si>
    <t>Various -  - Flat 3, 16-18 Alhambra Road, Southsea</t>
  </si>
  <si>
    <t>Kitchen tap broken - SC Plumbers LTD - Flat 17, 4-6 Alhambra Road, Southsea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</si>
</sst>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  <font>
      <name val="Calibri"/>
      <sz val="11.0"/>
      <i val="true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58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applyFill="1" applyFont="1" applyNumberFormat="1" applyProtection="1" borderId="6" fillId="8" fontId="5" numFmtId="166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ill="1" applyFont="1" borderId="0" fillId="6" fontId="2" numFmtId="0" xfId="0"/>
    <xf applyBorder="1" applyFill="1" borderId="17" fillId="6" fontId="0" numFmtId="0" xfId="0"/>
    <xf applyBorder="1" applyFill="1" borderId="18" fillId="6" fontId="0" numFmtId="0" xfId="0"/>
    <xf applyBorder="1" applyFill="1" borderId="19" fillId="6" fontId="0" numFmtId="0" xfId="0"/>
    <xf applyBorder="1" applyFill="1" borderId="20" fillId="6" fontId="0" numFmtId="0" xfId="0"/>
    <xf applyBorder="1" applyFill="1" applyFont="1" borderId="21" fillId="6" fontId="10" numFmtId="0" xfId="0"/>
    <xf applyBorder="1" applyFill="1" borderId="22" fillId="6" fontId="0" numFmtId="0" xfId="0"/>
    <xf applyBorder="1" applyFill="1" applyFont="1" borderId="17" fillId="6" fontId="5" numFmtId="0" xfId="0"/>
    <xf applyBorder="1" applyFill="1" applyFont="1" borderId="17" fillId="6" fontId="2" numFmtId="0" xfId="0"/>
    <xf applyBorder="1" applyFill="1" applyFont="1" borderId="18" fillId="6" fontId="2" numFmtId="0" xfId="0"/>
    <xf applyBorder="1" applyFill="1" applyFont="1" borderId="19" fillId="6" fontId="2" numFmtId="0" xfId="0"/>
    <xf applyFill="1" applyFont="1" borderId="0" fillId="6" fontId="26" numFmtId="0" xfId="0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NumberFormat="1" borderId="0" fillId="0" fontId="0" numFmtId="9" xfId="0"/>
    <xf applyBorder="1" applyNumberFormat="1" borderId="7" fillId="0" fontId="0" numFmtId="9" xfId="0"/>
    <xf applyFont="1" borderId="0" fillId="0" fontId="27" numFmtId="0" xfId="0"/>
    <xf applyNumberFormat="1" borderId="0" fillId="0" fontId="0" numFmtId="14" xfId="0"/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ill="1" borderId="0" fillId="9" fontId="0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workbookViewId="0" zoomScale="70" zoomScaleNormal="70">
      <selection activeCell="A56" sqref="A56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M1" s="139" t="s">
        <v>677</v>
      </c>
      <c r="N1" s="140"/>
      <c r="O1" s="140"/>
      <c r="P1" s="141"/>
      <c r="Q1" s="142"/>
      <c r="R1" s="131"/>
      <c r="S1" s="131"/>
      <c r="T1" s="131"/>
      <c r="U1" s="131"/>
      <c r="V1" s="52"/>
      <c r="W1" s="52"/>
    </row>
    <row ht="18.75" r="2" spans="1:23" thickBot="1" x14ac:dyDescent="0.3">
      <c r="M2" s="135"/>
      <c r="N2" s="136" t="s">
        <v>674</v>
      </c>
      <c r="O2" s="136"/>
      <c r="P2" s="137"/>
    </row>
    <row ht="15.75" r="3" spans="1:23" thickBot="1" x14ac:dyDescent="0.25">
      <c r="A3" s="7" t="s">
        <v>31</v>
      </c>
      <c r="B3" s="79" t="n">
        <v>43555.0</v>
      </c>
    </row>
    <row ht="14.25" r="4" spans="1:23" x14ac:dyDescent="0.2">
      <c r="A4" s="7"/>
      <c r="B4" s="7"/>
      <c r="M4" s="132"/>
      <c r="N4" s="133"/>
      <c r="O4" s="133"/>
      <c r="P4" s="134"/>
      <c r="Q4" s="138" t="s">
        <v>675</v>
      </c>
      <c r="R4" s="133"/>
      <c r="S4" s="133"/>
      <c r="T4" s="134"/>
    </row>
    <row customHeight="1" ht="14.25" r="5" spans="1:23" thickBot="1" x14ac:dyDescent="0.3">
      <c r="A5" s="47" t="s">
        <v>548</v>
      </c>
      <c r="B5" s="36"/>
      <c r="M5" s="135"/>
      <c r="N5" s="136" t="s">
        <v>674</v>
      </c>
      <c r="O5" s="136"/>
      <c r="P5" s="137"/>
      <c r="Q5" s="135"/>
      <c r="R5" s="136" t="s">
        <v>676</v>
      </c>
      <c r="S5" s="136"/>
      <c r="T5" s="137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551</v>
      </c>
      <c r="M7" s="24" t="s">
        <v>552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 t="s">
        <v>1190</v>
      </c>
      <c r="B9" s="37" t="s">
        <v>1182</v>
      </c>
      <c r="C9" s="38"/>
      <c r="D9" s="68"/>
      <c r="E9" s="68"/>
      <c r="F9" s="69"/>
      <c r="G9" s="70"/>
      <c r="H9" s="70"/>
      <c r="I9" s="71"/>
      <c r="J9" s="74"/>
      <c r="K9" s="72"/>
      <c r="L9" s="71" t="n">
        <v>49.25</v>
      </c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671</v>
      </c>
    </row>
    <row customHeight="1" ht="12.75" r="10" spans="1:23" x14ac:dyDescent="0.2">
      <c r="A10" s="22" t="s">
        <v>53</v>
      </c>
      <c r="B10" s="16" t="s">
        <v>1182</v>
      </c>
      <c r="C10" s="20"/>
      <c r="D10" s="68"/>
      <c r="E10" s="72"/>
      <c r="F10" s="73"/>
      <c r="G10" s="70"/>
      <c r="H10" s="70"/>
      <c r="I10" s="71"/>
      <c r="J10" s="74"/>
      <c r="K10" s="72"/>
      <c r="L10" s="71" t="n">
        <v>120.0</v>
      </c>
      <c r="M10" s="104" t="str">
        <f ref="M10:M63" si="1" t="shared">IF(F10-G10-H10-I10-L10&lt;&gt;0, F10-G10-H10-I10-L10,"")</f>
        <v/>
      </c>
      <c r="N10" s="40" t="s">
        <v>202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51" t="s">
        <v>741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22" t="s">
        <v>54</v>
      </c>
      <c r="B11" s="16" t="s">
        <v>1182</v>
      </c>
      <c r="C11" s="20"/>
      <c r="D11" s="68"/>
      <c r="E11" s="72"/>
      <c r="F11" s="73"/>
      <c r="G11" s="70"/>
      <c r="H11" s="70"/>
      <c r="I11" s="71"/>
      <c r="J11" s="74"/>
      <c r="K11" s="72"/>
      <c r="L11" s="71" t="n">
        <v>2406.0</v>
      </c>
      <c r="M11" s="104" t="str">
        <f si="1" t="shared"/>
        <v/>
      </c>
      <c r="N11" s="40" t="s">
        <v>258</v>
      </c>
      <c r="O11" s="73" t="n">
        <v>159.83</v>
      </c>
      <c r="P11" s="39">
        <f si="0" t="shared"/>
        <v>0</v>
      </c>
      <c r="Q11" s="120">
        <f si="2" t="shared"/>
        <v>0</v>
      </c>
      <c r="R11" s="126" t="s">
        <v>672</v>
      </c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1182</v>
      </c>
      <c r="C12" s="20"/>
      <c r="D12" s="68"/>
      <c r="E12" s="72"/>
      <c r="F12" s="73"/>
      <c r="G12" s="70"/>
      <c r="H12" s="70"/>
      <c r="I12" s="71"/>
      <c r="J12" s="74"/>
      <c r="K12" s="72"/>
      <c r="L12" s="71"/>
      <c r="M12" s="104" t="str">
        <f si="1" t="shared"/>
        <v/>
      </c>
      <c r="N12" s="40" t="s">
        <v>6</v>
      </c>
      <c r="O12" s="125"/>
      <c r="P12" s="39">
        <f si="0" t="shared"/>
        <v>0</v>
      </c>
      <c r="Q12" s="120">
        <f si="2" t="shared"/>
        <v>0</v>
      </c>
      <c r="R12" s="51"/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1191</v>
      </c>
      <c r="C13" s="20" t="s">
        <v>95</v>
      </c>
      <c r="D13" s="68" t="n">
        <v>43522.0</v>
      </c>
      <c r="E13" s="72" t="n">
        <v>43549.0</v>
      </c>
      <c r="F13" s="73" t="n">
        <v>192.4</v>
      </c>
      <c r="G13" s="70" t="n">
        <v>11.54</v>
      </c>
      <c r="H13" s="70" t="n">
        <v>2.31</v>
      </c>
      <c r="I13" s="71" t="n">
        <v>6.0</v>
      </c>
      <c r="J13" s="74" t="n">
        <v>172.55</v>
      </c>
      <c r="K13" s="72" t="n">
        <v>43535.66233796296</v>
      </c>
      <c r="L13" s="71"/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144" t="s">
        <v>745</v>
      </c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41" t="s">
        <v>1192</v>
      </c>
      <c r="B14" s="37" t="s">
        <v>1182</v>
      </c>
      <c r="C14" s="38"/>
      <c r="D14" s="68"/>
      <c r="E14" s="68"/>
      <c r="F14" s="69"/>
      <c r="G14" s="70"/>
      <c r="H14" s="70"/>
      <c r="I14" s="71"/>
      <c r="J14" s="74"/>
      <c r="K14" s="72"/>
      <c r="L14" s="71" t="n">
        <v>280.23</v>
      </c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1193</v>
      </c>
      <c r="C15" s="20" t="s">
        <v>1194</v>
      </c>
      <c r="D15" s="68" t="n">
        <v>43502.0</v>
      </c>
      <c r="E15" s="68" t="n">
        <v>43560.0</v>
      </c>
      <c r="F15" s="73" t="n">
        <v>466.12</v>
      </c>
      <c r="G15" s="70" t="n">
        <v>27.97</v>
      </c>
      <c r="H15" s="70" t="n">
        <v>5.59</v>
      </c>
      <c r="I15" s="71" t="n">
        <v>6.0</v>
      </c>
      <c r="J15" s="74" t="n">
        <v>426.56</v>
      </c>
      <c r="K15" s="72" t="n">
        <v>43535.66233796296</v>
      </c>
      <c r="L15" s="71"/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144" t="s">
        <v>746</v>
      </c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22" t="s">
        <v>58</v>
      </c>
      <c r="B16" s="16" t="s">
        <v>1195</v>
      </c>
      <c r="C16" s="20" t="s">
        <v>95</v>
      </c>
      <c r="D16" s="68" t="n">
        <v>43507.0</v>
      </c>
      <c r="E16" s="72" t="n">
        <v>43565.0</v>
      </c>
      <c r="F16" s="73" t="n">
        <v>461.52</v>
      </c>
      <c r="G16" s="70" t="n">
        <v>27.69</v>
      </c>
      <c r="H16" s="70" t="n">
        <v>5.54</v>
      </c>
      <c r="I16" s="71" t="n">
        <v>6.0</v>
      </c>
      <c r="J16" s="74" t="n">
        <v>422.29</v>
      </c>
      <c r="K16" s="72" t="n">
        <v>43535.66233796296</v>
      </c>
      <c r="L16" s="71"/>
      <c r="M16" s="104" t="str">
        <f si="1" t="shared"/>
        <v/>
      </c>
      <c r="N16" s="40" t="s">
        <v>6</v>
      </c>
      <c r="O16" s="125"/>
      <c r="P16" s="39">
        <f si="0" t="shared"/>
        <v>0</v>
      </c>
      <c r="Q16" s="120">
        <f si="2" t="shared"/>
        <v>0</v>
      </c>
      <c r="R16" s="144" t="s">
        <v>747</v>
      </c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1196</v>
      </c>
      <c r="C17" s="20" t="s">
        <v>95</v>
      </c>
      <c r="D17" s="68" t="n">
        <v>43539.0</v>
      </c>
      <c r="E17" s="72" t="n">
        <v>43569.0</v>
      </c>
      <c r="F17" s="73" t="n">
        <v>500.0</v>
      </c>
      <c r="G17" s="70" t="n">
        <v>30.0</v>
      </c>
      <c r="H17" s="70" t="n">
        <v>6.0</v>
      </c>
      <c r="I17" s="71" t="n">
        <v>6.0</v>
      </c>
      <c r="J17" s="74" t="n">
        <v>458.0</v>
      </c>
      <c r="K17" s="72" t="n">
        <v>43550.665034722224</v>
      </c>
      <c r="L17" s="71"/>
      <c r="M17" s="104" t="str">
        <f si="1" t="shared"/>
        <v/>
      </c>
      <c r="N17" s="40" t="s">
        <v>6</v>
      </c>
      <c r="O17" s="73" t="n">
        <v>153.87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1197</v>
      </c>
      <c r="C19" s="20" t="s">
        <v>95</v>
      </c>
      <c r="D19" s="68" t="n">
        <v>43471.0</v>
      </c>
      <c r="E19" s="68" t="n">
        <v>43560.0</v>
      </c>
      <c r="F19" s="73" t="n">
        <v>700.0</v>
      </c>
      <c r="G19" s="70" t="n">
        <v>42.0</v>
      </c>
      <c r="H19" s="70" t="n">
        <v>8.4</v>
      </c>
      <c r="I19" s="71" t="n">
        <v>6.0</v>
      </c>
      <c r="J19" s="74" t="n">
        <v>637.6</v>
      </c>
      <c r="K19" s="72" t="n">
        <v>43549.65667824074</v>
      </c>
      <c r="L19" s="71"/>
      <c r="M19" s="104" t="str">
        <f si="1" t="shared"/>
        <v/>
      </c>
      <c r="N19" s="40" t="s">
        <v>6</v>
      </c>
      <c r="O19" s="73" t="n">
        <v>236.44</v>
      </c>
      <c r="P19" s="39">
        <f si="0" t="shared"/>
        <v>0</v>
      </c>
      <c r="Q19" s="120">
        <f si="2" t="shared"/>
        <v>0</v>
      </c>
      <c r="R19" s="144" t="s">
        <v>747</v>
      </c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1198</v>
      </c>
      <c r="C20" s="20" t="s">
        <v>95</v>
      </c>
      <c r="D20" s="68" t="n">
        <v>43498.0</v>
      </c>
      <c r="E20" s="72" t="n">
        <v>43556.0</v>
      </c>
      <c r="F20" s="73" t="n">
        <v>461.52</v>
      </c>
      <c r="G20" s="70" t="n">
        <v>27.69</v>
      </c>
      <c r="H20" s="70" t="n">
        <v>5.54</v>
      </c>
      <c r="I20" s="71" t="n">
        <v>6.0</v>
      </c>
      <c r="J20" s="74" t="n">
        <v>422.29</v>
      </c>
      <c r="K20" s="72" t="n">
        <v>43535.66233796296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22" t="s">
        <v>188</v>
      </c>
      <c r="B21" s="16" t="s">
        <v>1199</v>
      </c>
      <c r="C21" s="20" t="s">
        <v>95</v>
      </c>
      <c r="D21" s="68" t="n">
        <v>43474.0</v>
      </c>
      <c r="E21" s="72" t="n">
        <v>43532.0</v>
      </c>
      <c r="F21" s="73" t="n">
        <v>461.52</v>
      </c>
      <c r="G21" s="70" t="n">
        <v>27.68</v>
      </c>
      <c r="H21" s="70" t="n">
        <v>5.54</v>
      </c>
      <c r="I21" s="71" t="n">
        <v>6.0</v>
      </c>
      <c r="J21" s="74" t="n">
        <v>422.3</v>
      </c>
      <c r="K21" s="72" t="n">
        <v>43535.66233796296</v>
      </c>
      <c r="L21" s="71"/>
      <c r="M21" s="104" t="str">
        <f si="1" t="shared"/>
        <v/>
      </c>
      <c r="N21" s="40" t="s">
        <v>6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55"/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41" t="s">
        <v>1200</v>
      </c>
      <c r="B22" s="37" t="s">
        <v>1182</v>
      </c>
      <c r="C22" s="38"/>
      <c r="D22" s="68"/>
      <c r="E22" s="68"/>
      <c r="F22" s="69"/>
      <c r="G22" s="70"/>
      <c r="H22" s="70"/>
      <c r="I22" s="71"/>
      <c r="J22" s="74"/>
      <c r="K22" s="72"/>
      <c r="L22" s="71" t="n">
        <v>900.0</v>
      </c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Height="1" ht="12.75" r="23" spans="1:22" x14ac:dyDescent="0.2">
      <c r="A23" s="22" t="s">
        <v>60</v>
      </c>
      <c r="B23" s="16" t="s">
        <v>1182</v>
      </c>
      <c r="C23" s="20"/>
      <c r="D23" s="68"/>
      <c r="E23" s="72"/>
      <c r="F23" s="73"/>
      <c r="G23" s="70"/>
      <c r="H23" s="70"/>
      <c r="I23" s="71"/>
      <c r="J23" s="74"/>
      <c r="K23" s="72"/>
      <c r="L23" s="71" t="n">
        <v>172.0</v>
      </c>
      <c r="M23" s="104" t="str">
        <f si="1" t="shared"/>
        <v/>
      </c>
      <c r="N23" s="40" t="s">
        <v>202</v>
      </c>
      <c r="O23" s="73"/>
      <c r="P23" s="39">
        <f si="3" t="shared"/>
        <v>0</v>
      </c>
      <c r="Q23" s="120">
        <f si="2" t="shared"/>
        <v>0</v>
      </c>
      <c r="R23" s="51" t="s">
        <v>743</v>
      </c>
      <c r="S23" s="62" t="s">
        <v>197</v>
      </c>
      <c r="T23" s="19" t="s">
        <v>406</v>
      </c>
      <c r="U23" s="19" t="s">
        <v>425</v>
      </c>
      <c r="V23" s="19">
        <v>9</v>
      </c>
    </row>
    <row customHeight="1" ht="12.75" r="24" spans="1:22" x14ac:dyDescent="0.2">
      <c r="A24" s="22" t="s">
        <v>61</v>
      </c>
      <c r="B24" s="16" t="s">
        <v>1201</v>
      </c>
      <c r="C24" s="20" t="s">
        <v>95</v>
      </c>
      <c r="D24" s="68" t="n">
        <v>43510.0</v>
      </c>
      <c r="E24" s="72" t="n">
        <v>43568.0</v>
      </c>
      <c r="F24" s="73" t="n">
        <v>415.4</v>
      </c>
      <c r="G24" s="70" t="n">
        <v>24.92</v>
      </c>
      <c r="H24" s="70" t="n">
        <v>4.99</v>
      </c>
      <c r="I24" s="71" t="n">
        <v>6.0</v>
      </c>
      <c r="J24" s="74" t="n">
        <v>379.49</v>
      </c>
      <c r="K24" s="72" t="n">
        <v>43535.66233796296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144" t="s">
        <v>748</v>
      </c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22" t="s">
        <v>62</v>
      </c>
      <c r="B25" s="16" t="s">
        <v>1182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si="1" t="shared"/>
        <v/>
      </c>
      <c r="N25" s="40" t="s">
        <v>202</v>
      </c>
      <c r="O25" s="73" t="n">
        <v>142.35</v>
      </c>
      <c r="P25" s="39">
        <f si="3" t="shared"/>
        <v>0</v>
      </c>
      <c r="Q25" s="120">
        <f si="2" t="shared"/>
        <v>0</v>
      </c>
      <c r="R25" s="51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1202</v>
      </c>
      <c r="C27" s="20" t="s">
        <v>1194</v>
      </c>
      <c r="D27" s="68" t="n">
        <v>43535.0</v>
      </c>
      <c r="E27" s="68" t="n">
        <v>43565.0</v>
      </c>
      <c r="F27" s="69" t="n">
        <v>350.0</v>
      </c>
      <c r="G27" s="70" t="n">
        <v>21.0</v>
      </c>
      <c r="H27" s="70" t="n">
        <v>4.2</v>
      </c>
      <c r="I27" s="71"/>
      <c r="J27" s="74" t="n">
        <v>324.8</v>
      </c>
      <c r="K27" s="72" t="n">
        <v>43539.602106481485</v>
      </c>
      <c r="L27" s="71"/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1203</v>
      </c>
      <c r="C28" s="20" t="s">
        <v>95</v>
      </c>
      <c r="D28" s="68" t="n">
        <v>43525.0</v>
      </c>
      <c r="E28" s="68" t="n">
        <v>43555.0</v>
      </c>
      <c r="F28" s="69" t="n">
        <v>520.0</v>
      </c>
      <c r="G28" s="70" t="n">
        <v>31.2</v>
      </c>
      <c r="H28" s="70" t="n">
        <v>6.24</v>
      </c>
      <c r="I28" s="71" t="n">
        <v>6.0</v>
      </c>
      <c r="J28" s="74" t="n">
        <v>476.56</v>
      </c>
      <c r="K28" s="72" t="n">
        <v>43525.62200231481</v>
      </c>
      <c r="L28" s="71"/>
      <c r="M28" s="104" t="str">
        <f si="1" t="shared"/>
        <v/>
      </c>
      <c r="N28" s="40" t="s">
        <v>6</v>
      </c>
      <c r="O28" s="69" t="n">
        <v>202.32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22" t="s">
        <v>65</v>
      </c>
      <c r="B29" s="16" t="s">
        <v>1204</v>
      </c>
      <c r="C29" s="20" t="s">
        <v>95</v>
      </c>
      <c r="D29" s="68" t="n">
        <v>43510.0</v>
      </c>
      <c r="E29" s="68" t="n">
        <v>43568.0</v>
      </c>
      <c r="F29" s="73" t="n">
        <v>466.12</v>
      </c>
      <c r="G29" s="70" t="n">
        <v>27.96</v>
      </c>
      <c r="H29" s="70" t="n">
        <v>5.59</v>
      </c>
      <c r="I29" s="71" t="n">
        <v>6.0</v>
      </c>
      <c r="J29" s="74" t="n">
        <v>426.57</v>
      </c>
      <c r="K29" s="72" t="n">
        <v>43535.66233796296</v>
      </c>
      <c r="L29" s="71"/>
      <c r="M29" s="104" t="str">
        <f si="1" t="shared"/>
        <v/>
      </c>
      <c r="N29" s="40" t="s">
        <v>6</v>
      </c>
      <c r="O29" s="73" t="n">
        <v>240.7</v>
      </c>
      <c r="P29" s="39">
        <f si="3" t="shared"/>
        <v>0</v>
      </c>
      <c r="Q29" s="120">
        <f si="2" t="shared"/>
        <v>0</v>
      </c>
      <c r="R29" s="144" t="s">
        <v>748</v>
      </c>
      <c r="S29" s="62" t="s">
        <v>396</v>
      </c>
      <c r="T29" s="19" t="s">
        <v>407</v>
      </c>
      <c r="U29" s="128" t="s">
        <v>430</v>
      </c>
      <c r="V29" s="128">
        <v>16</v>
      </c>
    </row>
    <row customHeight="1" ht="12.75" r="30" spans="1:22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22" t="s">
        <v>99</v>
      </c>
      <c r="B31" s="16" t="s">
        <v>1182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si="1" t="shared"/>
        <v/>
      </c>
      <c r="N31" s="40" t="s">
        <v>6</v>
      </c>
      <c r="O31" s="69" t="n">
        <v>217.44</v>
      </c>
      <c r="P31" s="39">
        <f si="3" t="shared"/>
        <v>0</v>
      </c>
      <c r="Q31" s="120">
        <f si="2" t="shared"/>
        <v>0</v>
      </c>
      <c r="R31" s="51" t="s">
        <v>669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22" t="s">
        <v>102</v>
      </c>
      <c r="B32" s="16" t="s">
        <v>1205</v>
      </c>
      <c r="C32" s="20" t="s">
        <v>1194</v>
      </c>
      <c r="D32" s="68" t="n">
        <v>43525.0</v>
      </c>
      <c r="E32" s="68" t="n">
        <v>43555.0</v>
      </c>
      <c r="F32" s="73" t="n">
        <v>720.0</v>
      </c>
      <c r="G32" s="70" t="n">
        <v>43.2</v>
      </c>
      <c r="H32" s="70" t="n">
        <v>8.64</v>
      </c>
      <c r="I32" s="71" t="n">
        <v>6.0</v>
      </c>
      <c r="J32" s="74" t="n">
        <v>662.16</v>
      </c>
      <c r="K32" s="72" t="n">
        <v>43525.62200231481</v>
      </c>
      <c r="L32" s="71"/>
      <c r="M32" s="104" t="str">
        <f si="1" t="shared"/>
        <v/>
      </c>
      <c r="N32" s="40" t="s">
        <v>6</v>
      </c>
      <c r="O32" s="73" t="n">
        <v>551.52</v>
      </c>
      <c r="P32" s="39">
        <f si="3" t="shared"/>
        <v>0</v>
      </c>
      <c r="Q32" s="120">
        <f si="2" t="shared"/>
        <v>0</v>
      </c>
      <c r="R32" s="40" t="s">
        <v>663</v>
      </c>
      <c r="S32" s="62" t="s">
        <v>396</v>
      </c>
      <c r="T32" s="19" t="s">
        <v>410</v>
      </c>
      <c r="U32" s="129" t="s">
        <v>432</v>
      </c>
      <c r="V32" s="129">
        <v>34</v>
      </c>
    </row>
    <row customHeight="1" ht="12.75" r="33" spans="1:22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22" t="s">
        <v>103</v>
      </c>
      <c r="B34" s="16" t="s">
        <v>1206</v>
      </c>
      <c r="C34" s="20" t="s">
        <v>95</v>
      </c>
      <c r="D34" s="68" t="n">
        <v>43538.0</v>
      </c>
      <c r="E34" s="72" t="n">
        <v>43568.0</v>
      </c>
      <c r="F34" s="73" t="n">
        <v>476.19</v>
      </c>
      <c r="G34" s="70" t="n">
        <v>28.57</v>
      </c>
      <c r="H34" s="70" t="n">
        <v>5.71</v>
      </c>
      <c r="I34" s="71" t="n">
        <v>6.0</v>
      </c>
      <c r="J34" s="74" t="n">
        <v>435.91</v>
      </c>
      <c r="K34" s="68" t="n">
        <v>43538.71234953704</v>
      </c>
      <c r="L34" s="71"/>
      <c r="M34" s="104" t="str">
        <f si="1" t="shared"/>
        <v/>
      </c>
      <c r="N34" s="50" t="s">
        <v>6</v>
      </c>
      <c r="O34" s="73" t="n">
        <v>215.85</v>
      </c>
      <c r="P34" s="39">
        <f si="3" t="shared"/>
        <v>0</v>
      </c>
      <c r="Q34" s="120">
        <f si="2" t="shared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1207</v>
      </c>
      <c r="C35" s="20" t="s">
        <v>95</v>
      </c>
      <c r="D35" s="68" t="n">
        <v>43532.0</v>
      </c>
      <c r="E35" s="68" t="n">
        <v>43562.0</v>
      </c>
      <c r="F35" s="69" t="n">
        <v>500.0</v>
      </c>
      <c r="G35" s="70" t="n">
        <v>30.0</v>
      </c>
      <c r="H35" s="70" t="n">
        <v>6.0</v>
      </c>
      <c r="I35" s="71" t="n">
        <v>6.0</v>
      </c>
      <c r="J35" s="74" t="n">
        <v>458.0</v>
      </c>
      <c r="K35" s="68" t="n">
        <v>43532.620983796296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1208</v>
      </c>
      <c r="C36" s="20" t="s">
        <v>1194</v>
      </c>
      <c r="D36" s="72" t="n">
        <v>43524.0</v>
      </c>
      <c r="E36" s="72" t="n">
        <v>43553.0</v>
      </c>
      <c r="F36" s="73" t="n">
        <v>250.0</v>
      </c>
      <c r="G36" s="70" t="n">
        <v>15.0</v>
      </c>
      <c r="H36" s="70" t="n">
        <v>3.0</v>
      </c>
      <c r="I36" s="71"/>
      <c r="J36" s="74" t="n">
        <v>232.0</v>
      </c>
      <c r="K36" s="72" t="n">
        <v>43528.68103009259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144" t="s">
        <v>748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1209</v>
      </c>
      <c r="C37" s="20" t="s">
        <v>95</v>
      </c>
      <c r="D37" s="68" t="n">
        <v>43522.0</v>
      </c>
      <c r="E37" s="68" t="n">
        <v>43549.0</v>
      </c>
      <c r="F37" s="73" t="n">
        <v>505.0</v>
      </c>
      <c r="G37" s="70" t="n">
        <v>30.3</v>
      </c>
      <c r="H37" s="70" t="n">
        <v>6.06</v>
      </c>
      <c r="I37" s="71" t="n">
        <v>6.0</v>
      </c>
      <c r="J37" s="74" t="n">
        <v>462.64</v>
      </c>
      <c r="K37" s="72" t="n">
        <v>43531.67097222222</v>
      </c>
      <c r="L37" s="71"/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9" t="s">
        <v>436</v>
      </c>
      <c r="V37" s="129">
        <v>32</v>
      </c>
    </row>
    <row customHeight="1" ht="12.75" r="38" spans="1:22" x14ac:dyDescent="0.2">
      <c r="A38" s="22" t="s">
        <v>224</v>
      </c>
      <c r="B38" s="16" t="s">
        <v>1210</v>
      </c>
      <c r="C38" s="20" t="s">
        <v>95</v>
      </c>
      <c r="D38" s="72" t="n">
        <v>43444.0</v>
      </c>
      <c r="E38" s="72" t="n">
        <v>43555.0</v>
      </c>
      <c r="F38" s="69" t="n">
        <v>726.19</v>
      </c>
      <c r="G38" s="70" t="n">
        <v>43.58</v>
      </c>
      <c r="H38" s="70" t="n">
        <v>8.72</v>
      </c>
      <c r="I38" s="71" t="n">
        <v>283.0</v>
      </c>
      <c r="J38" s="74" t="n">
        <v>390.89</v>
      </c>
      <c r="K38" s="72" t="n">
        <v>43525.62200231481</v>
      </c>
      <c r="L38" s="71"/>
      <c r="M38" s="104" t="str">
        <f si="1" t="shared"/>
        <v/>
      </c>
      <c r="N38" s="40" t="s">
        <v>202</v>
      </c>
      <c r="O38" s="69" t="n">
        <v>215.85</v>
      </c>
      <c r="P38" s="39">
        <f si="3" t="shared"/>
        <v>0</v>
      </c>
      <c r="Q38" s="120">
        <f si="2" t="shared"/>
        <v>0</v>
      </c>
      <c r="R38" s="40"/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22" t="s">
        <v>226</v>
      </c>
      <c r="B39" s="16" t="s">
        <v>1211</v>
      </c>
      <c r="C39" s="20" t="s">
        <v>95</v>
      </c>
      <c r="D39" s="72" t="n">
        <v>43522.0</v>
      </c>
      <c r="E39" s="72" t="n">
        <v>43580.0</v>
      </c>
      <c r="F39" s="69" t="n">
        <v>461.52</v>
      </c>
      <c r="G39" s="70" t="n">
        <v>27.69</v>
      </c>
      <c r="H39" s="70" t="n">
        <v>5.54</v>
      </c>
      <c r="I39" s="71" t="n">
        <v>6.0</v>
      </c>
      <c r="J39" s="74" t="n">
        <v>422.29</v>
      </c>
      <c r="K39" s="68" t="n">
        <v>43535.66233796296</v>
      </c>
      <c r="L39" s="71" t="n">
        <v>140.0</v>
      </c>
      <c r="M39" s="104" t="str">
        <f si="1" t="shared"/>
        <v/>
      </c>
      <c r="N39" s="40" t="s">
        <v>6</v>
      </c>
      <c r="O39" s="69" t="n">
        <v>215.85</v>
      </c>
      <c r="P39" s="39">
        <f si="3" t="shared"/>
        <v>0</v>
      </c>
      <c r="Q39" s="120">
        <f si="2" t="shared"/>
        <v>0</v>
      </c>
      <c r="R39" s="124" t="s">
        <v>673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22" t="s">
        <v>227</v>
      </c>
      <c r="B40" s="16" t="s">
        <v>1212</v>
      </c>
      <c r="C40" s="20" t="s">
        <v>1194</v>
      </c>
      <c r="D40" s="72" t="n">
        <v>43301.0</v>
      </c>
      <c r="E40" s="72" t="n">
        <v>43362.0</v>
      </c>
      <c r="F40" s="73" t="n">
        <v>344.2</v>
      </c>
      <c r="G40" s="70" t="n">
        <v>20.65</v>
      </c>
      <c r="H40" s="70" t="n">
        <v>4.13</v>
      </c>
      <c r="I40" s="71" t="n">
        <v>6.0</v>
      </c>
      <c r="J40" s="74" t="n">
        <v>313.42</v>
      </c>
      <c r="K40" s="72" t="n">
        <v>43535.66233796296</v>
      </c>
      <c r="L40" s="71"/>
      <c r="M40" s="104" t="str">
        <f si="1" t="shared"/>
        <v/>
      </c>
      <c r="N40" s="40" t="s">
        <v>258</v>
      </c>
      <c r="O40" s="73" t="n">
        <v>242.09</v>
      </c>
      <c r="P40" s="39">
        <f si="3" t="shared"/>
        <v>0</v>
      </c>
      <c r="Q40" s="120">
        <f si="2" t="shared"/>
        <v>0</v>
      </c>
      <c r="R40" s="126" t="s">
        <v>751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22" t="s">
        <v>228</v>
      </c>
      <c r="B41" s="16" t="s">
        <v>1213</v>
      </c>
      <c r="C41" s="20" t="s">
        <v>95</v>
      </c>
      <c r="D41" s="68" t="n">
        <v>43512.0</v>
      </c>
      <c r="E41" s="68" t="n">
        <v>43570.0</v>
      </c>
      <c r="F41" s="69" t="n">
        <v>950.0</v>
      </c>
      <c r="G41" s="70" t="n">
        <v>57.0</v>
      </c>
      <c r="H41" s="70" t="n">
        <v>11.4</v>
      </c>
      <c r="I41" s="71" t="n">
        <v>6.0</v>
      </c>
      <c r="J41" s="74" t="n">
        <v>875.6</v>
      </c>
      <c r="K41" s="68" t="n">
        <v>43536.653657407405</v>
      </c>
      <c r="L41" s="71"/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1214</v>
      </c>
      <c r="C42" s="20" t="s">
        <v>1194</v>
      </c>
      <c r="D42" s="68" t="n">
        <v>43479.0</v>
      </c>
      <c r="E42" s="68" t="n">
        <v>43537.0</v>
      </c>
      <c r="F42" s="73" t="n">
        <v>1000.0</v>
      </c>
      <c r="G42" s="70" t="n">
        <v>60.0</v>
      </c>
      <c r="H42" s="70" t="n">
        <v>12.0</v>
      </c>
      <c r="I42" s="71" t="n">
        <v>516.0</v>
      </c>
      <c r="J42" s="74" t="n">
        <v>418.0</v>
      </c>
      <c r="K42" s="72" t="n">
        <v>43529.67984953704</v>
      </c>
      <c r="L42" s="71"/>
      <c r="M42" s="104" t="str">
        <f si="1" t="shared"/>
        <v/>
      </c>
      <c r="N42" s="40" t="s">
        <v>202</v>
      </c>
      <c r="O42" s="73" t="n">
        <v>386.17</v>
      </c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9" t="s">
        <v>441</v>
      </c>
      <c r="V42" s="129">
        <v>28</v>
      </c>
    </row>
    <row customHeight="1" ht="12.75" r="43" spans="1:22" x14ac:dyDescent="0.25">
      <c r="A43" s="22" t="s">
        <v>67</v>
      </c>
      <c r="B43" s="16" t="s">
        <v>1182</v>
      </c>
      <c r="C43" s="20"/>
      <c r="D43" s="68"/>
      <c r="E43" s="68"/>
      <c r="F43" s="73"/>
      <c r="G43" s="70"/>
      <c r="H43" s="70"/>
      <c r="I43" s="71"/>
      <c r="J43" s="74"/>
      <c r="K43" s="72"/>
      <c r="L43" s="71" t="n">
        <v>40.0</v>
      </c>
      <c r="M43" s="104" t="str">
        <f si="1" t="shared"/>
        <v/>
      </c>
      <c r="N43" s="40" t="s">
        <v>202</v>
      </c>
      <c r="O43" s="73" t="n">
        <v>240.21</v>
      </c>
      <c r="P43" s="39">
        <f si="3" t="shared"/>
        <v>0</v>
      </c>
      <c r="Q43" s="120">
        <f si="2" t="shared"/>
        <v>0</v>
      </c>
      <c r="R43" s="51" t="s">
        <v>750</v>
      </c>
      <c r="S43" s="62" t="s">
        <v>396</v>
      </c>
      <c r="T43" s="19" t="s">
        <v>412</v>
      </c>
      <c r="U43" s="129" t="s">
        <v>442</v>
      </c>
      <c r="V43" s="129">
        <v>23</v>
      </c>
    </row>
    <row customHeight="1" ht="12.75" r="44" spans="1:22" x14ac:dyDescent="0.25">
      <c r="A44" s="22" t="s">
        <v>109</v>
      </c>
      <c r="B44" s="16" t="s">
        <v>1182</v>
      </c>
      <c r="C44" s="20"/>
      <c r="D44" s="68"/>
      <c r="E44" s="68"/>
      <c r="F44" s="73"/>
      <c r="G44" s="70"/>
      <c r="H44" s="70"/>
      <c r="I44" s="71"/>
      <c r="J44" s="74"/>
      <c r="K44" s="72"/>
      <c r="L44" s="71"/>
      <c r="M44" s="104" t="str">
        <f si="1" t="shared"/>
        <v/>
      </c>
      <c r="N44" s="40" t="s">
        <v>202</v>
      </c>
      <c r="O44" s="73" t="n">
        <v>242.16</v>
      </c>
      <c r="P44" s="39">
        <f si="3" t="shared"/>
        <v>0</v>
      </c>
      <c r="Q44" s="120">
        <f si="2" t="shared"/>
        <v>0</v>
      </c>
      <c r="R44" s="51" t="s">
        <v>750</v>
      </c>
      <c r="S44" s="62" t="s">
        <v>396</v>
      </c>
      <c r="T44" s="19" t="s">
        <v>412</v>
      </c>
      <c r="U44" s="130" t="s">
        <v>443</v>
      </c>
      <c r="V44" s="130">
        <v>27</v>
      </c>
    </row>
    <row customHeight="1" ht="12.75" r="45" spans="1:22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1215</v>
      </c>
      <c r="C46" s="20" t="s">
        <v>1194</v>
      </c>
      <c r="D46" s="68" t="n">
        <v>43514.0</v>
      </c>
      <c r="E46" s="68" t="n">
        <v>43572.0</v>
      </c>
      <c r="F46" s="73" t="n">
        <v>466.12</v>
      </c>
      <c r="G46" s="70" t="n">
        <v>27.97</v>
      </c>
      <c r="H46" s="70" t="n">
        <v>5.59</v>
      </c>
      <c r="I46" s="71" t="n">
        <v>6.0</v>
      </c>
      <c r="J46" s="74" t="n">
        <v>426.56</v>
      </c>
      <c r="K46" s="72" t="n">
        <v>43535.66233796296</v>
      </c>
      <c r="L46" s="71"/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/>
      <c r="S46" s="62" t="s">
        <v>396</v>
      </c>
      <c r="T46" s="19" t="s">
        <v>406</v>
      </c>
      <c r="U46" s="128" t="s">
        <v>444</v>
      </c>
      <c r="V46" s="128">
        <v>46</v>
      </c>
    </row>
    <row customHeight="1" ht="12.75" r="47" spans="1:22" x14ac:dyDescent="0.2">
      <c r="A47" s="22" t="s">
        <v>69</v>
      </c>
      <c r="B47" s="16" t="s">
        <v>1216</v>
      </c>
      <c r="C47" s="20" t="s">
        <v>1194</v>
      </c>
      <c r="D47" s="68" t="n">
        <v>43530.0</v>
      </c>
      <c r="E47" s="68" t="n">
        <v>43560.0</v>
      </c>
      <c r="F47" s="69" t="n">
        <v>510.71</v>
      </c>
      <c r="G47" s="70" t="n">
        <v>30.65</v>
      </c>
      <c r="H47" s="70" t="n">
        <v>6.13</v>
      </c>
      <c r="I47" s="71" t="n">
        <v>6.0</v>
      </c>
      <c r="J47" s="74" t="n">
        <v>467.93</v>
      </c>
      <c r="K47" s="72" t="n">
        <v>43530.6734375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1217</v>
      </c>
      <c r="C48" s="20" t="s">
        <v>95</v>
      </c>
      <c r="D48" s="68" t="n">
        <v>43519.0</v>
      </c>
      <c r="E48" s="68" t="n">
        <v>43577.0</v>
      </c>
      <c r="F48" s="73" t="n">
        <v>452.32</v>
      </c>
      <c r="G48" s="70" t="n">
        <v>27.13</v>
      </c>
      <c r="H48" s="70" t="n">
        <v>5.43</v>
      </c>
      <c r="I48" s="71" t="n">
        <v>6.0</v>
      </c>
      <c r="J48" s="74" t="n">
        <v>413.76</v>
      </c>
      <c r="K48" s="72" t="n">
        <v>43535.66233796296</v>
      </c>
      <c r="L48" s="71" t="n">
        <v>105.0</v>
      </c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8" t="s">
        <v>446</v>
      </c>
      <c r="V48" s="128">
        <v>47</v>
      </c>
    </row>
    <row r="49" spans="1:22" x14ac:dyDescent="0.2">
      <c r="A49" s="22" t="s">
        <v>111</v>
      </c>
      <c r="B49" s="16" t="s">
        <v>1218</v>
      </c>
      <c r="C49" s="20" t="s">
        <v>95</v>
      </c>
      <c r="D49" s="72" t="n">
        <v>43510.0</v>
      </c>
      <c r="E49" s="72" t="n">
        <v>43568.0</v>
      </c>
      <c r="F49" s="73" t="n">
        <v>461.52</v>
      </c>
      <c r="G49" s="70" t="n">
        <v>27.69</v>
      </c>
      <c r="H49" s="70" t="n">
        <v>5.54</v>
      </c>
      <c r="I49" s="71" t="n">
        <v>6.0</v>
      </c>
      <c r="J49" s="74" t="n">
        <v>422.29</v>
      </c>
      <c r="K49" s="72" t="n">
        <v>43535.66233796296</v>
      </c>
      <c r="L49" s="71"/>
      <c r="M49" s="104" t="str">
        <f si="1" t="shared"/>
        <v/>
      </c>
      <c r="N49" s="40" t="s">
        <v>6</v>
      </c>
      <c r="O49" s="73" t="n">
        <v>212.04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22" t="s">
        <v>231</v>
      </c>
      <c r="B50" s="16" t="s">
        <v>1219</v>
      </c>
      <c r="C50" s="20" t="s">
        <v>1194</v>
      </c>
      <c r="D50" s="68" t="n">
        <v>43527.0</v>
      </c>
      <c r="E50" s="68" t="n">
        <v>43557.0</v>
      </c>
      <c r="F50" s="69" t="n">
        <v>550.0</v>
      </c>
      <c r="G50" s="70" t="n">
        <v>33.0</v>
      </c>
      <c r="H50" s="70" t="n">
        <v>6.6</v>
      </c>
      <c r="I50" s="71" t="n">
        <v>6.0</v>
      </c>
      <c r="J50" s="74" t="n">
        <v>504.4</v>
      </c>
      <c r="K50" s="72" t="n">
        <v>43528.68103009259</v>
      </c>
      <c r="L50" s="71"/>
      <c r="M50" s="104" t="str">
        <f si="1" t="shared"/>
        <v/>
      </c>
      <c r="N50" s="40" t="s">
        <v>6</v>
      </c>
      <c r="O50" s="69" t="n">
        <v>206.8</v>
      </c>
      <c r="P50" s="39">
        <f si="3" t="shared"/>
        <v>0</v>
      </c>
      <c r="Q50" s="120">
        <f si="2" t="shared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1220</v>
      </c>
      <c r="C51" s="20" t="s">
        <v>95</v>
      </c>
      <c r="D51" s="68" t="n">
        <v>43516.0</v>
      </c>
      <c r="E51" s="68" t="n">
        <v>43574.0</v>
      </c>
      <c r="F51" s="73" t="n">
        <v>461.52</v>
      </c>
      <c r="G51" s="70" t="n">
        <v>27.69</v>
      </c>
      <c r="H51" s="70" t="n">
        <v>5.54</v>
      </c>
      <c r="I51" s="71" t="n">
        <v>6.0</v>
      </c>
      <c r="J51" s="74" t="n">
        <v>422.29</v>
      </c>
      <c r="K51" s="72" t="n">
        <v>43535.66233796296</v>
      </c>
      <c r="L51" s="71"/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9" t="s">
        <v>449</v>
      </c>
      <c r="V51" s="129">
        <v>53</v>
      </c>
    </row>
    <row customHeight="1" ht="12.75" r="52" spans="1:22" x14ac:dyDescent="0.2">
      <c r="A52" s="22" t="s">
        <v>71</v>
      </c>
      <c r="B52" s="16" t="s">
        <v>1221</v>
      </c>
      <c r="C52" s="20" t="s">
        <v>1194</v>
      </c>
      <c r="D52" s="68" t="n">
        <v>43530.0</v>
      </c>
      <c r="E52" s="68" t="n">
        <v>43560.0</v>
      </c>
      <c r="F52" s="69" t="n">
        <v>500.0</v>
      </c>
      <c r="G52" s="70" t="n">
        <v>30.0</v>
      </c>
      <c r="H52" s="70" t="n">
        <v>6.0</v>
      </c>
      <c r="I52" s="71" t="n">
        <v>6.0</v>
      </c>
      <c r="J52" s="74" t="n">
        <v>458.0</v>
      </c>
      <c r="K52" s="72" t="n">
        <v>43530.6734375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1222</v>
      </c>
      <c r="C53" s="20" t="s">
        <v>95</v>
      </c>
      <c r="D53" s="68" t="n">
        <v>43515.0</v>
      </c>
      <c r="E53" s="68" t="n">
        <v>43542.0</v>
      </c>
      <c r="F53" s="73" t="n">
        <v>461.52</v>
      </c>
      <c r="G53" s="70" t="n">
        <v>27.69</v>
      </c>
      <c r="H53" s="70" t="n">
        <v>5.54</v>
      </c>
      <c r="I53" s="71" t="n">
        <v>6.0</v>
      </c>
      <c r="J53" s="74" t="n">
        <v>422.29</v>
      </c>
      <c r="K53" s="72" t="n">
        <v>43535.66233796296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8" t="s">
        <v>451</v>
      </c>
      <c r="V53" s="128">
        <v>55</v>
      </c>
    </row>
    <row customHeight="1" ht="12.75" r="54" spans="1:22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22" t="s">
        <v>73</v>
      </c>
      <c r="B55" s="16" t="s">
        <v>1182</v>
      </c>
      <c r="C55" s="20"/>
      <c r="D55" s="68"/>
      <c r="E55" s="68"/>
      <c r="F55" s="69"/>
      <c r="G55" s="70"/>
      <c r="H55" s="70"/>
      <c r="I55" s="71"/>
      <c r="J55" s="74"/>
      <c r="K55" s="72"/>
      <c r="L55" s="71"/>
      <c r="M55" s="104" t="str">
        <f si="1" t="shared"/>
        <v/>
      </c>
      <c r="N55" s="40" t="s">
        <v>6</v>
      </c>
      <c r="O55" s="69" t="n">
        <v>251.78</v>
      </c>
      <c r="P55" s="39">
        <f si="3" t="shared"/>
        <v>0</v>
      </c>
      <c r="Q55" s="120">
        <f si="2" t="shared"/>
        <v>0</v>
      </c>
      <c r="R55" s="144" t="s">
        <v>749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1223</v>
      </c>
      <c r="C56" s="20" t="s">
        <v>1194</v>
      </c>
      <c r="D56" s="68" t="n">
        <v>43524.0</v>
      </c>
      <c r="E56" s="68" t="n">
        <v>43551.0</v>
      </c>
      <c r="F56" s="73" t="n">
        <v>600.0</v>
      </c>
      <c r="G56" s="70" t="n">
        <v>36.0</v>
      </c>
      <c r="H56" s="70" t="n">
        <v>7.2</v>
      </c>
      <c r="I56" s="71" t="n">
        <v>6.0</v>
      </c>
      <c r="J56" s="74" t="n">
        <v>550.8</v>
      </c>
      <c r="K56" s="72" t="n">
        <v>43542.66675925926</v>
      </c>
      <c r="L56" s="71" t="n">
        <v>400.0</v>
      </c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742</v>
      </c>
      <c r="S56" s="62" t="s">
        <v>396</v>
      </c>
      <c r="T56" s="19" t="s">
        <v>406</v>
      </c>
      <c r="U56" s="129" t="s">
        <v>453</v>
      </c>
      <c r="V56" s="129">
        <v>67</v>
      </c>
    </row>
    <row customHeight="1" ht="12.75" r="57" spans="1:22" x14ac:dyDescent="0.2">
      <c r="A57" s="22" t="s">
        <v>115</v>
      </c>
      <c r="B57" s="16" t="s">
        <v>1224</v>
      </c>
      <c r="C57" s="20" t="s">
        <v>95</v>
      </c>
      <c r="D57" s="68" t="n">
        <v>43508.0</v>
      </c>
      <c r="E57" s="68" t="n">
        <v>43566.0</v>
      </c>
      <c r="F57" s="69" t="n">
        <v>461.52</v>
      </c>
      <c r="G57" s="70" t="n">
        <v>27.69</v>
      </c>
      <c r="H57" s="70" t="n">
        <v>5.54</v>
      </c>
      <c r="I57" s="71" t="n">
        <v>6.0</v>
      </c>
      <c r="J57" s="74" t="n">
        <v>422.29</v>
      </c>
      <c r="K57" s="72" t="n">
        <v>43536.653657407405</v>
      </c>
      <c r="L57" s="71"/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22" t="s">
        <v>117</v>
      </c>
      <c r="B58" s="16" t="s">
        <v>1225</v>
      </c>
      <c r="C58" s="20" t="s">
        <v>95</v>
      </c>
      <c r="D58" s="68" t="n">
        <v>43473.0</v>
      </c>
      <c r="E58" s="68" t="n">
        <v>43562.0</v>
      </c>
      <c r="F58" s="73" t="n">
        <v>923.04</v>
      </c>
      <c r="G58" s="70" t="n">
        <v>55.38</v>
      </c>
      <c r="H58" s="70" t="n">
        <v>11.08</v>
      </c>
      <c r="I58" s="71" t="n">
        <v>12.0</v>
      </c>
      <c r="J58" s="74" t="n">
        <v>844.58</v>
      </c>
      <c r="K58" s="72" t="n">
        <v>43550.665034722224</v>
      </c>
      <c r="L58" s="71"/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40"/>
      <c r="S58" s="62" t="s">
        <v>396</v>
      </c>
      <c r="T58" s="19" t="s">
        <v>406</v>
      </c>
      <c r="U58" s="128" t="s">
        <v>455</v>
      </c>
      <c r="V58" s="128">
        <v>68</v>
      </c>
    </row>
    <row customHeight="1" ht="12.75" r="59" spans="1:22" x14ac:dyDescent="0.2">
      <c r="A59" s="22" t="s">
        <v>74</v>
      </c>
      <c r="B59" s="16" t="s">
        <v>1226</v>
      </c>
      <c r="C59" s="20" t="s">
        <v>1194</v>
      </c>
      <c r="D59" s="68" t="n">
        <v>43536.0</v>
      </c>
      <c r="E59" s="68" t="n">
        <v>43566.0</v>
      </c>
      <c r="F59" s="69" t="n">
        <v>550.0</v>
      </c>
      <c r="G59" s="70" t="n">
        <v>33.0</v>
      </c>
      <c r="H59" s="70" t="n">
        <v>6.6</v>
      </c>
      <c r="I59" s="71" t="n">
        <v>6.0</v>
      </c>
      <c r="J59" s="74" t="n">
        <v>504.4</v>
      </c>
      <c r="K59" s="72" t="n">
        <v>43537.67321759259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27" t="s">
        <v>740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1227</v>
      </c>
      <c r="C60" s="20" t="s">
        <v>95</v>
      </c>
      <c r="D60" s="68" t="n">
        <v>43515.0</v>
      </c>
      <c r="E60" s="68" t="n">
        <v>43573.0</v>
      </c>
      <c r="F60" s="73" t="n">
        <v>466.12</v>
      </c>
      <c r="G60" s="70" t="n">
        <v>27.97</v>
      </c>
      <c r="H60" s="70" t="n">
        <v>5.59</v>
      </c>
      <c r="I60" s="71" t="n">
        <v>6.0</v>
      </c>
      <c r="J60" s="74" t="n">
        <v>426.56</v>
      </c>
      <c r="K60" s="72" t="n">
        <v>43535.66233796296</v>
      </c>
      <c r="L60" s="71"/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8" t="s">
        <v>457</v>
      </c>
      <c r="V60" s="128">
        <v>71</v>
      </c>
    </row>
    <row customHeight="1" ht="12.75" r="61" spans="1:22" x14ac:dyDescent="0.2">
      <c r="A61" s="22" t="s">
        <v>119</v>
      </c>
      <c r="B61" s="16" t="s">
        <v>1182</v>
      </c>
      <c r="C61" s="33"/>
      <c r="D61" s="68"/>
      <c r="E61" s="68"/>
      <c r="F61" s="69"/>
      <c r="G61" s="70"/>
      <c r="H61" s="70"/>
      <c r="I61" s="71"/>
      <c r="J61" s="74"/>
      <c r="K61" s="72"/>
      <c r="L61" s="71"/>
      <c r="M61" s="104" t="str">
        <f si="1" t="shared"/>
        <v/>
      </c>
      <c r="N61" s="40" t="s">
        <v>6</v>
      </c>
      <c r="O61" s="69" t="n">
        <v>251.96</v>
      </c>
      <c r="P61" s="39">
        <f si="3" t="shared"/>
        <v>0</v>
      </c>
      <c r="Q61" s="120">
        <f si="2" t="shared"/>
        <v>0</v>
      </c>
      <c r="R61" s="51" t="s">
        <v>794</v>
      </c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1228</v>
      </c>
      <c r="C62" s="20" t="s">
        <v>1194</v>
      </c>
      <c r="D62" s="68" t="n">
        <v>43552.0</v>
      </c>
      <c r="E62" s="68" t="n">
        <v>43582.0</v>
      </c>
      <c r="F62" s="73" t="n">
        <v>525.0</v>
      </c>
      <c r="G62" s="70" t="n">
        <v>31.5</v>
      </c>
      <c r="H62" s="70" t="n">
        <v>6.3</v>
      </c>
      <c r="I62" s="71" t="n">
        <v>6.0</v>
      </c>
      <c r="J62" s="74" t="n">
        <v>481.2</v>
      </c>
      <c r="K62" s="72" t="n">
        <v>43552.62021990741</v>
      </c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8" t="s">
        <v>459</v>
      </c>
      <c r="V62" s="128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1"/>
      <c r="B65" s="11"/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51" sqref="B51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553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45" t="str">
        <f>IFERROR(B15/($B$15+$C$15),"")</f>
        <v/>
      </c>
      <c r="F15" s="146" t="str">
        <f>IFERROR(C15/($B$15+$C$15),"")</f>
        <v/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-5266.13</v>
      </c>
      <c r="C17" s="84">
        <f>EVAL("SUM(SUMIFS(IV_Amount, IV_BankRef," &amp;$H17&amp; "))")</f>
        <v>-4163.2</v>
      </c>
      <c r="D17" s="96"/>
      <c r="E17" s="97"/>
      <c r="F17" s="98"/>
      <c r="G17" s="47"/>
      <c r="H17" s="47" t="s">
        <v>670</v>
      </c>
    </row>
    <row r="18" spans="1:17" x14ac:dyDescent="0.2">
      <c r="A18" t="s">
        <v>25</v>
      </c>
      <c r="B18" s="84">
        <f>EVAL("SUM(SUMIFS(MT_Amount, MT_BankRef," &amp;$H18&amp; "))")</f>
        <v>11027.210000000005</v>
      </c>
      <c r="C18" s="84">
        <f>EVAL("SUM(SUMIFS(IV_Amount, IV_BankRef," &amp;$H18&amp; "))")</f>
        <v>5202.1399999999994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5761.0800000000045</v>
      </c>
      <c r="C19" s="85">
        <f>SUM(C17:C18)</f>
        <v>1038.9399999999996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0</v>
      </c>
      <c r="C24" s="84">
        <f>EVAL("SUM(SUMIFS(IV_Amount, IV_BankRef," &amp;$H24&amp; "))")</f>
        <v>0</v>
      </c>
      <c r="D24" s="96"/>
      <c r="E24" s="97" t="str">
        <f ref="E24:F26" si="0" t="shared">IFERROR(($D24)*E$15,"")</f>
        <v/>
      </c>
      <c r="F24" s="98" t="str">
        <f si="0" t="shared"/>
        <v/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 t="str">
        <f si="0" t="shared"/>
        <v/>
      </c>
      <c r="F25" s="98" t="str">
        <f si="0" t="shared"/>
        <v/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 t="str">
        <f si="0" t="shared"/>
        <v/>
      </c>
      <c r="F26" s="98" t="str">
        <f si="0" t="shared"/>
        <v/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556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ref="D29:D35" si="1" t="shared">B29+C29</f>
        <v>-200</v>
      </c>
      <c r="E29" s="114" t="str">
        <f>IFERROR(($D29)*E$15,"")</f>
        <v/>
      </c>
      <c r="F29" s="115" t="str">
        <f>IFERROR(($D29)*F$15,"")</f>
        <v/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0</v>
      </c>
      <c r="C30" s="84">
        <f>EVAL("SUM(SUMIFS(IV_Amount, IV_BankRef," &amp;$H30&amp; "))")</f>
        <v>-4495.05</v>
      </c>
      <c r="D30" s="96">
        <f si="1" t="shared"/>
        <v>-4495.05</v>
      </c>
      <c r="E30" s="97" t="str">
        <f ref="E30:F35" si="2" t="shared">IFERROR(($D30)*E$15,"")</f>
        <v/>
      </c>
      <c r="F30" s="98" t="str">
        <f si="2" t="shared"/>
        <v/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si="1" t="shared"/>
        <v>-37.950000000000003</v>
      </c>
      <c r="E31" s="97" t="str">
        <f si="2" t="shared"/>
        <v/>
      </c>
      <c r="F31" s="98" t="str">
        <f si="2" t="shared"/>
        <v/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si="1" t="shared"/>
        <v>-58.99</v>
      </c>
      <c r="E32" s="97" t="str">
        <f si="2" t="shared"/>
        <v/>
      </c>
      <c r="F32" s="98" t="str">
        <f si="2" t="shared"/>
        <v/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-1660.0200000000002</v>
      </c>
      <c r="C33" s="84">
        <f>EVAL("SUM(SUMIFS(IV_Amount, IV_BankRef," &amp;$H33&amp; "))")-SUMIFS(IV_Amount_4040, IV_BankRef_4040,"=X")</f>
        <v>-1993</v>
      </c>
      <c r="D33" s="96">
        <f si="1" t="shared"/>
        <v>-3653.0200000000004</v>
      </c>
      <c r="E33" s="97" t="str">
        <f si="2" t="shared"/>
        <v/>
      </c>
      <c r="F33" s="98" t="str">
        <f si="2" t="shared"/>
        <v/>
      </c>
      <c r="H33" s="47" t="s">
        <v>564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si="1" t="shared"/>
        <v>0</v>
      </c>
      <c r="E34" s="97" t="str">
        <f si="2" t="shared"/>
        <v/>
      </c>
      <c r="F34" s="98" t="str">
        <f si="2" t="shared"/>
        <v/>
      </c>
      <c r="H34" s="83" t="s">
        <v>543</v>
      </c>
    </row>
    <row r="35" spans="1:8" x14ac:dyDescent="0.2">
      <c r="A35" s="107" t="s">
        <v>563</v>
      </c>
      <c r="B35" s="117">
        <v>0</v>
      </c>
      <c r="C35" s="118">
        <v>0</v>
      </c>
      <c r="D35" s="96">
        <f si="1" t="shared"/>
        <v>0</v>
      </c>
      <c r="E35" s="97" t="str">
        <f si="2" t="shared"/>
        <v/>
      </c>
      <c r="F35" s="98" t="str">
        <f si="2" t="shared"/>
        <v/>
      </c>
      <c r="H35" s="107"/>
    </row>
    <row r="36" spans="1:8" x14ac:dyDescent="0.2">
      <c r="B36" s="99">
        <f>SUBTOTAL(9,B29:B35)</f>
        <v>-1660.0200000000002</v>
      </c>
      <c r="C36" s="99">
        <f>SUBTOTAL(9,C29:C35)</f>
        <v>-6784.99</v>
      </c>
      <c r="D36" s="100">
        <f>SUBTOTAL(9,D20:D35)</f>
        <v>-8445.01</v>
      </c>
      <c r="E36" s="101">
        <f>SUBTOTAL(9,E29:E35)</f>
        <v>0</v>
      </c>
      <c r="F36" s="99">
        <f>SUBTOTAL(9,F29:F35)</f>
        <v>0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554</v>
      </c>
      <c r="E38" s="84">
        <f>SUM(B29:B35)</f>
        <v>-1660.0200000000002</v>
      </c>
      <c r="F38" s="84">
        <f>SUM(C29:C35)</f>
        <v>-6784.99</v>
      </c>
    </row>
    <row r="39" spans="1:8" x14ac:dyDescent="0.2">
      <c r="A39" s="107" t="s">
        <v>555</v>
      </c>
      <c r="E39" s="97">
        <f>EVAL("SUM(SUMIFS(MT_Amount, MT_BankRef," &amp;$H39&amp; "))")</f>
        <v>-2609.16</v>
      </c>
      <c r="F39" s="84">
        <f>-E39</f>
        <v>2609.16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4269.18</v>
      </c>
      <c r="F41" s="101">
        <f>F36-F38-F39</f>
        <v>4175.83</v>
      </c>
    </row>
    <row r="42" spans="1:8" x14ac:dyDescent="0.2">
      <c r="A42" s="110" t="s">
        <v>557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795</v>
      </c>
      <c r="E45" s="84">
        <v>4507.32</v>
      </c>
    </row>
    <row r="46" spans="1:8" x14ac:dyDescent="0.2">
      <c r="A46" s="47" t="s">
        <v>796</v>
      </c>
      <c r="E46">
        <v>-355</v>
      </c>
    </row>
    <row r="47" spans="1:8" x14ac:dyDescent="0.2">
      <c r="A47" s="47" t="s">
        <v>797</v>
      </c>
      <c r="E47">
        <v>35</v>
      </c>
    </row>
    <row r="48" spans="1:8" x14ac:dyDescent="0.2">
      <c r="A48" s="110"/>
      <c r="E48" s="99">
        <f>E41+SUM(E44:E47)</f>
        <v>8456.5</v>
      </c>
      <c r="F48" s="47" t="s">
        <v>798</v>
      </c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43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10"/>
  <sheetViews>
    <sheetView workbookViewId="0" zoomScale="85" zoomScaleNormal="85">
      <selection activeCell="A3" sqref="A3:H10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 t="s">
        <v>547</v>
      </c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56">
        <v>828</v>
      </c>
    </row>
    <row r="4">
      <c r="A4" t="s">
        <v>829</v>
      </c>
      <c r="B4" t="n">
        <v>44.0</v>
      </c>
    </row>
    <row r="5">
      <c r="A5" t="s">
        <v>830</v>
      </c>
      <c r="B5" t="n">
        <v>63.0</v>
      </c>
    </row>
    <row r="6">
      <c r="A6" t="s">
        <v>831</v>
      </c>
      <c r="B6" t="n">
        <v>63.0</v>
      </c>
    </row>
    <row r="7">
      <c r="A7" t="s">
        <v>832</v>
      </c>
      <c r="B7" t="n">
        <v>49.0</v>
      </c>
    </row>
    <row r="8">
      <c r="A8" t="s">
        <v>833</v>
      </c>
      <c r="B8" t="n">
        <v>42.0</v>
      </c>
    </row>
    <row r="9">
      <c r="A9" t="s">
        <v>834</v>
      </c>
      <c r="B9" t="n">
        <v>46.0</v>
      </c>
    </row>
    <row r="11">
      <c r="A11" t="s" s="156">
        <v>24</v>
      </c>
      <c r="B11" t="s" s="156">
        <v>513</v>
      </c>
      <c r="C11" t="s" s="156">
        <v>515</v>
      </c>
      <c r="D11" t="s" s="156">
        <v>549</v>
      </c>
      <c r="E11" t="s" s="156">
        <v>835</v>
      </c>
      <c r="F11" t="s" s="156">
        <v>836</v>
      </c>
    </row>
    <row r="12">
      <c r="A12" t="s">
        <v>65</v>
      </c>
      <c r="B12" t="n" s="157">
        <v>43524.0281712963</v>
      </c>
      <c r="C12" t="n">
        <v>-6.0</v>
      </c>
      <c r="D12" t="s">
        <v>756</v>
      </c>
      <c r="E12" t="n">
        <v>199204.0</v>
      </c>
      <c r="F12" t="s">
        <v>837</v>
      </c>
    </row>
    <row r="13">
      <c r="A13" t="s">
        <v>102</v>
      </c>
      <c r="B13" t="n" s="157">
        <v>43524.0281712963</v>
      </c>
      <c r="C13" t="n">
        <v>-6.0</v>
      </c>
      <c r="D13" t="s">
        <v>757</v>
      </c>
      <c r="E13" t="n">
        <v>199194.0</v>
      </c>
      <c r="F13" t="s">
        <v>837</v>
      </c>
    </row>
    <row r="14">
      <c r="A14" t="s">
        <v>106</v>
      </c>
      <c r="B14" t="n" s="157">
        <v>43524.0281712963</v>
      </c>
      <c r="C14" t="n">
        <v>-6.0</v>
      </c>
      <c r="D14" t="s">
        <v>759</v>
      </c>
      <c r="E14" t="n">
        <v>199183.0</v>
      </c>
      <c r="F14" t="s">
        <v>837</v>
      </c>
    </row>
    <row r="15">
      <c r="A15" t="s">
        <v>107</v>
      </c>
      <c r="B15" t="n" s="157">
        <v>43524.0281712963</v>
      </c>
      <c r="C15" t="n">
        <v>-6.0</v>
      </c>
      <c r="D15" t="s">
        <v>760</v>
      </c>
      <c r="E15" t="n">
        <v>199179.0</v>
      </c>
      <c r="F15" t="s">
        <v>837</v>
      </c>
    </row>
    <row r="16">
      <c r="A16" t="s">
        <v>107</v>
      </c>
      <c r="B16" t="n" s="157">
        <v>43496.655590277776</v>
      </c>
      <c r="C16" t="n">
        <v>-6.0</v>
      </c>
      <c r="D16" t="s">
        <v>760</v>
      </c>
      <c r="E16" t="n">
        <v>197931.0</v>
      </c>
      <c r="F16" t="s">
        <v>837</v>
      </c>
    </row>
    <row r="17">
      <c r="A17" t="s">
        <v>107</v>
      </c>
      <c r="B17" t="n" s="157">
        <v>43472.67663194444</v>
      </c>
      <c r="C17" t="n">
        <v>-96.0</v>
      </c>
      <c r="D17" t="s">
        <v>1229</v>
      </c>
      <c r="E17" t="n">
        <v>197930.0</v>
      </c>
      <c r="F17" t="s">
        <v>837</v>
      </c>
    </row>
    <row r="18">
      <c r="A18" t="s">
        <v>107</v>
      </c>
      <c r="B18" t="n" s="157">
        <v>43461.53265046296</v>
      </c>
      <c r="C18" t="n">
        <v>-408.0</v>
      </c>
      <c r="D18" t="s">
        <v>1230</v>
      </c>
      <c r="E18" t="n">
        <v>197104.0</v>
      </c>
      <c r="F18" t="s">
        <v>837</v>
      </c>
    </row>
    <row r="19">
      <c r="A19" t="s">
        <v>107</v>
      </c>
      <c r="B19" t="n" s="157">
        <v>43497.57840277778</v>
      </c>
      <c r="C19" t="n">
        <v>-36.0</v>
      </c>
      <c r="D19" t="s">
        <v>810</v>
      </c>
      <c r="E19" t="n">
        <v>199178.0</v>
      </c>
      <c r="F19" t="s">
        <v>837</v>
      </c>
    </row>
    <row r="20">
      <c r="A20" t="s">
        <v>107</v>
      </c>
      <c r="B20" t="n" s="157">
        <v>43497.57840277778</v>
      </c>
      <c r="C20" t="n">
        <v>500.0</v>
      </c>
      <c r="D20" t="s">
        <v>809</v>
      </c>
      <c r="E20" t="n">
        <v>199177.0</v>
      </c>
      <c r="F20" t="s">
        <v>837</v>
      </c>
    </row>
    <row r="21">
      <c r="A21" t="s">
        <v>68</v>
      </c>
      <c r="B21" t="n" s="157">
        <v>43524.0281712963</v>
      </c>
      <c r="C21" t="n">
        <v>-6.0</v>
      </c>
      <c r="D21" t="s">
        <v>761</v>
      </c>
      <c r="E21" t="n">
        <v>199175.0</v>
      </c>
      <c r="F21" t="s">
        <v>837</v>
      </c>
    </row>
    <row r="22">
      <c r="A22" t="s">
        <v>86</v>
      </c>
      <c r="B22" t="n" s="157">
        <v>43524.0281712963</v>
      </c>
      <c r="C22" t="n">
        <v>-6.0</v>
      </c>
      <c r="D22" t="s">
        <v>762</v>
      </c>
      <c r="E22" t="n">
        <v>199168.0</v>
      </c>
      <c r="F22" t="s">
        <v>837</v>
      </c>
    </row>
    <row r="23">
      <c r="A23" t="s">
        <v>231</v>
      </c>
      <c r="B23" t="n" s="157">
        <v>43524.0281712963</v>
      </c>
      <c r="C23" t="n">
        <v>-6.0</v>
      </c>
      <c r="D23" t="s">
        <v>763</v>
      </c>
      <c r="E23" t="n">
        <v>199161.0</v>
      </c>
      <c r="F23" t="s">
        <v>837</v>
      </c>
    </row>
    <row r="24">
      <c r="A24" t="s">
        <v>72</v>
      </c>
      <c r="B24" t="n" s="157">
        <v>43524.0281712963</v>
      </c>
      <c r="C24" t="n">
        <v>-6.0</v>
      </c>
      <c r="D24" t="s">
        <v>764</v>
      </c>
      <c r="E24" t="n">
        <v>199157.0</v>
      </c>
      <c r="F24" t="s">
        <v>837</v>
      </c>
    </row>
    <row r="25">
      <c r="A25" t="s">
        <v>112</v>
      </c>
      <c r="B25" t="n" s="157">
        <v>43516.380590277775</v>
      </c>
      <c r="C25" t="n">
        <v>95.0</v>
      </c>
      <c r="D25" t="s">
        <v>804</v>
      </c>
      <c r="E25" t="n">
        <v>199150.0</v>
      </c>
      <c r="F25" t="s">
        <v>837</v>
      </c>
    </row>
    <row r="26">
      <c r="A26" t="s">
        <v>112</v>
      </c>
      <c r="B26" t="n" s="157">
        <v>43496.62228009259</v>
      </c>
      <c r="C26" t="n">
        <v>-6.0</v>
      </c>
      <c r="D26" t="s">
        <v>865</v>
      </c>
      <c r="E26" t="n">
        <v>197957.0</v>
      </c>
      <c r="F26" t="s">
        <v>837</v>
      </c>
    </row>
    <row r="27">
      <c r="A27" t="s">
        <v>112</v>
      </c>
      <c r="B27" t="n" s="157">
        <v>43385.64375</v>
      </c>
      <c r="C27" t="n">
        <v>-95.0</v>
      </c>
      <c r="D27" t="s">
        <v>1231</v>
      </c>
      <c r="E27" t="n">
        <v>195061.0</v>
      </c>
      <c r="F27" t="s">
        <v>837</v>
      </c>
    </row>
    <row r="28">
      <c r="A28" t="s">
        <v>117</v>
      </c>
      <c r="B28" t="n" s="157">
        <v>43524.0281712963</v>
      </c>
      <c r="C28" t="n">
        <v>-6.0</v>
      </c>
      <c r="D28" t="s">
        <v>765</v>
      </c>
      <c r="E28" t="n">
        <v>199149.0</v>
      </c>
      <c r="F28" t="s">
        <v>837</v>
      </c>
    </row>
    <row r="29">
      <c r="A29" t="s">
        <v>117</v>
      </c>
      <c r="B29" t="n" s="157">
        <v>43496.62291666667</v>
      </c>
      <c r="C29" t="n">
        <v>-6.0</v>
      </c>
      <c r="D29" t="s">
        <v>765</v>
      </c>
      <c r="E29" t="n">
        <v>197963.0</v>
      </c>
      <c r="F29" t="s">
        <v>837</v>
      </c>
    </row>
    <row r="30">
      <c r="A30" t="s">
        <v>118</v>
      </c>
      <c r="B30" t="n" s="157">
        <v>43524.0281712963</v>
      </c>
      <c r="C30" t="n">
        <v>-6.0</v>
      </c>
      <c r="D30" t="s">
        <v>766</v>
      </c>
      <c r="E30" t="n">
        <v>199148.0</v>
      </c>
      <c r="F30" t="s">
        <v>837</v>
      </c>
    </row>
    <row r="31">
      <c r="A31" t="s">
        <v>188</v>
      </c>
      <c r="B31" t="n" s="157">
        <v>43524.0281712963</v>
      </c>
      <c r="C31" t="n">
        <v>-6.0</v>
      </c>
      <c r="D31" t="s">
        <v>802</v>
      </c>
      <c r="E31" t="n">
        <v>199137.0</v>
      </c>
      <c r="F31" t="s">
        <v>837</v>
      </c>
    </row>
    <row r="32">
      <c r="A32" t="s">
        <v>228</v>
      </c>
      <c r="B32" t="n" s="157">
        <v>43524.0281712963</v>
      </c>
      <c r="C32" t="n">
        <v>-6.0</v>
      </c>
      <c r="D32" t="s">
        <v>768</v>
      </c>
      <c r="E32" t="n">
        <v>199217.0</v>
      </c>
      <c r="F32" t="s">
        <v>837</v>
      </c>
    </row>
    <row r="33">
      <c r="A33" t="s">
        <v>227</v>
      </c>
      <c r="B33" t="n" s="157">
        <v>43524.0281712963</v>
      </c>
      <c r="C33" t="n">
        <v>-6.0</v>
      </c>
      <c r="D33" t="s">
        <v>769</v>
      </c>
      <c r="E33" t="n">
        <v>199232.0</v>
      </c>
      <c r="F33" t="s">
        <v>837</v>
      </c>
    </row>
    <row r="34">
      <c r="A34" t="s">
        <v>224</v>
      </c>
      <c r="B34" t="n" s="157">
        <v>43452.70097222222</v>
      </c>
      <c r="C34" t="n">
        <v>-216.0</v>
      </c>
      <c r="D34" t="s">
        <v>1232</v>
      </c>
      <c r="E34" t="n">
        <v>197170.0</v>
      </c>
      <c r="F34" t="s">
        <v>837</v>
      </c>
    </row>
    <row r="35">
      <c r="A35" t="s">
        <v>224</v>
      </c>
      <c r="B35" t="n" s="157">
        <v>43497.57840277778</v>
      </c>
      <c r="C35" t="n">
        <v>-11.56</v>
      </c>
      <c r="D35" t="s">
        <v>815</v>
      </c>
      <c r="E35" t="n">
        <v>199234.0</v>
      </c>
      <c r="F35" t="s">
        <v>837</v>
      </c>
    </row>
    <row r="36">
      <c r="A36" t="s">
        <v>224</v>
      </c>
      <c r="B36" t="n" s="157">
        <v>43497.57840277778</v>
      </c>
      <c r="C36" t="n">
        <v>160.44</v>
      </c>
      <c r="D36" t="s">
        <v>814</v>
      </c>
      <c r="E36" t="n">
        <v>199233.0</v>
      </c>
      <c r="F36" t="s">
        <v>837</v>
      </c>
    </row>
    <row r="37">
      <c r="A37" t="s">
        <v>226</v>
      </c>
      <c r="B37" t="n" s="157">
        <v>43524.0281712963</v>
      </c>
      <c r="C37" t="n">
        <v>-6.0</v>
      </c>
      <c r="D37" t="s">
        <v>770</v>
      </c>
      <c r="E37" t="n">
        <v>199241.0</v>
      </c>
      <c r="F37" t="s">
        <v>837</v>
      </c>
    </row>
    <row r="38">
      <c r="A38" t="s">
        <v>70</v>
      </c>
      <c r="B38" t="n" s="157">
        <v>43524.0281712963</v>
      </c>
      <c r="C38" t="n">
        <v>-6.0</v>
      </c>
      <c r="D38" t="s">
        <v>771</v>
      </c>
      <c r="E38" t="n">
        <v>199248.0</v>
      </c>
      <c r="F38" t="s">
        <v>837</v>
      </c>
    </row>
    <row r="39">
      <c r="A39" t="s">
        <v>71</v>
      </c>
      <c r="B39" t="n" s="157">
        <v>43524.0281712963</v>
      </c>
      <c r="C39" t="n">
        <v>-6.0</v>
      </c>
      <c r="D39" t="s">
        <v>772</v>
      </c>
      <c r="E39" t="n">
        <v>199252.0</v>
      </c>
      <c r="F39" t="s">
        <v>837</v>
      </c>
    </row>
    <row r="40">
      <c r="A40" t="s">
        <v>69</v>
      </c>
      <c r="B40" t="n" s="157">
        <v>43524.0281712963</v>
      </c>
      <c r="C40" t="n">
        <v>-6.0</v>
      </c>
      <c r="D40" t="s">
        <v>773</v>
      </c>
      <c r="E40" t="n">
        <v>199259.0</v>
      </c>
      <c r="F40" t="s">
        <v>837</v>
      </c>
    </row>
    <row r="41">
      <c r="A41" t="s">
        <v>115</v>
      </c>
      <c r="B41" t="n" s="157">
        <v>43524.0281712963</v>
      </c>
      <c r="C41" t="n">
        <v>-6.0</v>
      </c>
      <c r="D41" t="s">
        <v>774</v>
      </c>
      <c r="E41" t="n">
        <v>199263.0</v>
      </c>
      <c r="F41" t="s">
        <v>837</v>
      </c>
    </row>
    <row r="42">
      <c r="A42" t="s">
        <v>74</v>
      </c>
      <c r="B42" t="n" s="157">
        <v>43524.0281712963</v>
      </c>
      <c r="C42" t="n">
        <v>-6.0</v>
      </c>
      <c r="D42" t="s">
        <v>775</v>
      </c>
      <c r="E42" t="n">
        <v>199270.0</v>
      </c>
      <c r="F42" t="s">
        <v>837</v>
      </c>
    </row>
    <row r="43">
      <c r="A43" t="s">
        <v>56</v>
      </c>
      <c r="B43" t="n" s="157">
        <v>43524.0281712963</v>
      </c>
      <c r="C43" t="n">
        <v>-6.0</v>
      </c>
      <c r="D43" t="s">
        <v>780</v>
      </c>
      <c r="E43" t="n">
        <v>199294.0</v>
      </c>
      <c r="F43" t="s">
        <v>837</v>
      </c>
    </row>
    <row r="44">
      <c r="A44" t="s">
        <v>187</v>
      </c>
      <c r="B44" t="n" s="157">
        <v>43524.0281712963</v>
      </c>
      <c r="C44" t="n">
        <v>-6.0</v>
      </c>
      <c r="D44" t="s">
        <v>781</v>
      </c>
      <c r="E44" t="n">
        <v>199300.0</v>
      </c>
      <c r="F44" t="s">
        <v>837</v>
      </c>
    </row>
    <row r="45">
      <c r="A45" t="s">
        <v>59</v>
      </c>
      <c r="B45" t="n" s="157">
        <v>43524.0281712963</v>
      </c>
      <c r="C45" t="n">
        <v>-6.0</v>
      </c>
      <c r="D45" t="s">
        <v>782</v>
      </c>
      <c r="E45" t="n">
        <v>199304.0</v>
      </c>
      <c r="F45" t="s">
        <v>837</v>
      </c>
    </row>
    <row r="46">
      <c r="A46" t="s">
        <v>58</v>
      </c>
      <c r="B46" t="n" s="157">
        <v>43524.0281712963</v>
      </c>
      <c r="C46" t="n">
        <v>-6.0</v>
      </c>
      <c r="D46" t="s">
        <v>784</v>
      </c>
      <c r="E46" t="n">
        <v>199310.0</v>
      </c>
      <c r="F46" t="s">
        <v>837</v>
      </c>
    </row>
    <row r="47">
      <c r="A47" t="s">
        <v>57</v>
      </c>
      <c r="B47" t="n" s="157">
        <v>43524.0281712963</v>
      </c>
      <c r="C47" t="n">
        <v>-6.0</v>
      </c>
      <c r="D47" t="s">
        <v>785</v>
      </c>
      <c r="E47" t="n">
        <v>199316.0</v>
      </c>
      <c r="F47" t="s">
        <v>837</v>
      </c>
    </row>
    <row r="48">
      <c r="A48" t="s">
        <v>64</v>
      </c>
      <c r="B48" t="n" s="157">
        <v>43524.0281712963</v>
      </c>
      <c r="C48" t="n">
        <v>-6.0</v>
      </c>
      <c r="D48" t="s">
        <v>787</v>
      </c>
      <c r="E48" t="n">
        <v>199324.0</v>
      </c>
      <c r="F48" t="s">
        <v>837</v>
      </c>
    </row>
    <row r="49">
      <c r="A49" t="s">
        <v>66</v>
      </c>
      <c r="B49" t="n" s="157">
        <v>43524.0281712963</v>
      </c>
      <c r="C49" t="n">
        <v>-6.0</v>
      </c>
      <c r="D49" t="s">
        <v>788</v>
      </c>
      <c r="E49" t="n">
        <v>199331.0</v>
      </c>
      <c r="F49" t="s">
        <v>837</v>
      </c>
    </row>
    <row r="50">
      <c r="A50" t="s">
        <v>103</v>
      </c>
      <c r="B50" t="n" s="157">
        <v>43524.0281712963</v>
      </c>
      <c r="C50" t="n">
        <v>-6.0</v>
      </c>
      <c r="D50" t="s">
        <v>789</v>
      </c>
      <c r="E50" t="n">
        <v>199335.0</v>
      </c>
      <c r="F50" t="s">
        <v>837</v>
      </c>
    </row>
    <row r="51">
      <c r="A51" t="s">
        <v>61</v>
      </c>
      <c r="B51" t="n" s="157">
        <v>43524.0281712963</v>
      </c>
      <c r="C51" t="n">
        <v>-6.0</v>
      </c>
      <c r="D51" t="s">
        <v>791</v>
      </c>
      <c r="E51" t="n">
        <v>199343.0</v>
      </c>
      <c r="F51" t="s">
        <v>837</v>
      </c>
    </row>
    <row r="52">
      <c r="A52" t="s">
        <v>111</v>
      </c>
      <c r="B52" t="n" s="157">
        <v>43524.0281712963</v>
      </c>
      <c r="C52" t="n">
        <v>-6.0</v>
      </c>
      <c r="D52" t="s">
        <v>792</v>
      </c>
      <c r="E52" t="n">
        <v>199350.0</v>
      </c>
      <c r="F52" t="s">
        <v>837</v>
      </c>
    </row>
    <row r="53">
      <c r="A53" t="s">
        <v>186</v>
      </c>
      <c r="B53" t="n" s="157">
        <v>43496.62982638889</v>
      </c>
      <c r="C53" t="n">
        <v>-6.0</v>
      </c>
      <c r="D53" t="s">
        <v>909</v>
      </c>
      <c r="E53" t="n">
        <v>198140.0</v>
      </c>
      <c r="F53" t="s">
        <v>837</v>
      </c>
    </row>
    <row r="54">
      <c r="A54" t="s">
        <v>65</v>
      </c>
      <c r="B54" t="n" s="157">
        <v>43552.02611111111</v>
      </c>
      <c r="C54" t="n">
        <v>-6.0</v>
      </c>
      <c r="D54" t="s">
        <v>756</v>
      </c>
      <c r="E54" t="n">
        <v>200588.0</v>
      </c>
      <c r="F54" t="s">
        <v>845</v>
      </c>
    </row>
    <row r="55">
      <c r="A55" t="s">
        <v>102</v>
      </c>
      <c r="B55" t="n" s="157">
        <v>43552.02611111111</v>
      </c>
      <c r="C55" t="n">
        <v>-6.0</v>
      </c>
      <c r="D55" t="s">
        <v>757</v>
      </c>
      <c r="E55" t="n">
        <v>200592.0</v>
      </c>
      <c r="F55" t="s">
        <v>845</v>
      </c>
    </row>
    <row r="56">
      <c r="A56" t="s">
        <v>105</v>
      </c>
      <c r="B56" t="n" s="157">
        <v>43552.02611111111</v>
      </c>
      <c r="C56" t="n">
        <v>-6.0</v>
      </c>
      <c r="D56" t="s">
        <v>758</v>
      </c>
      <c r="E56" t="n">
        <v>200596.0</v>
      </c>
      <c r="F56" t="s">
        <v>845</v>
      </c>
    </row>
    <row r="57">
      <c r="A57" t="s">
        <v>106</v>
      </c>
      <c r="B57" t="n" s="157">
        <v>43552.02611111111</v>
      </c>
      <c r="C57" t="n">
        <v>-6.0</v>
      </c>
      <c r="D57" t="s">
        <v>759</v>
      </c>
      <c r="E57" t="n">
        <v>200600.0</v>
      </c>
      <c r="F57" t="s">
        <v>845</v>
      </c>
    </row>
    <row r="58">
      <c r="A58" t="s">
        <v>107</v>
      </c>
      <c r="B58" t="n" s="157">
        <v>43552.02611111111</v>
      </c>
      <c r="C58" t="n">
        <v>-6.0</v>
      </c>
      <c r="D58" t="s">
        <v>760</v>
      </c>
      <c r="E58" t="n">
        <v>200604.0</v>
      </c>
      <c r="F58" t="s">
        <v>845</v>
      </c>
    </row>
    <row r="59">
      <c r="A59" t="s">
        <v>68</v>
      </c>
      <c r="B59" t="n" s="157">
        <v>43552.02611111111</v>
      </c>
      <c r="C59" t="n">
        <v>-6.0</v>
      </c>
      <c r="D59" t="s">
        <v>761</v>
      </c>
      <c r="E59" t="n">
        <v>200611.0</v>
      </c>
      <c r="F59" t="s">
        <v>845</v>
      </c>
    </row>
    <row r="60">
      <c r="A60" t="s">
        <v>86</v>
      </c>
      <c r="B60" t="n" s="157">
        <v>43552.02611111111</v>
      </c>
      <c r="C60" t="n">
        <v>-6.0</v>
      </c>
      <c r="D60" t="s">
        <v>762</v>
      </c>
      <c r="E60" t="n">
        <v>200618.0</v>
      </c>
      <c r="F60" t="s">
        <v>845</v>
      </c>
    </row>
    <row r="61">
      <c r="A61" t="s">
        <v>231</v>
      </c>
      <c r="B61" t="n" s="157">
        <v>43552.02611111111</v>
      </c>
      <c r="C61" t="n">
        <v>-6.0</v>
      </c>
      <c r="D61" t="s">
        <v>763</v>
      </c>
      <c r="E61" t="n">
        <v>200622.0</v>
      </c>
      <c r="F61" t="s">
        <v>845</v>
      </c>
    </row>
    <row r="62">
      <c r="A62" t="s">
        <v>72</v>
      </c>
      <c r="B62" t="n" s="157">
        <v>43552.02611111111</v>
      </c>
      <c r="C62" t="n">
        <v>-6.0</v>
      </c>
      <c r="D62" t="s">
        <v>764</v>
      </c>
      <c r="E62" t="n">
        <v>200626.0</v>
      </c>
      <c r="F62" t="s">
        <v>845</v>
      </c>
    </row>
    <row r="63">
      <c r="A63" t="s">
        <v>112</v>
      </c>
      <c r="B63" t="n" s="157">
        <v>43552.02611111111</v>
      </c>
      <c r="C63" t="n">
        <v>-6.0</v>
      </c>
      <c r="D63" t="s">
        <v>865</v>
      </c>
      <c r="E63" t="n">
        <v>200630.0</v>
      </c>
      <c r="F63" t="s">
        <v>845</v>
      </c>
    </row>
    <row r="64">
      <c r="A64" t="s">
        <v>117</v>
      </c>
      <c r="B64" t="n" s="157">
        <v>43552.02611111111</v>
      </c>
      <c r="C64" t="n">
        <v>-6.0</v>
      </c>
      <c r="D64" t="s">
        <v>765</v>
      </c>
      <c r="E64" t="n">
        <v>200638.0</v>
      </c>
      <c r="F64" t="s">
        <v>845</v>
      </c>
    </row>
    <row r="65">
      <c r="A65" t="s">
        <v>118</v>
      </c>
      <c r="B65" t="n" s="157">
        <v>43552.02611111111</v>
      </c>
      <c r="C65" t="n">
        <v>-6.0</v>
      </c>
      <c r="D65" t="s">
        <v>766</v>
      </c>
      <c r="E65" t="n">
        <v>200645.0</v>
      </c>
      <c r="F65" t="s">
        <v>845</v>
      </c>
    </row>
    <row r="66">
      <c r="A66" t="s">
        <v>188</v>
      </c>
      <c r="B66" t="n" s="157">
        <v>43552.02611111111</v>
      </c>
      <c r="C66" t="n">
        <v>-6.0</v>
      </c>
      <c r="D66" t="s">
        <v>802</v>
      </c>
      <c r="E66" t="n">
        <v>200655.0</v>
      </c>
      <c r="F66" t="s">
        <v>845</v>
      </c>
    </row>
    <row r="67">
      <c r="A67" t="s">
        <v>228</v>
      </c>
      <c r="B67" t="n" s="157">
        <v>43552.02611111111</v>
      </c>
      <c r="C67" t="n">
        <v>-6.0</v>
      </c>
      <c r="D67" t="s">
        <v>768</v>
      </c>
      <c r="E67" t="n">
        <v>200670.0</v>
      </c>
      <c r="F67" t="s">
        <v>845</v>
      </c>
    </row>
    <row r="68">
      <c r="A68" t="s">
        <v>227</v>
      </c>
      <c r="B68" t="n" s="157">
        <v>43552.02611111111</v>
      </c>
      <c r="C68" t="n">
        <v>-6.0</v>
      </c>
      <c r="D68" t="s">
        <v>769</v>
      </c>
      <c r="E68" t="n">
        <v>200676.0</v>
      </c>
      <c r="F68" t="s">
        <v>845</v>
      </c>
    </row>
    <row r="69">
      <c r="A69" t="s">
        <v>224</v>
      </c>
      <c r="B69" t="n" s="157">
        <v>43542.702256944445</v>
      </c>
      <c r="C69" t="n">
        <v>-6.0</v>
      </c>
      <c r="D69" t="s">
        <v>881</v>
      </c>
      <c r="E69" t="n">
        <v>200683.0</v>
      </c>
      <c r="F69" t="s">
        <v>845</v>
      </c>
    </row>
    <row r="70">
      <c r="A70" t="s">
        <v>226</v>
      </c>
      <c r="B70" t="n" s="157">
        <v>43552.02611111111</v>
      </c>
      <c r="C70" t="n">
        <v>-6.0</v>
      </c>
      <c r="D70" t="s">
        <v>770</v>
      </c>
      <c r="E70" t="n">
        <v>200690.0</v>
      </c>
      <c r="F70" t="s">
        <v>845</v>
      </c>
    </row>
    <row r="71">
      <c r="A71" t="s">
        <v>70</v>
      </c>
      <c r="B71" t="n" s="157">
        <v>43552.02611111111</v>
      </c>
      <c r="C71" t="n">
        <v>-6.0</v>
      </c>
      <c r="D71" t="s">
        <v>771</v>
      </c>
      <c r="E71" t="n">
        <v>200697.0</v>
      </c>
      <c r="F71" t="s">
        <v>845</v>
      </c>
    </row>
    <row r="72">
      <c r="A72" t="s">
        <v>71</v>
      </c>
      <c r="B72" t="n" s="157">
        <v>43552.02611111111</v>
      </c>
      <c r="C72" t="n">
        <v>-6.0</v>
      </c>
      <c r="D72" t="s">
        <v>772</v>
      </c>
      <c r="E72" t="n">
        <v>200701.0</v>
      </c>
      <c r="F72" t="s">
        <v>845</v>
      </c>
    </row>
    <row r="73">
      <c r="A73" t="s">
        <v>69</v>
      </c>
      <c r="B73" t="n" s="157">
        <v>43552.02611111111</v>
      </c>
      <c r="C73" t="n">
        <v>-6.0</v>
      </c>
      <c r="D73" t="s">
        <v>773</v>
      </c>
      <c r="E73" t="n">
        <v>200708.0</v>
      </c>
      <c r="F73" t="s">
        <v>845</v>
      </c>
    </row>
    <row r="74">
      <c r="A74" t="s">
        <v>115</v>
      </c>
      <c r="B74" t="n" s="157">
        <v>43542.700949074075</v>
      </c>
      <c r="C74" t="n">
        <v>-6.0</v>
      </c>
      <c r="D74" t="s">
        <v>887</v>
      </c>
      <c r="E74" t="n">
        <v>200714.0</v>
      </c>
      <c r="F74" t="s">
        <v>845</v>
      </c>
    </row>
    <row r="75">
      <c r="A75" t="s">
        <v>115</v>
      </c>
      <c r="B75" t="n" s="157">
        <v>43552.02611111111</v>
      </c>
      <c r="C75" t="n">
        <v>-6.0</v>
      </c>
      <c r="D75" t="s">
        <v>774</v>
      </c>
      <c r="E75" t="n">
        <v>200715.0</v>
      </c>
      <c r="F75" t="s">
        <v>845</v>
      </c>
    </row>
    <row r="76">
      <c r="A76" t="s">
        <v>74</v>
      </c>
      <c r="B76" t="n" s="157">
        <v>43552.02611111111</v>
      </c>
      <c r="C76" t="n">
        <v>-6.0</v>
      </c>
      <c r="D76" t="s">
        <v>775</v>
      </c>
      <c r="E76" t="n">
        <v>200719.0</v>
      </c>
      <c r="F76" t="s">
        <v>845</v>
      </c>
    </row>
    <row r="77">
      <c r="A77" t="s">
        <v>119</v>
      </c>
      <c r="B77" t="n" s="157">
        <v>43551.66847222222</v>
      </c>
      <c r="C77" t="n">
        <v>550.0</v>
      </c>
      <c r="D77" t="s">
        <v>889</v>
      </c>
      <c r="E77" t="n">
        <v>200720.0</v>
      </c>
      <c r="F77" t="s">
        <v>845</v>
      </c>
    </row>
    <row r="78">
      <c r="A78" t="s">
        <v>119</v>
      </c>
      <c r="B78" t="n" s="157">
        <v>43551.66847222222</v>
      </c>
      <c r="C78" t="n">
        <v>-39.6</v>
      </c>
      <c r="D78" t="s">
        <v>820</v>
      </c>
      <c r="E78" t="n">
        <v>200721.0</v>
      </c>
      <c r="F78" t="s">
        <v>845</v>
      </c>
    </row>
    <row r="79">
      <c r="A79" t="s">
        <v>119</v>
      </c>
      <c r="B79" t="n" s="157">
        <v>43552.02611111111</v>
      </c>
      <c r="C79" t="n">
        <v>-6.0</v>
      </c>
      <c r="D79" t="s">
        <v>776</v>
      </c>
      <c r="E79" t="n">
        <v>200722.0</v>
      </c>
      <c r="F79" t="s">
        <v>845</v>
      </c>
    </row>
    <row r="80">
      <c r="A80" t="s">
        <v>53</v>
      </c>
      <c r="B80" t="n" s="157">
        <v>43552.02611111111</v>
      </c>
      <c r="C80" t="n">
        <v>-12.0</v>
      </c>
      <c r="D80" t="s">
        <v>777</v>
      </c>
      <c r="E80" t="n">
        <v>200723.0</v>
      </c>
      <c r="F80" t="s">
        <v>845</v>
      </c>
    </row>
    <row r="81">
      <c r="A81" t="s">
        <v>54</v>
      </c>
      <c r="B81" t="n" s="157">
        <v>43552.02611111111</v>
      </c>
      <c r="C81" t="n">
        <v>-6.0</v>
      </c>
      <c r="D81" t="s">
        <v>778</v>
      </c>
      <c r="E81" t="n">
        <v>200724.0</v>
      </c>
      <c r="F81" t="s">
        <v>845</v>
      </c>
    </row>
    <row r="82">
      <c r="A82" t="s">
        <v>55</v>
      </c>
      <c r="B82" t="n" s="157">
        <v>43546.46114583333</v>
      </c>
      <c r="C82" t="n">
        <v>-48.0</v>
      </c>
      <c r="D82" t="s">
        <v>890</v>
      </c>
      <c r="E82" t="n">
        <v>200725.0</v>
      </c>
      <c r="F82" t="s">
        <v>845</v>
      </c>
    </row>
    <row r="83">
      <c r="A83" t="s">
        <v>55</v>
      </c>
      <c r="B83" t="n" s="157">
        <v>43552.02611111111</v>
      </c>
      <c r="C83" t="n">
        <v>-6.0</v>
      </c>
      <c r="D83" t="s">
        <v>779</v>
      </c>
      <c r="E83" t="n">
        <v>200726.0</v>
      </c>
      <c r="F83" t="s">
        <v>845</v>
      </c>
    </row>
    <row r="84">
      <c r="A84" t="s">
        <v>56</v>
      </c>
      <c r="B84" t="n" s="157">
        <v>43537.64747685185</v>
      </c>
      <c r="C84" t="n">
        <v>-275.0</v>
      </c>
      <c r="D84" t="s">
        <v>891</v>
      </c>
      <c r="E84" t="n">
        <v>200730.0</v>
      </c>
      <c r="F84" t="s">
        <v>845</v>
      </c>
    </row>
    <row r="85">
      <c r="A85" t="s">
        <v>56</v>
      </c>
      <c r="B85" t="n" s="157">
        <v>43550.66155092593</v>
      </c>
      <c r="C85" t="n">
        <v>269.12</v>
      </c>
      <c r="D85" t="s">
        <v>893</v>
      </c>
      <c r="E85" t="n">
        <v>200731.0</v>
      </c>
      <c r="F85" t="s">
        <v>845</v>
      </c>
    </row>
    <row r="86">
      <c r="A86" t="s">
        <v>56</v>
      </c>
      <c r="B86" t="n" s="157">
        <v>43550.66155092593</v>
      </c>
      <c r="C86" t="n">
        <v>-19.38</v>
      </c>
      <c r="D86" t="s">
        <v>719</v>
      </c>
      <c r="E86" t="n">
        <v>200732.0</v>
      </c>
      <c r="F86" t="s">
        <v>845</v>
      </c>
    </row>
    <row r="87">
      <c r="A87" t="s">
        <v>56</v>
      </c>
      <c r="B87" t="n" s="157">
        <v>43552.02611111111</v>
      </c>
      <c r="C87" t="n">
        <v>-6.0</v>
      </c>
      <c r="D87" t="s">
        <v>780</v>
      </c>
      <c r="E87" t="n">
        <v>200733.0</v>
      </c>
      <c r="F87" t="s">
        <v>845</v>
      </c>
    </row>
    <row r="88">
      <c r="A88" t="s">
        <v>187</v>
      </c>
      <c r="B88" t="n" s="157">
        <v>43552.02611111111</v>
      </c>
      <c r="C88" t="n">
        <v>-6.0</v>
      </c>
      <c r="D88" t="s">
        <v>781</v>
      </c>
      <c r="E88" t="n">
        <v>200739.0</v>
      </c>
      <c r="F88" t="s">
        <v>845</v>
      </c>
    </row>
    <row r="89">
      <c r="A89" t="s">
        <v>59</v>
      </c>
      <c r="B89" t="n" s="157">
        <v>43552.02611111111</v>
      </c>
      <c r="C89" t="n">
        <v>-6.0</v>
      </c>
      <c r="D89" t="s">
        <v>782</v>
      </c>
      <c r="E89" t="n">
        <v>200743.0</v>
      </c>
      <c r="F89" t="s">
        <v>845</v>
      </c>
    </row>
    <row r="90">
      <c r="A90" t="s">
        <v>58</v>
      </c>
      <c r="B90" t="n" s="157">
        <v>43552.02611111111</v>
      </c>
      <c r="C90" t="n">
        <v>-6.0</v>
      </c>
      <c r="D90" t="s">
        <v>784</v>
      </c>
      <c r="E90" t="n">
        <v>200749.0</v>
      </c>
      <c r="F90" t="s">
        <v>845</v>
      </c>
    </row>
    <row r="91">
      <c r="A91" t="s">
        <v>57</v>
      </c>
      <c r="B91" t="n" s="157">
        <v>43552.02611111111</v>
      </c>
      <c r="C91" t="n">
        <v>-6.0</v>
      </c>
      <c r="D91" t="s">
        <v>785</v>
      </c>
      <c r="E91" t="n">
        <v>200755.0</v>
      </c>
      <c r="F91" t="s">
        <v>845</v>
      </c>
    </row>
    <row r="92">
      <c r="A92" t="s">
        <v>63</v>
      </c>
      <c r="B92" t="n" s="157">
        <v>43552.02611111111</v>
      </c>
      <c r="C92" t="n">
        <v>-6.0</v>
      </c>
      <c r="D92" t="s">
        <v>786</v>
      </c>
      <c r="E92" t="n">
        <v>200759.0</v>
      </c>
      <c r="F92" t="s">
        <v>845</v>
      </c>
    </row>
    <row r="93">
      <c r="A93" t="s">
        <v>64</v>
      </c>
      <c r="B93" t="n" s="157">
        <v>43552.02611111111</v>
      </c>
      <c r="C93" t="n">
        <v>-6.0</v>
      </c>
      <c r="D93" t="s">
        <v>787</v>
      </c>
      <c r="E93" t="n">
        <v>200766.0</v>
      </c>
      <c r="F93" t="s">
        <v>845</v>
      </c>
    </row>
    <row r="94">
      <c r="A94" t="s">
        <v>66</v>
      </c>
      <c r="B94" t="n" s="157">
        <v>43552.02611111111</v>
      </c>
      <c r="C94" t="n">
        <v>-6.0</v>
      </c>
      <c r="D94" t="s">
        <v>788</v>
      </c>
      <c r="E94" t="n">
        <v>200773.0</v>
      </c>
      <c r="F94" t="s">
        <v>845</v>
      </c>
    </row>
    <row r="95">
      <c r="A95" t="s">
        <v>103</v>
      </c>
      <c r="B95" t="n" s="157">
        <v>43552.02611111111</v>
      </c>
      <c r="C95" t="n">
        <v>-6.0</v>
      </c>
      <c r="D95" t="s">
        <v>789</v>
      </c>
      <c r="E95" t="n">
        <v>200777.0</v>
      </c>
      <c r="F95" t="s">
        <v>845</v>
      </c>
    </row>
    <row r="96">
      <c r="A96" t="s">
        <v>99</v>
      </c>
      <c r="B96" t="n" s="157">
        <v>43552.02611111111</v>
      </c>
      <c r="C96" t="n">
        <v>-6.0</v>
      </c>
      <c r="D96" t="s">
        <v>790</v>
      </c>
      <c r="E96" t="n">
        <v>200778.0</v>
      </c>
      <c r="F96" t="s">
        <v>845</v>
      </c>
    </row>
    <row r="97">
      <c r="A97" t="s">
        <v>61</v>
      </c>
      <c r="B97" t="n" s="157">
        <v>43552.02611111111</v>
      </c>
      <c r="C97" t="n">
        <v>-6.0</v>
      </c>
      <c r="D97" t="s">
        <v>791</v>
      </c>
      <c r="E97" t="n">
        <v>200785.0</v>
      </c>
      <c r="F97" t="s">
        <v>845</v>
      </c>
    </row>
    <row r="98">
      <c r="A98" t="s">
        <v>111</v>
      </c>
      <c r="B98" t="n" s="157">
        <v>43552.02611111111</v>
      </c>
      <c r="C98" t="n">
        <v>-6.0</v>
      </c>
      <c r="D98" t="s">
        <v>792</v>
      </c>
      <c r="E98" t="n">
        <v>200792.0</v>
      </c>
      <c r="F98" t="s">
        <v>845</v>
      </c>
    </row>
    <row r="99">
      <c r="A99" t="s">
        <v>186</v>
      </c>
      <c r="B99" t="n" s="157">
        <v>43552.02611111111</v>
      </c>
      <c r="C99" t="n">
        <v>-6.0</v>
      </c>
      <c r="D99" t="s">
        <v>909</v>
      </c>
      <c r="E99" t="n">
        <v>200800.0</v>
      </c>
      <c r="F99" t="s">
        <v>845</v>
      </c>
    </row>
    <row r="100" spans="1:3" x14ac:dyDescent="0.2">
      <c r="A100" t="s">
        <v>851</v>
      </c>
      <c r="B100">
        <v>182</v>
      </c>
      <c r="C100">
        <v>176</v>
      </c>
    </row>
    <row r="101">
      <c r="A101" t="s" s="156">
        <v>846</v>
      </c>
    </row>
    <row r="102">
      <c r="A102" t="s">
        <v>847</v>
      </c>
      <c r="B102" t="s">
        <v>521</v>
      </c>
    </row>
    <row r="103">
      <c r="A103" t="s">
        <v>848</v>
      </c>
      <c r="B103" t="n">
        <v>210.0</v>
      </c>
    </row>
    <row r="104">
      <c r="A104" t="s">
        <v>849</v>
      </c>
      <c r="B104" t="n">
        <v>210.0</v>
      </c>
    </row>
    <row r="105">
      <c r="A105" t="s">
        <v>850</v>
      </c>
      <c r="B105" t="n">
        <v>0.0</v>
      </c>
    </row>
    <row r="106">
      <c r="A106" t="s">
        <v>851</v>
      </c>
      <c r="B106" t="n">
        <v>210.0</v>
      </c>
      <c r="C106" t="n">
        <v>199.0</v>
      </c>
    </row>
    <row r="107">
      <c r="A107" t="s">
        <v>852</v>
      </c>
      <c r="B107" t="n">
        <v>12.0</v>
      </c>
      <c r="C107" t="n">
        <v>12.0</v>
      </c>
    </row>
    <row r="108">
      <c r="A108" t="s">
        <v>853</v>
      </c>
      <c r="B108" t="n">
        <v>27.0</v>
      </c>
      <c r="C108" t="n">
        <v>27.0</v>
      </c>
    </row>
    <row r="109" spans="1:3" x14ac:dyDescent="0.2">
      <c r="A109" t="s">
        <v>852</v>
      </c>
      <c r="B109">
        <v>0</v>
      </c>
      <c r="C109">
        <v>0</v>
      </c>
    </row>
    <row r="110">
      <c r="A110" t="s">
        <v>847</v>
      </c>
      <c r="B110" t="s">
        <v>522</v>
      </c>
    </row>
    <row r="111">
      <c r="A111" t="s">
        <v>848</v>
      </c>
      <c r="B111" t="n">
        <v>62.0</v>
      </c>
    </row>
    <row r="112">
      <c r="A112" t="s">
        <v>849</v>
      </c>
      <c r="B112" t="n">
        <v>62.0</v>
      </c>
    </row>
    <row r="113">
      <c r="A113" t="s">
        <v>850</v>
      </c>
      <c r="B113" t="n">
        <v>0.0</v>
      </c>
    </row>
    <row r="114">
      <c r="A114" t="s">
        <v>851</v>
      </c>
      <c r="B114" t="n">
        <v>62.0</v>
      </c>
      <c r="C114" t="n">
        <v>62.0</v>
      </c>
    </row>
    <row r="115">
      <c r="A115" t="s">
        <v>852</v>
      </c>
      <c r="B115" t="n">
        <v>1.0</v>
      </c>
      <c r="C115" t="n">
        <v>1.0</v>
      </c>
    </row>
    <row r="116">
      <c r="A116" t="s">
        <v>853</v>
      </c>
      <c r="B116" t="n">
        <v>16.0</v>
      </c>
      <c r="C116" t="n">
        <v>16.0</v>
      </c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11"/>
  <sheetViews>
    <sheetView topLeftCell="A69" workbookViewId="0" zoomScale="85" zoomScaleNormal="85">
      <selection activeCell="F97" sqref="F97"/>
    </sheetView>
  </sheetViews>
  <sheetFormatPr defaultRowHeight="12.75" x14ac:dyDescent="0.2"/>
  <cols>
    <col min="1" max="2" bestFit="true" customWidth="true" width="10.28515625" collapsed="false"/>
    <col min="3" max="3" bestFit="true" customWidth="true" width="17.28515625" collapsed="false"/>
    <col min="4" max="4" bestFit="true" customWidth="true" width="12.85546875" collapsed="false"/>
    <col min="5" max="5" bestFit="true" customWidth="true" width="14.28515625" collapsed="false"/>
    <col min="6" max="6" bestFit="true" customWidth="true" width="50.140625" collapsed="false"/>
    <col min="7" max="7" bestFit="true" customWidth="true" width="10.7109375" collapsed="false"/>
    <col min="8" max="8" customWidth="true" width="25.5703125" collapsed="false"/>
    <col min="9" max="9" bestFit="true" customWidth="true" width="8.7109375" collapsed="false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10" x14ac:dyDescent="0.2">
      <c r="A2" s="149" t="s">
        <v>1182</v>
      </c>
      <c r="B2" s="150">
        <v>43525</v>
      </c>
      <c r="C2" s="149" t="s">
        <v>565</v>
      </c>
      <c r="D2" s="149">
        <v>-3.99</v>
      </c>
      <c r="E2" s="149" t="s">
        <v>566</v>
      </c>
      <c r="F2" s="149" t="s">
        <v>910</v>
      </c>
      <c r="G2" s="151"/>
      <c r="H2" s="151"/>
      <c r="I2" t="s">
        <v>1183</v>
      </c>
      <c r="J2" s="149"/>
    </row>
    <row r="3" spans="1:10" x14ac:dyDescent="0.2">
      <c r="A3" s="149" t="s">
        <v>1182</v>
      </c>
      <c r="B3" s="150">
        <v>43525</v>
      </c>
      <c r="C3" s="149" t="s">
        <v>565</v>
      </c>
      <c r="D3" s="149">
        <v>-2.04</v>
      </c>
      <c r="E3" s="149" t="s">
        <v>566</v>
      </c>
      <c r="F3" s="149" t="s">
        <v>911</v>
      </c>
      <c r="G3" s="151"/>
      <c r="H3" s="149"/>
      <c r="I3" t="s">
        <v>1183</v>
      </c>
      <c r="J3" s="149"/>
    </row>
    <row r="4" spans="1:10" x14ac:dyDescent="0.2">
      <c r="A4" s="149" t="s">
        <v>1182</v>
      </c>
      <c r="B4" s="150">
        <v>43525</v>
      </c>
      <c r="C4" s="149" t="s">
        <v>565</v>
      </c>
      <c r="D4" s="149">
        <v>-0.89</v>
      </c>
      <c r="E4" s="149" t="s">
        <v>566</v>
      </c>
      <c r="F4" s="149" t="s">
        <v>911</v>
      </c>
      <c r="G4" s="149"/>
      <c r="H4" s="149"/>
      <c r="I4" t="s">
        <v>1183</v>
      </c>
      <c r="J4" s="149"/>
    </row>
    <row r="5" spans="1:10" x14ac:dyDescent="0.2">
      <c r="A5" s="149" t="s">
        <v>1182</v>
      </c>
      <c r="B5" s="150">
        <v>43525</v>
      </c>
      <c r="C5" s="149" t="s">
        <v>565</v>
      </c>
      <c r="D5" s="149">
        <v>-0.89</v>
      </c>
      <c r="E5" s="149" t="s">
        <v>566</v>
      </c>
      <c r="F5" s="149" t="s">
        <v>911</v>
      </c>
      <c r="G5" s="149"/>
      <c r="H5" s="149"/>
      <c r="I5" t="s">
        <v>1183</v>
      </c>
      <c r="J5" s="149"/>
    </row>
    <row r="6" spans="1:10" x14ac:dyDescent="0.2">
      <c r="A6" s="149" t="s">
        <v>1182</v>
      </c>
      <c r="B6" s="150">
        <v>43525</v>
      </c>
      <c r="C6" s="149" t="s">
        <v>565</v>
      </c>
      <c r="D6" s="52">
        <v>-166</v>
      </c>
      <c r="E6" s="149" t="s">
        <v>567</v>
      </c>
      <c r="F6" s="149" t="s">
        <v>664</v>
      </c>
      <c r="G6" s="47" t="s">
        <v>476</v>
      </c>
      <c r="H6" s="151" t="s">
        <v>1172</v>
      </c>
      <c r="I6" t="s">
        <v>1184</v>
      </c>
      <c r="J6" s="149"/>
    </row>
    <row r="7" spans="1:10" x14ac:dyDescent="0.2">
      <c r="A7" s="149" t="s">
        <v>1182</v>
      </c>
      <c r="B7" s="150">
        <v>43525</v>
      </c>
      <c r="C7" s="149" t="s">
        <v>565</v>
      </c>
      <c r="D7" s="149">
        <v>-2609.16</v>
      </c>
      <c r="E7" s="149" t="s">
        <v>567</v>
      </c>
      <c r="F7" s="149" t="s">
        <v>568</v>
      </c>
      <c r="G7" s="149"/>
      <c r="H7" s="149"/>
      <c r="I7" t="s">
        <v>1183</v>
      </c>
      <c r="J7" s="149"/>
    </row>
    <row r="8" spans="1:10" x14ac:dyDescent="0.2">
      <c r="A8" s="149" t="s">
        <v>1182</v>
      </c>
      <c r="B8" s="150">
        <v>43525</v>
      </c>
      <c r="C8" s="149" t="s">
        <v>565</v>
      </c>
      <c r="D8" s="149">
        <v>-196.79</v>
      </c>
      <c r="E8" s="149" t="s">
        <v>567</v>
      </c>
      <c r="F8" s="149" t="s">
        <v>569</v>
      </c>
      <c r="G8" s="149"/>
      <c r="H8" s="149"/>
      <c r="I8" t="s">
        <v>1183</v>
      </c>
      <c r="J8" s="149"/>
    </row>
    <row r="9" spans="1:10" x14ac:dyDescent="0.2">
      <c r="A9" s="149" t="s">
        <v>1182</v>
      </c>
      <c r="B9" s="150">
        <v>43525</v>
      </c>
      <c r="C9" s="149" t="s">
        <v>565</v>
      </c>
      <c r="D9" s="149">
        <v>-50</v>
      </c>
      <c r="E9" s="149" t="s">
        <v>567</v>
      </c>
      <c r="F9" s="149" t="s">
        <v>570</v>
      </c>
      <c r="G9" s="149"/>
      <c r="H9" s="149"/>
      <c r="I9" t="s">
        <v>1183</v>
      </c>
      <c r="J9" s="149"/>
    </row>
    <row r="10" spans="1:10" x14ac:dyDescent="0.2">
      <c r="A10" s="149" t="s">
        <v>1182</v>
      </c>
      <c r="B10" s="150">
        <v>43525</v>
      </c>
      <c r="C10" s="149" t="s">
        <v>565</v>
      </c>
      <c r="D10" s="149">
        <v>-50</v>
      </c>
      <c r="E10" s="149" t="s">
        <v>567</v>
      </c>
      <c r="F10" s="149" t="s">
        <v>571</v>
      </c>
      <c r="G10" s="149"/>
      <c r="H10" s="149"/>
      <c r="I10" t="s">
        <v>1183</v>
      </c>
      <c r="J10" s="149"/>
    </row>
    <row r="11" spans="1:10" x14ac:dyDescent="0.2">
      <c r="A11" s="149" t="s">
        <v>1182</v>
      </c>
      <c r="B11" s="150">
        <v>43525</v>
      </c>
      <c r="C11" s="149" t="s">
        <v>565</v>
      </c>
      <c r="D11" s="149">
        <v>-160</v>
      </c>
      <c r="E11" s="149" t="s">
        <v>567</v>
      </c>
      <c r="F11" s="149" t="s">
        <v>572</v>
      </c>
      <c r="G11" s="149"/>
      <c r="H11" s="149"/>
      <c r="I11" t="s">
        <v>1183</v>
      </c>
      <c r="J11" s="149"/>
    </row>
    <row r="12" spans="1:10" x14ac:dyDescent="0.2">
      <c r="A12" s="149" t="s">
        <v>1182</v>
      </c>
      <c r="B12" s="150">
        <v>43525</v>
      </c>
      <c r="C12" s="149" t="s">
        <v>565</v>
      </c>
      <c r="D12" s="149">
        <v>-157.5</v>
      </c>
      <c r="E12" s="149" t="s">
        <v>567</v>
      </c>
      <c r="F12" s="149" t="s">
        <v>573</v>
      </c>
      <c r="G12" s="149"/>
      <c r="H12" s="149"/>
      <c r="I12" t="s">
        <v>1183</v>
      </c>
      <c r="J12" s="149"/>
    </row>
    <row r="13" spans="1:10" x14ac:dyDescent="0.2">
      <c r="A13" s="149" t="s">
        <v>1182</v>
      </c>
      <c r="B13" s="150">
        <v>43525</v>
      </c>
      <c r="C13" s="149" t="s">
        <v>565</v>
      </c>
      <c r="D13" s="149">
        <v>-232.5</v>
      </c>
      <c r="E13" s="149" t="s">
        <v>567</v>
      </c>
      <c r="F13" s="149" t="s">
        <v>574</v>
      </c>
      <c r="G13" s="149"/>
      <c r="H13" s="149"/>
      <c r="I13" t="s">
        <v>1183</v>
      </c>
      <c r="J13" s="149"/>
    </row>
    <row r="14" spans="1:10" x14ac:dyDescent="0.2">
      <c r="A14" s="149" t="s">
        <v>1182</v>
      </c>
      <c r="B14" s="150">
        <v>43525</v>
      </c>
      <c r="C14" s="149" t="s">
        <v>565</v>
      </c>
      <c r="D14" s="149">
        <v>-221.36</v>
      </c>
      <c r="E14" s="149" t="s">
        <v>575</v>
      </c>
      <c r="F14" s="149" t="s">
        <v>577</v>
      </c>
      <c r="G14" s="149"/>
      <c r="H14" s="151"/>
      <c r="I14" t="s">
        <v>1185</v>
      </c>
      <c r="J14" s="149"/>
    </row>
    <row r="15" spans="1:10" x14ac:dyDescent="0.2">
      <c r="A15" s="149" t="s">
        <v>1182</v>
      </c>
      <c r="B15" s="150">
        <v>43525</v>
      </c>
      <c r="C15" s="149" t="s">
        <v>565</v>
      </c>
      <c r="D15" s="149">
        <v>-240.21</v>
      </c>
      <c r="E15" s="149" t="s">
        <v>575</v>
      </c>
      <c r="F15" s="149" t="s">
        <v>576</v>
      </c>
      <c r="G15" s="151"/>
      <c r="H15" s="151"/>
      <c r="I15" t="s">
        <v>1185</v>
      </c>
      <c r="J15" s="149"/>
    </row>
    <row r="16" spans="1:10" x14ac:dyDescent="0.2">
      <c r="A16" s="149" t="s">
        <v>1182</v>
      </c>
      <c r="B16" s="150">
        <v>43525</v>
      </c>
      <c r="C16" s="149" t="s">
        <v>565</v>
      </c>
      <c r="D16" s="149">
        <v>-23.45</v>
      </c>
      <c r="E16" s="149" t="s">
        <v>575</v>
      </c>
      <c r="F16" s="149" t="s">
        <v>578</v>
      </c>
      <c r="G16" s="151"/>
      <c r="H16" s="149"/>
      <c r="I16" t="s">
        <v>1183</v>
      </c>
      <c r="J16" s="149"/>
    </row>
    <row r="17" spans="1:10" x14ac:dyDescent="0.2">
      <c r="A17" s="149" t="s">
        <v>1182</v>
      </c>
      <c r="B17" s="150">
        <v>43525</v>
      </c>
      <c r="C17" s="149" t="s">
        <v>565</v>
      </c>
      <c r="D17" s="149">
        <v>-124.68</v>
      </c>
      <c r="E17" s="149" t="s">
        <v>575</v>
      </c>
      <c r="F17" s="149" t="s">
        <v>579</v>
      </c>
      <c r="G17" s="149"/>
      <c r="H17" s="149"/>
      <c r="I17" t="s">
        <v>1183</v>
      </c>
      <c r="J17" s="151"/>
    </row>
    <row r="18" spans="1:10" x14ac:dyDescent="0.2">
      <c r="A18" s="149" t="s">
        <v>1182</v>
      </c>
      <c r="B18" s="150">
        <v>43525</v>
      </c>
      <c r="C18" s="149" t="s">
        <v>565</v>
      </c>
      <c r="D18" s="149">
        <v>-125.34</v>
      </c>
      <c r="E18" s="149" t="s">
        <v>575</v>
      </c>
      <c r="F18" s="149" t="s">
        <v>580</v>
      </c>
      <c r="G18" s="151"/>
      <c r="H18" s="151"/>
      <c r="I18" t="s">
        <v>1183</v>
      </c>
      <c r="J18" s="151"/>
    </row>
    <row r="19" spans="1:10" x14ac:dyDescent="0.2">
      <c r="A19" s="149" t="s">
        <v>1182</v>
      </c>
      <c r="B19" s="150">
        <v>43528</v>
      </c>
      <c r="C19" s="149" t="s">
        <v>565</v>
      </c>
      <c r="D19" s="149">
        <v>8000</v>
      </c>
      <c r="E19" s="149" t="s">
        <v>595</v>
      </c>
      <c r="F19" s="151" t="s">
        <v>912</v>
      </c>
      <c r="G19" s="149"/>
      <c r="H19" s="149"/>
      <c r="I19" t="s">
        <v>1183</v>
      </c>
      <c r="J19" s="151"/>
    </row>
    <row r="20" spans="1:10" x14ac:dyDescent="0.2">
      <c r="A20" s="149" t="s">
        <v>1182</v>
      </c>
      <c r="B20" s="150">
        <v>43528</v>
      </c>
      <c r="C20" s="149" t="s">
        <v>565</v>
      </c>
      <c r="D20" s="149">
        <v>-150</v>
      </c>
      <c r="E20" s="149" t="s">
        <v>593</v>
      </c>
      <c r="F20" s="149" t="s">
        <v>913</v>
      </c>
      <c r="G20" s="149"/>
      <c r="H20" s="149"/>
      <c r="I20" t="s">
        <v>1183</v>
      </c>
      <c r="J20" s="151"/>
    </row>
    <row r="21" spans="1:10" x14ac:dyDescent="0.2">
      <c r="A21" s="149" t="s">
        <v>1182</v>
      </c>
      <c r="B21" s="150">
        <v>43528</v>
      </c>
      <c r="C21" s="149" t="s">
        <v>565</v>
      </c>
      <c r="D21" s="149">
        <v>-8.5</v>
      </c>
      <c r="E21" s="149" t="s">
        <v>566</v>
      </c>
      <c r="F21" s="149" t="s">
        <v>914</v>
      </c>
      <c r="G21" s="149"/>
      <c r="H21" s="149"/>
      <c r="I21" t="s">
        <v>1183</v>
      </c>
      <c r="J21" s="151"/>
    </row>
    <row r="22" spans="1:10" x14ac:dyDescent="0.2">
      <c r="A22" s="149" t="s">
        <v>1182</v>
      </c>
      <c r="B22" s="150">
        <v>43528</v>
      </c>
      <c r="C22" s="149" t="s">
        <v>565</v>
      </c>
      <c r="D22" s="149">
        <v>-5.04</v>
      </c>
      <c r="E22" s="149" t="s">
        <v>566</v>
      </c>
      <c r="F22" s="149" t="s">
        <v>915</v>
      </c>
      <c r="G22" s="149"/>
      <c r="H22" s="149"/>
      <c r="I22" t="s">
        <v>1183</v>
      </c>
      <c r="J22" s="151"/>
    </row>
    <row r="23" spans="1:10" x14ac:dyDescent="0.2">
      <c r="A23" s="149" t="s">
        <v>1182</v>
      </c>
      <c r="B23" s="150">
        <v>43528</v>
      </c>
      <c r="C23" s="149" t="s">
        <v>565</v>
      </c>
      <c r="D23" s="149">
        <v>-0.65</v>
      </c>
      <c r="E23" s="149" t="s">
        <v>566</v>
      </c>
      <c r="F23" s="149" t="s">
        <v>915</v>
      </c>
      <c r="G23" s="149"/>
      <c r="H23" s="149"/>
      <c r="I23" t="s">
        <v>1183</v>
      </c>
      <c r="J23" s="149"/>
    </row>
    <row r="24" spans="1:10" x14ac:dyDescent="0.2">
      <c r="A24" s="149" t="s">
        <v>1182</v>
      </c>
      <c r="B24" s="150">
        <v>43528</v>
      </c>
      <c r="C24" s="149" t="s">
        <v>565</v>
      </c>
      <c r="D24" s="149">
        <v>-46.83</v>
      </c>
      <c r="E24" s="149" t="s">
        <v>566</v>
      </c>
      <c r="F24" s="149" t="s">
        <v>916</v>
      </c>
      <c r="G24" s="149"/>
      <c r="H24" s="149"/>
      <c r="I24" t="s">
        <v>1183</v>
      </c>
      <c r="J24" s="149"/>
    </row>
    <row r="25" spans="1:10" x14ac:dyDescent="0.2">
      <c r="A25" s="149" t="s">
        <v>1182</v>
      </c>
      <c r="B25" s="150">
        <v>43528</v>
      </c>
      <c r="C25" s="149" t="s">
        <v>565</v>
      </c>
      <c r="D25" s="52">
        <v>-400</v>
      </c>
      <c r="E25" s="149" t="s">
        <v>566</v>
      </c>
      <c r="F25" s="149" t="s">
        <v>917</v>
      </c>
      <c r="G25" s="149" t="s">
        <v>501</v>
      </c>
      <c r="H25" s="153" t="s">
        <v>1160</v>
      </c>
      <c r="I25" t="s">
        <v>1184</v>
      </c>
      <c r="J25" s="151"/>
    </row>
    <row r="26" spans="1:10" x14ac:dyDescent="0.2">
      <c r="A26" s="149" t="s">
        <v>1182</v>
      </c>
      <c r="B26" s="150">
        <v>43528</v>
      </c>
      <c r="C26" s="149" t="s">
        <v>565</v>
      </c>
      <c r="D26" s="149">
        <v>-46.69</v>
      </c>
      <c r="E26" s="149" t="s">
        <v>566</v>
      </c>
      <c r="F26" s="149" t="s">
        <v>918</v>
      </c>
      <c r="G26" s="149"/>
      <c r="H26" s="149"/>
      <c r="I26" t="s">
        <v>1183</v>
      </c>
      <c r="J26" s="151" t="s">
        <v>1161</v>
      </c>
    </row>
    <row r="27" spans="1:10" x14ac:dyDescent="0.2">
      <c r="A27" s="149" t="s">
        <v>1182</v>
      </c>
      <c r="B27" s="150">
        <v>43528</v>
      </c>
      <c r="C27" s="149" t="s">
        <v>565</v>
      </c>
      <c r="D27" s="149">
        <v>-3</v>
      </c>
      <c r="E27" s="149" t="s">
        <v>566</v>
      </c>
      <c r="F27" s="149" t="s">
        <v>919</v>
      </c>
      <c r="G27" s="47" t="s">
        <v>476</v>
      </c>
      <c r="H27" s="149"/>
      <c r="I27" t="s">
        <v>1184</v>
      </c>
      <c r="J27" s="151"/>
    </row>
    <row r="28" spans="1:10" x14ac:dyDescent="0.2">
      <c r="A28" s="149" t="s">
        <v>1182</v>
      </c>
      <c r="B28" s="150">
        <v>43528</v>
      </c>
      <c r="C28" s="149" t="s">
        <v>565</v>
      </c>
      <c r="D28" s="149">
        <v>-3</v>
      </c>
      <c r="E28" s="149" t="s">
        <v>566</v>
      </c>
      <c r="F28" s="149" t="s">
        <v>919</v>
      </c>
      <c r="G28" s="47" t="s">
        <v>476</v>
      </c>
      <c r="H28" s="151"/>
      <c r="I28" t="s">
        <v>1184</v>
      </c>
      <c r="J28" s="149"/>
    </row>
    <row r="29" spans="1:10" x14ac:dyDescent="0.2">
      <c r="A29" s="149" t="s">
        <v>1182</v>
      </c>
      <c r="B29" s="150">
        <v>43528</v>
      </c>
      <c r="C29" s="149" t="s">
        <v>565</v>
      </c>
      <c r="D29" s="149">
        <v>-50.31</v>
      </c>
      <c r="E29" s="149" t="s">
        <v>566</v>
      </c>
      <c r="F29" s="149" t="s">
        <v>920</v>
      </c>
      <c r="G29" s="149"/>
      <c r="H29" s="149"/>
      <c r="I29" t="s">
        <v>1183</v>
      </c>
      <c r="J29" s="151" t="s">
        <v>1161</v>
      </c>
    </row>
    <row r="30" spans="1:10" x14ac:dyDescent="0.2">
      <c r="A30" s="149" t="s">
        <v>1182</v>
      </c>
      <c r="B30" s="150">
        <v>43528</v>
      </c>
      <c r="C30" s="149" t="s">
        <v>565</v>
      </c>
      <c r="D30" s="149">
        <v>312.8</v>
      </c>
      <c r="E30" s="149" t="s">
        <v>595</v>
      </c>
      <c r="F30" s="149" t="s">
        <v>921</v>
      </c>
      <c r="G30" s="149"/>
      <c r="H30" s="151"/>
      <c r="I30" t="s">
        <v>1183</v>
      </c>
      <c r="J30" s="149"/>
    </row>
    <row r="31" spans="1:10" x14ac:dyDescent="0.2">
      <c r="A31" s="149" t="s">
        <v>1182</v>
      </c>
      <c r="B31" s="150">
        <v>43528</v>
      </c>
      <c r="C31" s="149" t="s">
        <v>565</v>
      </c>
      <c r="D31" s="149">
        <v>-209.16</v>
      </c>
      <c r="E31" s="149" t="s">
        <v>575</v>
      </c>
      <c r="F31" s="149" t="s">
        <v>581</v>
      </c>
      <c r="G31" s="149"/>
      <c r="H31" s="149"/>
      <c r="I31" t="s">
        <v>1185</v>
      </c>
      <c r="J31" s="149"/>
    </row>
    <row r="32" spans="1:10" x14ac:dyDescent="0.2">
      <c r="A32" s="149" t="s">
        <v>1182</v>
      </c>
      <c r="B32" s="150">
        <v>43528</v>
      </c>
      <c r="C32" s="149" t="s">
        <v>565</v>
      </c>
      <c r="D32" s="149">
        <v>-236.44</v>
      </c>
      <c r="E32" s="149" t="s">
        <v>575</v>
      </c>
      <c r="F32" s="149" t="s">
        <v>582</v>
      </c>
      <c r="G32" s="149"/>
      <c r="H32" s="149"/>
      <c r="I32" t="s">
        <v>1185</v>
      </c>
      <c r="J32" s="149"/>
    </row>
    <row r="33" spans="1:10" x14ac:dyDescent="0.2">
      <c r="A33" s="149" t="s">
        <v>1182</v>
      </c>
      <c r="B33" s="150">
        <v>43528</v>
      </c>
      <c r="C33" s="149" t="s">
        <v>565</v>
      </c>
      <c r="D33" s="149">
        <v>-260.98</v>
      </c>
      <c r="E33" s="149" t="s">
        <v>575</v>
      </c>
      <c r="F33" s="149" t="s">
        <v>583</v>
      </c>
      <c r="G33" s="149"/>
      <c r="H33" s="151"/>
      <c r="I33" t="s">
        <v>1185</v>
      </c>
      <c r="J33" s="149"/>
    </row>
    <row r="34" spans="1:10" x14ac:dyDescent="0.2">
      <c r="A34" s="149" t="s">
        <v>1182</v>
      </c>
      <c r="B34" s="150">
        <v>43528</v>
      </c>
      <c r="C34" s="149" t="s">
        <v>565</v>
      </c>
      <c r="D34" s="149">
        <v>-251.96</v>
      </c>
      <c r="E34" s="149" t="s">
        <v>575</v>
      </c>
      <c r="F34" s="149" t="s">
        <v>584</v>
      </c>
      <c r="G34" s="149"/>
      <c r="H34" s="149"/>
      <c r="I34" t="s">
        <v>1185</v>
      </c>
      <c r="J34" s="149"/>
    </row>
    <row r="35" spans="1:10" x14ac:dyDescent="0.2">
      <c r="A35" s="149" t="s">
        <v>1182</v>
      </c>
      <c r="B35" s="150">
        <v>43528</v>
      </c>
      <c r="C35" s="149" t="s">
        <v>565</v>
      </c>
      <c r="D35" s="149">
        <v>-206.93</v>
      </c>
      <c r="E35" s="149" t="s">
        <v>575</v>
      </c>
      <c r="F35" s="149" t="s">
        <v>585</v>
      </c>
      <c r="G35" s="149"/>
      <c r="H35" s="149"/>
      <c r="I35" t="s">
        <v>1185</v>
      </c>
      <c r="J35" s="149"/>
    </row>
    <row r="36" spans="1:10" x14ac:dyDescent="0.2">
      <c r="A36" s="149" t="s">
        <v>1182</v>
      </c>
      <c r="B36" s="150">
        <v>43528</v>
      </c>
      <c r="C36" s="149" t="s">
        <v>565</v>
      </c>
      <c r="D36" s="149">
        <v>-251.78</v>
      </c>
      <c r="E36" s="149" t="s">
        <v>575</v>
      </c>
      <c r="F36" s="149" t="s">
        <v>586</v>
      </c>
      <c r="G36" s="149"/>
      <c r="H36" s="149"/>
      <c r="I36" t="s">
        <v>1185</v>
      </c>
      <c r="J36" s="149"/>
    </row>
    <row r="37" spans="1:10" x14ac:dyDescent="0.2">
      <c r="A37" s="149" t="s">
        <v>1182</v>
      </c>
      <c r="B37" s="150">
        <v>43528</v>
      </c>
      <c r="C37" s="149" t="s">
        <v>565</v>
      </c>
      <c r="D37" s="149">
        <v>-206.8</v>
      </c>
      <c r="E37" s="149" t="s">
        <v>575</v>
      </c>
      <c r="F37" s="149" t="s">
        <v>587</v>
      </c>
      <c r="G37" s="149"/>
      <c r="H37" s="149"/>
      <c r="I37" t="s">
        <v>1185</v>
      </c>
      <c r="J37" s="149"/>
    </row>
    <row r="38" spans="1:10" x14ac:dyDescent="0.2">
      <c r="A38" s="149" t="s">
        <v>1182</v>
      </c>
      <c r="B38" s="150">
        <v>43528</v>
      </c>
      <c r="C38" s="149" t="s">
        <v>565</v>
      </c>
      <c r="D38" s="149">
        <v>-159.5</v>
      </c>
      <c r="E38" s="149" t="s">
        <v>575</v>
      </c>
      <c r="F38" s="149" t="s">
        <v>588</v>
      </c>
      <c r="G38" s="149"/>
      <c r="H38" s="149"/>
      <c r="I38" t="s">
        <v>1185</v>
      </c>
      <c r="J38" s="149"/>
    </row>
    <row r="39" spans="1:10" x14ac:dyDescent="0.2">
      <c r="A39" s="149" t="s">
        <v>1182</v>
      </c>
      <c r="B39" s="150">
        <v>43528</v>
      </c>
      <c r="C39" s="149" t="s">
        <v>565</v>
      </c>
      <c r="D39" s="149">
        <v>-177.04</v>
      </c>
      <c r="E39" s="149" t="s">
        <v>575</v>
      </c>
      <c r="F39" s="149" t="s">
        <v>589</v>
      </c>
      <c r="G39" s="149"/>
      <c r="H39" s="151"/>
      <c r="I39" t="s">
        <v>1185</v>
      </c>
      <c r="J39" s="149"/>
    </row>
    <row r="40" spans="1:10" x14ac:dyDescent="0.2">
      <c r="A40" s="149" t="s">
        <v>1182</v>
      </c>
      <c r="B40" s="150">
        <v>43528</v>
      </c>
      <c r="C40" s="149" t="s">
        <v>565</v>
      </c>
      <c r="D40" s="149">
        <v>-177.08</v>
      </c>
      <c r="E40" s="149" t="s">
        <v>575</v>
      </c>
      <c r="F40" s="149" t="s">
        <v>590</v>
      </c>
      <c r="G40" s="149"/>
      <c r="H40" s="149"/>
      <c r="I40" t="s">
        <v>1185</v>
      </c>
      <c r="J40" s="149"/>
    </row>
    <row r="41" spans="1:10" x14ac:dyDescent="0.2">
      <c r="A41" s="149" t="s">
        <v>1182</v>
      </c>
      <c r="B41" s="150">
        <v>43528</v>
      </c>
      <c r="C41" s="149" t="s">
        <v>565</v>
      </c>
      <c r="D41" s="149">
        <v>-161.62</v>
      </c>
      <c r="E41" s="149" t="s">
        <v>575</v>
      </c>
      <c r="F41" s="149" t="s">
        <v>591</v>
      </c>
      <c r="G41" s="149"/>
      <c r="H41" s="149"/>
      <c r="I41" t="s">
        <v>1185</v>
      </c>
      <c r="J41" s="149"/>
    </row>
    <row r="42" spans="1:10" x14ac:dyDescent="0.2">
      <c r="A42" s="149" t="s">
        <v>1182</v>
      </c>
      <c r="B42" s="150">
        <v>43528</v>
      </c>
      <c r="C42" s="149" t="s">
        <v>565</v>
      </c>
      <c r="D42" s="149">
        <v>-49.49</v>
      </c>
      <c r="E42" s="149" t="s">
        <v>575</v>
      </c>
      <c r="F42" s="149" t="s">
        <v>922</v>
      </c>
      <c r="G42" s="149"/>
      <c r="H42" s="151"/>
      <c r="I42" t="s">
        <v>1183</v>
      </c>
      <c r="J42" s="149"/>
    </row>
    <row r="43" spans="1:10" x14ac:dyDescent="0.2">
      <c r="A43" s="149" t="s">
        <v>1182</v>
      </c>
      <c r="B43" s="150">
        <v>43528</v>
      </c>
      <c r="C43" s="149" t="s">
        <v>565</v>
      </c>
      <c r="D43" s="149">
        <v>-4.12</v>
      </c>
      <c r="E43" s="149" t="s">
        <v>566</v>
      </c>
      <c r="F43" s="149" t="s">
        <v>923</v>
      </c>
      <c r="G43" s="149"/>
      <c r="H43" s="149"/>
      <c r="I43" t="s">
        <v>1183</v>
      </c>
      <c r="J43" s="149"/>
    </row>
    <row r="44" spans="1:10" x14ac:dyDescent="0.2">
      <c r="A44" s="149" t="s">
        <v>1182</v>
      </c>
      <c r="B44" s="150">
        <v>43528</v>
      </c>
      <c r="C44" s="149" t="s">
        <v>565</v>
      </c>
      <c r="D44" s="149">
        <v>-140</v>
      </c>
      <c r="E44" s="149" t="s">
        <v>566</v>
      </c>
      <c r="F44" s="149" t="s">
        <v>924</v>
      </c>
      <c r="G44" s="149"/>
      <c r="H44" s="153" t="s">
        <v>1162</v>
      </c>
      <c r="I44" t="s">
        <v>1183</v>
      </c>
      <c r="J44" s="149"/>
    </row>
    <row r="45" spans="1:10" x14ac:dyDescent="0.2">
      <c r="A45" s="149" t="s">
        <v>1182</v>
      </c>
      <c r="B45" s="150">
        <v>43528</v>
      </c>
      <c r="C45" s="149" t="s">
        <v>565</v>
      </c>
      <c r="D45" s="149">
        <v>0.01</v>
      </c>
      <c r="E45" s="149" t="s">
        <v>595</v>
      </c>
      <c r="F45" s="149" t="s">
        <v>925</v>
      </c>
      <c r="G45" s="149"/>
      <c r="H45" s="149"/>
      <c r="I45" t="s">
        <v>1183</v>
      </c>
      <c r="J45" s="151"/>
    </row>
    <row r="46" spans="1:10" x14ac:dyDescent="0.2">
      <c r="A46" s="149" t="s">
        <v>1182</v>
      </c>
      <c r="B46" s="150">
        <v>43528</v>
      </c>
      <c r="C46" s="149" t="s">
        <v>565</v>
      </c>
      <c r="D46" s="52">
        <v>-41.88</v>
      </c>
      <c r="E46" s="149" t="s">
        <v>566</v>
      </c>
      <c r="F46" s="151" t="s">
        <v>926</v>
      </c>
      <c r="G46" s="149" t="s">
        <v>559</v>
      </c>
      <c r="H46" s="149"/>
      <c r="I46" t="s">
        <v>1184</v>
      </c>
      <c r="J46" s="151"/>
    </row>
    <row r="47" spans="1:10" x14ac:dyDescent="0.2">
      <c r="A47" s="149" t="s">
        <v>1182</v>
      </c>
      <c r="B47" s="150">
        <v>43528</v>
      </c>
      <c r="C47" s="149" t="s">
        <v>565</v>
      </c>
      <c r="D47" s="52">
        <v>-49.25</v>
      </c>
      <c r="E47" s="149" t="s">
        <v>566</v>
      </c>
      <c r="F47" s="151" t="s">
        <v>927</v>
      </c>
      <c r="G47" s="149" t="s">
        <v>558</v>
      </c>
      <c r="H47" s="149"/>
      <c r="I47" t="s">
        <v>1184</v>
      </c>
      <c r="J47" s="151"/>
    </row>
    <row r="48" spans="1:10" x14ac:dyDescent="0.2">
      <c r="A48" s="149" t="s">
        <v>1182</v>
      </c>
      <c r="B48" s="150">
        <v>43528</v>
      </c>
      <c r="C48" s="149" t="s">
        <v>565</v>
      </c>
      <c r="D48" s="149">
        <v>-1118.76</v>
      </c>
      <c r="E48" s="149" t="s">
        <v>566</v>
      </c>
      <c r="F48" s="149" t="s">
        <v>928</v>
      </c>
      <c r="G48" s="151"/>
      <c r="H48" s="151" t="s">
        <v>1163</v>
      </c>
      <c r="I48" t="s">
        <v>1183</v>
      </c>
      <c r="J48" s="149"/>
    </row>
    <row r="49" spans="1:10" x14ac:dyDescent="0.2">
      <c r="A49" s="149" t="s">
        <v>1182</v>
      </c>
      <c r="B49" s="150">
        <v>43528</v>
      </c>
      <c r="C49" s="149" t="s">
        <v>565</v>
      </c>
      <c r="D49" s="149">
        <v>10000</v>
      </c>
      <c r="E49" s="149" t="s">
        <v>595</v>
      </c>
      <c r="F49" s="149" t="s">
        <v>912</v>
      </c>
      <c r="G49" s="149"/>
      <c r="H49" s="149"/>
      <c r="I49" t="s">
        <v>1183</v>
      </c>
      <c r="J49" s="151"/>
    </row>
    <row r="50" spans="1:10" x14ac:dyDescent="0.2">
      <c r="A50" s="149" t="s">
        <v>1182</v>
      </c>
      <c r="B50" s="150">
        <v>43528</v>
      </c>
      <c r="C50" s="149" t="s">
        <v>565</v>
      </c>
      <c r="D50" s="149">
        <v>10000</v>
      </c>
      <c r="E50" s="149" t="s">
        <v>595</v>
      </c>
      <c r="F50" s="149" t="s">
        <v>912</v>
      </c>
      <c r="G50" s="149"/>
      <c r="H50" s="149"/>
      <c r="I50" t="s">
        <v>1183</v>
      </c>
      <c r="J50" s="149"/>
    </row>
    <row r="51" spans="1:10" x14ac:dyDescent="0.2">
      <c r="A51" s="149" t="s">
        <v>1182</v>
      </c>
      <c r="B51" s="150">
        <v>43528</v>
      </c>
      <c r="C51" s="149" t="s">
        <v>565</v>
      </c>
      <c r="D51" s="149">
        <v>-3.99</v>
      </c>
      <c r="E51" s="149" t="s">
        <v>566</v>
      </c>
      <c r="F51" s="149" t="s">
        <v>929</v>
      </c>
      <c r="G51" s="149"/>
      <c r="H51" s="149"/>
      <c r="I51" t="s">
        <v>1183</v>
      </c>
      <c r="J51" s="149"/>
    </row>
    <row r="52" spans="1:10" x14ac:dyDescent="0.2">
      <c r="A52" s="149" t="s">
        <v>1182</v>
      </c>
      <c r="B52" s="150">
        <v>43528</v>
      </c>
      <c r="C52" s="149" t="s">
        <v>565</v>
      </c>
      <c r="D52" s="149">
        <v>-0.89</v>
      </c>
      <c r="E52" s="149" t="s">
        <v>566</v>
      </c>
      <c r="F52" s="149" t="s">
        <v>930</v>
      </c>
      <c r="G52" s="149"/>
      <c r="H52" s="149"/>
      <c r="I52" t="s">
        <v>1183</v>
      </c>
      <c r="J52" s="149"/>
    </row>
    <row r="53" spans="1:10" x14ac:dyDescent="0.2">
      <c r="A53" s="149" t="s">
        <v>1182</v>
      </c>
      <c r="B53" s="150">
        <v>43528</v>
      </c>
      <c r="C53" s="149" t="s">
        <v>565</v>
      </c>
      <c r="D53" s="149">
        <v>-0.89</v>
      </c>
      <c r="E53" s="149" t="s">
        <v>566</v>
      </c>
      <c r="F53" s="149" t="s">
        <v>930</v>
      </c>
      <c r="G53" s="149"/>
      <c r="H53" s="149"/>
      <c r="I53" t="s">
        <v>1183</v>
      </c>
      <c r="J53" s="149"/>
    </row>
    <row r="54" spans="1:10" x14ac:dyDescent="0.2">
      <c r="A54" s="149" t="s">
        <v>1182</v>
      </c>
      <c r="B54" s="150">
        <v>43528</v>
      </c>
      <c r="C54" s="149" t="s">
        <v>565</v>
      </c>
      <c r="D54" s="149">
        <v>-3</v>
      </c>
      <c r="E54" s="149" t="s">
        <v>566</v>
      </c>
      <c r="F54" s="149" t="s">
        <v>931</v>
      </c>
      <c r="G54" s="149"/>
      <c r="H54" s="149"/>
      <c r="I54" t="s">
        <v>1183</v>
      </c>
      <c r="J54" s="149"/>
    </row>
    <row r="55" spans="1:10" x14ac:dyDescent="0.2">
      <c r="A55" s="149" t="s">
        <v>1182</v>
      </c>
      <c r="B55" s="150">
        <v>43529</v>
      </c>
      <c r="C55" s="149" t="s">
        <v>565</v>
      </c>
      <c r="D55" s="149">
        <v>-3.05</v>
      </c>
      <c r="E55" s="149" t="s">
        <v>566</v>
      </c>
      <c r="F55" s="149" t="s">
        <v>932</v>
      </c>
      <c r="G55" s="151"/>
      <c r="H55" s="151"/>
      <c r="I55" t="s">
        <v>1183</v>
      </c>
      <c r="J55" s="151"/>
    </row>
    <row r="56" spans="1:10" x14ac:dyDescent="0.2">
      <c r="A56" s="149" t="s">
        <v>1182</v>
      </c>
      <c r="B56" s="150">
        <v>43529</v>
      </c>
      <c r="C56" s="149" t="s">
        <v>565</v>
      </c>
      <c r="D56" s="149">
        <v>-13.15</v>
      </c>
      <c r="E56" s="149" t="s">
        <v>566</v>
      </c>
      <c r="F56" s="149" t="s">
        <v>933</v>
      </c>
      <c r="G56" s="149"/>
      <c r="H56" s="149"/>
      <c r="I56" t="s">
        <v>1183</v>
      </c>
      <c r="J56" s="149"/>
    </row>
    <row r="57" spans="1:10" x14ac:dyDescent="0.2">
      <c r="A57" s="149" t="s">
        <v>1182</v>
      </c>
      <c r="B57" s="150">
        <v>43529</v>
      </c>
      <c r="C57" s="149" t="s">
        <v>565</v>
      </c>
      <c r="D57" s="149">
        <v>-351.6</v>
      </c>
      <c r="E57" s="149" t="s">
        <v>566</v>
      </c>
      <c r="F57" s="149" t="s">
        <v>934</v>
      </c>
      <c r="G57" s="149"/>
      <c r="H57" s="153" t="s">
        <v>1164</v>
      </c>
      <c r="I57" t="s">
        <v>1183</v>
      </c>
      <c r="J57" s="151"/>
    </row>
    <row r="58" spans="1:10" x14ac:dyDescent="0.2">
      <c r="A58" s="149" t="s">
        <v>1182</v>
      </c>
      <c r="B58" s="150">
        <v>43529</v>
      </c>
      <c r="C58" s="149" t="s">
        <v>565</v>
      </c>
      <c r="D58" s="149">
        <v>-34</v>
      </c>
      <c r="E58" s="149" t="s">
        <v>566</v>
      </c>
      <c r="F58" s="149" t="s">
        <v>935</v>
      </c>
      <c r="G58" s="149"/>
      <c r="H58" s="153" t="s">
        <v>1165</v>
      </c>
      <c r="I58" t="s">
        <v>1183</v>
      </c>
      <c r="J58" s="151"/>
    </row>
    <row r="59" spans="1:10" x14ac:dyDescent="0.2">
      <c r="A59" s="149" t="s">
        <v>1182</v>
      </c>
      <c r="B59" s="150">
        <v>43529</v>
      </c>
      <c r="C59" s="149" t="s">
        <v>565</v>
      </c>
      <c r="D59" s="149">
        <v>26.48</v>
      </c>
      <c r="E59" s="149" t="s">
        <v>595</v>
      </c>
      <c r="F59" s="149" t="s">
        <v>597</v>
      </c>
      <c r="G59" s="149"/>
      <c r="H59" s="149"/>
      <c r="I59" t="s">
        <v>1183</v>
      </c>
      <c r="J59" s="149"/>
    </row>
    <row r="60" spans="1:10" x14ac:dyDescent="0.2">
      <c r="A60" s="149" t="s">
        <v>1182</v>
      </c>
      <c r="B60" s="150">
        <v>43529</v>
      </c>
      <c r="C60" s="149" t="s">
        <v>565</v>
      </c>
      <c r="D60" s="149">
        <v>390.89</v>
      </c>
      <c r="E60" s="149" t="s">
        <v>595</v>
      </c>
      <c r="F60" s="149" t="s">
        <v>936</v>
      </c>
      <c r="G60" s="151"/>
      <c r="H60" s="149"/>
      <c r="I60" t="s">
        <v>1183</v>
      </c>
      <c r="J60" s="149"/>
    </row>
    <row r="61" spans="1:10" x14ac:dyDescent="0.2">
      <c r="A61" s="149" t="s">
        <v>1182</v>
      </c>
      <c r="B61" s="150">
        <v>43530</v>
      </c>
      <c r="C61" s="149" t="s">
        <v>565</v>
      </c>
      <c r="D61" s="149">
        <v>-4.99</v>
      </c>
      <c r="E61" s="149" t="s">
        <v>566</v>
      </c>
      <c r="F61" s="149" t="s">
        <v>937</v>
      </c>
      <c r="G61" s="149"/>
      <c r="H61" s="149"/>
      <c r="I61" t="s">
        <v>1183</v>
      </c>
      <c r="J61" s="149"/>
    </row>
    <row r="62" spans="1:10" x14ac:dyDescent="0.2">
      <c r="A62" s="149" t="s">
        <v>1182</v>
      </c>
      <c r="B62" s="150">
        <v>43530</v>
      </c>
      <c r="C62" s="149" t="s">
        <v>565</v>
      </c>
      <c r="D62" s="149">
        <v>-3.99</v>
      </c>
      <c r="E62" s="149" t="s">
        <v>566</v>
      </c>
      <c r="F62" s="149" t="s">
        <v>938</v>
      </c>
      <c r="G62" s="149"/>
      <c r="H62" s="149"/>
      <c r="I62" t="s">
        <v>1183</v>
      </c>
      <c r="J62" s="149"/>
    </row>
    <row r="63" spans="1:10" x14ac:dyDescent="0.2">
      <c r="A63" s="149" t="s">
        <v>1182</v>
      </c>
      <c r="B63" s="150">
        <v>43530</v>
      </c>
      <c r="C63" s="149" t="s">
        <v>565</v>
      </c>
      <c r="D63" s="149">
        <v>-0.89</v>
      </c>
      <c r="E63" s="149" t="s">
        <v>566</v>
      </c>
      <c r="F63" s="149" t="s">
        <v>939</v>
      </c>
      <c r="G63" s="149"/>
      <c r="H63" s="151"/>
      <c r="I63" t="s">
        <v>1183</v>
      </c>
      <c r="J63" s="151"/>
    </row>
    <row r="64" spans="1:10" x14ac:dyDescent="0.2">
      <c r="A64" s="149" t="s">
        <v>1182</v>
      </c>
      <c r="B64" s="150">
        <v>43530</v>
      </c>
      <c r="C64" s="149" t="s">
        <v>565</v>
      </c>
      <c r="D64" s="149">
        <v>-0.89</v>
      </c>
      <c r="E64" s="149" t="s">
        <v>566</v>
      </c>
      <c r="F64" s="149" t="s">
        <v>939</v>
      </c>
      <c r="G64" s="149"/>
      <c r="H64" s="149"/>
      <c r="I64" t="s">
        <v>1183</v>
      </c>
      <c r="J64" s="151"/>
    </row>
    <row r="65" spans="1:10" x14ac:dyDescent="0.2">
      <c r="A65" s="149" t="s">
        <v>1182</v>
      </c>
      <c r="B65" s="150">
        <v>43530</v>
      </c>
      <c r="C65" s="149" t="s">
        <v>565</v>
      </c>
      <c r="D65" s="149">
        <v>-8.44</v>
      </c>
      <c r="E65" s="149" t="s">
        <v>566</v>
      </c>
      <c r="F65" s="149" t="s">
        <v>940</v>
      </c>
      <c r="G65" s="149"/>
      <c r="H65" s="151"/>
      <c r="I65" t="s">
        <v>1183</v>
      </c>
      <c r="J65" s="151"/>
    </row>
    <row r="66" spans="1:10" x14ac:dyDescent="0.2">
      <c r="A66" s="149" t="s">
        <v>1182</v>
      </c>
      <c r="B66" s="150">
        <v>43530</v>
      </c>
      <c r="C66" s="149" t="s">
        <v>565</v>
      </c>
      <c r="D66" s="149">
        <v>-14.99</v>
      </c>
      <c r="E66" s="149" t="s">
        <v>566</v>
      </c>
      <c r="F66" s="149" t="s">
        <v>666</v>
      </c>
      <c r="G66" s="149"/>
      <c r="H66" s="151"/>
      <c r="I66" t="s">
        <v>1183</v>
      </c>
      <c r="J66" s="149"/>
    </row>
    <row r="67" spans="1:10" x14ac:dyDescent="0.2">
      <c r="A67" s="149" t="s">
        <v>1182</v>
      </c>
      <c r="B67" s="150">
        <v>43530</v>
      </c>
      <c r="C67" s="149" t="s">
        <v>565</v>
      </c>
      <c r="D67" s="149">
        <v>-9.26</v>
      </c>
      <c r="E67" s="149" t="s">
        <v>566</v>
      </c>
      <c r="F67" s="149" t="s">
        <v>666</v>
      </c>
      <c r="G67" s="152"/>
      <c r="H67" s="151"/>
      <c r="I67" t="s">
        <v>1183</v>
      </c>
      <c r="J67" s="149"/>
    </row>
    <row r="68" spans="1:10" x14ac:dyDescent="0.2">
      <c r="A68" s="149" t="s">
        <v>1182</v>
      </c>
      <c r="B68" s="150">
        <v>43530</v>
      </c>
      <c r="C68" s="149" t="s">
        <v>565</v>
      </c>
      <c r="D68" s="149">
        <v>-150</v>
      </c>
      <c r="E68" s="149" t="s">
        <v>566</v>
      </c>
      <c r="F68" s="149" t="s">
        <v>941</v>
      </c>
      <c r="G68" s="152"/>
      <c r="H68" s="153" t="s">
        <v>1166</v>
      </c>
      <c r="I68" t="s">
        <v>1183</v>
      </c>
      <c r="J68" s="149"/>
    </row>
    <row r="69" spans="1:10" x14ac:dyDescent="0.2">
      <c r="A69" s="149" t="s">
        <v>1182</v>
      </c>
      <c r="B69" s="150">
        <v>43530</v>
      </c>
      <c r="C69" s="149" t="s">
        <v>565</v>
      </c>
      <c r="D69" s="149">
        <v>450.08</v>
      </c>
      <c r="E69" s="149" t="s">
        <v>595</v>
      </c>
      <c r="F69" s="149" t="s">
        <v>597</v>
      </c>
      <c r="G69" s="151"/>
      <c r="H69" s="151"/>
      <c r="I69" t="s">
        <v>1183</v>
      </c>
      <c r="J69" s="149"/>
    </row>
    <row r="70" spans="1:10" x14ac:dyDescent="0.2">
      <c r="A70" s="149" t="s">
        <v>1182</v>
      </c>
      <c r="B70" s="150">
        <v>43531</v>
      </c>
      <c r="C70" s="149" t="s">
        <v>565</v>
      </c>
      <c r="D70" s="149">
        <v>-300</v>
      </c>
      <c r="E70" s="149" t="s">
        <v>592</v>
      </c>
      <c r="F70" s="149" t="s">
        <v>942</v>
      </c>
      <c r="G70" s="149"/>
      <c r="H70" s="149"/>
      <c r="I70" t="s">
        <v>1183</v>
      </c>
      <c r="J70" s="149"/>
    </row>
    <row r="71" spans="1:10" x14ac:dyDescent="0.2">
      <c r="A71" s="149" t="s">
        <v>1182</v>
      </c>
      <c r="B71" s="150">
        <v>43531</v>
      </c>
      <c r="C71" s="149" t="s">
        <v>565</v>
      </c>
      <c r="D71" s="149">
        <v>-0.89</v>
      </c>
      <c r="E71" s="149" t="s">
        <v>566</v>
      </c>
      <c r="F71" s="149" t="s">
        <v>943</v>
      </c>
      <c r="G71" s="149"/>
      <c r="H71" s="149"/>
      <c r="I71" t="s">
        <v>1183</v>
      </c>
      <c r="J71" s="149"/>
    </row>
    <row r="72" spans="1:10" x14ac:dyDescent="0.2">
      <c r="A72" s="149" t="s">
        <v>1182</v>
      </c>
      <c r="B72" s="150">
        <v>43531</v>
      </c>
      <c r="C72" s="149" t="s">
        <v>565</v>
      </c>
      <c r="D72" s="149">
        <v>-4.62</v>
      </c>
      <c r="E72" s="149" t="s">
        <v>566</v>
      </c>
      <c r="F72" s="149" t="s">
        <v>944</v>
      </c>
      <c r="G72" s="149"/>
      <c r="H72" s="149"/>
      <c r="I72" t="s">
        <v>1183</v>
      </c>
      <c r="J72" s="149"/>
    </row>
    <row r="73" spans="1:10" x14ac:dyDescent="0.2">
      <c r="A73" s="149" t="s">
        <v>1182</v>
      </c>
      <c r="B73" s="150">
        <v>43532</v>
      </c>
      <c r="C73" s="149" t="s">
        <v>565</v>
      </c>
      <c r="D73" s="149">
        <v>-7.25</v>
      </c>
      <c r="E73" s="149" t="s">
        <v>566</v>
      </c>
      <c r="F73" s="149" t="s">
        <v>945</v>
      </c>
      <c r="G73" s="149"/>
      <c r="H73" s="149"/>
      <c r="I73" t="s">
        <v>1183</v>
      </c>
      <c r="J73" s="149"/>
    </row>
    <row r="74" spans="1:10" x14ac:dyDescent="0.2">
      <c r="A74" s="149" t="s">
        <v>1182</v>
      </c>
      <c r="B74" s="150">
        <v>43532</v>
      </c>
      <c r="C74" s="149" t="s">
        <v>565</v>
      </c>
      <c r="D74" s="149">
        <v>-3.94</v>
      </c>
      <c r="E74" s="149" t="s">
        <v>566</v>
      </c>
      <c r="F74" s="149" t="s">
        <v>946</v>
      </c>
      <c r="G74" s="149"/>
      <c r="H74" s="149"/>
      <c r="I74" t="s">
        <v>1183</v>
      </c>
      <c r="J74" s="149"/>
    </row>
    <row r="75" spans="1:10" x14ac:dyDescent="0.2">
      <c r="A75" s="149" t="s">
        <v>1182</v>
      </c>
      <c r="B75" s="150">
        <v>43532</v>
      </c>
      <c r="C75" s="149" t="s">
        <v>565</v>
      </c>
      <c r="D75" s="149">
        <v>-0.89</v>
      </c>
      <c r="E75" s="149" t="s">
        <v>566</v>
      </c>
      <c r="F75" s="149" t="s">
        <v>947</v>
      </c>
      <c r="G75" s="149"/>
      <c r="H75" s="149"/>
      <c r="I75" t="s">
        <v>1183</v>
      </c>
      <c r="J75" s="149"/>
    </row>
    <row r="76" spans="1:10" x14ac:dyDescent="0.2">
      <c r="A76" s="149" t="s">
        <v>1182</v>
      </c>
      <c r="B76" s="150">
        <v>43532</v>
      </c>
      <c r="C76" s="149" t="s">
        <v>565</v>
      </c>
      <c r="D76" s="149">
        <v>-0.89</v>
      </c>
      <c r="E76" s="149" t="s">
        <v>566</v>
      </c>
      <c r="F76" s="149" t="s">
        <v>947</v>
      </c>
      <c r="G76" s="149"/>
      <c r="H76" s="149"/>
      <c r="I76" t="s">
        <v>1183</v>
      </c>
      <c r="J76" s="149"/>
    </row>
    <row r="77" spans="1:10" x14ac:dyDescent="0.2">
      <c r="A77" s="149" t="s">
        <v>1182</v>
      </c>
      <c r="B77" s="150">
        <v>43532</v>
      </c>
      <c r="C77" s="149" t="s">
        <v>565</v>
      </c>
      <c r="D77" s="149">
        <v>-18</v>
      </c>
      <c r="E77" s="149" t="s">
        <v>566</v>
      </c>
      <c r="F77" s="149" t="s">
        <v>948</v>
      </c>
      <c r="G77" s="149"/>
      <c r="H77" s="149"/>
      <c r="I77" t="s">
        <v>1183</v>
      </c>
      <c r="J77" s="149"/>
    </row>
    <row r="78" spans="1:10" x14ac:dyDescent="0.2">
      <c r="A78" s="149" t="s">
        <v>1182</v>
      </c>
      <c r="B78" s="150">
        <v>43532</v>
      </c>
      <c r="C78" s="149" t="s">
        <v>565</v>
      </c>
      <c r="D78" s="149">
        <v>-185</v>
      </c>
      <c r="E78" s="149" t="s">
        <v>566</v>
      </c>
      <c r="F78" s="149" t="s">
        <v>949</v>
      </c>
      <c r="G78" s="149"/>
      <c r="H78" s="153" t="s">
        <v>1167</v>
      </c>
      <c r="I78" t="s">
        <v>1183</v>
      </c>
      <c r="J78" s="151" t="s">
        <v>1161</v>
      </c>
    </row>
    <row r="79" spans="1:10" x14ac:dyDescent="0.2">
      <c r="A79" s="149" t="s">
        <v>1182</v>
      </c>
      <c r="B79" s="150">
        <v>43532</v>
      </c>
      <c r="C79" s="149" t="s">
        <v>565</v>
      </c>
      <c r="D79" s="149">
        <v>-7.99</v>
      </c>
      <c r="E79" s="149" t="s">
        <v>566</v>
      </c>
      <c r="F79" s="149" t="s">
        <v>950</v>
      </c>
      <c r="G79" s="149"/>
      <c r="H79" s="149"/>
      <c r="I79" t="s">
        <v>1183</v>
      </c>
      <c r="J79" s="149"/>
    </row>
    <row r="80" spans="1:10" x14ac:dyDescent="0.2">
      <c r="A80" s="149" t="s">
        <v>1182</v>
      </c>
      <c r="B80" s="150">
        <v>43532</v>
      </c>
      <c r="C80" s="149" t="s">
        <v>565</v>
      </c>
      <c r="D80" s="149">
        <v>35.369999999999997</v>
      </c>
      <c r="E80" s="149" t="s">
        <v>595</v>
      </c>
      <c r="F80" s="149" t="s">
        <v>599</v>
      </c>
      <c r="G80" s="149"/>
      <c r="H80" s="151"/>
      <c r="I80" t="s">
        <v>1183</v>
      </c>
      <c r="J80" s="151"/>
    </row>
    <row r="81" spans="1:10" x14ac:dyDescent="0.2">
      <c r="A81" s="149" t="s">
        <v>1182</v>
      </c>
      <c r="B81" s="150">
        <v>43532</v>
      </c>
      <c r="C81" s="149" t="s">
        <v>565</v>
      </c>
      <c r="D81" s="149">
        <v>458</v>
      </c>
      <c r="E81" s="149" t="s">
        <v>595</v>
      </c>
      <c r="F81" s="149" t="s">
        <v>598</v>
      </c>
      <c r="G81" s="149"/>
      <c r="H81" s="149"/>
      <c r="I81" t="s">
        <v>1183</v>
      </c>
      <c r="J81" s="149"/>
    </row>
    <row r="82" spans="1:10" x14ac:dyDescent="0.2">
      <c r="A82" s="149" t="s">
        <v>1182</v>
      </c>
      <c r="B82" s="150">
        <v>43535</v>
      </c>
      <c r="C82" s="149" t="s">
        <v>565</v>
      </c>
      <c r="D82" s="149">
        <v>-26.25</v>
      </c>
      <c r="E82" s="149" t="s">
        <v>566</v>
      </c>
      <c r="F82" s="149" t="s">
        <v>951</v>
      </c>
      <c r="G82" s="149"/>
      <c r="H82" s="149"/>
      <c r="I82" t="s">
        <v>1183</v>
      </c>
      <c r="J82" s="151" t="s">
        <v>1161</v>
      </c>
    </row>
    <row r="83" spans="1:10" x14ac:dyDescent="0.2">
      <c r="A83" s="149" t="s">
        <v>1182</v>
      </c>
      <c r="B83" s="150">
        <v>43535</v>
      </c>
      <c r="C83" s="149" t="s">
        <v>565</v>
      </c>
      <c r="D83" s="149">
        <v>-18</v>
      </c>
      <c r="E83" s="149" t="s">
        <v>566</v>
      </c>
      <c r="F83" s="149" t="s">
        <v>952</v>
      </c>
      <c r="G83" s="151"/>
      <c r="H83" s="149"/>
      <c r="I83" t="s">
        <v>1183</v>
      </c>
      <c r="J83" s="149"/>
    </row>
    <row r="84" spans="1:10" x14ac:dyDescent="0.2">
      <c r="A84" s="149" t="s">
        <v>1182</v>
      </c>
      <c r="B84" s="150">
        <v>43535</v>
      </c>
      <c r="C84" s="149" t="s">
        <v>565</v>
      </c>
      <c r="D84" s="149">
        <v>-12.19</v>
      </c>
      <c r="E84" s="149" t="s">
        <v>566</v>
      </c>
      <c r="F84" s="149" t="s">
        <v>953</v>
      </c>
      <c r="G84" s="151"/>
      <c r="H84" s="151"/>
      <c r="I84" t="s">
        <v>1183</v>
      </c>
      <c r="J84" s="149"/>
    </row>
    <row r="85" spans="1:10" x14ac:dyDescent="0.2">
      <c r="A85" s="149" t="s">
        <v>1182</v>
      </c>
      <c r="B85" s="150">
        <v>43535</v>
      </c>
      <c r="C85" s="149" t="s">
        <v>565</v>
      </c>
      <c r="D85" s="149">
        <v>-11.95</v>
      </c>
      <c r="E85" s="149" t="s">
        <v>566</v>
      </c>
      <c r="F85" s="149" t="s">
        <v>954</v>
      </c>
      <c r="G85" s="149"/>
      <c r="H85" s="149"/>
      <c r="I85" t="s">
        <v>1183</v>
      </c>
      <c r="J85" s="149"/>
    </row>
    <row r="86" spans="1:10" x14ac:dyDescent="0.2">
      <c r="A86" s="149" t="s">
        <v>1182</v>
      </c>
      <c r="B86" s="150">
        <v>43535</v>
      </c>
      <c r="C86" s="149" t="s">
        <v>565</v>
      </c>
      <c r="D86" s="149">
        <v>-2.88</v>
      </c>
      <c r="E86" s="149" t="s">
        <v>566</v>
      </c>
      <c r="F86" s="149" t="s">
        <v>955</v>
      </c>
      <c r="G86" s="149"/>
      <c r="H86" s="149"/>
      <c r="I86" t="s">
        <v>1183</v>
      </c>
      <c r="J86" s="149"/>
    </row>
    <row r="87" spans="1:10" x14ac:dyDescent="0.2">
      <c r="A87" s="149" t="s">
        <v>1182</v>
      </c>
      <c r="B87" s="150">
        <v>43535</v>
      </c>
      <c r="C87" s="149" t="s">
        <v>565</v>
      </c>
      <c r="D87" s="149">
        <v>-76.45</v>
      </c>
      <c r="E87" s="149" t="s">
        <v>566</v>
      </c>
      <c r="F87" s="149" t="s">
        <v>956</v>
      </c>
      <c r="G87" s="149"/>
      <c r="H87" s="153" t="s">
        <v>1168</v>
      </c>
      <c r="I87" t="s">
        <v>1183</v>
      </c>
      <c r="J87" s="151" t="s">
        <v>1161</v>
      </c>
    </row>
    <row r="88" spans="1:10" x14ac:dyDescent="0.2">
      <c r="A88" s="149" t="s">
        <v>1182</v>
      </c>
      <c r="B88" s="150">
        <v>43535</v>
      </c>
      <c r="C88" s="149" t="s">
        <v>565</v>
      </c>
      <c r="D88" s="149">
        <v>-21.28</v>
      </c>
      <c r="E88" s="149" t="s">
        <v>566</v>
      </c>
      <c r="F88" s="149" t="s">
        <v>957</v>
      </c>
      <c r="G88" s="149"/>
      <c r="H88" s="149"/>
      <c r="I88" t="s">
        <v>1183</v>
      </c>
      <c r="J88" s="149"/>
    </row>
    <row r="89" spans="1:10" x14ac:dyDescent="0.2">
      <c r="A89" s="149" t="s">
        <v>1182</v>
      </c>
      <c r="B89" s="150">
        <v>43535</v>
      </c>
      <c r="C89" s="149" t="s">
        <v>565</v>
      </c>
      <c r="D89" s="149">
        <v>-2.2000000000000002</v>
      </c>
      <c r="E89" s="149" t="s">
        <v>566</v>
      </c>
      <c r="F89" s="149" t="s">
        <v>958</v>
      </c>
      <c r="G89" s="149"/>
      <c r="H89" s="149"/>
      <c r="I89" t="s">
        <v>1183</v>
      </c>
      <c r="J89" s="151"/>
    </row>
    <row r="90" spans="1:10" x14ac:dyDescent="0.2">
      <c r="A90" s="149" t="s">
        <v>1182</v>
      </c>
      <c r="B90" s="150">
        <v>43535</v>
      </c>
      <c r="C90" s="149" t="s">
        <v>565</v>
      </c>
      <c r="D90" s="149">
        <v>-21.97</v>
      </c>
      <c r="E90" s="149" t="s">
        <v>575</v>
      </c>
      <c r="F90" s="149" t="s">
        <v>600</v>
      </c>
      <c r="G90" s="149"/>
      <c r="H90" s="151"/>
      <c r="I90" t="s">
        <v>1185</v>
      </c>
      <c r="J90" s="149"/>
    </row>
    <row r="91" spans="1:10" x14ac:dyDescent="0.2">
      <c r="A91" s="149" t="s">
        <v>1182</v>
      </c>
      <c r="B91" s="150">
        <v>43535</v>
      </c>
      <c r="C91" s="149" t="s">
        <v>565</v>
      </c>
      <c r="D91" s="149">
        <v>-103.25</v>
      </c>
      <c r="E91" s="149" t="s">
        <v>575</v>
      </c>
      <c r="F91" s="149" t="s">
        <v>601</v>
      </c>
      <c r="G91" s="149"/>
      <c r="H91" s="149"/>
      <c r="I91" t="s">
        <v>1185</v>
      </c>
      <c r="J91" s="149"/>
    </row>
    <row r="92" spans="1:10" x14ac:dyDescent="0.2">
      <c r="A92" s="149" t="s">
        <v>1182</v>
      </c>
      <c r="B92" s="150">
        <v>43536</v>
      </c>
      <c r="C92" s="149" t="s">
        <v>565</v>
      </c>
      <c r="D92" s="149">
        <v>118.76</v>
      </c>
      <c r="E92" s="149" t="s">
        <v>595</v>
      </c>
      <c r="F92" s="149" t="s">
        <v>602</v>
      </c>
      <c r="G92" s="149"/>
      <c r="H92" s="149"/>
      <c r="I92" t="s">
        <v>1183</v>
      </c>
      <c r="J92" s="151"/>
    </row>
    <row r="93" spans="1:10" x14ac:dyDescent="0.2">
      <c r="A93" s="149" t="s">
        <v>1182</v>
      </c>
      <c r="B93" s="150">
        <v>43536</v>
      </c>
      <c r="C93" s="149" t="s">
        <v>565</v>
      </c>
      <c r="D93" s="149">
        <v>-21.86</v>
      </c>
      <c r="E93" s="149" t="s">
        <v>566</v>
      </c>
      <c r="F93" s="149" t="s">
        <v>959</v>
      </c>
      <c r="G93" s="149"/>
      <c r="H93" s="149"/>
      <c r="I93" t="s">
        <v>1183</v>
      </c>
      <c r="J93" s="151" t="s">
        <v>1161</v>
      </c>
    </row>
    <row r="94" spans="1:10" x14ac:dyDescent="0.2">
      <c r="A94" s="149" t="s">
        <v>1182</v>
      </c>
      <c r="B94" s="150">
        <v>43536</v>
      </c>
      <c r="C94" s="149" t="s">
        <v>565</v>
      </c>
      <c r="D94" s="149">
        <v>-12.89</v>
      </c>
      <c r="E94" s="149" t="s">
        <v>566</v>
      </c>
      <c r="F94" s="149" t="s">
        <v>960</v>
      </c>
      <c r="G94" s="149"/>
      <c r="H94" s="149"/>
      <c r="I94" t="s">
        <v>1183</v>
      </c>
      <c r="J94" s="151" t="s">
        <v>1161</v>
      </c>
    </row>
    <row r="95" spans="1:10" x14ac:dyDescent="0.2">
      <c r="A95" s="149" t="s">
        <v>1182</v>
      </c>
      <c r="B95" s="150">
        <v>43536</v>
      </c>
      <c r="C95" s="149" t="s">
        <v>565</v>
      </c>
      <c r="D95" s="149">
        <v>-3.99</v>
      </c>
      <c r="E95" s="149" t="s">
        <v>566</v>
      </c>
      <c r="F95" s="149" t="s">
        <v>961</v>
      </c>
      <c r="G95" s="149"/>
      <c r="H95" s="149"/>
      <c r="I95" t="s">
        <v>1183</v>
      </c>
      <c r="J95" s="149"/>
    </row>
    <row r="96" spans="1:10" x14ac:dyDescent="0.2">
      <c r="A96" s="149" t="s">
        <v>1182</v>
      </c>
      <c r="B96" s="150">
        <v>43536</v>
      </c>
      <c r="C96" s="149" t="s">
        <v>565</v>
      </c>
      <c r="D96" s="149">
        <v>-2.2000000000000002</v>
      </c>
      <c r="E96" s="149" t="s">
        <v>566</v>
      </c>
      <c r="F96" s="151" t="s">
        <v>1176</v>
      </c>
      <c r="G96" s="149"/>
      <c r="H96" s="149"/>
      <c r="I96" t="s">
        <v>1183</v>
      </c>
      <c r="J96" s="149"/>
    </row>
    <row r="97" spans="1:10" x14ac:dyDescent="0.2">
      <c r="A97" s="149" t="s">
        <v>1182</v>
      </c>
      <c r="B97" s="150">
        <v>43536</v>
      </c>
      <c r="C97" s="149" t="s">
        <v>565</v>
      </c>
      <c r="D97" s="149">
        <v>-1.99</v>
      </c>
      <c r="E97" s="149" t="s">
        <v>566</v>
      </c>
      <c r="F97" s="149" t="s">
        <v>962</v>
      </c>
      <c r="G97" s="149"/>
      <c r="H97" s="149"/>
      <c r="I97" t="s">
        <v>1183</v>
      </c>
      <c r="J97" s="149"/>
    </row>
    <row r="98" spans="1:10" x14ac:dyDescent="0.2">
      <c r="A98" s="149" t="s">
        <v>1182</v>
      </c>
      <c r="B98" s="150">
        <v>43536</v>
      </c>
      <c r="C98" s="149" t="s">
        <v>565</v>
      </c>
      <c r="D98" s="149">
        <v>-1.05</v>
      </c>
      <c r="E98" s="149" t="s">
        <v>566</v>
      </c>
      <c r="F98" s="149" t="s">
        <v>962</v>
      </c>
      <c r="G98" s="149"/>
      <c r="H98" s="151"/>
      <c r="I98" t="s">
        <v>1183</v>
      </c>
      <c r="J98" s="149"/>
    </row>
    <row r="99" spans="1:10" x14ac:dyDescent="0.2">
      <c r="A99" s="149" t="s">
        <v>1182</v>
      </c>
      <c r="B99" s="150">
        <v>43536</v>
      </c>
      <c r="C99" s="149" t="s">
        <v>565</v>
      </c>
      <c r="D99" s="149">
        <v>-153.87</v>
      </c>
      <c r="E99" s="149" t="s">
        <v>575</v>
      </c>
      <c r="F99" s="149" t="s">
        <v>603</v>
      </c>
      <c r="G99" s="149"/>
      <c r="H99" s="149"/>
      <c r="I99" t="s">
        <v>1185</v>
      </c>
      <c r="J99" s="149"/>
    </row>
    <row r="100" spans="1:10" x14ac:dyDescent="0.2">
      <c r="A100" s="149" t="s">
        <v>1182</v>
      </c>
      <c r="B100" s="150">
        <v>43537</v>
      </c>
      <c r="C100" s="149" t="s">
        <v>565</v>
      </c>
      <c r="D100" s="149">
        <v>432.56</v>
      </c>
      <c r="E100" s="149" t="s">
        <v>595</v>
      </c>
      <c r="F100" s="149" t="s">
        <v>599</v>
      </c>
      <c r="G100" s="149"/>
      <c r="H100" s="149"/>
      <c r="I100" t="s">
        <v>1183</v>
      </c>
      <c r="J100" s="149"/>
    </row>
    <row r="101" spans="1:10" x14ac:dyDescent="0.2">
      <c r="A101" s="149" t="s">
        <v>1182</v>
      </c>
      <c r="B101" s="150">
        <v>43537</v>
      </c>
      <c r="C101" s="149" t="s">
        <v>565</v>
      </c>
      <c r="D101" s="149">
        <v>426.56</v>
      </c>
      <c r="E101" s="149" t="s">
        <v>595</v>
      </c>
      <c r="F101" s="149" t="s">
        <v>619</v>
      </c>
      <c r="G101" s="149"/>
      <c r="H101" s="149"/>
      <c r="I101" t="s">
        <v>1183</v>
      </c>
      <c r="J101" s="149"/>
    </row>
    <row r="102" spans="1:10" x14ac:dyDescent="0.2">
      <c r="A102" s="149" t="s">
        <v>1182</v>
      </c>
      <c r="B102" s="150">
        <v>43537</v>
      </c>
      <c r="C102" s="149" t="s">
        <v>565</v>
      </c>
      <c r="D102" s="149">
        <v>422.29</v>
      </c>
      <c r="E102" s="149" t="s">
        <v>595</v>
      </c>
      <c r="F102" s="149" t="s">
        <v>752</v>
      </c>
      <c r="G102" s="149"/>
      <c r="H102" s="149"/>
      <c r="I102" t="s">
        <v>1183</v>
      </c>
      <c r="J102" s="149"/>
    </row>
    <row r="103" spans="1:10" x14ac:dyDescent="0.2">
      <c r="A103" s="149" t="s">
        <v>1182</v>
      </c>
      <c r="B103" s="150">
        <v>43537</v>
      </c>
      <c r="C103" s="149" t="s">
        <v>565</v>
      </c>
      <c r="D103" s="149">
        <v>422.29</v>
      </c>
      <c r="E103" s="149" t="s">
        <v>595</v>
      </c>
      <c r="F103" s="149" t="s">
        <v>604</v>
      </c>
      <c r="G103" s="149"/>
      <c r="H103" s="149"/>
      <c r="I103" t="s">
        <v>1183</v>
      </c>
      <c r="J103" s="149"/>
    </row>
    <row r="104" spans="1:10" x14ac:dyDescent="0.2">
      <c r="A104" s="149" t="s">
        <v>1182</v>
      </c>
      <c r="B104" s="150">
        <v>43537</v>
      </c>
      <c r="C104" s="149" t="s">
        <v>565</v>
      </c>
      <c r="D104" s="149">
        <v>339.24</v>
      </c>
      <c r="E104" s="149" t="s">
        <v>595</v>
      </c>
      <c r="F104" s="149" t="s">
        <v>602</v>
      </c>
      <c r="G104" s="149"/>
      <c r="H104" s="149"/>
      <c r="I104" t="s">
        <v>1183</v>
      </c>
      <c r="J104" s="149"/>
    </row>
    <row r="105" spans="1:10" x14ac:dyDescent="0.2">
      <c r="A105" s="149" t="s">
        <v>1182</v>
      </c>
      <c r="B105" s="150">
        <v>43537</v>
      </c>
      <c r="C105" s="149" t="s">
        <v>565</v>
      </c>
      <c r="D105" s="149">
        <v>313.42</v>
      </c>
      <c r="E105" s="149" t="s">
        <v>595</v>
      </c>
      <c r="F105" s="149" t="s">
        <v>620</v>
      </c>
      <c r="G105" s="149"/>
      <c r="H105" s="149"/>
      <c r="I105" t="s">
        <v>1183</v>
      </c>
      <c r="J105" s="149"/>
    </row>
    <row r="106" spans="1:10" x14ac:dyDescent="0.2">
      <c r="A106" s="149" t="s">
        <v>1182</v>
      </c>
      <c r="B106" s="150">
        <v>43537</v>
      </c>
      <c r="C106" s="149" t="s">
        <v>565</v>
      </c>
      <c r="D106" s="149">
        <v>172.55</v>
      </c>
      <c r="E106" s="149" t="s">
        <v>595</v>
      </c>
      <c r="F106" s="149" t="s">
        <v>622</v>
      </c>
      <c r="G106" s="149"/>
      <c r="H106" s="149"/>
      <c r="I106" t="s">
        <v>1183</v>
      </c>
      <c r="J106" s="149"/>
    </row>
    <row r="107" spans="1:10" x14ac:dyDescent="0.2">
      <c r="A107" s="149" t="s">
        <v>1182</v>
      </c>
      <c r="B107" s="150">
        <v>43537</v>
      </c>
      <c r="C107" s="149" t="s">
        <v>565</v>
      </c>
      <c r="D107" s="149">
        <v>172.55</v>
      </c>
      <c r="E107" s="149" t="s">
        <v>595</v>
      </c>
      <c r="F107" s="149" t="s">
        <v>618</v>
      </c>
      <c r="G107" s="149"/>
      <c r="H107" s="149"/>
      <c r="I107" t="s">
        <v>1183</v>
      </c>
      <c r="J107" s="151"/>
    </row>
    <row r="108" spans="1:10" x14ac:dyDescent="0.2">
      <c r="A108" s="149" t="s">
        <v>1182</v>
      </c>
      <c r="B108" s="150">
        <v>43537</v>
      </c>
      <c r="C108" s="149" t="s">
        <v>565</v>
      </c>
      <c r="D108" s="149">
        <v>172.55</v>
      </c>
      <c r="E108" s="149" t="s">
        <v>595</v>
      </c>
      <c r="F108" s="149" t="s">
        <v>621</v>
      </c>
      <c r="G108" s="149"/>
      <c r="H108" s="149"/>
      <c r="I108" t="s">
        <v>1183</v>
      </c>
      <c r="J108" s="151"/>
    </row>
    <row r="109" spans="1:10" x14ac:dyDescent="0.2">
      <c r="A109" s="149" t="s">
        <v>1182</v>
      </c>
      <c r="B109" s="150">
        <v>43537</v>
      </c>
      <c r="C109" s="149" t="s">
        <v>565</v>
      </c>
      <c r="D109" s="149">
        <v>172.55</v>
      </c>
      <c r="E109" s="149" t="s">
        <v>595</v>
      </c>
      <c r="F109" s="149" t="s">
        <v>678</v>
      </c>
      <c r="G109" s="149"/>
      <c r="H109" s="149"/>
      <c r="I109" t="s">
        <v>1183</v>
      </c>
      <c r="J109" s="149"/>
    </row>
    <row r="110" spans="1:10" x14ac:dyDescent="0.2">
      <c r="A110" s="149" t="s">
        <v>1182</v>
      </c>
      <c r="B110" s="150">
        <v>43537</v>
      </c>
      <c r="C110" s="149" t="s">
        <v>565</v>
      </c>
      <c r="D110" s="149">
        <v>122.25</v>
      </c>
      <c r="E110" s="149" t="s">
        <v>595</v>
      </c>
      <c r="F110" s="149" t="s">
        <v>613</v>
      </c>
      <c r="G110" s="149"/>
      <c r="H110" s="149"/>
      <c r="I110" t="s">
        <v>1183</v>
      </c>
      <c r="J110" s="149"/>
    </row>
    <row r="111" spans="1:10" x14ac:dyDescent="0.2">
      <c r="A111" s="149" t="s">
        <v>1182</v>
      </c>
      <c r="B111" s="150">
        <v>43537</v>
      </c>
      <c r="C111" s="149" t="s">
        <v>565</v>
      </c>
      <c r="D111" s="149">
        <v>-3.99</v>
      </c>
      <c r="E111" s="149" t="s">
        <v>566</v>
      </c>
      <c r="F111" s="149" t="s">
        <v>963</v>
      </c>
      <c r="G111" s="149"/>
      <c r="H111" s="149"/>
      <c r="I111" t="s">
        <v>1183</v>
      </c>
      <c r="J111" s="149"/>
    </row>
    <row r="112" spans="1:10" x14ac:dyDescent="0.2">
      <c r="A112" s="149" t="s">
        <v>1182</v>
      </c>
      <c r="B112" s="150">
        <v>43537</v>
      </c>
      <c r="C112" s="149" t="s">
        <v>565</v>
      </c>
      <c r="D112" s="149">
        <v>-3</v>
      </c>
      <c r="E112" s="149" t="s">
        <v>566</v>
      </c>
      <c r="F112" s="149" t="s">
        <v>964</v>
      </c>
      <c r="G112" s="149"/>
      <c r="H112" s="149"/>
      <c r="I112" t="s">
        <v>1183</v>
      </c>
      <c r="J112" s="149"/>
    </row>
    <row r="113" spans="1:10" x14ac:dyDescent="0.2">
      <c r="A113" s="149" t="s">
        <v>1182</v>
      </c>
      <c r="B113" s="150">
        <v>43537</v>
      </c>
      <c r="C113" s="149" t="s">
        <v>565</v>
      </c>
      <c r="D113" s="149">
        <v>-0.89</v>
      </c>
      <c r="E113" s="149" t="s">
        <v>566</v>
      </c>
      <c r="F113" s="149" t="s">
        <v>965</v>
      </c>
      <c r="G113" s="149"/>
      <c r="H113" s="149"/>
      <c r="I113" t="s">
        <v>1183</v>
      </c>
      <c r="J113" s="149"/>
    </row>
    <row r="114" spans="1:10" x14ac:dyDescent="0.2">
      <c r="A114" s="149" t="s">
        <v>1182</v>
      </c>
      <c r="B114" s="150">
        <v>43538</v>
      </c>
      <c r="C114" s="149" t="s">
        <v>565</v>
      </c>
      <c r="D114" s="149">
        <v>422.29</v>
      </c>
      <c r="E114" s="149" t="s">
        <v>595</v>
      </c>
      <c r="F114" s="149" t="s">
        <v>605</v>
      </c>
      <c r="G114" s="149"/>
      <c r="H114" s="149"/>
      <c r="I114" t="s">
        <v>1183</v>
      </c>
      <c r="J114" s="149"/>
    </row>
    <row r="115" spans="1:10" x14ac:dyDescent="0.2">
      <c r="A115" s="149" t="s">
        <v>1182</v>
      </c>
      <c r="B115" s="150">
        <v>43538</v>
      </c>
      <c r="C115" s="149" t="s">
        <v>565</v>
      </c>
      <c r="D115" s="149">
        <v>86.8</v>
      </c>
      <c r="E115" s="149" t="s">
        <v>595</v>
      </c>
      <c r="F115" s="149" t="s">
        <v>596</v>
      </c>
      <c r="G115" s="149"/>
      <c r="H115" s="149"/>
      <c r="I115" t="s">
        <v>1183</v>
      </c>
      <c r="J115" s="149"/>
    </row>
    <row r="116" spans="1:10" x14ac:dyDescent="0.2">
      <c r="A116" s="149" t="s">
        <v>1182</v>
      </c>
      <c r="B116" s="150">
        <v>43538</v>
      </c>
      <c r="C116" s="149" t="s">
        <v>565</v>
      </c>
      <c r="D116" s="149">
        <v>-6.89</v>
      </c>
      <c r="E116" s="149" t="s">
        <v>566</v>
      </c>
      <c r="F116" s="149" t="s">
        <v>966</v>
      </c>
      <c r="G116" s="149"/>
      <c r="H116" s="149"/>
      <c r="I116" t="s">
        <v>1183</v>
      </c>
      <c r="J116" s="149"/>
    </row>
    <row r="117" spans="1:10" x14ac:dyDescent="0.2">
      <c r="A117" s="149" t="s">
        <v>1182</v>
      </c>
      <c r="B117" s="150">
        <v>43538</v>
      </c>
      <c r="C117" s="149" t="s">
        <v>565</v>
      </c>
      <c r="D117" s="149">
        <v>-0.89</v>
      </c>
      <c r="E117" s="149" t="s">
        <v>566</v>
      </c>
      <c r="F117" s="149" t="s">
        <v>967</v>
      </c>
      <c r="G117" s="149"/>
      <c r="H117" s="149"/>
      <c r="I117" t="s">
        <v>1183</v>
      </c>
      <c r="J117" s="151"/>
    </row>
    <row r="118" spans="1:10" x14ac:dyDescent="0.2">
      <c r="A118" s="149" t="s">
        <v>1182</v>
      </c>
      <c r="B118" s="150">
        <v>43538</v>
      </c>
      <c r="C118" s="149" t="s">
        <v>565</v>
      </c>
      <c r="D118" s="149">
        <v>-14.99</v>
      </c>
      <c r="E118" s="149" t="s">
        <v>566</v>
      </c>
      <c r="F118" s="149" t="s">
        <v>968</v>
      </c>
      <c r="G118" s="151"/>
      <c r="H118" s="151"/>
      <c r="I118" t="s">
        <v>1183</v>
      </c>
      <c r="J118" s="151"/>
    </row>
    <row r="119" spans="1:10" x14ac:dyDescent="0.2">
      <c r="A119" s="149" t="s">
        <v>1182</v>
      </c>
      <c r="B119" s="150">
        <v>43538</v>
      </c>
      <c r="C119" s="149" t="s">
        <v>565</v>
      </c>
      <c r="D119" s="149">
        <v>-2.4900000000000002</v>
      </c>
      <c r="E119" s="149" t="s">
        <v>566</v>
      </c>
      <c r="F119" s="149" t="s">
        <v>969</v>
      </c>
      <c r="G119" s="149"/>
      <c r="H119" s="149"/>
      <c r="I119" t="s">
        <v>1183</v>
      </c>
      <c r="J119" s="151"/>
    </row>
    <row r="120" spans="1:10" x14ac:dyDescent="0.2">
      <c r="A120" s="149" t="s">
        <v>1182</v>
      </c>
      <c r="B120" s="150">
        <v>43539</v>
      </c>
      <c r="C120" s="149" t="s">
        <v>565</v>
      </c>
      <c r="D120" s="149">
        <v>504.4</v>
      </c>
      <c r="E120" s="149" t="s">
        <v>595</v>
      </c>
      <c r="F120" s="149" t="s">
        <v>606</v>
      </c>
      <c r="G120" s="149"/>
      <c r="H120" s="149"/>
      <c r="I120" t="s">
        <v>1183</v>
      </c>
      <c r="J120" s="151"/>
    </row>
    <row r="121" spans="1:10" x14ac:dyDescent="0.2">
      <c r="A121" s="149" t="s">
        <v>1182</v>
      </c>
      <c r="B121" s="150">
        <v>43539</v>
      </c>
      <c r="C121" s="149" t="s">
        <v>565</v>
      </c>
      <c r="D121" s="149">
        <v>-0.89</v>
      </c>
      <c r="E121" s="149" t="s">
        <v>566</v>
      </c>
      <c r="F121" s="149" t="s">
        <v>970</v>
      </c>
      <c r="G121" s="149"/>
      <c r="H121" s="149"/>
      <c r="I121" t="s">
        <v>1183</v>
      </c>
      <c r="J121" s="151"/>
    </row>
    <row r="122" spans="1:10" x14ac:dyDescent="0.2">
      <c r="A122" s="149" t="s">
        <v>1182</v>
      </c>
      <c r="B122" s="150">
        <v>43539</v>
      </c>
      <c r="C122" s="149" t="s">
        <v>565</v>
      </c>
      <c r="D122" s="149">
        <v>-0.89</v>
      </c>
      <c r="E122" s="149" t="s">
        <v>566</v>
      </c>
      <c r="F122" s="149" t="s">
        <v>970</v>
      </c>
      <c r="G122" s="149"/>
      <c r="H122" s="149"/>
      <c r="I122" t="s">
        <v>1183</v>
      </c>
      <c r="J122" s="149"/>
    </row>
    <row r="123" spans="1:10" x14ac:dyDescent="0.2">
      <c r="A123" s="149" t="s">
        <v>1182</v>
      </c>
      <c r="B123" s="150">
        <v>43539</v>
      </c>
      <c r="C123" s="149" t="s">
        <v>565</v>
      </c>
      <c r="D123" s="149">
        <v>-54.61</v>
      </c>
      <c r="E123" s="149" t="s">
        <v>566</v>
      </c>
      <c r="F123" s="151" t="s">
        <v>971</v>
      </c>
      <c r="G123" s="151"/>
      <c r="H123" s="151"/>
      <c r="I123" t="s">
        <v>1183</v>
      </c>
      <c r="J123" s="151" t="s">
        <v>1161</v>
      </c>
    </row>
    <row r="124" spans="1:10" x14ac:dyDescent="0.2">
      <c r="A124" s="149" t="s">
        <v>1182</v>
      </c>
      <c r="B124" s="150">
        <v>43539</v>
      </c>
      <c r="C124" s="149" t="s">
        <v>565</v>
      </c>
      <c r="D124" s="149">
        <v>-476.44</v>
      </c>
      <c r="E124" s="149" t="s">
        <v>575</v>
      </c>
      <c r="F124" s="151" t="s">
        <v>607</v>
      </c>
      <c r="G124" s="152"/>
      <c r="H124" s="149"/>
      <c r="I124" t="s">
        <v>1183</v>
      </c>
      <c r="J124" s="149"/>
    </row>
    <row r="125" spans="1:10" x14ac:dyDescent="0.2">
      <c r="A125" s="149" t="s">
        <v>1182</v>
      </c>
      <c r="B125" s="150">
        <v>43539</v>
      </c>
      <c r="C125" s="149" t="s">
        <v>565</v>
      </c>
      <c r="D125" s="149">
        <v>-242.09</v>
      </c>
      <c r="E125" s="149" t="s">
        <v>575</v>
      </c>
      <c r="F125" s="149" t="s">
        <v>610</v>
      </c>
      <c r="G125" s="149"/>
      <c r="H125" s="149"/>
      <c r="I125" t="s">
        <v>1185</v>
      </c>
      <c r="J125" s="151"/>
    </row>
    <row r="126" spans="1:10" x14ac:dyDescent="0.2">
      <c r="A126" s="149" t="s">
        <v>1182</v>
      </c>
      <c r="B126" s="150">
        <v>43539</v>
      </c>
      <c r="C126" s="149" t="s">
        <v>565</v>
      </c>
      <c r="D126" s="149">
        <v>-203.62</v>
      </c>
      <c r="E126" s="149" t="s">
        <v>575</v>
      </c>
      <c r="F126" s="149" t="s">
        <v>611</v>
      </c>
      <c r="G126" s="149"/>
      <c r="H126" s="151"/>
      <c r="I126" t="s">
        <v>1185</v>
      </c>
      <c r="J126" s="151"/>
    </row>
    <row r="127" spans="1:10" x14ac:dyDescent="0.2">
      <c r="A127" s="149" t="s">
        <v>1182</v>
      </c>
      <c r="B127" s="150">
        <v>43542</v>
      </c>
      <c r="C127" s="149" t="s">
        <v>565</v>
      </c>
      <c r="D127" s="149">
        <v>435.91</v>
      </c>
      <c r="E127" s="149" t="s">
        <v>595</v>
      </c>
      <c r="F127" s="149" t="s">
        <v>612</v>
      </c>
      <c r="G127" s="149"/>
      <c r="H127" s="151"/>
      <c r="I127" t="s">
        <v>1183</v>
      </c>
      <c r="J127" s="151"/>
    </row>
    <row r="128" spans="1:10" x14ac:dyDescent="0.2">
      <c r="A128" s="149" t="s">
        <v>1182</v>
      </c>
      <c r="B128" s="150">
        <v>43542</v>
      </c>
      <c r="C128" s="149" t="s">
        <v>565</v>
      </c>
      <c r="D128" s="149">
        <v>257.24</v>
      </c>
      <c r="E128" s="149" t="s">
        <v>595</v>
      </c>
      <c r="F128" s="149" t="s">
        <v>613</v>
      </c>
      <c r="G128" s="149"/>
      <c r="H128" s="149"/>
      <c r="I128" t="s">
        <v>1183</v>
      </c>
      <c r="J128" s="151"/>
    </row>
    <row r="129" spans="1:10" x14ac:dyDescent="0.2">
      <c r="A129" s="149" t="s">
        <v>1182</v>
      </c>
      <c r="B129" s="150">
        <v>43542</v>
      </c>
      <c r="C129" s="149" t="s">
        <v>565</v>
      </c>
      <c r="D129" s="149">
        <v>249.74</v>
      </c>
      <c r="E129" s="149" t="s">
        <v>595</v>
      </c>
      <c r="F129" s="149" t="s">
        <v>618</v>
      </c>
      <c r="G129" s="149"/>
      <c r="H129" s="149"/>
      <c r="I129" t="s">
        <v>1183</v>
      </c>
      <c r="J129" s="151"/>
    </row>
    <row r="130" spans="1:10" x14ac:dyDescent="0.2">
      <c r="A130" s="149" t="s">
        <v>1182</v>
      </c>
      <c r="B130" s="150">
        <v>43542</v>
      </c>
      <c r="C130" s="149" t="s">
        <v>565</v>
      </c>
      <c r="D130" s="149">
        <v>-24.54</v>
      </c>
      <c r="E130" s="149" t="s">
        <v>566</v>
      </c>
      <c r="F130" s="149" t="s">
        <v>972</v>
      </c>
      <c r="G130" s="149"/>
      <c r="H130" s="149"/>
      <c r="I130" t="s">
        <v>1183</v>
      </c>
      <c r="J130" s="151" t="s">
        <v>1161</v>
      </c>
    </row>
    <row r="131" spans="1:10" x14ac:dyDescent="0.2">
      <c r="A131" s="149" t="s">
        <v>1182</v>
      </c>
      <c r="B131" s="150">
        <v>43542</v>
      </c>
      <c r="C131" s="149" t="s">
        <v>565</v>
      </c>
      <c r="D131" s="149">
        <v>-13.95</v>
      </c>
      <c r="E131" s="149" t="s">
        <v>566</v>
      </c>
      <c r="F131" s="149" t="s">
        <v>973</v>
      </c>
      <c r="G131" s="149"/>
      <c r="H131" s="149"/>
      <c r="I131" t="s">
        <v>1183</v>
      </c>
      <c r="J131" s="151" t="s">
        <v>1161</v>
      </c>
    </row>
    <row r="132" spans="1:10" x14ac:dyDescent="0.2">
      <c r="A132" s="149" t="s">
        <v>1182</v>
      </c>
      <c r="B132" s="150">
        <v>43542</v>
      </c>
      <c r="C132" s="149" t="s">
        <v>565</v>
      </c>
      <c r="D132" s="149">
        <v>-7.5</v>
      </c>
      <c r="E132" s="149" t="s">
        <v>566</v>
      </c>
      <c r="F132" s="149" t="s">
        <v>974</v>
      </c>
      <c r="G132" s="152"/>
      <c r="H132" s="151"/>
      <c r="I132" t="s">
        <v>1183</v>
      </c>
      <c r="J132" s="149"/>
    </row>
    <row r="133" spans="1:10" x14ac:dyDescent="0.2">
      <c r="A133" s="149" t="s">
        <v>1182</v>
      </c>
      <c r="B133" s="150">
        <v>43542</v>
      </c>
      <c r="C133" s="149" t="s">
        <v>565</v>
      </c>
      <c r="D133" s="149">
        <v>-3.99</v>
      </c>
      <c r="E133" s="149" t="s">
        <v>566</v>
      </c>
      <c r="F133" s="149" t="s">
        <v>975</v>
      </c>
      <c r="G133" s="151"/>
      <c r="H133" s="151"/>
      <c r="I133" t="s">
        <v>1183</v>
      </c>
      <c r="J133" s="149"/>
    </row>
    <row r="134" spans="1:10" x14ac:dyDescent="0.2">
      <c r="A134" s="149" t="s">
        <v>1182</v>
      </c>
      <c r="B134" s="150">
        <v>43542</v>
      </c>
      <c r="C134" s="149" t="s">
        <v>565</v>
      </c>
      <c r="D134" s="149">
        <v>-2.5499999999999998</v>
      </c>
      <c r="E134" s="149" t="s">
        <v>566</v>
      </c>
      <c r="F134" s="149" t="s">
        <v>976</v>
      </c>
      <c r="G134" s="149"/>
      <c r="H134" s="149"/>
      <c r="I134" t="s">
        <v>1183</v>
      </c>
      <c r="J134" s="149"/>
    </row>
    <row r="135" spans="1:10" x14ac:dyDescent="0.2">
      <c r="A135" s="149" t="s">
        <v>1182</v>
      </c>
      <c r="B135" s="150">
        <v>43542</v>
      </c>
      <c r="C135" s="149" t="s">
        <v>565</v>
      </c>
      <c r="D135" s="149">
        <v>-1.74</v>
      </c>
      <c r="E135" s="149" t="s">
        <v>566</v>
      </c>
      <c r="F135" s="149" t="s">
        <v>977</v>
      </c>
      <c r="G135" s="149"/>
      <c r="H135" s="149"/>
      <c r="I135" t="s">
        <v>1183</v>
      </c>
      <c r="J135" s="149"/>
    </row>
    <row r="136" spans="1:10" x14ac:dyDescent="0.2">
      <c r="A136" s="149" t="s">
        <v>1182</v>
      </c>
      <c r="B136" s="150">
        <v>43542</v>
      </c>
      <c r="C136" s="149" t="s">
        <v>565</v>
      </c>
      <c r="D136" s="149">
        <v>-0.89</v>
      </c>
      <c r="E136" s="149" t="s">
        <v>566</v>
      </c>
      <c r="F136" s="149" t="s">
        <v>977</v>
      </c>
      <c r="G136" s="149"/>
      <c r="H136" s="149"/>
      <c r="I136" t="s">
        <v>1183</v>
      </c>
      <c r="J136" s="149"/>
    </row>
    <row r="137" spans="1:10" x14ac:dyDescent="0.2">
      <c r="A137" s="149" t="s">
        <v>1182</v>
      </c>
      <c r="B137" s="150">
        <v>43542</v>
      </c>
      <c r="C137" s="149" t="s">
        <v>565</v>
      </c>
      <c r="D137" s="149">
        <v>-860.33</v>
      </c>
      <c r="E137" s="149" t="s">
        <v>566</v>
      </c>
      <c r="F137" s="149" t="s">
        <v>978</v>
      </c>
      <c r="G137" s="149"/>
      <c r="H137" s="153" t="s">
        <v>1169</v>
      </c>
      <c r="I137" t="s">
        <v>1183</v>
      </c>
      <c r="J137" s="151" t="s">
        <v>1161</v>
      </c>
    </row>
    <row r="138" spans="1:10" x14ac:dyDescent="0.2">
      <c r="A138" s="149" t="s">
        <v>1182</v>
      </c>
      <c r="B138" s="150">
        <v>43542</v>
      </c>
      <c r="C138" s="149" t="s">
        <v>565</v>
      </c>
      <c r="D138" s="149">
        <v>-84.88</v>
      </c>
      <c r="E138" s="149" t="s">
        <v>566</v>
      </c>
      <c r="F138" s="149" t="s">
        <v>979</v>
      </c>
      <c r="G138" s="149"/>
      <c r="H138" s="149"/>
      <c r="I138" t="s">
        <v>1183</v>
      </c>
      <c r="J138" s="151" t="s">
        <v>1161</v>
      </c>
    </row>
    <row r="139" spans="1:10" x14ac:dyDescent="0.2">
      <c r="A139" s="149" t="s">
        <v>1182</v>
      </c>
      <c r="B139" s="150">
        <v>43542</v>
      </c>
      <c r="C139" s="149" t="s">
        <v>565</v>
      </c>
      <c r="D139" s="149">
        <v>-21.48</v>
      </c>
      <c r="E139" s="149" t="s">
        <v>566</v>
      </c>
      <c r="F139" s="149" t="s">
        <v>980</v>
      </c>
      <c r="G139" s="149"/>
      <c r="H139" s="149"/>
      <c r="I139" t="s">
        <v>1183</v>
      </c>
      <c r="J139" s="149"/>
    </row>
    <row r="140" spans="1:10" x14ac:dyDescent="0.2">
      <c r="A140" s="149" t="s">
        <v>1182</v>
      </c>
      <c r="B140" s="150">
        <v>43542</v>
      </c>
      <c r="C140" s="149" t="s">
        <v>565</v>
      </c>
      <c r="D140" s="149">
        <v>-16.989999999999998</v>
      </c>
      <c r="E140" s="149" t="s">
        <v>566</v>
      </c>
      <c r="F140" s="149" t="s">
        <v>981</v>
      </c>
      <c r="G140" s="149"/>
      <c r="H140" s="149"/>
      <c r="I140" t="s">
        <v>1183</v>
      </c>
      <c r="J140" s="151"/>
    </row>
    <row r="141" spans="1:10" x14ac:dyDescent="0.2">
      <c r="A141" s="149" t="s">
        <v>1182</v>
      </c>
      <c r="B141" s="150">
        <v>43542</v>
      </c>
      <c r="C141" s="149" t="s">
        <v>565</v>
      </c>
      <c r="D141" s="149">
        <v>-5.99</v>
      </c>
      <c r="E141" s="149" t="s">
        <v>566</v>
      </c>
      <c r="F141" s="149" t="s">
        <v>982</v>
      </c>
      <c r="G141" s="149"/>
      <c r="H141" s="151"/>
      <c r="I141" t="s">
        <v>1183</v>
      </c>
      <c r="J141" s="151"/>
    </row>
    <row r="142" spans="1:10" x14ac:dyDescent="0.2">
      <c r="A142" s="149" t="s">
        <v>1182</v>
      </c>
      <c r="B142" s="150">
        <v>43542</v>
      </c>
      <c r="C142" s="149" t="s">
        <v>565</v>
      </c>
      <c r="D142" s="149">
        <v>-16.170000000000002</v>
      </c>
      <c r="E142" s="149" t="s">
        <v>575</v>
      </c>
      <c r="F142" s="149" t="s">
        <v>608</v>
      </c>
      <c r="G142" s="149"/>
      <c r="H142" s="151"/>
      <c r="I142" t="s">
        <v>1185</v>
      </c>
      <c r="J142" s="149"/>
    </row>
    <row r="143" spans="1:10" x14ac:dyDescent="0.2">
      <c r="A143" s="149" t="s">
        <v>1182</v>
      </c>
      <c r="B143" s="150">
        <v>43542</v>
      </c>
      <c r="C143" s="149" t="s">
        <v>565</v>
      </c>
      <c r="D143" s="149">
        <v>-217.44</v>
      </c>
      <c r="E143" s="149" t="s">
        <v>575</v>
      </c>
      <c r="F143" s="149" t="s">
        <v>609</v>
      </c>
      <c r="G143" s="149"/>
      <c r="H143" s="151"/>
      <c r="I143" t="s">
        <v>1185</v>
      </c>
      <c r="J143" s="149"/>
    </row>
    <row r="144" spans="1:10" x14ac:dyDescent="0.2">
      <c r="A144" s="149" t="s">
        <v>1182</v>
      </c>
      <c r="B144" s="150">
        <v>43542</v>
      </c>
      <c r="C144" s="149" t="s">
        <v>565</v>
      </c>
      <c r="D144" s="149">
        <v>-159.83000000000001</v>
      </c>
      <c r="E144" s="149" t="s">
        <v>575</v>
      </c>
      <c r="F144" s="149" t="s">
        <v>614</v>
      </c>
      <c r="G144" s="149"/>
      <c r="H144" s="151"/>
      <c r="I144" t="s">
        <v>1185</v>
      </c>
      <c r="J144" s="149"/>
    </row>
    <row r="145" spans="1:10" x14ac:dyDescent="0.2">
      <c r="A145" s="149" t="s">
        <v>1182</v>
      </c>
      <c r="B145" s="150">
        <v>43542</v>
      </c>
      <c r="C145" s="149" t="s">
        <v>565</v>
      </c>
      <c r="D145" s="149">
        <v>-9.99</v>
      </c>
      <c r="E145" s="149" t="s">
        <v>575</v>
      </c>
      <c r="F145" s="149" t="s">
        <v>983</v>
      </c>
      <c r="G145" s="149"/>
      <c r="H145" s="151"/>
      <c r="I145" t="s">
        <v>1183</v>
      </c>
      <c r="J145" s="149"/>
    </row>
    <row r="146" spans="1:10" x14ac:dyDescent="0.2">
      <c r="A146" s="149" t="s">
        <v>1182</v>
      </c>
      <c r="B146" s="150">
        <v>43543</v>
      </c>
      <c r="C146" s="149" t="s">
        <v>565</v>
      </c>
      <c r="D146" s="149">
        <v>324.8</v>
      </c>
      <c r="E146" s="149" t="s">
        <v>595</v>
      </c>
      <c r="F146" s="149" t="s">
        <v>921</v>
      </c>
      <c r="G146" s="149"/>
      <c r="H146" s="151"/>
      <c r="I146" t="s">
        <v>1183</v>
      </c>
      <c r="J146" s="149"/>
    </row>
    <row r="147" spans="1:10" x14ac:dyDescent="0.2">
      <c r="A147" s="149" t="s">
        <v>1182</v>
      </c>
      <c r="B147" s="150">
        <v>43543</v>
      </c>
      <c r="C147" s="149" t="s">
        <v>565</v>
      </c>
      <c r="D147" s="149">
        <v>-12.87</v>
      </c>
      <c r="E147" s="149" t="s">
        <v>566</v>
      </c>
      <c r="F147" s="149" t="s">
        <v>984</v>
      </c>
      <c r="G147" s="149"/>
      <c r="H147" s="149"/>
      <c r="I147" t="s">
        <v>1183</v>
      </c>
      <c r="J147" s="149"/>
    </row>
    <row r="148" spans="1:10" x14ac:dyDescent="0.2">
      <c r="A148" s="149" t="s">
        <v>1182</v>
      </c>
      <c r="B148" s="150">
        <v>43543</v>
      </c>
      <c r="C148" s="149" t="s">
        <v>565</v>
      </c>
      <c r="D148" s="149">
        <v>-1.94</v>
      </c>
      <c r="E148" s="149" t="s">
        <v>566</v>
      </c>
      <c r="F148" s="149" t="s">
        <v>985</v>
      </c>
      <c r="G148" s="149"/>
      <c r="H148" s="149"/>
      <c r="I148" t="s">
        <v>1183</v>
      </c>
      <c r="J148" s="149"/>
    </row>
    <row r="149" spans="1:10" x14ac:dyDescent="0.2">
      <c r="A149" s="149" t="s">
        <v>1182</v>
      </c>
      <c r="B149" s="150">
        <v>43543</v>
      </c>
      <c r="C149" s="149" t="s">
        <v>565</v>
      </c>
      <c r="D149" s="149">
        <v>-1.1000000000000001</v>
      </c>
      <c r="E149" s="149" t="s">
        <v>566</v>
      </c>
      <c r="F149" s="149" t="s">
        <v>985</v>
      </c>
      <c r="G149" s="149"/>
      <c r="H149" s="149"/>
      <c r="I149" t="s">
        <v>1183</v>
      </c>
      <c r="J149" s="149"/>
    </row>
    <row r="150" spans="1:10" x14ac:dyDescent="0.2">
      <c r="A150" s="149" t="s">
        <v>1182</v>
      </c>
      <c r="B150" s="150">
        <v>43544</v>
      </c>
      <c r="C150" s="149" t="s">
        <v>565</v>
      </c>
      <c r="D150" s="149">
        <v>-3.99</v>
      </c>
      <c r="E150" s="149" t="s">
        <v>566</v>
      </c>
      <c r="F150" s="149" t="s">
        <v>986</v>
      </c>
      <c r="G150" s="149"/>
      <c r="H150" s="151"/>
      <c r="I150" t="s">
        <v>1183</v>
      </c>
      <c r="J150" s="151"/>
    </row>
    <row r="151" spans="1:10" x14ac:dyDescent="0.2">
      <c r="A151" s="149" t="s">
        <v>1182</v>
      </c>
      <c r="B151" s="150">
        <v>43544</v>
      </c>
      <c r="C151" s="149" t="s">
        <v>565</v>
      </c>
      <c r="D151" s="149">
        <v>-0.89</v>
      </c>
      <c r="E151" s="149" t="s">
        <v>566</v>
      </c>
      <c r="F151" s="149" t="s">
        <v>987</v>
      </c>
      <c r="G151" s="149"/>
      <c r="H151" s="151"/>
      <c r="I151" t="s">
        <v>1183</v>
      </c>
      <c r="J151" s="149"/>
    </row>
    <row r="152" spans="1:10" x14ac:dyDescent="0.2">
      <c r="A152" s="149" t="s">
        <v>1182</v>
      </c>
      <c r="B152" s="150">
        <v>43544</v>
      </c>
      <c r="C152" s="149" t="s">
        <v>565</v>
      </c>
      <c r="D152" s="149">
        <v>-0.89</v>
      </c>
      <c r="E152" s="149" t="s">
        <v>566</v>
      </c>
      <c r="F152" s="149" t="s">
        <v>987</v>
      </c>
      <c r="G152" s="149"/>
      <c r="H152" s="149"/>
      <c r="I152" t="s">
        <v>1183</v>
      </c>
      <c r="J152" s="149"/>
    </row>
    <row r="153" spans="1:10" x14ac:dyDescent="0.2">
      <c r="A153" s="149" t="s">
        <v>1182</v>
      </c>
      <c r="B153" s="150">
        <v>43545</v>
      </c>
      <c r="C153" s="149" t="s">
        <v>565</v>
      </c>
      <c r="D153" s="149">
        <v>92.8</v>
      </c>
      <c r="E153" s="149" t="s">
        <v>595</v>
      </c>
      <c r="F153" s="149" t="s">
        <v>596</v>
      </c>
      <c r="G153" s="149"/>
      <c r="H153" s="149"/>
      <c r="I153" t="s">
        <v>1183</v>
      </c>
      <c r="J153" s="149"/>
    </row>
    <row r="154" spans="1:10" x14ac:dyDescent="0.2">
      <c r="A154" s="149" t="s">
        <v>1182</v>
      </c>
      <c r="B154" s="150">
        <v>43545</v>
      </c>
      <c r="C154" s="149" t="s">
        <v>565</v>
      </c>
      <c r="D154" s="149">
        <v>-48</v>
      </c>
      <c r="E154" s="149" t="s">
        <v>594</v>
      </c>
      <c r="F154" s="149" t="s">
        <v>988</v>
      </c>
      <c r="G154" s="149"/>
      <c r="H154" s="151"/>
      <c r="I154" t="s">
        <v>1183</v>
      </c>
      <c r="J154" s="151"/>
    </row>
    <row r="155" spans="1:10" x14ac:dyDescent="0.2">
      <c r="A155" s="149" t="s">
        <v>1182</v>
      </c>
      <c r="B155" s="150">
        <v>43545</v>
      </c>
      <c r="C155" s="149" t="s">
        <v>565</v>
      </c>
      <c r="D155" s="149">
        <v>-8.3000000000000007</v>
      </c>
      <c r="E155" s="149" t="s">
        <v>566</v>
      </c>
      <c r="F155" s="149" t="s">
        <v>989</v>
      </c>
      <c r="G155" s="149"/>
      <c r="H155" s="151"/>
      <c r="I155" t="s">
        <v>1183</v>
      </c>
      <c r="J155" s="151"/>
    </row>
    <row r="156" spans="1:10" x14ac:dyDescent="0.2">
      <c r="A156" s="149" t="s">
        <v>1182</v>
      </c>
      <c r="B156" s="150">
        <v>43545</v>
      </c>
      <c r="C156" s="149" t="s">
        <v>565</v>
      </c>
      <c r="D156" s="149">
        <v>-2.85</v>
      </c>
      <c r="E156" s="149" t="s">
        <v>566</v>
      </c>
      <c r="F156" s="149" t="s">
        <v>990</v>
      </c>
      <c r="G156" s="149"/>
      <c r="H156" s="149"/>
      <c r="I156" t="s">
        <v>1183</v>
      </c>
      <c r="J156" s="149"/>
    </row>
    <row r="157" spans="1:10" x14ac:dyDescent="0.2">
      <c r="A157" s="149" t="s">
        <v>1182</v>
      </c>
      <c r="B157" s="150">
        <v>43545</v>
      </c>
      <c r="C157" s="149" t="s">
        <v>565</v>
      </c>
      <c r="D157" s="149">
        <v>-0.89</v>
      </c>
      <c r="E157" s="149" t="s">
        <v>566</v>
      </c>
      <c r="F157" s="149" t="s">
        <v>990</v>
      </c>
      <c r="G157" s="149"/>
      <c r="H157" s="149"/>
      <c r="I157" t="s">
        <v>1183</v>
      </c>
      <c r="J157" s="149"/>
    </row>
    <row r="158" spans="1:10" x14ac:dyDescent="0.2">
      <c r="A158" s="149" t="s">
        <v>1182</v>
      </c>
      <c r="B158" s="150">
        <v>43546</v>
      </c>
      <c r="C158" s="149" t="s">
        <v>565</v>
      </c>
      <c r="D158" s="149">
        <v>324.8</v>
      </c>
      <c r="E158" s="149" t="s">
        <v>595</v>
      </c>
      <c r="F158" s="149" t="s">
        <v>596</v>
      </c>
      <c r="G158" s="149"/>
      <c r="H158" s="151"/>
      <c r="I158" t="s">
        <v>1183</v>
      </c>
      <c r="J158" s="149"/>
    </row>
    <row r="159" spans="1:10" x14ac:dyDescent="0.2">
      <c r="A159" s="149" t="s">
        <v>1182</v>
      </c>
      <c r="B159" s="150">
        <v>43546</v>
      </c>
      <c r="C159" s="149" t="s">
        <v>565</v>
      </c>
      <c r="D159" s="149">
        <v>249.74</v>
      </c>
      <c r="E159" s="149" t="s">
        <v>595</v>
      </c>
      <c r="F159" s="149" t="s">
        <v>678</v>
      </c>
      <c r="G159" s="149"/>
      <c r="H159" s="149"/>
      <c r="I159" t="s">
        <v>1183</v>
      </c>
      <c r="J159" s="149"/>
    </row>
    <row r="160" spans="1:10" x14ac:dyDescent="0.2">
      <c r="A160" s="149" t="s">
        <v>1182</v>
      </c>
      <c r="B160" s="150">
        <v>43546</v>
      </c>
      <c r="C160" s="149" t="s">
        <v>565</v>
      </c>
      <c r="D160" s="149">
        <v>-6.53</v>
      </c>
      <c r="E160" s="149" t="s">
        <v>566</v>
      </c>
      <c r="F160" s="149" t="s">
        <v>991</v>
      </c>
      <c r="G160" s="149"/>
      <c r="H160" s="151"/>
      <c r="I160" t="s">
        <v>1183</v>
      </c>
      <c r="J160" s="149"/>
    </row>
    <row r="161" spans="1:10" x14ac:dyDescent="0.2">
      <c r="A161" s="149" t="s">
        <v>1182</v>
      </c>
      <c r="B161" s="150">
        <v>43546</v>
      </c>
      <c r="C161" s="149" t="s">
        <v>565</v>
      </c>
      <c r="D161" s="149">
        <v>-0.89</v>
      </c>
      <c r="E161" s="149" t="s">
        <v>566</v>
      </c>
      <c r="F161" s="149" t="s">
        <v>992</v>
      </c>
      <c r="G161" s="149"/>
      <c r="H161" s="149"/>
      <c r="I161" t="s">
        <v>1183</v>
      </c>
      <c r="J161" s="149"/>
    </row>
    <row r="162" spans="1:10" x14ac:dyDescent="0.2">
      <c r="A162" s="149" t="s">
        <v>1182</v>
      </c>
      <c r="B162" s="150">
        <v>43546</v>
      </c>
      <c r="C162" s="149" t="s">
        <v>565</v>
      </c>
      <c r="D162" s="149">
        <v>-0.89</v>
      </c>
      <c r="E162" s="149" t="s">
        <v>566</v>
      </c>
      <c r="F162" s="149" t="s">
        <v>992</v>
      </c>
      <c r="G162" s="149"/>
      <c r="H162" s="151"/>
      <c r="I162" t="s">
        <v>1183</v>
      </c>
      <c r="J162" s="149"/>
    </row>
    <row r="163" spans="1:10" x14ac:dyDescent="0.2">
      <c r="A163" s="149" t="s">
        <v>1182</v>
      </c>
      <c r="B163" s="150">
        <v>43546</v>
      </c>
      <c r="C163" s="149" t="s">
        <v>565</v>
      </c>
      <c r="D163" s="52">
        <v>-238.35</v>
      </c>
      <c r="E163" s="149" t="s">
        <v>566</v>
      </c>
      <c r="F163" s="149" t="s">
        <v>993</v>
      </c>
      <c r="G163" s="154" t="s">
        <v>559</v>
      </c>
      <c r="H163" s="151" t="s">
        <v>1175</v>
      </c>
      <c r="I163" t="s">
        <v>1184</v>
      </c>
      <c r="J163" s="149"/>
    </row>
    <row r="164" spans="1:10" x14ac:dyDescent="0.2">
      <c r="A164" s="149" t="s">
        <v>1182</v>
      </c>
      <c r="B164" s="150">
        <v>43546</v>
      </c>
      <c r="C164" s="149" t="s">
        <v>565</v>
      </c>
      <c r="D164" s="149">
        <v>-54</v>
      </c>
      <c r="E164" s="149" t="s">
        <v>566</v>
      </c>
      <c r="F164" s="149" t="s">
        <v>994</v>
      </c>
      <c r="G164" s="149"/>
      <c r="H164" s="153" t="s">
        <v>1170</v>
      </c>
      <c r="I164" t="s">
        <v>1183</v>
      </c>
      <c r="J164" s="149"/>
    </row>
    <row r="165" spans="1:10" x14ac:dyDescent="0.2">
      <c r="A165" s="149" t="s">
        <v>1182</v>
      </c>
      <c r="B165" s="150">
        <v>43546</v>
      </c>
      <c r="C165" s="149" t="s">
        <v>565</v>
      </c>
      <c r="D165" s="149">
        <v>-21.99</v>
      </c>
      <c r="E165" s="149" t="s">
        <v>566</v>
      </c>
      <c r="F165" s="149" t="s">
        <v>995</v>
      </c>
      <c r="G165" s="149"/>
      <c r="H165" s="149"/>
      <c r="I165" t="s">
        <v>1183</v>
      </c>
      <c r="J165" s="151"/>
    </row>
    <row r="166" spans="1:10" x14ac:dyDescent="0.2">
      <c r="A166" s="149" t="s">
        <v>1182</v>
      </c>
      <c r="B166" s="150">
        <v>43546</v>
      </c>
      <c r="C166" s="149" t="s">
        <v>565</v>
      </c>
      <c r="D166" s="149">
        <v>-20</v>
      </c>
      <c r="E166" s="149" t="s">
        <v>566</v>
      </c>
      <c r="F166" s="149" t="s">
        <v>996</v>
      </c>
      <c r="G166" s="149"/>
      <c r="H166" s="149"/>
      <c r="I166" t="s">
        <v>1183</v>
      </c>
      <c r="J166" s="151"/>
    </row>
    <row r="167" spans="1:10" x14ac:dyDescent="0.2">
      <c r="A167" s="149" t="s">
        <v>1182</v>
      </c>
      <c r="B167" s="150">
        <v>43546</v>
      </c>
      <c r="C167" s="149" t="s">
        <v>565</v>
      </c>
      <c r="D167" s="149">
        <v>-202.32</v>
      </c>
      <c r="E167" s="149" t="s">
        <v>575</v>
      </c>
      <c r="F167" s="149" t="s">
        <v>615</v>
      </c>
      <c r="G167" s="151"/>
      <c r="H167" s="149"/>
      <c r="I167" t="s">
        <v>1185</v>
      </c>
      <c r="J167" s="149"/>
    </row>
    <row r="168" spans="1:10" x14ac:dyDescent="0.2">
      <c r="A168" s="149" t="s">
        <v>1182</v>
      </c>
      <c r="B168" s="150">
        <v>43549</v>
      </c>
      <c r="C168" s="149" t="s">
        <v>565</v>
      </c>
      <c r="D168" s="52">
        <v>-120</v>
      </c>
      <c r="E168" s="149" t="s">
        <v>593</v>
      </c>
      <c r="F168" s="149" t="s">
        <v>997</v>
      </c>
      <c r="G168" t="s">
        <v>469</v>
      </c>
      <c r="H168" s="151" t="s">
        <v>1155</v>
      </c>
      <c r="I168" t="s">
        <v>1184</v>
      </c>
      <c r="J168" s="151"/>
    </row>
    <row r="169" spans="1:10" x14ac:dyDescent="0.2">
      <c r="A169" s="149" t="s">
        <v>1182</v>
      </c>
      <c r="B169" s="150">
        <v>43549</v>
      </c>
      <c r="C169" s="149" t="s">
        <v>565</v>
      </c>
      <c r="D169" s="149">
        <v>-12.44</v>
      </c>
      <c r="E169" s="149" t="s">
        <v>566</v>
      </c>
      <c r="F169" s="149" t="s">
        <v>998</v>
      </c>
      <c r="G169" s="149"/>
      <c r="H169" s="151"/>
      <c r="I169" t="s">
        <v>1183</v>
      </c>
      <c r="J169" s="151"/>
    </row>
    <row r="170" spans="1:10" x14ac:dyDescent="0.2">
      <c r="A170" s="149" t="s">
        <v>1182</v>
      </c>
      <c r="B170" s="150">
        <v>43549</v>
      </c>
      <c r="C170" s="149" t="s">
        <v>565</v>
      </c>
      <c r="D170" s="149">
        <v>-5.99</v>
      </c>
      <c r="E170" s="149" t="s">
        <v>566</v>
      </c>
      <c r="F170" s="149" t="s">
        <v>999</v>
      </c>
      <c r="G170" s="149"/>
      <c r="H170" s="149"/>
      <c r="I170" t="s">
        <v>1183</v>
      </c>
      <c r="J170" s="149"/>
    </row>
    <row r="171" spans="1:10" x14ac:dyDescent="0.2">
      <c r="A171" s="149" t="s">
        <v>1182</v>
      </c>
      <c r="B171" s="150">
        <v>43549</v>
      </c>
      <c r="C171" s="149" t="s">
        <v>565</v>
      </c>
      <c r="D171" s="149">
        <v>-5.5</v>
      </c>
      <c r="E171" s="149" t="s">
        <v>566</v>
      </c>
      <c r="F171" s="149" t="s">
        <v>1000</v>
      </c>
      <c r="G171" s="149"/>
      <c r="H171" s="149"/>
      <c r="I171" t="s">
        <v>1183</v>
      </c>
      <c r="J171" s="149"/>
    </row>
    <row r="172" spans="1:10" x14ac:dyDescent="0.2">
      <c r="A172" s="149" t="s">
        <v>1182</v>
      </c>
      <c r="B172" s="150">
        <v>43549</v>
      </c>
      <c r="C172" s="149" t="s">
        <v>565</v>
      </c>
      <c r="D172" s="149">
        <v>-4.5</v>
      </c>
      <c r="E172" s="149" t="s">
        <v>566</v>
      </c>
      <c r="F172" s="151" t="s">
        <v>1001</v>
      </c>
      <c r="G172" s="149"/>
      <c r="H172" s="149"/>
      <c r="I172" t="s">
        <v>1183</v>
      </c>
      <c r="J172" s="149"/>
    </row>
    <row r="173" spans="1:10" x14ac:dyDescent="0.2">
      <c r="A173" s="149" t="s">
        <v>1182</v>
      </c>
      <c r="B173" s="150">
        <v>43549</v>
      </c>
      <c r="C173" s="149" t="s">
        <v>565</v>
      </c>
      <c r="D173" s="149">
        <v>-0.89</v>
      </c>
      <c r="E173" s="149" t="s">
        <v>566</v>
      </c>
      <c r="F173" s="149" t="s">
        <v>1002</v>
      </c>
      <c r="G173" s="149"/>
      <c r="H173" s="151"/>
      <c r="I173" t="s">
        <v>1183</v>
      </c>
      <c r="J173" s="149"/>
    </row>
    <row r="174" spans="1:10" x14ac:dyDescent="0.2">
      <c r="A174" s="149" t="s">
        <v>1182</v>
      </c>
      <c r="B174" s="150">
        <v>43549</v>
      </c>
      <c r="C174" s="149" t="s">
        <v>565</v>
      </c>
      <c r="D174" s="149">
        <v>-0.89</v>
      </c>
      <c r="E174" s="149" t="s">
        <v>566</v>
      </c>
      <c r="F174" s="149" t="s">
        <v>1002</v>
      </c>
      <c r="G174" s="149"/>
      <c r="H174" s="149"/>
      <c r="I174" t="s">
        <v>1183</v>
      </c>
      <c r="J174" s="151"/>
    </row>
    <row r="175" spans="1:10" x14ac:dyDescent="0.2">
      <c r="A175" s="149" t="s">
        <v>1182</v>
      </c>
      <c r="B175" s="150">
        <v>43549</v>
      </c>
      <c r="C175" s="149" t="s">
        <v>565</v>
      </c>
      <c r="D175" s="149">
        <v>-62.87</v>
      </c>
      <c r="E175" s="149" t="s">
        <v>566</v>
      </c>
      <c r="F175" s="149" t="s">
        <v>1003</v>
      </c>
      <c r="G175" s="149"/>
      <c r="H175" s="153" t="s">
        <v>1171</v>
      </c>
      <c r="I175" t="s">
        <v>1183</v>
      </c>
      <c r="J175" s="153" t="s">
        <v>1161</v>
      </c>
    </row>
    <row r="176" spans="1:10" x14ac:dyDescent="0.2">
      <c r="A176" s="149" t="s">
        <v>1182</v>
      </c>
      <c r="B176" s="150">
        <v>43549</v>
      </c>
      <c r="C176" s="149" t="s">
        <v>565</v>
      </c>
      <c r="D176" s="149">
        <v>-13.99</v>
      </c>
      <c r="E176" s="149" t="s">
        <v>566</v>
      </c>
      <c r="F176" s="149" t="s">
        <v>1004</v>
      </c>
      <c r="G176" s="149"/>
      <c r="H176" s="149"/>
      <c r="I176" t="s">
        <v>1183</v>
      </c>
      <c r="J176" s="149"/>
    </row>
    <row r="177" spans="1:10" x14ac:dyDescent="0.2">
      <c r="A177" s="149" t="s">
        <v>1182</v>
      </c>
      <c r="B177" s="150">
        <v>43549</v>
      </c>
      <c r="C177" s="149" t="s">
        <v>565</v>
      </c>
      <c r="D177" s="149">
        <v>-102</v>
      </c>
      <c r="E177" s="149" t="s">
        <v>567</v>
      </c>
      <c r="F177" s="149" t="s">
        <v>616</v>
      </c>
      <c r="G177" s="149"/>
      <c r="H177" s="149"/>
      <c r="I177" t="s">
        <v>1183</v>
      </c>
      <c r="J177" s="151"/>
    </row>
    <row r="178" spans="1:10" x14ac:dyDescent="0.2">
      <c r="A178" s="149" t="s">
        <v>1182</v>
      </c>
      <c r="B178" s="150">
        <v>43550</v>
      </c>
      <c r="C178" s="149" t="s">
        <v>565</v>
      </c>
      <c r="D178" s="149">
        <v>-23.16</v>
      </c>
      <c r="E178" s="149" t="s">
        <v>566</v>
      </c>
      <c r="F178" s="149" t="s">
        <v>666</v>
      </c>
      <c r="G178" s="149"/>
      <c r="H178" s="151"/>
      <c r="I178" t="s">
        <v>1183</v>
      </c>
      <c r="J178" s="151"/>
    </row>
    <row r="179" spans="1:10" x14ac:dyDescent="0.2">
      <c r="A179" s="149" t="s">
        <v>1182</v>
      </c>
      <c r="B179" s="150">
        <v>43550</v>
      </c>
      <c r="C179" s="149" t="s">
        <v>565</v>
      </c>
      <c r="D179" s="149">
        <v>-13.24</v>
      </c>
      <c r="E179" s="149" t="s">
        <v>566</v>
      </c>
      <c r="F179" s="149" t="s">
        <v>1005</v>
      </c>
      <c r="G179" s="149"/>
      <c r="H179" s="149"/>
      <c r="I179" t="s">
        <v>1183</v>
      </c>
      <c r="J179" s="149"/>
    </row>
    <row r="180" spans="1:10" x14ac:dyDescent="0.2">
      <c r="A180" s="149" t="s">
        <v>1182</v>
      </c>
      <c r="B180" s="150">
        <v>43550</v>
      </c>
      <c r="C180" s="149" t="s">
        <v>565</v>
      </c>
      <c r="D180" s="149">
        <v>-7.36</v>
      </c>
      <c r="E180" s="149" t="s">
        <v>566</v>
      </c>
      <c r="F180" s="149" t="s">
        <v>1006</v>
      </c>
      <c r="G180" s="149"/>
      <c r="H180" s="149"/>
      <c r="I180" t="s">
        <v>1183</v>
      </c>
      <c r="J180" s="149"/>
    </row>
    <row r="181" spans="1:10" x14ac:dyDescent="0.2">
      <c r="A181" s="149" t="s">
        <v>1182</v>
      </c>
      <c r="B181" s="150">
        <v>43550</v>
      </c>
      <c r="C181" s="149" t="s">
        <v>565</v>
      </c>
      <c r="D181" s="149">
        <v>-3.99</v>
      </c>
      <c r="E181" s="149" t="s">
        <v>566</v>
      </c>
      <c r="F181" s="149" t="s">
        <v>1007</v>
      </c>
      <c r="G181" s="149"/>
      <c r="H181" s="149"/>
      <c r="I181" t="s">
        <v>1183</v>
      </c>
      <c r="J181" s="149"/>
    </row>
    <row r="182" spans="1:10" x14ac:dyDescent="0.2">
      <c r="A182" s="149" t="s">
        <v>1182</v>
      </c>
      <c r="B182" s="150">
        <v>43550</v>
      </c>
      <c r="C182" s="149" t="s">
        <v>565</v>
      </c>
      <c r="D182" s="149">
        <v>-1.99</v>
      </c>
      <c r="E182" s="149" t="s">
        <v>566</v>
      </c>
      <c r="F182" s="149" t="s">
        <v>1008</v>
      </c>
      <c r="G182" s="149"/>
      <c r="H182" s="149"/>
      <c r="I182" t="s">
        <v>1183</v>
      </c>
      <c r="J182" s="149"/>
    </row>
    <row r="183" spans="1:10" x14ac:dyDescent="0.2">
      <c r="A183" s="149" t="s">
        <v>1182</v>
      </c>
      <c r="B183" s="150">
        <v>43550</v>
      </c>
      <c r="C183" s="149" t="s">
        <v>565</v>
      </c>
      <c r="D183" s="149">
        <v>-1.05</v>
      </c>
      <c r="E183" s="149" t="s">
        <v>566</v>
      </c>
      <c r="F183" s="149" t="s">
        <v>1008</v>
      </c>
      <c r="G183" s="149"/>
      <c r="H183" s="149"/>
      <c r="I183" t="s">
        <v>1183</v>
      </c>
      <c r="J183" s="149"/>
    </row>
    <row r="184" spans="1:10" x14ac:dyDescent="0.2">
      <c r="A184" s="149" t="s">
        <v>1182</v>
      </c>
      <c r="B184" s="150">
        <v>43550</v>
      </c>
      <c r="C184" s="149" t="s">
        <v>565</v>
      </c>
      <c r="D184" s="149">
        <v>-60</v>
      </c>
      <c r="E184" s="149" t="s">
        <v>566</v>
      </c>
      <c r="F184" s="149" t="s">
        <v>1009</v>
      </c>
      <c r="G184" s="149"/>
      <c r="H184" s="149"/>
      <c r="I184" t="s">
        <v>1183</v>
      </c>
      <c r="J184" s="151" t="s">
        <v>1161</v>
      </c>
    </row>
    <row r="185" spans="1:10" x14ac:dyDescent="0.2">
      <c r="B185" s="83">
        <v>43550</v>
      </c>
      <c r="C185" t="s">
        <v>565</v>
      </c>
      <c r="D185">
        <v>-53.64</v>
      </c>
      <c r="E185" t="s">
        <v>566</v>
      </c>
      <c r="F185" t="s">
        <v>1010</v>
      </c>
      <c r="I185" t="s">
        <v>1183</v>
      </c>
      <c r="J185" s="47" t="s">
        <v>1161</v>
      </c>
    </row>
    <row r="186" spans="1:10" x14ac:dyDescent="0.2">
      <c r="B186" s="83">
        <v>43550</v>
      </c>
      <c r="C186" t="s">
        <v>565</v>
      </c>
      <c r="D186">
        <v>-7.99</v>
      </c>
      <c r="E186" t="s">
        <v>566</v>
      </c>
      <c r="F186" t="s">
        <v>1011</v>
      </c>
      <c r="I186" t="s">
        <v>1183</v>
      </c>
    </row>
    <row r="187" spans="1:10" x14ac:dyDescent="0.2">
      <c r="B187" s="83">
        <v>43551</v>
      </c>
      <c r="C187" t="s">
        <v>565</v>
      </c>
      <c r="D187">
        <v>637.6</v>
      </c>
      <c r="E187" t="s">
        <v>595</v>
      </c>
      <c r="F187" t="s">
        <v>1012</v>
      </c>
      <c r="H187" s="47"/>
      <c r="I187" t="s">
        <v>1183</v>
      </c>
    </row>
    <row r="188" spans="1:10" x14ac:dyDescent="0.2">
      <c r="B188" s="83">
        <v>43551</v>
      </c>
      <c r="C188" t="s">
        <v>565</v>
      </c>
      <c r="D188">
        <v>-9.1999999999999993</v>
      </c>
      <c r="E188" t="s">
        <v>566</v>
      </c>
      <c r="F188" t="s">
        <v>1013</v>
      </c>
      <c r="I188" t="s">
        <v>1183</v>
      </c>
    </row>
    <row r="189" spans="1:10" x14ac:dyDescent="0.2">
      <c r="B189" s="83">
        <v>43551</v>
      </c>
      <c r="C189" t="s">
        <v>565</v>
      </c>
      <c r="D189">
        <v>-3.99</v>
      </c>
      <c r="E189" t="s">
        <v>566</v>
      </c>
      <c r="F189" t="s">
        <v>1014</v>
      </c>
      <c r="I189" t="s">
        <v>1183</v>
      </c>
    </row>
    <row r="190" spans="1:10" x14ac:dyDescent="0.2">
      <c r="B190" s="83">
        <v>43551</v>
      </c>
      <c r="C190" t="s">
        <v>565</v>
      </c>
      <c r="D190">
        <v>-0.89</v>
      </c>
      <c r="E190" t="s">
        <v>566</v>
      </c>
      <c r="F190" t="s">
        <v>1015</v>
      </c>
      <c r="I190" t="s">
        <v>1183</v>
      </c>
    </row>
    <row r="191" spans="1:10" x14ac:dyDescent="0.2">
      <c r="B191" s="83">
        <v>43551</v>
      </c>
      <c r="C191" t="s">
        <v>565</v>
      </c>
      <c r="D191">
        <v>-0.89</v>
      </c>
      <c r="E191" t="s">
        <v>566</v>
      </c>
      <c r="F191" t="s">
        <v>1015</v>
      </c>
      <c r="I191" t="s">
        <v>1183</v>
      </c>
    </row>
    <row r="192" spans="1:10" x14ac:dyDescent="0.2">
      <c r="B192" s="83">
        <v>43551</v>
      </c>
      <c r="C192" t="s">
        <v>565</v>
      </c>
      <c r="D192">
        <v>-25.65</v>
      </c>
      <c r="E192" t="s">
        <v>575</v>
      </c>
      <c r="F192" t="s">
        <v>1016</v>
      </c>
      <c r="I192" t="s">
        <v>1183</v>
      </c>
    </row>
    <row r="193" spans="2:10" x14ac:dyDescent="0.2">
      <c r="B193" s="83">
        <v>43552</v>
      </c>
      <c r="C193" t="s">
        <v>565</v>
      </c>
      <c r="D193">
        <v>458</v>
      </c>
      <c r="E193" t="s">
        <v>595</v>
      </c>
      <c r="F193" t="s">
        <v>617</v>
      </c>
      <c r="I193" t="s">
        <v>1183</v>
      </c>
    </row>
    <row r="194" spans="2:10" x14ac:dyDescent="0.2">
      <c r="B194" s="83">
        <v>43552</v>
      </c>
      <c r="C194" t="s">
        <v>565</v>
      </c>
      <c r="D194">
        <v>371.2</v>
      </c>
      <c r="E194" t="s">
        <v>595</v>
      </c>
      <c r="F194" t="s">
        <v>596</v>
      </c>
      <c r="I194" t="s">
        <v>1183</v>
      </c>
    </row>
    <row r="195" spans="2:10" x14ac:dyDescent="0.2">
      <c r="B195" s="83">
        <v>43552</v>
      </c>
      <c r="C195" t="s">
        <v>565</v>
      </c>
      <c r="D195">
        <v>249.74</v>
      </c>
      <c r="E195" t="s">
        <v>595</v>
      </c>
      <c r="F195" t="s">
        <v>621</v>
      </c>
      <c r="I195" t="s">
        <v>1183</v>
      </c>
    </row>
    <row r="196" spans="2:10" x14ac:dyDescent="0.2">
      <c r="B196" s="83">
        <v>43552</v>
      </c>
      <c r="C196" t="s">
        <v>565</v>
      </c>
      <c r="D196" s="52">
        <v>-900</v>
      </c>
      <c r="E196" t="s">
        <v>593</v>
      </c>
      <c r="F196" t="s">
        <v>1017</v>
      </c>
      <c r="G196" t="s">
        <v>744</v>
      </c>
      <c r="H196" s="47" t="s">
        <v>1156</v>
      </c>
      <c r="I196" t="s">
        <v>1184</v>
      </c>
    </row>
    <row r="197" spans="2:10" x14ac:dyDescent="0.2">
      <c r="B197" s="83">
        <v>43552</v>
      </c>
      <c r="C197" t="s">
        <v>565</v>
      </c>
      <c r="D197" s="52">
        <v>-140</v>
      </c>
      <c r="E197" t="s">
        <v>593</v>
      </c>
      <c r="F197" t="s">
        <v>1018</v>
      </c>
      <c r="G197" t="s">
        <v>488</v>
      </c>
      <c r="H197" s="47" t="s">
        <v>1157</v>
      </c>
      <c r="I197" t="s">
        <v>1184</v>
      </c>
      <c r="J197" s="47"/>
    </row>
    <row r="198" spans="2:10" x14ac:dyDescent="0.2">
      <c r="B198" s="83">
        <v>43552</v>
      </c>
      <c r="C198" t="s">
        <v>565</v>
      </c>
      <c r="D198" s="52">
        <v>-105</v>
      </c>
      <c r="E198" t="s">
        <v>593</v>
      </c>
      <c r="F198" t="s">
        <v>1019</v>
      </c>
      <c r="G198" t="s">
        <v>494</v>
      </c>
      <c r="H198" s="47" t="s">
        <v>1159</v>
      </c>
      <c r="I198" t="s">
        <v>1184</v>
      </c>
      <c r="J198" s="47"/>
    </row>
    <row r="199" spans="2:10" x14ac:dyDescent="0.2">
      <c r="B199" s="83">
        <v>43552</v>
      </c>
      <c r="C199" t="s">
        <v>565</v>
      </c>
      <c r="D199">
        <v>-9.99</v>
      </c>
      <c r="E199" t="s">
        <v>566</v>
      </c>
      <c r="F199" t="s">
        <v>1020</v>
      </c>
      <c r="I199" t="s">
        <v>1183</v>
      </c>
      <c r="J199" s="47"/>
    </row>
    <row r="200" spans="2:10" x14ac:dyDescent="0.2">
      <c r="B200" s="83">
        <v>43552</v>
      </c>
      <c r="C200" t="s">
        <v>565</v>
      </c>
      <c r="D200">
        <v>-0.89</v>
      </c>
      <c r="E200" t="s">
        <v>566</v>
      </c>
      <c r="F200" t="s">
        <v>1021</v>
      </c>
      <c r="I200" t="s">
        <v>1183</v>
      </c>
      <c r="J200" s="47"/>
    </row>
    <row r="201" spans="2:10" x14ac:dyDescent="0.2">
      <c r="B201" s="83">
        <v>43553</v>
      </c>
      <c r="C201" t="s">
        <v>565</v>
      </c>
      <c r="D201" s="52">
        <v>-2406</v>
      </c>
      <c r="E201" t="s">
        <v>593</v>
      </c>
      <c r="F201" t="s">
        <v>1022</v>
      </c>
      <c r="G201" s="47" t="s">
        <v>560</v>
      </c>
      <c r="H201" s="47" t="s">
        <v>1158</v>
      </c>
      <c r="I201" t="s">
        <v>1184</v>
      </c>
    </row>
    <row r="202" spans="2:10" x14ac:dyDescent="0.2">
      <c r="B202" s="83">
        <v>43553</v>
      </c>
      <c r="C202" t="s">
        <v>565</v>
      </c>
      <c r="D202">
        <v>-14.5</v>
      </c>
      <c r="E202" t="s">
        <v>566</v>
      </c>
      <c r="F202" t="s">
        <v>1023</v>
      </c>
      <c r="I202" t="s">
        <v>1183</v>
      </c>
      <c r="J202" s="47" t="s">
        <v>1161</v>
      </c>
    </row>
    <row r="203" spans="2:10" x14ac:dyDescent="0.2">
      <c r="B203" s="83">
        <v>43553</v>
      </c>
      <c r="C203" t="s">
        <v>565</v>
      </c>
      <c r="D203">
        <v>-11.25</v>
      </c>
      <c r="E203" t="s">
        <v>566</v>
      </c>
      <c r="F203" t="s">
        <v>1024</v>
      </c>
      <c r="I203" t="s">
        <v>1183</v>
      </c>
      <c r="J203" s="47" t="s">
        <v>1161</v>
      </c>
    </row>
    <row r="204" spans="2:10" x14ac:dyDescent="0.2">
      <c r="B204" s="83">
        <v>43553</v>
      </c>
      <c r="C204" t="s">
        <v>565</v>
      </c>
      <c r="D204">
        <v>-3.99</v>
      </c>
      <c r="E204" t="s">
        <v>566</v>
      </c>
      <c r="F204" t="s">
        <v>1025</v>
      </c>
      <c r="I204" t="s">
        <v>1183</v>
      </c>
    </row>
    <row r="205" spans="2:10" x14ac:dyDescent="0.2">
      <c r="B205" s="83">
        <v>43553</v>
      </c>
      <c r="C205" t="s">
        <v>565</v>
      </c>
      <c r="D205">
        <v>-0.89</v>
      </c>
      <c r="E205" t="s">
        <v>566</v>
      </c>
      <c r="F205" t="s">
        <v>1026</v>
      </c>
      <c r="I205" t="s">
        <v>1183</v>
      </c>
    </row>
    <row r="206" spans="2:10" x14ac:dyDescent="0.2">
      <c r="B206" s="83">
        <v>43553</v>
      </c>
      <c r="C206" t="s">
        <v>565</v>
      </c>
      <c r="D206">
        <v>-1.99</v>
      </c>
      <c r="E206" t="s">
        <v>566</v>
      </c>
      <c r="F206" t="s">
        <v>1027</v>
      </c>
      <c r="I206" t="s">
        <v>1183</v>
      </c>
    </row>
    <row r="207" spans="2:10" x14ac:dyDescent="0.2">
      <c r="B207" s="83">
        <v>43553</v>
      </c>
      <c r="C207" t="s">
        <v>565</v>
      </c>
      <c r="D207">
        <v>-142.35</v>
      </c>
      <c r="E207" t="s">
        <v>575</v>
      </c>
      <c r="F207" t="s">
        <v>665</v>
      </c>
      <c r="I207" t="s">
        <v>1185</v>
      </c>
    </row>
    <row r="208" spans="2:10" x14ac:dyDescent="0.2">
      <c r="B208" s="148">
        <v>43553</v>
      </c>
      <c r="C208" t="s">
        <v>565</v>
      </c>
      <c r="D208">
        <v>-212.04</v>
      </c>
      <c r="E208" t="s">
        <v>575</v>
      </c>
      <c r="F208" t="s">
        <v>1028</v>
      </c>
      <c r="I208" t="s">
        <v>1185</v>
      </c>
    </row>
    <row r="209" spans="2:6" x14ac:dyDescent="0.2">
      <c r="B209" s="148">
        <v>43553</v>
      </c>
      <c r="C209" t="s">
        <v>565</v>
      </c>
      <c r="D209">
        <v>-215.85</v>
      </c>
      <c r="E209" t="s">
        <v>575</v>
      </c>
      <c r="F209" t="s">
        <v>1029</v>
      </c>
      <c r="I209" t="s">
        <v>1185</v>
      </c>
    </row>
    <row r="210" spans="2:6" x14ac:dyDescent="0.2">
      <c r="B210" s="148">
        <v>43553</v>
      </c>
      <c r="C210" t="s">
        <v>565</v>
      </c>
      <c r="D210">
        <v>-215.85</v>
      </c>
      <c r="E210" t="s">
        <v>575</v>
      </c>
      <c r="F210" t="s">
        <v>1030</v>
      </c>
      <c r="I210" t="s">
        <v>1185</v>
      </c>
    </row>
    <row r="211" spans="2:6" x14ac:dyDescent="0.2">
      <c r="B211" s="148">
        <v>43553</v>
      </c>
      <c r="C211" t="s">
        <v>565</v>
      </c>
      <c r="D211">
        <v>-215.85</v>
      </c>
      <c r="E211" t="s">
        <v>575</v>
      </c>
      <c r="F211" t="s">
        <v>1031</v>
      </c>
      <c r="I211" t="s">
        <v>1185</v>
      </c>
    </row>
  </sheetData>
  <autoFilter ref="A1:J211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73"/>
  <sheetViews>
    <sheetView workbookViewId="0" zoomScale="85" zoomScaleNormal="85">
      <selection activeCell="F1" sqref="F1"/>
    </sheetView>
  </sheetViews>
  <sheetFormatPr defaultRowHeight="12.75" x14ac:dyDescent="0.2"/>
  <cols>
    <col min="1" max="2" bestFit="true" customWidth="true" width="10.28515625" collapsed="false"/>
    <col min="3" max="3" bestFit="true" customWidth="true" width="17.28515625" collapsed="false"/>
    <col min="4" max="4" bestFit="true" customWidth="true" width="8.85546875" collapsed="false"/>
    <col min="5" max="5" customWidth="true" width="12.85546875" collapsed="false"/>
    <col min="6" max="6" bestFit="true" customWidth="true" width="50.140625" collapsed="false"/>
    <col min="7" max="7" bestFit="true" customWidth="true" width="8.0" collapsed="false"/>
    <col min="8" max="8" customWidth="true" width="25.140625" collapsed="false"/>
    <col min="9" max="9" bestFit="true" customWidth="true" width="8.7109375" collapsed="false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10" x14ac:dyDescent="0.2">
      <c r="A2" s="149" t="s">
        <v>1182</v>
      </c>
      <c r="B2" s="150">
        <v>43525</v>
      </c>
      <c r="C2" s="149" t="s">
        <v>623</v>
      </c>
      <c r="D2" s="149">
        <v>2500</v>
      </c>
      <c r="E2" s="149" t="s">
        <v>595</v>
      </c>
      <c r="F2" s="149" t="s">
        <v>1032</v>
      </c>
      <c r="G2" s="149"/>
      <c r="H2" s="149"/>
      <c r="I2" t="s">
        <v>1183</v>
      </c>
      <c r="J2" s="149"/>
    </row>
    <row r="3" spans="1:10" x14ac:dyDescent="0.2">
      <c r="A3" s="149" t="s">
        <v>1182</v>
      </c>
      <c r="B3" s="150">
        <v>43525</v>
      </c>
      <c r="C3" s="149" t="s">
        <v>623</v>
      </c>
      <c r="D3" s="149">
        <v>111.36</v>
      </c>
      <c r="E3" s="149" t="s">
        <v>595</v>
      </c>
      <c r="F3" s="149" t="s">
        <v>655</v>
      </c>
      <c r="G3" s="149"/>
      <c r="H3" s="149"/>
      <c r="I3" t="s">
        <v>1183</v>
      </c>
      <c r="J3" s="149"/>
    </row>
    <row r="4" spans="1:10" x14ac:dyDescent="0.2">
      <c r="A4" s="149" t="s">
        <v>1182</v>
      </c>
      <c r="B4" s="150">
        <v>43525</v>
      </c>
      <c r="C4" s="149" t="s">
        <v>623</v>
      </c>
      <c r="D4" s="149">
        <v>2609.16</v>
      </c>
      <c r="E4" s="149" t="s">
        <v>624</v>
      </c>
      <c r="F4" s="149" t="s">
        <v>625</v>
      </c>
      <c r="G4" s="149"/>
      <c r="H4" s="149"/>
      <c r="I4" t="s">
        <v>1183</v>
      </c>
      <c r="J4" s="149"/>
    </row>
    <row r="5" spans="1:10" x14ac:dyDescent="0.2">
      <c r="A5" s="149" t="s">
        <v>1182</v>
      </c>
      <c r="B5" s="150">
        <v>43525</v>
      </c>
      <c r="C5" s="149" t="s">
        <v>623</v>
      </c>
      <c r="D5" s="149">
        <v>-50</v>
      </c>
      <c r="E5" s="149" t="s">
        <v>567</v>
      </c>
      <c r="F5" s="149" t="s">
        <v>626</v>
      </c>
      <c r="G5" s="149"/>
      <c r="H5" s="149"/>
      <c r="I5" t="s">
        <v>1183</v>
      </c>
      <c r="J5" s="149"/>
    </row>
    <row r="6" spans="1:10" x14ac:dyDescent="0.2">
      <c r="A6" s="149" t="s">
        <v>1182</v>
      </c>
      <c r="B6" s="150">
        <v>43525</v>
      </c>
      <c r="C6" s="149" t="s">
        <v>623</v>
      </c>
      <c r="D6" s="149">
        <v>-50</v>
      </c>
      <c r="E6" s="149" t="s">
        <v>567</v>
      </c>
      <c r="F6" s="149" t="s">
        <v>571</v>
      </c>
      <c r="G6" s="149"/>
      <c r="H6" s="149"/>
      <c r="I6" t="s">
        <v>1183</v>
      </c>
      <c r="J6" s="149"/>
    </row>
    <row r="7" spans="1:10" x14ac:dyDescent="0.2">
      <c r="A7" s="149" t="s">
        <v>1182</v>
      </c>
      <c r="B7" s="150">
        <v>43525</v>
      </c>
      <c r="C7" s="149" t="s">
        <v>623</v>
      </c>
      <c r="D7" s="149">
        <v>-160</v>
      </c>
      <c r="E7" s="149" t="s">
        <v>567</v>
      </c>
      <c r="F7" s="149" t="s">
        <v>627</v>
      </c>
      <c r="G7" s="149"/>
      <c r="H7" s="149"/>
      <c r="I7" t="s">
        <v>1183</v>
      </c>
      <c r="J7" s="149"/>
    </row>
    <row r="8" spans="1:10" x14ac:dyDescent="0.2">
      <c r="A8" s="149" t="s">
        <v>1182</v>
      </c>
      <c r="B8" s="150">
        <v>43525</v>
      </c>
      <c r="C8" s="149" t="s">
        <v>623</v>
      </c>
      <c r="D8" s="149">
        <v>-157.5</v>
      </c>
      <c r="E8" s="149" t="s">
        <v>567</v>
      </c>
      <c r="F8" s="149" t="s">
        <v>628</v>
      </c>
      <c r="G8" s="149"/>
      <c r="H8" s="149"/>
      <c r="I8" t="s">
        <v>1183</v>
      </c>
      <c r="J8" s="149"/>
    </row>
    <row r="9" spans="1:10" x14ac:dyDescent="0.2">
      <c r="A9" s="149" t="s">
        <v>1182</v>
      </c>
      <c r="B9" s="150">
        <v>43525</v>
      </c>
      <c r="C9" s="149" t="s">
        <v>623</v>
      </c>
      <c r="D9" s="149">
        <v>-232.5</v>
      </c>
      <c r="E9" s="149" t="s">
        <v>567</v>
      </c>
      <c r="F9" s="149" t="s">
        <v>629</v>
      </c>
      <c r="G9" s="149"/>
      <c r="H9" s="149"/>
      <c r="I9" t="s">
        <v>1183</v>
      </c>
      <c r="J9" s="149"/>
    </row>
    <row r="10" spans="1:10" x14ac:dyDescent="0.2">
      <c r="A10" s="149" t="s">
        <v>1182</v>
      </c>
      <c r="B10" s="150">
        <v>43525</v>
      </c>
      <c r="C10" s="149" t="s">
        <v>623</v>
      </c>
      <c r="D10" s="149">
        <v>-386.17</v>
      </c>
      <c r="E10" s="149" t="s">
        <v>575</v>
      </c>
      <c r="F10" s="149" t="s">
        <v>634</v>
      </c>
      <c r="G10" s="149"/>
      <c r="H10" s="149"/>
      <c r="I10" t="s">
        <v>1185</v>
      </c>
      <c r="J10" s="149"/>
    </row>
    <row r="11" spans="1:10" x14ac:dyDescent="0.2">
      <c r="A11" s="149" t="s">
        <v>1182</v>
      </c>
      <c r="B11" s="150">
        <v>43525</v>
      </c>
      <c r="C11" s="149" t="s">
        <v>623</v>
      </c>
      <c r="D11" s="149">
        <v>-206.82</v>
      </c>
      <c r="E11" s="149" t="s">
        <v>575</v>
      </c>
      <c r="F11" s="149" t="s">
        <v>637</v>
      </c>
      <c r="G11" s="149"/>
      <c r="H11" s="149"/>
      <c r="I11" t="s">
        <v>1185</v>
      </c>
      <c r="J11" s="149"/>
    </row>
    <row r="12" spans="1:10" x14ac:dyDescent="0.2">
      <c r="A12" s="149" t="s">
        <v>1182</v>
      </c>
      <c r="B12" s="150">
        <v>43525</v>
      </c>
      <c r="C12" s="149" t="s">
        <v>623</v>
      </c>
      <c r="D12" s="149">
        <v>-375.8</v>
      </c>
      <c r="E12" s="149" t="s">
        <v>575</v>
      </c>
      <c r="F12" s="149" t="s">
        <v>635</v>
      </c>
      <c r="G12" s="149"/>
      <c r="H12" s="149"/>
      <c r="I12" t="s">
        <v>1185</v>
      </c>
      <c r="J12" s="149"/>
    </row>
    <row r="13" spans="1:10" x14ac:dyDescent="0.2">
      <c r="A13" s="149" t="s">
        <v>1182</v>
      </c>
      <c r="B13" s="150">
        <v>43525</v>
      </c>
      <c r="C13" s="149" t="s">
        <v>623</v>
      </c>
      <c r="D13" s="149">
        <v>-240.21</v>
      </c>
      <c r="E13" s="149" t="s">
        <v>575</v>
      </c>
      <c r="F13" s="149" t="s">
        <v>631</v>
      </c>
      <c r="G13" s="149"/>
      <c r="H13" s="149"/>
      <c r="I13" t="s">
        <v>1185</v>
      </c>
      <c r="J13" s="149"/>
    </row>
    <row r="14" spans="1:10" x14ac:dyDescent="0.2">
      <c r="A14" s="149" t="s">
        <v>1182</v>
      </c>
      <c r="B14" s="150">
        <v>43525</v>
      </c>
      <c r="C14" s="149" t="s">
        <v>623</v>
      </c>
      <c r="D14" s="149">
        <v>-242.16</v>
      </c>
      <c r="E14" s="149" t="s">
        <v>575</v>
      </c>
      <c r="F14" s="149" t="s">
        <v>632</v>
      </c>
      <c r="G14" s="149"/>
      <c r="H14" s="149"/>
      <c r="I14" t="s">
        <v>1185</v>
      </c>
      <c r="J14" s="149"/>
    </row>
    <row r="15" spans="1:10" x14ac:dyDescent="0.2">
      <c r="A15" s="149" t="s">
        <v>1182</v>
      </c>
      <c r="B15" s="150">
        <v>43525</v>
      </c>
      <c r="C15" s="149" t="s">
        <v>623</v>
      </c>
      <c r="D15" s="149">
        <v>-551.52</v>
      </c>
      <c r="E15" s="149" t="s">
        <v>575</v>
      </c>
      <c r="F15" s="149" t="s">
        <v>633</v>
      </c>
      <c r="G15" s="149"/>
      <c r="H15" s="149"/>
      <c r="I15" t="s">
        <v>1185</v>
      </c>
      <c r="J15" s="149"/>
    </row>
    <row r="16" spans="1:10" x14ac:dyDescent="0.2">
      <c r="A16" s="149" t="s">
        <v>1182</v>
      </c>
      <c r="B16" s="150">
        <v>43525</v>
      </c>
      <c r="C16" s="149" t="s">
        <v>623</v>
      </c>
      <c r="D16" s="149">
        <v>-1134.27</v>
      </c>
      <c r="E16" s="149" t="s">
        <v>575</v>
      </c>
      <c r="F16" s="149" t="s">
        <v>754</v>
      </c>
      <c r="G16" s="149"/>
      <c r="H16" s="149"/>
      <c r="I16" t="s">
        <v>1183</v>
      </c>
      <c r="J16" s="149"/>
    </row>
    <row r="17" spans="1:10" x14ac:dyDescent="0.2">
      <c r="A17" s="149" t="s">
        <v>1182</v>
      </c>
      <c r="B17" s="150">
        <v>43525</v>
      </c>
      <c r="C17" s="149" t="s">
        <v>623</v>
      </c>
      <c r="D17" s="149">
        <v>-1797.56</v>
      </c>
      <c r="E17" s="149" t="s">
        <v>575</v>
      </c>
      <c r="F17" s="149" t="s">
        <v>753</v>
      </c>
      <c r="G17" s="149"/>
      <c r="H17" s="149"/>
      <c r="I17" t="s">
        <v>1183</v>
      </c>
      <c r="J17" s="149"/>
    </row>
    <row r="18" spans="1:10" x14ac:dyDescent="0.2">
      <c r="A18" s="149" t="s">
        <v>1182</v>
      </c>
      <c r="B18" s="150">
        <v>43525</v>
      </c>
      <c r="C18" s="149" t="s">
        <v>623</v>
      </c>
      <c r="D18" s="149">
        <v>-1563.22</v>
      </c>
      <c r="E18" s="149" t="s">
        <v>575</v>
      </c>
      <c r="F18" s="149" t="s">
        <v>755</v>
      </c>
      <c r="G18" s="149"/>
      <c r="H18" s="149"/>
      <c r="I18" t="s">
        <v>1183</v>
      </c>
      <c r="J18" s="149"/>
    </row>
    <row r="19" spans="1:10" x14ac:dyDescent="0.2">
      <c r="A19" s="149" t="s">
        <v>1182</v>
      </c>
      <c r="B19" s="150">
        <v>43528</v>
      </c>
      <c r="C19" s="149" t="s">
        <v>623</v>
      </c>
      <c r="D19" s="149">
        <v>226</v>
      </c>
      <c r="E19" s="149" t="s">
        <v>595</v>
      </c>
      <c r="F19" s="149" t="s">
        <v>638</v>
      </c>
      <c r="G19" s="151"/>
      <c r="H19" s="151"/>
      <c r="I19" t="s">
        <v>1183</v>
      </c>
      <c r="J19" s="149"/>
    </row>
    <row r="20" spans="1:10" x14ac:dyDescent="0.2">
      <c r="A20" s="149" t="s">
        <v>1182</v>
      </c>
      <c r="B20" s="150">
        <v>43528</v>
      </c>
      <c r="C20" s="149" t="s">
        <v>623</v>
      </c>
      <c r="D20" s="149">
        <v>475.2</v>
      </c>
      <c r="E20" s="149" t="s">
        <v>595</v>
      </c>
      <c r="F20" s="149" t="s">
        <v>1033</v>
      </c>
      <c r="G20" s="149"/>
      <c r="H20" s="149"/>
      <c r="I20" t="s">
        <v>1183</v>
      </c>
      <c r="J20" s="149"/>
    </row>
    <row r="21" spans="1:10" x14ac:dyDescent="0.2">
      <c r="A21" s="149" t="s">
        <v>1182</v>
      </c>
      <c r="B21" s="150">
        <v>43528</v>
      </c>
      <c r="C21" s="149" t="s">
        <v>623</v>
      </c>
      <c r="D21" s="149">
        <v>-75</v>
      </c>
      <c r="E21" s="149" t="s">
        <v>567</v>
      </c>
      <c r="F21" s="149" t="s">
        <v>640</v>
      </c>
      <c r="G21" s="149"/>
      <c r="H21" s="149"/>
      <c r="I21" t="s">
        <v>1183</v>
      </c>
      <c r="J21" s="149"/>
    </row>
    <row r="22" spans="1:10" x14ac:dyDescent="0.2">
      <c r="A22" s="149" t="s">
        <v>1182</v>
      </c>
      <c r="B22" s="150">
        <v>43528</v>
      </c>
      <c r="C22" s="149" t="s">
        <v>623</v>
      </c>
      <c r="D22" s="149">
        <v>-254.22</v>
      </c>
      <c r="E22" s="149" t="s">
        <v>575</v>
      </c>
      <c r="F22" s="149" t="s">
        <v>636</v>
      </c>
      <c r="G22" s="149"/>
      <c r="H22" s="149"/>
      <c r="I22" t="s">
        <v>1185</v>
      </c>
      <c r="J22" s="149"/>
    </row>
    <row r="23" spans="1:10" x14ac:dyDescent="0.2">
      <c r="A23" s="149" t="s">
        <v>1182</v>
      </c>
      <c r="B23" s="150">
        <v>43528</v>
      </c>
      <c r="C23" s="149" t="s">
        <v>623</v>
      </c>
      <c r="D23" s="149">
        <v>-75</v>
      </c>
      <c r="E23" s="149" t="s">
        <v>575</v>
      </c>
      <c r="F23" s="149" t="s">
        <v>641</v>
      </c>
      <c r="G23" s="149"/>
      <c r="H23" s="149"/>
      <c r="I23" t="s">
        <v>1183</v>
      </c>
      <c r="J23" s="149"/>
    </row>
    <row r="24" spans="1:10" x14ac:dyDescent="0.2">
      <c r="A24" s="149" t="s">
        <v>1182</v>
      </c>
      <c r="B24" s="150">
        <v>43528</v>
      </c>
      <c r="C24" s="149" t="s">
        <v>623</v>
      </c>
      <c r="D24" s="149">
        <v>-37.950000000000003</v>
      </c>
      <c r="E24" s="149" t="s">
        <v>575</v>
      </c>
      <c r="F24" s="149" t="s">
        <v>630</v>
      </c>
      <c r="G24" s="149"/>
      <c r="H24" s="149"/>
      <c r="I24" t="s">
        <v>1183</v>
      </c>
      <c r="J24" s="149"/>
    </row>
    <row r="25" spans="1:10" x14ac:dyDescent="0.2">
      <c r="A25" s="149" t="s">
        <v>1182</v>
      </c>
      <c r="B25" s="150">
        <v>43528</v>
      </c>
      <c r="C25" s="149" t="s">
        <v>623</v>
      </c>
      <c r="D25" s="149">
        <v>-32.58</v>
      </c>
      <c r="E25" s="149" t="s">
        <v>575</v>
      </c>
      <c r="F25" s="149" t="s">
        <v>1034</v>
      </c>
      <c r="G25" s="149"/>
      <c r="H25" s="149"/>
      <c r="I25" t="s">
        <v>1183</v>
      </c>
      <c r="J25" s="149"/>
    </row>
    <row r="26" spans="1:10" x14ac:dyDescent="0.2">
      <c r="A26" s="149" t="s">
        <v>1182</v>
      </c>
      <c r="B26" s="150">
        <v>43529</v>
      </c>
      <c r="C26" s="149" t="s">
        <v>623</v>
      </c>
      <c r="D26" s="149">
        <v>662.16</v>
      </c>
      <c r="E26" s="149" t="s">
        <v>595</v>
      </c>
      <c r="F26" s="149" t="s">
        <v>639</v>
      </c>
      <c r="G26" s="151"/>
      <c r="H26" s="151"/>
      <c r="I26" t="s">
        <v>1183</v>
      </c>
      <c r="J26" s="149"/>
    </row>
    <row r="27" spans="1:10" x14ac:dyDescent="0.2">
      <c r="A27" s="149" t="s">
        <v>1182</v>
      </c>
      <c r="B27" s="150">
        <v>43530</v>
      </c>
      <c r="C27" s="149" t="s">
        <v>623</v>
      </c>
      <c r="D27" s="149">
        <v>504.4</v>
      </c>
      <c r="E27" s="149" t="s">
        <v>595</v>
      </c>
      <c r="F27" s="149" t="s">
        <v>679</v>
      </c>
      <c r="G27" s="149"/>
      <c r="H27" s="151"/>
      <c r="I27" t="s">
        <v>1183</v>
      </c>
      <c r="J27" s="149"/>
    </row>
    <row r="28" spans="1:10" x14ac:dyDescent="0.2">
      <c r="A28" s="149" t="s">
        <v>1182</v>
      </c>
      <c r="B28" s="150">
        <v>43530</v>
      </c>
      <c r="C28" s="149" t="s">
        <v>623</v>
      </c>
      <c r="D28" s="149">
        <v>232</v>
      </c>
      <c r="E28" s="149" t="s">
        <v>595</v>
      </c>
      <c r="F28" s="149" t="s">
        <v>638</v>
      </c>
      <c r="G28" s="149"/>
      <c r="H28" s="149"/>
      <c r="I28" t="s">
        <v>1183</v>
      </c>
      <c r="J28" s="149"/>
    </row>
    <row r="29" spans="1:10" x14ac:dyDescent="0.2">
      <c r="A29" s="149" t="s">
        <v>1182</v>
      </c>
      <c r="B29" s="150">
        <v>43531</v>
      </c>
      <c r="C29" s="149" t="s">
        <v>623</v>
      </c>
      <c r="D29" s="149">
        <v>418</v>
      </c>
      <c r="E29" s="149" t="s">
        <v>595</v>
      </c>
      <c r="F29" s="149" t="s">
        <v>1035</v>
      </c>
      <c r="G29" s="149"/>
      <c r="H29" s="151"/>
      <c r="I29" t="s">
        <v>1183</v>
      </c>
      <c r="J29" s="149"/>
    </row>
    <row r="30" spans="1:10" x14ac:dyDescent="0.2">
      <c r="A30" s="149" t="s">
        <v>1182</v>
      </c>
      <c r="B30" s="150">
        <v>43532</v>
      </c>
      <c r="C30" s="149" t="s">
        <v>623</v>
      </c>
      <c r="D30" s="149">
        <v>-240.7</v>
      </c>
      <c r="E30" s="149" t="s">
        <v>575</v>
      </c>
      <c r="F30" s="149" t="s">
        <v>1036</v>
      </c>
      <c r="G30" s="149"/>
      <c r="H30" s="151"/>
      <c r="I30" t="s">
        <v>1185</v>
      </c>
      <c r="J30" s="149"/>
    </row>
    <row r="31" spans="1:10" x14ac:dyDescent="0.2">
      <c r="A31" s="149" t="s">
        <v>1182</v>
      </c>
      <c r="B31" s="150">
        <v>43535</v>
      </c>
      <c r="C31" s="149" t="s">
        <v>623</v>
      </c>
      <c r="D31" s="149">
        <v>462.64</v>
      </c>
      <c r="E31" s="149" t="s">
        <v>595</v>
      </c>
      <c r="F31" s="149" t="s">
        <v>680</v>
      </c>
      <c r="G31" s="149"/>
      <c r="H31" s="151"/>
      <c r="I31" t="s">
        <v>1183</v>
      </c>
      <c r="J31" s="149"/>
    </row>
    <row r="32" spans="1:10" x14ac:dyDescent="0.2">
      <c r="A32" s="149" t="s">
        <v>1182</v>
      </c>
      <c r="B32" s="150">
        <v>43536</v>
      </c>
      <c r="C32" s="149" t="s">
        <v>623</v>
      </c>
      <c r="D32" s="149">
        <v>-37.68</v>
      </c>
      <c r="E32" s="149" t="s">
        <v>575</v>
      </c>
      <c r="F32" s="149" t="s">
        <v>642</v>
      </c>
      <c r="G32" s="149"/>
      <c r="H32" s="149"/>
      <c r="I32" t="s">
        <v>1183</v>
      </c>
      <c r="J32" s="149"/>
    </row>
    <row r="33" spans="1:10" x14ac:dyDescent="0.2">
      <c r="A33" s="149" t="s">
        <v>1182</v>
      </c>
      <c r="B33" s="150">
        <v>43537</v>
      </c>
      <c r="C33" s="149" t="s">
        <v>623</v>
      </c>
      <c r="D33" s="149">
        <v>422.3</v>
      </c>
      <c r="E33" s="149" t="s">
        <v>595</v>
      </c>
      <c r="F33" s="149" t="s">
        <v>656</v>
      </c>
      <c r="G33" s="149"/>
      <c r="H33" s="151"/>
      <c r="I33" t="s">
        <v>1183</v>
      </c>
      <c r="J33" s="149"/>
    </row>
    <row r="34" spans="1:10" x14ac:dyDescent="0.2">
      <c r="A34" s="149" t="s">
        <v>1182</v>
      </c>
      <c r="B34" s="150">
        <v>43537</v>
      </c>
      <c r="C34" s="149" t="s">
        <v>623</v>
      </c>
      <c r="D34" s="149">
        <v>422.29</v>
      </c>
      <c r="E34" s="149" t="s">
        <v>595</v>
      </c>
      <c r="F34" s="149" t="s">
        <v>657</v>
      </c>
      <c r="G34" s="149"/>
      <c r="H34" s="149"/>
      <c r="I34" t="s">
        <v>1183</v>
      </c>
      <c r="J34" s="149"/>
    </row>
    <row r="35" spans="1:10" x14ac:dyDescent="0.2">
      <c r="A35" s="149" t="s">
        <v>1182</v>
      </c>
      <c r="B35" s="150">
        <v>43537</v>
      </c>
      <c r="C35" s="149" t="s">
        <v>623</v>
      </c>
      <c r="D35" s="149">
        <v>397.13</v>
      </c>
      <c r="E35" s="149" t="s">
        <v>595</v>
      </c>
      <c r="F35" s="149" t="s">
        <v>655</v>
      </c>
      <c r="G35" s="149"/>
      <c r="H35" s="149"/>
      <c r="I35" t="s">
        <v>1183</v>
      </c>
      <c r="J35" s="149"/>
    </row>
    <row r="36" spans="1:10" x14ac:dyDescent="0.2">
      <c r="A36" s="149" t="s">
        <v>1182</v>
      </c>
      <c r="B36" s="150">
        <v>43537</v>
      </c>
      <c r="C36" s="149" t="s">
        <v>623</v>
      </c>
      <c r="D36" s="149">
        <v>168.24</v>
      </c>
      <c r="E36" s="149" t="s">
        <v>595</v>
      </c>
      <c r="F36" s="149" t="s">
        <v>658</v>
      </c>
      <c r="G36" s="149"/>
      <c r="H36" s="149"/>
      <c r="I36" t="s">
        <v>1183</v>
      </c>
      <c r="J36" s="149"/>
    </row>
    <row r="37" spans="1:10" x14ac:dyDescent="0.2">
      <c r="A37" s="149" t="s">
        <v>1182</v>
      </c>
      <c r="B37" s="150">
        <v>43537</v>
      </c>
      <c r="C37" s="149" t="s">
        <v>623</v>
      </c>
      <c r="D37" s="149">
        <v>102.24</v>
      </c>
      <c r="E37" s="149" t="s">
        <v>595</v>
      </c>
      <c r="F37" s="149" t="s">
        <v>653</v>
      </c>
      <c r="G37" s="149"/>
      <c r="H37" s="151"/>
      <c r="I37" t="s">
        <v>1183</v>
      </c>
      <c r="J37" s="149"/>
    </row>
    <row r="38" spans="1:10" x14ac:dyDescent="0.2">
      <c r="A38" s="149" t="s">
        <v>1182</v>
      </c>
      <c r="B38" s="150">
        <v>43537</v>
      </c>
      <c r="C38" s="149" t="s">
        <v>623</v>
      </c>
      <c r="D38" s="149">
        <v>27.59</v>
      </c>
      <c r="E38" s="149" t="s">
        <v>595</v>
      </c>
      <c r="F38" s="149" t="s">
        <v>650</v>
      </c>
      <c r="G38" s="149"/>
      <c r="H38" s="149"/>
      <c r="I38" t="s">
        <v>1183</v>
      </c>
      <c r="J38" s="149"/>
    </row>
    <row r="39" spans="1:10" x14ac:dyDescent="0.2">
      <c r="A39" s="149" t="s">
        <v>1182</v>
      </c>
      <c r="B39" s="150">
        <v>43538</v>
      </c>
      <c r="C39" s="149" t="s">
        <v>623</v>
      </c>
      <c r="D39" s="149">
        <v>-58.99</v>
      </c>
      <c r="E39" s="149" t="s">
        <v>575</v>
      </c>
      <c r="F39" s="149" t="s">
        <v>1037</v>
      </c>
      <c r="G39" s="149"/>
      <c r="H39" s="149"/>
      <c r="I39" t="s">
        <v>1183</v>
      </c>
      <c r="J39" s="149"/>
    </row>
    <row r="40" spans="1:10" x14ac:dyDescent="0.2">
      <c r="A40" s="149" t="s">
        <v>1182</v>
      </c>
      <c r="B40" s="150">
        <v>43539</v>
      </c>
      <c r="C40" s="149" t="s">
        <v>623</v>
      </c>
      <c r="D40" s="149">
        <v>-203.62</v>
      </c>
      <c r="E40" s="149" t="s">
        <v>575</v>
      </c>
      <c r="F40" s="149" t="s">
        <v>643</v>
      </c>
      <c r="G40" s="149"/>
      <c r="H40" s="149"/>
      <c r="I40" t="s">
        <v>1185</v>
      </c>
      <c r="J40" s="149"/>
    </row>
    <row r="41" spans="1:10" x14ac:dyDescent="0.2">
      <c r="A41" s="149" t="s">
        <v>1182</v>
      </c>
      <c r="B41" s="150">
        <v>43539</v>
      </c>
      <c r="C41" s="149" t="s">
        <v>623</v>
      </c>
      <c r="D41" s="149">
        <v>-206.77</v>
      </c>
      <c r="E41" s="149" t="s">
        <v>575</v>
      </c>
      <c r="F41" s="149" t="s">
        <v>668</v>
      </c>
      <c r="G41" s="149"/>
      <c r="H41" s="149"/>
      <c r="I41" t="s">
        <v>1185</v>
      </c>
      <c r="J41" s="149"/>
    </row>
    <row r="42" spans="1:10" x14ac:dyDescent="0.2">
      <c r="A42" s="149" t="s">
        <v>1182</v>
      </c>
      <c r="B42" s="150">
        <v>43539</v>
      </c>
      <c r="C42" s="149" t="s">
        <v>623</v>
      </c>
      <c r="D42" s="149">
        <v>-213.98</v>
      </c>
      <c r="E42" s="149" t="s">
        <v>575</v>
      </c>
      <c r="F42" s="149" t="s">
        <v>644</v>
      </c>
      <c r="G42" s="149"/>
      <c r="H42" s="149"/>
      <c r="I42" t="s">
        <v>1185</v>
      </c>
      <c r="J42" s="149"/>
    </row>
    <row r="43" spans="1:10" x14ac:dyDescent="0.2">
      <c r="A43" s="149" t="s">
        <v>1182</v>
      </c>
      <c r="B43" s="150">
        <v>43539</v>
      </c>
      <c r="C43" s="149" t="s">
        <v>623</v>
      </c>
      <c r="D43" s="149">
        <v>-213.98</v>
      </c>
      <c r="E43" s="149" t="s">
        <v>575</v>
      </c>
      <c r="F43" s="149" t="s">
        <v>645</v>
      </c>
      <c r="G43" s="149"/>
      <c r="H43" s="149"/>
      <c r="I43" t="s">
        <v>1185</v>
      </c>
      <c r="J43" s="149"/>
    </row>
    <row r="44" spans="1:10" x14ac:dyDescent="0.2">
      <c r="A44" s="149" t="s">
        <v>1182</v>
      </c>
      <c r="B44" s="150">
        <v>43539</v>
      </c>
      <c r="C44" s="149" t="s">
        <v>623</v>
      </c>
      <c r="D44" s="149">
        <v>-206.82</v>
      </c>
      <c r="E44" s="149" t="s">
        <v>575</v>
      </c>
      <c r="F44" s="149" t="s">
        <v>646</v>
      </c>
      <c r="G44" s="149"/>
      <c r="H44" s="149"/>
      <c r="I44" t="s">
        <v>1185</v>
      </c>
      <c r="J44" s="149"/>
    </row>
    <row r="45" spans="1:10" x14ac:dyDescent="0.2">
      <c r="A45" s="149" t="s">
        <v>1182</v>
      </c>
      <c r="B45" s="150">
        <v>43539</v>
      </c>
      <c r="C45" s="149" t="s">
        <v>623</v>
      </c>
      <c r="D45" s="149">
        <v>-206.77</v>
      </c>
      <c r="E45" s="149" t="s">
        <v>575</v>
      </c>
      <c r="F45" s="149" t="s">
        <v>647</v>
      </c>
      <c r="G45" s="149"/>
      <c r="H45" s="149"/>
      <c r="I45" t="s">
        <v>1185</v>
      </c>
      <c r="J45" s="149"/>
    </row>
    <row r="46" spans="1:10" x14ac:dyDescent="0.2">
      <c r="A46" s="149" t="s">
        <v>1182</v>
      </c>
      <c r="B46" s="150">
        <v>43539</v>
      </c>
      <c r="C46" s="149" t="s">
        <v>623</v>
      </c>
      <c r="D46" s="149">
        <v>-206.85</v>
      </c>
      <c r="E46" s="149" t="s">
        <v>575</v>
      </c>
      <c r="F46" s="149" t="s">
        <v>648</v>
      </c>
      <c r="G46" s="149"/>
      <c r="H46" s="149"/>
      <c r="I46" t="s">
        <v>1185</v>
      </c>
      <c r="J46" s="149"/>
    </row>
    <row r="47" spans="1:10" x14ac:dyDescent="0.2">
      <c r="A47" s="149" t="s">
        <v>1182</v>
      </c>
      <c r="B47" s="150">
        <v>43539</v>
      </c>
      <c r="C47" s="149" t="s">
        <v>623</v>
      </c>
      <c r="D47" s="149">
        <v>-206.81</v>
      </c>
      <c r="E47" s="149" t="s">
        <v>575</v>
      </c>
      <c r="F47" s="149" t="s">
        <v>649</v>
      </c>
      <c r="G47" s="149"/>
      <c r="H47" s="149"/>
      <c r="I47" t="s">
        <v>1185</v>
      </c>
      <c r="J47" s="149"/>
    </row>
    <row r="48" spans="1:10" x14ac:dyDescent="0.2">
      <c r="A48" s="149" t="s">
        <v>1182</v>
      </c>
      <c r="B48" s="150">
        <v>43542</v>
      </c>
      <c r="C48" s="149" t="s">
        <v>623</v>
      </c>
      <c r="D48" s="149">
        <v>29.44</v>
      </c>
      <c r="E48" s="149" t="s">
        <v>595</v>
      </c>
      <c r="F48" s="149" t="s">
        <v>655</v>
      </c>
      <c r="G48" s="149"/>
      <c r="H48" s="149"/>
      <c r="I48" t="s">
        <v>1183</v>
      </c>
      <c r="J48" s="149"/>
    </row>
    <row r="49" spans="1:10" x14ac:dyDescent="0.2">
      <c r="A49" s="149" t="s">
        <v>1182</v>
      </c>
      <c r="B49" s="150">
        <v>43543</v>
      </c>
      <c r="C49" s="149" t="s">
        <v>623</v>
      </c>
      <c r="D49" s="149">
        <v>-200</v>
      </c>
      <c r="E49" s="149" t="s">
        <v>593</v>
      </c>
      <c r="F49" s="149" t="s">
        <v>651</v>
      </c>
      <c r="G49" s="149"/>
      <c r="H49" s="149"/>
      <c r="I49" t="s">
        <v>1183</v>
      </c>
      <c r="J49" s="149"/>
    </row>
    <row r="50" spans="1:10" x14ac:dyDescent="0.2">
      <c r="A50" s="149" t="s">
        <v>1182</v>
      </c>
      <c r="B50" s="150">
        <v>43544</v>
      </c>
      <c r="C50" s="149" t="s">
        <v>623</v>
      </c>
      <c r="D50" s="149">
        <v>550.79999999999995</v>
      </c>
      <c r="E50" s="149" t="s">
        <v>595</v>
      </c>
      <c r="F50" s="149" t="s">
        <v>1038</v>
      </c>
      <c r="G50" s="149"/>
      <c r="H50" s="149"/>
      <c r="I50" t="s">
        <v>1183</v>
      </c>
      <c r="J50" s="149"/>
    </row>
    <row r="51" spans="1:10" x14ac:dyDescent="0.2">
      <c r="A51" s="149" t="s">
        <v>1182</v>
      </c>
      <c r="B51" s="150">
        <v>43544</v>
      </c>
      <c r="C51" s="149" t="s">
        <v>623</v>
      </c>
      <c r="D51" s="149">
        <v>398.97</v>
      </c>
      <c r="E51" s="149" t="s">
        <v>595</v>
      </c>
      <c r="F51" s="149" t="s">
        <v>650</v>
      </c>
      <c r="G51" s="149"/>
      <c r="H51" s="149"/>
      <c r="I51" t="s">
        <v>1183</v>
      </c>
      <c r="J51" s="149"/>
    </row>
    <row r="52" spans="1:10" x14ac:dyDescent="0.2">
      <c r="A52" s="149" t="s">
        <v>1182</v>
      </c>
      <c r="B52" s="150">
        <v>43544</v>
      </c>
      <c r="C52" s="149" t="s">
        <v>623</v>
      </c>
      <c r="D52" s="149">
        <v>-31.88</v>
      </c>
      <c r="E52" s="149" t="s">
        <v>575</v>
      </c>
      <c r="F52" s="149" t="s">
        <v>652</v>
      </c>
      <c r="G52" s="149"/>
      <c r="H52" s="149"/>
      <c r="I52" t="s">
        <v>1183</v>
      </c>
      <c r="J52" s="149"/>
    </row>
    <row r="53" spans="1:10" x14ac:dyDescent="0.2">
      <c r="A53" s="149" t="s">
        <v>1182</v>
      </c>
      <c r="B53" s="150">
        <v>43545</v>
      </c>
      <c r="C53" s="149" t="s">
        <v>623</v>
      </c>
      <c r="D53" s="149">
        <v>324.32</v>
      </c>
      <c r="E53" s="149" t="s">
        <v>595</v>
      </c>
      <c r="F53" s="149" t="s">
        <v>653</v>
      </c>
      <c r="G53" s="149"/>
      <c r="H53" s="149"/>
      <c r="I53" t="s">
        <v>1183</v>
      </c>
      <c r="J53" s="149"/>
    </row>
    <row r="54" spans="1:10" x14ac:dyDescent="0.2">
      <c r="A54" s="149" t="s">
        <v>1182</v>
      </c>
      <c r="B54" s="150">
        <v>43546</v>
      </c>
      <c r="C54" s="149" t="s">
        <v>623</v>
      </c>
      <c r="D54" s="149">
        <v>-300</v>
      </c>
      <c r="E54" s="149" t="s">
        <v>593</v>
      </c>
      <c r="F54" s="149" t="s">
        <v>651</v>
      </c>
      <c r="G54" s="149"/>
      <c r="H54" s="149"/>
      <c r="I54" t="s">
        <v>1183</v>
      </c>
      <c r="J54" s="149"/>
    </row>
    <row r="55" spans="1:10" x14ac:dyDescent="0.2">
      <c r="A55" s="149" t="s">
        <v>1182</v>
      </c>
      <c r="B55" s="150">
        <v>43546</v>
      </c>
      <c r="C55" s="149" t="s">
        <v>623</v>
      </c>
      <c r="D55" s="149">
        <v>-84</v>
      </c>
      <c r="E55" s="149" t="s">
        <v>594</v>
      </c>
      <c r="F55" s="149" t="s">
        <v>1039</v>
      </c>
      <c r="G55" s="149"/>
      <c r="H55" s="149"/>
      <c r="I55" t="s">
        <v>1183</v>
      </c>
      <c r="J55" s="149"/>
    </row>
    <row r="56" spans="1:10" x14ac:dyDescent="0.2">
      <c r="A56" s="149" t="s">
        <v>1182</v>
      </c>
      <c r="B56" s="150">
        <v>43546</v>
      </c>
      <c r="C56" s="149" t="s">
        <v>623</v>
      </c>
      <c r="D56" s="149">
        <v>-5</v>
      </c>
      <c r="E56" s="149" t="s">
        <v>575</v>
      </c>
      <c r="F56" s="149" t="s">
        <v>654</v>
      </c>
      <c r="G56" s="149"/>
      <c r="H56" s="149"/>
      <c r="I56" t="s">
        <v>1183</v>
      </c>
      <c r="J56" s="149"/>
    </row>
    <row r="57" spans="1:10" x14ac:dyDescent="0.2">
      <c r="A57" s="149" t="s">
        <v>1182</v>
      </c>
      <c r="B57" s="150">
        <v>43549</v>
      </c>
      <c r="C57" s="149" t="s">
        <v>623</v>
      </c>
      <c r="D57" s="52">
        <v>-40</v>
      </c>
      <c r="E57" s="149" t="s">
        <v>593</v>
      </c>
      <c r="F57" s="149" t="s">
        <v>1040</v>
      </c>
      <c r="G57" s="149" t="s">
        <v>492</v>
      </c>
      <c r="H57" s="153" t="s">
        <v>1173</v>
      </c>
      <c r="I57" t="s">
        <v>1184</v>
      </c>
      <c r="J57" s="149"/>
    </row>
    <row r="58" spans="1:10" x14ac:dyDescent="0.2">
      <c r="A58" s="149" t="s">
        <v>1182</v>
      </c>
      <c r="B58" s="150">
        <v>43550</v>
      </c>
      <c r="C58" s="149" t="s">
        <v>623</v>
      </c>
      <c r="D58" s="149">
        <v>-220</v>
      </c>
      <c r="E58" s="149" t="s">
        <v>593</v>
      </c>
      <c r="F58" s="149" t="s">
        <v>651</v>
      </c>
      <c r="G58" s="149"/>
      <c r="H58" s="149"/>
      <c r="I58" t="s">
        <v>1183</v>
      </c>
      <c r="J58" s="149"/>
    </row>
    <row r="59" spans="1:10" x14ac:dyDescent="0.2">
      <c r="A59" s="149" t="s">
        <v>1182</v>
      </c>
      <c r="B59" s="150">
        <v>43550</v>
      </c>
      <c r="C59" s="149" t="s">
        <v>623</v>
      </c>
      <c r="D59" s="149">
        <v>-19.75</v>
      </c>
      <c r="E59" s="149" t="s">
        <v>575</v>
      </c>
      <c r="F59" s="149" t="s">
        <v>1041</v>
      </c>
      <c r="G59" s="149"/>
      <c r="H59" s="149"/>
      <c r="I59" t="s">
        <v>1183</v>
      </c>
      <c r="J59" s="149"/>
    </row>
    <row r="60" spans="1:10" x14ac:dyDescent="0.2">
      <c r="A60" s="149" t="s">
        <v>1182</v>
      </c>
      <c r="B60" s="150">
        <v>43551</v>
      </c>
      <c r="C60" s="149" t="s">
        <v>623</v>
      </c>
      <c r="D60" s="149">
        <v>245.52</v>
      </c>
      <c r="E60" s="149" t="s">
        <v>595</v>
      </c>
      <c r="F60" s="149" t="s">
        <v>658</v>
      </c>
      <c r="G60" s="151"/>
      <c r="H60" s="151"/>
      <c r="I60" t="s">
        <v>1183</v>
      </c>
      <c r="J60" s="149"/>
    </row>
    <row r="61" spans="1:10" x14ac:dyDescent="0.2">
      <c r="A61" s="149" t="s">
        <v>1182</v>
      </c>
      <c r="B61" s="150">
        <v>43551</v>
      </c>
      <c r="C61" s="149" t="s">
        <v>623</v>
      </c>
      <c r="D61" s="149">
        <v>-1200</v>
      </c>
      <c r="E61" s="149" t="s">
        <v>567</v>
      </c>
      <c r="F61" s="149" t="s">
        <v>659</v>
      </c>
      <c r="G61" s="149"/>
      <c r="H61" s="151"/>
      <c r="I61" t="s">
        <v>1183</v>
      </c>
      <c r="J61" s="149"/>
    </row>
    <row r="62" spans="1:10" x14ac:dyDescent="0.2">
      <c r="A62" s="149" t="s">
        <v>1182</v>
      </c>
      <c r="B62" s="150">
        <v>43552</v>
      </c>
      <c r="C62" s="149" t="s">
        <v>623</v>
      </c>
      <c r="D62" s="149">
        <v>844.58</v>
      </c>
      <c r="E62" s="149" t="s">
        <v>595</v>
      </c>
      <c r="F62" s="149" t="s">
        <v>1042</v>
      </c>
      <c r="G62" s="149"/>
      <c r="H62" s="149"/>
      <c r="I62" t="s">
        <v>1183</v>
      </c>
      <c r="J62" s="149"/>
    </row>
    <row r="63" spans="1:10" x14ac:dyDescent="0.2">
      <c r="A63" s="149" t="s">
        <v>1182</v>
      </c>
      <c r="B63" s="150">
        <v>43552</v>
      </c>
      <c r="C63" s="149" t="s">
        <v>623</v>
      </c>
      <c r="D63" s="149">
        <v>-33</v>
      </c>
      <c r="E63" s="149" t="s">
        <v>575</v>
      </c>
      <c r="F63" s="149" t="s">
        <v>667</v>
      </c>
      <c r="G63" s="149"/>
      <c r="H63" s="149"/>
      <c r="I63" t="s">
        <v>1183</v>
      </c>
      <c r="J63" s="149"/>
    </row>
    <row r="64" spans="1:10" x14ac:dyDescent="0.2">
      <c r="A64" s="149"/>
      <c r="B64" s="150"/>
      <c r="C64" s="149"/>
      <c r="D64" s="149"/>
      <c r="E64" s="149"/>
      <c r="F64" s="149"/>
      <c r="G64" s="149"/>
      <c r="H64" s="149"/>
      <c r="I64" s="149"/>
      <c r="J64" s="149"/>
    </row>
    <row r="65" spans="1:2" x14ac:dyDescent="0.2">
      <c r="B65" s="83"/>
    </row>
    <row r="66" spans="1:2" x14ac:dyDescent="0.2">
      <c r="B66" s="83"/>
    </row>
    <row r="67" spans="1:2" x14ac:dyDescent="0.2">
      <c r="A67" s="83"/>
      <c r="B67" s="83"/>
    </row>
    <row r="68" spans="1:2" x14ac:dyDescent="0.2">
      <c r="A68" s="83"/>
      <c r="B68" s="83"/>
    </row>
    <row r="69" spans="1:2" x14ac:dyDescent="0.2">
      <c r="A69" s="83"/>
      <c r="B69" s="83"/>
    </row>
    <row r="70" spans="1:2" x14ac:dyDescent="0.2">
      <c r="A70" s="83"/>
      <c r="B70" s="83"/>
    </row>
    <row r="71" spans="1:2" x14ac:dyDescent="0.2">
      <c r="B71" s="83"/>
    </row>
    <row r="72" spans="1:2" x14ac:dyDescent="0.2">
      <c r="B72" s="83"/>
    </row>
    <row r="73" spans="1:2" x14ac:dyDescent="0.2">
      <c r="B73" s="83"/>
    </row>
  </sheetData>
  <autoFilter ref="A1:I65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67" workbookViewId="0" zoomScale="85" zoomScaleNormal="85">
      <selection activeCell="H101" sqref="H101"/>
    </sheetView>
  </sheetViews>
  <sheetFormatPr defaultRowHeight="12.75" x14ac:dyDescent="0.2"/>
  <cols>
    <col min="2" max="2" bestFit="true" customWidth="true" width="10.140625" collapsed="false"/>
    <col min="3" max="3" bestFit="true" customWidth="true" width="17.28515625" collapsed="false"/>
    <col min="5" max="5" customWidth="true" width="12.85546875" collapsed="false"/>
    <col min="6" max="6" bestFit="true" customWidth="true" width="50.140625" collapsed="false"/>
    <col min="7" max="7" bestFit="true" customWidth="true" width="10.7109375" collapsed="false"/>
    <col min="8" max="8" customWidth="true" width="25.140625" collapsed="false"/>
    <col min="9" max="9" bestFit="true" customWidth="true" width="8.7109375" collapsed="false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9" x14ac:dyDescent="0.2">
      <c r="A2" s="149"/>
      <c r="B2" s="150">
        <v>43525</v>
      </c>
      <c r="C2" s="149" t="s">
        <v>660</v>
      </c>
      <c r="D2" s="149">
        <v>-20.170000000000002</v>
      </c>
      <c r="E2" s="149" t="s">
        <v>566</v>
      </c>
      <c r="F2" s="149" t="s">
        <v>1043</v>
      </c>
      <c r="G2" s="149"/>
      <c r="H2" s="149"/>
      <c r="I2" s="149"/>
    </row>
    <row r="3" spans="1:9" x14ac:dyDescent="0.2">
      <c r="A3" s="149"/>
      <c r="B3" s="150">
        <v>43525</v>
      </c>
      <c r="C3" s="149" t="s">
        <v>660</v>
      </c>
      <c r="D3" s="149">
        <v>-4.4000000000000004</v>
      </c>
      <c r="E3" s="149" t="s">
        <v>566</v>
      </c>
      <c r="F3" s="149" t="s">
        <v>1044</v>
      </c>
      <c r="G3" s="149"/>
      <c r="H3" s="149"/>
      <c r="I3" s="149"/>
    </row>
    <row r="4" spans="1:9" x14ac:dyDescent="0.2">
      <c r="A4" s="149"/>
      <c r="B4" s="150">
        <v>43525</v>
      </c>
      <c r="C4" s="149" t="s">
        <v>660</v>
      </c>
      <c r="D4" s="149">
        <v>-2</v>
      </c>
      <c r="E4" s="149" t="s">
        <v>566</v>
      </c>
      <c r="F4" s="149" t="s">
        <v>1045</v>
      </c>
      <c r="G4" s="149"/>
      <c r="H4" s="149"/>
      <c r="I4" s="149"/>
    </row>
    <row r="5" spans="1:9" x14ac:dyDescent="0.2">
      <c r="A5" s="149"/>
      <c r="B5" s="150">
        <v>43525</v>
      </c>
      <c r="C5" s="149" t="s">
        <v>660</v>
      </c>
      <c r="D5" s="149">
        <v>-42.32</v>
      </c>
      <c r="E5" s="149" t="s">
        <v>566</v>
      </c>
      <c r="F5" s="149" t="s">
        <v>1046</v>
      </c>
      <c r="G5" s="149"/>
      <c r="H5" s="149"/>
      <c r="I5" s="149"/>
    </row>
    <row r="6" spans="1:9" x14ac:dyDescent="0.2">
      <c r="A6" s="149"/>
      <c r="B6" s="150">
        <v>43525</v>
      </c>
      <c r="C6" s="149" t="s">
        <v>660</v>
      </c>
      <c r="D6" s="149">
        <v>-9</v>
      </c>
      <c r="E6" s="149" t="s">
        <v>575</v>
      </c>
      <c r="F6" s="149" t="s">
        <v>1047</v>
      </c>
      <c r="G6" s="149"/>
      <c r="H6" s="149"/>
      <c r="I6" s="149"/>
    </row>
    <row r="7" spans="1:9" x14ac:dyDescent="0.2">
      <c r="A7" s="149"/>
      <c r="B7" s="150">
        <v>43528</v>
      </c>
      <c r="C7" s="149" t="s">
        <v>660</v>
      </c>
      <c r="D7" s="149">
        <v>-10</v>
      </c>
      <c r="E7" s="149" t="s">
        <v>592</v>
      </c>
      <c r="F7" s="149" t="s">
        <v>1048</v>
      </c>
      <c r="G7" s="149"/>
      <c r="H7" s="149"/>
      <c r="I7" s="149"/>
    </row>
    <row r="8" spans="1:9" x14ac:dyDescent="0.2">
      <c r="A8" s="149"/>
      <c r="B8" s="150">
        <v>43528</v>
      </c>
      <c r="C8" s="149" t="s">
        <v>660</v>
      </c>
      <c r="D8" s="149">
        <v>-5.67</v>
      </c>
      <c r="E8" s="149" t="s">
        <v>566</v>
      </c>
      <c r="F8" s="149" t="s">
        <v>1049</v>
      </c>
      <c r="G8" s="149"/>
      <c r="H8" s="149"/>
      <c r="I8" s="149"/>
    </row>
    <row r="9" spans="1:9" x14ac:dyDescent="0.2">
      <c r="A9" s="149"/>
      <c r="B9" s="150">
        <v>43528</v>
      </c>
      <c r="C9" s="149" t="s">
        <v>660</v>
      </c>
      <c r="D9" s="149">
        <v>-13.06</v>
      </c>
      <c r="E9" s="149" t="s">
        <v>566</v>
      </c>
      <c r="F9" s="149" t="s">
        <v>1050</v>
      </c>
      <c r="G9" s="149"/>
      <c r="H9" s="149"/>
      <c r="I9" s="149"/>
    </row>
    <row r="10" spans="1:9" x14ac:dyDescent="0.2">
      <c r="A10" s="149"/>
      <c r="B10" s="150">
        <v>43528</v>
      </c>
      <c r="C10" s="149" t="s">
        <v>660</v>
      </c>
      <c r="D10" s="149">
        <v>-34.340000000000003</v>
      </c>
      <c r="E10" s="149" t="s">
        <v>566</v>
      </c>
      <c r="F10" s="149" t="s">
        <v>1051</v>
      </c>
      <c r="G10" s="149"/>
      <c r="H10" s="149"/>
      <c r="I10" s="149"/>
    </row>
    <row r="11" spans="1:9" x14ac:dyDescent="0.2">
      <c r="A11" s="149"/>
      <c r="B11" s="150">
        <v>43528</v>
      </c>
      <c r="C11" s="149" t="s">
        <v>660</v>
      </c>
      <c r="D11" s="149">
        <v>-22.14</v>
      </c>
      <c r="E11" s="149" t="s">
        <v>566</v>
      </c>
      <c r="F11" s="149" t="s">
        <v>1052</v>
      </c>
      <c r="G11" s="149"/>
      <c r="H11" s="149"/>
      <c r="I11" s="149"/>
    </row>
    <row r="12" spans="1:9" x14ac:dyDescent="0.2">
      <c r="A12" s="149"/>
      <c r="B12" s="150">
        <v>43528</v>
      </c>
      <c r="C12" s="149" t="s">
        <v>660</v>
      </c>
      <c r="D12" s="149">
        <v>-7.24</v>
      </c>
      <c r="E12" s="149" t="s">
        <v>566</v>
      </c>
      <c r="F12" s="149" t="s">
        <v>1053</v>
      </c>
      <c r="G12" s="149"/>
      <c r="H12" s="149"/>
      <c r="I12" s="149"/>
    </row>
    <row r="13" spans="1:9" x14ac:dyDescent="0.2">
      <c r="A13" s="149"/>
      <c r="B13" s="150">
        <v>43528</v>
      </c>
      <c r="C13" s="149" t="s">
        <v>660</v>
      </c>
      <c r="D13" s="149">
        <v>-34.78</v>
      </c>
      <c r="E13" s="149" t="s">
        <v>566</v>
      </c>
      <c r="F13" s="149" t="s">
        <v>1054</v>
      </c>
      <c r="G13" s="149"/>
      <c r="H13" s="149"/>
      <c r="I13" s="149"/>
    </row>
    <row r="14" spans="1:9" x14ac:dyDescent="0.2">
      <c r="A14" s="149"/>
      <c r="B14" s="150">
        <v>43528</v>
      </c>
      <c r="C14" s="149" t="s">
        <v>660</v>
      </c>
      <c r="D14" s="149">
        <v>-20.88</v>
      </c>
      <c r="E14" s="149" t="s">
        <v>566</v>
      </c>
      <c r="F14" s="149" t="s">
        <v>1055</v>
      </c>
      <c r="G14" s="149"/>
      <c r="H14" s="149"/>
      <c r="I14" s="149"/>
    </row>
    <row r="15" spans="1:9" x14ac:dyDescent="0.2">
      <c r="A15" s="149"/>
      <c r="B15" s="150">
        <v>43528</v>
      </c>
      <c r="C15" s="149" t="s">
        <v>660</v>
      </c>
      <c r="D15" s="149">
        <v>-1.6</v>
      </c>
      <c r="E15" s="149" t="s">
        <v>566</v>
      </c>
      <c r="F15" s="149" t="s">
        <v>1055</v>
      </c>
      <c r="G15" s="149"/>
      <c r="H15" s="149"/>
      <c r="I15" s="149"/>
    </row>
    <row r="16" spans="1:9" x14ac:dyDescent="0.2">
      <c r="A16" s="149"/>
      <c r="B16" s="150">
        <v>43528</v>
      </c>
      <c r="C16" s="149" t="s">
        <v>660</v>
      </c>
      <c r="D16" s="149">
        <v>-18.7</v>
      </c>
      <c r="E16" s="149" t="s">
        <v>566</v>
      </c>
      <c r="F16" s="149" t="s">
        <v>931</v>
      </c>
      <c r="G16" s="149"/>
      <c r="H16" s="149"/>
      <c r="I16" s="149"/>
    </row>
    <row r="17" spans="1:9" x14ac:dyDescent="0.2">
      <c r="A17" s="149"/>
      <c r="B17" s="150">
        <v>43528</v>
      </c>
      <c r="C17" s="149" t="s">
        <v>660</v>
      </c>
      <c r="D17" s="149">
        <v>-3.95</v>
      </c>
      <c r="E17" s="149" t="s">
        <v>566</v>
      </c>
      <c r="F17" s="149" t="s">
        <v>1056</v>
      </c>
      <c r="G17" s="149"/>
      <c r="H17" s="149"/>
      <c r="I17" s="149"/>
    </row>
    <row r="18" spans="1:9" x14ac:dyDescent="0.2">
      <c r="A18" s="149"/>
      <c r="B18" s="150">
        <v>43528</v>
      </c>
      <c r="C18" s="149" t="s">
        <v>660</v>
      </c>
      <c r="D18" s="149">
        <v>-17.940000000000001</v>
      </c>
      <c r="E18" s="149" t="s">
        <v>566</v>
      </c>
      <c r="F18" s="149" t="s">
        <v>1057</v>
      </c>
      <c r="G18" s="149"/>
      <c r="H18" s="149"/>
      <c r="I18" s="149"/>
    </row>
    <row r="19" spans="1:9" x14ac:dyDescent="0.2">
      <c r="A19" s="149"/>
      <c r="B19" s="150">
        <v>43528</v>
      </c>
      <c r="C19" s="149" t="s">
        <v>660</v>
      </c>
      <c r="D19" s="149">
        <v>-3.3</v>
      </c>
      <c r="E19" s="149" t="s">
        <v>566</v>
      </c>
      <c r="F19" s="149" t="s">
        <v>1057</v>
      </c>
      <c r="G19" s="149"/>
      <c r="H19" s="149"/>
      <c r="I19" s="149"/>
    </row>
    <row r="20" spans="1:9" x14ac:dyDescent="0.2">
      <c r="A20" s="149"/>
      <c r="B20" s="150">
        <v>43528</v>
      </c>
      <c r="C20" s="149" t="s">
        <v>660</v>
      </c>
      <c r="D20" s="149">
        <v>-25.6</v>
      </c>
      <c r="E20" s="149" t="s">
        <v>566</v>
      </c>
      <c r="F20" s="149" t="s">
        <v>1058</v>
      </c>
      <c r="G20" s="149"/>
      <c r="H20" s="149"/>
      <c r="I20" s="149"/>
    </row>
    <row r="21" spans="1:9" x14ac:dyDescent="0.2">
      <c r="A21" s="149"/>
      <c r="B21" s="150">
        <v>43529</v>
      </c>
      <c r="C21" s="149" t="s">
        <v>660</v>
      </c>
      <c r="D21" s="149">
        <v>-4.05</v>
      </c>
      <c r="E21" s="149" t="s">
        <v>566</v>
      </c>
      <c r="F21" s="149" t="s">
        <v>1059</v>
      </c>
      <c r="G21" s="149"/>
      <c r="H21" s="149"/>
      <c r="I21" s="149"/>
    </row>
    <row r="22" spans="1:9" x14ac:dyDescent="0.2">
      <c r="A22" s="149"/>
      <c r="B22" s="150">
        <v>43529</v>
      </c>
      <c r="C22" s="149" t="s">
        <v>660</v>
      </c>
      <c r="D22" s="149">
        <v>-13.44</v>
      </c>
      <c r="E22" s="149" t="s">
        <v>566</v>
      </c>
      <c r="F22" s="149" t="s">
        <v>1060</v>
      </c>
      <c r="G22" s="149"/>
      <c r="H22" s="149"/>
      <c r="I22" s="149"/>
    </row>
    <row r="23" spans="1:9" x14ac:dyDescent="0.2">
      <c r="A23" s="149"/>
      <c r="B23" s="150">
        <v>43529</v>
      </c>
      <c r="C23" s="149" t="s">
        <v>660</v>
      </c>
      <c r="D23" s="149">
        <v>-6.27</v>
      </c>
      <c r="E23" s="149" t="s">
        <v>566</v>
      </c>
      <c r="F23" s="149" t="s">
        <v>1061</v>
      </c>
      <c r="G23" s="149"/>
      <c r="H23" s="149"/>
      <c r="I23" s="149"/>
    </row>
    <row r="24" spans="1:9" x14ac:dyDescent="0.2">
      <c r="A24" s="149"/>
      <c r="B24" s="150">
        <v>43530</v>
      </c>
      <c r="C24" s="149" t="s">
        <v>660</v>
      </c>
      <c r="D24" s="149">
        <v>-3.58</v>
      </c>
      <c r="E24" s="149" t="s">
        <v>566</v>
      </c>
      <c r="F24" s="149" t="s">
        <v>1062</v>
      </c>
      <c r="G24" s="149"/>
      <c r="H24" s="149"/>
      <c r="I24" s="149"/>
    </row>
    <row r="25" spans="1:9" x14ac:dyDescent="0.2">
      <c r="A25" s="149"/>
      <c r="B25" s="150">
        <v>43530</v>
      </c>
      <c r="C25" s="149" t="s">
        <v>660</v>
      </c>
      <c r="D25" s="149">
        <v>-15.42</v>
      </c>
      <c r="E25" s="149" t="s">
        <v>566</v>
      </c>
      <c r="F25" s="149" t="s">
        <v>940</v>
      </c>
      <c r="G25" s="149"/>
      <c r="H25" s="149"/>
      <c r="I25" s="149"/>
    </row>
    <row r="26" spans="1:9" x14ac:dyDescent="0.2">
      <c r="A26" s="149"/>
      <c r="B26" s="150">
        <v>43530</v>
      </c>
      <c r="C26" s="149" t="s">
        <v>660</v>
      </c>
      <c r="D26" s="149">
        <v>-11.77</v>
      </c>
      <c r="E26" s="149" t="s">
        <v>566</v>
      </c>
      <c r="F26" s="149" t="s">
        <v>940</v>
      </c>
      <c r="G26" s="149"/>
      <c r="H26" s="149"/>
      <c r="I26" s="149"/>
    </row>
    <row r="27" spans="1:9" x14ac:dyDescent="0.2">
      <c r="A27" s="149"/>
      <c r="B27" s="150">
        <v>43530</v>
      </c>
      <c r="C27" s="149" t="s">
        <v>660</v>
      </c>
      <c r="D27" s="149">
        <v>-2.65</v>
      </c>
      <c r="E27" s="149" t="s">
        <v>566</v>
      </c>
      <c r="F27" s="149" t="s">
        <v>940</v>
      </c>
      <c r="G27" s="149"/>
      <c r="H27" s="149"/>
      <c r="I27" s="149"/>
    </row>
    <row r="28" spans="1:9" x14ac:dyDescent="0.2">
      <c r="A28" s="149"/>
      <c r="B28" s="150">
        <v>43530</v>
      </c>
      <c r="C28" s="149" t="s">
        <v>660</v>
      </c>
      <c r="D28" s="149">
        <v>-0.6</v>
      </c>
      <c r="E28" s="149" t="s">
        <v>566</v>
      </c>
      <c r="F28" s="149" t="s">
        <v>940</v>
      </c>
      <c r="G28" s="149"/>
      <c r="H28" s="149"/>
      <c r="I28" s="149"/>
    </row>
    <row r="29" spans="1:9" x14ac:dyDescent="0.2">
      <c r="A29" s="149"/>
      <c r="B29" s="150">
        <v>43530</v>
      </c>
      <c r="C29" s="149" t="s">
        <v>660</v>
      </c>
      <c r="D29" s="149">
        <v>-31.58</v>
      </c>
      <c r="E29" s="149" t="s">
        <v>566</v>
      </c>
      <c r="F29" s="149" t="s">
        <v>1063</v>
      </c>
      <c r="G29" s="149"/>
      <c r="H29" s="149"/>
      <c r="I29" s="149"/>
    </row>
    <row r="30" spans="1:9" x14ac:dyDescent="0.2">
      <c r="A30" s="149"/>
      <c r="B30" s="150">
        <v>43530</v>
      </c>
      <c r="C30" s="149" t="s">
        <v>660</v>
      </c>
      <c r="D30" s="149">
        <v>-31.49</v>
      </c>
      <c r="E30" s="149" t="s">
        <v>566</v>
      </c>
      <c r="F30" s="149" t="s">
        <v>1064</v>
      </c>
      <c r="G30" s="149"/>
      <c r="H30" s="149"/>
      <c r="I30" s="149"/>
    </row>
    <row r="31" spans="1:9" x14ac:dyDescent="0.2">
      <c r="A31" s="149"/>
      <c r="B31" s="150">
        <v>43531</v>
      </c>
      <c r="C31" s="149" t="s">
        <v>660</v>
      </c>
      <c r="D31" s="149">
        <v>-30</v>
      </c>
      <c r="E31" s="149" t="s">
        <v>592</v>
      </c>
      <c r="F31" s="149" t="s">
        <v>1065</v>
      </c>
      <c r="G31" s="149"/>
      <c r="H31" s="149"/>
      <c r="I31" s="149"/>
    </row>
    <row r="32" spans="1:9" x14ac:dyDescent="0.2">
      <c r="A32" s="149"/>
      <c r="B32" s="150">
        <v>43531</v>
      </c>
      <c r="C32" s="149" t="s">
        <v>660</v>
      </c>
      <c r="D32" s="149">
        <v>-11.56</v>
      </c>
      <c r="E32" s="149" t="s">
        <v>566</v>
      </c>
      <c r="F32" s="149" t="s">
        <v>1066</v>
      </c>
      <c r="G32" s="149"/>
      <c r="H32" s="149"/>
      <c r="I32" s="149"/>
    </row>
    <row r="33" spans="1:9" x14ac:dyDescent="0.2">
      <c r="A33" s="149"/>
      <c r="B33" s="150">
        <v>43532</v>
      </c>
      <c r="C33" s="149" t="s">
        <v>660</v>
      </c>
      <c r="D33" s="149">
        <v>-30</v>
      </c>
      <c r="E33" s="149" t="s">
        <v>592</v>
      </c>
      <c r="F33" s="149" t="s">
        <v>1067</v>
      </c>
      <c r="G33" s="149"/>
      <c r="H33" s="149"/>
      <c r="I33" s="149"/>
    </row>
    <row r="34" spans="1:9" x14ac:dyDescent="0.2">
      <c r="A34" s="149"/>
      <c r="B34" s="150">
        <v>43532</v>
      </c>
      <c r="C34" s="149" t="s">
        <v>660</v>
      </c>
      <c r="D34" s="149">
        <v>-13.79</v>
      </c>
      <c r="E34" s="149" t="s">
        <v>566</v>
      </c>
      <c r="F34" s="149" t="s">
        <v>1068</v>
      </c>
      <c r="G34" s="149"/>
      <c r="H34" s="149"/>
      <c r="I34" s="149"/>
    </row>
    <row r="35" spans="1:9" x14ac:dyDescent="0.2">
      <c r="A35" s="149"/>
      <c r="B35" s="150">
        <v>43532</v>
      </c>
      <c r="C35" s="149" t="s">
        <v>660</v>
      </c>
      <c r="D35" s="149">
        <v>-3.55</v>
      </c>
      <c r="E35" s="149" t="s">
        <v>566</v>
      </c>
      <c r="F35" s="149" t="s">
        <v>1069</v>
      </c>
      <c r="G35" s="149"/>
      <c r="H35" s="149"/>
      <c r="I35" s="149"/>
    </row>
    <row r="36" spans="1:9" x14ac:dyDescent="0.2">
      <c r="A36" s="149"/>
      <c r="B36" s="150">
        <v>43532</v>
      </c>
      <c r="C36" s="149" t="s">
        <v>660</v>
      </c>
      <c r="D36" s="149">
        <v>-10.59</v>
      </c>
      <c r="E36" s="149" t="s">
        <v>566</v>
      </c>
      <c r="F36" s="149" t="s">
        <v>1070</v>
      </c>
      <c r="G36" s="149"/>
      <c r="H36" s="149"/>
      <c r="I36" s="149"/>
    </row>
    <row r="37" spans="1:9" x14ac:dyDescent="0.2">
      <c r="A37" s="149"/>
      <c r="B37" s="150">
        <v>43532</v>
      </c>
      <c r="C37" s="149" t="s">
        <v>660</v>
      </c>
      <c r="D37" s="149">
        <v>-11.94</v>
      </c>
      <c r="E37" s="149" t="s">
        <v>566</v>
      </c>
      <c r="F37" s="149" t="s">
        <v>1071</v>
      </c>
      <c r="G37" s="149"/>
      <c r="H37" s="149"/>
      <c r="I37" s="149"/>
    </row>
    <row r="38" spans="1:9" x14ac:dyDescent="0.2">
      <c r="A38" s="149"/>
      <c r="B38" s="150">
        <v>43535</v>
      </c>
      <c r="C38" s="149" t="s">
        <v>660</v>
      </c>
      <c r="D38" s="149">
        <v>-6.4</v>
      </c>
      <c r="E38" s="149" t="s">
        <v>566</v>
      </c>
      <c r="F38" s="149" t="s">
        <v>1072</v>
      </c>
      <c r="G38" s="149"/>
      <c r="H38" s="149"/>
      <c r="I38" s="149"/>
    </row>
    <row r="39" spans="1:9" x14ac:dyDescent="0.2">
      <c r="A39" s="149"/>
      <c r="B39" s="150">
        <v>43535</v>
      </c>
      <c r="C39" s="149" t="s">
        <v>660</v>
      </c>
      <c r="D39" s="149">
        <v>-5</v>
      </c>
      <c r="E39" s="149" t="s">
        <v>566</v>
      </c>
      <c r="F39" s="149" t="s">
        <v>1073</v>
      </c>
      <c r="G39" s="149"/>
      <c r="H39" s="149"/>
      <c r="I39" s="149"/>
    </row>
    <row r="40" spans="1:9" x14ac:dyDescent="0.2">
      <c r="A40" s="149"/>
      <c r="B40" s="150">
        <v>43535</v>
      </c>
      <c r="C40" s="149" t="s">
        <v>660</v>
      </c>
      <c r="D40" s="149">
        <v>-2.25</v>
      </c>
      <c r="E40" s="149" t="s">
        <v>566</v>
      </c>
      <c r="F40" s="149" t="s">
        <v>1074</v>
      </c>
      <c r="G40" s="149"/>
      <c r="H40" s="149"/>
      <c r="I40" s="149"/>
    </row>
    <row r="41" spans="1:9" x14ac:dyDescent="0.2">
      <c r="A41" s="149"/>
      <c r="B41" s="150">
        <v>43535</v>
      </c>
      <c r="C41" s="149" t="s">
        <v>660</v>
      </c>
      <c r="D41" s="149">
        <v>-66.08</v>
      </c>
      <c r="E41" s="149" t="s">
        <v>566</v>
      </c>
      <c r="F41" s="149" t="s">
        <v>1075</v>
      </c>
      <c r="G41" s="149"/>
      <c r="H41" s="149"/>
      <c r="I41" s="149"/>
    </row>
    <row r="42" spans="1:9" x14ac:dyDescent="0.2">
      <c r="A42" s="149"/>
      <c r="B42" s="150">
        <v>43535</v>
      </c>
      <c r="C42" s="149" t="s">
        <v>660</v>
      </c>
      <c r="D42" s="149">
        <v>-39.5</v>
      </c>
      <c r="E42" s="149" t="s">
        <v>566</v>
      </c>
      <c r="F42" s="149" t="s">
        <v>1076</v>
      </c>
      <c r="G42" s="149"/>
      <c r="H42" s="149"/>
      <c r="I42" s="149"/>
    </row>
    <row r="43" spans="1:9" x14ac:dyDescent="0.2">
      <c r="A43" s="149"/>
      <c r="B43" s="150">
        <v>43536</v>
      </c>
      <c r="C43" s="149" t="s">
        <v>660</v>
      </c>
      <c r="D43" s="149">
        <v>-47.22</v>
      </c>
      <c r="E43" s="149" t="s">
        <v>566</v>
      </c>
      <c r="F43" s="149" t="s">
        <v>1077</v>
      </c>
      <c r="G43" s="149"/>
      <c r="H43" s="149"/>
      <c r="I43" s="149"/>
    </row>
    <row r="44" spans="1:9" x14ac:dyDescent="0.2">
      <c r="A44" s="149"/>
      <c r="B44" s="150">
        <v>43536</v>
      </c>
      <c r="C44" s="149" t="s">
        <v>660</v>
      </c>
      <c r="D44" s="149">
        <v>-35.82</v>
      </c>
      <c r="E44" s="149" t="s">
        <v>566</v>
      </c>
      <c r="F44" s="149" t="s">
        <v>1078</v>
      </c>
      <c r="G44" s="149"/>
      <c r="H44" s="149"/>
      <c r="I44" s="149"/>
    </row>
    <row r="45" spans="1:9" x14ac:dyDescent="0.2">
      <c r="A45" s="149"/>
      <c r="B45" s="150">
        <v>43538</v>
      </c>
      <c r="C45" s="149" t="s">
        <v>660</v>
      </c>
      <c r="D45" s="149">
        <v>-18.05</v>
      </c>
      <c r="E45" s="149" t="s">
        <v>566</v>
      </c>
      <c r="F45" s="149" t="s">
        <v>1079</v>
      </c>
      <c r="G45" s="149"/>
      <c r="H45" s="149"/>
      <c r="I45" s="149"/>
    </row>
    <row r="46" spans="1:9" x14ac:dyDescent="0.2">
      <c r="A46" s="149"/>
      <c r="B46" s="150">
        <v>43538</v>
      </c>
      <c r="C46" s="149" t="s">
        <v>660</v>
      </c>
      <c r="D46" s="149">
        <v>-11.97</v>
      </c>
      <c r="E46" s="149" t="s">
        <v>566</v>
      </c>
      <c r="F46" s="149" t="s">
        <v>1080</v>
      </c>
      <c r="G46" s="149"/>
      <c r="H46" s="149"/>
      <c r="I46" s="149"/>
    </row>
    <row r="47" spans="1:9" x14ac:dyDescent="0.2">
      <c r="A47" s="149"/>
      <c r="B47" s="150">
        <v>43538</v>
      </c>
      <c r="C47" s="149" t="s">
        <v>660</v>
      </c>
      <c r="D47" s="52">
        <v>-77</v>
      </c>
      <c r="E47" s="149" t="s">
        <v>566</v>
      </c>
      <c r="F47" s="149" t="s">
        <v>1081</v>
      </c>
      <c r="G47" s="149" t="s">
        <v>482</v>
      </c>
      <c r="H47" s="153" t="s">
        <v>1178</v>
      </c>
      <c r="I47" s="149"/>
    </row>
    <row r="48" spans="1:9" x14ac:dyDescent="0.2">
      <c r="A48" s="149"/>
      <c r="B48" s="150">
        <v>43538</v>
      </c>
      <c r="C48" s="149" t="s">
        <v>660</v>
      </c>
      <c r="D48" s="149">
        <v>-53.1</v>
      </c>
      <c r="E48" s="149" t="s">
        <v>566</v>
      </c>
      <c r="F48" s="149" t="s">
        <v>1082</v>
      </c>
      <c r="G48" s="149"/>
      <c r="H48" s="149"/>
      <c r="I48" s="149"/>
    </row>
    <row r="49" spans="1:9" x14ac:dyDescent="0.2">
      <c r="A49" s="149"/>
      <c r="B49" s="150">
        <v>43539</v>
      </c>
      <c r="C49" s="149" t="s">
        <v>660</v>
      </c>
      <c r="D49" s="149">
        <v>-6.5</v>
      </c>
      <c r="E49" s="149" t="s">
        <v>566</v>
      </c>
      <c r="F49" s="149" t="s">
        <v>1083</v>
      </c>
      <c r="G49" s="149"/>
      <c r="H49" s="149"/>
      <c r="I49" s="149"/>
    </row>
    <row r="50" spans="1:9" x14ac:dyDescent="0.2">
      <c r="A50" s="149"/>
      <c r="B50" s="150">
        <v>43539</v>
      </c>
      <c r="C50" s="149" t="s">
        <v>660</v>
      </c>
      <c r="D50" s="149">
        <v>-50.22</v>
      </c>
      <c r="E50" s="149" t="s">
        <v>566</v>
      </c>
      <c r="F50" s="149" t="s">
        <v>1084</v>
      </c>
      <c r="G50" s="149"/>
      <c r="H50" s="149"/>
      <c r="I50" s="149"/>
    </row>
    <row r="51" spans="1:9" x14ac:dyDescent="0.2">
      <c r="A51" s="149"/>
      <c r="B51" s="150">
        <v>43542</v>
      </c>
      <c r="C51" s="149" t="s">
        <v>660</v>
      </c>
      <c r="D51" s="149">
        <v>42.99</v>
      </c>
      <c r="E51" s="149" t="s">
        <v>799</v>
      </c>
      <c r="F51" s="149" t="s">
        <v>666</v>
      </c>
      <c r="G51" s="149"/>
      <c r="H51" s="149"/>
      <c r="I51" s="149"/>
    </row>
    <row r="52" spans="1:9" x14ac:dyDescent="0.2">
      <c r="A52" s="149"/>
      <c r="B52" s="150">
        <v>43542</v>
      </c>
      <c r="C52" s="149" t="s">
        <v>660</v>
      </c>
      <c r="D52" s="149">
        <v>-10</v>
      </c>
      <c r="E52" s="149" t="s">
        <v>593</v>
      </c>
      <c r="F52" s="149" t="s">
        <v>1085</v>
      </c>
      <c r="G52" s="149"/>
      <c r="H52" s="149"/>
      <c r="I52" s="149"/>
    </row>
    <row r="53" spans="1:9" x14ac:dyDescent="0.2">
      <c r="A53" s="149"/>
      <c r="B53" s="150">
        <v>43542</v>
      </c>
      <c r="C53" s="149" t="s">
        <v>660</v>
      </c>
      <c r="D53" s="149">
        <v>-28.15</v>
      </c>
      <c r="E53" s="149" t="s">
        <v>566</v>
      </c>
      <c r="F53" s="149" t="s">
        <v>1086</v>
      </c>
      <c r="G53" s="149"/>
      <c r="H53" s="149"/>
      <c r="I53" s="149"/>
    </row>
    <row r="54" spans="1:9" x14ac:dyDescent="0.2">
      <c r="A54" s="149"/>
      <c r="B54" s="150">
        <v>43542</v>
      </c>
      <c r="C54" s="149" t="s">
        <v>660</v>
      </c>
      <c r="D54" s="149">
        <v>-27.58</v>
      </c>
      <c r="E54" s="149" t="s">
        <v>566</v>
      </c>
      <c r="F54" s="149" t="s">
        <v>1087</v>
      </c>
      <c r="G54" s="149"/>
      <c r="H54" s="149"/>
      <c r="I54" s="149"/>
    </row>
    <row r="55" spans="1:9" x14ac:dyDescent="0.2">
      <c r="A55" s="149"/>
      <c r="B55" s="150">
        <v>43542</v>
      </c>
      <c r="C55" s="149" t="s">
        <v>660</v>
      </c>
      <c r="D55" s="149">
        <v>-25.79</v>
      </c>
      <c r="E55" s="149" t="s">
        <v>566</v>
      </c>
      <c r="F55" s="149" t="s">
        <v>1088</v>
      </c>
      <c r="G55" s="149"/>
      <c r="H55" s="149"/>
      <c r="I55" s="149"/>
    </row>
    <row r="56" spans="1:9" x14ac:dyDescent="0.2">
      <c r="A56" s="149"/>
      <c r="B56" s="150">
        <v>43542</v>
      </c>
      <c r="C56" s="149" t="s">
        <v>660</v>
      </c>
      <c r="D56" s="149">
        <v>-25.05</v>
      </c>
      <c r="E56" s="149" t="s">
        <v>566</v>
      </c>
      <c r="F56" s="149" t="s">
        <v>1089</v>
      </c>
      <c r="G56" s="149"/>
      <c r="H56" s="149"/>
      <c r="I56" s="149"/>
    </row>
    <row r="57" spans="1:9" x14ac:dyDescent="0.2">
      <c r="A57" s="149"/>
      <c r="B57" s="150">
        <v>43542</v>
      </c>
      <c r="C57" s="149" t="s">
        <v>660</v>
      </c>
      <c r="D57" s="149">
        <v>-20</v>
      </c>
      <c r="E57" s="149" t="s">
        <v>566</v>
      </c>
      <c r="F57" s="149" t="s">
        <v>1090</v>
      </c>
      <c r="G57" s="149"/>
      <c r="H57" s="149"/>
      <c r="I57" s="149"/>
    </row>
    <row r="58" spans="1:9" x14ac:dyDescent="0.2">
      <c r="A58" s="149"/>
      <c r="B58" s="150">
        <v>43542</v>
      </c>
      <c r="C58" s="149" t="s">
        <v>660</v>
      </c>
      <c r="D58" s="149">
        <v>-10.9</v>
      </c>
      <c r="E58" s="149" t="s">
        <v>566</v>
      </c>
      <c r="F58" s="149" t="s">
        <v>1091</v>
      </c>
      <c r="G58" s="149"/>
      <c r="H58" s="149"/>
      <c r="I58" s="149"/>
    </row>
    <row r="59" spans="1:9" x14ac:dyDescent="0.2">
      <c r="A59" s="149"/>
      <c r="B59" s="150">
        <v>43542</v>
      </c>
      <c r="C59" s="149" t="s">
        <v>660</v>
      </c>
      <c r="D59" s="149">
        <v>-8.65</v>
      </c>
      <c r="E59" s="149" t="s">
        <v>566</v>
      </c>
      <c r="F59" s="149" t="s">
        <v>1092</v>
      </c>
      <c r="G59" s="149"/>
      <c r="H59" s="149"/>
      <c r="I59" s="149"/>
    </row>
    <row r="60" spans="1:9" x14ac:dyDescent="0.2">
      <c r="A60" s="149"/>
      <c r="B60" s="150">
        <v>43542</v>
      </c>
      <c r="C60" s="149" t="s">
        <v>660</v>
      </c>
      <c r="D60" s="149">
        <v>-8.3000000000000007</v>
      </c>
      <c r="E60" s="149" t="s">
        <v>566</v>
      </c>
      <c r="F60" s="149" t="s">
        <v>1093</v>
      </c>
      <c r="G60" s="149"/>
      <c r="H60" s="149"/>
      <c r="I60" s="149"/>
    </row>
    <row r="61" spans="1:9" x14ac:dyDescent="0.2">
      <c r="A61" s="149"/>
      <c r="B61" s="150">
        <v>43542</v>
      </c>
      <c r="C61" s="149" t="s">
        <v>660</v>
      </c>
      <c r="D61" s="149">
        <v>-8.1999999999999993</v>
      </c>
      <c r="E61" s="149" t="s">
        <v>566</v>
      </c>
      <c r="F61" s="149" t="s">
        <v>1094</v>
      </c>
      <c r="G61" s="149"/>
      <c r="H61" s="149"/>
      <c r="I61" s="149"/>
    </row>
    <row r="62" spans="1:9" x14ac:dyDescent="0.2">
      <c r="A62" s="149"/>
      <c r="B62" s="150">
        <v>43542</v>
      </c>
      <c r="C62" s="149" t="s">
        <v>660</v>
      </c>
      <c r="D62" s="149">
        <v>-7.05</v>
      </c>
      <c r="E62" s="149" t="s">
        <v>566</v>
      </c>
      <c r="F62" s="149" t="s">
        <v>1095</v>
      </c>
      <c r="G62" s="149"/>
      <c r="H62" s="149"/>
      <c r="I62" s="149"/>
    </row>
    <row r="63" spans="1:9" x14ac:dyDescent="0.2">
      <c r="A63" s="149"/>
      <c r="B63" s="150">
        <v>43542</v>
      </c>
      <c r="C63" s="149" t="s">
        <v>660</v>
      </c>
      <c r="D63" s="149">
        <v>-7</v>
      </c>
      <c r="E63" s="149" t="s">
        <v>566</v>
      </c>
      <c r="F63" s="149" t="s">
        <v>1096</v>
      </c>
      <c r="G63" s="149"/>
      <c r="H63" s="149"/>
      <c r="I63" s="149"/>
    </row>
    <row r="64" spans="1:9" x14ac:dyDescent="0.2">
      <c r="A64" s="149"/>
      <c r="B64" s="150">
        <v>43542</v>
      </c>
      <c r="C64" s="149" t="s">
        <v>660</v>
      </c>
      <c r="D64" s="149">
        <v>-6.1</v>
      </c>
      <c r="E64" s="149" t="s">
        <v>566</v>
      </c>
      <c r="F64" s="149" t="s">
        <v>1097</v>
      </c>
      <c r="G64" s="149"/>
      <c r="H64" s="149"/>
      <c r="I64" s="149"/>
    </row>
    <row r="65" spans="1:9" x14ac:dyDescent="0.2">
      <c r="A65" s="149"/>
      <c r="B65" s="150">
        <v>43542</v>
      </c>
      <c r="C65" s="149" t="s">
        <v>660</v>
      </c>
      <c r="D65" s="149">
        <v>-1.5</v>
      </c>
      <c r="E65" s="149" t="s">
        <v>566</v>
      </c>
      <c r="F65" s="149" t="s">
        <v>1090</v>
      </c>
      <c r="G65" s="149"/>
      <c r="H65" s="149"/>
      <c r="I65" s="149"/>
    </row>
    <row r="66" spans="1:9" x14ac:dyDescent="0.2">
      <c r="A66" s="149"/>
      <c r="B66" s="150">
        <v>43542</v>
      </c>
      <c r="C66" s="149" t="s">
        <v>660</v>
      </c>
      <c r="D66" s="149">
        <v>-1.3</v>
      </c>
      <c r="E66" s="149" t="s">
        <v>566</v>
      </c>
      <c r="F66" s="149" t="s">
        <v>1098</v>
      </c>
      <c r="G66" s="149"/>
      <c r="H66" s="149"/>
      <c r="I66" s="149"/>
    </row>
    <row r="67" spans="1:9" x14ac:dyDescent="0.2">
      <c r="A67" s="149"/>
      <c r="B67" s="150">
        <v>43542</v>
      </c>
      <c r="C67" s="149" t="s">
        <v>660</v>
      </c>
      <c r="D67" s="149">
        <v>-7.39</v>
      </c>
      <c r="E67" s="149" t="s">
        <v>592</v>
      </c>
      <c r="F67" s="149" t="s">
        <v>1099</v>
      </c>
      <c r="G67" s="149"/>
      <c r="H67" s="149"/>
      <c r="I67" s="149"/>
    </row>
    <row r="68" spans="1:9" x14ac:dyDescent="0.2">
      <c r="A68" s="149"/>
      <c r="B68" s="150">
        <v>43542</v>
      </c>
      <c r="C68" s="149" t="s">
        <v>660</v>
      </c>
      <c r="D68" s="149">
        <v>-56.01</v>
      </c>
      <c r="E68" s="149" t="s">
        <v>566</v>
      </c>
      <c r="F68" s="149" t="s">
        <v>1100</v>
      </c>
      <c r="G68" s="149"/>
      <c r="H68" s="149"/>
      <c r="I68" s="149"/>
    </row>
    <row r="69" spans="1:9" x14ac:dyDescent="0.2">
      <c r="A69" s="149"/>
      <c r="B69" s="150">
        <v>43542</v>
      </c>
      <c r="C69" s="149" t="s">
        <v>660</v>
      </c>
      <c r="D69" s="149">
        <v>-46.55</v>
      </c>
      <c r="E69" s="149" t="s">
        <v>566</v>
      </c>
      <c r="F69" s="149" t="s">
        <v>1101</v>
      </c>
      <c r="G69" s="149"/>
      <c r="H69" s="149"/>
      <c r="I69" s="149"/>
    </row>
    <row r="70" spans="1:9" x14ac:dyDescent="0.2">
      <c r="A70" s="149"/>
      <c r="B70" s="150">
        <v>43542</v>
      </c>
      <c r="C70" s="149" t="s">
        <v>660</v>
      </c>
      <c r="D70" s="149">
        <v>-45.11</v>
      </c>
      <c r="E70" s="149" t="s">
        <v>566</v>
      </c>
      <c r="F70" s="149" t="s">
        <v>1102</v>
      </c>
      <c r="G70" s="149"/>
      <c r="H70" s="149"/>
      <c r="I70" s="149"/>
    </row>
    <row r="71" spans="1:9" x14ac:dyDescent="0.2">
      <c r="A71" s="149"/>
      <c r="B71" s="150">
        <v>43542</v>
      </c>
      <c r="C71" s="149" t="s">
        <v>660</v>
      </c>
      <c r="D71" s="149">
        <v>-38</v>
      </c>
      <c r="E71" s="149" t="s">
        <v>566</v>
      </c>
      <c r="F71" s="151" t="s">
        <v>1101</v>
      </c>
      <c r="G71" s="149"/>
      <c r="H71" s="149"/>
      <c r="I71" s="149"/>
    </row>
    <row r="72" spans="1:9" x14ac:dyDescent="0.2">
      <c r="A72" s="149"/>
      <c r="B72" s="150">
        <v>43542</v>
      </c>
      <c r="C72" s="149" t="s">
        <v>660</v>
      </c>
      <c r="D72" s="149">
        <v>-2.1800000000000002</v>
      </c>
      <c r="E72" s="149" t="s">
        <v>566</v>
      </c>
      <c r="F72" s="149" t="s">
        <v>1103</v>
      </c>
      <c r="G72" s="149"/>
      <c r="H72" s="149"/>
      <c r="I72" s="149"/>
    </row>
    <row r="73" spans="1:9" x14ac:dyDescent="0.2">
      <c r="A73" s="149"/>
      <c r="B73" s="150">
        <v>43543</v>
      </c>
      <c r="C73" s="149" t="s">
        <v>660</v>
      </c>
      <c r="D73" s="149">
        <v>200</v>
      </c>
      <c r="E73" s="149" t="s">
        <v>593</v>
      </c>
      <c r="F73" s="149" t="s">
        <v>661</v>
      </c>
      <c r="G73" s="149"/>
      <c r="H73" s="149"/>
      <c r="I73" s="149"/>
    </row>
    <row r="74" spans="1:9" x14ac:dyDescent="0.2">
      <c r="A74" s="149"/>
      <c r="B74" s="150">
        <v>43543</v>
      </c>
      <c r="C74" s="149" t="s">
        <v>660</v>
      </c>
      <c r="D74" s="149">
        <v>-24.7</v>
      </c>
      <c r="E74" s="149" t="s">
        <v>566</v>
      </c>
      <c r="F74" s="149" t="s">
        <v>1104</v>
      </c>
      <c r="G74" s="149"/>
      <c r="H74" s="149"/>
      <c r="I74" s="149"/>
    </row>
    <row r="75" spans="1:9" x14ac:dyDescent="0.2">
      <c r="A75" s="149"/>
      <c r="B75" s="150">
        <v>43543</v>
      </c>
      <c r="C75" s="149" t="s">
        <v>660</v>
      </c>
      <c r="D75" s="149">
        <v>-6.1</v>
      </c>
      <c r="E75" s="149" t="s">
        <v>566</v>
      </c>
      <c r="F75" s="149" t="s">
        <v>1105</v>
      </c>
      <c r="G75" s="149"/>
      <c r="H75" s="149"/>
      <c r="I75" s="149"/>
    </row>
    <row r="76" spans="1:9" x14ac:dyDescent="0.2">
      <c r="A76" s="149"/>
      <c r="B76" s="150">
        <v>43543</v>
      </c>
      <c r="C76" s="149" t="s">
        <v>660</v>
      </c>
      <c r="D76" s="155">
        <v>-35</v>
      </c>
      <c r="E76" s="149" t="s">
        <v>566</v>
      </c>
      <c r="F76" s="149" t="s">
        <v>1106</v>
      </c>
      <c r="G76" s="149"/>
      <c r="H76" s="149"/>
      <c r="I76" s="149"/>
    </row>
    <row r="77" spans="1:9" x14ac:dyDescent="0.2">
      <c r="A77" s="149"/>
      <c r="B77" s="150">
        <v>43544</v>
      </c>
      <c r="C77" s="149" t="s">
        <v>660</v>
      </c>
      <c r="D77" s="149">
        <v>19.5</v>
      </c>
      <c r="E77" s="149" t="s">
        <v>800</v>
      </c>
      <c r="F77" s="149" t="s">
        <v>1107</v>
      </c>
      <c r="G77" s="149"/>
      <c r="H77" s="149"/>
      <c r="I77" s="149"/>
    </row>
    <row r="78" spans="1:9" x14ac:dyDescent="0.2">
      <c r="A78" s="149"/>
      <c r="B78" s="150">
        <v>43544</v>
      </c>
      <c r="C78" s="149" t="s">
        <v>660</v>
      </c>
      <c r="D78" s="149">
        <v>-15</v>
      </c>
      <c r="E78" s="149" t="s">
        <v>566</v>
      </c>
      <c r="F78" s="149" t="s">
        <v>1108</v>
      </c>
      <c r="G78" s="149"/>
      <c r="H78" s="149"/>
      <c r="I78" s="149"/>
    </row>
    <row r="79" spans="1:9" x14ac:dyDescent="0.2">
      <c r="A79" s="149"/>
      <c r="B79" s="150">
        <v>43544</v>
      </c>
      <c r="C79" s="149" t="s">
        <v>660</v>
      </c>
      <c r="D79" s="149">
        <v>-12</v>
      </c>
      <c r="E79" s="149" t="s">
        <v>566</v>
      </c>
      <c r="F79" s="149" t="s">
        <v>1109</v>
      </c>
      <c r="G79" s="149"/>
      <c r="H79" s="149"/>
      <c r="I79" s="149"/>
    </row>
    <row r="80" spans="1:9" x14ac:dyDescent="0.2">
      <c r="A80" s="149"/>
      <c r="B80" s="150">
        <v>43544</v>
      </c>
      <c r="C80" s="149" t="s">
        <v>660</v>
      </c>
      <c r="D80" s="149">
        <v>-8.59</v>
      </c>
      <c r="E80" s="149" t="s">
        <v>566</v>
      </c>
      <c r="F80" s="149" t="s">
        <v>1110</v>
      </c>
      <c r="G80" s="149"/>
      <c r="H80" s="149"/>
      <c r="I80" s="149"/>
    </row>
    <row r="81" spans="1:9" x14ac:dyDescent="0.2">
      <c r="A81" s="149"/>
      <c r="B81" s="150">
        <v>43544</v>
      </c>
      <c r="C81" s="149" t="s">
        <v>660</v>
      </c>
      <c r="D81" s="149">
        <v>-4.75</v>
      </c>
      <c r="E81" s="149" t="s">
        <v>566</v>
      </c>
      <c r="F81" s="149" t="s">
        <v>1111</v>
      </c>
      <c r="G81" s="149"/>
      <c r="H81" s="149"/>
      <c r="I81" s="149"/>
    </row>
    <row r="82" spans="1:9" x14ac:dyDescent="0.2">
      <c r="A82" s="149"/>
      <c r="B82" s="150">
        <v>43544</v>
      </c>
      <c r="C82" s="149" t="s">
        <v>660</v>
      </c>
      <c r="D82" s="149">
        <v>-2</v>
      </c>
      <c r="E82" s="149" t="s">
        <v>566</v>
      </c>
      <c r="F82" s="149" t="s">
        <v>1112</v>
      </c>
      <c r="G82" s="149"/>
      <c r="H82" s="149"/>
      <c r="I82" s="149"/>
    </row>
    <row r="83" spans="1:9" x14ac:dyDescent="0.2">
      <c r="A83" s="149"/>
      <c r="B83" s="150">
        <v>43544</v>
      </c>
      <c r="C83" s="149" t="s">
        <v>660</v>
      </c>
      <c r="D83" s="149">
        <v>-1.3</v>
      </c>
      <c r="E83" s="149" t="s">
        <v>566</v>
      </c>
      <c r="F83" s="149" t="s">
        <v>1113</v>
      </c>
      <c r="G83" s="149"/>
      <c r="H83" s="149"/>
      <c r="I83" s="149"/>
    </row>
    <row r="84" spans="1:9" x14ac:dyDescent="0.2">
      <c r="B84" s="83">
        <v>43544</v>
      </c>
      <c r="C84" t="s">
        <v>660</v>
      </c>
      <c r="D84">
        <v>-10</v>
      </c>
      <c r="E84" t="s">
        <v>592</v>
      </c>
      <c r="F84" t="s">
        <v>1099</v>
      </c>
    </row>
    <row r="85" spans="1:9" x14ac:dyDescent="0.2">
      <c r="B85" s="83">
        <v>43544</v>
      </c>
      <c r="C85" t="s">
        <v>660</v>
      </c>
      <c r="D85">
        <v>-50.26</v>
      </c>
      <c r="E85" t="s">
        <v>566</v>
      </c>
      <c r="F85" t="s">
        <v>1114</v>
      </c>
    </row>
    <row r="86" spans="1:9" x14ac:dyDescent="0.2">
      <c r="B86" s="83">
        <v>43545</v>
      </c>
      <c r="C86" t="s">
        <v>660</v>
      </c>
      <c r="D86">
        <v>-19.8</v>
      </c>
      <c r="E86" t="s">
        <v>566</v>
      </c>
      <c r="F86" t="s">
        <v>1115</v>
      </c>
    </row>
    <row r="87" spans="1:9" x14ac:dyDescent="0.2">
      <c r="B87" s="83">
        <v>43545</v>
      </c>
      <c r="C87" t="s">
        <v>660</v>
      </c>
      <c r="D87">
        <v>-9.75</v>
      </c>
      <c r="E87" t="s">
        <v>566</v>
      </c>
      <c r="F87" t="s">
        <v>1116</v>
      </c>
    </row>
    <row r="88" spans="1:9" x14ac:dyDescent="0.2">
      <c r="B88" s="83">
        <v>43545</v>
      </c>
      <c r="C88" t="s">
        <v>660</v>
      </c>
      <c r="D88">
        <v>-7.05</v>
      </c>
      <c r="E88" t="s">
        <v>566</v>
      </c>
      <c r="F88" t="s">
        <v>1117</v>
      </c>
    </row>
    <row r="89" spans="1:9" x14ac:dyDescent="0.2">
      <c r="B89" s="83">
        <v>43545</v>
      </c>
      <c r="C89" t="s">
        <v>660</v>
      </c>
      <c r="D89">
        <v>-1</v>
      </c>
      <c r="E89" t="s">
        <v>566</v>
      </c>
      <c r="F89" t="s">
        <v>1116</v>
      </c>
    </row>
    <row r="90" spans="1:9" x14ac:dyDescent="0.2">
      <c r="B90" s="83">
        <v>43546</v>
      </c>
      <c r="C90" t="s">
        <v>660</v>
      </c>
      <c r="D90">
        <v>300</v>
      </c>
      <c r="E90" t="s">
        <v>593</v>
      </c>
      <c r="F90" t="s">
        <v>661</v>
      </c>
    </row>
    <row r="91" spans="1:9" x14ac:dyDescent="0.2">
      <c r="B91" s="83">
        <v>43546</v>
      </c>
      <c r="C91" t="s">
        <v>660</v>
      </c>
      <c r="D91">
        <v>-23.87</v>
      </c>
      <c r="E91" t="s">
        <v>566</v>
      </c>
      <c r="F91" t="s">
        <v>666</v>
      </c>
    </row>
    <row r="92" spans="1:9" x14ac:dyDescent="0.2">
      <c r="B92" s="83">
        <v>43546</v>
      </c>
      <c r="C92" t="s">
        <v>660</v>
      </c>
      <c r="D92">
        <v>-23.02</v>
      </c>
      <c r="E92" t="s">
        <v>566</v>
      </c>
      <c r="F92" t="s">
        <v>1118</v>
      </c>
    </row>
    <row r="93" spans="1:9" x14ac:dyDescent="0.2">
      <c r="B93" s="83">
        <v>43546</v>
      </c>
      <c r="C93" t="s">
        <v>660</v>
      </c>
      <c r="D93">
        <v>-6.1</v>
      </c>
      <c r="E93" t="s">
        <v>566</v>
      </c>
      <c r="F93" t="s">
        <v>991</v>
      </c>
    </row>
    <row r="94" spans="1:9" x14ac:dyDescent="0.2">
      <c r="B94" s="83">
        <v>43546</v>
      </c>
      <c r="C94" t="s">
        <v>660</v>
      </c>
      <c r="D94">
        <v>-6</v>
      </c>
      <c r="E94" t="s">
        <v>566</v>
      </c>
      <c r="F94" t="s">
        <v>1119</v>
      </c>
    </row>
    <row r="95" spans="1:9" x14ac:dyDescent="0.2">
      <c r="B95" s="83">
        <v>43546</v>
      </c>
      <c r="C95" t="s">
        <v>660</v>
      </c>
      <c r="D95">
        <v>-4.4000000000000004</v>
      </c>
      <c r="E95" t="s">
        <v>566</v>
      </c>
      <c r="F95" t="s">
        <v>1120</v>
      </c>
    </row>
    <row r="96" spans="1:9" x14ac:dyDescent="0.2">
      <c r="B96" s="83">
        <v>43546</v>
      </c>
      <c r="C96" t="s">
        <v>660</v>
      </c>
      <c r="D96">
        <v>-1.3</v>
      </c>
      <c r="E96" t="s">
        <v>566</v>
      </c>
      <c r="F96" t="s">
        <v>1121</v>
      </c>
    </row>
    <row r="97" spans="2:8" x14ac:dyDescent="0.2">
      <c r="B97" s="83">
        <v>43546</v>
      </c>
      <c r="C97" t="s">
        <v>660</v>
      </c>
      <c r="D97">
        <v>-66.040000000000006</v>
      </c>
      <c r="E97" t="s">
        <v>566</v>
      </c>
      <c r="F97" t="s">
        <v>1122</v>
      </c>
    </row>
    <row r="98" spans="2:8" x14ac:dyDescent="0.2">
      <c r="B98" s="83">
        <v>43546</v>
      </c>
      <c r="C98" t="s">
        <v>660</v>
      </c>
      <c r="D98">
        <v>-11.98</v>
      </c>
      <c r="E98" t="s">
        <v>566</v>
      </c>
      <c r="F98" t="s">
        <v>1123</v>
      </c>
    </row>
    <row r="99" spans="2:8" x14ac:dyDescent="0.2">
      <c r="B99" s="83">
        <v>43549</v>
      </c>
      <c r="C99" t="s">
        <v>660</v>
      </c>
      <c r="D99" s="52">
        <v>40</v>
      </c>
      <c r="E99" t="s">
        <v>593</v>
      </c>
      <c r="F99" t="s">
        <v>1124</v>
      </c>
    </row>
    <row r="100" spans="2:8" x14ac:dyDescent="0.2">
      <c r="B100" s="83">
        <v>43549</v>
      </c>
      <c r="C100" t="s">
        <v>660</v>
      </c>
      <c r="D100" s="52">
        <v>-40</v>
      </c>
      <c r="E100" t="s">
        <v>566</v>
      </c>
      <c r="F100" t="s">
        <v>1125</v>
      </c>
      <c r="G100" t="s">
        <v>510</v>
      </c>
      <c r="H100" s="47" t="s">
        <v>1173</v>
      </c>
    </row>
    <row r="101" spans="2:8" x14ac:dyDescent="0.2">
      <c r="B101" s="83">
        <v>43549</v>
      </c>
      <c r="C101" t="s">
        <v>660</v>
      </c>
      <c r="D101">
        <v>-27.31</v>
      </c>
      <c r="E101" t="s">
        <v>566</v>
      </c>
      <c r="F101" t="s">
        <v>1126</v>
      </c>
    </row>
    <row r="102" spans="2:8" x14ac:dyDescent="0.2">
      <c r="B102" s="83">
        <v>43549</v>
      </c>
      <c r="C102" t="s">
        <v>660</v>
      </c>
      <c r="D102">
        <v>-23.77</v>
      </c>
      <c r="E102" t="s">
        <v>566</v>
      </c>
      <c r="F102" t="s">
        <v>1127</v>
      </c>
    </row>
    <row r="103" spans="2:8" x14ac:dyDescent="0.2">
      <c r="B103" s="83">
        <v>43549</v>
      </c>
      <c r="C103" t="s">
        <v>660</v>
      </c>
      <c r="D103">
        <v>-20</v>
      </c>
      <c r="E103" t="s">
        <v>566</v>
      </c>
      <c r="F103" t="s">
        <v>1128</v>
      </c>
    </row>
    <row r="104" spans="2:8" x14ac:dyDescent="0.2">
      <c r="B104" s="83">
        <v>43549</v>
      </c>
      <c r="C104" t="s">
        <v>660</v>
      </c>
      <c r="D104">
        <v>-14.25</v>
      </c>
      <c r="E104" t="s">
        <v>566</v>
      </c>
      <c r="F104" t="s">
        <v>1129</v>
      </c>
    </row>
    <row r="105" spans="2:8" x14ac:dyDescent="0.2">
      <c r="B105" s="83">
        <v>43549</v>
      </c>
      <c r="C105" t="s">
        <v>660</v>
      </c>
      <c r="D105">
        <v>-11.05</v>
      </c>
      <c r="E105" t="s">
        <v>566</v>
      </c>
      <c r="F105" t="s">
        <v>1130</v>
      </c>
    </row>
    <row r="106" spans="2:8" x14ac:dyDescent="0.2">
      <c r="B106" s="83">
        <v>43549</v>
      </c>
      <c r="C106" t="s">
        <v>660</v>
      </c>
      <c r="D106">
        <v>-10.99</v>
      </c>
      <c r="E106" t="s">
        <v>566</v>
      </c>
      <c r="F106" t="s">
        <v>1131</v>
      </c>
    </row>
    <row r="107" spans="2:8" x14ac:dyDescent="0.2">
      <c r="B107" s="83">
        <v>43549</v>
      </c>
      <c r="C107" t="s">
        <v>660</v>
      </c>
      <c r="D107">
        <v>-7.67</v>
      </c>
      <c r="E107" t="s">
        <v>566</v>
      </c>
      <c r="F107" t="s">
        <v>1132</v>
      </c>
    </row>
    <row r="108" spans="2:8" x14ac:dyDescent="0.2">
      <c r="B108" s="83">
        <v>43549</v>
      </c>
      <c r="C108" t="s">
        <v>660</v>
      </c>
      <c r="D108">
        <v>-7.6</v>
      </c>
      <c r="E108" t="s">
        <v>566</v>
      </c>
      <c r="F108" t="s">
        <v>1133</v>
      </c>
    </row>
    <row r="109" spans="2:8" x14ac:dyDescent="0.2">
      <c r="B109" s="83">
        <v>43549</v>
      </c>
      <c r="C109" t="s">
        <v>660</v>
      </c>
      <c r="D109">
        <v>-5.15</v>
      </c>
      <c r="E109" t="s">
        <v>566</v>
      </c>
      <c r="F109" t="s">
        <v>1134</v>
      </c>
    </row>
    <row r="110" spans="2:8" x14ac:dyDescent="0.2">
      <c r="B110" s="83">
        <v>43549</v>
      </c>
      <c r="C110" t="s">
        <v>660</v>
      </c>
      <c r="D110">
        <v>-4.9800000000000004</v>
      </c>
      <c r="E110" t="s">
        <v>566</v>
      </c>
      <c r="F110" t="s">
        <v>1135</v>
      </c>
    </row>
    <row r="111" spans="2:8" x14ac:dyDescent="0.2">
      <c r="B111" s="83">
        <v>43549</v>
      </c>
      <c r="C111" t="s">
        <v>660</v>
      </c>
      <c r="D111">
        <v>-4.05</v>
      </c>
      <c r="E111" t="s">
        <v>566</v>
      </c>
      <c r="F111" t="s">
        <v>1133</v>
      </c>
    </row>
    <row r="112" spans="2:8" x14ac:dyDescent="0.2">
      <c r="B112" s="83">
        <v>43549</v>
      </c>
      <c r="C112" t="s">
        <v>660</v>
      </c>
      <c r="D112">
        <v>-2.95</v>
      </c>
      <c r="E112" t="s">
        <v>566</v>
      </c>
      <c r="F112" t="s">
        <v>1136</v>
      </c>
    </row>
    <row r="113" spans="2:8" x14ac:dyDescent="0.2">
      <c r="B113" s="83">
        <v>43549</v>
      </c>
      <c r="C113" t="s">
        <v>660</v>
      </c>
      <c r="D113" s="155">
        <v>-79</v>
      </c>
      <c r="E113" t="s">
        <v>566</v>
      </c>
      <c r="F113" t="s">
        <v>1137</v>
      </c>
      <c r="H113" s="47" t="s">
        <v>1174</v>
      </c>
    </row>
    <row r="114" spans="2:8" x14ac:dyDescent="0.2">
      <c r="B114" s="83">
        <v>43549</v>
      </c>
      <c r="C114" t="s">
        <v>660</v>
      </c>
      <c r="D114">
        <v>-1.8</v>
      </c>
      <c r="E114" t="s">
        <v>566</v>
      </c>
      <c r="F114" t="s">
        <v>1138</v>
      </c>
    </row>
    <row r="115" spans="2:8" x14ac:dyDescent="0.2">
      <c r="B115" s="83">
        <v>43550</v>
      </c>
      <c r="C115" t="s">
        <v>660</v>
      </c>
      <c r="D115">
        <v>220</v>
      </c>
      <c r="E115" t="s">
        <v>593</v>
      </c>
      <c r="F115" t="s">
        <v>661</v>
      </c>
    </row>
    <row r="116" spans="2:8" x14ac:dyDescent="0.2">
      <c r="B116" s="83">
        <v>43550</v>
      </c>
      <c r="C116" t="s">
        <v>660</v>
      </c>
      <c r="D116">
        <v>-7</v>
      </c>
      <c r="E116" t="s">
        <v>566</v>
      </c>
      <c r="F116" t="s">
        <v>1139</v>
      </c>
    </row>
    <row r="117" spans="2:8" x14ac:dyDescent="0.2">
      <c r="B117" s="83">
        <v>43550</v>
      </c>
      <c r="C117" t="s">
        <v>660</v>
      </c>
      <c r="D117">
        <v>-6.99</v>
      </c>
      <c r="E117" t="s">
        <v>566</v>
      </c>
      <c r="F117" t="s">
        <v>1140</v>
      </c>
    </row>
    <row r="118" spans="2:8" x14ac:dyDescent="0.2">
      <c r="B118" s="83">
        <v>43550</v>
      </c>
      <c r="C118" t="s">
        <v>660</v>
      </c>
      <c r="D118">
        <v>-6.5</v>
      </c>
      <c r="E118" t="s">
        <v>566</v>
      </c>
      <c r="F118" t="s">
        <v>1139</v>
      </c>
    </row>
    <row r="119" spans="2:8" x14ac:dyDescent="0.2">
      <c r="B119" s="83">
        <v>43550</v>
      </c>
      <c r="C119" t="s">
        <v>660</v>
      </c>
      <c r="D119">
        <v>-6.1</v>
      </c>
      <c r="E119" t="s">
        <v>566</v>
      </c>
      <c r="F119" t="s">
        <v>1141</v>
      </c>
    </row>
    <row r="120" spans="2:8" x14ac:dyDescent="0.2">
      <c r="B120" s="83">
        <v>43550</v>
      </c>
      <c r="C120" t="s">
        <v>660</v>
      </c>
      <c r="D120">
        <v>-2</v>
      </c>
      <c r="E120" t="s">
        <v>566</v>
      </c>
      <c r="F120" t="s">
        <v>1142</v>
      </c>
    </row>
    <row r="121" spans="2:8" x14ac:dyDescent="0.2">
      <c r="B121" s="83">
        <v>43551</v>
      </c>
      <c r="C121" t="s">
        <v>660</v>
      </c>
      <c r="D121">
        <v>1200</v>
      </c>
      <c r="E121" t="s">
        <v>624</v>
      </c>
      <c r="F121" t="s">
        <v>662</v>
      </c>
    </row>
    <row r="122" spans="2:8" x14ac:dyDescent="0.2">
      <c r="B122" s="83">
        <v>43551</v>
      </c>
      <c r="C122" t="s">
        <v>660</v>
      </c>
      <c r="D122">
        <v>-10</v>
      </c>
      <c r="E122" t="s">
        <v>593</v>
      </c>
      <c r="F122" t="s">
        <v>1143</v>
      </c>
    </row>
    <row r="123" spans="2:8" x14ac:dyDescent="0.2">
      <c r="B123" s="83">
        <v>43551</v>
      </c>
      <c r="C123" t="s">
        <v>660</v>
      </c>
      <c r="D123">
        <v>-22.44</v>
      </c>
      <c r="E123" t="s">
        <v>566</v>
      </c>
      <c r="F123" t="s">
        <v>1013</v>
      </c>
    </row>
    <row r="124" spans="2:8" x14ac:dyDescent="0.2">
      <c r="B124" s="83">
        <v>43551</v>
      </c>
      <c r="C124" t="s">
        <v>660</v>
      </c>
      <c r="D124">
        <v>-14.99</v>
      </c>
      <c r="E124" t="s">
        <v>566</v>
      </c>
      <c r="F124" t="s">
        <v>1144</v>
      </c>
    </row>
    <row r="125" spans="2:8" x14ac:dyDescent="0.2">
      <c r="B125" s="83">
        <v>43551</v>
      </c>
      <c r="C125" t="s">
        <v>660</v>
      </c>
      <c r="D125">
        <v>-6.05</v>
      </c>
      <c r="E125" t="s">
        <v>566</v>
      </c>
      <c r="F125" t="s">
        <v>1145</v>
      </c>
    </row>
    <row r="126" spans="2:8" x14ac:dyDescent="0.2">
      <c r="B126" s="83">
        <v>43551</v>
      </c>
      <c r="C126" t="s">
        <v>660</v>
      </c>
      <c r="D126">
        <v>-7.77</v>
      </c>
      <c r="E126" t="s">
        <v>566</v>
      </c>
      <c r="F126" t="s">
        <v>1146</v>
      </c>
    </row>
    <row r="127" spans="2:8" x14ac:dyDescent="0.2">
      <c r="B127" s="83">
        <v>43552</v>
      </c>
      <c r="C127" t="s">
        <v>660</v>
      </c>
      <c r="D127">
        <v>-13.98</v>
      </c>
      <c r="E127" t="s">
        <v>566</v>
      </c>
      <c r="F127" t="s">
        <v>1147</v>
      </c>
    </row>
    <row r="128" spans="2:8" x14ac:dyDescent="0.2">
      <c r="B128" s="83">
        <v>43552</v>
      </c>
      <c r="C128" t="s">
        <v>660</v>
      </c>
      <c r="D128" s="52">
        <v>-162.94</v>
      </c>
      <c r="E128" t="s">
        <v>566</v>
      </c>
      <c r="F128" t="s">
        <v>1148</v>
      </c>
      <c r="G128" t="s">
        <v>510</v>
      </c>
      <c r="H128" s="47" t="s">
        <v>1177</v>
      </c>
    </row>
    <row r="129" spans="2:6" x14ac:dyDescent="0.2">
      <c r="B129" s="83">
        <v>43552</v>
      </c>
      <c r="C129" t="s">
        <v>660</v>
      </c>
      <c r="D129">
        <v>-2.1800000000000002</v>
      </c>
      <c r="E129" t="s">
        <v>566</v>
      </c>
      <c r="F129" t="s">
        <v>1149</v>
      </c>
    </row>
    <row r="130" spans="2:6" x14ac:dyDescent="0.2">
      <c r="B130" s="83">
        <v>43552</v>
      </c>
      <c r="C130" t="s">
        <v>660</v>
      </c>
      <c r="D130">
        <v>-2.1800000000000002</v>
      </c>
      <c r="E130" t="s">
        <v>566</v>
      </c>
      <c r="F130" t="s">
        <v>1149</v>
      </c>
    </row>
    <row r="131" spans="2:6" x14ac:dyDescent="0.2">
      <c r="B131" s="83">
        <v>43553</v>
      </c>
      <c r="C131" t="s">
        <v>660</v>
      </c>
      <c r="D131">
        <v>-13.62</v>
      </c>
      <c r="E131" t="s">
        <v>566</v>
      </c>
      <c r="F131" t="s">
        <v>1150</v>
      </c>
    </row>
    <row r="132" spans="2:6" x14ac:dyDescent="0.2">
      <c r="B132" s="83">
        <v>43553</v>
      </c>
      <c r="C132" t="s">
        <v>660</v>
      </c>
      <c r="D132">
        <v>-8.86</v>
      </c>
      <c r="E132" t="s">
        <v>566</v>
      </c>
      <c r="F132" t="s">
        <v>1151</v>
      </c>
    </row>
    <row r="133" spans="2:6" x14ac:dyDescent="0.2">
      <c r="B133" s="83">
        <v>43553</v>
      </c>
      <c r="C133" t="s">
        <v>660</v>
      </c>
      <c r="D133">
        <v>-55</v>
      </c>
      <c r="E133" t="s">
        <v>566</v>
      </c>
      <c r="F133" t="s">
        <v>1152</v>
      </c>
    </row>
    <row r="134" spans="2:6" x14ac:dyDescent="0.2">
      <c r="B134" s="83">
        <v>43553</v>
      </c>
      <c r="C134" t="s">
        <v>660</v>
      </c>
      <c r="D134">
        <v>-36.83</v>
      </c>
      <c r="E134" t="s">
        <v>566</v>
      </c>
      <c r="F134" t="s">
        <v>1153</v>
      </c>
    </row>
    <row r="135" spans="2:6" x14ac:dyDescent="0.2">
      <c r="B135" s="83">
        <v>43553</v>
      </c>
      <c r="C135" t="s">
        <v>660</v>
      </c>
      <c r="D135">
        <v>-9</v>
      </c>
      <c r="E135" t="s">
        <v>575</v>
      </c>
      <c r="F135" t="s">
        <v>1154</v>
      </c>
    </row>
    <row r="136" spans="2:6" x14ac:dyDescent="0.2">
      <c r="B136" s="83"/>
    </row>
    <row r="137" spans="2:6" x14ac:dyDescent="0.2">
      <c r="B137" s="83"/>
    </row>
    <row r="138" spans="2:6" x14ac:dyDescent="0.2">
      <c r="B138" s="83"/>
    </row>
    <row r="139" spans="2:6" x14ac:dyDescent="0.2">
      <c r="B139" s="83"/>
    </row>
    <row r="140" spans="2:6" x14ac:dyDescent="0.2">
      <c r="B140" s="83"/>
    </row>
    <row r="141" spans="2:6" x14ac:dyDescent="0.2">
      <c r="B141" s="83"/>
    </row>
    <row r="142" spans="2:6" x14ac:dyDescent="0.2">
      <c r="B142" s="83"/>
    </row>
    <row r="143" spans="2:6" x14ac:dyDescent="0.2">
      <c r="B143" s="83"/>
    </row>
    <row r="144" spans="2:6" x14ac:dyDescent="0.2">
      <c r="B144" s="83"/>
    </row>
    <row r="145" spans="2:2" x14ac:dyDescent="0.2">
      <c r="B145" s="83"/>
    </row>
    <row r="146" spans="2:2" x14ac:dyDescent="0.2">
      <c r="B146" s="83"/>
    </row>
    <row r="147" spans="2:2" x14ac:dyDescent="0.2">
      <c r="B147" s="83"/>
    </row>
    <row r="148" spans="2:2" x14ac:dyDescent="0.2">
      <c r="B148" s="83"/>
    </row>
    <row r="149" spans="2:2" x14ac:dyDescent="0.2">
      <c r="B149" s="83"/>
    </row>
    <row r="150" spans="2:2" x14ac:dyDescent="0.2">
      <c r="B150" s="83"/>
    </row>
    <row r="151" spans="2:2" x14ac:dyDescent="0.2">
      <c r="B151" s="83"/>
    </row>
    <row r="152" spans="2:2" x14ac:dyDescent="0.2">
      <c r="B152" s="83"/>
    </row>
    <row r="153" spans="2:2" x14ac:dyDescent="0.2">
      <c r="B153" s="83"/>
    </row>
    <row r="154" spans="2:2" x14ac:dyDescent="0.2">
      <c r="B154" s="83"/>
    </row>
    <row r="155" spans="2:2" x14ac:dyDescent="0.2">
      <c r="B155" s="83"/>
    </row>
    <row r="156" spans="2:2" x14ac:dyDescent="0.2">
      <c r="B156" s="83"/>
    </row>
    <row r="157" spans="2:2" x14ac:dyDescent="0.2">
      <c r="B157" s="83"/>
    </row>
    <row r="158" spans="2:2" x14ac:dyDescent="0.2">
      <c r="B158" s="83"/>
    </row>
    <row r="159" spans="2:2" x14ac:dyDescent="0.2">
      <c r="B159" s="83"/>
    </row>
    <row r="160" spans="2:2" x14ac:dyDescent="0.2">
      <c r="B160" s="83"/>
    </row>
    <row r="161" spans="2:2" x14ac:dyDescent="0.2">
      <c r="B161" s="83"/>
    </row>
    <row r="162" spans="2:2" x14ac:dyDescent="0.2">
      <c r="B162" s="83"/>
    </row>
    <row r="163" spans="2:2" x14ac:dyDescent="0.2">
      <c r="B163" s="83"/>
    </row>
    <row r="164" spans="2:2" x14ac:dyDescent="0.2">
      <c r="B164" s="83"/>
    </row>
    <row r="165" spans="2:2" x14ac:dyDescent="0.2">
      <c r="B165" s="83"/>
    </row>
    <row r="166" spans="2:2" x14ac:dyDescent="0.2">
      <c r="B166" s="83"/>
    </row>
    <row r="167" spans="2:2" x14ac:dyDescent="0.2">
      <c r="B167" s="83"/>
    </row>
    <row r="168" spans="2:2" x14ac:dyDescent="0.2">
      <c r="B168" s="83"/>
    </row>
    <row r="169" spans="2:2" x14ac:dyDescent="0.2">
      <c r="B169" s="83"/>
    </row>
    <row r="170" spans="2:2" x14ac:dyDescent="0.2">
      <c r="B170" s="83"/>
    </row>
    <row r="171" spans="2:2" x14ac:dyDescent="0.2">
      <c r="B171" s="83"/>
    </row>
    <row r="172" spans="2:2" x14ac:dyDescent="0.2">
      <c r="B172" s="83"/>
    </row>
    <row r="173" spans="2:2" x14ac:dyDescent="0.2">
      <c r="B173" s="83"/>
    </row>
    <row r="174" spans="2:2" x14ac:dyDescent="0.2">
      <c r="B174" s="83"/>
    </row>
    <row r="175" spans="2:2" x14ac:dyDescent="0.2">
      <c r="B175" s="83"/>
    </row>
    <row r="176" spans="2:2" x14ac:dyDescent="0.2">
      <c r="B176" s="83"/>
    </row>
    <row r="177" spans="2:2" x14ac:dyDescent="0.2">
      <c r="B177" s="83"/>
    </row>
    <row r="178" spans="2:2" x14ac:dyDescent="0.2">
      <c r="B178" s="83"/>
    </row>
    <row r="179" spans="2:2" x14ac:dyDescent="0.2">
      <c r="B179" s="83"/>
    </row>
    <row r="180" spans="2:2" x14ac:dyDescent="0.2">
      <c r="B180" s="83"/>
    </row>
    <row r="181" spans="2:2" x14ac:dyDescent="0.2">
      <c r="B181" s="83"/>
    </row>
    <row r="182" spans="2:2" x14ac:dyDescent="0.2">
      <c r="B182" s="83"/>
    </row>
    <row r="183" spans="2:2" x14ac:dyDescent="0.2">
      <c r="B183" s="83"/>
    </row>
    <row r="184" spans="2:2" x14ac:dyDescent="0.2">
      <c r="B184" s="83"/>
    </row>
    <row r="185" spans="2:2" x14ac:dyDescent="0.2">
      <c r="B185" s="83"/>
    </row>
  </sheetData>
  <autoFilter ref="A1:I135" xr:uid="{7607D0D1-EE28-41D3-A21A-58034E62A422}"/>
  <sortState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abSelected="1" workbookViewId="0" zoomScale="85" zoomScaleNormal="85">
      <selection activeCell="A96" sqref="A96"/>
    </sheetView>
  </sheetViews>
  <sheetFormatPr defaultRowHeight="12.75" x14ac:dyDescent="0.2"/>
  <cols>
    <col min="1" max="1" bestFit="true" customWidth="true" width="1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793</v>
      </c>
    </row>
    <row r="2" spans="1:10" x14ac:dyDescent="0.2">
      <c r="A2" t="s">
        <v>480</v>
      </c>
      <c r="B2">
        <v>588106</v>
      </c>
      <c r="C2" s="67">
        <v>43535.658796296295</v>
      </c>
      <c r="D2" t="s">
        <v>812</v>
      </c>
      <c r="F2">
        <v>0</v>
      </c>
      <c r="G2">
        <v>0</v>
      </c>
      <c r="H2">
        <v>434.4</v>
      </c>
      <c r="J2" t="s">
        <v>1186</v>
      </c>
    </row>
    <row r="3" spans="1:10" x14ac:dyDescent="0.2">
      <c r="A3" t="s">
        <v>480</v>
      </c>
      <c r="B3">
        <v>588106</v>
      </c>
      <c r="C3" s="67">
        <v>43535.658796296295</v>
      </c>
      <c r="D3" t="s">
        <v>701</v>
      </c>
      <c r="F3">
        <v>189172</v>
      </c>
      <c r="G3">
        <v>31.27</v>
      </c>
      <c r="H3">
        <v>0</v>
      </c>
      <c r="J3" t="s">
        <v>1187</v>
      </c>
    </row>
    <row r="4" spans="1:10" x14ac:dyDescent="0.2">
      <c r="A4" t="s">
        <v>480</v>
      </c>
      <c r="B4">
        <v>588230</v>
      </c>
      <c r="C4" s="67">
        <v>43535.66233796296</v>
      </c>
      <c r="D4" t="s">
        <v>702</v>
      </c>
      <c r="E4" t="s">
        <v>1179</v>
      </c>
      <c r="F4">
        <v>161068</v>
      </c>
      <c r="G4">
        <v>397.13</v>
      </c>
      <c r="H4">
        <v>0</v>
      </c>
      <c r="J4" t="s">
        <v>1188</v>
      </c>
    </row>
    <row r="5" spans="1:10" x14ac:dyDescent="0.2">
      <c r="A5" t="s">
        <v>480</v>
      </c>
      <c r="B5">
        <v>589663</v>
      </c>
      <c r="C5" s="67">
        <v>43538.706111111111</v>
      </c>
      <c r="D5" t="s">
        <v>854</v>
      </c>
      <c r="F5">
        <v>0</v>
      </c>
      <c r="G5">
        <v>0</v>
      </c>
      <c r="H5">
        <v>31.72</v>
      </c>
      <c r="J5" t="s">
        <v>1186</v>
      </c>
    </row>
    <row r="6" spans="1:10" x14ac:dyDescent="0.2">
      <c r="A6" t="s">
        <v>480</v>
      </c>
      <c r="B6">
        <v>589663</v>
      </c>
      <c r="C6" s="67">
        <v>43538.706111111111</v>
      </c>
      <c r="D6" t="s">
        <v>701</v>
      </c>
      <c r="F6">
        <v>189678</v>
      </c>
      <c r="G6">
        <v>2.2799999999999998</v>
      </c>
      <c r="H6">
        <v>0</v>
      </c>
      <c r="J6" t="s">
        <v>1187</v>
      </c>
    </row>
    <row r="7" spans="1:10" x14ac:dyDescent="0.2">
      <c r="A7" t="s">
        <v>480</v>
      </c>
      <c r="B7">
        <v>589718</v>
      </c>
      <c r="C7" s="67">
        <v>43538.71234953704</v>
      </c>
      <c r="D7" t="s">
        <v>702</v>
      </c>
      <c r="E7" t="s">
        <v>1179</v>
      </c>
      <c r="F7">
        <v>161616</v>
      </c>
      <c r="G7">
        <v>29.44</v>
      </c>
      <c r="H7">
        <v>0</v>
      </c>
      <c r="J7" t="s">
        <v>1188</v>
      </c>
    </row>
    <row r="8" spans="1:10" x14ac:dyDescent="0.2">
      <c r="A8" t="s">
        <v>480</v>
      </c>
      <c r="B8">
        <v>592983</v>
      </c>
      <c r="C8" s="67">
        <v>43552.02611111111</v>
      </c>
      <c r="D8" s="47" t="s">
        <v>756</v>
      </c>
      <c r="E8" t="s">
        <v>1180</v>
      </c>
      <c r="F8">
        <v>192279</v>
      </c>
      <c r="G8">
        <v>6</v>
      </c>
      <c r="H8">
        <v>0</v>
      </c>
      <c r="J8" t="s">
        <v>1189</v>
      </c>
    </row>
    <row r="9" spans="1:10" x14ac:dyDescent="0.2">
      <c r="A9" t="s">
        <v>482</v>
      </c>
      <c r="B9">
        <v>585406</v>
      </c>
      <c r="C9" s="67">
        <v>43525.601122685184</v>
      </c>
      <c r="D9" t="s">
        <v>855</v>
      </c>
      <c r="F9">
        <v>0</v>
      </c>
      <c r="G9">
        <v>0</v>
      </c>
      <c r="H9">
        <v>720</v>
      </c>
      <c r="J9" t="s">
        <v>1186</v>
      </c>
    </row>
    <row r="10" spans="1:10" x14ac:dyDescent="0.2">
      <c r="A10" t="s">
        <v>482</v>
      </c>
      <c r="B10">
        <v>585406</v>
      </c>
      <c r="C10" s="67">
        <v>43525.601122685184</v>
      </c>
      <c r="D10" t="s">
        <v>699</v>
      </c>
      <c r="F10">
        <v>188022</v>
      </c>
      <c r="G10">
        <v>51.84</v>
      </c>
      <c r="H10">
        <v>0</v>
      </c>
      <c r="J10" t="s">
        <v>1187</v>
      </c>
    </row>
    <row r="11" spans="1:10" x14ac:dyDescent="0.2">
      <c r="A11" t="s">
        <v>482</v>
      </c>
      <c r="B11">
        <v>585593</v>
      </c>
      <c r="C11" s="67">
        <v>43525.622002314813</v>
      </c>
      <c r="D11" t="s">
        <v>700</v>
      </c>
      <c r="E11" t="s">
        <v>1179</v>
      </c>
      <c r="F11">
        <v>160218</v>
      </c>
      <c r="G11">
        <v>662.16</v>
      </c>
      <c r="H11">
        <v>0</v>
      </c>
      <c r="J11" t="s">
        <v>1188</v>
      </c>
    </row>
    <row r="12" spans="1:10" x14ac:dyDescent="0.2">
      <c r="A12" t="s">
        <v>482</v>
      </c>
      <c r="B12">
        <v>592983</v>
      </c>
      <c r="C12" s="67">
        <v>43552.02611111111</v>
      </c>
      <c r="D12" t="s">
        <v>757</v>
      </c>
      <c r="E12" t="s">
        <v>1180</v>
      </c>
      <c r="F12">
        <v>192334</v>
      </c>
      <c r="G12">
        <v>6</v>
      </c>
      <c r="H12">
        <v>0</v>
      </c>
      <c r="J12" t="s">
        <v>1189</v>
      </c>
    </row>
    <row r="13" spans="1:10" x14ac:dyDescent="0.2">
      <c r="A13" t="s">
        <v>485</v>
      </c>
      <c r="B13">
        <v>586336</v>
      </c>
      <c r="C13" s="67">
        <v>43528.675740740742</v>
      </c>
      <c r="D13" t="s">
        <v>811</v>
      </c>
      <c r="F13">
        <v>0</v>
      </c>
      <c r="G13">
        <v>0</v>
      </c>
      <c r="H13">
        <v>250</v>
      </c>
      <c r="J13" t="s">
        <v>1186</v>
      </c>
    </row>
    <row r="14" spans="1:10" x14ac:dyDescent="0.2">
      <c r="A14" t="s">
        <v>485</v>
      </c>
      <c r="B14">
        <v>586336</v>
      </c>
      <c r="C14" s="67">
        <v>43528.675740740742</v>
      </c>
      <c r="D14" t="s">
        <v>697</v>
      </c>
      <c r="F14">
        <v>188509</v>
      </c>
      <c r="G14">
        <v>18</v>
      </c>
      <c r="H14">
        <v>0</v>
      </c>
      <c r="J14" t="s">
        <v>1187</v>
      </c>
    </row>
    <row r="15" spans="1:10" x14ac:dyDescent="0.2">
      <c r="A15" t="s">
        <v>485</v>
      </c>
      <c r="B15">
        <v>586352</v>
      </c>
      <c r="C15" s="67">
        <v>43528.681030092594</v>
      </c>
      <c r="D15" t="s">
        <v>698</v>
      </c>
      <c r="E15" t="s">
        <v>1179</v>
      </c>
      <c r="F15">
        <v>160649</v>
      </c>
      <c r="G15">
        <v>232</v>
      </c>
      <c r="H15">
        <v>0</v>
      </c>
      <c r="J15" t="s">
        <v>1188</v>
      </c>
    </row>
    <row r="16" spans="1:10" x14ac:dyDescent="0.2">
      <c r="A16" t="s">
        <v>485</v>
      </c>
      <c r="B16">
        <v>592983</v>
      </c>
      <c r="C16" s="67">
        <v>43552.02611111111</v>
      </c>
      <c r="D16" t="s">
        <v>758</v>
      </c>
      <c r="E16" t="s">
        <v>1180</v>
      </c>
      <c r="F16">
        <v>192477</v>
      </c>
      <c r="G16">
        <v>6</v>
      </c>
      <c r="H16">
        <v>0</v>
      </c>
      <c r="J16" t="s">
        <v>1189</v>
      </c>
    </row>
    <row r="17" spans="1:8" x14ac:dyDescent="0.2">
      <c r="A17" t="s">
        <v>486</v>
      </c>
      <c r="B17">
        <v>587374</v>
      </c>
      <c r="C17" s="67">
        <v>43531.666226851848</v>
      </c>
      <c r="D17" t="s">
        <v>856</v>
      </c>
      <c r="F17">
        <v>0</v>
      </c>
      <c r="G17">
        <v>0</v>
      </c>
      <c r="H17">
        <v>505</v>
      </c>
      <c r="J17" t="s">
        <v>1186</v>
      </c>
    </row>
    <row r="18" spans="1:8" x14ac:dyDescent="0.2">
      <c r="A18" t="s">
        <v>486</v>
      </c>
      <c r="B18">
        <v>587374</v>
      </c>
      <c r="C18" s="67">
        <v>43531.666226851848</v>
      </c>
      <c r="D18" t="s">
        <v>695</v>
      </c>
      <c r="F18">
        <v>188873</v>
      </c>
      <c r="G18">
        <v>36.36</v>
      </c>
      <c r="H18">
        <v>0</v>
      </c>
      <c r="J18" t="s">
        <v>1187</v>
      </c>
    </row>
    <row r="19" spans="1:8" x14ac:dyDescent="0.2">
      <c r="A19" t="s">
        <v>486</v>
      </c>
      <c r="B19">
        <v>587382</v>
      </c>
      <c r="C19" s="67">
        <v>43531.670972222222</v>
      </c>
      <c r="D19" t="s">
        <v>696</v>
      </c>
      <c r="E19" t="s">
        <v>1179</v>
      </c>
      <c r="F19">
        <v>160931</v>
      </c>
      <c r="G19">
        <v>462.64</v>
      </c>
      <c r="H19">
        <v>0</v>
      </c>
      <c r="J19" t="s">
        <v>1188</v>
      </c>
    </row>
    <row r="20" spans="1:8" x14ac:dyDescent="0.2">
      <c r="A20" t="s">
        <v>486</v>
      </c>
      <c r="B20">
        <v>592983</v>
      </c>
      <c r="C20" s="67">
        <v>43552.02611111111</v>
      </c>
      <c r="D20" t="s">
        <v>759</v>
      </c>
      <c r="E20" t="s">
        <v>1180</v>
      </c>
      <c r="F20">
        <v>192478</v>
      </c>
      <c r="G20">
        <v>6</v>
      </c>
      <c r="H20">
        <v>0</v>
      </c>
      <c r="J20" t="s">
        <v>1189</v>
      </c>
    </row>
    <row r="21" spans="1:8" x14ac:dyDescent="0.2">
      <c r="A21" t="s">
        <v>491</v>
      </c>
      <c r="B21">
        <v>586792</v>
      </c>
      <c r="C21" s="67">
        <v>43529.672847222224</v>
      </c>
      <c r="D21" t="s">
        <v>857</v>
      </c>
      <c r="F21">
        <v>0</v>
      </c>
      <c r="G21">
        <v>0</v>
      </c>
      <c r="H21">
        <v>500</v>
      </c>
      <c r="J21" t="s">
        <v>1186</v>
      </c>
    </row>
    <row r="22" spans="1:8" x14ac:dyDescent="0.2">
      <c r="A22" t="s">
        <v>491</v>
      </c>
      <c r="B22">
        <v>586792</v>
      </c>
      <c r="C22" s="67">
        <v>43529.672847222224</v>
      </c>
      <c r="D22" t="s">
        <v>810</v>
      </c>
      <c r="F22">
        <v>188663</v>
      </c>
      <c r="G22">
        <v>36</v>
      </c>
      <c r="H22">
        <v>0</v>
      </c>
      <c r="J22" t="s">
        <v>1187</v>
      </c>
    </row>
    <row r="23" spans="1:8" x14ac:dyDescent="0.2">
      <c r="A23" t="s">
        <v>491</v>
      </c>
      <c r="B23">
        <v>586811</v>
      </c>
      <c r="C23" s="67">
        <v>43529.679849537039</v>
      </c>
      <c r="D23" t="s">
        <v>858</v>
      </c>
      <c r="E23" t="s">
        <v>1179</v>
      </c>
      <c r="F23">
        <v>160790</v>
      </c>
      <c r="G23">
        <v>418</v>
      </c>
      <c r="H23">
        <v>0</v>
      </c>
      <c r="J23" t="s">
        <v>1188</v>
      </c>
    </row>
    <row r="24" spans="1:8" x14ac:dyDescent="0.2">
      <c r="A24" t="s">
        <v>491</v>
      </c>
      <c r="B24">
        <v>592983</v>
      </c>
      <c r="C24" s="67">
        <v>43552.02611111111</v>
      </c>
      <c r="D24" t="s">
        <v>760</v>
      </c>
      <c r="E24" t="s">
        <v>1180</v>
      </c>
      <c r="F24">
        <v>192395</v>
      </c>
      <c r="G24">
        <v>6</v>
      </c>
      <c r="H24">
        <v>0</v>
      </c>
      <c r="J24" t="s">
        <v>1189</v>
      </c>
    </row>
    <row r="25" spans="1:8" x14ac:dyDescent="0.2">
      <c r="A25" t="s">
        <v>493</v>
      </c>
      <c r="B25">
        <v>588195</v>
      </c>
      <c r="C25" s="67">
        <v>43535.658796296295</v>
      </c>
      <c r="D25" t="s">
        <v>807</v>
      </c>
      <c r="F25">
        <v>0</v>
      </c>
      <c r="G25">
        <v>0</v>
      </c>
      <c r="H25">
        <v>36.19</v>
      </c>
      <c r="J25" t="s">
        <v>1186</v>
      </c>
    </row>
    <row r="26" spans="1:8" x14ac:dyDescent="0.2">
      <c r="A26" t="s">
        <v>493</v>
      </c>
      <c r="B26">
        <v>588195</v>
      </c>
      <c r="C26" s="67">
        <v>43535.658796296295</v>
      </c>
      <c r="D26" t="s">
        <v>693</v>
      </c>
      <c r="F26">
        <v>189254</v>
      </c>
      <c r="G26">
        <v>2.6</v>
      </c>
      <c r="H26">
        <v>0</v>
      </c>
      <c r="J26" t="s">
        <v>1187</v>
      </c>
    </row>
    <row r="27" spans="1:8" x14ac:dyDescent="0.2">
      <c r="A27" t="s">
        <v>493</v>
      </c>
      <c r="B27">
        <v>588230</v>
      </c>
      <c r="C27" s="67">
        <v>43535.66233796296</v>
      </c>
      <c r="D27" t="s">
        <v>694</v>
      </c>
      <c r="E27" t="s">
        <v>1179</v>
      </c>
      <c r="F27">
        <v>161157</v>
      </c>
      <c r="G27">
        <v>27.59</v>
      </c>
      <c r="H27">
        <v>0</v>
      </c>
      <c r="J27" t="s">
        <v>1188</v>
      </c>
    </row>
    <row r="28" spans="1:8" x14ac:dyDescent="0.2">
      <c r="A28" t="s">
        <v>493</v>
      </c>
      <c r="B28">
        <v>590504</v>
      </c>
      <c r="C28" s="67">
        <v>43542.661608796298</v>
      </c>
      <c r="D28" t="s">
        <v>859</v>
      </c>
      <c r="F28">
        <v>0</v>
      </c>
      <c r="G28">
        <v>0</v>
      </c>
      <c r="H28">
        <v>429.93</v>
      </c>
      <c r="J28" t="s">
        <v>1186</v>
      </c>
    </row>
    <row r="29" spans="1:8" x14ac:dyDescent="0.2">
      <c r="A29" t="s">
        <v>493</v>
      </c>
      <c r="B29">
        <v>590504</v>
      </c>
      <c r="C29" s="67">
        <v>43542.661608796298</v>
      </c>
      <c r="D29" t="s">
        <v>693</v>
      </c>
      <c r="F29">
        <v>189959</v>
      </c>
      <c r="G29">
        <v>30.96</v>
      </c>
      <c r="H29">
        <v>0</v>
      </c>
      <c r="J29" t="s">
        <v>1187</v>
      </c>
    </row>
    <row r="30" spans="1:8" x14ac:dyDescent="0.2">
      <c r="A30" t="s">
        <v>493</v>
      </c>
      <c r="B30">
        <v>590515</v>
      </c>
      <c r="C30" s="67">
        <v>43542.666759259257</v>
      </c>
      <c r="D30" t="s">
        <v>694</v>
      </c>
      <c r="E30" t="s">
        <v>1179</v>
      </c>
      <c r="F30">
        <v>161980</v>
      </c>
      <c r="G30">
        <v>398.97</v>
      </c>
      <c r="H30">
        <v>0</v>
      </c>
      <c r="J30" t="s">
        <v>1188</v>
      </c>
    </row>
    <row r="31" spans="1:8" x14ac:dyDescent="0.2">
      <c r="A31" t="s">
        <v>493</v>
      </c>
      <c r="B31">
        <v>592983</v>
      </c>
      <c r="C31" s="67">
        <v>43552.02611111111</v>
      </c>
      <c r="D31" s="47" t="s">
        <v>761</v>
      </c>
      <c r="E31" t="s">
        <v>1180</v>
      </c>
      <c r="F31">
        <v>192150</v>
      </c>
      <c r="G31">
        <v>6</v>
      </c>
      <c r="H31">
        <v>0</v>
      </c>
      <c r="J31" t="s">
        <v>1189</v>
      </c>
    </row>
    <row r="32" spans="1:8" x14ac:dyDescent="0.2">
      <c r="A32" t="s">
        <v>494</v>
      </c>
      <c r="B32">
        <v>588203</v>
      </c>
      <c r="C32" s="67">
        <v>43535.658796296295</v>
      </c>
      <c r="D32" t="s">
        <v>806</v>
      </c>
      <c r="F32">
        <v>0</v>
      </c>
      <c r="G32">
        <v>0</v>
      </c>
      <c r="H32">
        <v>187.76</v>
      </c>
      <c r="J32" t="s">
        <v>1186</v>
      </c>
    </row>
    <row r="33" spans="1:8" x14ac:dyDescent="0.2">
      <c r="A33" t="s">
        <v>494</v>
      </c>
      <c r="B33">
        <v>588203</v>
      </c>
      <c r="C33" s="67">
        <v>43535.658796296295</v>
      </c>
      <c r="D33" t="s">
        <v>691</v>
      </c>
      <c r="F33">
        <v>189262</v>
      </c>
      <c r="G33">
        <v>13.52</v>
      </c>
      <c r="H33">
        <v>0</v>
      </c>
      <c r="J33" t="s">
        <v>1187</v>
      </c>
    </row>
    <row r="34" spans="1:8" x14ac:dyDescent="0.2">
      <c r="A34" t="s">
        <v>494</v>
      </c>
      <c r="B34">
        <v>588230</v>
      </c>
      <c r="C34" s="67">
        <v>43535.66233796296</v>
      </c>
      <c r="D34" t="s">
        <v>692</v>
      </c>
      <c r="E34" t="s">
        <v>1179</v>
      </c>
      <c r="F34">
        <v>161165</v>
      </c>
      <c r="G34">
        <v>168.24</v>
      </c>
      <c r="H34">
        <v>0</v>
      </c>
      <c r="J34" t="s">
        <v>1188</v>
      </c>
    </row>
    <row r="35" spans="1:8" x14ac:dyDescent="0.2">
      <c r="A35" t="s">
        <v>494</v>
      </c>
      <c r="B35">
        <v>592260</v>
      </c>
      <c r="C35" s="67">
        <v>43549.653969907406</v>
      </c>
      <c r="D35" t="s">
        <v>860</v>
      </c>
      <c r="F35">
        <v>0</v>
      </c>
      <c r="G35">
        <v>0</v>
      </c>
      <c r="H35">
        <v>264.56</v>
      </c>
      <c r="J35" t="s">
        <v>1186</v>
      </c>
    </row>
    <row r="36" spans="1:8" x14ac:dyDescent="0.2">
      <c r="A36" t="s">
        <v>494</v>
      </c>
      <c r="B36">
        <v>592260</v>
      </c>
      <c r="C36" s="67">
        <v>43549.653969907406</v>
      </c>
      <c r="D36" t="s">
        <v>691</v>
      </c>
      <c r="F36">
        <v>190538</v>
      </c>
      <c r="G36">
        <v>19.04</v>
      </c>
      <c r="H36">
        <v>0</v>
      </c>
      <c r="J36" t="s">
        <v>1187</v>
      </c>
    </row>
    <row r="37" spans="1:8" x14ac:dyDescent="0.2">
      <c r="A37" t="s">
        <v>494</v>
      </c>
      <c r="B37">
        <v>592270</v>
      </c>
      <c r="C37" s="67">
        <v>43549.656678240739</v>
      </c>
      <c r="D37" t="s">
        <v>692</v>
      </c>
      <c r="E37" t="s">
        <v>1179</v>
      </c>
      <c r="F37">
        <v>162458</v>
      </c>
      <c r="G37">
        <v>245.52</v>
      </c>
      <c r="H37">
        <v>0</v>
      </c>
      <c r="J37" t="s">
        <v>1188</v>
      </c>
    </row>
    <row r="38" spans="1:8" x14ac:dyDescent="0.2">
      <c r="A38" t="s">
        <v>494</v>
      </c>
      <c r="B38">
        <v>592983</v>
      </c>
      <c r="C38" s="67">
        <v>43552.02611111111</v>
      </c>
      <c r="D38" t="s">
        <v>762</v>
      </c>
      <c r="E38" t="s">
        <v>1180</v>
      </c>
      <c r="F38">
        <v>192153</v>
      </c>
      <c r="G38">
        <v>6</v>
      </c>
      <c r="H38">
        <v>0</v>
      </c>
      <c r="J38" t="s">
        <v>1189</v>
      </c>
    </row>
    <row r="39" spans="1:8" x14ac:dyDescent="0.2">
      <c r="A39" t="s">
        <v>497</v>
      </c>
      <c r="B39">
        <v>586319</v>
      </c>
      <c r="C39" s="67">
        <v>43528.675740740742</v>
      </c>
      <c r="D39" t="s">
        <v>861</v>
      </c>
      <c r="F39">
        <v>0</v>
      </c>
      <c r="G39">
        <v>0</v>
      </c>
      <c r="H39">
        <v>550</v>
      </c>
      <c r="J39" t="s">
        <v>1186</v>
      </c>
    </row>
    <row r="40" spans="1:8" x14ac:dyDescent="0.2">
      <c r="A40" t="s">
        <v>497</v>
      </c>
      <c r="B40">
        <v>586319</v>
      </c>
      <c r="C40" s="67">
        <v>43528.675740740742</v>
      </c>
      <c r="D40" t="s">
        <v>689</v>
      </c>
      <c r="F40">
        <v>188494</v>
      </c>
      <c r="G40">
        <v>39.6</v>
      </c>
      <c r="H40">
        <v>0</v>
      </c>
      <c r="J40" t="s">
        <v>1187</v>
      </c>
    </row>
    <row r="41" spans="1:8" x14ac:dyDescent="0.2">
      <c r="A41" t="s">
        <v>497</v>
      </c>
      <c r="B41">
        <v>586352</v>
      </c>
      <c r="C41" s="67">
        <v>43528.681030092594</v>
      </c>
      <c r="D41" t="s">
        <v>690</v>
      </c>
      <c r="E41" t="s">
        <v>1179</v>
      </c>
      <c r="F41">
        <v>160632</v>
      </c>
      <c r="G41">
        <v>504.4</v>
      </c>
      <c r="H41">
        <v>0</v>
      </c>
      <c r="J41" t="s">
        <v>1188</v>
      </c>
    </row>
    <row r="42" spans="1:8" x14ac:dyDescent="0.2">
      <c r="A42" t="s">
        <v>497</v>
      </c>
      <c r="B42">
        <v>592983</v>
      </c>
      <c r="C42" s="67">
        <v>43552.02611111111</v>
      </c>
      <c r="D42" t="s">
        <v>763</v>
      </c>
      <c r="E42" t="s">
        <v>1180</v>
      </c>
      <c r="F42">
        <v>192140</v>
      </c>
      <c r="G42">
        <v>6</v>
      </c>
      <c r="H42">
        <v>0</v>
      </c>
      <c r="J42" t="s">
        <v>1189</v>
      </c>
    </row>
    <row r="43" spans="1:8" x14ac:dyDescent="0.2">
      <c r="A43" t="s">
        <v>499</v>
      </c>
      <c r="B43">
        <v>588188</v>
      </c>
      <c r="C43" s="67">
        <v>43535.658796296295</v>
      </c>
      <c r="D43" t="s">
        <v>805</v>
      </c>
      <c r="F43">
        <v>0</v>
      </c>
      <c r="G43">
        <v>0</v>
      </c>
      <c r="H43">
        <v>461.52</v>
      </c>
      <c r="J43" t="s">
        <v>1186</v>
      </c>
    </row>
    <row r="44" spans="1:8" x14ac:dyDescent="0.2">
      <c r="A44" t="s">
        <v>499</v>
      </c>
      <c r="B44">
        <v>588188</v>
      </c>
      <c r="C44" s="67">
        <v>43535.658796296295</v>
      </c>
      <c r="D44" t="s">
        <v>687</v>
      </c>
      <c r="F44">
        <v>189247</v>
      </c>
      <c r="G44">
        <v>33.229999999999997</v>
      </c>
      <c r="H44">
        <v>0</v>
      </c>
      <c r="J44" t="s">
        <v>1187</v>
      </c>
    </row>
    <row r="45" spans="1:8" x14ac:dyDescent="0.2">
      <c r="A45" t="s">
        <v>499</v>
      </c>
      <c r="B45">
        <v>588230</v>
      </c>
      <c r="C45" s="67">
        <v>43535.66233796296</v>
      </c>
      <c r="D45" t="s">
        <v>688</v>
      </c>
      <c r="E45" t="s">
        <v>1179</v>
      </c>
      <c r="F45">
        <v>161150</v>
      </c>
      <c r="G45">
        <v>422.29</v>
      </c>
      <c r="H45">
        <v>0</v>
      </c>
      <c r="J45" t="s">
        <v>1188</v>
      </c>
    </row>
    <row r="46" spans="1:8" x14ac:dyDescent="0.2">
      <c r="A46" t="s">
        <v>499</v>
      </c>
      <c r="B46">
        <v>592983</v>
      </c>
      <c r="C46" s="67">
        <v>43552.02611111111</v>
      </c>
      <c r="D46" t="s">
        <v>764</v>
      </c>
      <c r="E46" t="s">
        <v>1180</v>
      </c>
      <c r="F46">
        <v>192149</v>
      </c>
      <c r="G46">
        <v>6</v>
      </c>
      <c r="H46">
        <v>0</v>
      </c>
      <c r="J46" t="s">
        <v>1189</v>
      </c>
    </row>
    <row r="47" spans="1:8" x14ac:dyDescent="0.2">
      <c r="A47" t="s">
        <v>501</v>
      </c>
      <c r="B47">
        <v>590505</v>
      </c>
      <c r="C47" s="67">
        <v>43542.661608796298</v>
      </c>
      <c r="D47" t="s">
        <v>862</v>
      </c>
      <c r="F47">
        <v>0</v>
      </c>
      <c r="G47">
        <v>0</v>
      </c>
      <c r="H47">
        <v>600</v>
      </c>
      <c r="J47" t="s">
        <v>1186</v>
      </c>
    </row>
    <row r="48" spans="1:8" x14ac:dyDescent="0.2">
      <c r="A48" t="s">
        <v>501</v>
      </c>
      <c r="B48">
        <v>590505</v>
      </c>
      <c r="C48" s="67">
        <v>43542.661608796298</v>
      </c>
      <c r="D48" t="s">
        <v>863</v>
      </c>
      <c r="F48">
        <v>189960</v>
      </c>
      <c r="G48">
        <v>43.2</v>
      </c>
      <c r="H48">
        <v>0</v>
      </c>
      <c r="J48" t="s">
        <v>1187</v>
      </c>
    </row>
    <row r="49" spans="1:8" x14ac:dyDescent="0.2">
      <c r="A49" t="s">
        <v>501</v>
      </c>
      <c r="B49">
        <v>590515</v>
      </c>
      <c r="C49" s="67">
        <v>43542.666759259257</v>
      </c>
      <c r="D49" t="s">
        <v>864</v>
      </c>
      <c r="E49" t="s">
        <v>1179</v>
      </c>
      <c r="F49">
        <v>161981</v>
      </c>
      <c r="G49">
        <v>550.79999999999995</v>
      </c>
      <c r="H49">
        <v>0</v>
      </c>
      <c r="J49" t="s">
        <v>1188</v>
      </c>
    </row>
    <row r="50" spans="1:8" x14ac:dyDescent="0.2">
      <c r="A50" t="s">
        <v>501</v>
      </c>
      <c r="B50">
        <v>592983</v>
      </c>
      <c r="C50" s="67">
        <v>43552.02611111111</v>
      </c>
      <c r="D50" t="s">
        <v>865</v>
      </c>
      <c r="E50" t="s">
        <v>1180</v>
      </c>
      <c r="F50">
        <v>192221</v>
      </c>
      <c r="G50">
        <v>6</v>
      </c>
      <c r="H50">
        <v>0</v>
      </c>
      <c r="J50" t="s">
        <v>1189</v>
      </c>
    </row>
    <row r="51" spans="1:8" x14ac:dyDescent="0.2">
      <c r="A51" t="s">
        <v>503</v>
      </c>
      <c r="B51">
        <v>592675</v>
      </c>
      <c r="C51" s="67">
        <v>43550.661550925928</v>
      </c>
      <c r="D51" t="s">
        <v>866</v>
      </c>
      <c r="F51">
        <v>0</v>
      </c>
      <c r="G51">
        <v>0</v>
      </c>
      <c r="H51">
        <v>288.16000000000003</v>
      </c>
      <c r="J51" t="s">
        <v>1186</v>
      </c>
    </row>
    <row r="52" spans="1:8" x14ac:dyDescent="0.2">
      <c r="A52" s="47" t="s">
        <v>503</v>
      </c>
      <c r="B52">
        <v>592675</v>
      </c>
      <c r="C52" s="67">
        <v>43550.661550925928</v>
      </c>
      <c r="D52" t="s">
        <v>867</v>
      </c>
      <c r="F52">
        <v>190722</v>
      </c>
      <c r="G52">
        <v>20.75</v>
      </c>
      <c r="H52">
        <v>0</v>
      </c>
      <c r="J52" t="s">
        <v>1187</v>
      </c>
    </row>
    <row r="53" spans="1:8" x14ac:dyDescent="0.2">
      <c r="A53" s="47" t="s">
        <v>503</v>
      </c>
      <c r="B53">
        <v>592675</v>
      </c>
      <c r="C53" s="67">
        <v>43550.661550925928</v>
      </c>
      <c r="D53" t="s">
        <v>868</v>
      </c>
      <c r="F53">
        <v>0</v>
      </c>
      <c r="G53">
        <v>0</v>
      </c>
      <c r="H53">
        <v>500</v>
      </c>
      <c r="J53" t="s">
        <v>1186</v>
      </c>
    </row>
    <row r="54" spans="1:8" x14ac:dyDescent="0.2">
      <c r="A54" s="47" t="s">
        <v>503</v>
      </c>
      <c r="B54">
        <v>592675</v>
      </c>
      <c r="C54" s="67">
        <v>43550.661550925928</v>
      </c>
      <c r="D54" t="s">
        <v>867</v>
      </c>
      <c r="F54">
        <v>190722</v>
      </c>
      <c r="G54">
        <v>36</v>
      </c>
      <c r="H54">
        <v>0</v>
      </c>
      <c r="J54" t="s">
        <v>1187</v>
      </c>
    </row>
    <row r="55" spans="1:8" x14ac:dyDescent="0.2">
      <c r="A55" s="47" t="s">
        <v>503</v>
      </c>
      <c r="B55">
        <v>592675</v>
      </c>
      <c r="C55" s="67">
        <v>43550.661550925928</v>
      </c>
      <c r="D55" t="s">
        <v>869</v>
      </c>
      <c r="F55">
        <v>0</v>
      </c>
      <c r="G55">
        <v>0</v>
      </c>
      <c r="H55">
        <v>134.88</v>
      </c>
      <c r="J55" t="s">
        <v>1186</v>
      </c>
    </row>
    <row r="56" spans="1:8" x14ac:dyDescent="0.2">
      <c r="A56" s="47" t="s">
        <v>503</v>
      </c>
      <c r="B56">
        <v>592675</v>
      </c>
      <c r="C56" s="67">
        <v>43550.661550925928</v>
      </c>
      <c r="D56" t="s">
        <v>867</v>
      </c>
      <c r="F56">
        <v>190722</v>
      </c>
      <c r="G56">
        <v>9.7100000000000009</v>
      </c>
      <c r="H56">
        <v>0</v>
      </c>
      <c r="J56" t="s">
        <v>1187</v>
      </c>
    </row>
    <row r="57" spans="1:8" x14ac:dyDescent="0.2">
      <c r="A57" s="47" t="s">
        <v>503</v>
      </c>
      <c r="B57">
        <v>592682</v>
      </c>
      <c r="C57" s="67">
        <v>43550.665034722224</v>
      </c>
      <c r="D57" t="s">
        <v>870</v>
      </c>
      <c r="E57" t="s">
        <v>1179</v>
      </c>
      <c r="F57">
        <v>162584</v>
      </c>
      <c r="G57">
        <v>844.58</v>
      </c>
      <c r="H57">
        <v>0</v>
      </c>
      <c r="J57" t="s">
        <v>1188</v>
      </c>
    </row>
    <row r="58" spans="1:8" x14ac:dyDescent="0.2">
      <c r="A58" s="47" t="s">
        <v>503</v>
      </c>
      <c r="B58">
        <v>592983</v>
      </c>
      <c r="C58" s="67">
        <v>43552.02611111111</v>
      </c>
      <c r="D58" t="s">
        <v>765</v>
      </c>
      <c r="E58" t="s">
        <v>1180</v>
      </c>
      <c r="F58">
        <v>192224</v>
      </c>
      <c r="G58">
        <v>6</v>
      </c>
      <c r="H58">
        <v>0</v>
      </c>
      <c r="J58" t="s">
        <v>1189</v>
      </c>
    </row>
    <row r="59" spans="1:8" x14ac:dyDescent="0.2">
      <c r="A59" t="s">
        <v>505</v>
      </c>
      <c r="B59">
        <v>588186</v>
      </c>
      <c r="C59" s="67">
        <v>43535.658796296295</v>
      </c>
      <c r="D59" t="s">
        <v>803</v>
      </c>
      <c r="F59">
        <v>0</v>
      </c>
      <c r="G59">
        <v>0</v>
      </c>
      <c r="H59">
        <v>116.64</v>
      </c>
      <c r="J59" t="s">
        <v>1186</v>
      </c>
    </row>
    <row r="60" spans="1:8" x14ac:dyDescent="0.2">
      <c r="A60" t="s">
        <v>505</v>
      </c>
      <c r="B60">
        <v>588186</v>
      </c>
      <c r="C60" s="67">
        <v>43535.658796296295</v>
      </c>
      <c r="D60" t="s">
        <v>685</v>
      </c>
      <c r="F60">
        <v>189245</v>
      </c>
      <c r="G60">
        <v>8.4</v>
      </c>
      <c r="H60">
        <v>0</v>
      </c>
      <c r="J60" t="s">
        <v>1187</v>
      </c>
    </row>
    <row r="61" spans="1:8" x14ac:dyDescent="0.2">
      <c r="A61" t="s">
        <v>505</v>
      </c>
      <c r="B61">
        <v>588230</v>
      </c>
      <c r="C61" s="67">
        <v>43535.66233796296</v>
      </c>
      <c r="D61" t="s">
        <v>686</v>
      </c>
      <c r="E61" t="s">
        <v>1179</v>
      </c>
      <c r="F61">
        <v>161148</v>
      </c>
      <c r="G61">
        <v>102.24</v>
      </c>
      <c r="H61">
        <v>0</v>
      </c>
      <c r="J61" t="s">
        <v>1188</v>
      </c>
    </row>
    <row r="62" spans="1:8" x14ac:dyDescent="0.2">
      <c r="A62" t="s">
        <v>505</v>
      </c>
      <c r="B62">
        <v>590861</v>
      </c>
      <c r="C62" s="67">
        <v>43543.676192129627</v>
      </c>
      <c r="D62" t="s">
        <v>871</v>
      </c>
      <c r="F62">
        <v>0</v>
      </c>
      <c r="G62">
        <v>0</v>
      </c>
      <c r="H62">
        <v>349.48</v>
      </c>
      <c r="J62" t="s">
        <v>1186</v>
      </c>
    </row>
    <row r="63" spans="1:8" x14ac:dyDescent="0.2">
      <c r="A63" t="s">
        <v>505</v>
      </c>
      <c r="B63">
        <v>590861</v>
      </c>
      <c r="C63" s="67">
        <v>43543.676192129627</v>
      </c>
      <c r="D63" t="s">
        <v>685</v>
      </c>
      <c r="F63">
        <v>190089</v>
      </c>
      <c r="G63">
        <v>25.16</v>
      </c>
      <c r="H63">
        <v>0</v>
      </c>
      <c r="J63" t="s">
        <v>1187</v>
      </c>
    </row>
    <row r="64" spans="1:8" x14ac:dyDescent="0.2">
      <c r="A64" t="s">
        <v>505</v>
      </c>
      <c r="B64">
        <v>590872</v>
      </c>
      <c r="C64" s="67">
        <v>43543.682384259257</v>
      </c>
      <c r="D64" t="s">
        <v>686</v>
      </c>
      <c r="E64" t="s">
        <v>1179</v>
      </c>
      <c r="F64">
        <v>162077</v>
      </c>
      <c r="G64">
        <v>324.32</v>
      </c>
      <c r="H64">
        <v>0</v>
      </c>
      <c r="J64" t="s">
        <v>1188</v>
      </c>
    </row>
    <row r="65" spans="1:8" x14ac:dyDescent="0.2">
      <c r="A65" t="s">
        <v>505</v>
      </c>
      <c r="B65">
        <v>592983</v>
      </c>
      <c r="C65" s="67">
        <v>43552.02611111111</v>
      </c>
      <c r="D65" t="s">
        <v>766</v>
      </c>
      <c r="E65" t="s">
        <v>1180</v>
      </c>
      <c r="F65">
        <v>192212</v>
      </c>
      <c r="G65">
        <v>6</v>
      </c>
      <c r="H65">
        <v>0</v>
      </c>
      <c r="J65" t="s">
        <v>1189</v>
      </c>
    </row>
    <row r="66" spans="1:8" x14ac:dyDescent="0.2">
      <c r="A66" t="s">
        <v>507</v>
      </c>
      <c r="B66">
        <v>592983</v>
      </c>
      <c r="C66" s="67">
        <v>43552.02611111111</v>
      </c>
      <c r="D66" t="s">
        <v>767</v>
      </c>
      <c r="E66" t="s">
        <v>1180</v>
      </c>
      <c r="F66">
        <v>192214</v>
      </c>
      <c r="G66">
        <v>6</v>
      </c>
      <c r="H66">
        <v>0</v>
      </c>
      <c r="J66" t="s">
        <v>1189</v>
      </c>
    </row>
    <row r="67" spans="1:8" x14ac:dyDescent="0.2">
      <c r="A67" t="s">
        <v>507</v>
      </c>
      <c r="B67">
        <v>593192</v>
      </c>
      <c r="C67" s="67">
        <v>43552.610196759262</v>
      </c>
      <c r="D67" t="s">
        <v>872</v>
      </c>
      <c r="F67">
        <v>0</v>
      </c>
      <c r="G67">
        <v>0</v>
      </c>
      <c r="H67">
        <v>525</v>
      </c>
      <c r="J67" t="s">
        <v>1186</v>
      </c>
    </row>
    <row r="68" spans="1:8" x14ac:dyDescent="0.2">
      <c r="A68" t="s">
        <v>507</v>
      </c>
      <c r="B68">
        <v>593192</v>
      </c>
      <c r="C68" s="67">
        <v>43552.610196759262</v>
      </c>
      <c r="D68" t="s">
        <v>683</v>
      </c>
      <c r="F68">
        <v>192567</v>
      </c>
      <c r="G68">
        <v>37.799999999999997</v>
      </c>
      <c r="H68">
        <v>0</v>
      </c>
      <c r="J68" t="s">
        <v>1187</v>
      </c>
    </row>
    <row r="69" spans="1:8" x14ac:dyDescent="0.2">
      <c r="A69" t="s">
        <v>507</v>
      </c>
      <c r="B69">
        <v>593207</v>
      </c>
      <c r="C69" s="67">
        <v>43552.620219907411</v>
      </c>
      <c r="D69" t="s">
        <v>684</v>
      </c>
      <c r="E69" t="s">
        <v>1179</v>
      </c>
      <c r="F69">
        <v>162701</v>
      </c>
      <c r="G69">
        <v>481.2</v>
      </c>
      <c r="H69">
        <v>0</v>
      </c>
      <c r="J69" t="s">
        <v>1188</v>
      </c>
    </row>
    <row r="70" spans="1:8" x14ac:dyDescent="0.2">
      <c r="A70" t="s">
        <v>475</v>
      </c>
      <c r="B70">
        <v>588197</v>
      </c>
      <c r="C70" s="67">
        <v>43535.658796296295</v>
      </c>
      <c r="D70" t="s">
        <v>801</v>
      </c>
      <c r="F70">
        <v>0</v>
      </c>
      <c r="G70">
        <v>0</v>
      </c>
      <c r="H70">
        <v>410.29</v>
      </c>
      <c r="J70" t="s">
        <v>1186</v>
      </c>
    </row>
    <row r="71" spans="1:8" x14ac:dyDescent="0.2">
      <c r="A71" t="s">
        <v>475</v>
      </c>
      <c r="B71">
        <v>588197</v>
      </c>
      <c r="C71" s="67">
        <v>43535.658796296295</v>
      </c>
      <c r="D71" t="s">
        <v>681</v>
      </c>
      <c r="F71">
        <v>189256</v>
      </c>
      <c r="G71">
        <v>29.54</v>
      </c>
      <c r="H71">
        <v>0</v>
      </c>
      <c r="J71" t="s">
        <v>1187</v>
      </c>
    </row>
    <row r="72" spans="1:8" x14ac:dyDescent="0.2">
      <c r="A72" t="s">
        <v>475</v>
      </c>
      <c r="B72">
        <v>588197</v>
      </c>
      <c r="C72" s="67">
        <v>43535.658796296295</v>
      </c>
      <c r="D72" t="s">
        <v>873</v>
      </c>
      <c r="F72">
        <v>0</v>
      </c>
      <c r="G72">
        <v>0</v>
      </c>
      <c r="H72">
        <v>51.23</v>
      </c>
      <c r="J72" t="s">
        <v>1186</v>
      </c>
    </row>
    <row r="73" spans="1:8" x14ac:dyDescent="0.2">
      <c r="A73" t="s">
        <v>475</v>
      </c>
      <c r="B73">
        <v>588197</v>
      </c>
      <c r="C73" s="67">
        <v>43535.658796296295</v>
      </c>
      <c r="D73" t="s">
        <v>681</v>
      </c>
      <c r="F73">
        <v>189256</v>
      </c>
      <c r="G73">
        <v>3.68</v>
      </c>
      <c r="H73">
        <v>0</v>
      </c>
      <c r="J73" t="s">
        <v>1187</v>
      </c>
    </row>
    <row r="74" spans="1:8" x14ac:dyDescent="0.2">
      <c r="A74" t="s">
        <v>475</v>
      </c>
      <c r="B74">
        <v>588230</v>
      </c>
      <c r="C74" s="67">
        <v>43535.66233796296</v>
      </c>
      <c r="D74" t="s">
        <v>682</v>
      </c>
      <c r="E74" t="s">
        <v>1179</v>
      </c>
      <c r="F74">
        <v>161159</v>
      </c>
      <c r="G74">
        <v>422.3</v>
      </c>
      <c r="H74">
        <v>0</v>
      </c>
      <c r="J74" t="s">
        <v>1188</v>
      </c>
    </row>
    <row r="75" spans="1:8" x14ac:dyDescent="0.2">
      <c r="A75" t="s">
        <v>475</v>
      </c>
      <c r="B75">
        <v>592983</v>
      </c>
      <c r="C75" s="67">
        <v>43552.02611111111</v>
      </c>
      <c r="D75" t="s">
        <v>802</v>
      </c>
      <c r="E75" t="s">
        <v>1180</v>
      </c>
      <c r="F75">
        <v>192254</v>
      </c>
      <c r="G75">
        <v>6</v>
      </c>
      <c r="H75">
        <v>0</v>
      </c>
      <c r="J75" t="s">
        <v>1189</v>
      </c>
    </row>
    <row r="76" spans="1:8" x14ac:dyDescent="0.2">
      <c r="A76" t="s">
        <v>490</v>
      </c>
      <c r="B76">
        <v>588631</v>
      </c>
      <c r="C76" s="67">
        <v>43536.645474537036</v>
      </c>
      <c r="D76" t="s">
        <v>874</v>
      </c>
      <c r="F76">
        <v>0</v>
      </c>
      <c r="G76">
        <v>0</v>
      </c>
      <c r="H76">
        <v>100</v>
      </c>
      <c r="J76" t="s">
        <v>1186</v>
      </c>
    </row>
    <row r="77" spans="1:8" x14ac:dyDescent="0.2">
      <c r="A77" t="s">
        <v>490</v>
      </c>
      <c r="B77">
        <v>588631</v>
      </c>
      <c r="C77" s="67">
        <v>43536.645474537036</v>
      </c>
      <c r="D77" t="s">
        <v>703</v>
      </c>
      <c r="F77">
        <v>189446</v>
      </c>
      <c r="G77">
        <v>7.2</v>
      </c>
      <c r="H77">
        <v>0</v>
      </c>
      <c r="J77" t="s">
        <v>1187</v>
      </c>
    </row>
    <row r="78" spans="1:8" x14ac:dyDescent="0.2">
      <c r="A78" t="s">
        <v>490</v>
      </c>
      <c r="B78">
        <v>588644</v>
      </c>
      <c r="C78" s="67">
        <v>43536.653657407405</v>
      </c>
      <c r="D78" t="s">
        <v>704</v>
      </c>
      <c r="E78" t="s">
        <v>1179</v>
      </c>
      <c r="F78">
        <v>161304</v>
      </c>
      <c r="G78">
        <v>86.8</v>
      </c>
      <c r="H78">
        <v>0</v>
      </c>
      <c r="J78" t="s">
        <v>1188</v>
      </c>
    </row>
    <row r="79" spans="1:8" x14ac:dyDescent="0.2">
      <c r="A79" t="s">
        <v>490</v>
      </c>
      <c r="B79">
        <v>590864</v>
      </c>
      <c r="C79" s="67">
        <v>43543.676192129627</v>
      </c>
      <c r="D79" t="s">
        <v>874</v>
      </c>
      <c r="F79">
        <v>0</v>
      </c>
      <c r="G79">
        <v>0</v>
      </c>
      <c r="H79">
        <v>100</v>
      </c>
      <c r="J79" t="s">
        <v>1186</v>
      </c>
    </row>
    <row r="80" spans="1:8" x14ac:dyDescent="0.2">
      <c r="A80" t="s">
        <v>490</v>
      </c>
      <c r="B80">
        <v>590864</v>
      </c>
      <c r="C80" s="67">
        <v>43543.676192129627</v>
      </c>
      <c r="D80" t="s">
        <v>703</v>
      </c>
      <c r="F80">
        <v>190092</v>
      </c>
      <c r="G80">
        <v>7.2</v>
      </c>
      <c r="H80">
        <v>0</v>
      </c>
      <c r="J80" t="s">
        <v>1187</v>
      </c>
    </row>
    <row r="81" spans="1:8" x14ac:dyDescent="0.2">
      <c r="A81" t="s">
        <v>490</v>
      </c>
      <c r="B81">
        <v>590872</v>
      </c>
      <c r="C81" s="67">
        <v>43543.682384259257</v>
      </c>
      <c r="D81" t="s">
        <v>704</v>
      </c>
      <c r="E81" t="s">
        <v>1179</v>
      </c>
      <c r="F81">
        <v>162080</v>
      </c>
      <c r="G81">
        <v>92.8</v>
      </c>
      <c r="H81">
        <v>0</v>
      </c>
      <c r="J81" t="s">
        <v>1188</v>
      </c>
    </row>
    <row r="82" spans="1:8" x14ac:dyDescent="0.2">
      <c r="A82" t="s">
        <v>490</v>
      </c>
      <c r="B82">
        <v>591108</v>
      </c>
      <c r="C82" s="67">
        <v>43544.663194444445</v>
      </c>
      <c r="D82" t="s">
        <v>874</v>
      </c>
      <c r="F82">
        <v>0</v>
      </c>
      <c r="G82">
        <v>0</v>
      </c>
      <c r="H82">
        <v>350</v>
      </c>
      <c r="J82" t="s">
        <v>1186</v>
      </c>
    </row>
    <row r="83" spans="1:8" x14ac:dyDescent="0.2">
      <c r="A83" t="s">
        <v>490</v>
      </c>
      <c r="B83">
        <v>591108</v>
      </c>
      <c r="C83" s="67">
        <v>43544.663194444445</v>
      </c>
      <c r="D83" t="s">
        <v>703</v>
      </c>
      <c r="F83">
        <v>190179</v>
      </c>
      <c r="G83">
        <v>25.2</v>
      </c>
      <c r="H83">
        <v>0</v>
      </c>
      <c r="J83" t="s">
        <v>1187</v>
      </c>
    </row>
    <row r="84" spans="1:8" x14ac:dyDescent="0.2">
      <c r="A84" t="s">
        <v>490</v>
      </c>
      <c r="B84">
        <v>591113</v>
      </c>
      <c r="C84" s="67">
        <v>43544.664421296293</v>
      </c>
      <c r="D84" t="s">
        <v>704</v>
      </c>
      <c r="E84" t="s">
        <v>1179</v>
      </c>
      <c r="F84">
        <v>162139</v>
      </c>
      <c r="G84">
        <v>324.8</v>
      </c>
      <c r="H84">
        <v>0</v>
      </c>
      <c r="J84" t="s">
        <v>1188</v>
      </c>
    </row>
    <row r="85" spans="1:8" x14ac:dyDescent="0.2">
      <c r="A85" t="s">
        <v>490</v>
      </c>
      <c r="B85">
        <v>592667</v>
      </c>
      <c r="C85" s="67">
        <v>43550.661550925928</v>
      </c>
      <c r="D85" t="s">
        <v>875</v>
      </c>
      <c r="F85">
        <v>0</v>
      </c>
      <c r="G85">
        <v>0</v>
      </c>
      <c r="H85">
        <v>350</v>
      </c>
      <c r="J85" t="s">
        <v>1186</v>
      </c>
    </row>
    <row r="86" spans="1:8" x14ac:dyDescent="0.2">
      <c r="A86" t="s">
        <v>490</v>
      </c>
      <c r="B86">
        <v>592667</v>
      </c>
      <c r="C86" s="67">
        <v>43550.661550925928</v>
      </c>
      <c r="D86" t="s">
        <v>703</v>
      </c>
      <c r="F86">
        <v>190715</v>
      </c>
      <c r="G86">
        <v>25.2</v>
      </c>
      <c r="H86">
        <v>0</v>
      </c>
      <c r="J86" t="s">
        <v>1187</v>
      </c>
    </row>
    <row r="87" spans="1:8" x14ac:dyDescent="0.2">
      <c r="A87" t="s">
        <v>490</v>
      </c>
      <c r="B87">
        <v>592667</v>
      </c>
      <c r="C87" s="67">
        <v>43550.661550925928</v>
      </c>
      <c r="D87" t="s">
        <v>874</v>
      </c>
      <c r="F87">
        <v>0</v>
      </c>
      <c r="G87">
        <v>0</v>
      </c>
      <c r="H87">
        <v>50</v>
      </c>
      <c r="J87" t="s">
        <v>1186</v>
      </c>
    </row>
    <row r="88" spans="1:8" x14ac:dyDescent="0.2">
      <c r="A88" t="s">
        <v>490</v>
      </c>
      <c r="B88">
        <v>592667</v>
      </c>
      <c r="C88" s="67">
        <v>43550.661550925928</v>
      </c>
      <c r="D88" t="s">
        <v>703</v>
      </c>
      <c r="F88">
        <v>190715</v>
      </c>
      <c r="G88">
        <v>3.6</v>
      </c>
      <c r="H88">
        <v>0</v>
      </c>
      <c r="J88" t="s">
        <v>1187</v>
      </c>
    </row>
    <row r="89" spans="1:8" x14ac:dyDescent="0.2">
      <c r="A89" t="s">
        <v>490</v>
      </c>
      <c r="B89">
        <v>592682</v>
      </c>
      <c r="C89" s="67">
        <v>43550.665034722224</v>
      </c>
      <c r="D89" t="s">
        <v>704</v>
      </c>
      <c r="E89" t="s">
        <v>1179</v>
      </c>
      <c r="F89">
        <v>162576</v>
      </c>
      <c r="G89">
        <v>371.2</v>
      </c>
      <c r="H89">
        <v>0</v>
      </c>
      <c r="J89" t="s">
        <v>1188</v>
      </c>
    </row>
    <row r="90" spans="1:8" x14ac:dyDescent="0.2">
      <c r="A90" t="s">
        <v>490</v>
      </c>
      <c r="B90">
        <v>592983</v>
      </c>
      <c r="C90" s="67">
        <v>43552.02611111111</v>
      </c>
      <c r="D90" t="s">
        <v>768</v>
      </c>
      <c r="E90" t="s">
        <v>1180</v>
      </c>
      <c r="F90">
        <v>192394</v>
      </c>
      <c r="G90">
        <v>6</v>
      </c>
      <c r="H90">
        <v>0</v>
      </c>
      <c r="J90" t="s">
        <v>1189</v>
      </c>
    </row>
    <row r="91" spans="1:8" x14ac:dyDescent="0.2">
      <c r="A91" t="s">
        <v>489</v>
      </c>
      <c r="B91">
        <v>588190</v>
      </c>
      <c r="C91" s="67">
        <v>43535.658796296295</v>
      </c>
      <c r="D91" t="s">
        <v>876</v>
      </c>
      <c r="F91">
        <v>0</v>
      </c>
      <c r="G91">
        <v>0</v>
      </c>
      <c r="H91">
        <v>89.9</v>
      </c>
      <c r="J91" t="s">
        <v>1186</v>
      </c>
    </row>
    <row r="92" spans="1:8" x14ac:dyDescent="0.2">
      <c r="A92" t="s">
        <v>489</v>
      </c>
      <c r="B92">
        <v>588190</v>
      </c>
      <c r="C92" s="67">
        <v>43535.658796296295</v>
      </c>
      <c r="D92" t="s">
        <v>705</v>
      </c>
      <c r="F92">
        <v>189249</v>
      </c>
      <c r="G92">
        <v>6.47</v>
      </c>
      <c r="H92">
        <v>0</v>
      </c>
      <c r="J92" t="s">
        <v>1187</v>
      </c>
    </row>
    <row r="93" spans="1:8" x14ac:dyDescent="0.2">
      <c r="A93" t="s">
        <v>489</v>
      </c>
      <c r="B93">
        <v>588190</v>
      </c>
      <c r="C93" s="67">
        <v>43535.658796296295</v>
      </c>
      <c r="D93" t="s">
        <v>813</v>
      </c>
      <c r="F93">
        <v>0</v>
      </c>
      <c r="G93">
        <v>0</v>
      </c>
      <c r="H93">
        <v>254.3</v>
      </c>
      <c r="J93" t="s">
        <v>1186</v>
      </c>
    </row>
    <row r="94" spans="1:8" x14ac:dyDescent="0.2">
      <c r="A94" t="s">
        <v>489</v>
      </c>
      <c r="B94">
        <v>588190</v>
      </c>
      <c r="C94" s="67">
        <v>43535.658796296295</v>
      </c>
      <c r="D94" t="s">
        <v>705</v>
      </c>
      <c r="F94">
        <v>189249</v>
      </c>
      <c r="G94">
        <v>18.309999999999999</v>
      </c>
      <c r="H94">
        <v>0</v>
      </c>
      <c r="J94" t="s">
        <v>1187</v>
      </c>
    </row>
    <row r="95" spans="1:8" x14ac:dyDescent="0.2">
      <c r="A95" t="s">
        <v>489</v>
      </c>
      <c r="B95">
        <v>588230</v>
      </c>
      <c r="C95" s="67">
        <v>43535.66233796296</v>
      </c>
      <c r="D95" t="s">
        <v>706</v>
      </c>
      <c r="E95" t="s">
        <v>1179</v>
      </c>
      <c r="F95">
        <v>161152</v>
      </c>
      <c r="G95">
        <v>313.42</v>
      </c>
      <c r="H95">
        <v>0</v>
      </c>
      <c r="J95" t="s">
        <v>1188</v>
      </c>
    </row>
    <row r="96" spans="1:8" x14ac:dyDescent="0.2">
      <c r="A96" t="s">
        <v>489</v>
      </c>
      <c r="B96">
        <v>592983</v>
      </c>
      <c r="C96" s="67">
        <v>43552.02611111111</v>
      </c>
      <c r="D96" t="s">
        <v>769</v>
      </c>
      <c r="E96" t="s">
        <v>1180</v>
      </c>
      <c r="F96">
        <v>192393</v>
      </c>
      <c r="G96">
        <v>6</v>
      </c>
      <c r="H96">
        <v>0</v>
      </c>
      <c r="J96" t="s">
        <v>1189</v>
      </c>
    </row>
    <row r="97" spans="1:8" x14ac:dyDescent="0.2">
      <c r="A97" t="s">
        <v>487</v>
      </c>
      <c r="B97">
        <v>585289</v>
      </c>
      <c r="C97" s="67">
        <v>43525.506064814814</v>
      </c>
      <c r="D97" t="s">
        <v>877</v>
      </c>
      <c r="E97" s="47" t="s">
        <v>1181</v>
      </c>
      <c r="F97">
        <v>11114432</v>
      </c>
      <c r="G97">
        <v>67</v>
      </c>
      <c r="H97">
        <v>0</v>
      </c>
      <c r="J97" t="s">
        <v>1189</v>
      </c>
    </row>
    <row r="98" spans="1:8" x14ac:dyDescent="0.2">
      <c r="A98" t="s">
        <v>487</v>
      </c>
      <c r="B98">
        <v>585561</v>
      </c>
      <c r="C98" s="67">
        <v>43525.615393518521</v>
      </c>
      <c r="D98" t="s">
        <v>878</v>
      </c>
      <c r="F98">
        <v>0</v>
      </c>
      <c r="G98">
        <v>0</v>
      </c>
      <c r="H98">
        <v>65.75</v>
      </c>
      <c r="J98" t="s">
        <v>1186</v>
      </c>
    </row>
    <row r="99" spans="1:8" x14ac:dyDescent="0.2">
      <c r="A99" t="s">
        <v>487</v>
      </c>
      <c r="B99">
        <v>585561</v>
      </c>
      <c r="C99" s="67">
        <v>43525.615393518521</v>
      </c>
      <c r="D99" t="s">
        <v>815</v>
      </c>
      <c r="F99">
        <v>188164</v>
      </c>
      <c r="G99">
        <v>4.74</v>
      </c>
      <c r="H99">
        <v>0</v>
      </c>
      <c r="J99" t="s">
        <v>1187</v>
      </c>
    </row>
    <row r="100" spans="1:8" x14ac:dyDescent="0.2">
      <c r="A100" t="s">
        <v>487</v>
      </c>
      <c r="B100">
        <v>585561</v>
      </c>
      <c r="C100" s="67">
        <v>43525.615393518521</v>
      </c>
      <c r="D100" t="s">
        <v>879</v>
      </c>
      <c r="E100" s="47" t="s">
        <v>1182</v>
      </c>
      <c r="F100">
        <v>0</v>
      </c>
      <c r="G100">
        <v>0</v>
      </c>
      <c r="H100">
        <v>500</v>
      </c>
      <c r="J100" t="s">
        <v>1186</v>
      </c>
    </row>
    <row r="101" spans="1:8" x14ac:dyDescent="0.2">
      <c r="A101" t="s">
        <v>487</v>
      </c>
      <c r="B101">
        <v>585561</v>
      </c>
      <c r="C101" s="67">
        <v>43525.615393518521</v>
      </c>
      <c r="D101" t="s">
        <v>815</v>
      </c>
      <c r="F101">
        <v>188164</v>
      </c>
      <c r="G101">
        <v>36</v>
      </c>
      <c r="H101">
        <v>0</v>
      </c>
      <c r="J101" t="s">
        <v>1187</v>
      </c>
    </row>
    <row r="102" spans="1:8" x14ac:dyDescent="0.2">
      <c r="A102" t="s">
        <v>487</v>
      </c>
      <c r="B102">
        <v>585593</v>
      </c>
      <c r="C102" s="67">
        <v>43525.622002314813</v>
      </c>
      <c r="D102" t="s">
        <v>880</v>
      </c>
      <c r="E102" t="s">
        <v>1179</v>
      </c>
      <c r="F102">
        <v>160373</v>
      </c>
      <c r="G102">
        <v>390.89</v>
      </c>
      <c r="H102">
        <v>0</v>
      </c>
      <c r="J102" t="s">
        <v>1188</v>
      </c>
    </row>
    <row r="103" spans="1:8" x14ac:dyDescent="0.2">
      <c r="A103" t="s">
        <v>487</v>
      </c>
      <c r="B103">
        <v>590530</v>
      </c>
      <c r="C103" s="67">
        <v>43542.702256944445</v>
      </c>
      <c r="D103" t="s">
        <v>881</v>
      </c>
      <c r="E103" s="47" t="s">
        <v>1181</v>
      </c>
      <c r="G103">
        <v>6</v>
      </c>
      <c r="H103">
        <v>0</v>
      </c>
      <c r="J103" t="s">
        <v>1189</v>
      </c>
    </row>
    <row r="104" spans="1:8" x14ac:dyDescent="0.2">
      <c r="A104" t="s">
        <v>488</v>
      </c>
      <c r="B104">
        <v>588189</v>
      </c>
      <c r="C104" s="67">
        <v>43535.658796296295</v>
      </c>
      <c r="D104" t="s">
        <v>816</v>
      </c>
      <c r="F104">
        <v>0</v>
      </c>
      <c r="G104">
        <v>0</v>
      </c>
      <c r="H104">
        <v>192.4</v>
      </c>
      <c r="J104" t="s">
        <v>1186</v>
      </c>
    </row>
    <row r="105" spans="1:8" x14ac:dyDescent="0.2">
      <c r="A105" t="s">
        <v>488</v>
      </c>
      <c r="B105">
        <v>588189</v>
      </c>
      <c r="C105" s="67">
        <v>43535.658796296295</v>
      </c>
      <c r="D105" t="s">
        <v>707</v>
      </c>
      <c r="F105">
        <v>189248</v>
      </c>
      <c r="G105">
        <v>13.85</v>
      </c>
      <c r="H105">
        <v>0</v>
      </c>
      <c r="J105" t="s">
        <v>1187</v>
      </c>
    </row>
    <row r="106" spans="1:8" x14ac:dyDescent="0.2">
      <c r="A106" t="s">
        <v>488</v>
      </c>
      <c r="B106">
        <v>588230</v>
      </c>
      <c r="C106" s="67">
        <v>43535.66233796296</v>
      </c>
      <c r="D106" t="s">
        <v>708</v>
      </c>
      <c r="E106" t="s">
        <v>1179</v>
      </c>
      <c r="F106">
        <v>161151</v>
      </c>
      <c r="G106">
        <v>172.55</v>
      </c>
      <c r="H106">
        <v>0</v>
      </c>
      <c r="J106" t="s">
        <v>1188</v>
      </c>
    </row>
    <row r="107" spans="1:8" x14ac:dyDescent="0.2">
      <c r="A107" t="s">
        <v>488</v>
      </c>
      <c r="B107">
        <v>592665</v>
      </c>
      <c r="C107" s="67">
        <v>43550.661550925928</v>
      </c>
      <c r="D107" t="s">
        <v>882</v>
      </c>
      <c r="F107">
        <v>0</v>
      </c>
      <c r="G107">
        <v>0</v>
      </c>
      <c r="H107">
        <v>269.12</v>
      </c>
      <c r="J107" t="s">
        <v>1186</v>
      </c>
    </row>
    <row r="108" spans="1:8" x14ac:dyDescent="0.2">
      <c r="A108" t="s">
        <v>488</v>
      </c>
      <c r="B108">
        <v>592665</v>
      </c>
      <c r="C108" s="67">
        <v>43550.661550925928</v>
      </c>
      <c r="D108" t="s">
        <v>707</v>
      </c>
      <c r="F108">
        <v>190713</v>
      </c>
      <c r="G108">
        <v>19.38</v>
      </c>
      <c r="H108">
        <v>0</v>
      </c>
      <c r="J108" t="s">
        <v>1187</v>
      </c>
    </row>
    <row r="109" spans="1:8" x14ac:dyDescent="0.2">
      <c r="A109" t="s">
        <v>488</v>
      </c>
      <c r="B109">
        <v>592682</v>
      </c>
      <c r="C109" s="67">
        <v>43550.665034722224</v>
      </c>
      <c r="D109" t="s">
        <v>708</v>
      </c>
      <c r="E109" t="s">
        <v>1179</v>
      </c>
      <c r="F109">
        <v>162574</v>
      </c>
      <c r="G109">
        <v>249.74</v>
      </c>
      <c r="H109">
        <v>0</v>
      </c>
      <c r="J109" t="s">
        <v>1188</v>
      </c>
    </row>
    <row r="110" spans="1:8" x14ac:dyDescent="0.2">
      <c r="A110" t="s">
        <v>488</v>
      </c>
      <c r="B110">
        <v>592983</v>
      </c>
      <c r="C110" s="67">
        <v>43552.02611111111</v>
      </c>
      <c r="D110" t="s">
        <v>770</v>
      </c>
      <c r="E110" t="s">
        <v>1180</v>
      </c>
      <c r="F110">
        <v>192391</v>
      </c>
      <c r="G110">
        <v>6</v>
      </c>
      <c r="H110">
        <v>0</v>
      </c>
      <c r="J110" t="s">
        <v>1189</v>
      </c>
    </row>
    <row r="111" spans="1:8" x14ac:dyDescent="0.2">
      <c r="A111" t="s">
        <v>496</v>
      </c>
      <c r="B111">
        <v>588184</v>
      </c>
      <c r="C111" s="67">
        <v>43535.658796296295</v>
      </c>
      <c r="D111" t="s">
        <v>817</v>
      </c>
      <c r="F111">
        <v>0</v>
      </c>
      <c r="G111">
        <v>0</v>
      </c>
      <c r="H111">
        <v>192.4</v>
      </c>
      <c r="J111" t="s">
        <v>1186</v>
      </c>
    </row>
    <row r="112" spans="1:8" x14ac:dyDescent="0.2">
      <c r="A112" t="s">
        <v>496</v>
      </c>
      <c r="B112">
        <v>588184</v>
      </c>
      <c r="C112" s="67">
        <v>43535.658796296295</v>
      </c>
      <c r="D112" t="s">
        <v>709</v>
      </c>
      <c r="F112">
        <v>189243</v>
      </c>
      <c r="G112">
        <v>13.85</v>
      </c>
      <c r="H112">
        <v>0</v>
      </c>
      <c r="J112" t="s">
        <v>1187</v>
      </c>
    </row>
    <row r="113" spans="1:8" x14ac:dyDescent="0.2">
      <c r="A113" t="s">
        <v>496</v>
      </c>
      <c r="B113">
        <v>588230</v>
      </c>
      <c r="C113" s="67">
        <v>43535.66233796296</v>
      </c>
      <c r="D113" t="s">
        <v>710</v>
      </c>
      <c r="E113" t="s">
        <v>1179</v>
      </c>
      <c r="F113">
        <v>161146</v>
      </c>
      <c r="G113">
        <v>172.55</v>
      </c>
      <c r="H113">
        <v>0</v>
      </c>
      <c r="J113" t="s">
        <v>1188</v>
      </c>
    </row>
    <row r="114" spans="1:8" x14ac:dyDescent="0.2">
      <c r="A114" t="s">
        <v>496</v>
      </c>
      <c r="B114">
        <v>591106</v>
      </c>
      <c r="C114" s="67">
        <v>43544.663194444445</v>
      </c>
      <c r="D114" t="s">
        <v>883</v>
      </c>
      <c r="F114">
        <v>0</v>
      </c>
      <c r="G114">
        <v>0</v>
      </c>
      <c r="H114">
        <v>269.12</v>
      </c>
      <c r="J114" t="s">
        <v>1186</v>
      </c>
    </row>
    <row r="115" spans="1:8" x14ac:dyDescent="0.2">
      <c r="A115" t="s">
        <v>496</v>
      </c>
      <c r="B115">
        <v>591106</v>
      </c>
      <c r="C115" s="67">
        <v>43544.663194444445</v>
      </c>
      <c r="D115" t="s">
        <v>709</v>
      </c>
      <c r="F115">
        <v>190178</v>
      </c>
      <c r="G115">
        <v>19.38</v>
      </c>
      <c r="H115">
        <v>0</v>
      </c>
      <c r="J115" t="s">
        <v>1187</v>
      </c>
    </row>
    <row r="116" spans="1:8" x14ac:dyDescent="0.2">
      <c r="A116" t="s">
        <v>496</v>
      </c>
      <c r="B116">
        <v>591113</v>
      </c>
      <c r="C116" s="67">
        <v>43544.664421296293</v>
      </c>
      <c r="D116" t="s">
        <v>710</v>
      </c>
      <c r="E116" t="s">
        <v>1179</v>
      </c>
      <c r="F116">
        <v>162137</v>
      </c>
      <c r="G116">
        <v>249.74</v>
      </c>
      <c r="H116">
        <v>0</v>
      </c>
      <c r="J116" t="s">
        <v>1188</v>
      </c>
    </row>
    <row r="117" spans="1:8" x14ac:dyDescent="0.2">
      <c r="A117" t="s">
        <v>496</v>
      </c>
      <c r="B117">
        <v>592983</v>
      </c>
      <c r="C117" s="67">
        <v>43552.02611111111</v>
      </c>
      <c r="D117" t="s">
        <v>771</v>
      </c>
      <c r="E117" t="s">
        <v>1180</v>
      </c>
      <c r="F117">
        <v>192138</v>
      </c>
      <c r="G117">
        <v>6</v>
      </c>
      <c r="H117">
        <v>0</v>
      </c>
      <c r="J117" t="s">
        <v>1189</v>
      </c>
    </row>
    <row r="118" spans="1:8" x14ac:dyDescent="0.2">
      <c r="A118" t="s">
        <v>498</v>
      </c>
      <c r="B118">
        <v>587085</v>
      </c>
      <c r="C118" s="67">
        <v>43530.656157407408</v>
      </c>
      <c r="D118" t="s">
        <v>884</v>
      </c>
      <c r="F118">
        <v>0</v>
      </c>
      <c r="G118">
        <v>0</v>
      </c>
      <c r="H118">
        <v>500</v>
      </c>
      <c r="J118" t="s">
        <v>1186</v>
      </c>
    </row>
    <row r="119" spans="1:8" x14ac:dyDescent="0.2">
      <c r="A119" t="s">
        <v>498</v>
      </c>
      <c r="B119">
        <v>587085</v>
      </c>
      <c r="C119" s="67">
        <v>43530.656157407408</v>
      </c>
      <c r="D119" t="s">
        <v>711</v>
      </c>
      <c r="F119">
        <v>188766</v>
      </c>
      <c r="G119">
        <v>36</v>
      </c>
      <c r="H119">
        <v>0</v>
      </c>
      <c r="J119" t="s">
        <v>1187</v>
      </c>
    </row>
    <row r="120" spans="1:8" x14ac:dyDescent="0.2">
      <c r="A120" t="s">
        <v>498</v>
      </c>
      <c r="B120">
        <v>587100</v>
      </c>
      <c r="C120" s="67">
        <v>43530.673437500001</v>
      </c>
      <c r="D120" t="s">
        <v>712</v>
      </c>
      <c r="E120" t="s">
        <v>1179</v>
      </c>
      <c r="F120">
        <v>160861</v>
      </c>
      <c r="G120">
        <v>458</v>
      </c>
      <c r="H120">
        <v>0</v>
      </c>
      <c r="J120" t="s">
        <v>1188</v>
      </c>
    </row>
    <row r="121" spans="1:8" x14ac:dyDescent="0.2">
      <c r="A121" t="s">
        <v>498</v>
      </c>
      <c r="B121">
        <v>592983</v>
      </c>
      <c r="C121" s="67">
        <v>43552.02611111111</v>
      </c>
      <c r="D121" t="s">
        <v>772</v>
      </c>
      <c r="E121" t="s">
        <v>1180</v>
      </c>
      <c r="F121">
        <v>192146</v>
      </c>
      <c r="G121">
        <v>6</v>
      </c>
      <c r="H121">
        <v>0</v>
      </c>
      <c r="J121" t="s">
        <v>1189</v>
      </c>
    </row>
    <row r="122" spans="1:8" x14ac:dyDescent="0.2">
      <c r="A122" t="s">
        <v>511</v>
      </c>
      <c r="B122">
        <v>587086</v>
      </c>
      <c r="C122" s="67">
        <v>43530.656157407408</v>
      </c>
      <c r="D122" t="s">
        <v>885</v>
      </c>
      <c r="F122">
        <v>0</v>
      </c>
      <c r="G122">
        <v>0</v>
      </c>
      <c r="H122">
        <v>44.59</v>
      </c>
      <c r="J122" t="s">
        <v>1186</v>
      </c>
    </row>
    <row r="123" spans="1:8" x14ac:dyDescent="0.2">
      <c r="A123" t="s">
        <v>511</v>
      </c>
      <c r="B123">
        <v>587086</v>
      </c>
      <c r="C123" s="67">
        <v>43530.656157407408</v>
      </c>
      <c r="D123" t="s">
        <v>713</v>
      </c>
      <c r="F123">
        <v>188767</v>
      </c>
      <c r="G123">
        <v>3.22</v>
      </c>
      <c r="H123">
        <v>0</v>
      </c>
      <c r="J123" t="s">
        <v>1187</v>
      </c>
    </row>
    <row r="124" spans="1:8" x14ac:dyDescent="0.2">
      <c r="A124" t="s">
        <v>511</v>
      </c>
      <c r="B124">
        <v>587100</v>
      </c>
      <c r="C124" s="67">
        <v>43530.673437500001</v>
      </c>
      <c r="D124" t="s">
        <v>714</v>
      </c>
      <c r="E124" t="s">
        <v>1179</v>
      </c>
      <c r="F124">
        <v>160862</v>
      </c>
      <c r="G124">
        <v>35.369999999999997</v>
      </c>
      <c r="H124">
        <v>0</v>
      </c>
      <c r="J124" t="s">
        <v>1188</v>
      </c>
    </row>
    <row r="125" spans="1:8" x14ac:dyDescent="0.2">
      <c r="A125" t="s">
        <v>511</v>
      </c>
      <c r="B125">
        <v>588200</v>
      </c>
      <c r="C125" s="67">
        <v>43535.658796296295</v>
      </c>
      <c r="D125" t="s">
        <v>885</v>
      </c>
      <c r="F125">
        <v>0</v>
      </c>
      <c r="G125">
        <v>0</v>
      </c>
      <c r="H125">
        <v>466.12</v>
      </c>
      <c r="J125" t="s">
        <v>1186</v>
      </c>
    </row>
    <row r="126" spans="1:8" x14ac:dyDescent="0.2">
      <c r="A126" t="s">
        <v>511</v>
      </c>
      <c r="B126">
        <v>588200</v>
      </c>
      <c r="C126" s="67">
        <v>43535.658796296295</v>
      </c>
      <c r="D126" t="s">
        <v>713</v>
      </c>
      <c r="F126">
        <v>189259</v>
      </c>
      <c r="G126">
        <v>33.56</v>
      </c>
      <c r="H126">
        <v>0</v>
      </c>
      <c r="J126" t="s">
        <v>1187</v>
      </c>
    </row>
    <row r="127" spans="1:8" x14ac:dyDescent="0.2">
      <c r="A127" t="s">
        <v>511</v>
      </c>
      <c r="B127">
        <v>588230</v>
      </c>
      <c r="C127" s="67">
        <v>43535.66233796296</v>
      </c>
      <c r="D127" t="s">
        <v>714</v>
      </c>
      <c r="E127" t="s">
        <v>1179</v>
      </c>
      <c r="F127">
        <v>161162</v>
      </c>
      <c r="G127">
        <v>432.56</v>
      </c>
      <c r="H127">
        <v>0</v>
      </c>
      <c r="J127" t="s">
        <v>1188</v>
      </c>
    </row>
    <row r="128" spans="1:8" x14ac:dyDescent="0.2">
      <c r="A128" t="s">
        <v>511</v>
      </c>
      <c r="B128">
        <v>592983</v>
      </c>
      <c r="C128" s="67">
        <v>43552.02611111111</v>
      </c>
      <c r="D128" t="s">
        <v>773</v>
      </c>
      <c r="E128" t="s">
        <v>1180</v>
      </c>
      <c r="F128">
        <v>192152</v>
      </c>
      <c r="G128">
        <v>6</v>
      </c>
      <c r="H128">
        <v>0</v>
      </c>
      <c r="J128" t="s">
        <v>1189</v>
      </c>
    </row>
    <row r="129" spans="1:8" x14ac:dyDescent="0.2">
      <c r="A129" t="s">
        <v>502</v>
      </c>
      <c r="B129">
        <v>588634</v>
      </c>
      <c r="C129" s="67">
        <v>43536.645474537036</v>
      </c>
      <c r="D129" t="s">
        <v>886</v>
      </c>
      <c r="F129">
        <v>0</v>
      </c>
      <c r="G129">
        <v>0</v>
      </c>
      <c r="H129">
        <v>459.16</v>
      </c>
      <c r="J129" t="s">
        <v>1186</v>
      </c>
    </row>
    <row r="130" spans="1:8" x14ac:dyDescent="0.2">
      <c r="A130" t="s">
        <v>502</v>
      </c>
      <c r="B130">
        <v>588634</v>
      </c>
      <c r="C130" s="67">
        <v>43536.645474537036</v>
      </c>
      <c r="D130" t="s">
        <v>715</v>
      </c>
      <c r="F130">
        <v>189449</v>
      </c>
      <c r="G130">
        <v>33.06</v>
      </c>
      <c r="H130">
        <v>0</v>
      </c>
      <c r="J130" t="s">
        <v>1187</v>
      </c>
    </row>
    <row r="131" spans="1:8" x14ac:dyDescent="0.2">
      <c r="A131" s="47" t="s">
        <v>502</v>
      </c>
      <c r="B131">
        <v>588634</v>
      </c>
      <c r="C131" s="67">
        <v>43536.645474537036</v>
      </c>
      <c r="D131" t="s">
        <v>818</v>
      </c>
      <c r="F131">
        <v>0</v>
      </c>
      <c r="G131">
        <v>0</v>
      </c>
      <c r="H131">
        <v>2.36</v>
      </c>
      <c r="J131" t="s">
        <v>1186</v>
      </c>
    </row>
    <row r="132" spans="1:8" x14ac:dyDescent="0.2">
      <c r="A132" s="47" t="s">
        <v>502</v>
      </c>
      <c r="B132">
        <v>588634</v>
      </c>
      <c r="C132" s="67">
        <v>43536.645474537036</v>
      </c>
      <c r="D132" t="s">
        <v>715</v>
      </c>
      <c r="F132">
        <v>189449</v>
      </c>
      <c r="G132">
        <v>0.17</v>
      </c>
      <c r="H132">
        <v>0</v>
      </c>
      <c r="J132" t="s">
        <v>1187</v>
      </c>
    </row>
    <row r="133" spans="1:8" x14ac:dyDescent="0.2">
      <c r="A133" s="47" t="s">
        <v>502</v>
      </c>
      <c r="B133">
        <v>588644</v>
      </c>
      <c r="C133" s="67">
        <v>43536.653657407405</v>
      </c>
      <c r="D133" t="s">
        <v>716</v>
      </c>
      <c r="E133" t="s">
        <v>1179</v>
      </c>
      <c r="F133">
        <v>161307</v>
      </c>
      <c r="G133">
        <v>422.29</v>
      </c>
      <c r="H133">
        <v>0</v>
      </c>
      <c r="J133" t="s">
        <v>1188</v>
      </c>
    </row>
    <row r="134" spans="1:8" x14ac:dyDescent="0.2">
      <c r="A134" t="s">
        <v>502</v>
      </c>
      <c r="B134">
        <v>590527</v>
      </c>
      <c r="C134" s="67">
        <v>43542.700949074075</v>
      </c>
      <c r="D134" t="s">
        <v>887</v>
      </c>
      <c r="E134" s="47" t="s">
        <v>1181</v>
      </c>
      <c r="G134">
        <v>6</v>
      </c>
      <c r="H134">
        <v>0</v>
      </c>
      <c r="J134" t="s">
        <v>1189</v>
      </c>
    </row>
    <row r="135" spans="1:8" x14ac:dyDescent="0.2">
      <c r="A135" t="s">
        <v>502</v>
      </c>
      <c r="B135">
        <v>592983</v>
      </c>
      <c r="C135" s="67">
        <v>43552.02611111111</v>
      </c>
      <c r="D135" t="s">
        <v>774</v>
      </c>
      <c r="E135" t="s">
        <v>1180</v>
      </c>
      <c r="F135">
        <v>192223</v>
      </c>
      <c r="G135">
        <v>6</v>
      </c>
      <c r="H135">
        <v>0</v>
      </c>
      <c r="J135" t="s">
        <v>1189</v>
      </c>
    </row>
    <row r="136" spans="1:8" x14ac:dyDescent="0.2">
      <c r="A136" t="s">
        <v>504</v>
      </c>
      <c r="B136">
        <v>588936</v>
      </c>
      <c r="C136" s="67">
        <v>43537.666273148148</v>
      </c>
      <c r="D136" t="s">
        <v>888</v>
      </c>
      <c r="F136">
        <v>0</v>
      </c>
      <c r="G136">
        <v>0</v>
      </c>
      <c r="H136">
        <v>550</v>
      </c>
      <c r="J136" t="s">
        <v>1186</v>
      </c>
    </row>
    <row r="137" spans="1:8" x14ac:dyDescent="0.2">
      <c r="A137" t="s">
        <v>504</v>
      </c>
      <c r="B137">
        <v>588936</v>
      </c>
      <c r="C137" s="67">
        <v>43537.666273148148</v>
      </c>
      <c r="D137" t="s">
        <v>717</v>
      </c>
      <c r="F137">
        <v>189570</v>
      </c>
      <c r="G137">
        <v>39.6</v>
      </c>
      <c r="H137">
        <v>0</v>
      </c>
      <c r="J137" t="s">
        <v>1187</v>
      </c>
    </row>
    <row r="138" spans="1:8" x14ac:dyDescent="0.2">
      <c r="A138" t="s">
        <v>504</v>
      </c>
      <c r="B138">
        <v>588950</v>
      </c>
      <c r="C138" s="67">
        <v>43537.673217592594</v>
      </c>
      <c r="D138" t="s">
        <v>718</v>
      </c>
      <c r="E138" t="s">
        <v>1179</v>
      </c>
      <c r="F138">
        <v>161378</v>
      </c>
      <c r="G138">
        <v>504.4</v>
      </c>
      <c r="H138">
        <v>0</v>
      </c>
      <c r="J138" t="s">
        <v>1188</v>
      </c>
    </row>
    <row r="139" spans="1:8" x14ac:dyDescent="0.2">
      <c r="A139" t="s">
        <v>504</v>
      </c>
      <c r="B139">
        <v>592983</v>
      </c>
      <c r="C139" s="67">
        <v>43552.02611111111</v>
      </c>
      <c r="D139" t="s">
        <v>775</v>
      </c>
      <c r="E139" t="s">
        <v>1180</v>
      </c>
      <c r="F139">
        <v>192211</v>
      </c>
      <c r="G139">
        <v>6</v>
      </c>
      <c r="H139">
        <v>0</v>
      </c>
      <c r="J139" t="s">
        <v>1189</v>
      </c>
    </row>
    <row r="140" spans="1:8" x14ac:dyDescent="0.2">
      <c r="A140" t="s">
        <v>506</v>
      </c>
      <c r="B140">
        <v>592949</v>
      </c>
      <c r="C140" s="67">
        <v>43551.66847222222</v>
      </c>
      <c r="D140" t="s">
        <v>889</v>
      </c>
      <c r="F140">
        <v>0</v>
      </c>
      <c r="G140">
        <v>0</v>
      </c>
      <c r="H140">
        <v>550</v>
      </c>
      <c r="J140" t="s">
        <v>1186</v>
      </c>
    </row>
    <row r="141" spans="1:8" x14ac:dyDescent="0.2">
      <c r="A141" t="s">
        <v>506</v>
      </c>
      <c r="B141">
        <v>592949</v>
      </c>
      <c r="C141" s="67">
        <v>43551.66847222222</v>
      </c>
      <c r="D141" t="s">
        <v>820</v>
      </c>
      <c r="F141">
        <v>190815</v>
      </c>
      <c r="G141">
        <v>39.6</v>
      </c>
      <c r="H141">
        <v>0</v>
      </c>
      <c r="J141" t="s">
        <v>1187</v>
      </c>
    </row>
    <row r="142" spans="1:8" x14ac:dyDescent="0.2">
      <c r="A142" t="s">
        <v>506</v>
      </c>
      <c r="B142">
        <v>592983</v>
      </c>
      <c r="C142" s="67">
        <v>43552.02611111111</v>
      </c>
      <c r="D142" t="s">
        <v>776</v>
      </c>
      <c r="E142" t="s">
        <v>1180</v>
      </c>
      <c r="F142">
        <v>192213</v>
      </c>
      <c r="G142">
        <v>6</v>
      </c>
      <c r="H142">
        <v>0</v>
      </c>
      <c r="J142" t="s">
        <v>1189</v>
      </c>
    </row>
    <row r="143" spans="1:8" x14ac:dyDescent="0.2">
      <c r="A143" t="s">
        <v>469</v>
      </c>
      <c r="B143">
        <v>592983</v>
      </c>
      <c r="C143" s="67">
        <v>43552.02611111111</v>
      </c>
      <c r="D143" t="s">
        <v>777</v>
      </c>
      <c r="F143">
        <v>192366</v>
      </c>
      <c r="G143">
        <v>12</v>
      </c>
      <c r="H143">
        <v>0</v>
      </c>
      <c r="J143" t="s">
        <v>1189</v>
      </c>
    </row>
    <row r="144" spans="1:8" x14ac:dyDescent="0.2">
      <c r="A144" t="s">
        <v>560</v>
      </c>
      <c r="B144">
        <v>592983</v>
      </c>
      <c r="C144" s="67">
        <v>43552.02611111111</v>
      </c>
      <c r="D144" t="s">
        <v>778</v>
      </c>
      <c r="E144" t="s">
        <v>1180</v>
      </c>
      <c r="F144">
        <v>192367</v>
      </c>
      <c r="G144">
        <v>6</v>
      </c>
      <c r="H144">
        <v>0</v>
      </c>
      <c r="J144" t="s">
        <v>1189</v>
      </c>
    </row>
    <row r="145" spans="1:8" x14ac:dyDescent="0.2">
      <c r="A145" t="s">
        <v>470</v>
      </c>
      <c r="B145">
        <v>591642</v>
      </c>
      <c r="C145" s="67">
        <v>43546.461145833331</v>
      </c>
      <c r="D145" t="s">
        <v>890</v>
      </c>
      <c r="E145" s="47" t="s">
        <v>1181</v>
      </c>
      <c r="F145">
        <v>10511</v>
      </c>
      <c r="G145">
        <v>48</v>
      </c>
      <c r="H145">
        <v>0</v>
      </c>
      <c r="J145" t="s">
        <v>1189</v>
      </c>
    </row>
    <row r="146" spans="1:8" x14ac:dyDescent="0.2">
      <c r="A146" t="s">
        <v>470</v>
      </c>
      <c r="B146">
        <v>592983</v>
      </c>
      <c r="C146" s="67">
        <v>43552.02611111111</v>
      </c>
      <c r="D146" t="s">
        <v>779</v>
      </c>
      <c r="E146" t="s">
        <v>1180</v>
      </c>
      <c r="F146">
        <v>192369</v>
      </c>
      <c r="G146">
        <v>6</v>
      </c>
      <c r="H146">
        <v>0</v>
      </c>
      <c r="J146" t="s">
        <v>1189</v>
      </c>
    </row>
    <row r="147" spans="1:8" x14ac:dyDescent="0.2">
      <c r="A147" t="s">
        <v>471</v>
      </c>
      <c r="B147">
        <v>588201</v>
      </c>
      <c r="C147" s="67">
        <v>43535.658796296295</v>
      </c>
      <c r="D147" t="s">
        <v>822</v>
      </c>
      <c r="F147">
        <v>0</v>
      </c>
      <c r="G147">
        <v>0</v>
      </c>
      <c r="H147">
        <v>192.4</v>
      </c>
      <c r="J147" t="s">
        <v>1186</v>
      </c>
    </row>
    <row r="148" spans="1:8" x14ac:dyDescent="0.2">
      <c r="A148" t="s">
        <v>471</v>
      </c>
      <c r="B148">
        <v>588201</v>
      </c>
      <c r="C148" s="67">
        <v>43535.658796296295</v>
      </c>
      <c r="D148" t="s">
        <v>719</v>
      </c>
      <c r="F148">
        <v>189260</v>
      </c>
      <c r="G148">
        <v>13.85</v>
      </c>
      <c r="H148">
        <v>0</v>
      </c>
      <c r="J148" t="s">
        <v>1187</v>
      </c>
    </row>
    <row r="149" spans="1:8" x14ac:dyDescent="0.2">
      <c r="A149" t="s">
        <v>471</v>
      </c>
      <c r="B149">
        <v>588230</v>
      </c>
      <c r="C149" s="67">
        <v>43535.66233796296</v>
      </c>
      <c r="D149" t="s">
        <v>720</v>
      </c>
      <c r="E149" t="s">
        <v>1179</v>
      </c>
      <c r="F149">
        <v>161163</v>
      </c>
      <c r="G149">
        <v>172.55</v>
      </c>
      <c r="H149">
        <v>0</v>
      </c>
      <c r="J149" t="s">
        <v>1188</v>
      </c>
    </row>
    <row r="150" spans="1:8" x14ac:dyDescent="0.2">
      <c r="A150" t="s">
        <v>471</v>
      </c>
      <c r="B150">
        <v>588860</v>
      </c>
      <c r="C150" s="67">
        <v>43537.647476851853</v>
      </c>
      <c r="D150" t="s">
        <v>891</v>
      </c>
      <c r="E150" s="47" t="s">
        <v>1181</v>
      </c>
      <c r="F150" t="s">
        <v>892</v>
      </c>
      <c r="G150">
        <v>275</v>
      </c>
      <c r="H150">
        <v>0</v>
      </c>
      <c r="J150" t="s">
        <v>1189</v>
      </c>
    </row>
    <row r="151" spans="1:8" x14ac:dyDescent="0.2">
      <c r="A151" t="s">
        <v>471</v>
      </c>
      <c r="B151">
        <v>592670</v>
      </c>
      <c r="C151" s="67">
        <v>43550.661550925928</v>
      </c>
      <c r="D151" t="s">
        <v>893</v>
      </c>
      <c r="F151">
        <v>0</v>
      </c>
      <c r="G151">
        <v>0</v>
      </c>
      <c r="H151">
        <v>269.12</v>
      </c>
      <c r="J151" t="s">
        <v>1186</v>
      </c>
    </row>
    <row r="152" spans="1:8" x14ac:dyDescent="0.2">
      <c r="A152" t="s">
        <v>471</v>
      </c>
      <c r="B152">
        <v>592670</v>
      </c>
      <c r="C152" s="67">
        <v>43550.661550925928</v>
      </c>
      <c r="D152" t="s">
        <v>719</v>
      </c>
      <c r="F152">
        <v>190718</v>
      </c>
      <c r="G152">
        <v>19.38</v>
      </c>
      <c r="H152">
        <v>0</v>
      </c>
      <c r="J152" t="s">
        <v>1187</v>
      </c>
    </row>
    <row r="153" spans="1:8" x14ac:dyDescent="0.2">
      <c r="A153" t="s">
        <v>471</v>
      </c>
      <c r="B153">
        <v>592983</v>
      </c>
      <c r="C153" s="67">
        <v>43552.02611111111</v>
      </c>
      <c r="D153" t="s">
        <v>780</v>
      </c>
      <c r="E153" t="s">
        <v>1180</v>
      </c>
      <c r="F153">
        <v>192371</v>
      </c>
      <c r="G153">
        <v>6</v>
      </c>
      <c r="H153">
        <v>0</v>
      </c>
      <c r="J153" t="s">
        <v>1189</v>
      </c>
    </row>
    <row r="154" spans="1:8" x14ac:dyDescent="0.2">
      <c r="A154" t="s">
        <v>474</v>
      </c>
      <c r="B154">
        <v>588194</v>
      </c>
      <c r="C154" s="67">
        <v>43535.658796296295</v>
      </c>
      <c r="D154" t="s">
        <v>823</v>
      </c>
      <c r="F154">
        <v>0</v>
      </c>
      <c r="G154">
        <v>0</v>
      </c>
      <c r="H154">
        <v>115.44</v>
      </c>
      <c r="J154" t="s">
        <v>1186</v>
      </c>
    </row>
    <row r="155" spans="1:8" x14ac:dyDescent="0.2">
      <c r="A155" t="s">
        <v>474</v>
      </c>
      <c r="B155">
        <v>588194</v>
      </c>
      <c r="C155" s="67">
        <v>43535.658796296295</v>
      </c>
      <c r="D155" t="s">
        <v>721</v>
      </c>
      <c r="F155">
        <v>189253</v>
      </c>
      <c r="G155">
        <v>8.32</v>
      </c>
      <c r="H155">
        <v>0</v>
      </c>
      <c r="J155" t="s">
        <v>1187</v>
      </c>
    </row>
    <row r="156" spans="1:8" x14ac:dyDescent="0.2">
      <c r="A156" t="s">
        <v>474</v>
      </c>
      <c r="B156">
        <v>588194</v>
      </c>
      <c r="C156" s="67">
        <v>43535.658796296295</v>
      </c>
      <c r="D156" t="s">
        <v>894</v>
      </c>
      <c r="F156">
        <v>0</v>
      </c>
      <c r="G156">
        <v>0</v>
      </c>
      <c r="H156">
        <v>346.08</v>
      </c>
      <c r="J156" t="s">
        <v>1186</v>
      </c>
    </row>
    <row r="157" spans="1:8" x14ac:dyDescent="0.2">
      <c r="A157" t="s">
        <v>474</v>
      </c>
      <c r="B157">
        <v>588194</v>
      </c>
      <c r="C157" s="67">
        <v>43535.658796296295</v>
      </c>
      <c r="D157" t="s">
        <v>721</v>
      </c>
      <c r="F157">
        <v>189253</v>
      </c>
      <c r="G157">
        <v>24.91</v>
      </c>
      <c r="H157">
        <v>0</v>
      </c>
      <c r="J157" t="s">
        <v>1187</v>
      </c>
    </row>
    <row r="158" spans="1:8" x14ac:dyDescent="0.2">
      <c r="A158" t="s">
        <v>474</v>
      </c>
      <c r="B158">
        <v>588230</v>
      </c>
      <c r="C158" s="67">
        <v>43535.66233796296</v>
      </c>
      <c r="D158" t="s">
        <v>722</v>
      </c>
      <c r="E158" t="s">
        <v>1179</v>
      </c>
      <c r="F158">
        <v>161156</v>
      </c>
      <c r="G158">
        <v>422.29</v>
      </c>
      <c r="H158">
        <v>0</v>
      </c>
      <c r="J158" t="s">
        <v>1188</v>
      </c>
    </row>
    <row r="159" spans="1:8" x14ac:dyDescent="0.2">
      <c r="A159" t="s">
        <v>474</v>
      </c>
      <c r="B159">
        <v>592983</v>
      </c>
      <c r="C159" s="67">
        <v>43552.02611111111</v>
      </c>
      <c r="D159" t="s">
        <v>781</v>
      </c>
      <c r="E159" t="s">
        <v>1180</v>
      </c>
      <c r="F159">
        <v>192252</v>
      </c>
      <c r="G159">
        <v>6</v>
      </c>
      <c r="H159">
        <v>0</v>
      </c>
      <c r="J159" t="s">
        <v>1189</v>
      </c>
    </row>
    <row r="160" spans="1:8" x14ac:dyDescent="0.2">
      <c r="A160" t="s">
        <v>509</v>
      </c>
      <c r="B160">
        <v>592668</v>
      </c>
      <c r="C160" s="67">
        <v>43550.661550925928</v>
      </c>
      <c r="D160" t="s">
        <v>895</v>
      </c>
      <c r="F160">
        <v>0</v>
      </c>
      <c r="G160">
        <v>0</v>
      </c>
      <c r="H160">
        <v>500</v>
      </c>
      <c r="J160" t="s">
        <v>1186</v>
      </c>
    </row>
    <row r="161" spans="1:8" x14ac:dyDescent="0.2">
      <c r="A161" t="s">
        <v>509</v>
      </c>
      <c r="B161">
        <v>592668</v>
      </c>
      <c r="C161" s="67">
        <v>43550.661550925928</v>
      </c>
      <c r="D161" t="s">
        <v>723</v>
      </c>
      <c r="F161">
        <v>190716</v>
      </c>
      <c r="G161">
        <v>36</v>
      </c>
      <c r="H161">
        <v>0</v>
      </c>
      <c r="J161" t="s">
        <v>1187</v>
      </c>
    </row>
    <row r="162" spans="1:8" x14ac:dyDescent="0.2">
      <c r="A162" t="s">
        <v>509</v>
      </c>
      <c r="B162">
        <v>592682</v>
      </c>
      <c r="C162" s="67">
        <v>43550.665034722224</v>
      </c>
      <c r="D162" t="s">
        <v>724</v>
      </c>
      <c r="E162" t="s">
        <v>1179</v>
      </c>
      <c r="F162">
        <v>162577</v>
      </c>
      <c r="G162">
        <v>458</v>
      </c>
      <c r="H162">
        <v>0</v>
      </c>
      <c r="J162" t="s">
        <v>1188</v>
      </c>
    </row>
    <row r="163" spans="1:8" x14ac:dyDescent="0.2">
      <c r="A163" t="s">
        <v>509</v>
      </c>
      <c r="B163">
        <v>592983</v>
      </c>
      <c r="C163" s="67">
        <v>43552.02611111111</v>
      </c>
      <c r="D163" t="s">
        <v>782</v>
      </c>
      <c r="E163" t="s">
        <v>1180</v>
      </c>
      <c r="F163">
        <v>192244</v>
      </c>
      <c r="G163">
        <v>6</v>
      </c>
      <c r="H163">
        <v>0</v>
      </c>
      <c r="J163" t="s">
        <v>1189</v>
      </c>
    </row>
    <row r="164" spans="1:8" x14ac:dyDescent="0.2">
      <c r="A164" t="s">
        <v>473</v>
      </c>
      <c r="B164">
        <v>588193</v>
      </c>
      <c r="C164" s="67">
        <v>43535.658796296295</v>
      </c>
      <c r="D164" t="s">
        <v>896</v>
      </c>
      <c r="F164">
        <v>0</v>
      </c>
      <c r="G164">
        <v>0</v>
      </c>
      <c r="H164">
        <v>268.16000000000003</v>
      </c>
      <c r="J164" t="s">
        <v>1186</v>
      </c>
    </row>
    <row r="165" spans="1:8" x14ac:dyDescent="0.2">
      <c r="A165" t="s">
        <v>473</v>
      </c>
      <c r="B165">
        <v>588193</v>
      </c>
      <c r="C165" s="67">
        <v>43535.658796296295</v>
      </c>
      <c r="D165" t="s">
        <v>725</v>
      </c>
      <c r="F165">
        <v>189252</v>
      </c>
      <c r="G165">
        <v>19.309999999999999</v>
      </c>
      <c r="H165">
        <v>0</v>
      </c>
      <c r="J165" t="s">
        <v>1187</v>
      </c>
    </row>
    <row r="166" spans="1:8" x14ac:dyDescent="0.2">
      <c r="A166" t="s">
        <v>473</v>
      </c>
      <c r="B166">
        <v>588193</v>
      </c>
      <c r="C166" s="67">
        <v>43535.658796296295</v>
      </c>
      <c r="D166" t="s">
        <v>824</v>
      </c>
      <c r="F166">
        <v>0</v>
      </c>
      <c r="G166">
        <v>0</v>
      </c>
      <c r="H166">
        <v>193.36</v>
      </c>
      <c r="J166" t="s">
        <v>1186</v>
      </c>
    </row>
    <row r="167" spans="1:8" x14ac:dyDescent="0.2">
      <c r="A167" t="s">
        <v>473</v>
      </c>
      <c r="B167">
        <v>588193</v>
      </c>
      <c r="C167" s="67">
        <v>43535.658796296295</v>
      </c>
      <c r="D167" t="s">
        <v>725</v>
      </c>
      <c r="F167">
        <v>189252</v>
      </c>
      <c r="G167">
        <v>13.92</v>
      </c>
      <c r="H167">
        <v>0</v>
      </c>
      <c r="J167" t="s">
        <v>1187</v>
      </c>
    </row>
    <row r="168" spans="1:8" x14ac:dyDescent="0.2">
      <c r="A168" t="s">
        <v>473</v>
      </c>
      <c r="B168">
        <v>588230</v>
      </c>
      <c r="C168" s="67">
        <v>43535.66233796296</v>
      </c>
      <c r="D168" t="s">
        <v>783</v>
      </c>
      <c r="E168" t="s">
        <v>1179</v>
      </c>
      <c r="F168">
        <v>161155</v>
      </c>
      <c r="G168">
        <v>422.29</v>
      </c>
      <c r="H168">
        <v>0</v>
      </c>
      <c r="J168" t="s">
        <v>1188</v>
      </c>
    </row>
    <row r="169" spans="1:8" x14ac:dyDescent="0.2">
      <c r="A169" t="s">
        <v>473</v>
      </c>
      <c r="B169">
        <v>592983</v>
      </c>
      <c r="C169" s="67">
        <v>43552.02611111111</v>
      </c>
      <c r="D169" t="s">
        <v>784</v>
      </c>
      <c r="E169" t="s">
        <v>1180</v>
      </c>
      <c r="F169">
        <v>192243</v>
      </c>
      <c r="G169">
        <v>6</v>
      </c>
      <c r="H169">
        <v>0</v>
      </c>
      <c r="J169" t="s">
        <v>1189</v>
      </c>
    </row>
    <row r="170" spans="1:8" x14ac:dyDescent="0.2">
      <c r="A170" t="s">
        <v>472</v>
      </c>
      <c r="B170">
        <v>588182</v>
      </c>
      <c r="C170" s="67">
        <v>43535.658796296295</v>
      </c>
      <c r="D170" t="s">
        <v>897</v>
      </c>
      <c r="F170">
        <v>0</v>
      </c>
      <c r="G170">
        <v>0</v>
      </c>
      <c r="H170">
        <v>120.8</v>
      </c>
      <c r="J170" t="s">
        <v>1186</v>
      </c>
    </row>
    <row r="171" spans="1:8" x14ac:dyDescent="0.2">
      <c r="A171" t="s">
        <v>472</v>
      </c>
      <c r="B171">
        <v>588182</v>
      </c>
      <c r="C171" s="67">
        <v>43535.658796296295</v>
      </c>
      <c r="D171" t="s">
        <v>726</v>
      </c>
      <c r="F171">
        <v>189241</v>
      </c>
      <c r="G171">
        <v>8.6999999999999993</v>
      </c>
      <c r="H171">
        <v>0</v>
      </c>
      <c r="J171" t="s">
        <v>1187</v>
      </c>
    </row>
    <row r="172" spans="1:8" x14ac:dyDescent="0.2">
      <c r="A172" t="s">
        <v>472</v>
      </c>
      <c r="B172">
        <v>588182</v>
      </c>
      <c r="C172" s="67">
        <v>43535.658796296295</v>
      </c>
      <c r="D172" t="s">
        <v>825</v>
      </c>
      <c r="F172">
        <v>0</v>
      </c>
      <c r="G172">
        <v>0</v>
      </c>
      <c r="H172">
        <v>345.32</v>
      </c>
      <c r="J172" t="s">
        <v>1186</v>
      </c>
    </row>
    <row r="173" spans="1:8" x14ac:dyDescent="0.2">
      <c r="A173" t="s">
        <v>472</v>
      </c>
      <c r="B173">
        <v>588182</v>
      </c>
      <c r="C173" s="67">
        <v>43535.658796296295</v>
      </c>
      <c r="D173" t="s">
        <v>726</v>
      </c>
      <c r="F173">
        <v>189241</v>
      </c>
      <c r="G173">
        <v>24.86</v>
      </c>
      <c r="H173">
        <v>0</v>
      </c>
      <c r="J173" t="s">
        <v>1187</v>
      </c>
    </row>
    <row r="174" spans="1:8" x14ac:dyDescent="0.2">
      <c r="A174" t="s">
        <v>472</v>
      </c>
      <c r="B174">
        <v>588230</v>
      </c>
      <c r="C174" s="67">
        <v>43535.66233796296</v>
      </c>
      <c r="D174" t="s">
        <v>727</v>
      </c>
      <c r="E174" t="s">
        <v>1179</v>
      </c>
      <c r="F174">
        <v>161144</v>
      </c>
      <c r="G174">
        <v>426.56</v>
      </c>
      <c r="H174">
        <v>0</v>
      </c>
      <c r="J174" t="s">
        <v>1188</v>
      </c>
    </row>
    <row r="175" spans="1:8" x14ac:dyDescent="0.2">
      <c r="A175" t="s">
        <v>472</v>
      </c>
      <c r="B175">
        <v>592983</v>
      </c>
      <c r="C175" s="67">
        <v>43552.02611111111</v>
      </c>
      <c r="D175" t="s">
        <v>785</v>
      </c>
      <c r="E175" t="s">
        <v>1180</v>
      </c>
      <c r="F175">
        <v>192242</v>
      </c>
      <c r="G175">
        <v>6</v>
      </c>
      <c r="H175">
        <v>0</v>
      </c>
      <c r="J175" t="s">
        <v>1189</v>
      </c>
    </row>
    <row r="176" spans="1:8" x14ac:dyDescent="0.2">
      <c r="A176" t="s">
        <v>479</v>
      </c>
      <c r="B176">
        <v>590166</v>
      </c>
      <c r="C176" s="67">
        <v>43539.598703703705</v>
      </c>
      <c r="D176" t="s">
        <v>898</v>
      </c>
      <c r="F176">
        <v>0</v>
      </c>
      <c r="G176">
        <v>0</v>
      </c>
      <c r="H176">
        <v>350</v>
      </c>
      <c r="J176" t="s">
        <v>1186</v>
      </c>
    </row>
    <row r="177" spans="1:8" x14ac:dyDescent="0.2">
      <c r="A177" t="s">
        <v>479</v>
      </c>
      <c r="B177">
        <v>590166</v>
      </c>
      <c r="C177" s="67">
        <v>43539.598703703705</v>
      </c>
      <c r="D177" t="s">
        <v>728</v>
      </c>
      <c r="F177">
        <v>189821</v>
      </c>
      <c r="G177">
        <v>25.2</v>
      </c>
      <c r="H177">
        <v>0</v>
      </c>
      <c r="J177" t="s">
        <v>1187</v>
      </c>
    </row>
    <row r="178" spans="1:8" x14ac:dyDescent="0.2">
      <c r="A178" t="s">
        <v>479</v>
      </c>
      <c r="B178">
        <v>590170</v>
      </c>
      <c r="C178" s="67">
        <v>43539.602106481485</v>
      </c>
      <c r="D178" t="s">
        <v>729</v>
      </c>
      <c r="E178" t="s">
        <v>1179</v>
      </c>
      <c r="F178">
        <v>161907</v>
      </c>
      <c r="G178">
        <v>324.8</v>
      </c>
      <c r="H178">
        <v>0</v>
      </c>
      <c r="J178" t="s">
        <v>1188</v>
      </c>
    </row>
    <row r="179" spans="1:8" x14ac:dyDescent="0.2">
      <c r="A179" t="s">
        <v>479</v>
      </c>
      <c r="B179">
        <v>592983</v>
      </c>
      <c r="C179" s="67">
        <v>43552.02611111111</v>
      </c>
      <c r="D179" t="s">
        <v>786</v>
      </c>
      <c r="E179" t="s">
        <v>1180</v>
      </c>
      <c r="F179">
        <v>192275</v>
      </c>
      <c r="G179">
        <v>6</v>
      </c>
      <c r="H179">
        <v>0</v>
      </c>
      <c r="J179" t="s">
        <v>1189</v>
      </c>
    </row>
    <row r="180" spans="1:8" x14ac:dyDescent="0.2">
      <c r="A180" t="s">
        <v>561</v>
      </c>
      <c r="B180">
        <v>585377</v>
      </c>
      <c r="C180" s="67">
        <v>43525.601122685184</v>
      </c>
      <c r="D180" t="s">
        <v>899</v>
      </c>
      <c r="F180">
        <v>0</v>
      </c>
      <c r="G180">
        <v>0</v>
      </c>
      <c r="H180">
        <v>35</v>
      </c>
      <c r="J180" t="s">
        <v>1186</v>
      </c>
    </row>
    <row r="181" spans="1:8" x14ac:dyDescent="0.2">
      <c r="A181" t="s">
        <v>561</v>
      </c>
      <c r="B181">
        <v>585377</v>
      </c>
      <c r="C181" s="67">
        <v>43525.601122685184</v>
      </c>
      <c r="D181" t="s">
        <v>730</v>
      </c>
      <c r="F181">
        <v>187996</v>
      </c>
      <c r="G181">
        <v>2.52</v>
      </c>
      <c r="H181">
        <v>0</v>
      </c>
      <c r="J181" t="s">
        <v>1187</v>
      </c>
    </row>
    <row r="182" spans="1:8" x14ac:dyDescent="0.2">
      <c r="A182" t="s">
        <v>561</v>
      </c>
      <c r="B182">
        <v>585593</v>
      </c>
      <c r="C182" s="67">
        <v>43525.622002314813</v>
      </c>
      <c r="D182" t="s">
        <v>731</v>
      </c>
      <c r="E182" t="s">
        <v>1179</v>
      </c>
      <c r="F182">
        <v>160189</v>
      </c>
      <c r="G182">
        <v>26.48</v>
      </c>
      <c r="H182">
        <v>0</v>
      </c>
      <c r="J182" t="s">
        <v>1188</v>
      </c>
    </row>
    <row r="183" spans="1:8" x14ac:dyDescent="0.2">
      <c r="A183" t="s">
        <v>561</v>
      </c>
      <c r="B183">
        <v>586139</v>
      </c>
      <c r="C183" s="67">
        <v>43528.63790509259</v>
      </c>
      <c r="D183" t="s">
        <v>899</v>
      </c>
      <c r="F183">
        <v>0</v>
      </c>
      <c r="G183">
        <v>0</v>
      </c>
      <c r="H183">
        <v>485</v>
      </c>
      <c r="J183" t="s">
        <v>1186</v>
      </c>
    </row>
    <row r="184" spans="1:8" x14ac:dyDescent="0.2">
      <c r="A184" t="s">
        <v>561</v>
      </c>
      <c r="B184">
        <v>586139</v>
      </c>
      <c r="C184" s="67">
        <v>43528.63790509259</v>
      </c>
      <c r="D184" t="s">
        <v>730</v>
      </c>
      <c r="F184">
        <v>188335</v>
      </c>
      <c r="G184">
        <v>34.92</v>
      </c>
      <c r="H184">
        <v>0</v>
      </c>
      <c r="J184" t="s">
        <v>1187</v>
      </c>
    </row>
    <row r="185" spans="1:8" x14ac:dyDescent="0.2">
      <c r="A185" t="s">
        <v>561</v>
      </c>
      <c r="B185">
        <v>586352</v>
      </c>
      <c r="C185" s="67">
        <v>43528.681030092594</v>
      </c>
      <c r="D185" t="s">
        <v>731</v>
      </c>
      <c r="E185" t="s">
        <v>1179</v>
      </c>
      <c r="F185">
        <v>160466</v>
      </c>
      <c r="G185">
        <v>450.08</v>
      </c>
      <c r="H185">
        <v>0</v>
      </c>
      <c r="J185" t="s">
        <v>1188</v>
      </c>
    </row>
    <row r="186" spans="1:8" x14ac:dyDescent="0.2">
      <c r="A186" t="s">
        <v>561</v>
      </c>
      <c r="B186">
        <v>592983</v>
      </c>
      <c r="C186" s="67">
        <v>43552.02611111111</v>
      </c>
      <c r="D186" t="s">
        <v>787</v>
      </c>
      <c r="E186" t="s">
        <v>1180</v>
      </c>
      <c r="F186">
        <v>192277</v>
      </c>
      <c r="G186">
        <v>6</v>
      </c>
      <c r="H186">
        <v>0</v>
      </c>
      <c r="J186" t="s">
        <v>1189</v>
      </c>
    </row>
    <row r="187" spans="1:8" x14ac:dyDescent="0.2">
      <c r="A187" t="s">
        <v>484</v>
      </c>
      <c r="B187">
        <v>587641</v>
      </c>
      <c r="C187" s="67">
        <v>43532.618900462963</v>
      </c>
      <c r="D187" t="s">
        <v>900</v>
      </c>
      <c r="F187">
        <v>0</v>
      </c>
      <c r="G187">
        <v>0</v>
      </c>
      <c r="H187">
        <v>134.44</v>
      </c>
      <c r="J187" t="s">
        <v>1186</v>
      </c>
    </row>
    <row r="188" spans="1:8" x14ac:dyDescent="0.2">
      <c r="A188" t="s">
        <v>484</v>
      </c>
      <c r="B188">
        <v>587641</v>
      </c>
      <c r="C188" s="67">
        <v>43532.618900462963</v>
      </c>
      <c r="D188" t="s">
        <v>732</v>
      </c>
      <c r="F188">
        <v>188972</v>
      </c>
      <c r="G188">
        <v>9.68</v>
      </c>
      <c r="H188">
        <v>0</v>
      </c>
      <c r="J188" t="s">
        <v>1187</v>
      </c>
    </row>
    <row r="189" spans="1:8" x14ac:dyDescent="0.2">
      <c r="A189" t="s">
        <v>484</v>
      </c>
      <c r="B189">
        <v>587648</v>
      </c>
      <c r="C189" s="67">
        <v>43532.620983796296</v>
      </c>
      <c r="D189" t="s">
        <v>733</v>
      </c>
      <c r="E189" t="s">
        <v>1179</v>
      </c>
      <c r="F189">
        <v>161026</v>
      </c>
      <c r="G189">
        <v>118.76</v>
      </c>
      <c r="H189">
        <v>0</v>
      </c>
      <c r="J189" t="s">
        <v>1188</v>
      </c>
    </row>
    <row r="190" spans="1:8" x14ac:dyDescent="0.2">
      <c r="A190" t="s">
        <v>484</v>
      </c>
      <c r="B190">
        <v>588204</v>
      </c>
      <c r="C190" s="67">
        <v>43535.658796296295</v>
      </c>
      <c r="D190" t="s">
        <v>900</v>
      </c>
      <c r="F190">
        <v>0</v>
      </c>
      <c r="G190">
        <v>0</v>
      </c>
      <c r="H190">
        <v>365.56</v>
      </c>
      <c r="J190" t="s">
        <v>1186</v>
      </c>
    </row>
    <row r="191" spans="1:8" x14ac:dyDescent="0.2">
      <c r="A191" t="s">
        <v>484</v>
      </c>
      <c r="B191">
        <v>588204</v>
      </c>
      <c r="C191" s="67">
        <v>43535.658796296295</v>
      </c>
      <c r="D191" t="s">
        <v>732</v>
      </c>
      <c r="F191">
        <v>189263</v>
      </c>
      <c r="G191">
        <v>26.32</v>
      </c>
      <c r="H191">
        <v>0</v>
      </c>
      <c r="J191" t="s">
        <v>1187</v>
      </c>
    </row>
    <row r="192" spans="1:8" x14ac:dyDescent="0.2">
      <c r="A192" t="s">
        <v>484</v>
      </c>
      <c r="B192">
        <v>588230</v>
      </c>
      <c r="C192" s="67">
        <v>43535.66233796296</v>
      </c>
      <c r="D192" t="s">
        <v>733</v>
      </c>
      <c r="E192" t="s">
        <v>1179</v>
      </c>
      <c r="F192">
        <v>161166</v>
      </c>
      <c r="G192">
        <v>339.24</v>
      </c>
      <c r="H192">
        <v>0</v>
      </c>
      <c r="J192" t="s">
        <v>1188</v>
      </c>
    </row>
    <row r="193" spans="1:8" x14ac:dyDescent="0.2">
      <c r="A193" t="s">
        <v>484</v>
      </c>
      <c r="B193">
        <v>592983</v>
      </c>
      <c r="C193" s="67">
        <v>43552.02611111111</v>
      </c>
      <c r="D193" t="s">
        <v>788</v>
      </c>
      <c r="E193" t="s">
        <v>1180</v>
      </c>
      <c r="F193">
        <v>192476</v>
      </c>
      <c r="G193">
        <v>6</v>
      </c>
      <c r="H193">
        <v>0</v>
      </c>
      <c r="J193" t="s">
        <v>1189</v>
      </c>
    </row>
    <row r="194" spans="1:8" x14ac:dyDescent="0.2">
      <c r="A194" t="s">
        <v>483</v>
      </c>
      <c r="B194">
        <v>589704</v>
      </c>
      <c r="C194" s="67">
        <v>43538.706111111111</v>
      </c>
      <c r="D194" t="s">
        <v>901</v>
      </c>
      <c r="F194">
        <v>0</v>
      </c>
      <c r="G194">
        <v>0</v>
      </c>
      <c r="H194">
        <v>476.19</v>
      </c>
      <c r="J194" t="s">
        <v>1186</v>
      </c>
    </row>
    <row r="195" spans="1:8" x14ac:dyDescent="0.2">
      <c r="A195" t="s">
        <v>483</v>
      </c>
      <c r="B195">
        <v>589704</v>
      </c>
      <c r="C195" s="67">
        <v>43538.706111111111</v>
      </c>
      <c r="D195" t="s">
        <v>734</v>
      </c>
      <c r="F195">
        <v>189712</v>
      </c>
      <c r="G195">
        <v>34.28</v>
      </c>
      <c r="H195">
        <v>0</v>
      </c>
      <c r="J195" t="s">
        <v>1187</v>
      </c>
    </row>
    <row r="196" spans="1:8" x14ac:dyDescent="0.2">
      <c r="A196" t="s">
        <v>483</v>
      </c>
      <c r="B196">
        <v>589718</v>
      </c>
      <c r="C196" s="67">
        <v>43538.71234953704</v>
      </c>
      <c r="D196" t="s">
        <v>735</v>
      </c>
      <c r="E196" t="s">
        <v>1179</v>
      </c>
      <c r="F196">
        <v>161656</v>
      </c>
      <c r="G196">
        <v>435.91</v>
      </c>
      <c r="H196">
        <v>0</v>
      </c>
      <c r="J196" t="s">
        <v>1188</v>
      </c>
    </row>
    <row r="197" spans="1:8" x14ac:dyDescent="0.2">
      <c r="A197" t="s">
        <v>483</v>
      </c>
      <c r="B197">
        <v>592983</v>
      </c>
      <c r="C197" s="67">
        <v>43552.02611111111</v>
      </c>
      <c r="D197" t="s">
        <v>789</v>
      </c>
      <c r="E197" t="s">
        <v>1180</v>
      </c>
      <c r="F197">
        <v>192475</v>
      </c>
      <c r="G197">
        <v>6</v>
      </c>
      <c r="H197">
        <v>0</v>
      </c>
      <c r="J197" t="s">
        <v>1189</v>
      </c>
    </row>
    <row r="198" spans="1:8" x14ac:dyDescent="0.2">
      <c r="A198" t="s">
        <v>481</v>
      </c>
      <c r="B198">
        <v>592983</v>
      </c>
      <c r="C198" s="67">
        <v>43552.02611111111</v>
      </c>
      <c r="D198" t="s">
        <v>790</v>
      </c>
      <c r="E198" t="s">
        <v>1180</v>
      </c>
      <c r="F198">
        <v>192332</v>
      </c>
      <c r="G198">
        <v>6</v>
      </c>
      <c r="H198">
        <v>0</v>
      </c>
      <c r="J198" t="s">
        <v>1189</v>
      </c>
    </row>
    <row r="199" spans="1:8" x14ac:dyDescent="0.2">
      <c r="A199" t="s">
        <v>477</v>
      </c>
      <c r="B199">
        <v>588196</v>
      </c>
      <c r="C199" s="67">
        <v>43535.658796296295</v>
      </c>
      <c r="D199" t="s">
        <v>826</v>
      </c>
      <c r="F199">
        <v>0</v>
      </c>
      <c r="G199">
        <v>0</v>
      </c>
      <c r="H199">
        <v>138.19999999999999</v>
      </c>
      <c r="J199" t="s">
        <v>1186</v>
      </c>
    </row>
    <row r="200" spans="1:8" x14ac:dyDescent="0.2">
      <c r="A200" t="s">
        <v>477</v>
      </c>
      <c r="B200">
        <v>588196</v>
      </c>
      <c r="C200" s="67">
        <v>43535.658796296295</v>
      </c>
      <c r="D200" t="s">
        <v>736</v>
      </c>
      <c r="F200">
        <v>189255</v>
      </c>
      <c r="G200">
        <v>9.9499999999999993</v>
      </c>
      <c r="H200">
        <v>0</v>
      </c>
      <c r="J200" t="s">
        <v>1187</v>
      </c>
    </row>
    <row r="201" spans="1:8" x14ac:dyDescent="0.2">
      <c r="A201" t="s">
        <v>477</v>
      </c>
      <c r="B201">
        <v>588230</v>
      </c>
      <c r="C201" s="67">
        <v>43535.66233796296</v>
      </c>
      <c r="D201" t="s">
        <v>737</v>
      </c>
      <c r="E201" t="s">
        <v>1179</v>
      </c>
      <c r="F201">
        <v>161158</v>
      </c>
      <c r="G201">
        <v>122.25</v>
      </c>
      <c r="H201">
        <v>0</v>
      </c>
      <c r="J201" t="s">
        <v>1188</v>
      </c>
    </row>
    <row r="202" spans="1:8" x14ac:dyDescent="0.2">
      <c r="A202" t="s">
        <v>477</v>
      </c>
      <c r="B202">
        <v>589701</v>
      </c>
      <c r="C202" s="67">
        <v>43538.706111111111</v>
      </c>
      <c r="D202" t="s">
        <v>902</v>
      </c>
      <c r="F202">
        <v>0</v>
      </c>
      <c r="G202">
        <v>0</v>
      </c>
      <c r="H202">
        <v>277.2</v>
      </c>
      <c r="J202" t="s">
        <v>1186</v>
      </c>
    </row>
    <row r="203" spans="1:8" x14ac:dyDescent="0.2">
      <c r="A203" t="s">
        <v>477</v>
      </c>
      <c r="B203">
        <v>589701</v>
      </c>
      <c r="C203" s="67">
        <v>43538.706111111111</v>
      </c>
      <c r="D203" t="s">
        <v>736</v>
      </c>
      <c r="F203">
        <v>189709</v>
      </c>
      <c r="G203">
        <v>19.96</v>
      </c>
      <c r="H203">
        <v>0</v>
      </c>
      <c r="J203" t="s">
        <v>1187</v>
      </c>
    </row>
    <row r="204" spans="1:8" x14ac:dyDescent="0.2">
      <c r="A204" t="s">
        <v>477</v>
      </c>
      <c r="B204">
        <v>589718</v>
      </c>
      <c r="C204" s="67">
        <v>43538.71234953704</v>
      </c>
      <c r="D204" t="s">
        <v>737</v>
      </c>
      <c r="E204" t="s">
        <v>1179</v>
      </c>
      <c r="F204">
        <v>161653</v>
      </c>
      <c r="G204">
        <v>257.24</v>
      </c>
      <c r="H204">
        <v>0</v>
      </c>
      <c r="J204" t="s">
        <v>1188</v>
      </c>
    </row>
    <row r="205" spans="1:8" x14ac:dyDescent="0.2">
      <c r="A205" t="s">
        <v>477</v>
      </c>
      <c r="B205">
        <v>592983</v>
      </c>
      <c r="C205" s="67">
        <v>43552.02611111111</v>
      </c>
      <c r="D205" t="s">
        <v>791</v>
      </c>
      <c r="E205" t="s">
        <v>1180</v>
      </c>
      <c r="F205">
        <v>192226</v>
      </c>
      <c r="G205">
        <v>6</v>
      </c>
      <c r="H205">
        <v>0</v>
      </c>
      <c r="J205" t="s">
        <v>1189</v>
      </c>
    </row>
    <row r="206" spans="1:8" x14ac:dyDescent="0.2">
      <c r="A206" t="s">
        <v>495</v>
      </c>
      <c r="B206">
        <v>588205</v>
      </c>
      <c r="C206" s="67">
        <v>43535.658796296295</v>
      </c>
      <c r="D206" t="s">
        <v>827</v>
      </c>
      <c r="F206">
        <v>0</v>
      </c>
      <c r="G206">
        <v>0</v>
      </c>
      <c r="H206">
        <v>192.4</v>
      </c>
      <c r="J206" t="s">
        <v>1186</v>
      </c>
    </row>
    <row r="207" spans="1:8" x14ac:dyDescent="0.2">
      <c r="A207" t="s">
        <v>495</v>
      </c>
      <c r="B207">
        <v>588205</v>
      </c>
      <c r="C207" s="67">
        <v>43535.658796296295</v>
      </c>
      <c r="D207" t="s">
        <v>738</v>
      </c>
      <c r="F207">
        <v>189264</v>
      </c>
      <c r="G207">
        <v>13.85</v>
      </c>
      <c r="H207">
        <v>0</v>
      </c>
      <c r="J207" t="s">
        <v>1187</v>
      </c>
    </row>
    <row r="208" spans="1:8" x14ac:dyDescent="0.2">
      <c r="A208" t="s">
        <v>495</v>
      </c>
      <c r="B208">
        <v>588230</v>
      </c>
      <c r="C208" s="67">
        <v>43535.66233796296</v>
      </c>
      <c r="D208" t="s">
        <v>739</v>
      </c>
      <c r="E208" t="s">
        <v>1179</v>
      </c>
      <c r="F208">
        <v>161167</v>
      </c>
      <c r="G208">
        <v>172.55</v>
      </c>
      <c r="H208">
        <v>0</v>
      </c>
      <c r="J208" t="s">
        <v>1188</v>
      </c>
    </row>
    <row r="209" spans="1:8" x14ac:dyDescent="0.2">
      <c r="A209" t="s">
        <v>495</v>
      </c>
      <c r="B209">
        <v>589705</v>
      </c>
      <c r="C209" s="67">
        <v>43538.706111111111</v>
      </c>
      <c r="D209" t="s">
        <v>903</v>
      </c>
      <c r="F209">
        <v>0</v>
      </c>
      <c r="G209">
        <v>0</v>
      </c>
      <c r="H209">
        <v>269.12</v>
      </c>
      <c r="J209" t="s">
        <v>1186</v>
      </c>
    </row>
    <row r="210" spans="1:8" x14ac:dyDescent="0.2">
      <c r="A210" t="s">
        <v>495</v>
      </c>
      <c r="B210">
        <v>589705</v>
      </c>
      <c r="C210" s="67">
        <v>43538.706111111111</v>
      </c>
      <c r="D210" t="s">
        <v>738</v>
      </c>
      <c r="F210">
        <v>189713</v>
      </c>
      <c r="G210">
        <v>19.38</v>
      </c>
      <c r="H210">
        <v>0</v>
      </c>
      <c r="J210" t="s">
        <v>1187</v>
      </c>
    </row>
    <row r="211" spans="1:8" x14ac:dyDescent="0.2">
      <c r="A211" t="s">
        <v>495</v>
      </c>
      <c r="B211">
        <v>589718</v>
      </c>
      <c r="C211" s="67">
        <v>43538.71234953704</v>
      </c>
      <c r="D211" t="s">
        <v>739</v>
      </c>
      <c r="E211" t="s">
        <v>1179</v>
      </c>
      <c r="F211">
        <v>161657</v>
      </c>
      <c r="G211">
        <v>249.74</v>
      </c>
      <c r="H211">
        <v>0</v>
      </c>
      <c r="J211" t="s">
        <v>1188</v>
      </c>
    </row>
    <row r="212" spans="1:8" x14ac:dyDescent="0.2">
      <c r="A212" t="s">
        <v>495</v>
      </c>
      <c r="B212">
        <v>592983</v>
      </c>
      <c r="C212" s="67">
        <v>43552.02611111111</v>
      </c>
      <c r="D212" t="s">
        <v>792</v>
      </c>
      <c r="E212" t="s">
        <v>1180</v>
      </c>
      <c r="F212">
        <v>192154</v>
      </c>
      <c r="G212">
        <v>6</v>
      </c>
      <c r="H212">
        <v>0</v>
      </c>
      <c r="J212" t="s">
        <v>1189</v>
      </c>
    </row>
    <row r="213" spans="1:8" x14ac:dyDescent="0.2">
      <c r="A213" t="s">
        <v>562</v>
      </c>
      <c r="B213">
        <v>592253</v>
      </c>
      <c r="C213" s="67">
        <v>43549.653969907406</v>
      </c>
      <c r="D213" t="s">
        <v>904</v>
      </c>
      <c r="F213">
        <v>0</v>
      </c>
      <c r="G213">
        <v>0</v>
      </c>
      <c r="H213">
        <v>61.73</v>
      </c>
      <c r="J213" t="s">
        <v>1186</v>
      </c>
    </row>
    <row r="214" spans="1:8" x14ac:dyDescent="0.2">
      <c r="A214" t="s">
        <v>562</v>
      </c>
      <c r="B214">
        <v>592253</v>
      </c>
      <c r="C214" s="67">
        <v>43549.653969907406</v>
      </c>
      <c r="D214" t="s">
        <v>905</v>
      </c>
      <c r="F214">
        <v>190531</v>
      </c>
      <c r="G214">
        <v>4.4400000000000004</v>
      </c>
      <c r="H214">
        <v>0</v>
      </c>
      <c r="J214" t="s">
        <v>1187</v>
      </c>
    </row>
    <row r="215" spans="1:8" x14ac:dyDescent="0.2">
      <c r="A215" t="s">
        <v>562</v>
      </c>
      <c r="B215">
        <v>592253</v>
      </c>
      <c r="C215" s="67">
        <v>43549.653969907406</v>
      </c>
      <c r="D215" t="s">
        <v>906</v>
      </c>
      <c r="F215">
        <v>0</v>
      </c>
      <c r="G215">
        <v>0</v>
      </c>
      <c r="H215">
        <v>58.27</v>
      </c>
      <c r="J215" t="s">
        <v>1186</v>
      </c>
    </row>
    <row r="216" spans="1:8" x14ac:dyDescent="0.2">
      <c r="A216" t="s">
        <v>562</v>
      </c>
      <c r="B216">
        <v>592253</v>
      </c>
      <c r="C216" s="67">
        <v>43549.653969907406</v>
      </c>
      <c r="D216" t="s">
        <v>905</v>
      </c>
      <c r="F216">
        <v>190531</v>
      </c>
      <c r="G216">
        <v>4.2</v>
      </c>
      <c r="H216">
        <v>0</v>
      </c>
      <c r="J216" t="s">
        <v>1187</v>
      </c>
    </row>
    <row r="217" spans="1:8" x14ac:dyDescent="0.2">
      <c r="A217" t="s">
        <v>562</v>
      </c>
      <c r="B217">
        <v>592253</v>
      </c>
      <c r="C217" s="67">
        <v>43549.653969907406</v>
      </c>
      <c r="D217" t="s">
        <v>907</v>
      </c>
      <c r="F217">
        <v>0</v>
      </c>
      <c r="G217">
        <v>0</v>
      </c>
      <c r="H217">
        <v>580</v>
      </c>
      <c r="J217" t="s">
        <v>1186</v>
      </c>
    </row>
    <row r="218" spans="1:8" x14ac:dyDescent="0.2">
      <c r="A218" t="s">
        <v>562</v>
      </c>
      <c r="B218">
        <v>592253</v>
      </c>
      <c r="C218" s="67">
        <v>43549.653969907406</v>
      </c>
      <c r="D218" t="s">
        <v>905</v>
      </c>
      <c r="F218">
        <v>190531</v>
      </c>
      <c r="G218">
        <v>41.76</v>
      </c>
      <c r="H218">
        <v>0</v>
      </c>
      <c r="J218" t="s">
        <v>1187</v>
      </c>
    </row>
    <row r="219" spans="1:8" x14ac:dyDescent="0.2">
      <c r="A219" t="s">
        <v>562</v>
      </c>
      <c r="B219">
        <v>592270</v>
      </c>
      <c r="C219" s="67">
        <v>43549.656678240739</v>
      </c>
      <c r="D219" t="s">
        <v>908</v>
      </c>
      <c r="E219" t="s">
        <v>1179</v>
      </c>
      <c r="F219">
        <v>162451</v>
      </c>
      <c r="G219">
        <v>637.6</v>
      </c>
      <c r="H219">
        <v>0</v>
      </c>
      <c r="J219" t="s">
        <v>1188</v>
      </c>
    </row>
    <row r="220" spans="1:8" x14ac:dyDescent="0.2">
      <c r="A220" t="s">
        <v>562</v>
      </c>
      <c r="B220">
        <v>592983</v>
      </c>
      <c r="C220" s="67">
        <v>43552.02611111111</v>
      </c>
      <c r="D220" t="s">
        <v>909</v>
      </c>
      <c r="E220" t="s">
        <v>1180</v>
      </c>
      <c r="F220">
        <v>192250</v>
      </c>
      <c r="G220">
        <v>6</v>
      </c>
      <c r="H220">
        <v>0</v>
      </c>
      <c r="J220" t="s">
        <v>1189</v>
      </c>
    </row>
    <row r="221" spans="1:8" x14ac:dyDescent="0.2">
      <c r="C221" s="67"/>
    </row>
    <row r="222" spans="1:8" x14ac:dyDescent="0.2">
      <c r="C222" s="67"/>
    </row>
    <row r="223" spans="1:8" x14ac:dyDescent="0.2">
      <c r="C223" s="67"/>
    </row>
    <row r="224" spans="1:8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workbookViewId="0" zoomScale="70" zoomScaleNormal="70">
      <selection activeCell="N8" sqref="N8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29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r="93" spans="1:29" x14ac:dyDescent="0.2">
      <c r="A93" s="57">
        <v>26</v>
      </c>
      <c r="B93" s="58" t="s">
        <v>224</v>
      </c>
      <c r="C93" s="57">
        <v>250</v>
      </c>
      <c r="D93" s="58" t="s">
        <v>372</v>
      </c>
      <c r="E93" s="59">
        <v>42104</v>
      </c>
      <c r="F93" s="58"/>
      <c r="G93" s="57">
        <v>515</v>
      </c>
      <c r="H93" s="58" t="s">
        <v>29</v>
      </c>
      <c r="I93" s="58" t="s">
        <v>95</v>
      </c>
      <c r="J93" s="57">
        <v>10</v>
      </c>
      <c r="K93" s="58" t="s">
        <v>96</v>
      </c>
      <c r="L93" s="58" t="s">
        <v>97</v>
      </c>
      <c r="AB93" t="str">
        <f si="1" t="shared"/>
        <v>J Hill (10/04/2015 - present)</v>
      </c>
    </row>
    <row r="94" spans="1:29" x14ac:dyDescent="0.2">
      <c r="A94" s="57">
        <v>26</v>
      </c>
      <c r="B94" s="58" t="s">
        <v>224</v>
      </c>
      <c r="C94" s="57">
        <v>217</v>
      </c>
      <c r="D94" s="58" t="s">
        <v>336</v>
      </c>
      <c r="E94" s="59">
        <v>41103</v>
      </c>
      <c r="F94" s="59">
        <v>42070</v>
      </c>
      <c r="G94" s="57">
        <v>475</v>
      </c>
      <c r="H94" s="58" t="s">
        <v>29</v>
      </c>
      <c r="I94" s="58" t="s">
        <v>197</v>
      </c>
      <c r="J94" s="57">
        <v>0</v>
      </c>
      <c r="K94" s="58" t="s">
        <v>175</v>
      </c>
      <c r="L94" s="58" t="s">
        <v>101</v>
      </c>
      <c r="AB94" t="str">
        <f si="1" t="shared"/>
        <v>Basam Yacoub (13/07/2012 - 07/03/2015)</v>
      </c>
    </row>
    <row r="95" spans="1:29" x14ac:dyDescent="0.2">
      <c r="A95" s="57">
        <v>26</v>
      </c>
      <c r="B95" s="58" t="s">
        <v>224</v>
      </c>
      <c r="C95" s="57">
        <v>205</v>
      </c>
      <c r="D95" s="58" t="s">
        <v>325</v>
      </c>
      <c r="E95" s="59">
        <v>40763</v>
      </c>
      <c r="F95" s="59">
        <v>41072</v>
      </c>
      <c r="G95" s="57">
        <v>460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A95" s="2"/>
      <c r="AB95" t="str">
        <f si="1" t="shared"/>
        <v>Oliver Williams &amp; Lisa Pearce (08/08/2011 - 12/06/2012)</v>
      </c>
    </row>
    <row r="96" spans="1:29" x14ac:dyDescent="0.2">
      <c r="A96" s="57">
        <v>26</v>
      </c>
      <c r="B96" s="58" t="s">
        <v>224</v>
      </c>
      <c r="C96" s="57">
        <v>183</v>
      </c>
      <c r="D96" s="58" t="s">
        <v>305</v>
      </c>
      <c r="E96" s="59">
        <v>40439</v>
      </c>
      <c r="F96" s="59">
        <v>40636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B96" t="str">
        <f si="1" t="shared"/>
        <v>Olivia Chaffe (18/09/2010 - 03/04/2011)</v>
      </c>
    </row>
    <row r="97" spans="1:29" x14ac:dyDescent="0.2">
      <c r="A97" s="57">
        <v>26</v>
      </c>
      <c r="B97" s="58" t="s">
        <v>224</v>
      </c>
      <c r="C97" s="57">
        <v>147</v>
      </c>
      <c r="D97" s="58" t="s">
        <v>263</v>
      </c>
      <c r="E97" s="59">
        <v>39779</v>
      </c>
      <c r="F97" s="59">
        <v>40386</v>
      </c>
      <c r="G97" s="57">
        <v>450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Wanchai Sribang (27/11/2008 - 27/07/2010)</v>
      </c>
    </row>
    <row r="98" spans="1:29" x14ac:dyDescent="0.2">
      <c r="A98" s="57">
        <v>26</v>
      </c>
      <c r="B98" s="58" t="s">
        <v>224</v>
      </c>
      <c r="C98" s="57">
        <v>125</v>
      </c>
      <c r="D98" s="58" t="s">
        <v>225</v>
      </c>
      <c r="E98" s="59">
        <v>39193</v>
      </c>
      <c r="F98" s="59">
        <v>39745</v>
      </c>
      <c r="G98" s="57">
        <v>400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Mr S Webster (21/04/2007 - 24/10/2008)</v>
      </c>
    </row>
    <row r="99" spans="1:29" x14ac:dyDescent="0.2">
      <c r="A99" s="57">
        <v>22</v>
      </c>
      <c r="B99" s="58" t="s">
        <v>226</v>
      </c>
      <c r="C99" s="57">
        <v>155</v>
      </c>
      <c r="D99" s="58" t="s">
        <v>273</v>
      </c>
      <c r="E99" s="59">
        <v>39990</v>
      </c>
      <c r="F99" s="58"/>
      <c r="G99" s="57">
        <v>500</v>
      </c>
      <c r="H99" s="58" t="s">
        <v>29</v>
      </c>
      <c r="I99" s="58" t="s">
        <v>95</v>
      </c>
      <c r="J99" s="57">
        <v>10</v>
      </c>
      <c r="K99" s="58" t="s">
        <v>96</v>
      </c>
      <c r="L99" s="58" t="s">
        <v>97</v>
      </c>
      <c r="AB99" t="str">
        <f si="1" t="shared"/>
        <v>Dionne McLaughlin (26/06/2009 - present)</v>
      </c>
    </row>
    <row r="100" spans="1:29" x14ac:dyDescent="0.2">
      <c r="A100" s="57">
        <v>22</v>
      </c>
      <c r="B100" s="58" t="s">
        <v>226</v>
      </c>
      <c r="C100" s="57">
        <v>131</v>
      </c>
      <c r="D100" s="58" t="s">
        <v>253</v>
      </c>
      <c r="E100" s="59">
        <v>39626</v>
      </c>
      <c r="F100" s="59">
        <v>39903</v>
      </c>
      <c r="G100" s="57">
        <v>425</v>
      </c>
      <c r="H100" s="58" t="s">
        <v>29</v>
      </c>
      <c r="I100" s="58" t="s">
        <v>197</v>
      </c>
      <c r="J100" s="57">
        <v>0</v>
      </c>
      <c r="K100" s="58" t="s">
        <v>175</v>
      </c>
      <c r="L100" s="58" t="s">
        <v>101</v>
      </c>
      <c r="AB100" t="str">
        <f si="1" t="shared"/>
        <v>Mr Arkadiusz Slowinski &amp; Miss Ewelina Skladanowska (27/06/2008 - 31/03/2009)</v>
      </c>
    </row>
    <row r="101" spans="1:29" x14ac:dyDescent="0.2">
      <c r="A101" s="57">
        <v>22</v>
      </c>
      <c r="B101" s="58" t="s">
        <v>226</v>
      </c>
      <c r="C101" s="57">
        <v>122</v>
      </c>
      <c r="D101" s="58" t="s">
        <v>199</v>
      </c>
      <c r="E101" s="59">
        <v>39508</v>
      </c>
      <c r="F101" s="59">
        <v>39586</v>
      </c>
      <c r="G101" s="57">
        <v>400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 t="str">
        <f si="1" t="shared"/>
        <v>Hannah Woodhouse (01/03/2008 - 18/05/2008)</v>
      </c>
      <c r="AC101" s="52"/>
    </row>
    <row r="102" spans="1:29" x14ac:dyDescent="0.2">
      <c r="A102" s="57">
        <v>21</v>
      </c>
      <c r="B102" s="58" t="s">
        <v>227</v>
      </c>
      <c r="C102" s="57">
        <v>272</v>
      </c>
      <c r="D102" s="58" t="s">
        <v>390</v>
      </c>
      <c r="E102" s="59">
        <v>42480</v>
      </c>
      <c r="F102" s="58"/>
      <c r="G102" s="57">
        <v>610</v>
      </c>
      <c r="H102" s="58" t="s">
        <v>29</v>
      </c>
      <c r="I102" s="58" t="s">
        <v>95</v>
      </c>
      <c r="J102" s="57">
        <v>10</v>
      </c>
      <c r="K102" s="58" t="s">
        <v>96</v>
      </c>
      <c r="L102" s="58" t="s">
        <v>97</v>
      </c>
      <c r="AB102" t="str">
        <f si="1" t="shared"/>
        <v>Miss S O'Brien (20/04/2016 - present)</v>
      </c>
    </row>
    <row r="103" spans="1:29" x14ac:dyDescent="0.2">
      <c r="A103" s="57">
        <v>21</v>
      </c>
      <c r="B103" s="58" t="s">
        <v>227</v>
      </c>
      <c r="C103" s="57">
        <v>123</v>
      </c>
      <c r="D103" s="58" t="s">
        <v>391</v>
      </c>
      <c r="E103" s="59">
        <v>39508</v>
      </c>
      <c r="F103" s="59">
        <v>42459</v>
      </c>
      <c r="G103" s="57">
        <v>525</v>
      </c>
      <c r="H103" s="58" t="s">
        <v>29</v>
      </c>
      <c r="I103" s="58" t="s">
        <v>197</v>
      </c>
      <c r="J103" s="57">
        <v>0</v>
      </c>
      <c r="K103" s="58" t="s">
        <v>175</v>
      </c>
      <c r="L103" s="58" t="s">
        <v>101</v>
      </c>
      <c r="AB103" t="str">
        <f si="1" t="shared"/>
        <v>Stepek (01/03/2008 - 30/03/2016)</v>
      </c>
    </row>
    <row r="104" spans="1:29" x14ac:dyDescent="0.2">
      <c r="A104" s="57">
        <v>9</v>
      </c>
      <c r="B104" s="58" t="s">
        <v>60</v>
      </c>
      <c r="C104" s="57">
        <v>276</v>
      </c>
      <c r="D104" s="58" t="s">
        <v>403</v>
      </c>
      <c r="E104" s="59">
        <v>42597</v>
      </c>
      <c r="F104" s="58"/>
      <c r="G104" s="57">
        <v>505</v>
      </c>
      <c r="H104" s="58" t="s">
        <v>29</v>
      </c>
      <c r="I104" s="58" t="s">
        <v>95</v>
      </c>
      <c r="J104" s="57">
        <v>10</v>
      </c>
      <c r="K104" s="58" t="s">
        <v>96</v>
      </c>
      <c r="L104" s="58" t="s">
        <v>97</v>
      </c>
      <c r="AB104" t="str">
        <f si="1" t="shared"/>
        <v>Mr Peter Grant (15/08/2016 - present)</v>
      </c>
    </row>
    <row r="105" spans="1:29" x14ac:dyDescent="0.2">
      <c r="A105" s="57">
        <v>9</v>
      </c>
      <c r="B105" s="58" t="s">
        <v>60</v>
      </c>
      <c r="C105" s="57">
        <v>201</v>
      </c>
      <c r="D105" s="58" t="s">
        <v>320</v>
      </c>
      <c r="E105" s="59">
        <v>40695</v>
      </c>
      <c r="F105" s="59">
        <v>42460</v>
      </c>
      <c r="G105" s="57">
        <v>495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I Squires (01/06/2011 - 31/03/2016)</v>
      </c>
    </row>
    <row r="106" spans="1:29" x14ac:dyDescent="0.2">
      <c r="A106" s="57">
        <v>9</v>
      </c>
      <c r="B106" s="58" t="s">
        <v>60</v>
      </c>
      <c r="C106" s="57">
        <v>100</v>
      </c>
      <c r="D106" s="58" t="s">
        <v>98</v>
      </c>
      <c r="E106" s="59">
        <v>39162</v>
      </c>
      <c r="F106" s="59">
        <v>40654</v>
      </c>
      <c r="G106" s="57">
        <v>500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Legg &amp; Thomas (21/03/2007 - 21/04/2011)</v>
      </c>
    </row>
    <row r="107" spans="1:29" x14ac:dyDescent="0.2">
      <c r="A107" s="57">
        <v>9</v>
      </c>
      <c r="B107" s="58" t="s">
        <v>60</v>
      </c>
      <c r="C107" s="57">
        <v>54</v>
      </c>
      <c r="D107" s="58" t="s">
        <v>9</v>
      </c>
      <c r="E107" s="59">
        <v>38887</v>
      </c>
      <c r="F107" s="59">
        <v>39103</v>
      </c>
      <c r="G107" s="57">
        <v>424.64</v>
      </c>
      <c r="H107" s="58" t="s">
        <v>28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Williams (19/06/2006 - 21/01/2007)</v>
      </c>
    </row>
    <row r="108" spans="1:29" x14ac:dyDescent="0.2">
      <c r="A108" s="57">
        <v>9</v>
      </c>
      <c r="B108" s="58" t="s">
        <v>60</v>
      </c>
      <c r="C108" s="57">
        <v>25</v>
      </c>
      <c r="D108" s="58" t="s">
        <v>46</v>
      </c>
      <c r="E108" s="59">
        <v>38467</v>
      </c>
      <c r="F108" s="59">
        <v>38852</v>
      </c>
      <c r="G108" s="57">
        <v>415.4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Riley (25/04/2005 - 15/05/2006)</v>
      </c>
    </row>
    <row r="109" spans="1:29" x14ac:dyDescent="0.2">
      <c r="A109" s="57">
        <v>9</v>
      </c>
      <c r="B109" s="58" t="s">
        <v>60</v>
      </c>
      <c r="C109" s="57">
        <v>17</v>
      </c>
      <c r="D109" s="58" t="s">
        <v>47</v>
      </c>
      <c r="E109" s="59">
        <v>38191</v>
      </c>
      <c r="F109" s="59">
        <v>38440</v>
      </c>
      <c r="G109" s="57">
        <v>450</v>
      </c>
      <c r="H109" s="58" t="s">
        <v>29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McAvery (23/07/2004 - 29/03/2005)</v>
      </c>
    </row>
    <row r="110" spans="1:29" x14ac:dyDescent="0.2">
      <c r="A110" s="57">
        <v>6</v>
      </c>
      <c r="B110" s="58" t="s">
        <v>58</v>
      </c>
      <c r="C110" s="57">
        <v>244</v>
      </c>
      <c r="D110" s="58" t="s">
        <v>374</v>
      </c>
      <c r="E110" s="59">
        <v>41740</v>
      </c>
      <c r="F110" s="58"/>
      <c r="G110" s="57">
        <v>500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Lee Knowles (11/04/2014 - present)</v>
      </c>
    </row>
    <row customFormat="1" r="111" s="52" spans="1:29" x14ac:dyDescent="0.2">
      <c r="A111" s="57">
        <v>6</v>
      </c>
      <c r="B111" s="58" t="s">
        <v>58</v>
      </c>
      <c r="C111" s="57">
        <v>200</v>
      </c>
      <c r="D111" s="58" t="s">
        <v>319</v>
      </c>
      <c r="E111" s="59">
        <v>40674</v>
      </c>
      <c r="F111" s="59">
        <v>41698</v>
      </c>
      <c r="G111" s="57">
        <v>450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t="str">
        <f si="1" t="shared"/>
        <v>Britten (11/05/2011 - 28/02/2014)</v>
      </c>
      <c r="AC111"/>
    </row>
    <row r="112" spans="1:29" x14ac:dyDescent="0.2">
      <c r="A112" s="57">
        <v>6</v>
      </c>
      <c r="B112" s="58" t="s">
        <v>58</v>
      </c>
      <c r="C112" s="57">
        <v>112</v>
      </c>
      <c r="D112" s="58" t="s">
        <v>194</v>
      </c>
      <c r="E112" s="59">
        <v>39349</v>
      </c>
      <c r="F112" s="59">
        <v>40653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AB112" t="str">
        <f si="1" t="shared"/>
        <v>Couldwell (24/09/2007 - 20/04/2011)</v>
      </c>
    </row>
    <row r="113" spans="1:29" x14ac:dyDescent="0.2">
      <c r="A113" s="57">
        <v>6</v>
      </c>
      <c r="B113" s="58" t="s">
        <v>58</v>
      </c>
      <c r="C113" s="57">
        <v>21</v>
      </c>
      <c r="D113" s="58" t="s">
        <v>11</v>
      </c>
      <c r="E113" s="59">
        <v>38285</v>
      </c>
      <c r="F113" s="59">
        <v>39314</v>
      </c>
      <c r="G113" s="57">
        <v>378.48</v>
      </c>
      <c r="H113" s="58" t="s">
        <v>28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Barter (25/10/2004 - 20/08/2007)</v>
      </c>
    </row>
    <row r="114" spans="1:29" x14ac:dyDescent="0.2">
      <c r="A114" s="57">
        <v>6</v>
      </c>
      <c r="B114" s="58" t="s">
        <v>58</v>
      </c>
      <c r="C114" s="57">
        <v>13</v>
      </c>
      <c r="D114" s="58" t="s">
        <v>45</v>
      </c>
      <c r="E114" s="59">
        <v>37829</v>
      </c>
      <c r="F114" s="59">
        <v>38549</v>
      </c>
      <c r="G114" s="57">
        <v>410</v>
      </c>
      <c r="H114" s="58" t="s">
        <v>29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Woodward (27/07/2003 - 16/07/2005)</v>
      </c>
    </row>
    <row r="115" spans="1:29" x14ac:dyDescent="0.2">
      <c r="A115" s="57">
        <v>74</v>
      </c>
      <c r="B115" s="58" t="s">
        <v>187</v>
      </c>
      <c r="C115" s="57">
        <v>252</v>
      </c>
      <c r="D115" s="58" t="s">
        <v>371</v>
      </c>
      <c r="E115" s="59">
        <v>42096</v>
      </c>
      <c r="F115" s="58"/>
      <c r="G115" s="57">
        <v>500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Mr Pedace (02/04/2015 - present)</v>
      </c>
    </row>
    <row r="116" spans="1:29" x14ac:dyDescent="0.2">
      <c r="A116" s="57">
        <v>74</v>
      </c>
      <c r="B116" s="58" t="s">
        <v>187</v>
      </c>
      <c r="C116" s="57">
        <v>251</v>
      </c>
      <c r="D116" s="58" t="s">
        <v>367</v>
      </c>
      <c r="E116" s="59">
        <v>41901</v>
      </c>
      <c r="F116" s="59">
        <v>42082</v>
      </c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Milligan (19/09/2014 - 19/03/2015)</v>
      </c>
    </row>
    <row r="117" spans="1:29" x14ac:dyDescent="0.2">
      <c r="A117" s="57">
        <v>74</v>
      </c>
      <c r="B117" s="58" t="s">
        <v>187</v>
      </c>
      <c r="C117" s="57">
        <v>219</v>
      </c>
      <c r="D117" s="58" t="s">
        <v>338</v>
      </c>
      <c r="E117" s="59">
        <v>41227</v>
      </c>
      <c r="F117" s="59">
        <v>41851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D Williams (14/11/2012 - 31/07/2014)</v>
      </c>
    </row>
    <row r="118" spans="1:29" x14ac:dyDescent="0.2">
      <c r="A118" s="57">
        <v>74</v>
      </c>
      <c r="B118" s="58" t="s">
        <v>187</v>
      </c>
      <c r="C118" s="57">
        <v>106</v>
      </c>
      <c r="D118" s="58" t="s">
        <v>291</v>
      </c>
      <c r="E118" s="59">
        <v>39248</v>
      </c>
      <c r="F118" s="59">
        <v>41197</v>
      </c>
      <c r="G118" s="57">
        <v>525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K. Hughes/D. Corbin (15/06/2007 - 15/10/2012)</v>
      </c>
    </row>
    <row r="119" spans="1:29" x14ac:dyDescent="0.2">
      <c r="A119" s="57">
        <v>14</v>
      </c>
      <c r="B119" s="58" t="s">
        <v>54</v>
      </c>
      <c r="C119" s="57">
        <v>192</v>
      </c>
      <c r="D119" s="58" t="s">
        <v>311</v>
      </c>
      <c r="E119" s="59">
        <v>40485</v>
      </c>
      <c r="F119" s="58"/>
      <c r="G119" s="57">
        <v>500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N Wright (03/11/2010 - present)</v>
      </c>
    </row>
    <row r="120" spans="1:29" x14ac:dyDescent="0.2">
      <c r="A120" s="57">
        <v>14</v>
      </c>
      <c r="B120" s="58" t="s">
        <v>54</v>
      </c>
      <c r="C120" s="57">
        <v>190</v>
      </c>
      <c r="D120" s="58" t="s">
        <v>299</v>
      </c>
      <c r="E120" s="59">
        <v>40452</v>
      </c>
      <c r="F120" s="59">
        <v>40482</v>
      </c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TBD (01/10/2010 - 31/10/2010)</v>
      </c>
    </row>
    <row r="121" spans="1:29" x14ac:dyDescent="0.2">
      <c r="A121" s="57">
        <v>14</v>
      </c>
      <c r="B121" s="58" t="s">
        <v>54</v>
      </c>
      <c r="C121" s="57">
        <v>27</v>
      </c>
      <c r="D121" s="58" t="s">
        <v>38</v>
      </c>
      <c r="E121" s="59">
        <v>38561</v>
      </c>
      <c r="F121" s="59">
        <v>40349</v>
      </c>
      <c r="G121" s="57">
        <v>424.62</v>
      </c>
      <c r="H121" s="58" t="s">
        <v>28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Lynch (28/07/2005 - 20/06/2010)</v>
      </c>
    </row>
    <row r="122" spans="1:29" x14ac:dyDescent="0.2">
      <c r="A122" s="57">
        <v>14</v>
      </c>
      <c r="B122" s="58" t="s">
        <v>54</v>
      </c>
      <c r="C122" s="57">
        <v>22</v>
      </c>
      <c r="D122" s="58" t="s">
        <v>43</v>
      </c>
      <c r="E122" s="59">
        <v>38310</v>
      </c>
      <c r="F122" s="59">
        <v>38536</v>
      </c>
      <c r="G122" s="57">
        <v>380</v>
      </c>
      <c r="H122" s="58" t="s">
        <v>29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Hatfield (19/11/2004 - 03/07/2005)</v>
      </c>
    </row>
    <row r="123" spans="1:29" x14ac:dyDescent="0.2">
      <c r="A123" s="57">
        <v>25</v>
      </c>
      <c r="B123" s="58" t="s">
        <v>228</v>
      </c>
      <c r="C123" s="57">
        <v>264</v>
      </c>
      <c r="D123" s="58" t="s">
        <v>381</v>
      </c>
      <c r="E123" s="59">
        <v>42263</v>
      </c>
      <c r="F123" s="58"/>
      <c r="G123" s="57">
        <v>600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Ms Baziukiene (16/09/2015 - present)</v>
      </c>
    </row>
    <row customFormat="1" r="124" s="52" spans="1:29" x14ac:dyDescent="0.2">
      <c r="A124" s="57">
        <v>25</v>
      </c>
      <c r="B124" s="58" t="s">
        <v>228</v>
      </c>
      <c r="C124" s="57">
        <v>220</v>
      </c>
      <c r="D124" s="58" t="s">
        <v>339</v>
      </c>
      <c r="E124" s="59">
        <v>41264</v>
      </c>
      <c r="F124" s="59">
        <v>42237</v>
      </c>
      <c r="G124" s="57">
        <v>560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t="str">
        <f si="1" t="shared"/>
        <v>L Wilcox (21/12/2012 - 21/08/2015)</v>
      </c>
      <c r="AC124"/>
    </row>
    <row r="125" spans="1:29" x14ac:dyDescent="0.2">
      <c r="A125" s="57">
        <v>25</v>
      </c>
      <c r="B125" s="58" t="s">
        <v>228</v>
      </c>
      <c r="C125" s="57">
        <v>210</v>
      </c>
      <c r="D125" s="58" t="s">
        <v>328</v>
      </c>
      <c r="E125" s="59">
        <v>40914</v>
      </c>
      <c r="F125" s="59">
        <v>41198</v>
      </c>
      <c r="G125" s="57">
        <v>595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AB125" t="str">
        <f si="1" t="shared"/>
        <v>C.Stringer (06/01/2012 - 16/10/2012)</v>
      </c>
    </row>
    <row r="126" spans="1:29" x14ac:dyDescent="0.2">
      <c r="A126" s="57">
        <v>25</v>
      </c>
      <c r="B126" s="58" t="s">
        <v>228</v>
      </c>
      <c r="C126" s="57">
        <v>196</v>
      </c>
      <c r="D126" s="58" t="s">
        <v>315</v>
      </c>
      <c r="E126" s="59">
        <v>40490</v>
      </c>
      <c r="F126" s="59">
        <v>40855</v>
      </c>
      <c r="G126" s="57">
        <v>625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R Sharkey (08/11/2010 - 08/11/2011)</v>
      </c>
    </row>
    <row r="127" spans="1:29" x14ac:dyDescent="0.2">
      <c r="A127" s="57">
        <v>25</v>
      </c>
      <c r="B127" s="58" t="s">
        <v>228</v>
      </c>
      <c r="C127" s="57">
        <v>157</v>
      </c>
      <c r="D127" s="58" t="s">
        <v>274</v>
      </c>
      <c r="E127" s="59">
        <v>40058</v>
      </c>
      <c r="F127" s="59">
        <v>40482</v>
      </c>
      <c r="G127" s="57">
        <v>600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Hayley Whitcomb (02/09/2009 - 31/10/2010)</v>
      </c>
    </row>
    <row r="128" spans="1:29" x14ac:dyDescent="0.2">
      <c r="A128" s="57">
        <v>25</v>
      </c>
      <c r="B128" s="58" t="s">
        <v>228</v>
      </c>
      <c r="C128" s="57">
        <v>142</v>
      </c>
      <c r="D128" s="58" t="s">
        <v>261</v>
      </c>
      <c r="E128" s="59">
        <v>39724</v>
      </c>
      <c r="F128" s="59">
        <v>39967</v>
      </c>
      <c r="G128" s="57">
        <v>560</v>
      </c>
      <c r="H128" s="58" t="s">
        <v>29</v>
      </c>
      <c r="I128" s="58" t="s">
        <v>197</v>
      </c>
      <c r="J128" s="57">
        <v>0</v>
      </c>
      <c r="K128" s="58" t="s">
        <v>175</v>
      </c>
      <c r="L128" s="58" t="s">
        <v>101</v>
      </c>
      <c r="AB128" t="str">
        <f si="1" t="shared"/>
        <v>Afsheen Alizadeh (03/10/2008 - 03/06/2009)</v>
      </c>
    </row>
    <row r="129" spans="1:29" x14ac:dyDescent="0.2">
      <c r="A129" s="57">
        <v>25</v>
      </c>
      <c r="B129" s="58" t="s">
        <v>228</v>
      </c>
      <c r="C129" s="57">
        <v>124</v>
      </c>
      <c r="D129" s="58" t="s">
        <v>238</v>
      </c>
      <c r="E129" s="59">
        <v>39539</v>
      </c>
      <c r="F129" s="59">
        <v>39721</v>
      </c>
      <c r="G129" s="57">
        <v>550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Aydin Barus (01/04/2008 - 30/09/2008)</v>
      </c>
    </row>
    <row r="130" spans="1:29" x14ac:dyDescent="0.2">
      <c r="A130" s="57">
        <v>28</v>
      </c>
      <c r="B130" s="58" t="s">
        <v>107</v>
      </c>
      <c r="C130" s="57">
        <v>271</v>
      </c>
      <c r="D130" s="58" t="s">
        <v>392</v>
      </c>
      <c r="E130" s="59">
        <v>42459</v>
      </c>
      <c r="F130" s="58"/>
      <c r="G130" s="57">
        <v>520</v>
      </c>
      <c r="H130" s="58" t="s">
        <v>29</v>
      </c>
      <c r="I130" s="58" t="s">
        <v>95</v>
      </c>
      <c r="J130" s="57">
        <v>10</v>
      </c>
      <c r="K130" s="58" t="s">
        <v>96</v>
      </c>
      <c r="L130" s="58" t="s">
        <v>97</v>
      </c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 t="str">
        <f ref="AB130:AB193" si="2" t="shared"><![CDATA[IF(E130<>"",IF(F130="",D130&" ("&TEXT(E130,"dd/mm/yyyy")&" - present)",D130&" ("&TEXT(E130,"dd/mm/yyyy")&" - "&TEXT(F130,"dd/mm/yyyy")&")"),"")]]></f>
        <v>Mr Prior (30/03/2016 - present)</v>
      </c>
      <c r="AC130" s="52"/>
    </row>
    <row r="131" spans="1:29" x14ac:dyDescent="0.2">
      <c r="A131" s="57">
        <v>28</v>
      </c>
      <c r="B131" s="58" t="s">
        <v>107</v>
      </c>
      <c r="C131" s="57">
        <v>266</v>
      </c>
      <c r="D131" s="58" t="s">
        <v>384</v>
      </c>
      <c r="E131" s="59">
        <v>42360</v>
      </c>
      <c r="F131" s="59">
        <v>42458</v>
      </c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AB131" t="str">
        <f si="2" t="shared"/>
        <v>Ms Jane Marriage (22/12/2015 - 29/03/2016)</v>
      </c>
    </row>
    <row r="132" spans="1:29" x14ac:dyDescent="0.2">
      <c r="A132" s="57">
        <v>28</v>
      </c>
      <c r="B132" s="58" t="s">
        <v>107</v>
      </c>
      <c r="C132" s="57">
        <v>253</v>
      </c>
      <c r="D132" s="58" t="s">
        <v>370</v>
      </c>
      <c r="E132" s="59">
        <v>41969</v>
      </c>
      <c r="F132" s="59">
        <v>42303</v>
      </c>
      <c r="G132" s="57">
        <v>525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G Smith (26/11/2014 - 26/10/2015)</v>
      </c>
    </row>
    <row r="133" spans="1:29" x14ac:dyDescent="0.2">
      <c r="A133" s="57">
        <v>28</v>
      </c>
      <c r="B133" s="58" t="s">
        <v>107</v>
      </c>
      <c r="C133" s="57">
        <v>223</v>
      </c>
      <c r="D133" s="58" t="s">
        <v>343</v>
      </c>
      <c r="E133" s="59">
        <v>41365</v>
      </c>
      <c r="F133" s="59">
        <v>41943</v>
      </c>
      <c r="G133" s="57">
        <v>495</v>
      </c>
      <c r="H133" s="58" t="s">
        <v>29</v>
      </c>
      <c r="I133" s="58" t="s">
        <v>197</v>
      </c>
      <c r="J133" s="57">
        <v>0</v>
      </c>
      <c r="K133" s="58" t="s">
        <v>175</v>
      </c>
      <c r="L133" s="58" t="s">
        <v>101</v>
      </c>
      <c r="AB133" t="str">
        <f si="2" t="shared"/>
        <v>Patricia McCardle (01/04/2013 - 31/10/2014)</v>
      </c>
    </row>
    <row r="134" spans="1:29" x14ac:dyDescent="0.2">
      <c r="A134" s="57">
        <v>28</v>
      </c>
      <c r="B134" s="58" t="s">
        <v>107</v>
      </c>
      <c r="C134" s="57">
        <v>212</v>
      </c>
      <c r="D134" s="58" t="s">
        <v>329</v>
      </c>
      <c r="E134" s="59">
        <v>40855</v>
      </c>
      <c r="F134" s="59">
        <v>41327</v>
      </c>
      <c r="G134" s="57">
        <v>475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 t="str">
        <f si="2" t="shared"/>
        <v>Tom Jones (08/11/2011 - 22/02/2013)</v>
      </c>
      <c r="AC134" s="52"/>
    </row>
    <row r="135" spans="1:29" x14ac:dyDescent="0.2">
      <c r="A135" s="57">
        <v>28</v>
      </c>
      <c r="B135" s="58" t="s">
        <v>107</v>
      </c>
      <c r="C135" s="57">
        <v>65</v>
      </c>
      <c r="D135" s="58" t="s">
        <v>229</v>
      </c>
      <c r="E135" s="59">
        <v>38863</v>
      </c>
      <c r="F135" s="59">
        <v>40848</v>
      </c>
      <c r="G135" s="57">
        <v>400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AB135" t="str">
        <f si="2" t="shared"/>
        <v>Mrs Lynne Hedley (26/05/2006 - 01/11/2011)</v>
      </c>
    </row>
    <row r="136" spans="1:29" x14ac:dyDescent="0.2">
      <c r="A136" s="57">
        <v>28</v>
      </c>
      <c r="B136" s="58" t="s">
        <v>107</v>
      </c>
      <c r="C136" s="57">
        <v>30</v>
      </c>
      <c r="D136" s="58" t="s">
        <v>108</v>
      </c>
      <c r="E136" s="59">
        <v>38583</v>
      </c>
      <c r="F136" s="59">
        <v>38825</v>
      </c>
      <c r="G136" s="57">
        <v>450</v>
      </c>
      <c r="H136" s="58" t="s">
        <v>29</v>
      </c>
      <c r="I136" s="58" t="s">
        <v>104</v>
      </c>
      <c r="J136" s="57">
        <v>10</v>
      </c>
      <c r="K136" s="58" t="s">
        <v>96</v>
      </c>
      <c r="L136" s="58" t="s">
        <v>97</v>
      </c>
      <c r="AB136" t="str">
        <f si="2" t="shared"/>
        <v>J Tidball (19/08/2005 - 18/04/2006)</v>
      </c>
    </row>
    <row r="137" spans="1:29" x14ac:dyDescent="0.2">
      <c r="A137" s="57">
        <v>23</v>
      </c>
      <c r="B137" s="58" t="s">
        <v>67</v>
      </c>
      <c r="C137" s="57">
        <v>254</v>
      </c>
      <c r="D137" s="58" t="s">
        <v>364</v>
      </c>
      <c r="E137" s="59">
        <v>41794</v>
      </c>
      <c r="F137" s="58"/>
      <c r="G137" s="57">
        <v>500</v>
      </c>
      <c r="H137" s="58" t="s">
        <v>29</v>
      </c>
      <c r="I137" s="58" t="s">
        <v>95</v>
      </c>
      <c r="J137" s="57">
        <v>10</v>
      </c>
      <c r="K137" s="58" t="s">
        <v>96</v>
      </c>
      <c r="L137" s="58" t="s">
        <v>97</v>
      </c>
      <c r="AB137" t="str">
        <f si="2" t="shared"/>
        <v>Ms Sally Taylor (04/06/2014 - present)</v>
      </c>
    </row>
    <row r="138" spans="1:29" x14ac:dyDescent="0.2">
      <c r="A138" s="57">
        <v>23</v>
      </c>
      <c r="B138" s="58" t="s">
        <v>67</v>
      </c>
      <c r="C138" s="57">
        <v>228</v>
      </c>
      <c r="D138" s="58" t="s">
        <v>348</v>
      </c>
      <c r="E138" s="59">
        <v>41376</v>
      </c>
      <c r="F138" s="59">
        <v>41790</v>
      </c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Mr Lamour (12/04/2013 - 31/05/2014)</v>
      </c>
    </row>
    <row r="139" spans="1:29" x14ac:dyDescent="0.2">
      <c r="A139" s="57">
        <v>23</v>
      </c>
      <c r="B139" s="58" t="s">
        <v>67</v>
      </c>
      <c r="C139" s="57">
        <v>213</v>
      </c>
      <c r="D139" s="58" t="s">
        <v>331</v>
      </c>
      <c r="E139" s="59">
        <v>40975</v>
      </c>
      <c r="F139" s="59">
        <v>41364</v>
      </c>
      <c r="G139" s="57">
        <v>510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J Reason (07/03/2012 - 31/03/2013)</v>
      </c>
    </row>
    <row r="140" spans="1:29" x14ac:dyDescent="0.2">
      <c r="A140" s="57">
        <v>23</v>
      </c>
      <c r="B140" s="58" t="s">
        <v>67</v>
      </c>
      <c r="C140" s="57">
        <v>161</v>
      </c>
      <c r="D140" s="58" t="s">
        <v>280</v>
      </c>
      <c r="E140" s="59">
        <v>40114</v>
      </c>
      <c r="F140" s="59">
        <v>40967</v>
      </c>
      <c r="G140" s="57">
        <v>500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Davy Lyons (28/10/2009 - 28/02/2012)</v>
      </c>
    </row>
    <row r="141" spans="1:29" x14ac:dyDescent="0.2">
      <c r="A141" s="57">
        <v>23</v>
      </c>
      <c r="B141" s="58" t="s">
        <v>67</v>
      </c>
      <c r="C141" s="57">
        <v>95</v>
      </c>
      <c r="D141" s="58" t="s">
        <v>87</v>
      </c>
      <c r="E141" s="59">
        <v>39132</v>
      </c>
      <c r="F141" s="59">
        <v>40086</v>
      </c>
      <c r="G141" s="57">
        <v>600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Leggett &amp; Crawford (19/02/2007 - 30/09/2009)</v>
      </c>
    </row>
    <row r="142" spans="1:29" x14ac:dyDescent="0.2">
      <c r="A142" s="57">
        <v>23</v>
      </c>
      <c r="B142" s="58" t="s">
        <v>67</v>
      </c>
      <c r="C142" s="57">
        <v>48</v>
      </c>
      <c r="D142" s="58" t="s">
        <v>51</v>
      </c>
      <c r="E142" s="59">
        <v>38638</v>
      </c>
      <c r="F142" s="59">
        <v>39010</v>
      </c>
      <c r="G142" s="57">
        <v>530</v>
      </c>
      <c r="H142" s="58" t="s">
        <v>29</v>
      </c>
      <c r="I142" s="58" t="s">
        <v>104</v>
      </c>
      <c r="J142" s="57">
        <v>10</v>
      </c>
      <c r="K142" s="58" t="s">
        <v>96</v>
      </c>
      <c r="L142" s="58" t="s">
        <v>97</v>
      </c>
      <c r="AA142" s="2"/>
      <c r="AB142" t="str">
        <f si="2" t="shared"/>
        <v>Li (13/10/2005 - 20/10/2006)</v>
      </c>
    </row>
    <row r="143" spans="1:29" x14ac:dyDescent="0.2">
      <c r="A143" s="57">
        <v>27</v>
      </c>
      <c r="B143" s="58" t="s">
        <v>109</v>
      </c>
      <c r="C143" s="57">
        <v>238</v>
      </c>
      <c r="D143" s="58" t="s">
        <v>355</v>
      </c>
      <c r="E143" s="59">
        <v>41527</v>
      </c>
      <c r="F143" s="58"/>
      <c r="G143" s="57">
        <v>600</v>
      </c>
      <c r="H143" s="58" t="s">
        <v>29</v>
      </c>
      <c r="I143" s="58" t="s">
        <v>95</v>
      </c>
      <c r="J143" s="57">
        <v>10</v>
      </c>
      <c r="K143" s="58" t="s">
        <v>96</v>
      </c>
      <c r="L143" s="58" t="s">
        <v>97</v>
      </c>
      <c r="AB143" t="str">
        <f si="2" t="shared"/>
        <v>Ms S Ryan (10/09/2013 - present)</v>
      </c>
    </row>
    <row r="144" spans="1:29" x14ac:dyDescent="0.2">
      <c r="A144" s="57">
        <v>27</v>
      </c>
      <c r="B144" s="58" t="s">
        <v>109</v>
      </c>
      <c r="C144" s="57">
        <v>197</v>
      </c>
      <c r="D144" s="58" t="s">
        <v>316</v>
      </c>
      <c r="E144" s="59">
        <v>40525</v>
      </c>
      <c r="F144" s="59">
        <v>41499</v>
      </c>
      <c r="G144" s="57">
        <v>580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G Makoselo (13/12/2010 - 13/08/2013)</v>
      </c>
    </row>
    <row r="145" spans="1:29" x14ac:dyDescent="0.2">
      <c r="A145" s="57">
        <v>27</v>
      </c>
      <c r="B145" s="58" t="s">
        <v>109</v>
      </c>
      <c r="C145" s="57">
        <v>162</v>
      </c>
      <c r="D145" s="58" t="s">
        <v>281</v>
      </c>
      <c r="E145" s="59">
        <v>40107</v>
      </c>
      <c r="F145" s="59">
        <v>40482</v>
      </c>
      <c r="G145" s="57">
        <v>625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Tim Blanton &amp; Greg Sotheran (21/10/2009 - 31/10/2010)</v>
      </c>
    </row>
    <row r="146" spans="1:29" x14ac:dyDescent="0.2">
      <c r="A146" s="57">
        <v>27</v>
      </c>
      <c r="B146" s="58" t="s">
        <v>109</v>
      </c>
      <c r="C146" s="57">
        <v>158</v>
      </c>
      <c r="D146" s="58" t="s">
        <v>275</v>
      </c>
      <c r="E146" s="59">
        <v>40050</v>
      </c>
      <c r="F146" s="59">
        <v>40086</v>
      </c>
      <c r="G146" s="57">
        <v>560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Susan Taylor (25/08/2009 - 30/09/2009)</v>
      </c>
    </row>
    <row r="147" spans="1:29" x14ac:dyDescent="0.2">
      <c r="A147" s="57">
        <v>27</v>
      </c>
      <c r="B147" s="58" t="s">
        <v>109</v>
      </c>
      <c r="C147" s="57">
        <v>116</v>
      </c>
      <c r="D147" s="58" t="s">
        <v>200</v>
      </c>
      <c r="E147" s="59">
        <v>39423</v>
      </c>
      <c r="F147" s="59">
        <v>39994</v>
      </c>
      <c r="G147" s="57">
        <v>580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Wiggins &amp; Jones (07/12/2007 - 30/06/2009)</v>
      </c>
    </row>
    <row r="148" spans="1:29" x14ac:dyDescent="0.2">
      <c r="A148" s="57">
        <v>27</v>
      </c>
      <c r="B148" s="58" t="s">
        <v>109</v>
      </c>
      <c r="C148" s="57">
        <v>37</v>
      </c>
      <c r="D148" s="58" t="s">
        <v>110</v>
      </c>
      <c r="E148" s="59">
        <v>38540</v>
      </c>
      <c r="F148" s="59">
        <v>39362</v>
      </c>
      <c r="G148" s="57">
        <v>575</v>
      </c>
      <c r="H148" s="58" t="s">
        <v>29</v>
      </c>
      <c r="I148" s="58" t="s">
        <v>104</v>
      </c>
      <c r="J148" s="57">
        <v>10</v>
      </c>
      <c r="K148" s="58" t="s">
        <v>96</v>
      </c>
      <c r="L148" s="58" t="s">
        <v>97</v>
      </c>
      <c r="AA148" s="2"/>
      <c r="AB148" t="str">
        <f si="2" t="shared"/>
        <v xml:space="preserve"> Matthews (07/07/2005 - 07/10/2007)</v>
      </c>
    </row>
    <row r="149" spans="1:29" x14ac:dyDescent="0.2">
      <c r="A149" s="57">
        <v>46</v>
      </c>
      <c r="B149" s="58" t="s">
        <v>68</v>
      </c>
      <c r="C149" s="57">
        <v>275</v>
      </c>
      <c r="D149" s="58" t="s">
        <v>394</v>
      </c>
      <c r="E149" s="59">
        <v>42559</v>
      </c>
      <c r="F149" s="58"/>
      <c r="G149" s="57">
        <v>505</v>
      </c>
      <c r="H149" s="58" t="s">
        <v>29</v>
      </c>
      <c r="I149" s="58" t="s">
        <v>95</v>
      </c>
      <c r="J149" s="57">
        <v>10</v>
      </c>
      <c r="K149" s="58" t="s">
        <v>96</v>
      </c>
      <c r="L149" s="58" t="s">
        <v>97</v>
      </c>
      <c r="AB149" t="str">
        <f si="2" t="shared"/>
        <v>Mr Tudor (08/07/2016 - present)</v>
      </c>
    </row>
    <row r="150" spans="1:29" x14ac:dyDescent="0.2">
      <c r="A150" s="57">
        <v>46</v>
      </c>
      <c r="B150" s="58" t="s">
        <v>68</v>
      </c>
      <c r="C150" s="57">
        <v>138</v>
      </c>
      <c r="D150" s="58" t="s">
        <v>159</v>
      </c>
      <c r="E150" s="59">
        <v>39654</v>
      </c>
      <c r="F150" s="59">
        <v>42459</v>
      </c>
      <c r="G150" s="57">
        <v>480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Jones (25/07/2008 - 30/03/2016)</v>
      </c>
    </row>
    <row r="151" spans="1:29" x14ac:dyDescent="0.2">
      <c r="A151" s="57">
        <v>46</v>
      </c>
      <c r="B151" s="58" t="s">
        <v>68</v>
      </c>
      <c r="C151" s="57">
        <v>137</v>
      </c>
      <c r="D151" s="58" t="s">
        <v>256</v>
      </c>
      <c r="E151" s="59">
        <v>39588</v>
      </c>
      <c r="F151" s="59">
        <v>39638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James (20/05/2008 - 09/07/2008)</v>
      </c>
    </row>
    <row r="152" spans="1:29" x14ac:dyDescent="0.2">
      <c r="A152" s="57">
        <v>46</v>
      </c>
      <c r="B152" s="58" t="s">
        <v>68</v>
      </c>
      <c r="C152" s="57">
        <v>87</v>
      </c>
      <c r="D152" s="58" t="s">
        <v>16</v>
      </c>
      <c r="E152" s="59">
        <v>38971</v>
      </c>
      <c r="F152" s="59">
        <v>39588</v>
      </c>
      <c r="G152" s="57">
        <v>460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4"/>
      <c r="AB152" s="52" t="str">
        <f si="2" t="shared"/>
        <v>Mallinson (11/09/2006 - 20/05/2008)</v>
      </c>
      <c r="AC152" s="52"/>
    </row>
    <row r="153" spans="1:29" x14ac:dyDescent="0.2">
      <c r="A153" s="57">
        <v>46</v>
      </c>
      <c r="B153" s="58" t="s">
        <v>68</v>
      </c>
      <c r="C153" s="57">
        <v>69</v>
      </c>
      <c r="D153" s="58" t="s">
        <v>52</v>
      </c>
      <c r="E153" s="59">
        <v>38839</v>
      </c>
      <c r="F153" s="59">
        <v>38961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AA153" s="2"/>
      <c r="AB153" t="str">
        <f si="2" t="shared"/>
        <v>Henderson (02/05/2006 - 01/09/2006)</v>
      </c>
    </row>
    <row r="154" spans="1:29" x14ac:dyDescent="0.2">
      <c r="A154" s="57">
        <v>67</v>
      </c>
      <c r="B154" s="58" t="s">
        <v>112</v>
      </c>
      <c r="C154" s="57">
        <v>179</v>
      </c>
      <c r="D154" s="58" t="s">
        <v>298</v>
      </c>
      <c r="E154" s="59">
        <v>40350</v>
      </c>
      <c r="F154" s="58"/>
      <c r="G154" s="57">
        <v>500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B154" t="str">
        <f si="2" t="shared"/>
        <v>C Stark (21/06/2010 - present)</v>
      </c>
    </row>
    <row r="155" spans="1:29" x14ac:dyDescent="0.2">
      <c r="A155" s="57">
        <v>67</v>
      </c>
      <c r="B155" s="58" t="s">
        <v>112</v>
      </c>
      <c r="C155" s="57">
        <v>114</v>
      </c>
      <c r="D155" s="58" t="s">
        <v>198</v>
      </c>
      <c r="E155" s="59">
        <v>39396</v>
      </c>
      <c r="F155" s="59">
        <v>40339</v>
      </c>
      <c r="G155" s="57">
        <v>425</v>
      </c>
      <c r="H155" s="58" t="s">
        <v>29</v>
      </c>
      <c r="I155" s="58" t="s">
        <v>197</v>
      </c>
      <c r="J155" s="57">
        <v>0</v>
      </c>
      <c r="K155" s="58" t="s">
        <v>175</v>
      </c>
      <c r="L155" s="58" t="s">
        <v>101</v>
      </c>
      <c r="AB155" t="str">
        <f si="2" t="shared"/>
        <v>Holly Reeves (10/11/2007 - 10/06/2010)</v>
      </c>
    </row>
    <row r="156" spans="1:29" x14ac:dyDescent="0.2">
      <c r="A156" s="57">
        <v>67</v>
      </c>
      <c r="B156" s="58" t="s">
        <v>112</v>
      </c>
      <c r="C156" s="57">
        <v>81</v>
      </c>
      <c r="D156" s="58" t="s">
        <v>113</v>
      </c>
      <c r="E156" s="59">
        <v>38485</v>
      </c>
      <c r="F156" s="59">
        <v>39355</v>
      </c>
      <c r="G156" s="57">
        <v>395</v>
      </c>
      <c r="H156" s="58" t="s">
        <v>29</v>
      </c>
      <c r="I156" s="58" t="s">
        <v>116</v>
      </c>
      <c r="J156" s="57">
        <v>10</v>
      </c>
      <c r="K156" s="58" t="s">
        <v>96</v>
      </c>
      <c r="L156" s="58" t="s">
        <v>97</v>
      </c>
      <c r="AB156" t="str">
        <f si="2" t="shared"/>
        <v>Moss (13/05/2005 - 30/09/2007)</v>
      </c>
    </row>
    <row r="157" spans="1:29" x14ac:dyDescent="0.2">
      <c r="A157" s="57">
        <v>10</v>
      </c>
      <c r="B157" s="58" t="s">
        <v>61</v>
      </c>
      <c r="C157" s="57">
        <v>176</v>
      </c>
      <c r="D157" s="58" t="s">
        <v>292</v>
      </c>
      <c r="E157" s="59">
        <v>40282</v>
      </c>
      <c r="F157" s="58"/>
      <c r="G157" s="57">
        <v>450</v>
      </c>
      <c r="H157" s="58" t="s">
        <v>29</v>
      </c>
      <c r="I157" s="58" t="s">
        <v>95</v>
      </c>
      <c r="J157" s="57">
        <v>10</v>
      </c>
      <c r="K157" s="58" t="s">
        <v>96</v>
      </c>
      <c r="L157" s="58" t="s">
        <v>97</v>
      </c>
      <c r="AA157" s="2"/>
      <c r="AB157" t="str">
        <f si="2" t="shared"/>
        <v>Martin Brett (14/04/2010 - present)</v>
      </c>
    </row>
    <row r="158" spans="1:29" x14ac:dyDescent="0.2">
      <c r="A158" s="57">
        <v>10</v>
      </c>
      <c r="B158" s="58" t="s">
        <v>61</v>
      </c>
      <c r="C158" s="57">
        <v>170</v>
      </c>
      <c r="D158" s="58" t="s">
        <v>260</v>
      </c>
      <c r="E158" s="59">
        <v>40148</v>
      </c>
      <c r="F158" s="59">
        <v>40254</v>
      </c>
      <c r="G158" s="57">
        <v>460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B158" t="str">
        <f si="2" t="shared"/>
        <v>Toombs (01/12/2009 - 17/03/2010)</v>
      </c>
    </row>
    <row r="159" spans="1:29" x14ac:dyDescent="0.2">
      <c r="A159" s="57">
        <v>10</v>
      </c>
      <c r="B159" s="58" t="s">
        <v>61</v>
      </c>
      <c r="C159" s="57">
        <v>111</v>
      </c>
      <c r="D159" s="58" t="s">
        <v>193</v>
      </c>
      <c r="E159" s="59">
        <v>39325</v>
      </c>
      <c r="F159" s="59">
        <v>40147</v>
      </c>
      <c r="G159" s="57">
        <v>450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Scouarnec (31/08/2007 - 30/11/2009)</v>
      </c>
    </row>
    <row r="160" spans="1:29" x14ac:dyDescent="0.2">
      <c r="A160" s="57">
        <v>10</v>
      </c>
      <c r="B160" s="58" t="s">
        <v>61</v>
      </c>
      <c r="C160" s="57">
        <v>43</v>
      </c>
      <c r="D160" s="58" t="s">
        <v>10</v>
      </c>
      <c r="E160" s="59">
        <v>38394</v>
      </c>
      <c r="F160" s="59">
        <v>39314</v>
      </c>
      <c r="G160" s="57">
        <v>392.32</v>
      </c>
      <c r="H160" s="58" t="s">
        <v>28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Hall (11/02/2005 - 20/08/2007)</v>
      </c>
    </row>
    <row r="161" spans="1:28" x14ac:dyDescent="0.2">
      <c r="A161" s="57">
        <v>10</v>
      </c>
      <c r="B161" s="58" t="s">
        <v>61</v>
      </c>
      <c r="C161" s="57">
        <v>18</v>
      </c>
      <c r="D161" s="58" t="s">
        <v>48</v>
      </c>
      <c r="E161" s="59">
        <v>38205</v>
      </c>
      <c r="F161" s="59">
        <v>38364</v>
      </c>
      <c r="G161" s="57">
        <v>400</v>
      </c>
      <c r="H161" s="58" t="s">
        <v>29</v>
      </c>
      <c r="I161" s="58" t="s">
        <v>95</v>
      </c>
      <c r="J161" s="57">
        <v>10</v>
      </c>
      <c r="K161" s="58" t="s">
        <v>96</v>
      </c>
      <c r="L161" s="58" t="s">
        <v>97</v>
      </c>
      <c r="AA161" s="2"/>
      <c r="AB161" t="str">
        <f si="2" t="shared"/>
        <v>Bilham (06/08/2004 - 12/01/2005)</v>
      </c>
    </row>
    <row r="162" spans="1:28" x14ac:dyDescent="0.2">
      <c r="A162" s="57">
        <v>8</v>
      </c>
      <c r="B162" s="58" t="s">
        <v>59</v>
      </c>
      <c r="C162" s="57">
        <v>234</v>
      </c>
      <c r="D162" s="58" t="s">
        <v>346</v>
      </c>
      <c r="E162" s="59">
        <v>41409</v>
      </c>
      <c r="F162" s="58"/>
      <c r="G162" s="57">
        <v>500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B162" t="str">
        <f si="2" t="shared"/>
        <v>Mr Robinson (15/05/2013 - present)</v>
      </c>
    </row>
    <row r="163" spans="1:28" x14ac:dyDescent="0.2">
      <c r="A163" s="57">
        <v>8</v>
      </c>
      <c r="B163" s="58" t="s">
        <v>59</v>
      </c>
      <c r="C163" s="57">
        <v>168</v>
      </c>
      <c r="D163" s="58" t="s">
        <v>283</v>
      </c>
      <c r="E163" s="59">
        <v>40235</v>
      </c>
      <c r="F163" s="59">
        <v>41359</v>
      </c>
      <c r="G163" s="57">
        <v>450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Grant Philliben (26/02/2010 - 26/03/2013)</v>
      </c>
    </row>
    <row r="164" spans="1:28" x14ac:dyDescent="0.2">
      <c r="A164" s="57">
        <v>8</v>
      </c>
      <c r="B164" s="58" t="s">
        <v>59</v>
      </c>
      <c r="C164" s="57">
        <v>14</v>
      </c>
      <c r="D164" s="58" t="s">
        <v>12</v>
      </c>
      <c r="E164" s="59">
        <v>37829</v>
      </c>
      <c r="F164" s="59">
        <v>40203</v>
      </c>
      <c r="G164" s="57">
        <v>360</v>
      </c>
      <c r="H164" s="58" t="s">
        <v>28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Carrick (27/07/2003 - 25/01/2010)</v>
      </c>
    </row>
    <row r="165" spans="1:28" x14ac:dyDescent="0.2">
      <c r="A165" s="57">
        <v>75</v>
      </c>
      <c r="B165" s="58" t="s">
        <v>188</v>
      </c>
      <c r="C165" s="57">
        <v>255</v>
      </c>
      <c r="D165" s="58" t="s">
        <v>362</v>
      </c>
      <c r="E165" s="59">
        <v>41799</v>
      </c>
      <c r="F165" s="58"/>
      <c r="G165" s="57">
        <v>500</v>
      </c>
      <c r="H165" s="58" t="s">
        <v>29</v>
      </c>
      <c r="I165" s="58" t="s">
        <v>95</v>
      </c>
      <c r="J165" s="57">
        <v>10</v>
      </c>
      <c r="K165" s="58" t="s">
        <v>96</v>
      </c>
      <c r="L165" s="58" t="s">
        <v>97</v>
      </c>
      <c r="AA165" s="2"/>
      <c r="AB165" t="str">
        <f si="2" t="shared"/>
        <v>Mr N Olsen (09/06/2014 - present)</v>
      </c>
    </row>
    <row r="166" spans="1:28" x14ac:dyDescent="0.2">
      <c r="A166" s="57">
        <v>75</v>
      </c>
      <c r="B166" s="58" t="s">
        <v>188</v>
      </c>
      <c r="C166" s="57">
        <v>227</v>
      </c>
      <c r="D166" s="58" t="s">
        <v>346</v>
      </c>
      <c r="E166" s="59">
        <v>41409</v>
      </c>
      <c r="F166" s="59">
        <v>41409</v>
      </c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B166" t="str">
        <f si="2" t="shared"/>
        <v>Mr Robinson (15/05/2013 - 15/05/2013)</v>
      </c>
    </row>
    <row r="167" spans="1:28" x14ac:dyDescent="0.2">
      <c r="A167" s="57">
        <v>75</v>
      </c>
      <c r="B167" s="58" t="s">
        <v>188</v>
      </c>
      <c r="C167" s="57">
        <v>241</v>
      </c>
      <c r="D167" s="58" t="s">
        <v>360</v>
      </c>
      <c r="E167" s="59">
        <v>41390</v>
      </c>
      <c r="F167" s="59">
        <v>41683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A167" s="2"/>
      <c r="AB167" t="str">
        <f si="2" t="shared"/>
        <v>Anthony Heather (26/04/2013 - 13/02/2014)</v>
      </c>
    </row>
    <row r="168" spans="1:28" x14ac:dyDescent="0.2">
      <c r="A168" s="57">
        <v>75</v>
      </c>
      <c r="B168" s="58" t="s">
        <v>188</v>
      </c>
      <c r="C168" s="57">
        <v>108</v>
      </c>
      <c r="D168" s="58" t="s">
        <v>191</v>
      </c>
      <c r="E168" s="59">
        <v>39288</v>
      </c>
      <c r="F168" s="59">
        <v>41333</v>
      </c>
      <c r="G168" s="57">
        <v>530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B168" t="str">
        <f si="2" t="shared"/>
        <v>Matthews &amp; Ward (25/07/2007 - 28/02/2013)</v>
      </c>
    </row>
    <row r="169" spans="1:28" x14ac:dyDescent="0.2">
      <c r="A169" s="57">
        <v>3</v>
      </c>
      <c r="B169" s="58" t="s">
        <v>55</v>
      </c>
      <c r="C169" s="57">
        <v>269</v>
      </c>
      <c r="D169" s="58" t="s">
        <v>387</v>
      </c>
      <c r="E169" s="59">
        <v>42493</v>
      </c>
      <c r="F169" s="58"/>
      <c r="G169" s="57">
        <v>600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Mr J Brown (03/05/2016 - present)</v>
      </c>
    </row>
    <row r="170" spans="1:28" x14ac:dyDescent="0.2">
      <c r="A170" s="57">
        <v>3</v>
      </c>
      <c r="B170" s="58" t="s">
        <v>55</v>
      </c>
      <c r="C170" s="57">
        <v>242</v>
      </c>
      <c r="D170" s="58" t="s">
        <v>359</v>
      </c>
      <c r="E170" s="59">
        <v>41655</v>
      </c>
      <c r="F170" s="59">
        <v>42465</v>
      </c>
      <c r="G170" s="57">
        <v>550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Barnett &amp; Ms Elvenny (16/01/2014 - 05/04/2016)</v>
      </c>
    </row>
    <row r="171" spans="1:28" x14ac:dyDescent="0.2">
      <c r="A171" s="57">
        <v>3</v>
      </c>
      <c r="B171" s="58" t="s">
        <v>55</v>
      </c>
      <c r="C171" s="57">
        <v>207</v>
      </c>
      <c r="D171" s="58" t="s">
        <v>326</v>
      </c>
      <c r="E171" s="59">
        <v>40839</v>
      </c>
      <c r="F171" s="59">
        <v>41578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S Briscoe (23/10/2011 - 31/10/2013)</v>
      </c>
    </row>
    <row r="172" spans="1:28" x14ac:dyDescent="0.2">
      <c r="A172" s="57">
        <v>3</v>
      </c>
      <c r="B172" s="58" t="s">
        <v>55</v>
      </c>
      <c r="C172" s="57">
        <v>188</v>
      </c>
      <c r="D172" s="58" t="s">
        <v>300</v>
      </c>
      <c r="E172" s="59">
        <v>40448</v>
      </c>
      <c r="F172" s="59">
        <v>40838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Newing &amp; Thompson (27/09/2010 - 22/10/2011)</v>
      </c>
    </row>
    <row r="173" spans="1:28" x14ac:dyDescent="0.2">
      <c r="A173" s="57">
        <v>3</v>
      </c>
      <c r="B173" s="58" t="s">
        <v>55</v>
      </c>
      <c r="C173" s="57">
        <v>160</v>
      </c>
      <c r="D173" s="58" t="s">
        <v>278</v>
      </c>
      <c r="E173" s="59">
        <v>40120</v>
      </c>
      <c r="F173" s="59">
        <v>40300</v>
      </c>
      <c r="G173" s="57">
        <v>620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Kevin &amp; Charyn Carter (03/11/2009 - 02/05/2010)</v>
      </c>
    </row>
    <row r="174" spans="1:28" x14ac:dyDescent="0.2">
      <c r="A174" s="57">
        <v>3</v>
      </c>
      <c r="B174" s="58" t="s">
        <v>55</v>
      </c>
      <c r="C174" s="57">
        <v>152</v>
      </c>
      <c r="D174" s="58" t="s">
        <v>268</v>
      </c>
      <c r="E174" s="59">
        <v>39879</v>
      </c>
      <c r="F174" s="59">
        <v>40086</v>
      </c>
      <c r="G174" s="57">
        <v>625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Saunders &amp; Lavery (07/03/2009 - 30/09/2009)</v>
      </c>
    </row>
    <row r="175" spans="1:28" x14ac:dyDescent="0.2">
      <c r="A175" s="57">
        <v>3</v>
      </c>
      <c r="B175" s="58" t="s">
        <v>55</v>
      </c>
      <c r="C175" s="57">
        <v>130</v>
      </c>
      <c r="D175" s="58" t="s">
        <v>236</v>
      </c>
      <c r="E175" s="59">
        <v>39535</v>
      </c>
      <c r="F175" s="59">
        <v>39849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Williams &amp; Green (28/03/2008 - 05/02/2009)</v>
      </c>
    </row>
    <row r="176" spans="1:28" x14ac:dyDescent="0.2">
      <c r="A176" s="57">
        <v>3</v>
      </c>
      <c r="B176" s="58" t="s">
        <v>55</v>
      </c>
      <c r="C176" s="57">
        <v>93</v>
      </c>
      <c r="D176" s="58" t="s">
        <v>151</v>
      </c>
      <c r="E176" s="59">
        <v>39013</v>
      </c>
      <c r="F176" s="59">
        <v>39507</v>
      </c>
      <c r="G176" s="57">
        <v>575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Thompson (23/10/2006 - 29/02/2008)</v>
      </c>
    </row>
    <row r="177" spans="1:28" x14ac:dyDescent="0.2">
      <c r="A177" s="57">
        <v>3</v>
      </c>
      <c r="B177" s="58" t="s">
        <v>55</v>
      </c>
      <c r="C177" s="57">
        <v>56</v>
      </c>
      <c r="D177" s="58" t="s">
        <v>152</v>
      </c>
      <c r="E177" s="59">
        <v>38961</v>
      </c>
      <c r="F177" s="59">
        <v>39052</v>
      </c>
      <c r="G177" s="57">
        <v>625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Bowie  (01/09/2006 - 01/12/2006)</v>
      </c>
    </row>
    <row r="178" spans="1:28" x14ac:dyDescent="0.2">
      <c r="A178" s="57">
        <v>3</v>
      </c>
      <c r="B178" s="58" t="s">
        <v>55</v>
      </c>
      <c r="C178" s="57">
        <v>15</v>
      </c>
      <c r="D178" s="58" t="s">
        <v>153</v>
      </c>
      <c r="E178" s="59">
        <v>38229</v>
      </c>
      <c r="F178" s="59">
        <v>38929</v>
      </c>
      <c r="G178" s="57">
        <v>500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Fleming (30/08/2004 - 31/07/2006)</v>
      </c>
    </row>
    <row r="179" spans="1:28" x14ac:dyDescent="0.2">
      <c r="A179" s="57">
        <v>3</v>
      </c>
      <c r="B179" s="58" t="s">
        <v>55</v>
      </c>
      <c r="C179" s="57">
        <v>10</v>
      </c>
      <c r="D179" s="58" t="s">
        <v>42</v>
      </c>
      <c r="E179" s="59">
        <v>38002</v>
      </c>
      <c r="F179" s="59">
        <v>38152</v>
      </c>
      <c r="G179" s="57">
        <v>525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Laver (16/01/2004 - 14/06/2004)</v>
      </c>
    </row>
    <row r="180" spans="1:28" x14ac:dyDescent="0.2">
      <c r="A180" s="57">
        <v>3</v>
      </c>
      <c r="B180" s="58" t="s">
        <v>55</v>
      </c>
      <c r="C180" s="57">
        <v>8</v>
      </c>
      <c r="D180" s="58" t="s">
        <v>154</v>
      </c>
      <c r="E180" s="59">
        <v>37802</v>
      </c>
      <c r="F180" s="59">
        <v>37968</v>
      </c>
      <c r="G180" s="57">
        <v>500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Mpofu (30/06/2003 - 13/12/2003)</v>
      </c>
    </row>
    <row r="181" spans="1:28" x14ac:dyDescent="0.2">
      <c r="A181" s="57">
        <v>3</v>
      </c>
      <c r="B181" s="58" t="s">
        <v>55</v>
      </c>
      <c r="C181" s="57">
        <v>7</v>
      </c>
      <c r="D181" s="58" t="s">
        <v>155</v>
      </c>
      <c r="E181" s="59">
        <v>37670</v>
      </c>
      <c r="F181" s="59">
        <v>38547</v>
      </c>
      <c r="G181" s="57">
        <v>505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Glace (18/02/2003 - 14/07/2005)</v>
      </c>
    </row>
    <row r="182" spans="1:28" x14ac:dyDescent="0.2">
      <c r="A182" s="57">
        <v>52</v>
      </c>
      <c r="B182" s="58" t="s">
        <v>69</v>
      </c>
      <c r="C182" s="57">
        <v>267</v>
      </c>
      <c r="D182" s="58" t="s">
        <v>386</v>
      </c>
      <c r="E182" s="59">
        <v>42377</v>
      </c>
      <c r="F182" s="58"/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Mr Hopkinson (08/01/2016 - present)</v>
      </c>
    </row>
    <row r="183" spans="1:28" x14ac:dyDescent="0.2">
      <c r="A183" s="57">
        <v>52</v>
      </c>
      <c r="B183" s="58" t="s">
        <v>69</v>
      </c>
      <c r="C183" s="57">
        <v>256</v>
      </c>
      <c r="D183" s="58" t="s">
        <v>365</v>
      </c>
      <c r="E183" s="59">
        <v>41824</v>
      </c>
      <c r="F183" s="59">
        <v>42338</v>
      </c>
      <c r="G183" s="57">
        <v>500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A183" s="2"/>
      <c r="AB183" t="str">
        <f si="2" t="shared"/>
        <v>Mr D Cooper (04/07/2014 - 30/11/2015)</v>
      </c>
    </row>
    <row r="184" spans="1:28" x14ac:dyDescent="0.2">
      <c r="A184" s="57">
        <v>52</v>
      </c>
      <c r="B184" s="58" t="s">
        <v>69</v>
      </c>
      <c r="C184" s="57">
        <v>211</v>
      </c>
      <c r="D184" s="58" t="s">
        <v>330</v>
      </c>
      <c r="E184" s="59">
        <v>40871</v>
      </c>
      <c r="F184" s="59">
        <v>41814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B184" t="str">
        <f si="2" t="shared"/>
        <v>A Drummond (24/11/2011 - 24/06/2014)</v>
      </c>
    </row>
    <row r="185" spans="1:28" x14ac:dyDescent="0.2">
      <c r="A185" s="57">
        <v>52</v>
      </c>
      <c r="B185" s="58" t="s">
        <v>69</v>
      </c>
      <c r="C185" s="57">
        <v>89</v>
      </c>
      <c r="D185" s="58" t="s">
        <v>156</v>
      </c>
      <c r="E185" s="59">
        <v>39101</v>
      </c>
      <c r="F185" s="59">
        <v>40866</v>
      </c>
      <c r="G185" s="57">
        <v>495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A185" s="2"/>
      <c r="AB185" t="str">
        <f si="2" t="shared"/>
        <v>Dunn (19/01/2007 - 19/11/2011)</v>
      </c>
    </row>
    <row r="186" spans="1:28" x14ac:dyDescent="0.2">
      <c r="A186" s="57">
        <v>52</v>
      </c>
      <c r="B186" s="58" t="s">
        <v>69</v>
      </c>
      <c r="C186" s="57">
        <v>74</v>
      </c>
      <c r="D186" s="58" t="s">
        <v>157</v>
      </c>
      <c r="E186" s="59">
        <v>38880</v>
      </c>
      <c r="F186" s="59">
        <v>39048</v>
      </c>
      <c r="G186" s="57">
        <v>475</v>
      </c>
      <c r="H186" s="58" t="s">
        <v>29</v>
      </c>
      <c r="I186" s="58" t="s">
        <v>104</v>
      </c>
      <c r="J186" s="57">
        <v>10</v>
      </c>
      <c r="K186" s="58" t="s">
        <v>96</v>
      </c>
      <c r="L186" s="58" t="s">
        <v>97</v>
      </c>
      <c r="AB186" t="str">
        <f si="2" t="shared"/>
        <v>Nieniarowski (12/06/2006 - 27/11/2006)</v>
      </c>
    </row>
    <row r="187" spans="1:28" x14ac:dyDescent="0.2">
      <c r="A187" s="57">
        <v>11</v>
      </c>
      <c r="B187" s="58" t="s">
        <v>62</v>
      </c>
      <c r="C187" s="57">
        <v>225</v>
      </c>
      <c r="D187" s="58" t="s">
        <v>340</v>
      </c>
      <c r="E187" s="59">
        <v>41291</v>
      </c>
      <c r="F187" s="58"/>
      <c r="G187" s="57">
        <v>395</v>
      </c>
      <c r="H187" s="58" t="s">
        <v>29</v>
      </c>
      <c r="I187" s="58" t="s">
        <v>95</v>
      </c>
      <c r="J187" s="57">
        <v>10</v>
      </c>
      <c r="K187" s="58" t="s">
        <v>96</v>
      </c>
      <c r="L187" s="58" t="s">
        <v>97</v>
      </c>
      <c r="AB187" t="str">
        <f si="2" t="shared"/>
        <v>Wright (17/01/2013 - present)</v>
      </c>
    </row>
    <row r="188" spans="1:28" x14ac:dyDescent="0.2">
      <c r="A188" s="57">
        <v>11</v>
      </c>
      <c r="B188" s="58" t="s">
        <v>62</v>
      </c>
      <c r="C188" s="57">
        <v>195</v>
      </c>
      <c r="D188" s="58" t="s">
        <v>314</v>
      </c>
      <c r="E188" s="59">
        <v>40525</v>
      </c>
      <c r="F188" s="59">
        <v>41591</v>
      </c>
      <c r="G188" s="57">
        <v>380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A188" s="2"/>
      <c r="AB188" t="str">
        <f si="2" t="shared"/>
        <v>J Fraser (13/12/2010 - 13/11/2013)</v>
      </c>
    </row>
    <row r="189" spans="1:28" x14ac:dyDescent="0.2">
      <c r="A189" s="57">
        <v>11</v>
      </c>
      <c r="B189" s="58" t="s">
        <v>62</v>
      </c>
      <c r="C189" s="57">
        <v>181</v>
      </c>
      <c r="D189" s="58" t="s">
        <v>301</v>
      </c>
      <c r="E189" s="59">
        <v>40408</v>
      </c>
      <c r="F189" s="59">
        <v>40508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B189" t="str">
        <f si="2" t="shared"/>
        <v>Mrs C Carrington (18/08/2010 - 26/11/2010)</v>
      </c>
    </row>
    <row r="190" spans="1:28" x14ac:dyDescent="0.2">
      <c r="A190" s="57">
        <v>11</v>
      </c>
      <c r="B190" s="58" t="s">
        <v>62</v>
      </c>
      <c r="C190" s="57">
        <v>166</v>
      </c>
      <c r="D190" s="58" t="s">
        <v>284</v>
      </c>
      <c r="E190" s="59">
        <v>40151</v>
      </c>
      <c r="F190" s="59">
        <v>40334</v>
      </c>
      <c r="G190" s="57">
        <v>390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P Chatfield (04/12/2009 - 05/06/2010)</v>
      </c>
    </row>
    <row r="191" spans="1:28" x14ac:dyDescent="0.2">
      <c r="A191" s="57">
        <v>11</v>
      </c>
      <c r="B191" s="58" t="s">
        <v>62</v>
      </c>
      <c r="C191" s="57">
        <v>144</v>
      </c>
      <c r="D191" s="58" t="s">
        <v>260</v>
      </c>
      <c r="E191" s="59">
        <v>39709</v>
      </c>
      <c r="F191" s="59">
        <v>40147</v>
      </c>
      <c r="G191" s="57">
        <v>380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Toombs (18/09/2008 - 30/11/2009)</v>
      </c>
    </row>
    <row r="192" spans="1:28" x14ac:dyDescent="0.2">
      <c r="A192" s="57">
        <v>11</v>
      </c>
      <c r="B192" s="58" t="s">
        <v>62</v>
      </c>
      <c r="C192" s="57">
        <v>23</v>
      </c>
      <c r="D192" s="58" t="s">
        <v>158</v>
      </c>
      <c r="E192" s="59">
        <v>38324</v>
      </c>
      <c r="F192" s="59">
        <v>39695</v>
      </c>
      <c r="G192" s="57">
        <v>346.16</v>
      </c>
      <c r="H192" s="58" t="s">
        <v>28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Coombs (03/12/2004 - 04/09/2008)</v>
      </c>
    </row>
    <row r="193" spans="1:29" x14ac:dyDescent="0.2">
      <c r="A193" s="57">
        <v>4</v>
      </c>
      <c r="B193" s="58" t="s">
        <v>56</v>
      </c>
      <c r="C193" s="57">
        <v>193</v>
      </c>
      <c r="D193" s="58" t="s">
        <v>312</v>
      </c>
      <c r="E193" s="59">
        <v>40508</v>
      </c>
      <c r="F193" s="58"/>
      <c r="G193" s="57">
        <v>500</v>
      </c>
      <c r="H193" s="58" t="s">
        <v>29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Carrington (26/11/2010 - present)</v>
      </c>
    </row>
    <row r="194" spans="1:29" x14ac:dyDescent="0.2">
      <c r="A194" s="57">
        <v>4</v>
      </c>
      <c r="B194" s="58" t="s">
        <v>56</v>
      </c>
      <c r="C194" s="57">
        <v>120</v>
      </c>
      <c r="D194" s="58" t="s">
        <v>237</v>
      </c>
      <c r="E194" s="59">
        <v>39535</v>
      </c>
      <c r="F194" s="59">
        <v>40483</v>
      </c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ref="AB194:AB257" si="3" t="shared"><![CDATA[IF(E194<>"",IF(F194="",D194&" ("&TEXT(E194,"dd/mm/yyyy")&" - present)",D194&" ("&TEXT(E194,"dd/mm/yyyy")&" - "&TEXT(F194,"dd/mm/yyyy")&")"),"")]]></f>
        <v>Simpson-Stevens &amp; Scott (28/03/2008 - 01/11/2010)</v>
      </c>
    </row>
    <row r="195" spans="1:29" x14ac:dyDescent="0.2">
      <c r="A195" s="57">
        <v>4</v>
      </c>
      <c r="B195" s="58" t="s">
        <v>56</v>
      </c>
      <c r="C195" s="57">
        <v>101</v>
      </c>
      <c r="D195" s="58" t="s">
        <v>159</v>
      </c>
      <c r="E195" s="59">
        <v>39153</v>
      </c>
      <c r="F195" s="59">
        <v>39447</v>
      </c>
      <c r="G195" s="57">
        <v>490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si="3" t="shared"/>
        <v>Jones (12/03/2007 - 31/12/2007)</v>
      </c>
    </row>
    <row r="196" spans="1:29" x14ac:dyDescent="0.2">
      <c r="A196" s="57">
        <v>4</v>
      </c>
      <c r="B196" s="58" t="s">
        <v>56</v>
      </c>
      <c r="C196" s="57">
        <v>55</v>
      </c>
      <c r="D196" s="58" t="s">
        <v>160</v>
      </c>
      <c r="E196" s="59">
        <v>38950</v>
      </c>
      <c r="F196" s="59">
        <v>39136</v>
      </c>
      <c r="G196" s="57">
        <v>447.68</v>
      </c>
      <c r="H196" s="58" t="s">
        <v>28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Coalbran (21/08/2006 - 23/02/2007)</v>
      </c>
    </row>
    <row r="197" spans="1:29" x14ac:dyDescent="0.2">
      <c r="A197" s="57">
        <v>4</v>
      </c>
      <c r="B197" s="58" t="s">
        <v>56</v>
      </c>
      <c r="C197" s="57">
        <v>45</v>
      </c>
      <c r="D197" s="58" t="s">
        <v>161</v>
      </c>
      <c r="E197" s="59">
        <v>38705</v>
      </c>
      <c r="F197" s="59">
        <v>38929</v>
      </c>
      <c r="G197" s="57">
        <v>443.08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Larkins/Allen (19/12/2005 - 31/07/2006)</v>
      </c>
    </row>
    <row r="198" spans="1:29" x14ac:dyDescent="0.2">
      <c r="A198" s="57">
        <v>4</v>
      </c>
      <c r="B198" s="58" t="s">
        <v>56</v>
      </c>
      <c r="C198" s="57">
        <v>26</v>
      </c>
      <c r="D198" s="58" t="s">
        <v>162</v>
      </c>
      <c r="E198" s="59">
        <v>38389</v>
      </c>
      <c r="F198" s="59">
        <v>38698</v>
      </c>
      <c r="G198" s="57">
        <v>450</v>
      </c>
      <c r="H198" s="58" t="s">
        <v>29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Emptage/Robson (06/02/2005 - 12/12/2005)</v>
      </c>
    </row>
    <row r="199" spans="1:29" x14ac:dyDescent="0.2">
      <c r="A199" s="57">
        <v>4</v>
      </c>
      <c r="B199" s="58" t="s">
        <v>56</v>
      </c>
      <c r="C199" s="57">
        <v>6</v>
      </c>
      <c r="D199" s="58" t="s">
        <v>10</v>
      </c>
      <c r="E199" s="59">
        <v>37958</v>
      </c>
      <c r="F199" s="59">
        <v>38547</v>
      </c>
      <c r="G199" s="57">
        <v>400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Hall (03/12/2003 - 14/07/2005)</v>
      </c>
    </row>
    <row r="200" spans="1:29" x14ac:dyDescent="0.2">
      <c r="A200" s="57">
        <v>4</v>
      </c>
      <c r="B200" s="58" t="s">
        <v>56</v>
      </c>
      <c r="C200" s="57">
        <v>5</v>
      </c>
      <c r="D200" s="58" t="s">
        <v>163</v>
      </c>
      <c r="E200" s="59">
        <v>37778</v>
      </c>
      <c r="F200" s="59">
        <v>37900</v>
      </c>
      <c r="G200" s="57">
        <v>399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 t="str">
        <f si="3" t="shared"/>
        <v>Dixon (06/06/2003 - 06/10/2003)</v>
      </c>
      <c r="AC200" s="52"/>
    </row>
    <row r="201" spans="1:29" x14ac:dyDescent="0.2">
      <c r="A201" s="57">
        <v>4</v>
      </c>
      <c r="B201" s="58" t="s">
        <v>56</v>
      </c>
      <c r="C201" s="57">
        <v>4</v>
      </c>
      <c r="D201" s="58" t="s">
        <v>164</v>
      </c>
      <c r="E201" s="59">
        <v>37603</v>
      </c>
      <c r="F201" s="59">
        <v>37754</v>
      </c>
      <c r="G201" s="57">
        <v>395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AB201" t="str">
        <f si="3" t="shared"/>
        <v>Raven (13/12/2002 - 13/05/2003)</v>
      </c>
    </row>
    <row r="202" spans="1:29" x14ac:dyDescent="0.2">
      <c r="A202" s="57">
        <v>47</v>
      </c>
      <c r="B202" s="58" t="s">
        <v>86</v>
      </c>
      <c r="C202" s="57">
        <v>96</v>
      </c>
      <c r="D202" s="58" t="s">
        <v>165</v>
      </c>
      <c r="E202" s="59">
        <v>39136</v>
      </c>
      <c r="F202" s="58"/>
      <c r="G202" s="57">
        <v>490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Valverde (23/02/2007 - present)</v>
      </c>
    </row>
    <row r="203" spans="1:29" x14ac:dyDescent="0.2">
      <c r="A203" s="57">
        <v>47</v>
      </c>
      <c r="B203" s="58" t="s">
        <v>86</v>
      </c>
      <c r="C203" s="57">
        <v>73</v>
      </c>
      <c r="D203" s="58" t="s">
        <v>166</v>
      </c>
      <c r="E203" s="59">
        <v>38208</v>
      </c>
      <c r="F203" s="59">
        <v>39059</v>
      </c>
      <c r="G203" s="57">
        <v>438.48</v>
      </c>
      <c r="H203" s="58" t="s">
        <v>28</v>
      </c>
      <c r="I203" s="58" t="s">
        <v>104</v>
      </c>
      <c r="J203" s="57">
        <v>10</v>
      </c>
      <c r="K203" s="58" t="s">
        <v>96</v>
      </c>
      <c r="L203" s="58" t="s">
        <v>97</v>
      </c>
      <c r="AA203" s="2"/>
      <c r="AB203" t="str">
        <f si="3" t="shared"/>
        <v>Penfold (09/08/2004 - 08/12/2006)</v>
      </c>
    </row>
    <row r="204" spans="1:29" x14ac:dyDescent="0.2">
      <c r="A204" s="57">
        <v>31</v>
      </c>
      <c r="B204" s="58" t="s">
        <v>103</v>
      </c>
      <c r="C204" s="57">
        <v>278</v>
      </c>
      <c r="D204" s="58" t="s">
        <v>404</v>
      </c>
      <c r="E204" s="59">
        <v>42657</v>
      </c>
      <c r="F204" s="58"/>
      <c r="G204" s="57">
        <v>505</v>
      </c>
      <c r="H204" s="58" t="s">
        <v>29</v>
      </c>
      <c r="I204" s="58" t="s">
        <v>95</v>
      </c>
      <c r="J204" s="57">
        <v>10</v>
      </c>
      <c r="K204" s="58" t="s">
        <v>96</v>
      </c>
      <c r="L204" s="58" t="s">
        <v>97</v>
      </c>
      <c r="AB204" t="str">
        <f si="3" t="shared"/>
        <v>Miss S Smith (14/10/2016 - present)</v>
      </c>
    </row>
    <row r="205" spans="1:29" x14ac:dyDescent="0.2">
      <c r="A205" s="57">
        <v>31</v>
      </c>
      <c r="B205" s="58" t="s">
        <v>103</v>
      </c>
      <c r="C205" s="57">
        <v>273</v>
      </c>
      <c r="D205" s="58" t="s">
        <v>389</v>
      </c>
      <c r="E205" s="59">
        <v>42474</v>
      </c>
      <c r="F205" s="59">
        <v>42657</v>
      </c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Ms H Daniels (14/04/2016 - 14/10/2016)</v>
      </c>
    </row>
    <row r="206" spans="1:29" x14ac:dyDescent="0.2">
      <c r="A206" s="57">
        <v>31</v>
      </c>
      <c r="B206" s="58" t="s">
        <v>103</v>
      </c>
      <c r="C206" s="57">
        <v>126</v>
      </c>
      <c r="D206" s="58" t="s">
        <v>221</v>
      </c>
      <c r="E206" s="59">
        <v>39524</v>
      </c>
      <c r="F206" s="59">
        <v>42460</v>
      </c>
      <c r="G206" s="57">
        <v>490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Parieira (17/03/2008 - 31/03/2016)</v>
      </c>
    </row>
    <row r="207" spans="1:29" x14ac:dyDescent="0.2">
      <c r="A207" s="57">
        <v>31</v>
      </c>
      <c r="B207" s="58" t="s">
        <v>103</v>
      </c>
      <c r="C207" s="57">
        <v>34</v>
      </c>
      <c r="D207" s="58" t="s">
        <v>167</v>
      </c>
      <c r="E207" s="59">
        <v>38668</v>
      </c>
      <c r="F207" s="59">
        <v>39507</v>
      </c>
      <c r="G207" s="57">
        <v>400</v>
      </c>
      <c r="H207" s="58" t="s">
        <v>29</v>
      </c>
      <c r="I207" s="58" t="s">
        <v>104</v>
      </c>
      <c r="J207" s="57">
        <v>10</v>
      </c>
      <c r="K207" s="58" t="s">
        <v>96</v>
      </c>
      <c r="L207" s="58" t="s">
        <v>97</v>
      </c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 t="str">
        <f si="3" t="shared"/>
        <v>Nerantzoula Klelousi (12/11/2005 - 29/02/2008)</v>
      </c>
      <c r="AC207" s="52"/>
    </row>
    <row r="208" spans="1:29" x14ac:dyDescent="0.2">
      <c r="A208" s="57">
        <v>63</v>
      </c>
      <c r="B208" s="58" t="s">
        <v>115</v>
      </c>
      <c r="C208" s="57">
        <v>167</v>
      </c>
      <c r="D208" s="58" t="s">
        <v>286</v>
      </c>
      <c r="E208" s="59">
        <v>40158</v>
      </c>
      <c r="F208" s="58"/>
      <c r="G208" s="57">
        <v>500</v>
      </c>
      <c r="H208" s="58" t="s">
        <v>29</v>
      </c>
      <c r="I208" s="58" t="s">
        <v>95</v>
      </c>
      <c r="J208" s="57">
        <v>10</v>
      </c>
      <c r="K208" s="58" t="s">
        <v>96</v>
      </c>
      <c r="L208" s="58" t="s">
        <v>97</v>
      </c>
      <c r="AA208" s="2"/>
      <c r="AB208" t="str">
        <f si="3" t="shared"/>
        <v>Taperek (11/12/2009 - present)</v>
      </c>
    </row>
    <row r="209" spans="1:28" x14ac:dyDescent="0.2">
      <c r="A209" s="57">
        <v>63</v>
      </c>
      <c r="B209" s="58" t="s">
        <v>115</v>
      </c>
      <c r="C209" s="57">
        <v>148</v>
      </c>
      <c r="D209" s="58" t="s">
        <v>265</v>
      </c>
      <c r="E209" s="59">
        <v>39787</v>
      </c>
      <c r="F209" s="59">
        <v>40127</v>
      </c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B209" t="str">
        <f si="3" t="shared"/>
        <v>Sally Miller (05/12/2008 - 10/11/2009)</v>
      </c>
    </row>
    <row r="210" spans="1:28" x14ac:dyDescent="0.2">
      <c r="A210" s="57">
        <v>63</v>
      </c>
      <c r="B210" s="58" t="s">
        <v>115</v>
      </c>
      <c r="C210" s="57">
        <v>109</v>
      </c>
      <c r="D210" s="58" t="s">
        <v>192</v>
      </c>
      <c r="E210" s="59">
        <v>39304</v>
      </c>
      <c r="F210" s="59">
        <v>39761</v>
      </c>
      <c r="G210" s="57">
        <v>470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Thidar (10/08/2007 - 09/11/2008)</v>
      </c>
    </row>
    <row r="211" spans="1:28" x14ac:dyDescent="0.2">
      <c r="A211" s="57">
        <v>63</v>
      </c>
      <c r="B211" s="58" t="s">
        <v>115</v>
      </c>
      <c r="C211" s="57">
        <v>83</v>
      </c>
      <c r="D211" s="58" t="s">
        <v>182</v>
      </c>
      <c r="E211" s="59">
        <v>38848</v>
      </c>
      <c r="F211" s="59">
        <v>39247</v>
      </c>
      <c r="G211" s="57">
        <v>475</v>
      </c>
      <c r="H211" s="58" t="s">
        <v>29</v>
      </c>
      <c r="I211" s="58" t="s">
        <v>116</v>
      </c>
      <c r="J211" s="57">
        <v>10</v>
      </c>
      <c r="K211" s="58" t="s">
        <v>96</v>
      </c>
      <c r="L211" s="58" t="s">
        <v>97</v>
      </c>
      <c r="AA211" s="2"/>
      <c r="AB211" t="str">
        <f si="3" t="shared"/>
        <v>Barckowski (11/05/2006 - 14/06/2007)</v>
      </c>
    </row>
    <row r="212" spans="1:28" x14ac:dyDescent="0.2">
      <c r="A212" s="57">
        <v>30</v>
      </c>
      <c r="B212" s="58" t="s">
        <v>66</v>
      </c>
      <c r="C212" s="57">
        <v>240</v>
      </c>
      <c r="D212" s="58" t="s">
        <v>357</v>
      </c>
      <c r="E212" s="59">
        <v>41586</v>
      </c>
      <c r="F212" s="58"/>
      <c r="G212" s="57">
        <v>500</v>
      </c>
      <c r="H212" s="58" t="s">
        <v>29</v>
      </c>
      <c r="I212" s="58" t="s">
        <v>95</v>
      </c>
      <c r="J212" s="57">
        <v>10</v>
      </c>
      <c r="K212" s="58" t="s">
        <v>96</v>
      </c>
      <c r="L212" s="58" t="s">
        <v>97</v>
      </c>
      <c r="AB212" t="str">
        <f si="3" t="shared"/>
        <v>Mr Hinks (08/11/2013 - present)</v>
      </c>
    </row>
    <row r="213" spans="1:28" x14ac:dyDescent="0.2">
      <c r="A213" s="57">
        <v>30</v>
      </c>
      <c r="B213" s="58" t="s">
        <v>66</v>
      </c>
      <c r="C213" s="57">
        <v>221</v>
      </c>
      <c r="D213" s="58" t="s">
        <v>341</v>
      </c>
      <c r="E213" s="59">
        <v>41331</v>
      </c>
      <c r="F213" s="59">
        <v>41546</v>
      </c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A Thomas (26/02/2013 - 29/09/2013)</v>
      </c>
    </row>
    <row r="214" spans="1:28" x14ac:dyDescent="0.2">
      <c r="A214" s="57">
        <v>30</v>
      </c>
      <c r="B214" s="58" t="s">
        <v>66</v>
      </c>
      <c r="C214" s="57">
        <v>173</v>
      </c>
      <c r="D214" s="58" t="s">
        <v>294</v>
      </c>
      <c r="E214" s="59">
        <v>40268</v>
      </c>
      <c r="F214" s="59">
        <v>41305</v>
      </c>
      <c r="G214" s="57">
        <v>480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Long &amp; Emptage (31/03/2010 - 31/01/2013)</v>
      </c>
    </row>
    <row r="215" spans="1:28" x14ac:dyDescent="0.2">
      <c r="A215" s="57">
        <v>30</v>
      </c>
      <c r="B215" s="58" t="s">
        <v>66</v>
      </c>
      <c r="C215" s="57">
        <v>163</v>
      </c>
      <c r="D215" s="58" t="s">
        <v>279</v>
      </c>
      <c r="E215" s="59">
        <v>40046</v>
      </c>
      <c r="F215" s="59">
        <v>40230</v>
      </c>
      <c r="G215" s="57">
        <v>510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Arrabbetou (21/08/2009 - 21/02/2010)</v>
      </c>
    </row>
    <row r="216" spans="1:28" x14ac:dyDescent="0.2">
      <c r="A216" s="57">
        <v>30</v>
      </c>
      <c r="B216" s="58" t="s">
        <v>66</v>
      </c>
      <c r="C216" s="57">
        <v>134</v>
      </c>
      <c r="D216" s="58" t="s">
        <v>251</v>
      </c>
      <c r="E216" s="59">
        <v>39556</v>
      </c>
      <c r="F216" s="59">
        <v>40024</v>
      </c>
      <c r="G216" s="57">
        <v>520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A216" s="2"/>
      <c r="AB216" t="str">
        <f si="3" t="shared"/>
        <v>Mr D Moore (18/04/2008 - 30/07/2009)</v>
      </c>
    </row>
    <row r="217" spans="1:28" x14ac:dyDescent="0.2">
      <c r="A217" s="57">
        <v>30</v>
      </c>
      <c r="B217" s="58" t="s">
        <v>66</v>
      </c>
      <c r="C217" s="57">
        <v>90</v>
      </c>
      <c r="D217" s="58" t="s">
        <v>151</v>
      </c>
      <c r="E217" s="59">
        <v>39054</v>
      </c>
      <c r="F217" s="59">
        <v>39538</v>
      </c>
      <c r="G217" s="57">
        <v>480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B217" t="str">
        <f si="3" t="shared"/>
        <v>Thompson (03/12/2006 - 31/03/2008)</v>
      </c>
    </row>
    <row r="218" spans="1:28" x14ac:dyDescent="0.2">
      <c r="A218" s="57">
        <v>30</v>
      </c>
      <c r="B218" s="58" t="s">
        <v>66</v>
      </c>
      <c r="C218" s="57">
        <v>63</v>
      </c>
      <c r="D218" s="58" t="s">
        <v>168</v>
      </c>
      <c r="E218" s="59">
        <v>38863</v>
      </c>
      <c r="F218" s="59">
        <v>39046</v>
      </c>
      <c r="G218" s="57">
        <v>470</v>
      </c>
      <c r="H218" s="58" t="s">
        <v>29</v>
      </c>
      <c r="I218" s="58" t="s">
        <v>104</v>
      </c>
      <c r="J218" s="57">
        <v>10</v>
      </c>
      <c r="K218" s="58" t="s">
        <v>96</v>
      </c>
      <c r="L218" s="58" t="s">
        <v>97</v>
      </c>
      <c r="AB218" t="str">
        <f si="3" t="shared"/>
        <v>Tuckley (26/05/2006 - 25/11/2006)</v>
      </c>
    </row>
    <row customFormat="1" r="219" s="52" spans="1:28" x14ac:dyDescent="0.2">
      <c r="A219" s="57">
        <v>30</v>
      </c>
      <c r="B219" s="58" t="s">
        <v>66</v>
      </c>
      <c r="C219" s="57">
        <v>41</v>
      </c>
      <c r="D219" s="58" t="s">
        <v>169</v>
      </c>
      <c r="E219" s="59">
        <v>38506</v>
      </c>
      <c r="F219" s="59">
        <v>38688</v>
      </c>
      <c r="G219" s="57">
        <v>500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s="52" t="str">
        <f si="3" t="shared"/>
        <v xml:space="preserve"> Hickman (03/06/2005 - 02/12/2005)</v>
      </c>
    </row>
    <row r="220" spans="1:28" x14ac:dyDescent="0.2">
      <c r="A220" s="57">
        <v>48</v>
      </c>
      <c r="B220" s="58" t="s">
        <v>111</v>
      </c>
      <c r="C220" s="57">
        <v>239</v>
      </c>
      <c r="D220" s="58" t="s">
        <v>358</v>
      </c>
      <c r="E220" s="59">
        <v>41561</v>
      </c>
      <c r="F220" s="58"/>
      <c r="G220" s="57">
        <v>500</v>
      </c>
      <c r="H220" s="58" t="s">
        <v>29</v>
      </c>
      <c r="I220" s="58" t="s">
        <v>95</v>
      </c>
      <c r="J220" s="57">
        <v>10</v>
      </c>
      <c r="K220" s="58" t="s">
        <v>96</v>
      </c>
      <c r="L220" s="58" t="s">
        <v>97</v>
      </c>
      <c r="AB220" t="str">
        <f si="3" t="shared"/>
        <v>Mr Radzevics (14/10/2013 - present)</v>
      </c>
    </row>
    <row r="221" spans="1:28" x14ac:dyDescent="0.2">
      <c r="A221" s="57">
        <v>48</v>
      </c>
      <c r="B221" s="58" t="s">
        <v>111</v>
      </c>
      <c r="C221" s="57">
        <v>177</v>
      </c>
      <c r="D221" s="58" t="s">
        <v>297</v>
      </c>
      <c r="E221" s="59">
        <v>40338</v>
      </c>
      <c r="F221" s="59">
        <v>41495</v>
      </c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J Dee (09/06/2010 - 09/08/2013)</v>
      </c>
    </row>
    <row r="222" spans="1:28" x14ac:dyDescent="0.2">
      <c r="A222" s="57">
        <v>48</v>
      </c>
      <c r="B222" s="58" t="s">
        <v>111</v>
      </c>
      <c r="C222" s="57">
        <v>153</v>
      </c>
      <c r="D222" s="58" t="s">
        <v>270</v>
      </c>
      <c r="E222" s="59">
        <v>39940</v>
      </c>
      <c r="F222" s="59">
        <v>40123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Miss Misson &amp; Mr Plummer (07/05/2009 - 06/11/2009)</v>
      </c>
    </row>
    <row r="223" spans="1:28" x14ac:dyDescent="0.2">
      <c r="A223" s="57">
        <v>48</v>
      </c>
      <c r="B223" s="58" t="s">
        <v>111</v>
      </c>
      <c r="C223" s="57">
        <v>139</v>
      </c>
      <c r="D223" s="58" t="s">
        <v>271</v>
      </c>
      <c r="E223" s="59">
        <v>39701</v>
      </c>
      <c r="F223" s="59">
        <v>39913</v>
      </c>
      <c r="G223" s="57">
        <v>460</v>
      </c>
      <c r="H223" s="58" t="s">
        <v>29</v>
      </c>
      <c r="I223" s="58" t="s">
        <v>197</v>
      </c>
      <c r="J223" s="57">
        <v>0</v>
      </c>
      <c r="K223" s="58" t="s">
        <v>175</v>
      </c>
      <c r="L223" s="58" t="s">
        <v>101</v>
      </c>
      <c r="AB223" t="str">
        <f si="3" t="shared"/>
        <v>Alex Asagba (10/09/2008 - 10/04/2009)</v>
      </c>
    </row>
    <row r="224" spans="1:28" x14ac:dyDescent="0.2">
      <c r="A224" s="57">
        <v>48</v>
      </c>
      <c r="B224" s="58" t="s">
        <v>111</v>
      </c>
      <c r="C224" s="57">
        <v>66</v>
      </c>
      <c r="D224" s="58" t="s">
        <v>230</v>
      </c>
      <c r="E224" s="59">
        <v>37639</v>
      </c>
      <c r="F224" s="59">
        <v>39645</v>
      </c>
      <c r="G224" s="57">
        <v>475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Miss Claire Butcher (18/01/2003 - 16/07/2008)</v>
      </c>
    </row>
    <row r="225" spans="1:29" x14ac:dyDescent="0.2">
      <c r="A225" s="57">
        <v>68</v>
      </c>
      <c r="B225" s="58" t="s">
        <v>117</v>
      </c>
      <c r="C225" s="57">
        <v>135</v>
      </c>
      <c r="D225" s="58" t="s">
        <v>254</v>
      </c>
      <c r="E225" s="59">
        <v>39546</v>
      </c>
      <c r="F225" s="58"/>
      <c r="G225" s="57">
        <v>500</v>
      </c>
      <c r="H225" s="58" t="s">
        <v>29</v>
      </c>
      <c r="I225" s="58" t="s">
        <v>95</v>
      </c>
      <c r="J225" s="57">
        <v>10</v>
      </c>
      <c r="K225" s="58" t="s">
        <v>96</v>
      </c>
      <c r="L225" s="58" t="s">
        <v>97</v>
      </c>
      <c r="AB225" t="str">
        <f si="3" t="shared"/>
        <v>Mr A Young (08/04/2008 - present)</v>
      </c>
    </row>
    <row r="226" spans="1:29" x14ac:dyDescent="0.2">
      <c r="A226" s="57">
        <v>68</v>
      </c>
      <c r="B226" s="58" t="s">
        <v>117</v>
      </c>
      <c r="C226" s="57">
        <v>99</v>
      </c>
      <c r="D226" s="58" t="s">
        <v>170</v>
      </c>
      <c r="E226" s="59">
        <v>39177</v>
      </c>
      <c r="F226" s="59">
        <v>39512</v>
      </c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Hughes (05/04/2007 - 05/03/2008)</v>
      </c>
    </row>
    <row r="227" spans="1:29" x14ac:dyDescent="0.2">
      <c r="A227" s="57">
        <v>68</v>
      </c>
      <c r="B227" s="58" t="s">
        <v>117</v>
      </c>
      <c r="C227" s="57">
        <v>82</v>
      </c>
      <c r="D227" s="58" t="s">
        <v>171</v>
      </c>
      <c r="E227" s="59">
        <v>38490</v>
      </c>
      <c r="F227" s="59">
        <v>39132</v>
      </c>
      <c r="G227" s="57">
        <v>425</v>
      </c>
      <c r="H227" s="58" t="s">
        <v>29</v>
      </c>
      <c r="I227" s="58" t="s">
        <v>114</v>
      </c>
      <c r="J227" s="57">
        <v>8</v>
      </c>
      <c r="K227" s="58" t="s">
        <v>96</v>
      </c>
      <c r="L227" s="58" t="s">
        <v>101</v>
      </c>
      <c r="AB227" t="str">
        <f si="3" t="shared"/>
        <v>Hough (18/05/2005 - 19/02/2007)</v>
      </c>
    </row>
    <row r="228" spans="1:29" x14ac:dyDescent="0.2">
      <c r="A228" s="57">
        <v>33</v>
      </c>
      <c r="B228" s="58" t="s">
        <v>105</v>
      </c>
      <c r="C228" s="57">
        <v>274</v>
      </c>
      <c r="D228" s="58" t="s">
        <v>393</v>
      </c>
      <c r="E228" s="59">
        <v>42587</v>
      </c>
      <c r="F228" s="58"/>
      <c r="G228" s="57">
        <v>505</v>
      </c>
      <c r="H228" s="58" t="s">
        <v>29</v>
      </c>
      <c r="I228" s="58" t="s">
        <v>95</v>
      </c>
      <c r="J228" s="57">
        <v>10</v>
      </c>
      <c r="K228" s="58" t="s">
        <v>96</v>
      </c>
      <c r="L228" s="58" t="s">
        <v>97</v>
      </c>
      <c r="AB228" t="str">
        <f si="3" t="shared"/>
        <v>Miss F Booker (05/08/2016 - present)</v>
      </c>
    </row>
    <row r="229" spans="1:29" x14ac:dyDescent="0.2">
      <c r="A229" s="57">
        <v>33</v>
      </c>
      <c r="B229" s="58" t="s">
        <v>105</v>
      </c>
      <c r="C229" s="57">
        <v>178</v>
      </c>
      <c r="D229" s="58" t="s">
        <v>296</v>
      </c>
      <c r="E229" s="59">
        <v>40334</v>
      </c>
      <c r="F229" s="59">
        <v>42560</v>
      </c>
      <c r="G229" s="57">
        <v>425</v>
      </c>
      <c r="H229" s="58" t="s">
        <v>29</v>
      </c>
      <c r="I229" s="58" t="s">
        <v>197</v>
      </c>
      <c r="J229" s="57">
        <v>0</v>
      </c>
      <c r="K229" s="58" t="s">
        <v>175</v>
      </c>
      <c r="L229" s="58" t="s">
        <v>101</v>
      </c>
      <c r="AB229" t="str">
        <f si="3" t="shared"/>
        <v>Oyibo Nwosu (05/06/2010 - 09/07/2016)</v>
      </c>
    </row>
    <row r="230" spans="1:29" x14ac:dyDescent="0.2">
      <c r="A230" s="57">
        <v>33</v>
      </c>
      <c r="B230" s="58" t="s">
        <v>105</v>
      </c>
      <c r="C230" s="57">
        <v>149</v>
      </c>
      <c r="D230" s="58" t="s">
        <v>266</v>
      </c>
      <c r="E230" s="59">
        <v>39843</v>
      </c>
      <c r="F230" s="59">
        <v>40327</v>
      </c>
      <c r="G230" s="57">
        <v>410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A230" s="2"/>
      <c r="AB230" t="str">
        <f si="3" t="shared"/>
        <v>Eugene De Beer (30/01/2009 - 29/05/2010)</v>
      </c>
    </row>
    <row r="231" spans="1:29" x14ac:dyDescent="0.2">
      <c r="A231" s="57">
        <v>33</v>
      </c>
      <c r="B231" s="58" t="s">
        <v>105</v>
      </c>
      <c r="C231" s="57">
        <v>107</v>
      </c>
      <c r="D231" s="58" t="s">
        <v>222</v>
      </c>
      <c r="E231" s="59">
        <v>39286</v>
      </c>
      <c r="F231" s="59">
        <v>39809</v>
      </c>
      <c r="G231" s="57">
        <v>400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B231" t="str">
        <f si="3" t="shared"/>
        <v>Miss Rita Palmieri (23/07/2007 - 27/12/2008)</v>
      </c>
    </row>
    <row r="232" spans="1:29" x14ac:dyDescent="0.2">
      <c r="A232" s="57">
        <v>33</v>
      </c>
      <c r="B232" s="58" t="s">
        <v>105</v>
      </c>
      <c r="C232" s="57">
        <v>50</v>
      </c>
      <c r="D232" s="58" t="s">
        <v>172</v>
      </c>
      <c r="E232" s="59">
        <v>38631</v>
      </c>
      <c r="F232" s="59">
        <v>39268</v>
      </c>
      <c r="G232" s="57">
        <v>400</v>
      </c>
      <c r="H232" s="58" t="s">
        <v>29</v>
      </c>
      <c r="I232" s="58" t="s">
        <v>104</v>
      </c>
      <c r="J232" s="57">
        <v>10</v>
      </c>
      <c r="K232" s="58" t="s">
        <v>96</v>
      </c>
      <c r="L232" s="58" t="s">
        <v>97</v>
      </c>
      <c r="AB232" t="str">
        <f si="3" t="shared"/>
        <v>Hill/Gerard/Hlyton (06/10/2005 - 05/07/2007)</v>
      </c>
    </row>
    <row r="233" spans="1:29" x14ac:dyDescent="0.2">
      <c r="A233" s="57">
        <v>32</v>
      </c>
      <c r="B233" s="58" t="s">
        <v>106</v>
      </c>
      <c r="C233" s="57">
        <v>261</v>
      </c>
      <c r="D233" s="58" t="s">
        <v>378</v>
      </c>
      <c r="E233" s="59">
        <v>42242</v>
      </c>
      <c r="F233" s="58"/>
      <c r="G233" s="57">
        <v>505</v>
      </c>
      <c r="H233" s="58" t="s">
        <v>29</v>
      </c>
      <c r="I233" s="58" t="s">
        <v>95</v>
      </c>
      <c r="J233" s="57">
        <v>10</v>
      </c>
      <c r="K233" s="58" t="s">
        <v>96</v>
      </c>
      <c r="L233" s="58" t="s">
        <v>97</v>
      </c>
      <c r="AB233" t="str">
        <f si="3" t="shared"/>
        <v>Ms Pegg (26/08/2015 - present)</v>
      </c>
    </row>
    <row r="234" spans="1:29" x14ac:dyDescent="0.2">
      <c r="A234" s="57">
        <v>32</v>
      </c>
      <c r="B234" s="58" t="s">
        <v>106</v>
      </c>
      <c r="C234" s="57">
        <v>260</v>
      </c>
      <c r="D234" s="58" t="s">
        <v>379</v>
      </c>
      <c r="E234" s="59">
        <v>42205</v>
      </c>
      <c r="F234" s="59">
        <v>42236</v>
      </c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Mr Hussain (20/07/2015 - 20/08/2015)</v>
      </c>
    </row>
    <row customFormat="1" r="235" s="52" spans="1:29" x14ac:dyDescent="0.2">
      <c r="A235" s="57">
        <v>32</v>
      </c>
      <c r="B235" s="58" t="s">
        <v>106</v>
      </c>
      <c r="C235" s="57">
        <v>222</v>
      </c>
      <c r="D235" s="58" t="s">
        <v>342</v>
      </c>
      <c r="E235" s="59">
        <v>41311</v>
      </c>
      <c r="F235" s="59">
        <v>42161</v>
      </c>
      <c r="G235" s="57">
        <v>500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t="str">
        <f si="3" t="shared"/>
        <v>Restall &amp; Byng (06/02/2013 - 06/06/2015)</v>
      </c>
      <c r="AC235"/>
    </row>
    <row r="236" spans="1:29" x14ac:dyDescent="0.2">
      <c r="A236" s="57">
        <v>32</v>
      </c>
      <c r="B236" s="58" t="s">
        <v>106</v>
      </c>
      <c r="C236" s="57">
        <v>169</v>
      </c>
      <c r="D236" s="58" t="s">
        <v>287</v>
      </c>
      <c r="E236" s="59">
        <v>40240</v>
      </c>
      <c r="F236" s="59">
        <v>41305</v>
      </c>
      <c r="G236" s="57">
        <v>495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AB236" t="str">
        <f si="3" t="shared"/>
        <v>Lewis Cranston (03/03/2010 - 31/01/2013)</v>
      </c>
    </row>
    <row r="237" spans="1:29" x14ac:dyDescent="0.2">
      <c r="A237" s="57">
        <v>32</v>
      </c>
      <c r="B237" s="58" t="s">
        <v>106</v>
      </c>
      <c r="C237" s="57">
        <v>133</v>
      </c>
      <c r="D237" s="58" t="s">
        <v>252</v>
      </c>
      <c r="E237" s="59">
        <v>39592</v>
      </c>
      <c r="F237" s="59">
        <v>40140</v>
      </c>
      <c r="G237" s="57">
        <v>495</v>
      </c>
      <c r="H237" s="58" t="s">
        <v>29</v>
      </c>
      <c r="I237" s="58" t="s">
        <v>197</v>
      </c>
      <c r="J237" s="57">
        <v>0</v>
      </c>
      <c r="K237" s="58" t="s">
        <v>175</v>
      </c>
      <c r="L237" s="58" t="s">
        <v>101</v>
      </c>
      <c r="AB237" t="str">
        <f si="3" t="shared"/>
        <v>Anna Schubert &amp; Maciej Schubert (24/05/2008 - 23/11/2009)</v>
      </c>
    </row>
    <row r="238" spans="1:29" x14ac:dyDescent="0.2">
      <c r="A238" s="57">
        <v>32</v>
      </c>
      <c r="B238" s="58" t="s">
        <v>106</v>
      </c>
      <c r="C238" s="57">
        <v>42</v>
      </c>
      <c r="D238" s="58" t="s">
        <v>223</v>
      </c>
      <c r="E238" s="59">
        <v>38534</v>
      </c>
      <c r="F238" s="59">
        <v>39568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Mr Taylor/Miss Clark (01/07/2005 - 30/04/2008)</v>
      </c>
    </row>
    <row r="239" spans="1:29" x14ac:dyDescent="0.2">
      <c r="A239" s="57">
        <v>37</v>
      </c>
      <c r="B239" s="58" t="s">
        <v>123</v>
      </c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AB239" t="str">
        <f si="3" t="shared"/>
        <v/>
      </c>
    </row>
    <row r="240" spans="1:29" x14ac:dyDescent="0.2">
      <c r="A240" s="57">
        <v>39</v>
      </c>
      <c r="B240" s="58" t="s">
        <v>126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38</v>
      </c>
      <c r="B241" s="58" t="s">
        <v>124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 t="str">
        <f si="3" t="shared"/>
        <v/>
      </c>
      <c r="AC241" s="52"/>
    </row>
    <row r="242" spans="1:29" x14ac:dyDescent="0.2">
      <c r="A242" s="57">
        <v>19</v>
      </c>
      <c r="B242" s="58" t="s">
        <v>99</v>
      </c>
      <c r="C242" s="57">
        <v>262</v>
      </c>
      <c r="D242" s="58" t="s">
        <v>382</v>
      </c>
      <c r="E242" s="59">
        <v>42261</v>
      </c>
      <c r="F242" s="58"/>
      <c r="G242" s="57">
        <v>660</v>
      </c>
      <c r="H242" s="58" t="s">
        <v>29</v>
      </c>
      <c r="I242" s="58" t="s">
        <v>95</v>
      </c>
      <c r="J242" s="57">
        <v>10</v>
      </c>
      <c r="K242" s="58" t="s">
        <v>96</v>
      </c>
      <c r="L242" s="58" t="s">
        <v>97</v>
      </c>
      <c r="AB242" t="str">
        <f si="3" t="shared"/>
        <v>Miss Syasya Aristoteles &amp; Miss Firzanah Sufri (14/09/2015 - present)</v>
      </c>
    </row>
    <row r="243" spans="1:29" x14ac:dyDescent="0.2">
      <c r="A243" s="57">
        <v>19</v>
      </c>
      <c r="B243" s="58" t="s">
        <v>99</v>
      </c>
      <c r="C243" s="57">
        <v>258</v>
      </c>
      <c r="D243" s="58" t="s">
        <v>368</v>
      </c>
      <c r="E243" s="59">
        <v>41883</v>
      </c>
      <c r="F243" s="59">
        <v>42156</v>
      </c>
      <c r="G243" s="57">
        <v>600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Jessica Hastings &amp; Chloe Chen (01/09/2014 - 01/06/2015)</v>
      </c>
    </row>
    <row r="244" spans="1:29" x14ac:dyDescent="0.2">
      <c r="A244" s="57">
        <v>19</v>
      </c>
      <c r="B244" s="58" t="s">
        <v>99</v>
      </c>
      <c r="C244" s="57">
        <v>257</v>
      </c>
      <c r="D244" s="58" t="s">
        <v>368</v>
      </c>
      <c r="E244" s="59">
        <v>41821</v>
      </c>
      <c r="F244" s="59">
        <v>41883</v>
      </c>
      <c r="G244" s="57">
        <v>300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4"/>
      <c r="AB244" s="52" t="str">
        <f si="3" t="shared"/>
        <v>Jessica Hastings &amp; Chloe Chen (01/07/2014 - 01/09/2014)</v>
      </c>
      <c r="AC244" s="52"/>
    </row>
    <row r="245" spans="1:29" x14ac:dyDescent="0.2">
      <c r="A245" s="57">
        <v>19</v>
      </c>
      <c r="B245" s="58" t="s">
        <v>99</v>
      </c>
      <c r="C245" s="57">
        <v>233</v>
      </c>
      <c r="D245" s="58" t="s">
        <v>352</v>
      </c>
      <c r="E245" s="59">
        <v>41518</v>
      </c>
      <c r="F245" s="59">
        <v>41821</v>
      </c>
      <c r="G245" s="57">
        <v>600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AB245" t="str">
        <f si="3" t="shared"/>
        <v>Ms Bird &amp; Ms Cornish (01/09/2013 - 01/07/2014)</v>
      </c>
    </row>
    <row r="246" spans="1:29" x14ac:dyDescent="0.2">
      <c r="A246" s="57">
        <v>19</v>
      </c>
      <c r="B246" s="58" t="s">
        <v>99</v>
      </c>
      <c r="C246" s="57">
        <v>236</v>
      </c>
      <c r="D246" s="58" t="s">
        <v>353</v>
      </c>
      <c r="E246" s="59">
        <v>41153</v>
      </c>
      <c r="F246" s="59">
        <v>41442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Varsani &amp; Miss Wokey (01/09/2012 - 17/06/2013)</v>
      </c>
    </row>
    <row r="247" spans="1:29" x14ac:dyDescent="0.2">
      <c r="A247" s="57">
        <v>19</v>
      </c>
      <c r="B247" s="58" t="s">
        <v>99</v>
      </c>
      <c r="C247" s="57">
        <v>186</v>
      </c>
      <c r="D247" s="58" t="s">
        <v>303</v>
      </c>
      <c r="E247" s="59">
        <v>40432</v>
      </c>
      <c r="F247" s="59">
        <v>40705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P. Vara &amp; M. Varsani (11/09/2010 - 11/06/2011)</v>
      </c>
    </row>
    <row r="248" spans="1:29" x14ac:dyDescent="0.2">
      <c r="A248" s="57">
        <v>19</v>
      </c>
      <c r="B248" s="58" t="s">
        <v>99</v>
      </c>
      <c r="C248" s="57">
        <v>154</v>
      </c>
      <c r="D248" s="58" t="s">
        <v>272</v>
      </c>
      <c r="E248" s="59">
        <v>39927</v>
      </c>
      <c r="F248" s="59">
        <v>40323</v>
      </c>
      <c r="G248" s="57">
        <v>620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Glenn Wallace &amp; Gary Hanna (24/04/2009 - 25/05/2010)</v>
      </c>
    </row>
    <row customFormat="1" r="249" s="52" spans="1:29" x14ac:dyDescent="0.2">
      <c r="A249" s="57">
        <v>19</v>
      </c>
      <c r="B249" s="58" t="s">
        <v>99</v>
      </c>
      <c r="C249" s="57">
        <v>121</v>
      </c>
      <c r="D249" s="58" t="s">
        <v>220</v>
      </c>
      <c r="E249" s="59">
        <v>39507</v>
      </c>
      <c r="F249" s="59">
        <v>39754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t="str">
        <f si="3" t="shared"/>
        <v>Mabe &amp; Hodgkins   (29/02/2008 - 02/11/2008)</v>
      </c>
      <c r="AC249"/>
    </row>
    <row customFormat="1" r="250" s="52" spans="1:29" x14ac:dyDescent="0.2">
      <c r="A250" s="57">
        <v>19</v>
      </c>
      <c r="B250" s="58" t="s">
        <v>99</v>
      </c>
      <c r="C250" s="57">
        <v>32</v>
      </c>
      <c r="D250" s="58" t="s">
        <v>174</v>
      </c>
      <c r="E250" s="59">
        <v>38638</v>
      </c>
      <c r="F250" s="59">
        <v>39275</v>
      </c>
      <c r="G250" s="57">
        <v>625</v>
      </c>
      <c r="H250" s="58" t="s">
        <v>29</v>
      </c>
      <c r="I250" s="58" t="s">
        <v>100</v>
      </c>
      <c r="J250" s="57">
        <v>65</v>
      </c>
      <c r="K250" s="58" t="s">
        <v>175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Boctor/Bhatti (13/10/2005 - 12/07/2007)</v>
      </c>
      <c r="AC250"/>
    </row>
    <row customFormat="1" r="251" s="52" spans="1:29" x14ac:dyDescent="0.2">
      <c r="A251" s="57">
        <v>19</v>
      </c>
      <c r="B251" s="58" t="s">
        <v>99</v>
      </c>
      <c r="C251" s="57">
        <v>28</v>
      </c>
      <c r="D251" s="58" t="s">
        <v>176</v>
      </c>
      <c r="E251" s="59">
        <v>38423</v>
      </c>
      <c r="F251" s="59">
        <v>38629</v>
      </c>
      <c r="G251" s="57">
        <v>565</v>
      </c>
      <c r="H251" s="58" t="s">
        <v>29</v>
      </c>
      <c r="I251" s="58" t="s">
        <v>95</v>
      </c>
      <c r="J251" s="57">
        <v>10</v>
      </c>
      <c r="K251" s="58" t="s">
        <v>96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Lebbon/Ravensdale (12/03/2005 - 04/10/2005)</v>
      </c>
      <c r="AC251"/>
    </row>
    <row customFormat="1" r="252" s="52" spans="1:29" x14ac:dyDescent="0.2">
      <c r="A252" s="57">
        <v>34</v>
      </c>
      <c r="B252" s="58" t="s">
        <v>102</v>
      </c>
      <c r="C252" s="57">
        <v>263</v>
      </c>
      <c r="D252" s="58" t="s">
        <v>383</v>
      </c>
      <c r="E252" s="59">
        <v>42248</v>
      </c>
      <c r="F252" s="58"/>
      <c r="G252" s="57">
        <v>660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Miss Sandra Namataka &amp; Miss Leilah Nakamaanya (01/09/2015 - present)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259</v>
      </c>
      <c r="D253" s="58" t="s">
        <v>369</v>
      </c>
      <c r="E253" s="59">
        <v>41890</v>
      </c>
      <c r="F253" s="59">
        <v>42193</v>
      </c>
      <c r="G253" s="57">
        <v>620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Jade Parrett-Harris &amp; Robbyn McCarthy (08/09/2014 - 08/07/2015)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237</v>
      </c>
      <c r="D254" s="58" t="s">
        <v>354</v>
      </c>
      <c r="E254" s="59">
        <v>41487</v>
      </c>
      <c r="F254" s="59">
        <v>41790</v>
      </c>
      <c r="G254" s="57">
        <v>620</v>
      </c>
      <c r="H254" s="58" t="s">
        <v>29</v>
      </c>
      <c r="I254" s="58" t="s">
        <v>197</v>
      </c>
      <c r="J254" s="57">
        <v>0</v>
      </c>
      <c r="K254" s="58" t="s">
        <v>175</v>
      </c>
      <c r="L254" s="58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Meena Flora &amp; Chloe Fisher (01/08/2013 - 31/05/2014)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218</v>
      </c>
      <c r="D255" s="58" t="s">
        <v>337</v>
      </c>
      <c r="E255" s="59">
        <v>41122</v>
      </c>
      <c r="F255" s="59">
        <v>41425</v>
      </c>
      <c r="G255" s="57">
        <v>595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Katie Nichols &amp; Sara Edwards (01/08/2012 - 31/05/2013)</v>
      </c>
      <c r="AC255"/>
    </row>
    <row r="256" spans="1:29" x14ac:dyDescent="0.2">
      <c r="A256" s="57">
        <v>34</v>
      </c>
      <c r="B256" s="58" t="s">
        <v>102</v>
      </c>
      <c r="C256" s="57">
        <v>204</v>
      </c>
      <c r="D256" s="58" t="s">
        <v>324</v>
      </c>
      <c r="E256" s="59">
        <v>40770</v>
      </c>
      <c r="F256" s="59">
        <v>41074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AB256" t="str">
        <f si="3" t="shared"/>
        <v>Dipali Patel &amp; Meera Patel (15/08/2011 - 14/06/2012)</v>
      </c>
    </row>
    <row r="257" spans="1:29" x14ac:dyDescent="0.2">
      <c r="A257" s="57">
        <v>34</v>
      </c>
      <c r="B257" s="58" t="s">
        <v>102</v>
      </c>
      <c r="C257" s="57">
        <v>184</v>
      </c>
      <c r="D257" s="58" t="s">
        <v>304</v>
      </c>
      <c r="E257" s="59">
        <v>40458</v>
      </c>
      <c r="F257" s="59">
        <v>40731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Ru Jia (Nick) (07/10/2010 - 07/07/2011)</v>
      </c>
    </row>
    <row r="258" spans="1:29" x14ac:dyDescent="0.2">
      <c r="A258" s="57">
        <v>34</v>
      </c>
      <c r="B258" s="58" t="s">
        <v>102</v>
      </c>
      <c r="C258" s="57">
        <v>164</v>
      </c>
      <c r="D258" s="58" t="s">
        <v>282</v>
      </c>
      <c r="E258" s="59">
        <v>40151</v>
      </c>
      <c r="F258" s="59">
        <v>40454</v>
      </c>
      <c r="G258" s="57">
        <v>575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ref="AB258:AB274" si="4" t="shared"><![CDATA[IF(E258<>"",IF(F258="",D258&" ("&TEXT(E258,"dd/mm/yyyy")&" - present)",D258&" ("&TEXT(E258,"dd/mm/yyyy")&" - "&TEXT(F258,"dd/mm/yyyy")&")"),"")]]></f>
        <v>Georgina Shepherd (04/12/2009 - 03/10/2010)</v>
      </c>
    </row>
    <row r="259" spans="1:29" x14ac:dyDescent="0.2">
      <c r="A259" s="57">
        <v>34</v>
      </c>
      <c r="B259" s="58" t="s">
        <v>102</v>
      </c>
      <c r="C259" s="57">
        <v>146</v>
      </c>
      <c r="D259" s="58" t="s">
        <v>264</v>
      </c>
      <c r="E259" s="59">
        <v>39816</v>
      </c>
      <c r="F259" s="59">
        <v>40149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si="4" t="shared"/>
        <v>Marius Giulverzan &amp; Ann Tudor (03/01/2009 - 02/12/2009)</v>
      </c>
    </row>
    <row r="260" spans="1:29" x14ac:dyDescent="0.2">
      <c r="A260" s="57">
        <v>34</v>
      </c>
      <c r="B260" s="58" t="s">
        <v>102</v>
      </c>
      <c r="C260" s="57">
        <v>132</v>
      </c>
      <c r="D260" s="58" t="s">
        <v>250</v>
      </c>
      <c r="E260" s="59">
        <v>39602</v>
      </c>
      <c r="F260" s="59">
        <v>39815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Adrian Mattei &amp; Elena Matei (03/06/2008 - 02/01/2009)</v>
      </c>
    </row>
    <row r="261" spans="1:29" x14ac:dyDescent="0.2">
      <c r="A261" s="57">
        <v>34</v>
      </c>
      <c r="B261" s="58" t="s">
        <v>102</v>
      </c>
      <c r="C261" s="57">
        <v>127</v>
      </c>
      <c r="D261" s="58" t="s">
        <v>39</v>
      </c>
      <c r="E261" s="59">
        <v>39517</v>
      </c>
      <c r="F261" s="59">
        <v>39532</v>
      </c>
      <c r="G261" s="57">
        <v>600</v>
      </c>
      <c r="H261" s="58" t="s">
        <v>29</v>
      </c>
      <c r="I261" s="58" t="s">
        <v>95</v>
      </c>
      <c r="J261" s="57">
        <v>10</v>
      </c>
      <c r="K261" s="58" t="s">
        <v>96</v>
      </c>
      <c r="L261" s="58" t="s">
        <v>97</v>
      </c>
      <c r="AB261" t="str">
        <f si="4" t="shared"/>
        <v>Urry (10/03/2008 - 25/03/2008)</v>
      </c>
    </row>
    <row r="262" spans="1:29" x14ac:dyDescent="0.2">
      <c r="A262" s="57">
        <v>34</v>
      </c>
      <c r="B262" s="58" t="s">
        <v>102</v>
      </c>
      <c r="C262" s="57">
        <v>80</v>
      </c>
      <c r="D262" s="58" t="s">
        <v>177</v>
      </c>
      <c r="E262" s="59">
        <v>38932</v>
      </c>
      <c r="F262" s="59">
        <v>39417</v>
      </c>
      <c r="G262" s="57">
        <v>550</v>
      </c>
      <c r="H262" s="58" t="s">
        <v>29</v>
      </c>
      <c r="I262" s="58" t="s">
        <v>100</v>
      </c>
      <c r="J262" s="57">
        <v>65</v>
      </c>
      <c r="K262" s="58" t="s">
        <v>175</v>
      </c>
      <c r="L262" s="58" t="s">
        <v>97</v>
      </c>
      <c r="AB262" t="str">
        <f si="4" t="shared"/>
        <v>Diejomoah  (03/08/2006 - 01/12/2007)</v>
      </c>
    </row>
    <row r="263" spans="1:29" x14ac:dyDescent="0.2">
      <c r="A263" s="57">
        <v>34</v>
      </c>
      <c r="B263" s="58" t="s">
        <v>102</v>
      </c>
      <c r="C263" s="57">
        <v>44</v>
      </c>
      <c r="D263" s="58" t="s">
        <v>178</v>
      </c>
      <c r="E263" s="59">
        <v>38636</v>
      </c>
      <c r="F263" s="59">
        <v>38885</v>
      </c>
      <c r="G263" s="57">
        <v>595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101</v>
      </c>
      <c r="AB263" t="str">
        <f si="4" t="shared"/>
        <v>Ampelas/Zachariou (11/10/2005 - 17/06/2006)</v>
      </c>
    </row>
    <row r="264" spans="1:29" x14ac:dyDescent="0.2">
      <c r="A264" s="57">
        <v>34</v>
      </c>
      <c r="B264" s="58" t="s">
        <v>102</v>
      </c>
      <c r="C264" s="57">
        <v>35</v>
      </c>
      <c r="D264" s="58" t="s">
        <v>179</v>
      </c>
      <c r="E264" s="59">
        <v>38507</v>
      </c>
      <c r="F264" s="59">
        <v>38625</v>
      </c>
      <c r="G264" s="57">
        <v>575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4"/>
      <c r="AB264" s="52" t="str">
        <f si="4" t="shared"/>
        <v xml:space="preserve"> Wells/Brooks (04/06/2005 - 30/09/2005)</v>
      </c>
      <c r="AC264" s="52"/>
    </row>
    <row r="265" spans="1:29" x14ac:dyDescent="0.2">
      <c r="A265" s="57">
        <v>44</v>
      </c>
      <c r="B265" s="58" t="s">
        <v>64</v>
      </c>
      <c r="C265" s="57">
        <v>268</v>
      </c>
      <c r="D265" s="58" t="s">
        <v>385</v>
      </c>
      <c r="E265" s="59">
        <v>42401</v>
      </c>
      <c r="F265" s="58"/>
      <c r="G265" s="57">
        <v>520</v>
      </c>
      <c r="H265" s="58" t="s">
        <v>29</v>
      </c>
      <c r="I265" s="58" t="s">
        <v>95</v>
      </c>
      <c r="J265" s="57">
        <v>10</v>
      </c>
      <c r="K265" s="58" t="s">
        <v>96</v>
      </c>
      <c r="L265" s="58" t="s">
        <v>97</v>
      </c>
      <c r="AB265" t="str">
        <f si="4" t="shared"/>
        <v>Ms J Henson (01/02/2016 - present)</v>
      </c>
    </row>
    <row r="266" spans="1:29" x14ac:dyDescent="0.2">
      <c r="A266" s="57">
        <v>44</v>
      </c>
      <c r="B266" s="58" t="s">
        <v>64</v>
      </c>
      <c r="C266" s="57">
        <v>57</v>
      </c>
      <c r="D266" s="58" t="s">
        <v>207</v>
      </c>
      <c r="E266" s="59">
        <v>38999</v>
      </c>
      <c r="F266" s="59">
        <v>42369</v>
      </c>
      <c r="G266" s="57">
        <v>460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Noble (prev Tombs) (09/10/2006 - 31/12/2015)</v>
      </c>
    </row>
    <row r="267" spans="1:29" x14ac:dyDescent="0.2">
      <c r="A267" s="57">
        <v>44</v>
      </c>
      <c r="B267" s="58" t="s">
        <v>64</v>
      </c>
      <c r="C267" s="57">
        <v>61</v>
      </c>
      <c r="D267" s="58" t="s">
        <v>180</v>
      </c>
      <c r="E267" s="59">
        <v>38849</v>
      </c>
      <c r="F267" s="59">
        <v>38972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E. Long (12/05/2006 - 12/09/2006)</v>
      </c>
    </row>
    <row r="268" spans="1:29" x14ac:dyDescent="0.2">
      <c r="A268" s="57">
        <v>17</v>
      </c>
      <c r="B268" s="58" t="s">
        <v>63</v>
      </c>
      <c r="C268" s="57">
        <v>198</v>
      </c>
      <c r="D268" s="58" t="s">
        <v>317</v>
      </c>
      <c r="E268" s="59">
        <v>40651</v>
      </c>
      <c r="F268" s="58"/>
      <c r="G268" s="57">
        <v>300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Martin Gliszczynski (18/04/2011 - present)</v>
      </c>
    </row>
    <row r="269" spans="1:29" x14ac:dyDescent="0.2">
      <c r="A269" s="57">
        <v>17</v>
      </c>
      <c r="B269" s="58" t="s">
        <v>63</v>
      </c>
      <c r="C269" s="57">
        <v>187</v>
      </c>
      <c r="D269" s="58" t="s">
        <v>302</v>
      </c>
      <c r="E269" s="59">
        <v>40438</v>
      </c>
      <c r="F269" s="59">
        <v>40438</v>
      </c>
      <c r="G269" s="57">
        <v>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P Adams (17/09/2010 - 17/09/2010)</v>
      </c>
    </row>
    <row r="270" spans="1:29" x14ac:dyDescent="0.2">
      <c r="A270" s="57">
        <v>17</v>
      </c>
      <c r="B270" s="58" t="s">
        <v>63</v>
      </c>
      <c r="C270" s="57">
        <v>171</v>
      </c>
      <c r="D270" s="58" t="s">
        <v>293</v>
      </c>
      <c r="E270" s="59">
        <v>40179</v>
      </c>
      <c r="F270" s="59">
        <v>40390</v>
      </c>
      <c r="G270" s="57">
        <v>380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S. Amin (01/01/2010 - 31/07/2010)</v>
      </c>
    </row>
    <row r="271" spans="1:29" x14ac:dyDescent="0.2">
      <c r="A271" s="57">
        <v>17</v>
      </c>
      <c r="B271" s="58" t="s">
        <v>63</v>
      </c>
      <c r="C271" s="57">
        <v>117</v>
      </c>
      <c r="D271" s="58" t="s">
        <v>204</v>
      </c>
      <c r="E271" s="59">
        <v>39479</v>
      </c>
      <c r="F271" s="59">
        <v>40025</v>
      </c>
      <c r="G271" s="57">
        <v>400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Oleg Korenev (01/02/2008 - 31/07/2009)</v>
      </c>
    </row>
    <row r="272" spans="1:29" x14ac:dyDescent="0.2">
      <c r="A272" s="57">
        <v>17</v>
      </c>
      <c r="B272" s="58" t="s">
        <v>63</v>
      </c>
      <c r="C272" s="57">
        <v>60</v>
      </c>
      <c r="D272" s="58" t="s">
        <v>181</v>
      </c>
      <c r="E272" s="59">
        <v>38909</v>
      </c>
      <c r="F272" s="59">
        <v>39458</v>
      </c>
      <c r="G272" s="57">
        <v>385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Yuppie Puppiez (11/07/2006 - 11/01/2008)</v>
      </c>
    </row>
    <row r="273" spans="1:28" x14ac:dyDescent="0.2">
      <c r="A273" s="57">
        <v>40</v>
      </c>
      <c r="B273" s="58" t="s">
        <v>122</v>
      </c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AB273" t="str">
        <f si="4" t="shared"/>
        <v/>
      </c>
    </row>
    <row r="274" spans="1:28" x14ac:dyDescent="0.2">
      <c r="A274" s="57">
        <v>41</v>
      </c>
      <c r="B274" s="58" t="s">
        <v>125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B275" t="str">
        <f ref="AB275:AB330" si="5" t="shared"><![CDATA[IF(E275<>"",IF(F275="",D275&" ("&TEXT(E275,"dd/mm/yyyy")&" - present)",D275&" ("&TEXT(E275,"dd/mm/yyyy")&" - "&TEXT(F275,"dd/mm/yyyy")&")"),"")]]></f>
        <v/>
      </c>
    </row>
    <row r="276" spans="1:28" x14ac:dyDescent="0.2">
      <c r="AB276" t="str">
        <f si="5" t="shared"/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ref="AB331:AB394" si="6" t="shared"><![CDATA[IF(E331<>"",IF(F331="",D331&" ("&TEXT(E331,"dd/mm/yyyy")&" - present)",D331&" ("&TEXT(E331,"dd/mm/yyyy")&" - "&TEXT(F331,"dd/mm/yyyy")&")"),"")]]></f>
        <v/>
      </c>
    </row>
    <row r="332" spans="28:28" x14ac:dyDescent="0.2">
      <c r="AB332" t="str">
        <f si="6" t="shared"/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ref="AB395:AB458" si="7" t="shared"><![CDATA[IF(E395<>"",IF(F395="",D395&" ("&TEXT(E395,"dd/mm/yyyy")&" - present)",D395&" ("&TEXT(E395,"dd/mm/yyyy")&" - "&TEXT(F395,"dd/mm/yyyy")&")"),"")]]></f>
        <v/>
      </c>
    </row>
    <row r="396" spans="28:28" x14ac:dyDescent="0.2">
      <c r="AB396" t="str">
        <f si="7" t="shared"/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ref="AB459:AB509" si="8" t="shared"><![CDATA[IF(E459<>"",IF(F459="",D459&" ("&TEXT(E459,"dd/mm/yyyy")&" - present)",D459&" ("&TEXT(E459,"dd/mm/yyyy")&" - "&TEXT(F459,"dd/mm/yyyy")&")"),"")]]></f>
        <v/>
      </c>
    </row>
    <row r="460" spans="28:28" x14ac:dyDescent="0.2">
      <c r="AB460" t="str">
        <f si="8" t="shared"/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</sheetData>
  <autoFilter ref="A1:L255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workbookViewId="0" zoomScale="70">
      <selection activeCell="E35" sqref="E35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558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560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559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562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744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561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2019-04-19T09:57:20Z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