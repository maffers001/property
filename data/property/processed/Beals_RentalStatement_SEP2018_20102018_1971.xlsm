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processed\"/>
    </mc:Choice>
  </mc:AlternateContent>
  <xr:revisionPtr revIDLastSave="0" documentId="13_ncr:1_{06104BAD-E780-4FF3-A5B1-606497624B3E}" xr6:coauthVersionLast="37" xr6:coauthVersionMax="37" xr10:uidLastSave="{00000000-0000-0000-0000-000000000000}"/>
  <bookViews>
    <workbookView xWindow="0" yWindow="0" windowWidth="28800" windowHeight="13785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definedNames>
    <definedName name="_xlnm._FilterDatabase" localSheetId="6" hidden="1">Beals!$A$1:$H$204</definedName>
    <definedName name="_xlnm._FilterDatabase" localSheetId="4" hidden="1">IV!$A$1:$K$70</definedName>
    <definedName name="_xlnm._FilterDatabase" localSheetId="5" hidden="1">'IV (4040)'!$A$1:$J$141</definedName>
    <definedName name="_xlnm._FilterDatabase" localSheetId="3" hidden="1">MT!$A$1:$L$183</definedName>
    <definedName name="_xlnm._FilterDatabase" localSheetId="0" hidden="1">'Rent Statement'!$B$7:$U$63</definedName>
    <definedName name="_xlnm._FilterDatabase" localSheetId="7" hidden="1">Tenancies!$A$1:$L$255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IV!$D$2:$D$374</definedName>
    <definedName name="IV_Amount_4040">'IV (4040)'!$D$2:$D$490</definedName>
    <definedName name="IV_BankRef">IV!$F$2:$F$374</definedName>
    <definedName name="IV_BankRef_4040">'IV (4040)'!$I$2:$I$490</definedName>
    <definedName name="MT_Amount">MT!$D$2:$D$490</definedName>
    <definedName name="MT_BankRef">MT!$F$2:$F$490</definedName>
    <definedName name="MT_Desc">MT!$H$2:$H$490</definedName>
    <definedName name="MT_Include">MT!$J$2:$J$490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62913"/>
</workbook>
</file>

<file path=xl/calcChain.xml><?xml version="1.0" encoding="utf-8"?>
<calcChain xmlns="http://schemas.openxmlformats.org/spreadsheetml/2006/main">
  <c r="Q63" i="1" l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E39" i="31690"/>
  <c r="F39" i="31690" l="1"/>
  <c r="I10" i="31690"/>
  <c r="I9" i="31690"/>
  <c r="I8" i="31690"/>
  <c r="B33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C17" i="31690"/>
  <c r="C32" i="31690"/>
  <c r="B17" i="31690"/>
  <c r="B21" i="31690"/>
  <c r="B18" i="31690"/>
  <c r="C24" i="31690"/>
  <c r="B30" i="31690"/>
  <c r="B25" i="31690"/>
  <c r="C34" i="31690"/>
  <c r="B34" i="31690"/>
  <c r="B24" i="31690"/>
  <c r="B29" i="31690"/>
  <c r="B31" i="31690"/>
  <c r="C18" i="31690"/>
  <c r="C30" i="31690"/>
  <c r="B32" i="31690"/>
  <c r="C26" i="31690"/>
  <c r="B26" i="31690"/>
  <c r="C29" i="31690"/>
  <c r="C21" i="31690"/>
  <c r="C25" i="31690"/>
  <c r="C22" i="31690"/>
  <c r="C31" i="31690"/>
  <c r="B22" i="31690"/>
  <c r="C33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15" i="31690" l="1"/>
  <c r="F35" i="31690" s="1"/>
  <c r="E15" i="31690"/>
  <c r="E34" i="31690" s="1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9" i="1"/>
  <c r="P29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7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<sst xmlns="http://schemas.openxmlformats.org/spreadsheetml/2006/main" count="4285" uniqueCount="1120">
  <si>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</si>
  <si>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</si>
  <si>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</si>
  <si>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</si>
  <si>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</si>
  <si>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</si>
  <si>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</si>
  <si>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</si>
  <si>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</si>
  <si>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</si>
  <si>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</si>
  <si>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</si>
  <si>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</si>
  <si>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</si>
  <si>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</si>
  <si>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</si>
  <si>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</si>
  <si>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</si>
  <si>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</si>
  <si>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</si>
  <si>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</si>
  <si>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</si>
  <si>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</si>
  <si>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</si>
  <si>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</si>
  <si>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</si>
  <si>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</si>
  <si>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</si>
  <si>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</si>
  <si>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</si>
  <si>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</si>
  <si>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</si>
  <si>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</si>
  <si>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</si>
  <si>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</si>
  <si>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</si>
  <si>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</si>
  <si>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</si>
  <si>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</si>
  <si>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</si>
  <si>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</si>
  <si>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</si>
  <si>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</si>
  <si>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</si>
  <si>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</si>
  <si>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</si>
  <si>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</si>
  <si>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</si>
  <si>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</si>
  <si>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</si>
  <si>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</si>
  <si>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</si>
  <si>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</si>
  <si>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</si>
  <si>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</si>
  <si>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</si>
  <si>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</si>
  <si>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</si>
  <si>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</si>
  <si>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</si>
  <si>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</si>
  <si>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</si>
  <si>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</si>
  <si>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</si>
  <si>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</si>
  <si>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</si>
  <si>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</si>
  <si>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</si>
  <si>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</si>
  <si>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</si>
  <si>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</si>
  <si>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</si>
  <si>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</si>
  <si>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</si>
  <si>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</si>
  <si>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</si>
  <si>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</si>
  <si>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</si>
  <si>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</si>
  <si>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</si>
  <si>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</si>
  <si>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</si>
  <si>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</si>
  <si>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</si>
  <si>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</si>
  <si>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</si>
  <si>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</si>
  <si>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</si>
  <si>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</si>
  <si>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</si>
  <si>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</si>
  <si>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</si>
  <si>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</si>
  <si>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</si>
  <si>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</si>
  <si>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</si>
  <si>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</si>
  <si>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</si>
  <si>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</si>
  <si>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</si>
  <si>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</si>
  <si>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</si>
  <si>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</si>
  <si>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</si>
  <si>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</si>
  <si>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</si>
  <si>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</si>
  <si>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</si>
  <si>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</si>
  <si>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</si>
  <si>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</si>
  <si>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</si>
  <si>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</si>
  <si>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</si>
  <si>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</si>
  <si>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</si>
  <si>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</si>
  <si>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</si>
  <si>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</si>
  <si>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</si>
  <si>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</si>
  <si>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</si>
  <si>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</si>
  <si>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</si>
  <si>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</si>
  <si>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</si>
  <si>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</si>
  <si>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</si>
  <si>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</si>
  <si>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</si>
  <si>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</si>
  <si>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</si>
  <si>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</si>
  <si>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</si>
  <si>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</si>
  <si>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</si>
  <si>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</si>
  <si>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</si>
  <si>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</si>
  <si>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</si>
  <si>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</si>
  <si>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</si>
  <si>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</si>
  <si>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</si>
  <si>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</si>
  <si>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</si>
  <si>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</si>
  <si>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</si>
  <si>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</si>
  <si>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</si>
  <si>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</si>
  <si>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</si>
  <si>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</si>
  <si>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</si>
  <si>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</si>
  <si>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</si>
  <si>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</si>
  <si>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</si>
  <si>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</si>
  <si>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</si>
  <si>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</si>
  <si>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</si>
  <si>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</si>
  <si>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</si>
  <si>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</si>
  <si>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</si>
  <si>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</si>
  <si>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</si>
  <si>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</si>
  <si>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</si>
  <si>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</si>
  <si>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</si>
  <si>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</si>
  <si>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</si>
  <si>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</si>
  <si>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</si>
  <si>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</si>
  <si>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</si>
  <si>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</si>
  <si>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</si>
  <si>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</si>
  <si>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</si>
  <si>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</si>
  <si>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</si>
  <si>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</si>
  <si>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</si>
  <si>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</si>
  <si>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</si>
  <si>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</si>
  <si>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</si>
  <si>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</si>
  <si>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</si>
  <si>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</si>
  <si>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</si>
  <si>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</si>
  <si>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</si>
  <si>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</si>
  <si>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</si>
  <si>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</si>
  <si>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</si>
  <si>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</si>
  <si>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</si>
  <si>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</si>
  <si>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</si>
  <si>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</si>
  <si>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</si>
  <si>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</si>
  <si>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</si>
  <si>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</si>
  <si>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</si>
  <si>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</si>
  <si>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</si>
  <si>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</si>
  <si>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</si>
  <si>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</si>
  <si>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</si>
  <si>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</si>
  <si>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</si>
  <si>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</si>
  <si>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</si>
  <si>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</si>
  <si>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</si>
  <si>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</si>
  <si>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</si>
  <si>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</si>
  <si>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</si>
  <si>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</si>
  <si>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</si>
  <si>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</si>
  <si>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</si>
  <si>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</si>
  <si>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</si>
  <si>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</si>
  <si>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</si>
  <si>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</si>
  <si>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</si>
  <si>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</si>
  <si>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</si>
  <si>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</si>
  <si>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</si>
  <si>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</si>
  <si>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</si>
  <si>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</si>
  <si>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</si>
  <si>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</si>
  <si>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</si>
  <si>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</si>
  <si>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</si>
  <si>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</si>
  <si>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</si>
  <si>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</si>
  <si>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</si>
  <si>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</si>
  <si>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</si>
  <si>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</si>
  <si>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</si>
  <si>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</si>
  <si>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</si>
  <si>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</si>
  <si>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</si>
  <si>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</si>
  <si>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</si>
  <si>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</si>
  <si>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</si>
  <si>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</si>
  <si>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</si>
  <si>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</si>
  <si>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</si>
  <si>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</si>
  <si>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</si>
  <si>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</si>
  <si>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</si>
  <si>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</si>
  <si>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</si>
  <si>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</si>
  <si>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</si>
  <si>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</si>
  <si>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</si>
  <si>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</si>
  <si>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</si>
  <si>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</si>
  <si>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</si>
  <si>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</si>
  <si>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</si>
  <si>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</si>
  <si>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</si>
  <si>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</si>
  <si>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</si>
  <si>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</si>
  <si>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</si>
  <si>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</si>
  <si>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</si>
  <si>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</si>
  <si>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</si>
  <si>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</si>
  <si>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</si>
  <si>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</si>
  <si>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</si>
  <si>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</si>
  <si>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</si>
  <si>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</si>
  <si>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</si>
  <si>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</si>
  <si>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</si>
  <si>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</si>
  <si>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</si>
  <si>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</si>
  <si>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</si>
  <si>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</si>
  <si>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</si>
  <si>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</si>
  <si>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</si>
  <si>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</si>
  <si>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</si>
  <si>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</si>
  <si>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</si>
  <si>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</si>
  <si>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</si>
  <si>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</si>
  <si>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</si>
  <si>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</si>
  <si>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</si>
  <si>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</si>
  <si>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</si>
  <si>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</si>
  <si>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</si>
  <si>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</si>
  <si>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</si>
  <si>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</si>
  <si>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</si>
  <si>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</si>
  <si>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</si>
  <si>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</si>
  <si>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</si>
  <si>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</si>
  <si>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</si>
  <si>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</si>
  <si>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</si>
  <si>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</si>
  <si>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</si>
  <si>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</si>
  <si>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</si>
  <si>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</si>
  <si>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</si>
  <si>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</si>
  <si>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</si>
  <si>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</si>
  <si>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</si>
  <si>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</si>
  <si>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</si>
  <si>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</si>
  <si>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</si>
  <si>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</si>
  <si>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</si>
  <si>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</si>
  <si>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</si>
  <si>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</si>
  <si>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</si>
  <si>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</si>
  <si>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</si>
  <si>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</si>
  <si>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</si>
  <si>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</si>
  <si>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</si>
  <si>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</si>
  <si>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</si>
  <si>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</si>
  <si>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</si>
  <si>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</si>
  <si>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</si>
  <si>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</si>
  <si>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</si>
  <si>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</si>
  <si>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</si>
  <si>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</si>
  <si>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</si>
  <si>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</si>
  <si>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</si>
  <si>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</si>
  <si>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</si>
  <si>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</si>
  <si>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</si>
  <si>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</si>
  <si>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</si>
  <si>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</si>
  <si>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</si>
  <si>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</si>
  <si>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</si>
  <si>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</si>
  <si>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</si>
  <si>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</si>
  <si>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</si>
  <si>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</si>
  <si>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</si>
  <si>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</si>
  <si>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</si>
  <si>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</si>
  <si>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</si>
  <si>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</si>
  <si>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</si>
  <si>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</si>
  <si>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</si>
  <si>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</si>
  <si>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</si>
  <si>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</si>
  <si>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</si>
  <si>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</si>
  <si>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</si>
  <si>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</si>
  <si>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</si>
  <si>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</si>
  <si>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</si>
  <si>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</si>
  <si>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</si>
  <si>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</si>
  <si>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</si>
  <si>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</si>
  <si>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</si>
  <si>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</si>
  <si>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</si>
  <si>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</si>
  <si>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</si>
  <si>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</si>
  <si>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</si>
  <si>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</si>
  <si>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</si>
  <si>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</si>
  <si>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</si>
  <si>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</si>
  <si>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</si>
  <si>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</si>
  <si>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</si>
  <si>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</si>
  <si>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</si>
  <si>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</si>
  <si>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</si>
  <si>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</si>
  <si>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</si>
  <si>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</si>
  <si>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</si>
  <si>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</si>
  <si>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</si>
  <si>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</si>
  <si>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</si>
  <si>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</si>
  <si>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</si>
  <si>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</si>
  <si>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</si>
  <si>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</si>
  <si>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</si>
  <si>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</si>
  <si>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</si>
  <si>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</si>
  <si>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</si>
  <si>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</si>
  <si>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</si>
  <si>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</si>
  <si>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</si>
  <si>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</si>
  <si>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</si>
  <si>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</si>
  <si>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</si>
  <si>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</si>
  <si>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</si>
  <si>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</si>
  <si>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</si>
  <si>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</si>
  <si>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</si>
  <si>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</si>
  <si>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</si>
  <si>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</si>
  <si>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</si>
  <si>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</si>
  <si>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</si>
  <si>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</si>
  <si>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</si>
  <si>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</si>
  <si>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</si>
  <si>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</si>
  <si>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</si>
  <si>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</si>
  <si>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</si>
  <si>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</si>
  <si>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</si>
  <si>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</si>
  <si>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</si>
  <si>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</si>
  <si>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</si>
  <si>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</si>
  <si>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</si>
  <si>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</si>
  <si>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</si>
  <si>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</si>
  <si>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</si>
  <si>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</si>
  <si>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</si>
  <si>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</si>
  <si>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</si>
  <si>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</si>
  <si>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</si>
  <si>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</si>
  <si>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</si>
  <si>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</si>
  <si>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</si>
  <si>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</si>
  <si>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</si>
  <si>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</si>
  <si>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</si>
  <si>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</si>
  <si>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</si>
  <si>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</si>
  <si>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</si>
  <si>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</si>
  <si>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</si>
  <si>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</si>
  <si>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</si>
  <si>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</si>
  <si>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</si>
  <si>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</si>
  <si>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</si>
  <si>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</si>
  <si>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</si>
  <si>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</si>
  <si>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</si>
  <si>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</si>
  <si>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</si>
  <si>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</si>
  <si>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</si>
  <si>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</si>
  <si>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</si>
  <si>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</si>
  <si>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</si>
  <si>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</si>
  <si>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</si>
  <si>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</si>
  <si>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</si>
  <si>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</si>
  <si>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</si>
  <si>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</si>
  <si>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</si>
  <si>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</si>
  <si>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</si>
  <si>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</si>
  <si>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</si>
  <si>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</si>
  <si>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</si>
  <si>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</si>
  <si>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</si>
  <si>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</si>
  <si>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</si>
  <si>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</si>
  <si>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</si>
  <si>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</si>
  <si>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</si>
  <si>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</si>
  <si>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</si>
  <si>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</si>
  <si>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</si>
  <si>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</si>
  <si>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</si>
  <si>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</si>
  <si>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</si>
  <si>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</si>
  <si>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</si>
  <si>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</si>
  <si>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</si>
  <si>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Beals gave notice on 25/01/18 - violent tenant.</t>
  </si>
  <si>
    <t>In £1900 arrears. Notice expired</t>
  </si>
  <si>
    <t>Work still outstanding.</t>
  </si>
  <si>
    <t>Paid unti 27/8</t>
  </si>
  <si>
    <t>Paid until 27/8</t>
  </si>
  <si>
    <t>Check refurb</t>
  </si>
  <si>
    <t/>
  </si>
  <si>
    <t>Why no rent in July?</t>
  </si>
  <si>
    <t>One tenent not paid to July. Why is rent from SEP so low, was meant to be £720?</t>
  </si>
  <si>
    <t>No rent - check if this is empty</t>
  </si>
  <si>
    <t>No rent</t>
  </si>
  <si>
    <t>Tenant didn’t like so allowed to move out.</t>
  </si>
  <si>
    <t>Rent for period 14/09/2018 - 13/10/2018 from Mr John Sharpe - 196b Kingston Road, Portsmouth</t>
  </si>
  <si>
    <t>Management Fee at 6% - 196b Kingston Road, Portsmouth</t>
  </si>
  <si>
    <t>Invoice</t>
  </si>
  <si>
    <t>Amount payable to Ms Ivana Valentino - 196b Kingston Road, Portsmouth</t>
  </si>
  <si>
    <t>Statement</t>
  </si>
  <si>
    <t>Reversal - 23c Hampshire Terrace, Portsmouth</t>
  </si>
  <si>
    <t>Cash transfer - Mattress Funds to Tenant</t>
  </si>
  <si>
    <t>Rent for period 01/09/2018 - 30/09/2018 from Miss Phoebe Louise Ranger - 23c Hampshire Terrace, Portsmouth</t>
  </si>
  <si>
    <t>Management Fee at 6% - 23c Hampshire Terrace, Portsmouth</t>
  </si>
  <si>
    <t>Amount payable to Ms Ivana Valentino - 23c Hampshire Terrace, Portsmouth</t>
  </si>
  <si>
    <t>Deposit to landlord for cleaning &amp; arrears - 23c Hampshire Terrace, Portsmouth</t>
  </si>
  <si>
    <t>Amount payable to Ms Ivana Valentino</t>
  </si>
  <si>
    <t>Rent for period 30/08/2018 - 29/09/2018 from Mr Andrew Austin - Flat 7, 8 Alhambra Road, Southsea</t>
  </si>
  <si>
    <t>Management Fee at 6% - Flat 7, 8 Alhambra Road, Southsea</t>
  </si>
  <si>
    <t>Amount payable to Ms Ivana Valentino - Flat 7, 8 Alhambra Road, Southsea</t>
  </si>
  <si>
    <t>water inlet requitred to toilet - United P H Limited - Flat 8, 8 Alhambra Road, Southsea</t>
  </si>
  <si>
    <t>Supplier</t>
  </si>
  <si>
    <t>Rent for period 08/09/2018 - 07/10/2018 from Mr Matthew Skelton - Flat 22, 4-6 Alhambra Road, Southsea</t>
  </si>
  <si>
    <t>Management Fee at 6% - Flat 22, 4-6 Alhambra Road, Southsea</t>
  </si>
  <si>
    <t>Amount payable to Ms Ivana Valentino - Flat 22, 4-6 Alhambra Road, Southsea</t>
  </si>
  <si>
    <t>Receipt - MS Tucker - Flat 23, 4-6 Alhambra Road, Southsea</t>
  </si>
  <si>
    <t>Receipt</t>
  </si>
  <si>
    <t>Rent for period 18/09/2018 - 17/10/2018 from Mr Andrew Greer - Flat 3, 12-14 Alhambra Road, Southsea</t>
  </si>
  <si>
    <t>Management Fee at 6% - Flat 3, 12-14 Alhambra Road, Southsea</t>
  </si>
  <si>
    <t>Amount payable to Ms Ivana Valentino - Flat 3, 12-14 Alhambra Road, Southsea</t>
  </si>
  <si>
    <t>Rent for period 23/09/2018 - 22/10/2018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</si>
  <si>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</si>
  <si>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</si>
  <si>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19/09/2018 - 18/10/2018 from Mr Aubrey Milligan - Flat 16, 12-14 Alhambra Road, Southsea</t>
  </si>
  <si>
    <t>Management Fee at 6% - Flat 16, 12-14 Alhambra Road, Southsea</t>
  </si>
  <si>
    <t>Rent for period 19/08/2018 - 18/09/2018 from Mr Aubrey Milligan - Flat 16, 12-14 Alhambra Road, Southsea</t>
  </si>
  <si>
    <t>Amount payable to Ms Ivana Valentino - Flat 16, 12-14 Alhambra Road, Southsea</t>
  </si>
  <si>
    <t>Rent for period 28/01/2019 - 27/02/2019 from Miss Julie Betteridge - Flat 3, 16-18 Alhambra Road, Southsea</t>
  </si>
  <si>
    <t>Management Fee at 6% - Flat 3, 16-18 Alhambra Road, Southsea</t>
  </si>
  <si>
    <t>Rent for period 28/12/2018 - 27/01/2019 from Miss Julie Betteridge - Flat 3, 16-18 Alhambra Road, Southsea</t>
  </si>
  <si>
    <t>Rent for period 28/11/2018 - 27/12/2018 from Miss Julie Betteridge - Flat 3, 16-18 Alhambra Road, Southsea</t>
  </si>
  <si>
    <t>Rent for period 28/10/2018 - 27/11/2018 from Miss Julie Betteridge - Flat 3, 16-18 Alhambra Road, Southsea</t>
  </si>
  <si>
    <t>Rent for period 28/09/2018 - 27/10/2018 from Miss Julie Betteridge - Flat 3, 16-18 Alhambra Road, Southsea</t>
  </si>
  <si>
    <t>Rent for period 28/08/2018 - 27/09/2018 from Miss Julie Betteridge - Flat 3, 16-18 Alhambra Road, Southsea</t>
  </si>
  <si>
    <t>Amount payable to Ms Ivana Valentino - Flat 3, 16-18 Alhambra Road, Southsea</t>
  </si>
  <si>
    <t>Rent for period 08/09/2018 - 07/10/2018 from Mr Alan Young - Flat 7, 16-18 Alhambra Road, Southsea</t>
  </si>
  <si>
    <t>Management Fee at 6% - Flat 7, 16-18 Alhambra Road, Southsea</t>
  </si>
  <si>
    <t>Amount payable to Ms Ivana Valentino - Flat 7, 16-18 Alhambra Road, Southsea</t>
  </si>
  <si>
    <t>Rent for period 19/09/2018 - 18/10/2018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</si>
  <si>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</si>
  <si>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</si>
  <si>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Rent for period 28/08/2018 - 27/09/2018 from Mr Peter Gradon - Flat 16, 16-18 Alhambra Road, Southsea</t>
  </si>
  <si>
    <t>Management Fee at 6% - Flat 16, 16-18 Alhambra Road, Southsea</t>
  </si>
  <si>
    <t>Amount payable to Ms Ivana Valentino - Flat 16, 16-18 Alhambra Road, Southsea</t>
  </si>
  <si>
    <t>Rent for period 28/09/2018 - 27/10/2018 from Mr Peter Gradon - Flat 16, 16-18 Alhambra Road, Southsea</t>
  </si>
  <si>
    <t>Rent for period 09/09/2018 - 08/10/2018 from Mr Nick Olsen - Flat 3, 171 Fawcett Road, Southsea</t>
  </si>
  <si>
    <t>Management Fee at 6% - Flat 3, 171 Fawcett Road, Southsea</t>
  </si>
  <si>
    <t>Rent for period 09/08/2018 - 08/09/2018 from Mr Nick Olsen - Flat 3, 171 Fawcett Road, Southsea</t>
  </si>
  <si>
    <t>Amount payable to Ms Ivana Valentino - Flat 3, 171 Fawcett Road, Southsea</t>
  </si>
  <si>
    <t>Rent for period 16/07/2018 - 15/08/2018 from Miss Ausra Baziukiene - Flat 20, 4-6 Alhambra Road, Southsea</t>
  </si>
  <si>
    <t>Management Fee at 6% - Flat 20, 4-6 Alhambra Road, Southsea</t>
  </si>
  <si>
    <t>Amount payable to Mr Mathew Tucker - Flat 20, 4-6 Alhambra Road, Southsea</t>
  </si>
  <si>
    <t>Rent for period 16/08/2018 - 15/09/2018 from Miss Ausra Baziukiene - Flat 20, 4-6 Alhambra Road, Southsea</t>
  </si>
  <si>
    <t>Rent for period 20/03/2018 - 19/04/2018 from Miss Sinead OBrien - Flat 19, 4-6 Alhambra Road, Southsea</t>
  </si>
  <si>
    <t>Management Fee at 6% - Flat 19, 4-6 Alhambra Road, Southsea</t>
  </si>
  <si>
    <t>Rent for period 20/02/2018 - 19/03/2018 from Miss Sinead OBrien - Flat 19, 4-6 Alhambra Road, Southsea</t>
  </si>
  <si>
    <t>Amount payable to Mr Mathew Tucker - Flat 19, 4-6 Alhambra Road, Southsea</t>
  </si>
  <si>
    <t>Rent for period 10/09/2018 - 09/10/2018 from Mr Johnathan Hill - Flat 17, 4-6 Alhambra Road, Southsea</t>
  </si>
  <si>
    <t>Management Fee at 6% - Flat 17, 4-6 Alhambra Road, Southsea</t>
  </si>
  <si>
    <t>Amount payable to Mr Mathew Tucker - Flat 17, 4-6 Alhambra Road, Southsea</t>
  </si>
  <si>
    <t>Rent for period 26/09/2018 - 25/10/2018 from Mrs Dionne McLaughlin - Flat 18, 4-6 Alhambra Road, Southsea</t>
  </si>
  <si>
    <t>Management Fee at 6% - Flat 18, 4-6 Alhambra Road, Southsea</t>
  </si>
  <si>
    <t>Amount payable to Mr Mathew Tucker - Flat 18, 4-6 Alhambra Road, Southsea</t>
  </si>
  <si>
    <t>smoke alarms - Ardent Building, Plumbing and Maintenance - Flat 10, 12-14 Alhambra Road, Southsea</t>
  </si>
  <si>
    <t>Rent for period 20/09/2018 - 19/10/2018 from Mr Andrew England - Flat 10, 12-14 Alhambra Road, Southsea</t>
  </si>
  <si>
    <t>Management Fee at 6% - Flat 10, 12-14 Alhambra Road, Southsea</t>
  </si>
  <si>
    <t>Amount payable to Mr Mathew Tucker - Flat 10, 12-14 Alhambra Road, Southsea</t>
  </si>
  <si>
    <t>Landlord gas safety - Beals Plumbing - Flat 10, 12-14 Alhambra Road, Southsea</t>
  </si>
  <si>
    <t>PL3353</t>
  </si>
  <si>
    <t>Rent for period 06/09/2018 - 05/10/2018 from Mr Paul McIlwraith - Flat 14, 12-14 Alhambra Road, Southsea</t>
  </si>
  <si>
    <t>Management Fee at 6% - Flat 14, 12-14 Alhambra Road, Southsea</t>
  </si>
  <si>
    <t>Amount payable to Mr Mathew Tucker - Flat 14, 12-14 Alhambra Road, Southsea</t>
  </si>
  <si>
    <t>Rent for period 06/09/2018 - 05/10/2018 from Mr Tony Di-Marco - Flat 4, 12-14 Alhambra Road, Southsea</t>
  </si>
  <si>
    <t>Management Fee at 6% - Flat 4, 12-14 Alhambra Road, Southsea</t>
  </si>
  <si>
    <t>Amount payable to Mr Mathew Tucker - Flat 4, 12-14 Alhambra Road, Southsea</t>
  </si>
  <si>
    <t>Rent for period 12/09/2018 - 11/10/2018 from Mr Peter Taperek - Flat 6, 16-18 Alhambra Road, Southsea</t>
  </si>
  <si>
    <t>Management Fee at 6% - Flat 6, 16-18 Alhambra Road, Southsea</t>
  </si>
  <si>
    <t>Amount payable to Mr Mathew Tucker - Flat 6, 16-18 Alhambra Road, Southsea</t>
  </si>
  <si>
    <t>oven - Kingston Domestics - Flat 6, 16-18 Alhambra Road, Southsea</t>
  </si>
  <si>
    <t>Rent for period 05/09/2018 - 04/10/2018 from Mr Kit Conrad - Flat 1, 16-18 Alhambra Road, Southsea</t>
  </si>
  <si>
    <t>Management Fee at 6% - Flat 1, 16-18 Alhambra Road, Southsea</t>
  </si>
  <si>
    <t>Amount payable to Mr Mathew Tucker - Flat 1, 16-18 Alhambra Road, Southsea</t>
  </si>
  <si>
    <t>lock failed on door - Cigma - Flat 11, 16-18 Alhambra Road, Southsea</t>
  </si>
  <si>
    <t>Rent for period 12/09/2018 - 11/10/2018 from Mr Sam Yates - Flat 11, 16-18 Alhambra Road, Southsea</t>
  </si>
  <si>
    <t>Management Fee at 6% - Flat 11, 16-18 Alhambra Road, Southsea</t>
  </si>
  <si>
    <t>Amount payable to Mr Mathew Tucker - Flat 11, 16-18 Alhambra Road, Southsea</t>
  </si>
  <si>
    <t>issues that need addressing - SC Plumbers LTD - Flat 11, 16-18 Alhambra Road, Southsea</t>
  </si>
  <si>
    <t>quote for ful clean not oven - Regal Contract Cleaning - Flat 13, 16-18 Alhambra Road, Southsea</t>
  </si>
  <si>
    <t>supply new oven - Kingston Domestics - Flat 13, 16-18 Alhambra Road, Southsea</t>
  </si>
  <si>
    <t>August clean  - FAC Contract Cleaning LTD - Flat 1, 321 London Road, Portsmouth</t>
  </si>
  <si>
    <t>Rent for period 23/09/2018 - 22/10/2018 from Mr David Connor - Flat 1, 321 London Road, Portsmouth</t>
  </si>
  <si>
    <t>Management Fee at 6% - Flat 1, 321 London Road, Portsmouth</t>
  </si>
  <si>
    <t>Amount payable to Mr Mathew Tucker - Flat 1, 321 London Road, Portsmouth</t>
  </si>
  <si>
    <t>First rent for period 15/09/2018 - 14/10/2018 from Miss Nathalie Rockmer - Flat 3, 321 London Road, Portsmouth</t>
  </si>
  <si>
    <t>Management Fee at 6% - Flat 3, 321 London Road, Portsmouth</t>
  </si>
  <si>
    <t>Amount payable to Mr Mathew Tucker - Flat 3, 321 London Road, Portsmouth</t>
  </si>
  <si>
    <t>Rent for period 26/09/2018 - 25/10/2018 from Miss Carol Carrington - Flat 4, 321 London Road, Portsmouth</t>
  </si>
  <si>
    <t>Management Fee at 6% - Flat 4, 321 London Road, Portsmouth</t>
  </si>
  <si>
    <t>Amount payable to Mr Mathew Tucker - Flat 4, 321 London Road, Portsmouth</t>
  </si>
  <si>
    <t>Rent for period 17/09/2018 - 16/10/2018 from Mr Nicholas Wright - Flat 4, 163 Fratton Road, Portsmouth</t>
  </si>
  <si>
    <t>Management Fee at 6% - Flat 4, 163 Fratton Road, Portsmouth</t>
  </si>
  <si>
    <t>Amount payable to Mr Mathew Tucker - Flat 4, 163 Fratton Road, Portsmouth</t>
  </si>
  <si>
    <t>Rent for period 02/09/2018 - 01/10/2018 from Mr Michael Pedace - Flat 2, 171 Fawcett Road, Southsea</t>
  </si>
  <si>
    <t>Management Fee at 6% - Flat 2, 171 Fawcett Road, Southsea</t>
  </si>
  <si>
    <t>Amount payable to Mr Mathew Tucker - Flat 2, 171 Fawcett Road, Southsea</t>
  </si>
  <si>
    <t>Rent for period 15/09/2018 - 14/10/2018 from Mr Graham Robinson - Flat 3, 169 Fawcett Road, Southsea</t>
  </si>
  <si>
    <t>Management Fee at 6% - Flat 3, 169 Fawcett Road, Southsea</t>
  </si>
  <si>
    <t>Amount payable to Mr Mathew Tucker - Flat 3, 169 Fawcett Road, Southsea</t>
  </si>
  <si>
    <t>Rent for period 11/09/2018 - 10/10/2018 from Mr Lee Knowles - Flat 2, 169 Fawcett Road, Southsea</t>
  </si>
  <si>
    <t>Management Fee at 6% - Flat 2, 169 Fawcett Road, Southsea</t>
  </si>
  <si>
    <t>Amount payable to Mr Mathew Tucker - Flat 2, 169 Fawcett Road, Southsea</t>
  </si>
  <si>
    <t>oven not working blowing cold - Kingston Domestics - Flat 2, 169 Fawcett Road, Southsea</t>
  </si>
  <si>
    <t>put up curtain rail and sort tap - Cigma - Flat 1, 169 Fawcett Road, Southsea</t>
  </si>
  <si>
    <t>emergency lighting and fire alarm 6 months on 16/1 - Express Electrical - Flat 1, 169 Fawcett Road, Southsea</t>
  </si>
  <si>
    <t>Rent for period 06/09/2018 - 05/10/2018 from Ms Susan Parkinson - Flat 1, 169 Fawcett Road, Southsea</t>
  </si>
  <si>
    <t>Management Fee at 6% - Flat 1, 169 Fawcett Road, Southsea</t>
  </si>
  <si>
    <t>Rent for period 06/08/2018 - 05/09/2018 from Ms Susan Parkinson - Flat 1, 169 Fawcett Road, Southsea</t>
  </si>
  <si>
    <t>Amount payable to Mr Mathew Tucker - Flat 1, 169 Fawcett Road, Southsea</t>
  </si>
  <si>
    <t>Rent for period 11/09/2018 - 10/10/2018 from Mr Martin Gliszczynski (SIE-SOF T/A Pol Help) - Shop, 196 Kingston Road, Portsmouth</t>
  </si>
  <si>
    <t>Management Fee at 6% - Shop, 196 Kingston Road, Portsmouth</t>
  </si>
  <si>
    <t>Amount payable to Mr Mathew Tucker - Shop, 196 Kingston Road, Portsmouth</t>
  </si>
  <si>
    <t>Rent for period 01/09/2018 - 30/09/2018 from Ms Joyce Henson - 196a Kingston Road, Portsmouth</t>
  </si>
  <si>
    <t>Management Fee at 6% - 196a Kingston Road, Portsmouth</t>
  </si>
  <si>
    <t>Amount payable to Mr Mathew Tucker - 196a Kingston Road, Portsmouth</t>
  </si>
  <si>
    <t>Rent for period 08/09/2018 - 07/10/2018 from Mr Antony Raymond Hinks - Flat 6, 8 Alhambra Road, Southsea</t>
  </si>
  <si>
    <t>Management Fee at 6% - Flat 6, 8 Alhambra Road, Southsea</t>
  </si>
  <si>
    <t>Amount payable to Mr Mathew Tucker - Flat 6, 8 Alhambra Road, Southsea</t>
  </si>
  <si>
    <t>Rent for period 14/09/2018 - 13/10/2018 from Ms Sharon Smith - Flat 5, 8 Alhambra Road, Southsea</t>
  </si>
  <si>
    <t>Management Fee at 6% - Flat 5, 8 Alhambra Road, Southsea</t>
  </si>
  <si>
    <t>Amount payable to Mr Mathew Tucker - Flat 5, 8 Alhambra Road, Southsea</t>
  </si>
  <si>
    <t>Rent for period 18/09/2018 - 17/08/2019 from Mr Tsz Long Wong - 23b Hampshire Terrace, Portsmouth</t>
  </si>
  <si>
    <t>Management Fee at 6% - 23b Hampshire Terrace, Portsmouth</t>
  </si>
  <si>
    <t>Rent for period 18/09/2018 - 17/08/2019 from Mr Yue Ting Edwin Lam - 23b Hampshire Terrace, Portsmouth</t>
  </si>
  <si>
    <t>Amount payable to Mr Mathew Tucker - 23b Hampshire Terrace, Portsmouth</t>
  </si>
  <si>
    <t>Rent for period 14/09/2018 - 13/10/2018 from Mr Martin Brett - Flat 3, 163 Fratton Road, Portsmouth</t>
  </si>
  <si>
    <t>Management Fee at 6% - Flat 3, 163 Fratton Road, Portsmouth</t>
  </si>
  <si>
    <t>Amount payable to Mr Mathew Tucker - Flat 3, 163 Fratton Road, Portsmouth</t>
  </si>
  <si>
    <t>Rent for period 14/09/2018 - 13/10/2018 from Mr Aleksandra Raadzevics - Flat 7, 12-14 Alhambra Road, Southsea</t>
  </si>
  <si>
    <t>Management Fee at 6% - Flat 7, 12-14 Alhambra Road, Southsea</t>
  </si>
  <si>
    <t>Amount payable to Mr Mathew Tucker - Flat 7, 12-14 Alhambra Road, Southsea</t>
  </si>
  <si>
    <t>insurance claim with Pi and refubr works part paym -  - Flat 2, 163 Fratton Road, Portsmouth</t>
  </si>
  <si>
    <t>Receipt - Works - Flat 2, 163 Fratton Road, Portsmouth</t>
  </si>
  <si>
    <t>Rent for period 06/09/2018 - 05/10/2018 from Ms Kirstine Aldridge - Flat 1, 171 Fawcett Road, Southsea</t>
  </si>
  <si>
    <t>Management Fee at 6% - Flat 1, 171 Fawcett Road, Southsea</t>
  </si>
  <si>
    <t>Rent for period 06/08/2018 - 05/09/2018 from Ms Kirstine Aldridge - Flat 1, 171 Fawcett Road, Southsea</t>
  </si>
  <si>
    <t>Amount payable to Mr Mathew Tucker - Flat 1, 171 Fawcett Road, Southsea</t>
  </si>
  <si>
    <t>20-74-09 60458872</t>
  </si>
  <si>
    <t>PAYMENT</t>
  </si>
  <si>
    <t>BP BEDFORD EXPRESS    ON 01 SEP          BCC</t>
  </si>
  <si>
    <t>REPEATPMT</t>
  </si>
  <si>
    <t>MR MATTHEW STUART     205330 30728691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</si>
  <si>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</si>
  <si>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</si>
  <si>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</si>
  <si>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</si>
  <si>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</si>
  <si>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</si>
  <si>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</si>
  <si>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01050229961082     DDR</t>
  </si>
  <si>
    <t>PLATFORM FUNDING      01050230313307     DDR</t>
  </si>
  <si>
    <t>ARGOS PET INS         RSAP9346579200     DDR</t>
  </si>
  <si>
    <t>CHL HOME LOAN         CHL00002/907372200 DDR</t>
  </si>
  <si>
    <t>CHL HOME LOAN         CHL00002/907371904 DDR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</si>
  <si>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</si>
  <si>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</si>
  <si>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</si>
  <si>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</si>
  <si>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</si>
  <si>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</si>
  <si>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</si>
  <si>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</si>
  <si>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</si>
  <si>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</si>
  <si>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BLA00010/130936210 DDR</t>
  </si>
  <si>
    <t>TOPAZ FIN ROSINCA     BLA00010/130654303 DDR</t>
  </si>
  <si>
    <t>WILSTEAD PHARMACY     ON 01 SEP          BCC</t>
  </si>
  <si>
    <t>HM PASSPORT OFFICE    ON 01 SEP          BCC</t>
  </si>
  <si>
    <t>CASH</t>
  </si>
  <si>
    <t xml:space="preserve">CARDTRONICS UK LTD    BP - ELSTOW INTERC    </t>
  </si>
  <si>
    <t xml:space="preserve">FT </t>
  </si>
  <si>
    <t xml:space="preserve">209254 13438023       CLASSIC CARPETS    FT </t>
  </si>
  <si>
    <t>OTH</t>
  </si>
  <si>
    <t>CLASSIC CARPET        MTUCKER ALHAM      TFT</t>
  </si>
  <si>
    <t>STIRLING HOUSE CAF    ON 31 AUG          CLP</t>
  </si>
  <si>
    <t>STIRLING HOUSE CAF    ON 03 SEP          CLP</t>
  </si>
  <si>
    <t xml:space="preserve">Amazon.co.uk          LUXEMBOURG            </t>
  </si>
  <si>
    <t xml:space="preserve">TELVENT DTN LLC       USA                   </t>
  </si>
  <si>
    <t>DIRECTDEP</t>
  </si>
  <si>
    <t>BEALS ESTATE AGENT    FLAT 204-6 ALHAMBR BGC</t>
  </si>
  <si>
    <t>BEALS ESTATE AGENT    196A KINGSTON ROAD BGC</t>
  </si>
  <si>
    <t>STIRLING HOUSE CAF    ON 06 SEP          CLP</t>
  </si>
  <si>
    <t>BEALS ESTATE AGENT    FLAT 1412-14 ALHAM BGC</t>
  </si>
  <si>
    <t>BEALS ESTATE AGENT    FLAT 412-14 ALHAMB BGC</t>
  </si>
  <si>
    <t>THE SHUTTLEWORTH      ON 09 SEP          CLP</t>
  </si>
  <si>
    <t>NEW COUNTY SERVICE    ON 09 SEP          CLP</t>
  </si>
  <si>
    <t>STIRLING HOUSE CAF    ON 07 SEP          CLP</t>
  </si>
  <si>
    <t>SHUTTLEWORTH COLLC    ON 09 SEP          CLP</t>
  </si>
  <si>
    <t>FROSTS AT WILLINGT    ON 09 SEP          BCC</t>
  </si>
  <si>
    <t xml:space="preserve">Microsoft *Store      IRELAND               </t>
  </si>
  <si>
    <t>JUSTANSWER *EXPERT    ON 09 SEP          BCC</t>
  </si>
  <si>
    <t>Audible.co.uk         ON 07 SEP          BCC</t>
  </si>
  <si>
    <t>JUSTANSWER *SOLICI    ON 09 SEP          BCC</t>
  </si>
  <si>
    <t>BHAM MIDSHIRES        020010556389/35299 DDR</t>
  </si>
  <si>
    <t>BHAM MIDSHIRES        020009309942/35735 DDR</t>
  </si>
  <si>
    <t>STIRLING HOUSE CAF    ON 10 SEP          CLP</t>
  </si>
  <si>
    <t>MALTHURST PETROLEU    ON 10 SEP          BCC</t>
  </si>
  <si>
    <t>BEALS ESTATE AGENT    FLAT 116-18 ALHAMB BGC</t>
  </si>
  <si>
    <t>BEALS ESTATE AGENT    FLAT 68 ALHAMBRA R BGC</t>
  </si>
  <si>
    <t xml:space="preserve">AMZN MKTP UK AMAZO    LUXEMBOURG            </t>
  </si>
  <si>
    <t xml:space="preserve">AMZ*Kava Kauai        USA                   </t>
  </si>
  <si>
    <t>WWW.SIPCARPARKS.CO    ON 11 SEP          BCC</t>
  </si>
  <si>
    <t>BHAM MIDSHIRES        020000389757/37175 DDR</t>
  </si>
  <si>
    <t>BEALS ESTATE AGENT    SHOP196 KINGSTON R BGC</t>
  </si>
  <si>
    <t>BEALS ESTATE AGENT    FLAT 174-6 ALHAMBR BGC</t>
  </si>
  <si>
    <t>BEALS ESTATE AGENT    FLAT 2169 FAWCETT  BGC</t>
  </si>
  <si>
    <t>BEALS ESTATE AGENT    FLAT 2171 FAWCETT  BGC</t>
  </si>
  <si>
    <t>NO LIMITZ             ON 12 SEP          CLP</t>
  </si>
  <si>
    <t>MCDONALDS             ON 12 SEP          CLP</t>
  </si>
  <si>
    <t>COSTA COFFEE 43035    ON 12 SEP          CLP</t>
  </si>
  <si>
    <t>MERCEDES BENZ B/SH    ON 12 SEP          BCC</t>
  </si>
  <si>
    <t>BEALS ESTATE AGENT    FLAT 616-18 ALHAMB BGC</t>
  </si>
  <si>
    <t>STIRLING HOUSE CAF    ON 13 SEP          CLP</t>
  </si>
  <si>
    <t>Spotify P076CEF958    ON 13 SEP          BCC</t>
  </si>
  <si>
    <t>BEALS ESTATE AGENT    FLAT 1116-18 ALHAM BGC</t>
  </si>
  <si>
    <t>PORTSMOUTH COUNCIL    104502110          BBP</t>
  </si>
  <si>
    <t>EDWARD MUNROE         M TUCKER           BBP</t>
  </si>
  <si>
    <t>PORTSMOUTH COUNCIL    103765712          BBP</t>
  </si>
  <si>
    <t>PORTSMOUTH COUNCIL    103854447          BBP</t>
  </si>
  <si>
    <t>PORTSMOUTH COUNCIL    103113262          BBP</t>
  </si>
  <si>
    <t>PORTSMOUTH COUNCIL    102571436          BBP</t>
  </si>
  <si>
    <t>PORTSMOUTH COUNCIL    104057864          BBP</t>
  </si>
  <si>
    <t>PORTSMOUTH COUNCIL    102937151          BBP</t>
  </si>
  <si>
    <t>TESCO PFS 5449        ON 14 SEP          CLP</t>
  </si>
  <si>
    <t>MARKS&amp;SPENCER PLC     ON 16 SEP          CLP</t>
  </si>
  <si>
    <t>STARBUCKS             ON 16 SEP          CLP</t>
  </si>
  <si>
    <t>STIRLING HOUSE CAF    ON 14 SEP          CLP</t>
  </si>
  <si>
    <t xml:space="preserve">TESCO                 TESCO SHEFFORD EXP    </t>
  </si>
  <si>
    <t>JOHN LEWIS            ON 16 SEP          BCC</t>
  </si>
  <si>
    <t>CURRYS S/S            ON 16 SEP          BCC</t>
  </si>
  <si>
    <t xml:space="preserve">AMZN Mktp UK          LUXEMBOURG            </t>
  </si>
  <si>
    <t>GOOGLE *Google Pla    ON 15 SEP          BCC</t>
  </si>
  <si>
    <t>PlaystationNetwork    ON 15 SEP          BCC</t>
  </si>
  <si>
    <t>LAND ROVER FS         579452160          DDR</t>
  </si>
  <si>
    <t>BHAM MIDSHIRES        020010557032/41445 DDR</t>
  </si>
  <si>
    <t>BHAM MIDSHIRES        020004110676/41435 DDR</t>
  </si>
  <si>
    <t>PLATFORM FUNDING      01050228979115     DDR</t>
  </si>
  <si>
    <t>PLATFORM FUNDING      01050228957650     DDR</t>
  </si>
  <si>
    <t>BEALS ESTATE AGENT    FLAT 58 ALHAMBRA R BGC</t>
  </si>
  <si>
    <t>BEALS ESTATE AGENT    FLAT 3163 FRATTON  BGC</t>
  </si>
  <si>
    <t>HALFORDS 0887         ON 17 SEP          CLP</t>
  </si>
  <si>
    <t>MEDICHECKS.COM        ON 17 SEP          BCC</t>
  </si>
  <si>
    <t>JOLLYES THE PET SU    ON 17 SEP          BCC</t>
  </si>
  <si>
    <t>BHAM MIDSHIRES        020003649652/41838 DDR</t>
  </si>
  <si>
    <t>BEALS ESTATE AGENT    FLAT 4163 FRATTON  BGC</t>
  </si>
  <si>
    <t>BP BEDFORD EXPRESS    ON 17 SEP          CLP</t>
  </si>
  <si>
    <t>MARKS&amp;SPENCER PLC     ON 18 SEP          CLP</t>
  </si>
  <si>
    <t>HUGO BOSS             ON 18 SEP          BCC</t>
  </si>
  <si>
    <t>MALTHURST LIMITED     ON 18 SEP          BCC</t>
  </si>
  <si>
    <t>MKC PARKING RINGGO    ON 18 SEP          BCC</t>
  </si>
  <si>
    <t xml:space="preserve">207409 40406538       MTUCKER            FT </t>
  </si>
  <si>
    <t xml:space="preserve">205397 30728691       F23 46ALHAM        FT </t>
  </si>
  <si>
    <t xml:space="preserve">BEALS                 MTUCKER F2346ALHAM FT </t>
  </si>
  <si>
    <t>COSTA COFFEE 43035    ON 19 SEP          CLP</t>
  </si>
  <si>
    <t>BEALS ESTATE AGENT    FLAT 3321 LONDON R BGC</t>
  </si>
  <si>
    <t>MARSHALL LANDROVER    ON 20 SEP          BCC</t>
  </si>
  <si>
    <t>IKEA LIMITED          ON 20 SEP          BCC</t>
  </si>
  <si>
    <t>JUSTANSWER *SOLICI    ON 20 SEP          BCC</t>
  </si>
  <si>
    <t xml:space="preserve">BEALS                 MTUCKER F2 163FRTN FT </t>
  </si>
  <si>
    <t>BP BEDFORD EXPRESS    ON 20 SEP          CLP</t>
  </si>
  <si>
    <t>HUIS                  ON 22 SEP          CLP</t>
  </si>
  <si>
    <t>THE BELLE ISLE        ON 22 SEP          CLP</t>
  </si>
  <si>
    <t>POST OFFICE COUNTE    ON 21 SEP          CLP</t>
  </si>
  <si>
    <t>BP WISLEY SOUTH       ON 22 SEP          CLP</t>
  </si>
  <si>
    <t>NEW COUNTY SERVICE    ON 22 SEP          CLP</t>
  </si>
  <si>
    <t>NEW COUNTY SERVICE    ON 23 SEP          BCC</t>
  </si>
  <si>
    <t>PUSHDOCTOR PUSH DO    ON 21 SEP          BCC</t>
  </si>
  <si>
    <t xml:space="preserve">Prime Video           LUXEMBOURG            </t>
  </si>
  <si>
    <t>BHAM MIDSHIRES        020007882432/46801 DDR</t>
  </si>
  <si>
    <t>BEALS ESTATE AGENT    23B HAMPSHIRE TERR BGC</t>
  </si>
  <si>
    <t>QUEENSWAY COFFEE      ON 24 SEP          CLP</t>
  </si>
  <si>
    <t>SODEXO-ADMIN RE HI    ON 24 SEP          CLP</t>
  </si>
  <si>
    <t>NHDC RING GO          ON 24 SEP          BCC</t>
  </si>
  <si>
    <t>G&amp;F VALENTINO         MTUCKER            STO</t>
  </si>
  <si>
    <t>QUEENSWAY COFFEE      ON 25 SEP          CLP</t>
  </si>
  <si>
    <t>SODEXO-ADMIN RE HI    ON 25 SEP          CLP</t>
  </si>
  <si>
    <t>NHDC RING GO          ON 25 SEP          BCC</t>
  </si>
  <si>
    <t>BEALS ESTATE AGENT    FLAT 1171 FAWCETT  BGC</t>
  </si>
  <si>
    <t>BEALS ESTATE AGENT    FLAT 3169 FAWCETT  BGC</t>
  </si>
  <si>
    <t>BEALS ESTATE AGENT    FLAT 712-14 ALHAMB BGC</t>
  </si>
  <si>
    <t>BEALS ESTATE AGENT    FLAT 1321 LONDON R BGC</t>
  </si>
  <si>
    <t>BEALS ESTATE AGENT    FLAT 1012-14 ALHAM BGC</t>
  </si>
  <si>
    <t>BEALS ESTATE AGENT    FLAT 1169 FAWCETT  BGC</t>
  </si>
  <si>
    <t>BEALS ESTATE AGENT    FLAT 194-6 ALHAMBR BGC</t>
  </si>
  <si>
    <t>MARKS&amp;SPENCER PLC     ON 26 SEP          CLP</t>
  </si>
  <si>
    <t>QUEENSWAY COFFEE      ON 26 SEP          CLP</t>
  </si>
  <si>
    <t>SODEXO-ADMIN RE HI    ON 26 SEP          CLP</t>
  </si>
  <si>
    <t>NHDC RING GO          ON 26 SEP          BCC</t>
  </si>
  <si>
    <t>BEALS ESTATE AGENT    FLAT 184-6 ALHAMBR BGC</t>
  </si>
  <si>
    <t>BEALS ESTATE AGENT    FLAT 4321 LONDON R BGC</t>
  </si>
  <si>
    <t>SODEXO-ADMIN RE HI    ON 27 SEP          CLP</t>
  </si>
  <si>
    <t>NHDC RING GO          ON 27 SEP          BCC</t>
  </si>
  <si>
    <t>MORTGAGE TRUST        002197389 10105000 DDR</t>
  </si>
  <si>
    <t>MORTGAGE TRUST        002186357 10105000 DDR</t>
  </si>
  <si>
    <t>MORTGAGE TRUST        002186356 10105000 DDR</t>
  </si>
  <si>
    <t>MORTGAGE TRUST        002186317 10105000 DDR</t>
  </si>
  <si>
    <t>20-53-97 30728691</t>
  </si>
  <si>
    <t>BEALS ESTATE AGENT    FLAT 214-6 ALHAMBR BGC</t>
  </si>
  <si>
    <t>STO</t>
  </si>
  <si>
    <t>TUCKER MS     %0 P    205330 30728691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</si>
  <si>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</si>
  <si>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</si>
  <si>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</si>
  <si>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</si>
  <si>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LEGAL &amp; GEN MI C/L    011439921-5        DDR</t>
  </si>
  <si>
    <t>PLATFORM FUNDING      01050229961090     DDR</t>
  </si>
  <si>
    <t>PLATFORM FUNDING      01050228964703     DDR</t>
  </si>
  <si>
    <t>NRAM                  24935234           DDR</t>
  </si>
  <si>
    <t>MORTGAGE EXPRESS      MEC02005/480016104 DDR</t>
  </si>
  <si>
    <t>AMBER HOMELOANS       AHG00001/480441702 DDR</t>
  </si>
  <si>
    <t>TOPAZ FIN JASPER      PRU00010/191462710 DDR</t>
  </si>
  <si>
    <t>TOPAZ FIN JASPER      PRU00010/190859005 DDR</t>
  </si>
  <si>
    <t>BEALS ESTATE AGENT    FLAT 78 ALHAMBRA R BGC</t>
  </si>
  <si>
    <t>BEALS ESTATE AGENT    FLAT 316-18 ALHAMB BGC</t>
  </si>
  <si>
    <t>BEALS ESTATE AGENT    23C HAMPSHIRE TERR BGC</t>
  </si>
  <si>
    <t>KINGSTON UNITY        PL684048A VALENTNO STO</t>
  </si>
  <si>
    <t>VLS RE CLOSE BROS     273295203986919    DDR</t>
  </si>
  <si>
    <t>SHEPHERDS FS          PN026484A          DDR</t>
  </si>
  <si>
    <t>THE HARPUR TRUST D    TUCKM8  BVALR8     DDR</t>
  </si>
  <si>
    <t>THE HARPUR TRUST D    TUCKM8  PVALA1     DDR</t>
  </si>
  <si>
    <t>THE HARPUR TRUST D    TUCKMS  GVALS1     DDR</t>
  </si>
  <si>
    <t>BEALS ESTATE AGENT    FLAT 1616-18 ALHAM BGC</t>
  </si>
  <si>
    <t xml:space="preserve">207409 40406538       MOBILE-CHANNEL     FT </t>
  </si>
  <si>
    <t>BHAM MIDSHIRES        020007900597/89565 DDR</t>
  </si>
  <si>
    <t>BEALS ESTATE AGENT    FLAT 224-6 ALHAMBR BGC</t>
  </si>
  <si>
    <t>BEALS ESTATE AGENT    FLAT 716-18 ALHAMB BGC</t>
  </si>
  <si>
    <t>AVIVA LIFE            014033997          DDR</t>
  </si>
  <si>
    <t>BT GROUP PLC          GB14092007-000048  DDR</t>
  </si>
  <si>
    <t>PLATFORM FUNDING      01050228957685    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</si>
  <si>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</si>
  <si>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</si>
  <si>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</si>
  <si>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</si>
  <si>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</si>
  <si>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</si>
  <si>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 xml:space="preserve">TOPAZ FIN JASPER      PRU00010/190959705    </t>
  </si>
  <si>
    <t>BEALS ESTATE AGENT    FLAT 312-14 ALHAMB BGC</t>
  </si>
  <si>
    <t xml:space="preserve">207409 40406538       OPTIONAL           FT </t>
  </si>
  <si>
    <t xml:space="preserve">207409 60458872       F23 46ALHAM        FT </t>
  </si>
  <si>
    <t>ONECALL INSURANCE     OIP-5-3104389      DDR</t>
  </si>
  <si>
    <t>BEALS ESTATE AGENT    FLAT 1216-18 ALHAM BGC</t>
  </si>
  <si>
    <t xml:space="preserve">CHARGES               Pers OD Tier 3        </t>
  </si>
  <si>
    <t>ID MOBILE LIMITED     11245718/001       DDR</t>
  </si>
  <si>
    <t>H3G                   980404269602240918 DDR</t>
  </si>
  <si>
    <t>BEALS ESTATE AGENT    196B KINGSTON ROAD BGC</t>
  </si>
  <si>
    <t>BEALS ESTATE AGENT    FLAT 3171 FAWCETT  BGC</t>
  </si>
  <si>
    <t>BEALS ESTATE AGENT    FLAT 1612-14 ALHAM BGC</t>
  </si>
  <si>
    <t>BEALS ESTATE AGENT    FLAT 512-14 ALHAMB BGC</t>
  </si>
  <si>
    <t>MR MATTHEW STUART     207409 40406538    STO</t>
  </si>
  <si>
    <t>20-74-09 40406538</t>
  </si>
  <si>
    <t>TESCO STORE 2547      ON 01 SEP          CLP</t>
  </si>
  <si>
    <t>NEW COUNTY SERVICE    ON 31 AUG          CLP</t>
  </si>
  <si>
    <t>MARKS&amp;SPENCER PLC     ON 01 SEP          CLP</t>
  </si>
  <si>
    <t>IZ *THE PAVILION T    ON 01 SEP          CLP</t>
  </si>
  <si>
    <t>COSTA COFFEE 43035    ON 01 SEP          CLP</t>
  </si>
  <si>
    <t>TESCO PFS 5449        ON 31 AUG          BCC</t>
  </si>
  <si>
    <t>BP NEWHAM AVENUE C    ON 30 AUG          BCC</t>
  </si>
  <si>
    <t>TESCO STORE 2105      ON 03 SEP          BCC</t>
  </si>
  <si>
    <t>SCHOOLBLAZER LTD      ON 03 SEP          BCC</t>
  </si>
  <si>
    <t>SMIGGLE               ON 04 SEP          CLP</t>
  </si>
  <si>
    <t>COSTA COFFEE 43035    ON 04 SEP          CLP</t>
  </si>
  <si>
    <t>COSTA COFFEE          ON 04 SEP          CLP</t>
  </si>
  <si>
    <t>MKC PARKING RINGGO    ON 04 SEP          BCC</t>
  </si>
  <si>
    <t>MARKS&amp;SPENCER PLC     ON 04 SEP          BCC</t>
  </si>
  <si>
    <t>APCOA CONNECT - AR    ON 04 SEP          BCC</t>
  </si>
  <si>
    <t>T K MAXX              ON 05 SEP          CLP</t>
  </si>
  <si>
    <t>COSTA COFFEE 43035    ON 05 SEP          CLP</t>
  </si>
  <si>
    <t>FROSTS GARDEN CENT    ON 06 SEP          CLP</t>
  </si>
  <si>
    <t>COSTA COFFEE 43035    ON 06 SEP          CLP</t>
  </si>
  <si>
    <t>MARKS&amp;SPENCER PLC     ON 06 SEP          BCC</t>
  </si>
  <si>
    <t>BP BEDFORD EXPRESS    ON 05 SEP          BCC</t>
  </si>
  <si>
    <t xml:space="preserve">205397 30728691       MOBILE-CHANNEL     FT </t>
  </si>
  <si>
    <t>MARKS&amp;SPENCER PLC     ON 08 SEP          CLP</t>
  </si>
  <si>
    <t>MARKS&amp;SPENCER PLC     ON 07 SEP          CLP</t>
  </si>
  <si>
    <t>Wilstead Tandoori     ON 08 SEP          CLP</t>
  </si>
  <si>
    <t>LAKESIDE FISH AND     ON 07 SEP          CLP</t>
  </si>
  <si>
    <t>BP BEDFORD EXPRESS    ON 07 SEP          CLP</t>
  </si>
  <si>
    <t>IZ *THE PAVILION T    ON 07 SEP          CLP</t>
  </si>
  <si>
    <t xml:space="preserve">TESCO                 TESCO BEDFORD CARD    </t>
  </si>
  <si>
    <t>WWW.OPRO.COM          ON 07 SEP          BCC</t>
  </si>
  <si>
    <t>TESCO STORE 2547      ON 09 SEP          BCC</t>
  </si>
  <si>
    <t>BP BEDFORD EXPRESS    ON 08 SEP          BCC</t>
  </si>
  <si>
    <t>TESCO STORE 2105      ON 10 SEP          CLP</t>
  </si>
  <si>
    <t>TESCO STORES-2105     ON 10 SEP          CLP</t>
  </si>
  <si>
    <t>T K MAXX              ON 11 SEP          CLP</t>
  </si>
  <si>
    <t>COSTA COFFEE 43035    ON 11 SEP          CLP</t>
  </si>
  <si>
    <t>TESCO STORE 2105      ON 11 SEP          BCC</t>
  </si>
  <si>
    <t>JOLLYES THE PET SU    ON 12 SEP          CLP</t>
  </si>
  <si>
    <t>MARKS&amp;SPENCER PLC     ON 13 SEP          CLP</t>
  </si>
  <si>
    <t>BP BEDFORD EXPRESS    ON 12 SEP          CLP</t>
  </si>
  <si>
    <t>COSTA COFFEE 43035    ON 13 SEP          CLP</t>
  </si>
  <si>
    <t>IZ *THE PAVILION T    ON 13 SEP          CLP</t>
  </si>
  <si>
    <t>NATIONAL LOTTERY I    ON 13 SEP          BCC</t>
  </si>
  <si>
    <t>PRIMARK               ON 15 SEP          CLP</t>
  </si>
  <si>
    <t>MARKS&amp;SPENCER PLC     ON 14 SEP          CLP</t>
  </si>
  <si>
    <t>T K MAXX              ON 14 SEP          CLP</t>
  </si>
  <si>
    <t>COSTA COFFEE 43034    ON 15 SEP          CLP</t>
  </si>
  <si>
    <t>COSTA COFFEE 43035    ON 14 SEP          CLP</t>
  </si>
  <si>
    <t>BP BEDFORD EXPRESS    ON 13 SEP          BCC</t>
  </si>
  <si>
    <t>MARKS&amp;SPENCER PLC     ON 15 SEP          BCC</t>
  </si>
  <si>
    <t>MKC PARKING RINGGO    ON 16 SEP          BCC</t>
  </si>
  <si>
    <t>PHONEANDPAY.CO.UK     ON 15 SEP          BCC</t>
  </si>
  <si>
    <t>200574 15SEP 11.24    BEDFORD 5          ATM</t>
  </si>
  <si>
    <t>BUDGENS               ON 17 SEP          CLP</t>
  </si>
  <si>
    <t>COSTA COFFEE 43035    ON 17 SEP          CLP</t>
  </si>
  <si>
    <t>OUTFIT                ON 17 SEP          BCC</t>
  </si>
  <si>
    <t>TESCO STORE 2105      ON 18 SEP          CLP</t>
  </si>
  <si>
    <t>TESCO STORES-2105     ON 18 SEP          CLP</t>
  </si>
  <si>
    <t>BP NEWHAM AVENUE C    ON 17 SEP          BCC</t>
  </si>
  <si>
    <t xml:space="preserve">205397 30728691       OPTIONAL           FT </t>
  </si>
  <si>
    <t>Bugisiw Limited       MTUCKER            BGC</t>
  </si>
  <si>
    <t xml:space="preserve">207409 60458872       MTUCKER            FT </t>
  </si>
  <si>
    <t>BP BEDFORD EXPRESS    ON 18 SEP          CLP</t>
  </si>
  <si>
    <t>BOOTS 6407            ON 20 SEP          CLP</t>
  </si>
  <si>
    <t>SPORTSDIRECT 233      ON 20 SEP          CLP</t>
  </si>
  <si>
    <t>BUDGENS               ON 20 SEP          CLP</t>
  </si>
  <si>
    <t>COSTA COFFEE 43035    ON 20 SEP          CLP</t>
  </si>
  <si>
    <t>FRANKIE &amp; BENNYS 5    ON 20 SEP          BCC</t>
  </si>
  <si>
    <t>BP BEDFORD EXPRESS    ON 22 SEP          CLP</t>
  </si>
  <si>
    <t>COSTA COFFEE 43035    ON 22 SEP          CLP</t>
  </si>
  <si>
    <t>COSTA COFFEE 43035    ON 21 SEP          CLP</t>
  </si>
  <si>
    <t>BP BEDFORD EXPRESS    ON 21 SEP          BCC</t>
  </si>
  <si>
    <t>NEW COUNTY SERVICE    ON 22 SEP          BCC</t>
  </si>
  <si>
    <t>HOMESENSE             ON 21 SEP          BCC</t>
  </si>
  <si>
    <t>IZ *THE PAVILION T    ON 24 SEP          CLP</t>
  </si>
  <si>
    <t>TESCO STORE 2105      ON 24 SEP          BCC</t>
  </si>
  <si>
    <t>BP BEDFORD EXPRESS    ON 23 SEP          BCC</t>
  </si>
  <si>
    <t>MARKS&amp;SPENCER PLC     ON 25 SEP          CLP</t>
  </si>
  <si>
    <t>COSTA COFFEE 43035    ON 25 SEP          CLP</t>
  </si>
  <si>
    <t>REFUND</t>
  </si>
  <si>
    <t>HOMESENSE             ON 26 SEP          CLR</t>
  </si>
  <si>
    <t>TUCK&amp;VALEN HSE%0 P    207409 40406538    STO</t>
  </si>
  <si>
    <t>COSTA COFFEE 43035    ON 26 SEP          CLP</t>
  </si>
  <si>
    <t>IZ *THE PAVILION T    ON 26 SEP          CLP</t>
  </si>
  <si>
    <t>TESCO STORE 2105      ON 26 SEP          BCC</t>
  </si>
  <si>
    <t>MARKS&amp;SPENCER PLC     ON 27 SEP          CLP</t>
  </si>
  <si>
    <t>TESCO STORES-2105     ON 27 SEP          CLP</t>
  </si>
  <si>
    <t>COSTA COFFEE 43035    ON 27 SEP          CLP</t>
  </si>
  <si>
    <t>IZ *THE PAVILION T    ON 27 SEP          CLP</t>
  </si>
  <si>
    <t>Carpets 4-6</t>
  </si>
  <si>
    <t>Transfer from Bugisiw</t>
  </si>
  <si>
    <t>F23 payment for IV</t>
  </si>
  <si>
    <t>Complete works at 163</t>
  </si>
  <si>
    <t>I</t>
  </si>
  <si>
    <t>House plant</t>
  </si>
  <si>
    <t>NAS disk drives</t>
  </si>
  <si>
    <t>Ivana car</t>
  </si>
  <si>
    <t>Disk caddy</t>
  </si>
  <si>
    <t>Disco parrot</t>
  </si>
  <si>
    <t>Car service</t>
  </si>
  <si>
    <t>New work clothes</t>
  </si>
  <si>
    <t>Desk</t>
  </si>
  <si>
    <t>Solicitor question</t>
  </si>
  <si>
    <t>SAINSBURYS S/MKT     ON 22 SEP          BCC</t>
  </si>
  <si>
    <t>CLAIRES ACCESSORI    ON 15 SEP          BCC</t>
  </si>
  <si>
    <t>BK</t>
  </si>
  <si>
    <t>BK,MT</t>
  </si>
  <si>
    <t>BK,PM,EX</t>
  </si>
  <si>
    <t>RT</t>
  </si>
  <si>
    <t>MF</t>
  </si>
  <si>
    <t>PM</t>
  </si>
  <si>
    <t>EX</t>
  </si>
  <si>
    <t>Mr David Connor (30/08/2013 - present)</t>
  </si>
  <si>
    <t>Nathalie Rockmer (15/09/2018 - present)</t>
  </si>
  <si>
    <t>Beals</t>
  </si>
  <si>
    <t>Carrington (26/11/2010 - present)</t>
  </si>
  <si>
    <t>Susan Parkinson (06/11/2016 - present)</t>
  </si>
  <si>
    <t>Lee Knowles (11/04/2014 - present)</t>
  </si>
  <si>
    <t>Mr Robinson (15/05/2013 - present)</t>
  </si>
  <si>
    <t>K Aldridge (06/01/2012 - present)</t>
  </si>
  <si>
    <t>Mr Pedace (02/04/2015 - present)</t>
  </si>
  <si>
    <t>Mr N Olsen (09/06/2014 - present)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</si>
  <si>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</si>
  <si>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</si>
  <si>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</si>
  <si>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</si>
  <si>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</si>
  <si>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Yue Ting Edwin Lam (18/09/2018 - present)</t>
  </si>
  <si>
    <t>Phoebe Louise Ranger (01/08/2018 - present)</t>
  </si>
  <si>
    <t>Miss S Smith (14/10/2016 - present)</t>
  </si>
  <si>
    <t>Mr Hinks (08/11/2013 - present)</t>
  </si>
  <si>
    <t>Andrew Austin (30/04/2018 - present)</t>
  </si>
  <si>
    <t>J Hill (10/04/2015 - present)</t>
  </si>
  <si>
    <t>Dionne McLaughlin (26/06/2009 - present)</t>
  </si>
  <si>
    <t>Sinead OBrien (20/12/2016 - present)</t>
  </si>
  <si>
    <t>Ms Baziukiene (16/09/2015 - present)</t>
  </si>
  <si>
    <t>Matthew Skelton (08/02/2018 - present)</t>
  </si>
  <si>
    <t>Andrew Greer (18/07/2017 - present)</t>
  </si>
  <si>
    <t>Tony Di-Marco (06/05/2017 - present)</t>
  </si>
  <si>
    <t>Valverde (23/02/2007 - present)</t>
  </si>
  <si>
    <t>Aleksandra Raadzevics (14/11/2016 -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</si>
  <si>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</si>
  <si>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</si>
  <si>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</si>
  <si>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</si>
  <si>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Julie Betteridge (28/02/2018 -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</si>
  <si>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</si>
  <si>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</si>
  <si>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</si>
  <si>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</si>
  <si>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</si>
  <si>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</si>
  <si>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</si>
  <si>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</si>
  <si>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</si>
  <si>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</si>
  <si>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</si>
  <si>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</si>
  <si>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</si>
  <si>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</si>
  <si>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Receipt - Flat 3, 16-18 Alhambra Road, Southsea</t>
  </si>
  <si>
    <t>JOINED</t>
  </si>
  <si>
    <t>window and toilet leak -  - Flat 3, 16-18 Alhambra Road, Southsea</t>
  </si>
  <si>
    <t>Heating - United P H Limited - Flat 16, 16-18 Alhambra Road, Southsea</t>
  </si>
  <si>
    <t>Electric -  - Flat 16, 16-18 Alhambra Road, Southsea</t>
  </si>
  <si>
    <t>Reversal - Flat 1, 16-18 Alhambra Road, Southsea</t>
  </si>
  <si>
    <t>Landlord Gas Safety &amp; Service - Beals Plumbing - Flat 1, 16-18 Alhambra Road, Southsea</t>
  </si>
  <si>
    <t>Bathroom - Cigma - 23b Hampshire Terrace, Portsmouth</t>
  </si>
  <si>
    <t>lights  - Cigma - 23b Hampshire Terrace, Portsmouth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</si>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</sst>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i/>
      <sz val="1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2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 applyProtection="1"/>
    <xf numFmtId="0" fontId="0" fillId="0" borderId="0" xfId="0" applyProtection="1"/>
    <xf numFmtId="0" fontId="6" fillId="0" borderId="0" xfId="0" applyFont="1" applyBorder="1" applyProtection="1"/>
    <xf numFmtId="0" fontId="6" fillId="0" borderId="0" xfId="0" applyFont="1" applyProtection="1"/>
    <xf numFmtId="0" fontId="0" fillId="0" borderId="0" xfId="0" applyBorder="1" applyProtection="1"/>
    <xf numFmtId="0" fontId="2" fillId="0" borderId="0" xfId="0" applyFont="1" applyBorder="1" applyProtection="1"/>
    <xf numFmtId="0" fontId="8" fillId="2" borderId="1" xfId="0" applyNumberFormat="1" applyFont="1" applyFill="1" applyBorder="1" applyAlignment="1" applyProtection="1">
      <alignment wrapText="1"/>
    </xf>
    <xf numFmtId="0" fontId="8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8" fillId="0" borderId="0" xfId="0" applyNumberFormat="1" applyFont="1" applyBorder="1" applyProtection="1"/>
    <xf numFmtId="0" fontId="0" fillId="3" borderId="4" xfId="0" applyFill="1" applyBorder="1" applyProtection="1"/>
    <xf numFmtId="0" fontId="8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3" fillId="0" borderId="0" xfId="0" applyFont="1" applyProtection="1"/>
    <xf numFmtId="0" fontId="13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NumberFormat="1" applyFont="1" applyFill="1" applyBorder="1" applyAlignment="1" applyProtection="1">
      <alignment wrapText="1"/>
    </xf>
    <xf numFmtId="0" fontId="8" fillId="5" borderId="11" xfId="0" applyNumberFormat="1" applyFont="1" applyFill="1" applyBorder="1" applyAlignment="1" applyProtection="1">
      <alignment vertical="top" wrapText="1"/>
    </xf>
    <xf numFmtId="0" fontId="8" fillId="5" borderId="12" xfId="0" applyNumberFormat="1" applyFont="1" applyFill="1" applyBorder="1" applyAlignment="1" applyProtection="1">
      <alignment horizontal="left" wrapText="1"/>
    </xf>
    <xf numFmtId="0" fontId="8" fillId="5" borderId="13" xfId="0" applyNumberFormat="1" applyFont="1" applyFill="1" applyBorder="1" applyAlignment="1" applyProtection="1">
      <alignment horizontal="left" wrapText="1"/>
    </xf>
    <xf numFmtId="167" fontId="8" fillId="5" borderId="5" xfId="0" applyNumberFormat="1" applyFont="1" applyFill="1" applyBorder="1" applyAlignment="1" applyProtection="1">
      <alignment wrapText="1"/>
    </xf>
    <xf numFmtId="167" fontId="9" fillId="5" borderId="5" xfId="0" applyNumberFormat="1" applyFont="1" applyFill="1" applyBorder="1" applyAlignment="1" applyProtection="1">
      <alignment wrapText="1"/>
    </xf>
    <xf numFmtId="0" fontId="8" fillId="5" borderId="5" xfId="0" applyNumberFormat="1" applyFont="1" applyFill="1" applyBorder="1" applyAlignment="1" applyProtection="1">
      <alignment wrapText="1"/>
    </xf>
    <xf numFmtId="0" fontId="14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7" fillId="5" borderId="9" xfId="0" applyFont="1" applyFill="1" applyBorder="1"/>
    <xf numFmtId="0" fontId="0" fillId="0" borderId="5" xfId="0" applyBorder="1" applyProtection="1"/>
    <xf numFmtId="0" fontId="12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4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5" fillId="0" borderId="0" xfId="0" applyFont="1"/>
    <xf numFmtId="0" fontId="8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5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8" fillId="0" borderId="0" xfId="0" applyNumberFormat="1" applyFont="1"/>
    <xf numFmtId="0" fontId="18" fillId="0" borderId="0" xfId="0" applyFont="1"/>
    <xf numFmtId="14" fontId="18" fillId="0" borderId="0" xfId="0" applyNumberFormat="1" applyFont="1"/>
    <xf numFmtId="0" fontId="3" fillId="0" borderId="0" xfId="0" applyFont="1" applyBorder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3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4" fillId="7" borderId="6" xfId="0" applyNumberFormat="1" applyFont="1" applyFill="1" applyBorder="1" applyAlignment="1" applyProtection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5" fillId="7" borderId="7" xfId="0" applyNumberFormat="1" applyFont="1" applyFill="1" applyBorder="1" applyAlignment="1" applyProtection="1">
      <alignment horizontal="center"/>
      <protection locked="0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5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5" fillId="7" borderId="6" xfId="0" applyNumberFormat="1" applyFont="1" applyFill="1" applyBorder="1" applyAlignment="1" applyProtection="1">
      <alignment horizontal="center"/>
    </xf>
    <xf numFmtId="166" fontId="5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2" fillId="0" borderId="0" xfId="0" applyNumberFormat="1" applyFont="1"/>
    <xf numFmtId="0" fontId="5" fillId="0" borderId="0" xfId="0" quotePrefix="1" applyFont="1"/>
    <xf numFmtId="0" fontId="5" fillId="0" borderId="0" xfId="0" applyFont="1" applyFill="1"/>
    <xf numFmtId="0" fontId="0" fillId="0" borderId="0" xfId="0" applyFont="1" applyFill="1"/>
    <xf numFmtId="14" fontId="0" fillId="0" borderId="0" xfId="0" applyNumberFormat="1" applyFill="1"/>
    <xf numFmtId="14" fontId="0" fillId="0" borderId="0" xfId="0" applyNumberForma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0" fontId="0" fillId="0" borderId="0" xfId="0" applyFill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5" fillId="8" borderId="6" xfId="0" applyFont="1" applyFill="1" applyBorder="1" applyProtection="1">
      <protection locked="0"/>
    </xf>
    <xf numFmtId="14" fontId="0" fillId="0" borderId="0" xfId="0" applyNumberFormat="1"/>
    <xf numFmtId="9" fontId="0" fillId="0" borderId="7" xfId="0" applyNumberFormat="1" applyFill="1" applyBorder="1"/>
    <xf numFmtId="0" fontId="20" fillId="0" borderId="12" xfId="0" applyFont="1" applyFill="1" applyBorder="1" applyAlignment="1">
      <alignment wrapText="1"/>
    </xf>
    <xf numFmtId="9" fontId="0" fillId="0" borderId="0" xfId="0" applyNumberFormat="1" applyFill="1" applyBorder="1"/>
    <xf numFmtId="14" fontId="0" fillId="0" borderId="0" xfId="0" applyNumberFormat="1"/>
    <xf numFmtId="0" fontId="3" fillId="0" borderId="0" xfId="0" applyFont="1" applyFill="1"/>
    <xf numFmtId="166" fontId="0" fillId="5" borderId="6" xfId="0" applyNumberFormat="1" applyFill="1" applyBorder="1" applyProtection="1">
      <protection locked="0"/>
    </xf>
    <xf numFmtId="0" fontId="5" fillId="6" borderId="6" xfId="0" applyFont="1" applyFill="1" applyBorder="1" applyProtection="1">
      <protection locked="0"/>
    </xf>
    <xf numFmtId="0" fontId="0" fillId="9" borderId="0" xfId="0" applyFill="1"/>
    <xf numFmtId="0" fontId="23" fillId="0" borderId="0" xfId="0" applyFont="1"/>
    <xf numFmtId="14" fontId="0" fillId="0" borderId="0" xfId="0" applyNumberFormat="1"/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65532"/>
  <sheetViews>
    <sheetView showGridLines="0" tabSelected="1" topLeftCell="A7" zoomScale="70" zoomScaleNormal="70" workbookViewId="0">
      <selection activeCell="O28" sqref="O28"/>
    </sheetView>
  </sheetViews>
  <sheetFormatPr defaultRowHeight="12.75" x14ac:dyDescent="0.2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3" width="11.7109375" style="7" customWidth="1"/>
    <col min="14" max="14" width="16.28515625" style="7" bestFit="1" customWidth="1"/>
    <col min="15" max="15" width="14.140625" style="7" customWidth="1"/>
    <col min="16" max="16" width="13.7109375" style="7" customWidth="1"/>
    <col min="17" max="17" width="16.140625" style="20" customWidth="1"/>
    <col min="18" max="18" width="42.28515625" style="7" customWidth="1"/>
    <col min="19" max="19" width="28.7109375" style="7" bestFit="1" customWidth="1"/>
    <col min="20" max="20" width="27.140625" style="7" bestFit="1" customWidth="1"/>
    <col min="21" max="22" width="13.42578125" style="7" bestFit="1" customWidth="1"/>
    <col min="23" max="16384" width="9.140625" style="7"/>
  </cols>
  <sheetData>
    <row r="1" spans="1:22" ht="18" x14ac:dyDescent="0.25">
      <c r="A1" s="6" t="s">
        <v>134</v>
      </c>
    </row>
    <row r="3" spans="1:22" ht="15" x14ac:dyDescent="0.2">
      <c r="A3" s="8" t="s">
        <v>31</v>
      </c>
      <c r="B3" s="94">
        <v>43373</v>
      </c>
    </row>
    <row r="4" spans="1:22" ht="14.25" x14ac:dyDescent="0.2">
      <c r="A4" s="9"/>
      <c r="B4" s="9"/>
    </row>
    <row r="5" spans="1:22" ht="14.25" customHeight="1" x14ac:dyDescent="0.2">
      <c r="A5" s="61" t="s">
        <v>549</v>
      </c>
      <c r="B5" s="43"/>
      <c r="C5" s="10"/>
      <c r="D5" s="10"/>
    </row>
    <row r="6" spans="1:22" x14ac:dyDescent="0.2">
      <c r="A6" s="11"/>
      <c r="Q6" s="21"/>
    </row>
    <row r="7" spans="1:22" ht="28.5" x14ac:dyDescent="0.2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552</v>
      </c>
      <c r="M7" s="31" t="s">
        <v>553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415</v>
      </c>
      <c r="U7" s="31" t="s">
        <v>460</v>
      </c>
      <c r="V7" s="31" t="s">
        <v>20</v>
      </c>
    </row>
    <row r="8" spans="1:22" ht="19.5" customHeight="1" x14ac:dyDescent="0.2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 x14ac:dyDescent="0.2">
      <c r="A9" s="48"/>
      <c r="B9" s="44"/>
      <c r="C9" s="45"/>
      <c r="D9" s="81"/>
      <c r="E9" s="81"/>
      <c r="F9" s="82"/>
      <c r="G9" s="83"/>
      <c r="H9" s="83"/>
      <c r="I9" s="84"/>
      <c r="J9" s="87"/>
      <c r="K9" s="85"/>
      <c r="L9" s="84"/>
      <c r="M9" s="121"/>
      <c r="N9" s="47"/>
      <c r="O9" s="82"/>
      <c r="P9" s="46" t="str">
        <f t="shared" ref="P9:P20" si="0">IFERROR(IF(M9-O9&lt;&gt;0,M9-O9,""),-O9)</f>
        <v/>
      </c>
      <c r="Q9" s="146">
        <f>IF(F9&lt;&gt;"",-(F9-G9-H9-I9-J9),0)</f>
        <v>0</v>
      </c>
      <c r="R9" s="58"/>
      <c r="S9" s="74" t="s">
        <v>197</v>
      </c>
      <c r="T9" s="75"/>
      <c r="U9" s="75"/>
      <c r="V9" s="75">
        <v>2</v>
      </c>
    </row>
    <row r="10" spans="1:22" ht="12.75" customHeight="1" x14ac:dyDescent="0.2">
      <c r="A10" s="29" t="s">
        <v>53</v>
      </c>
      <c r="B10" s="23" t="s">
        <v>1054</v>
      </c>
      <c r="C10" s="27" t="s">
        <v>95</v>
      </c>
      <c r="D10" s="81">
        <v>43366</v>
      </c>
      <c r="E10" s="85">
        <v>43395</v>
      </c>
      <c r="F10" s="86">
        <v>499.04</v>
      </c>
      <c r="G10" s="83">
        <v>29.94</v>
      </c>
      <c r="H10" s="83">
        <v>5.99</v>
      </c>
      <c r="I10" s="84">
        <v>25</v>
      </c>
      <c r="J10" s="87">
        <v>438.11</v>
      </c>
      <c r="K10" s="85">
        <v>43368.718055555553</v>
      </c>
      <c r="L10" s="84"/>
      <c r="M10" s="121">
        <f t="shared" ref="M10:M63" si="1">IF(F10-G10-H10-I10-L10&lt;&gt;0, F10-G10-H10-I10-L10,"")</f>
        <v>438.11</v>
      </c>
      <c r="N10" s="47" t="s">
        <v>6</v>
      </c>
      <c r="O10" s="86">
        <v>177.04</v>
      </c>
      <c r="P10" s="46">
        <f t="shared" si="0"/>
        <v>261.07000000000005</v>
      </c>
      <c r="Q10" s="147">
        <f t="shared" ref="Q10:Q63" si="2">IF(F10&lt;&gt;"",-(F10-G10-H10-I10-J10),0)</f>
        <v>0</v>
      </c>
      <c r="R10" s="60" t="s">
        <v>566</v>
      </c>
      <c r="S10" s="74" t="s">
        <v>197</v>
      </c>
      <c r="T10" s="26" t="s">
        <v>406</v>
      </c>
      <c r="U10" s="79" t="s">
        <v>416</v>
      </c>
      <c r="V10" s="79">
        <v>1</v>
      </c>
    </row>
    <row r="11" spans="1:22" ht="12.75" customHeight="1" x14ac:dyDescent="0.2">
      <c r="A11" s="29" t="s">
        <v>54</v>
      </c>
      <c r="B11" s="23" t="s">
        <v>572</v>
      </c>
      <c r="C11" s="27"/>
      <c r="D11" s="81"/>
      <c r="E11" s="85"/>
      <c r="F11" s="86"/>
      <c r="G11" s="83"/>
      <c r="H11" s="83"/>
      <c r="I11" s="84"/>
      <c r="J11" s="87"/>
      <c r="K11" s="85"/>
      <c r="L11" s="84"/>
      <c r="M11" s="121" t="str">
        <f t="shared" si="1"/>
        <v/>
      </c>
      <c r="N11" s="47" t="s">
        <v>258</v>
      </c>
      <c r="O11" s="86">
        <v>153.01</v>
      </c>
      <c r="P11" s="46">
        <f t="shared" si="0"/>
        <v>-153.01</v>
      </c>
      <c r="Q11" s="147">
        <f t="shared" si="2"/>
        <v>0</v>
      </c>
      <c r="R11" s="150" t="s">
        <v>573</v>
      </c>
      <c r="S11" s="74" t="s">
        <v>197</v>
      </c>
      <c r="T11" s="26" t="s">
        <v>407</v>
      </c>
      <c r="U11" s="26" t="s">
        <v>417</v>
      </c>
      <c r="V11" s="26">
        <v>14</v>
      </c>
    </row>
    <row r="12" spans="1:22" ht="12.75" customHeight="1" x14ac:dyDescent="0.2">
      <c r="A12" s="29" t="s">
        <v>55</v>
      </c>
      <c r="B12" s="23" t="s">
        <v>1055</v>
      </c>
      <c r="C12" s="27" t="s">
        <v>1056</v>
      </c>
      <c r="D12" s="81">
        <v>43358</v>
      </c>
      <c r="E12" s="85">
        <v>43387</v>
      </c>
      <c r="F12" s="86">
        <v>600</v>
      </c>
      <c r="G12" s="83">
        <v>36</v>
      </c>
      <c r="H12" s="83">
        <v>7.2</v>
      </c>
      <c r="I12" s="84"/>
      <c r="J12" s="87">
        <v>556.79999999999995</v>
      </c>
      <c r="K12" s="85">
        <v>43362.652777777781</v>
      </c>
      <c r="L12" s="84"/>
      <c r="M12" s="121">
        <f t="shared" si="1"/>
        <v>556.79999999999995</v>
      </c>
      <c r="N12" s="47" t="s">
        <v>202</v>
      </c>
      <c r="O12" s="86"/>
      <c r="P12" s="46">
        <f t="shared" si="0"/>
        <v>556.79999999999995</v>
      </c>
      <c r="Q12" s="147">
        <f t="shared" si="2"/>
        <v>0</v>
      </c>
      <c r="R12" s="47"/>
      <c r="S12" s="74" t="s">
        <v>197</v>
      </c>
      <c r="T12" s="26" t="s">
        <v>408</v>
      </c>
      <c r="U12" s="26" t="s">
        <v>418</v>
      </c>
      <c r="V12" s="26">
        <v>3</v>
      </c>
    </row>
    <row r="13" spans="1:22" ht="12.75" customHeight="1" x14ac:dyDescent="0.2">
      <c r="A13" s="29" t="s">
        <v>56</v>
      </c>
      <c r="B13" s="23" t="s">
        <v>1057</v>
      </c>
      <c r="C13" s="27" t="s">
        <v>95</v>
      </c>
      <c r="D13" s="81">
        <v>43369</v>
      </c>
      <c r="E13" s="85">
        <v>43398</v>
      </c>
      <c r="F13" s="86">
        <v>499.04</v>
      </c>
      <c r="G13" s="83">
        <v>29.94</v>
      </c>
      <c r="H13" s="83">
        <v>5.99</v>
      </c>
      <c r="I13" s="84"/>
      <c r="J13" s="87">
        <v>463.11</v>
      </c>
      <c r="K13" s="85">
        <v>43369.640972222223</v>
      </c>
      <c r="L13" s="84"/>
      <c r="M13" s="121">
        <f t="shared" si="1"/>
        <v>463.11</v>
      </c>
      <c r="N13" s="47" t="s">
        <v>6</v>
      </c>
      <c r="O13" s="86">
        <v>177.08</v>
      </c>
      <c r="P13" s="46">
        <f t="shared" si="0"/>
        <v>286.02999999999997</v>
      </c>
      <c r="Q13" s="147">
        <f t="shared" si="2"/>
        <v>0</v>
      </c>
      <c r="R13" s="47"/>
      <c r="S13" s="74" t="s">
        <v>197</v>
      </c>
      <c r="T13" s="26" t="s">
        <v>406</v>
      </c>
      <c r="U13" s="79" t="s">
        <v>419</v>
      </c>
      <c r="V13" s="79">
        <v>4</v>
      </c>
    </row>
    <row r="14" spans="1:22" ht="12.75" customHeight="1" x14ac:dyDescent="0.2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21" t="str">
        <f t="shared" si="1"/>
        <v/>
      </c>
      <c r="N14" s="47"/>
      <c r="O14" s="82"/>
      <c r="P14" s="46">
        <f t="shared" si="0"/>
        <v>0</v>
      </c>
      <c r="Q14" s="147">
        <f t="shared" si="2"/>
        <v>0</v>
      </c>
      <c r="R14" s="47"/>
      <c r="S14" s="74" t="s">
        <v>197</v>
      </c>
      <c r="T14" s="26"/>
      <c r="U14" s="26"/>
      <c r="V14" s="26">
        <v>7</v>
      </c>
    </row>
    <row r="15" spans="1:22" ht="12.75" customHeight="1" x14ac:dyDescent="0.2">
      <c r="A15" s="29" t="s">
        <v>57</v>
      </c>
      <c r="B15" s="23" t="s">
        <v>1058</v>
      </c>
      <c r="C15" s="27" t="s">
        <v>1056</v>
      </c>
      <c r="D15" s="81">
        <v>43318</v>
      </c>
      <c r="E15" s="81">
        <v>43378</v>
      </c>
      <c r="F15" s="86">
        <v>466.12</v>
      </c>
      <c r="G15" s="83">
        <v>27.96</v>
      </c>
      <c r="H15" s="83">
        <v>5.59</v>
      </c>
      <c r="I15" s="84">
        <v>285</v>
      </c>
      <c r="J15" s="87">
        <v>147.57</v>
      </c>
      <c r="K15" s="85">
        <v>43368.718055555553</v>
      </c>
      <c r="L15" s="84">
        <v>28.92</v>
      </c>
      <c r="M15" s="121">
        <f t="shared" si="1"/>
        <v>118.65000000000005</v>
      </c>
      <c r="N15" s="47" t="s">
        <v>6</v>
      </c>
      <c r="O15" s="86">
        <v>159.5</v>
      </c>
      <c r="P15" s="46">
        <f t="shared" si="0"/>
        <v>-40.849999999999952</v>
      </c>
      <c r="Q15" s="147">
        <f t="shared" si="2"/>
        <v>-5.6843418860808015E-14</v>
      </c>
      <c r="R15" s="47"/>
      <c r="S15" s="74" t="s">
        <v>197</v>
      </c>
      <c r="T15" s="26" t="s">
        <v>406</v>
      </c>
      <c r="U15" s="79" t="s">
        <v>420</v>
      </c>
      <c r="V15" s="79">
        <v>5</v>
      </c>
    </row>
    <row r="16" spans="1:22" ht="12.75" customHeight="1" x14ac:dyDescent="0.2">
      <c r="A16" s="29" t="s">
        <v>58</v>
      </c>
      <c r="B16" s="23" t="s">
        <v>1059</v>
      </c>
      <c r="C16" s="27" t="s">
        <v>95</v>
      </c>
      <c r="D16" s="81">
        <v>43354</v>
      </c>
      <c r="E16" s="85">
        <v>43383</v>
      </c>
      <c r="F16" s="86">
        <v>499.04</v>
      </c>
      <c r="G16" s="83">
        <v>29.94</v>
      </c>
      <c r="H16" s="83">
        <v>5.99</v>
      </c>
      <c r="I16" s="84"/>
      <c r="J16" s="87">
        <v>463.11</v>
      </c>
      <c r="K16" s="85">
        <v>43354.663888888892</v>
      </c>
      <c r="L16" s="84"/>
      <c r="M16" s="121">
        <f t="shared" si="1"/>
        <v>463.11</v>
      </c>
      <c r="N16" s="47" t="s">
        <v>6</v>
      </c>
      <c r="O16" s="86"/>
      <c r="P16" s="46">
        <f t="shared" si="0"/>
        <v>463.11</v>
      </c>
      <c r="Q16" s="147">
        <f t="shared" si="2"/>
        <v>0</v>
      </c>
      <c r="R16" s="47"/>
      <c r="S16" s="74" t="s">
        <v>197</v>
      </c>
      <c r="T16" s="26" t="s">
        <v>408</v>
      </c>
      <c r="U16" s="78">
        <v>907372200</v>
      </c>
      <c r="V16" s="96">
        <v>6</v>
      </c>
    </row>
    <row r="17" spans="1:22" ht="12.75" customHeight="1" x14ac:dyDescent="0.2">
      <c r="A17" s="29" t="s">
        <v>59</v>
      </c>
      <c r="B17" s="23" t="s">
        <v>1060</v>
      </c>
      <c r="C17" s="27" t="s">
        <v>95</v>
      </c>
      <c r="D17" s="81">
        <v>43358</v>
      </c>
      <c r="E17" s="85">
        <v>43387</v>
      </c>
      <c r="F17" s="86">
        <v>500</v>
      </c>
      <c r="G17" s="83">
        <v>30</v>
      </c>
      <c r="H17" s="83">
        <v>6</v>
      </c>
      <c r="I17" s="84"/>
      <c r="J17" s="87">
        <v>464</v>
      </c>
      <c r="K17" s="85">
        <v>43368.718055555553</v>
      </c>
      <c r="L17" s="84"/>
      <c r="M17" s="121">
        <f t="shared" si="1"/>
        <v>464</v>
      </c>
      <c r="N17" s="47" t="s">
        <v>6</v>
      </c>
      <c r="O17" s="86">
        <v>145.28</v>
      </c>
      <c r="P17" s="46">
        <f t="shared" si="0"/>
        <v>318.72000000000003</v>
      </c>
      <c r="Q17" s="147">
        <f t="shared" si="2"/>
        <v>0</v>
      </c>
      <c r="R17" s="47"/>
      <c r="S17" s="74" t="s">
        <v>197</v>
      </c>
      <c r="T17" s="26" t="s">
        <v>407</v>
      </c>
      <c r="U17" s="26" t="s">
        <v>421</v>
      </c>
      <c r="V17" s="26">
        <v>8</v>
      </c>
    </row>
    <row r="18" spans="1:22" ht="12.75" customHeight="1" x14ac:dyDescent="0.2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1" t="str">
        <f t="shared" si="1"/>
        <v/>
      </c>
      <c r="N18" s="47"/>
      <c r="O18" s="82"/>
      <c r="P18" s="46">
        <f t="shared" si="0"/>
        <v>0</v>
      </c>
      <c r="Q18" s="147">
        <f t="shared" si="2"/>
        <v>0</v>
      </c>
      <c r="R18" s="47"/>
      <c r="S18" s="74" t="s">
        <v>395</v>
      </c>
      <c r="T18" s="26"/>
      <c r="U18" s="26"/>
      <c r="V18" s="26">
        <v>50</v>
      </c>
    </row>
    <row r="19" spans="1:22" ht="12.75" customHeight="1" x14ac:dyDescent="0.2">
      <c r="A19" s="29" t="s">
        <v>186</v>
      </c>
      <c r="B19" s="23" t="s">
        <v>1061</v>
      </c>
      <c r="C19" s="27" t="s">
        <v>95</v>
      </c>
      <c r="D19" s="81">
        <v>43318</v>
      </c>
      <c r="E19" s="81">
        <v>43378</v>
      </c>
      <c r="F19" s="86">
        <v>580</v>
      </c>
      <c r="G19" s="83">
        <v>34.799999999999997</v>
      </c>
      <c r="H19" s="83">
        <v>6.96</v>
      </c>
      <c r="I19" s="84"/>
      <c r="J19" s="87">
        <v>538.24</v>
      </c>
      <c r="K19" s="85">
        <v>43368.718055555553</v>
      </c>
      <c r="L19" s="84"/>
      <c r="M19" s="121">
        <f t="shared" si="1"/>
        <v>538.24</v>
      </c>
      <c r="N19" s="47" t="s">
        <v>6</v>
      </c>
      <c r="O19" s="86">
        <v>236.44</v>
      </c>
      <c r="P19" s="46">
        <f t="shared" si="0"/>
        <v>301.8</v>
      </c>
      <c r="Q19" s="147">
        <f t="shared" si="2"/>
        <v>0</v>
      </c>
      <c r="R19" s="47"/>
      <c r="S19" s="74" t="s">
        <v>197</v>
      </c>
      <c r="T19" s="26" t="s">
        <v>406</v>
      </c>
      <c r="U19" s="79" t="s">
        <v>422</v>
      </c>
      <c r="V19" s="79">
        <v>73</v>
      </c>
    </row>
    <row r="20" spans="1:22" ht="12.75" customHeight="1" x14ac:dyDescent="0.2">
      <c r="A20" s="29" t="s">
        <v>187</v>
      </c>
      <c r="B20" s="23" t="s">
        <v>1062</v>
      </c>
      <c r="C20" s="27" t="s">
        <v>95</v>
      </c>
      <c r="D20" s="81">
        <v>43345</v>
      </c>
      <c r="E20" s="85">
        <v>43374</v>
      </c>
      <c r="F20" s="86">
        <v>494.22</v>
      </c>
      <c r="G20" s="83">
        <v>29.65</v>
      </c>
      <c r="H20" s="83">
        <v>5.93</v>
      </c>
      <c r="I20" s="84"/>
      <c r="J20" s="87">
        <v>458.64</v>
      </c>
      <c r="K20" s="85">
        <v>43354.663888888892</v>
      </c>
      <c r="L20" s="84"/>
      <c r="M20" s="121">
        <f t="shared" si="1"/>
        <v>458.64000000000004</v>
      </c>
      <c r="N20" s="47" t="s">
        <v>6</v>
      </c>
      <c r="O20" s="86">
        <v>209.16</v>
      </c>
      <c r="P20" s="46">
        <f t="shared" si="0"/>
        <v>249.48000000000005</v>
      </c>
      <c r="Q20" s="147">
        <f t="shared" si="2"/>
        <v>-5.6843418860808015E-14</v>
      </c>
      <c r="R20" s="64"/>
      <c r="S20" s="74" t="s">
        <v>197</v>
      </c>
      <c r="T20" s="26" t="s">
        <v>406</v>
      </c>
      <c r="U20" s="79" t="s">
        <v>423</v>
      </c>
      <c r="V20" s="79">
        <v>74</v>
      </c>
    </row>
    <row r="21" spans="1:22" ht="12.75" customHeight="1" x14ac:dyDescent="0.2">
      <c r="A21" s="29" t="s">
        <v>188</v>
      </c>
      <c r="B21" s="23" t="s">
        <v>1063</v>
      </c>
      <c r="C21" s="27" t="s">
        <v>95</v>
      </c>
      <c r="D21" s="81">
        <v>43321</v>
      </c>
      <c r="E21" s="85">
        <v>43381</v>
      </c>
      <c r="F21" s="86">
        <v>461.52</v>
      </c>
      <c r="G21" s="83">
        <v>27.69</v>
      </c>
      <c r="H21" s="83">
        <v>5.54</v>
      </c>
      <c r="I21" s="84"/>
      <c r="J21" s="87">
        <v>428.29</v>
      </c>
      <c r="K21" s="85">
        <v>43368.718055555553</v>
      </c>
      <c r="L21" s="84"/>
      <c r="M21" s="121">
        <f t="shared" si="1"/>
        <v>428.28999999999996</v>
      </c>
      <c r="N21" s="47" t="s">
        <v>6</v>
      </c>
      <c r="O21" s="86">
        <v>254.22</v>
      </c>
      <c r="P21" s="46">
        <f>IFERROR(IF(M21-O21&lt;&gt;0,M21-O21,""),-O21)</f>
        <v>174.06999999999996</v>
      </c>
      <c r="Q21" s="147">
        <f t="shared" si="2"/>
        <v>5.6843418860808015E-14</v>
      </c>
      <c r="R21" s="66"/>
      <c r="S21" s="74" t="s">
        <v>396</v>
      </c>
      <c r="T21" s="26" t="s">
        <v>406</v>
      </c>
      <c r="U21" s="26" t="s">
        <v>424</v>
      </c>
      <c r="V21" s="26">
        <v>75</v>
      </c>
    </row>
    <row r="22" spans="1:22" ht="12.75" customHeight="1" x14ac:dyDescent="0.2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1" t="str">
        <f t="shared" si="1"/>
        <v/>
      </c>
      <c r="N22" s="47"/>
      <c r="O22" s="82"/>
      <c r="P22" s="46">
        <f t="shared" ref="P22:P63" si="3">IFERROR(IF(M22-O22&lt;&gt;0,M22-O22,""),-O22)</f>
        <v>0</v>
      </c>
      <c r="Q22" s="147">
        <f t="shared" si="2"/>
        <v>0</v>
      </c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">
      <c r="A23" s="29" t="s">
        <v>60</v>
      </c>
      <c r="B23" s="23" t="s">
        <v>572</v>
      </c>
      <c r="C23" s="27"/>
      <c r="D23" s="81"/>
      <c r="E23" s="85"/>
      <c r="F23" s="86"/>
      <c r="G23" s="83"/>
      <c r="H23" s="83"/>
      <c r="I23" s="84"/>
      <c r="J23" s="87"/>
      <c r="K23" s="85"/>
      <c r="L23" s="84">
        <v>3435.27</v>
      </c>
      <c r="M23" s="121">
        <f t="shared" si="1"/>
        <v>-3435.27</v>
      </c>
      <c r="N23" s="47" t="s">
        <v>202</v>
      </c>
      <c r="O23" s="86">
        <v>169.25</v>
      </c>
      <c r="P23" s="46">
        <f t="shared" si="3"/>
        <v>-3604.52</v>
      </c>
      <c r="Q23" s="147">
        <f t="shared" si="2"/>
        <v>0</v>
      </c>
      <c r="R23" s="158" t="s">
        <v>571</v>
      </c>
      <c r="S23" s="74" t="s">
        <v>197</v>
      </c>
      <c r="T23" s="26" t="s">
        <v>406</v>
      </c>
      <c r="U23" s="79" t="s">
        <v>425</v>
      </c>
      <c r="V23" s="79">
        <v>9</v>
      </c>
    </row>
    <row r="24" spans="1:22" ht="12.75" customHeight="1" x14ac:dyDescent="0.2">
      <c r="A24" s="29" t="s">
        <v>61</v>
      </c>
      <c r="B24" s="23" t="s">
        <v>1064</v>
      </c>
      <c r="C24" s="27" t="s">
        <v>95</v>
      </c>
      <c r="D24" s="81">
        <v>43357</v>
      </c>
      <c r="E24" s="85">
        <v>43386</v>
      </c>
      <c r="F24" s="86">
        <v>450</v>
      </c>
      <c r="G24" s="83">
        <v>27</v>
      </c>
      <c r="H24" s="83">
        <v>5.4</v>
      </c>
      <c r="I24" s="84"/>
      <c r="J24" s="87">
        <v>417.6</v>
      </c>
      <c r="K24" s="85">
        <v>43357.594444444447</v>
      </c>
      <c r="L24" s="84"/>
      <c r="M24" s="121">
        <f t="shared" si="1"/>
        <v>417.6</v>
      </c>
      <c r="N24" s="47" t="s">
        <v>6</v>
      </c>
      <c r="O24" s="86">
        <v>161.62</v>
      </c>
      <c r="P24" s="46">
        <f t="shared" si="3"/>
        <v>255.98000000000002</v>
      </c>
      <c r="Q24" s="147">
        <f t="shared" si="2"/>
        <v>0</v>
      </c>
      <c r="R24" s="47"/>
      <c r="S24" s="74" t="s">
        <v>197</v>
      </c>
      <c r="T24" s="26" t="s">
        <v>406</v>
      </c>
      <c r="U24" s="79" t="s">
        <v>426</v>
      </c>
      <c r="V24" s="79">
        <v>10</v>
      </c>
    </row>
    <row r="25" spans="1:22" ht="12.75" customHeight="1" x14ac:dyDescent="0.2">
      <c r="A25" s="29" t="s">
        <v>62</v>
      </c>
      <c r="B25" s="23" t="s">
        <v>1065</v>
      </c>
      <c r="C25" s="27" t="s">
        <v>95</v>
      </c>
      <c r="D25" s="81">
        <v>43360</v>
      </c>
      <c r="E25" s="85">
        <v>43389</v>
      </c>
      <c r="F25" s="86">
        <v>395</v>
      </c>
      <c r="G25" s="83">
        <v>23.7</v>
      </c>
      <c r="H25" s="83">
        <v>4.74</v>
      </c>
      <c r="I25" s="84"/>
      <c r="J25" s="87">
        <v>366.56</v>
      </c>
      <c r="K25" s="85">
        <v>43360.663888888892</v>
      </c>
      <c r="L25" s="84"/>
      <c r="M25" s="121">
        <f t="shared" si="1"/>
        <v>366.56</v>
      </c>
      <c r="N25" s="47" t="s">
        <v>6</v>
      </c>
      <c r="O25" s="86"/>
      <c r="P25" s="46">
        <f t="shared" si="3"/>
        <v>366.56</v>
      </c>
      <c r="Q25" s="147">
        <f t="shared" si="2"/>
        <v>0</v>
      </c>
      <c r="R25" s="60"/>
      <c r="S25" s="74" t="s">
        <v>197</v>
      </c>
      <c r="T25" s="26" t="s">
        <v>407</v>
      </c>
      <c r="U25" s="26" t="s">
        <v>427</v>
      </c>
      <c r="V25" s="26">
        <v>11</v>
      </c>
    </row>
    <row r="26" spans="1:22" ht="12.75" customHeight="1" x14ac:dyDescent="0.2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1" t="str">
        <f t="shared" si="1"/>
        <v/>
      </c>
      <c r="N26" s="47"/>
      <c r="O26" s="82"/>
      <c r="P26" s="46">
        <f t="shared" si="3"/>
        <v>0</v>
      </c>
      <c r="Q26" s="147">
        <f t="shared" si="2"/>
        <v>0</v>
      </c>
      <c r="R26" s="47"/>
      <c r="S26" s="74" t="s">
        <v>395</v>
      </c>
      <c r="T26" s="26"/>
      <c r="U26" s="26"/>
      <c r="V26" s="26">
        <v>15</v>
      </c>
    </row>
    <row r="27" spans="1:22" x14ac:dyDescent="0.2">
      <c r="A27" s="29" t="s">
        <v>63</v>
      </c>
      <c r="B27" s="23" t="s">
        <v>1066</v>
      </c>
      <c r="C27" s="27" t="s">
        <v>1056</v>
      </c>
      <c r="D27" s="81">
        <v>43354</v>
      </c>
      <c r="E27" s="81">
        <v>43383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43354.663888888892</v>
      </c>
      <c r="L27" s="84"/>
      <c r="M27" s="121">
        <f t="shared" si="1"/>
        <v>324.8</v>
      </c>
      <c r="N27" s="47" t="s">
        <v>6</v>
      </c>
      <c r="O27" s="128">
        <v>140</v>
      </c>
      <c r="P27" s="46">
        <f t="shared" si="3"/>
        <v>184.8</v>
      </c>
      <c r="Q27" s="147">
        <f t="shared" si="2"/>
        <v>0</v>
      </c>
      <c r="R27" s="47"/>
      <c r="S27" s="74" t="s">
        <v>197</v>
      </c>
      <c r="T27" s="26" t="s">
        <v>409</v>
      </c>
      <c r="U27" s="26" t="s">
        <v>428</v>
      </c>
      <c r="V27" s="26">
        <v>17</v>
      </c>
    </row>
    <row r="28" spans="1:22" x14ac:dyDescent="0.2">
      <c r="A28" s="29" t="s">
        <v>64</v>
      </c>
      <c r="B28" s="23" t="s">
        <v>1067</v>
      </c>
      <c r="C28" s="27" t="s">
        <v>95</v>
      </c>
      <c r="D28" s="81">
        <v>43344</v>
      </c>
      <c r="E28" s="81">
        <v>43373</v>
      </c>
      <c r="F28" s="82">
        <v>520</v>
      </c>
      <c r="G28" s="83">
        <v>31.2</v>
      </c>
      <c r="H28" s="83">
        <v>6.24</v>
      </c>
      <c r="I28" s="84"/>
      <c r="J28" s="87">
        <v>482.56</v>
      </c>
      <c r="K28" s="85">
        <v>43347.691666666666</v>
      </c>
      <c r="L28" s="84">
        <v>63.31</v>
      </c>
      <c r="M28" s="121">
        <f t="shared" si="1"/>
        <v>419.25</v>
      </c>
      <c r="N28" s="47" t="s">
        <v>6</v>
      </c>
      <c r="O28" s="82">
        <v>196.47</v>
      </c>
      <c r="P28" s="46">
        <f t="shared" si="3"/>
        <v>222.78</v>
      </c>
      <c r="Q28" s="147">
        <f t="shared" si="2"/>
        <v>0</v>
      </c>
      <c r="R28" s="66"/>
      <c r="S28" s="74" t="s">
        <v>197</v>
      </c>
      <c r="T28" s="26" t="s">
        <v>407</v>
      </c>
      <c r="U28" s="26" t="s">
        <v>429</v>
      </c>
      <c r="V28" s="26">
        <v>44</v>
      </c>
    </row>
    <row r="29" spans="1:22" ht="12.75" customHeight="1" x14ac:dyDescent="0.2">
      <c r="A29" s="29" t="s">
        <v>65</v>
      </c>
      <c r="B29" s="23" t="s">
        <v>1068</v>
      </c>
      <c r="C29" s="27" t="s">
        <v>95</v>
      </c>
      <c r="D29" s="81">
        <v>43357</v>
      </c>
      <c r="E29" s="81">
        <v>43386</v>
      </c>
      <c r="F29" s="82">
        <v>502.4</v>
      </c>
      <c r="G29" s="83">
        <v>30.14</v>
      </c>
      <c r="H29" s="83">
        <v>6.03</v>
      </c>
      <c r="I29" s="84"/>
      <c r="J29" s="87">
        <v>466.23</v>
      </c>
      <c r="K29" s="85">
        <v>43368.718055555553</v>
      </c>
      <c r="L29" s="84"/>
      <c r="M29" s="121">
        <f t="shared" si="1"/>
        <v>466.23</v>
      </c>
      <c r="N29" s="60" t="s">
        <v>6</v>
      </c>
      <c r="O29" s="82">
        <v>223.11</v>
      </c>
      <c r="P29" s="46">
        <f t="shared" si="3"/>
        <v>243.12</v>
      </c>
      <c r="Q29" s="147">
        <f t="shared" si="2"/>
        <v>0</v>
      </c>
      <c r="R29" s="66"/>
      <c r="S29" s="74" t="s">
        <v>396</v>
      </c>
      <c r="T29" s="26" t="s">
        <v>407</v>
      </c>
      <c r="U29" s="26" t="s">
        <v>430</v>
      </c>
      <c r="V29" s="26">
        <v>16</v>
      </c>
    </row>
    <row r="30" spans="1:22" ht="12.75" customHeight="1" x14ac:dyDescent="0.2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1" t="str">
        <f t="shared" si="1"/>
        <v/>
      </c>
      <c r="N30" s="47"/>
      <c r="O30" s="82"/>
      <c r="P30" s="46">
        <f t="shared" si="3"/>
        <v>0</v>
      </c>
      <c r="Q30" s="147">
        <f t="shared" si="2"/>
        <v>0</v>
      </c>
      <c r="R30" s="66"/>
      <c r="S30" s="74" t="s">
        <v>397</v>
      </c>
      <c r="T30" s="26"/>
      <c r="U30" s="26"/>
      <c r="V30" s="26">
        <v>18</v>
      </c>
    </row>
    <row r="31" spans="1:22" ht="12.75" customHeight="1" x14ac:dyDescent="0.2">
      <c r="A31" s="29" t="s">
        <v>99</v>
      </c>
      <c r="B31" s="23" t="s">
        <v>1069</v>
      </c>
      <c r="C31" s="27" t="s">
        <v>1056</v>
      </c>
      <c r="D31" s="81">
        <v>43361</v>
      </c>
      <c r="E31" s="81">
        <v>43694</v>
      </c>
      <c r="F31" s="82">
        <v>7920</v>
      </c>
      <c r="G31" s="83">
        <v>475.2</v>
      </c>
      <c r="H31" s="83">
        <v>95.04</v>
      </c>
      <c r="I31" s="84">
        <v>520</v>
      </c>
      <c r="J31" s="87">
        <v>6829.76</v>
      </c>
      <c r="K31" s="85">
        <v>43364.579861111109</v>
      </c>
      <c r="L31" s="84"/>
      <c r="M31" s="121">
        <f t="shared" si="1"/>
        <v>6829.76</v>
      </c>
      <c r="N31" s="47" t="s">
        <v>6</v>
      </c>
      <c r="O31" s="82">
        <v>203.48</v>
      </c>
      <c r="P31" s="46">
        <f t="shared" si="3"/>
        <v>6626.2800000000007</v>
      </c>
      <c r="Q31" s="147">
        <f t="shared" si="2"/>
        <v>0</v>
      </c>
      <c r="R31" s="47"/>
      <c r="S31" s="74" t="s">
        <v>197</v>
      </c>
      <c r="T31" s="26" t="s">
        <v>407</v>
      </c>
      <c r="U31" s="26" t="s">
        <v>431</v>
      </c>
      <c r="V31" s="26">
        <v>19</v>
      </c>
    </row>
    <row r="32" spans="1:22" ht="12.75" customHeight="1" x14ac:dyDescent="0.2">
      <c r="A32" s="29" t="s">
        <v>102</v>
      </c>
      <c r="B32" s="23" t="s">
        <v>1070</v>
      </c>
      <c r="C32" s="27" t="s">
        <v>1056</v>
      </c>
      <c r="D32" s="81">
        <v>43344</v>
      </c>
      <c r="E32" s="81">
        <v>43373</v>
      </c>
      <c r="F32" s="82">
        <v>960</v>
      </c>
      <c r="G32" s="83">
        <v>21.6</v>
      </c>
      <c r="H32" s="83">
        <v>4.32</v>
      </c>
      <c r="I32" s="84"/>
      <c r="J32" s="87">
        <v>934.08</v>
      </c>
      <c r="K32" s="85">
        <v>43347.691666666666</v>
      </c>
      <c r="L32" s="84"/>
      <c r="M32" s="121">
        <f t="shared" si="1"/>
        <v>934.07999999999993</v>
      </c>
      <c r="N32" s="47" t="s">
        <v>6</v>
      </c>
      <c r="O32" s="82">
        <v>551.5</v>
      </c>
      <c r="P32" s="46">
        <f t="shared" si="3"/>
        <v>382.57999999999993</v>
      </c>
      <c r="Q32" s="147">
        <f t="shared" si="2"/>
        <v>1.1368683772161603E-13</v>
      </c>
      <c r="R32" s="158" t="s">
        <v>574</v>
      </c>
      <c r="S32" s="74" t="s">
        <v>396</v>
      </c>
      <c r="T32" s="26" t="s">
        <v>410</v>
      </c>
      <c r="U32" s="26" t="s">
        <v>432</v>
      </c>
      <c r="V32" s="26">
        <v>34</v>
      </c>
    </row>
    <row r="33" spans="1:22" ht="12.75" customHeight="1" x14ac:dyDescent="0.2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1" t="str">
        <f t="shared" si="1"/>
        <v/>
      </c>
      <c r="N33" s="59"/>
      <c r="O33" s="82"/>
      <c r="P33" s="46">
        <f t="shared" si="3"/>
        <v>0</v>
      </c>
      <c r="Q33" s="147">
        <f t="shared" si="2"/>
        <v>0</v>
      </c>
      <c r="R33" s="47"/>
      <c r="S33" s="71" t="s">
        <v>399</v>
      </c>
      <c r="T33" s="76"/>
      <c r="U33" s="76"/>
      <c r="V33" s="76">
        <v>20</v>
      </c>
    </row>
    <row r="34" spans="1:22" ht="12.75" customHeight="1" x14ac:dyDescent="0.2">
      <c r="A34" s="29" t="s">
        <v>103</v>
      </c>
      <c r="B34" s="23" t="s">
        <v>1071</v>
      </c>
      <c r="C34" s="27" t="s">
        <v>95</v>
      </c>
      <c r="D34" s="81">
        <v>43357</v>
      </c>
      <c r="E34" s="85">
        <v>43386</v>
      </c>
      <c r="F34" s="86">
        <v>505</v>
      </c>
      <c r="G34" s="83">
        <v>30.3</v>
      </c>
      <c r="H34" s="83">
        <v>6.06</v>
      </c>
      <c r="I34" s="84"/>
      <c r="J34" s="87">
        <v>468.64</v>
      </c>
      <c r="K34" s="81">
        <v>43357.594444444447</v>
      </c>
      <c r="L34" s="84"/>
      <c r="M34" s="121">
        <f t="shared" si="1"/>
        <v>468.64</v>
      </c>
      <c r="N34" s="59" t="s">
        <v>6</v>
      </c>
      <c r="O34" s="86">
        <v>211.9</v>
      </c>
      <c r="P34" s="46">
        <f t="shared" si="3"/>
        <v>256.74</v>
      </c>
      <c r="Q34" s="147">
        <f t="shared" si="2"/>
        <v>0</v>
      </c>
      <c r="R34" s="47"/>
      <c r="S34" s="74" t="s">
        <v>197</v>
      </c>
      <c r="T34" s="26" t="s">
        <v>411</v>
      </c>
      <c r="U34" s="26" t="s">
        <v>433</v>
      </c>
      <c r="V34" s="26">
        <v>31</v>
      </c>
    </row>
    <row r="35" spans="1:22" ht="12.75" customHeight="1" x14ac:dyDescent="0.2">
      <c r="A35" s="29" t="s">
        <v>66</v>
      </c>
      <c r="B35" s="23" t="s">
        <v>1072</v>
      </c>
      <c r="C35" s="27" t="s">
        <v>95</v>
      </c>
      <c r="D35" s="81">
        <v>43351</v>
      </c>
      <c r="E35" s="81">
        <v>43380</v>
      </c>
      <c r="F35" s="82">
        <v>500</v>
      </c>
      <c r="G35" s="83">
        <v>30</v>
      </c>
      <c r="H35" s="83">
        <v>6</v>
      </c>
      <c r="I35" s="84"/>
      <c r="J35" s="87">
        <v>464</v>
      </c>
      <c r="K35" s="81">
        <v>43353.647222222222</v>
      </c>
      <c r="L35" s="84">
        <v>36.4</v>
      </c>
      <c r="M35" s="121">
        <f t="shared" si="1"/>
        <v>427.6</v>
      </c>
      <c r="N35" s="59" t="s">
        <v>6</v>
      </c>
      <c r="O35" s="82">
        <v>203.62</v>
      </c>
      <c r="P35" s="46">
        <f t="shared" si="3"/>
        <v>223.98000000000002</v>
      </c>
      <c r="Q35" s="147">
        <f t="shared" si="2"/>
        <v>0</v>
      </c>
      <c r="R35" s="60"/>
      <c r="S35" s="74" t="s">
        <v>197</v>
      </c>
      <c r="T35" s="26" t="s">
        <v>412</v>
      </c>
      <c r="U35" s="26" t="s">
        <v>434</v>
      </c>
      <c r="V35" s="26">
        <v>30</v>
      </c>
    </row>
    <row r="36" spans="1:22" ht="12.75" customHeight="1" x14ac:dyDescent="0.2">
      <c r="A36" s="29" t="s">
        <v>105</v>
      </c>
      <c r="B36" s="23" t="s">
        <v>1073</v>
      </c>
      <c r="C36" s="27" t="s">
        <v>1056</v>
      </c>
      <c r="D36" s="85">
        <v>43342</v>
      </c>
      <c r="E36" s="85">
        <v>43372</v>
      </c>
      <c r="F36" s="86">
        <v>500</v>
      </c>
      <c r="G36" s="83">
        <v>30</v>
      </c>
      <c r="H36" s="83">
        <v>6</v>
      </c>
      <c r="I36" s="84"/>
      <c r="J36" s="87">
        <v>464</v>
      </c>
      <c r="K36" s="85">
        <v>43344.602777777778</v>
      </c>
      <c r="L36" s="84"/>
      <c r="M36" s="121">
        <f t="shared" si="1"/>
        <v>464</v>
      </c>
      <c r="N36" s="59" t="s">
        <v>6</v>
      </c>
      <c r="O36" s="86">
        <v>203.62</v>
      </c>
      <c r="P36" s="46">
        <f t="shared" si="3"/>
        <v>260.38</v>
      </c>
      <c r="Q36" s="147">
        <f t="shared" si="2"/>
        <v>0</v>
      </c>
      <c r="R36" s="66"/>
      <c r="S36" s="74" t="s">
        <v>396</v>
      </c>
      <c r="T36" s="26" t="s">
        <v>412</v>
      </c>
      <c r="U36" s="26" t="s">
        <v>435</v>
      </c>
      <c r="V36" s="26">
        <v>33</v>
      </c>
    </row>
    <row r="37" spans="1:22" ht="12.75" customHeight="1" x14ac:dyDescent="0.2">
      <c r="A37" s="29" t="s">
        <v>106</v>
      </c>
      <c r="B37" s="23" t="s">
        <v>572</v>
      </c>
      <c r="C37" s="27"/>
      <c r="D37" s="85"/>
      <c r="E37" s="85"/>
      <c r="F37" s="86"/>
      <c r="G37" s="83"/>
      <c r="H37" s="83"/>
      <c r="I37" s="84"/>
      <c r="J37" s="87"/>
      <c r="K37" s="81"/>
      <c r="L37" s="84"/>
      <c r="M37" s="121" t="str">
        <f t="shared" si="1"/>
        <v/>
      </c>
      <c r="N37" s="59" t="s">
        <v>6</v>
      </c>
      <c r="O37" s="86">
        <v>375.8</v>
      </c>
      <c r="P37" s="46">
        <f t="shared" si="3"/>
        <v>-375.8</v>
      </c>
      <c r="Q37" s="147">
        <f t="shared" si="2"/>
        <v>0</v>
      </c>
      <c r="R37" s="47"/>
      <c r="S37" s="74" t="s">
        <v>396</v>
      </c>
      <c r="T37" s="26" t="s">
        <v>413</v>
      </c>
      <c r="U37" s="26" t="s">
        <v>436</v>
      </c>
      <c r="V37" s="26">
        <v>32</v>
      </c>
    </row>
    <row r="38" spans="1:22" ht="12.75" customHeight="1" x14ac:dyDescent="0.2">
      <c r="A38" s="29" t="s">
        <v>224</v>
      </c>
      <c r="B38" s="23" t="s">
        <v>1074</v>
      </c>
      <c r="C38" s="27" t="s">
        <v>95</v>
      </c>
      <c r="D38" s="85">
        <v>43353</v>
      </c>
      <c r="E38" s="85">
        <v>43382</v>
      </c>
      <c r="F38" s="82">
        <v>503.11</v>
      </c>
      <c r="G38" s="83">
        <v>30.19</v>
      </c>
      <c r="H38" s="83">
        <v>6.04</v>
      </c>
      <c r="I38" s="84"/>
      <c r="J38" s="87">
        <v>466.88</v>
      </c>
      <c r="K38" s="85">
        <v>43354.663888888892</v>
      </c>
      <c r="L38" s="84"/>
      <c r="M38" s="121">
        <f t="shared" si="1"/>
        <v>466.88</v>
      </c>
      <c r="N38" s="47" t="s">
        <v>6</v>
      </c>
      <c r="O38" s="82">
        <v>211.9</v>
      </c>
      <c r="P38" s="46">
        <f t="shared" si="3"/>
        <v>254.98</v>
      </c>
      <c r="Q38" s="147">
        <f t="shared" si="2"/>
        <v>0</v>
      </c>
      <c r="R38" s="47"/>
      <c r="S38" s="74" t="s">
        <v>197</v>
      </c>
      <c r="T38" s="26" t="s">
        <v>411</v>
      </c>
      <c r="U38" s="26" t="s">
        <v>437</v>
      </c>
      <c r="V38" s="26">
        <v>26</v>
      </c>
    </row>
    <row r="39" spans="1:22" ht="12.75" customHeight="1" x14ac:dyDescent="0.2">
      <c r="A39" s="29" t="s">
        <v>226</v>
      </c>
      <c r="B39" s="23" t="s">
        <v>1075</v>
      </c>
      <c r="C39" s="27" t="s">
        <v>95</v>
      </c>
      <c r="D39" s="85">
        <v>43369</v>
      </c>
      <c r="E39" s="85">
        <v>43398</v>
      </c>
      <c r="F39" s="82">
        <v>499.04</v>
      </c>
      <c r="G39" s="83">
        <v>29.94</v>
      </c>
      <c r="H39" s="83">
        <v>5.99</v>
      </c>
      <c r="I39" s="84"/>
      <c r="J39" s="87">
        <v>463.11</v>
      </c>
      <c r="K39" s="81">
        <v>43369.640972222223</v>
      </c>
      <c r="L39" s="84"/>
      <c r="M39" s="121">
        <f t="shared" si="1"/>
        <v>463.11</v>
      </c>
      <c r="N39" s="47" t="s">
        <v>6</v>
      </c>
      <c r="O39" s="82">
        <v>211.9</v>
      </c>
      <c r="P39" s="46">
        <f t="shared" si="3"/>
        <v>251.21</v>
      </c>
      <c r="Q39" s="147">
        <f t="shared" si="2"/>
        <v>0</v>
      </c>
      <c r="R39" s="47"/>
      <c r="S39" s="74" t="s">
        <v>197</v>
      </c>
      <c r="T39" s="26" t="s">
        <v>411</v>
      </c>
      <c r="U39" s="26" t="s">
        <v>438</v>
      </c>
      <c r="V39" s="26">
        <v>22</v>
      </c>
    </row>
    <row r="40" spans="1:22" ht="12.75" customHeight="1" x14ac:dyDescent="0.2">
      <c r="A40" s="29" t="s">
        <v>227</v>
      </c>
      <c r="B40" s="23" t="s">
        <v>1076</v>
      </c>
      <c r="C40" s="27" t="s">
        <v>1056</v>
      </c>
      <c r="D40" s="85">
        <v>43151</v>
      </c>
      <c r="E40" s="85">
        <v>43209</v>
      </c>
      <c r="F40" s="86">
        <v>142.84</v>
      </c>
      <c r="G40" s="83">
        <v>8.58</v>
      </c>
      <c r="H40" s="83">
        <v>1.71</v>
      </c>
      <c r="I40" s="84"/>
      <c r="J40" s="87">
        <v>132.55000000000001</v>
      </c>
      <c r="K40" s="85">
        <v>43368.718055555553</v>
      </c>
      <c r="L40" s="84">
        <v>58.35</v>
      </c>
      <c r="M40" s="121">
        <f t="shared" si="1"/>
        <v>74.199999999999989</v>
      </c>
      <c r="N40" s="47" t="s">
        <v>258</v>
      </c>
      <c r="O40" s="86">
        <v>242.09</v>
      </c>
      <c r="P40" s="46">
        <f t="shared" si="3"/>
        <v>-167.89000000000001</v>
      </c>
      <c r="Q40" s="147">
        <f t="shared" si="2"/>
        <v>2.8421709430404007E-14</v>
      </c>
      <c r="R40" s="60" t="s">
        <v>567</v>
      </c>
      <c r="S40" s="74" t="s">
        <v>197</v>
      </c>
      <c r="T40" s="26" t="s">
        <v>412</v>
      </c>
      <c r="U40" s="26" t="s">
        <v>439</v>
      </c>
      <c r="V40" s="26">
        <v>21</v>
      </c>
    </row>
    <row r="41" spans="1:22" ht="12.75" customHeight="1" x14ac:dyDescent="0.2">
      <c r="A41" s="29" t="s">
        <v>228</v>
      </c>
      <c r="B41" s="23" t="s">
        <v>1077</v>
      </c>
      <c r="C41" s="27" t="s">
        <v>95</v>
      </c>
      <c r="D41" s="81">
        <v>43297</v>
      </c>
      <c r="E41" s="81">
        <v>43358</v>
      </c>
      <c r="F41" s="82">
        <v>800</v>
      </c>
      <c r="G41" s="83">
        <v>48</v>
      </c>
      <c r="H41" s="83">
        <v>9.6</v>
      </c>
      <c r="I41" s="84"/>
      <c r="J41" s="87">
        <v>742.4</v>
      </c>
      <c r="K41" s="81">
        <v>43347.691666666666</v>
      </c>
      <c r="L41" s="84"/>
      <c r="M41" s="121">
        <f t="shared" si="1"/>
        <v>742.4</v>
      </c>
      <c r="N41" s="47" t="s">
        <v>6</v>
      </c>
      <c r="O41" s="82">
        <v>217.96</v>
      </c>
      <c r="P41" s="46">
        <f t="shared" si="3"/>
        <v>524.43999999999994</v>
      </c>
      <c r="Q41" s="147">
        <f t="shared" si="2"/>
        <v>0</v>
      </c>
      <c r="R41" s="47"/>
      <c r="S41" s="74" t="s">
        <v>197</v>
      </c>
      <c r="T41" s="26" t="s">
        <v>412</v>
      </c>
      <c r="U41" s="26" t="s">
        <v>440</v>
      </c>
      <c r="V41" s="26">
        <v>25</v>
      </c>
    </row>
    <row r="42" spans="1:22" ht="12.75" customHeight="1" x14ac:dyDescent="0.2">
      <c r="A42" s="29" t="s">
        <v>107</v>
      </c>
      <c r="B42" s="23" t="s">
        <v>572</v>
      </c>
      <c r="C42" s="27"/>
      <c r="D42" s="85"/>
      <c r="E42" s="85"/>
      <c r="F42" s="86"/>
      <c r="G42" s="83"/>
      <c r="H42" s="83"/>
      <c r="I42" s="84"/>
      <c r="J42" s="87"/>
      <c r="K42" s="85"/>
      <c r="L42" s="84"/>
      <c r="M42" s="121" t="str">
        <f t="shared" si="1"/>
        <v/>
      </c>
      <c r="N42" s="47" t="s">
        <v>6</v>
      </c>
      <c r="O42" s="86">
        <v>386.17</v>
      </c>
      <c r="P42" s="46">
        <f t="shared" si="3"/>
        <v>-386.17</v>
      </c>
      <c r="Q42" s="147">
        <f t="shared" si="2"/>
        <v>0</v>
      </c>
      <c r="R42" s="60"/>
      <c r="S42" s="74" t="s">
        <v>396</v>
      </c>
      <c r="T42" s="26" t="s">
        <v>414</v>
      </c>
      <c r="U42" s="26" t="s">
        <v>441</v>
      </c>
      <c r="V42" s="26">
        <v>28</v>
      </c>
    </row>
    <row r="43" spans="1:22" ht="12.75" customHeight="1" x14ac:dyDescent="0.2">
      <c r="A43" s="29" t="s">
        <v>67</v>
      </c>
      <c r="B43" s="23" t="s">
        <v>1078</v>
      </c>
      <c r="C43" s="27" t="s">
        <v>1056</v>
      </c>
      <c r="D43" s="81">
        <v>43351</v>
      </c>
      <c r="E43" s="81">
        <v>43380</v>
      </c>
      <c r="F43" s="82">
        <v>550</v>
      </c>
      <c r="G43" s="83">
        <v>33</v>
      </c>
      <c r="H43" s="83">
        <v>6.6</v>
      </c>
      <c r="I43" s="84"/>
      <c r="J43" s="87">
        <v>510.4</v>
      </c>
      <c r="K43" s="81">
        <v>43353.647222222222</v>
      </c>
      <c r="L43" s="84"/>
      <c r="M43" s="121">
        <f t="shared" si="1"/>
        <v>510.4</v>
      </c>
      <c r="N43" s="47" t="s">
        <v>6</v>
      </c>
      <c r="O43" s="82">
        <v>217.96</v>
      </c>
      <c r="P43" s="46">
        <f t="shared" si="3"/>
        <v>292.43999999999994</v>
      </c>
      <c r="Q43" s="147">
        <f t="shared" si="2"/>
        <v>0</v>
      </c>
      <c r="R43" s="60"/>
      <c r="S43" s="74" t="s">
        <v>396</v>
      </c>
      <c r="T43" s="26" t="s">
        <v>412</v>
      </c>
      <c r="U43" s="26" t="s">
        <v>442</v>
      </c>
      <c r="V43" s="26">
        <v>23</v>
      </c>
    </row>
    <row r="44" spans="1:22" ht="12.75" customHeight="1" x14ac:dyDescent="0.2">
      <c r="A44" s="29" t="s">
        <v>109</v>
      </c>
      <c r="B44" s="23" t="s">
        <v>572</v>
      </c>
      <c r="C44" s="40"/>
      <c r="D44" s="81"/>
      <c r="E44" s="81"/>
      <c r="F44" s="82"/>
      <c r="G44" s="88"/>
      <c r="H44" s="83"/>
      <c r="I44" s="84"/>
      <c r="J44" s="87"/>
      <c r="K44" s="81"/>
      <c r="L44" s="84"/>
      <c r="M44" s="121" t="str">
        <f t="shared" si="1"/>
        <v/>
      </c>
      <c r="N44" s="59" t="s">
        <v>6</v>
      </c>
      <c r="O44" s="82">
        <v>219.74</v>
      </c>
      <c r="P44" s="46">
        <f t="shared" si="3"/>
        <v>-219.74</v>
      </c>
      <c r="Q44" s="147">
        <f t="shared" si="2"/>
        <v>0</v>
      </c>
      <c r="R44" s="60" t="s">
        <v>577</v>
      </c>
      <c r="S44" s="74" t="s">
        <v>396</v>
      </c>
      <c r="T44" s="26" t="s">
        <v>412</v>
      </c>
      <c r="U44" s="26" t="s">
        <v>443</v>
      </c>
      <c r="V44" s="26">
        <v>27</v>
      </c>
    </row>
    <row r="45" spans="1:22" ht="12.75" customHeight="1" x14ac:dyDescent="0.2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1" t="str">
        <f t="shared" si="1"/>
        <v/>
      </c>
      <c r="N45" s="47"/>
      <c r="O45" s="82"/>
      <c r="P45" s="46">
        <f t="shared" si="3"/>
        <v>0</v>
      </c>
      <c r="Q45" s="147">
        <f t="shared" si="2"/>
        <v>0</v>
      </c>
      <c r="R45" s="60"/>
      <c r="S45" s="71" t="s">
        <v>399</v>
      </c>
      <c r="T45" s="76"/>
      <c r="U45" s="76"/>
      <c r="V45" s="76">
        <v>51</v>
      </c>
    </row>
    <row r="46" spans="1:22" ht="12.75" customHeight="1" x14ac:dyDescent="0.2">
      <c r="A46" s="29" t="s">
        <v>68</v>
      </c>
      <c r="B46" s="23" t="s">
        <v>1079</v>
      </c>
      <c r="C46" s="27" t="s">
        <v>1056</v>
      </c>
      <c r="D46" s="81">
        <v>43361</v>
      </c>
      <c r="E46" s="81">
        <v>43390</v>
      </c>
      <c r="F46" s="82">
        <v>525</v>
      </c>
      <c r="G46" s="83">
        <v>31.5</v>
      </c>
      <c r="H46" s="83">
        <v>6.3</v>
      </c>
      <c r="I46" s="84"/>
      <c r="J46" s="87">
        <v>487.2</v>
      </c>
      <c r="K46" s="85">
        <v>43361.693055555559</v>
      </c>
      <c r="L46" s="84"/>
      <c r="M46" s="121">
        <f t="shared" si="1"/>
        <v>487.2</v>
      </c>
      <c r="N46" s="47" t="s">
        <v>6</v>
      </c>
      <c r="O46" s="82">
        <v>206.85</v>
      </c>
      <c r="P46" s="46">
        <f t="shared" si="3"/>
        <v>280.35000000000002</v>
      </c>
      <c r="Q46" s="147">
        <f t="shared" si="2"/>
        <v>0</v>
      </c>
      <c r="R46" s="47"/>
      <c r="S46" s="74" t="s">
        <v>396</v>
      </c>
      <c r="T46" s="26" t="s">
        <v>406</v>
      </c>
      <c r="U46" s="26" t="s">
        <v>444</v>
      </c>
      <c r="V46" s="26">
        <v>46</v>
      </c>
    </row>
    <row r="47" spans="1:22" ht="12.75" customHeight="1" x14ac:dyDescent="0.2">
      <c r="A47" s="29" t="s">
        <v>69</v>
      </c>
      <c r="B47" s="23" t="s">
        <v>1080</v>
      </c>
      <c r="C47" s="27" t="s">
        <v>1056</v>
      </c>
      <c r="D47" s="81">
        <v>43349</v>
      </c>
      <c r="E47" s="81">
        <v>43378</v>
      </c>
      <c r="F47" s="82">
        <v>525</v>
      </c>
      <c r="G47" s="83">
        <v>31.5</v>
      </c>
      <c r="H47" s="83">
        <v>6.3</v>
      </c>
      <c r="I47" s="84"/>
      <c r="J47" s="87">
        <v>487.2</v>
      </c>
      <c r="K47" s="85">
        <v>43349.681944444441</v>
      </c>
      <c r="L47" s="84">
        <v>27.55</v>
      </c>
      <c r="M47" s="121">
        <f t="shared" si="1"/>
        <v>459.65</v>
      </c>
      <c r="N47" s="47" t="s">
        <v>6</v>
      </c>
      <c r="O47" s="82">
        <v>88.31</v>
      </c>
      <c r="P47" s="46">
        <f t="shared" si="3"/>
        <v>371.34</v>
      </c>
      <c r="Q47" s="147">
        <f t="shared" si="2"/>
        <v>0</v>
      </c>
      <c r="R47" s="47"/>
      <c r="S47" s="74" t="s">
        <v>197</v>
      </c>
      <c r="T47" s="26" t="s">
        <v>407</v>
      </c>
      <c r="U47" s="26" t="s">
        <v>445</v>
      </c>
      <c r="V47" s="26">
        <v>52</v>
      </c>
    </row>
    <row r="48" spans="1:22" ht="12.75" customHeight="1" x14ac:dyDescent="0.2">
      <c r="A48" s="29" t="s">
        <v>86</v>
      </c>
      <c r="B48" s="23" t="s">
        <v>1081</v>
      </c>
      <c r="C48" s="27" t="s">
        <v>95</v>
      </c>
      <c r="D48" s="81">
        <v>43366</v>
      </c>
      <c r="E48" s="81">
        <v>43395</v>
      </c>
      <c r="F48" s="82">
        <v>38.32</v>
      </c>
      <c r="G48" s="83">
        <v>2.2999999999999998</v>
      </c>
      <c r="H48" s="83">
        <v>0.46</v>
      </c>
      <c r="I48" s="84"/>
      <c r="J48" s="87">
        <v>35.56</v>
      </c>
      <c r="K48" s="85">
        <v>43368.718055555553</v>
      </c>
      <c r="L48" s="84"/>
      <c r="M48" s="121">
        <f t="shared" si="1"/>
        <v>35.56</v>
      </c>
      <c r="N48" s="47" t="s">
        <v>6</v>
      </c>
      <c r="O48" s="82">
        <v>206.81</v>
      </c>
      <c r="P48" s="46">
        <f t="shared" si="3"/>
        <v>-171.25</v>
      </c>
      <c r="Q48" s="147">
        <f t="shared" si="2"/>
        <v>0</v>
      </c>
      <c r="R48" s="47"/>
      <c r="S48" s="74" t="s">
        <v>396</v>
      </c>
      <c r="T48" s="26" t="s">
        <v>406</v>
      </c>
      <c r="U48" s="26" t="s">
        <v>446</v>
      </c>
      <c r="V48" s="26">
        <v>47</v>
      </c>
    </row>
    <row r="49" spans="1:22" x14ac:dyDescent="0.2">
      <c r="A49" s="29" t="s">
        <v>111</v>
      </c>
      <c r="B49" s="23" t="s">
        <v>1082</v>
      </c>
      <c r="C49" s="27" t="s">
        <v>1056</v>
      </c>
      <c r="D49" s="85">
        <v>43357</v>
      </c>
      <c r="E49" s="85">
        <v>43386</v>
      </c>
      <c r="F49" s="86">
        <v>499.02</v>
      </c>
      <c r="G49" s="83">
        <v>29.94</v>
      </c>
      <c r="H49" s="83">
        <v>5.99</v>
      </c>
      <c r="I49" s="84"/>
      <c r="J49" s="87">
        <v>463.09</v>
      </c>
      <c r="K49" s="85">
        <v>43368.718055555553</v>
      </c>
      <c r="L49" s="84"/>
      <c r="M49" s="121">
        <f t="shared" si="1"/>
        <v>463.09</v>
      </c>
      <c r="N49" s="47" t="s">
        <v>6</v>
      </c>
      <c r="O49" s="86">
        <v>207.8</v>
      </c>
      <c r="P49" s="46">
        <f t="shared" si="3"/>
        <v>255.28999999999996</v>
      </c>
      <c r="Q49" s="147">
        <f t="shared" si="2"/>
        <v>0</v>
      </c>
      <c r="R49" s="47"/>
      <c r="S49" s="74" t="s">
        <v>197</v>
      </c>
      <c r="T49" s="26" t="s">
        <v>411</v>
      </c>
      <c r="U49" s="26" t="s">
        <v>447</v>
      </c>
      <c r="V49" s="26">
        <v>48</v>
      </c>
    </row>
    <row r="50" spans="1:22" ht="12.75" customHeight="1" x14ac:dyDescent="0.2">
      <c r="A50" s="29" t="s">
        <v>231</v>
      </c>
      <c r="B50" s="23" t="s">
        <v>572</v>
      </c>
      <c r="C50" s="27"/>
      <c r="D50" s="81"/>
      <c r="E50" s="81"/>
      <c r="F50" s="82"/>
      <c r="G50" s="83"/>
      <c r="H50" s="83"/>
      <c r="I50" s="84"/>
      <c r="J50" s="87"/>
      <c r="K50" s="85"/>
      <c r="L50" s="84"/>
      <c r="M50" s="121" t="str">
        <f t="shared" si="1"/>
        <v/>
      </c>
      <c r="N50" s="47" t="s">
        <v>203</v>
      </c>
      <c r="O50" s="82">
        <v>206.8</v>
      </c>
      <c r="P50" s="46">
        <f t="shared" si="3"/>
        <v>-206.8</v>
      </c>
      <c r="Q50" s="147">
        <f t="shared" si="2"/>
        <v>0</v>
      </c>
      <c r="R50" s="150" t="s">
        <v>575</v>
      </c>
      <c r="S50" s="74" t="s">
        <v>197</v>
      </c>
      <c r="T50" s="26" t="s">
        <v>406</v>
      </c>
      <c r="U50" s="79" t="s">
        <v>448</v>
      </c>
      <c r="V50" s="79">
        <v>49</v>
      </c>
    </row>
    <row r="51" spans="1:22" ht="12.75" customHeight="1" x14ac:dyDescent="0.2">
      <c r="A51" s="29" t="s">
        <v>70</v>
      </c>
      <c r="B51" s="23" t="s">
        <v>1083</v>
      </c>
      <c r="C51" s="27" t="s">
        <v>95</v>
      </c>
      <c r="D51" s="85">
        <v>43363</v>
      </c>
      <c r="E51" s="85">
        <v>43392</v>
      </c>
      <c r="F51" s="82">
        <v>499.03</v>
      </c>
      <c r="G51" s="83">
        <v>29.94</v>
      </c>
      <c r="H51" s="83">
        <v>5.99</v>
      </c>
      <c r="I51" s="84">
        <v>114</v>
      </c>
      <c r="J51" s="87">
        <v>349.1</v>
      </c>
      <c r="K51" s="85">
        <v>43368.718055555553</v>
      </c>
      <c r="L51" s="84"/>
      <c r="M51" s="121">
        <f t="shared" si="1"/>
        <v>349.09999999999997</v>
      </c>
      <c r="N51" s="47" t="s">
        <v>6</v>
      </c>
      <c r="O51" s="82">
        <v>206.82</v>
      </c>
      <c r="P51" s="46">
        <f t="shared" si="3"/>
        <v>142.27999999999997</v>
      </c>
      <c r="Q51" s="147">
        <f t="shared" si="2"/>
        <v>5.6843418860808015E-14</v>
      </c>
      <c r="R51" s="47"/>
      <c r="S51" s="74" t="s">
        <v>396</v>
      </c>
      <c r="T51" s="26" t="s">
        <v>406</v>
      </c>
      <c r="U51" s="26" t="s">
        <v>449</v>
      </c>
      <c r="V51" s="26">
        <v>53</v>
      </c>
    </row>
    <row r="52" spans="1:22" ht="12.75" customHeight="1" x14ac:dyDescent="0.2">
      <c r="A52" s="29" t="s">
        <v>71</v>
      </c>
      <c r="B52" s="23" t="s">
        <v>1084</v>
      </c>
      <c r="C52" s="27" t="s">
        <v>1056</v>
      </c>
      <c r="D52" s="81">
        <v>43349</v>
      </c>
      <c r="E52" s="81">
        <v>43378</v>
      </c>
      <c r="F52" s="82">
        <v>500</v>
      </c>
      <c r="G52" s="83">
        <v>30</v>
      </c>
      <c r="H52" s="83">
        <v>6</v>
      </c>
      <c r="I52" s="84"/>
      <c r="J52" s="87">
        <v>464</v>
      </c>
      <c r="K52" s="85">
        <v>43349.681944444441</v>
      </c>
      <c r="L52" s="84"/>
      <c r="M52" s="121">
        <f t="shared" si="1"/>
        <v>464</v>
      </c>
      <c r="N52" s="47" t="s">
        <v>6</v>
      </c>
      <c r="O52" s="82">
        <v>260.98</v>
      </c>
      <c r="P52" s="46">
        <f t="shared" si="3"/>
        <v>203.01999999999998</v>
      </c>
      <c r="Q52" s="147">
        <f t="shared" si="2"/>
        <v>0</v>
      </c>
      <c r="R52" s="64"/>
      <c r="S52" s="74" t="s">
        <v>197</v>
      </c>
      <c r="T52" s="26" t="s">
        <v>406</v>
      </c>
      <c r="U52" s="79" t="s">
        <v>450</v>
      </c>
      <c r="V52" s="79">
        <v>54</v>
      </c>
    </row>
    <row r="53" spans="1:22" ht="12.75" customHeight="1" x14ac:dyDescent="0.2">
      <c r="A53" s="29" t="s">
        <v>72</v>
      </c>
      <c r="B53" s="23" t="s">
        <v>1085</v>
      </c>
      <c r="C53" s="27" t="s">
        <v>95</v>
      </c>
      <c r="D53" s="81">
        <v>43331</v>
      </c>
      <c r="E53" s="81">
        <v>43391</v>
      </c>
      <c r="F53" s="82">
        <v>461.52</v>
      </c>
      <c r="G53" s="83">
        <v>27.7</v>
      </c>
      <c r="H53" s="83">
        <v>5.54</v>
      </c>
      <c r="I53" s="84"/>
      <c r="J53" s="87">
        <v>428.28</v>
      </c>
      <c r="K53" s="85">
        <v>43368.718055555553</v>
      </c>
      <c r="L53" s="84"/>
      <c r="M53" s="121">
        <f t="shared" si="1"/>
        <v>428.28</v>
      </c>
      <c r="N53" s="47" t="s">
        <v>6</v>
      </c>
      <c r="O53" s="82">
        <v>213.98</v>
      </c>
      <c r="P53" s="46">
        <f t="shared" si="3"/>
        <v>214.29999999999998</v>
      </c>
      <c r="Q53" s="147">
        <f t="shared" si="2"/>
        <v>0</v>
      </c>
      <c r="R53" s="47"/>
      <c r="S53" s="74" t="s">
        <v>396</v>
      </c>
      <c r="T53" s="26" t="s">
        <v>406</v>
      </c>
      <c r="U53" s="26" t="s">
        <v>451</v>
      </c>
      <c r="V53" s="26">
        <v>55</v>
      </c>
    </row>
    <row r="54" spans="1:22" ht="12.75" customHeight="1" x14ac:dyDescent="0.2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1" t="str">
        <f t="shared" si="1"/>
        <v/>
      </c>
      <c r="N54" s="47"/>
      <c r="O54" s="82"/>
      <c r="P54" s="46">
        <f t="shared" si="3"/>
        <v>0</v>
      </c>
      <c r="Q54" s="147">
        <f t="shared" si="2"/>
        <v>0</v>
      </c>
      <c r="R54" s="47"/>
      <c r="S54" s="71" t="s">
        <v>399</v>
      </c>
      <c r="T54" s="76"/>
      <c r="U54" s="76"/>
      <c r="V54" s="76">
        <v>61</v>
      </c>
    </row>
    <row r="55" spans="1:22" ht="12.75" customHeight="1" x14ac:dyDescent="0.2">
      <c r="A55" s="29" t="s">
        <v>73</v>
      </c>
      <c r="B55" s="23" t="s">
        <v>1086</v>
      </c>
      <c r="C55" s="27" t="s">
        <v>95</v>
      </c>
      <c r="D55" s="81">
        <v>43348</v>
      </c>
      <c r="E55" s="81">
        <v>43377</v>
      </c>
      <c r="F55" s="82">
        <v>650</v>
      </c>
      <c r="G55" s="83">
        <v>39</v>
      </c>
      <c r="H55" s="83">
        <v>7.8</v>
      </c>
      <c r="I55" s="84">
        <v>35</v>
      </c>
      <c r="J55" s="87">
        <v>603.20000000000005</v>
      </c>
      <c r="K55" s="85">
        <v>43353.647222222222</v>
      </c>
      <c r="L55" s="84"/>
      <c r="M55" s="121">
        <f t="shared" si="1"/>
        <v>568.20000000000005</v>
      </c>
      <c r="N55" s="47" t="s">
        <v>203</v>
      </c>
      <c r="O55" s="82">
        <v>251.78</v>
      </c>
      <c r="P55" s="46">
        <f t="shared" si="3"/>
        <v>316.42000000000007</v>
      </c>
      <c r="Q55" s="147">
        <f t="shared" si="2"/>
        <v>35</v>
      </c>
      <c r="R55" s="150" t="s">
        <v>576</v>
      </c>
      <c r="S55" s="74" t="s">
        <v>197</v>
      </c>
      <c r="T55" s="26" t="s">
        <v>406</v>
      </c>
      <c r="U55" s="79" t="s">
        <v>452</v>
      </c>
      <c r="V55" s="79">
        <v>66</v>
      </c>
    </row>
    <row r="56" spans="1:22" ht="12.75" customHeight="1" x14ac:dyDescent="0.2">
      <c r="A56" s="29" t="s">
        <v>112</v>
      </c>
      <c r="B56" s="23" t="s">
        <v>1087</v>
      </c>
      <c r="C56" s="27" t="s">
        <v>1056</v>
      </c>
      <c r="D56" s="81">
        <v>43340</v>
      </c>
      <c r="E56" s="81">
        <v>43523</v>
      </c>
      <c r="F56" s="82">
        <v>3600</v>
      </c>
      <c r="G56" s="83">
        <v>216</v>
      </c>
      <c r="H56" s="83">
        <v>43.2</v>
      </c>
      <c r="I56" s="84"/>
      <c r="J56" s="87">
        <v>3340.8</v>
      </c>
      <c r="K56" s="85">
        <v>43344.602777777778</v>
      </c>
      <c r="L56" s="84"/>
      <c r="M56" s="121">
        <f t="shared" si="1"/>
        <v>3340.8</v>
      </c>
      <c r="N56" s="47" t="s">
        <v>6</v>
      </c>
      <c r="O56" s="82">
        <v>206.82</v>
      </c>
      <c r="P56" s="46">
        <f t="shared" si="3"/>
        <v>3133.98</v>
      </c>
      <c r="Q56" s="147">
        <f t="shared" si="2"/>
        <v>0</v>
      </c>
      <c r="R56" s="60" t="s">
        <v>570</v>
      </c>
      <c r="S56" s="74" t="s">
        <v>396</v>
      </c>
      <c r="T56" s="26" t="s">
        <v>406</v>
      </c>
      <c r="U56" s="26" t="s">
        <v>453</v>
      </c>
      <c r="V56" s="26">
        <v>67</v>
      </c>
    </row>
    <row r="57" spans="1:22" ht="12.75" customHeight="1" x14ac:dyDescent="0.2">
      <c r="A57" s="29" t="s">
        <v>115</v>
      </c>
      <c r="B57" s="23" t="s">
        <v>1088</v>
      </c>
      <c r="C57" s="27" t="s">
        <v>95</v>
      </c>
      <c r="D57" s="81">
        <v>43355</v>
      </c>
      <c r="E57" s="81">
        <v>43384</v>
      </c>
      <c r="F57" s="82">
        <v>500</v>
      </c>
      <c r="G57" s="83">
        <v>30</v>
      </c>
      <c r="H57" s="83">
        <v>6</v>
      </c>
      <c r="I57" s="84"/>
      <c r="J57" s="87">
        <v>464</v>
      </c>
      <c r="K57" s="85">
        <v>43355.642361111109</v>
      </c>
      <c r="L57" s="84"/>
      <c r="M57" s="121">
        <f t="shared" si="1"/>
        <v>464</v>
      </c>
      <c r="N57" s="47" t="s">
        <v>6</v>
      </c>
      <c r="O57" s="82">
        <v>200.86</v>
      </c>
      <c r="P57" s="46">
        <f t="shared" si="3"/>
        <v>263.14</v>
      </c>
      <c r="Q57" s="147">
        <f t="shared" si="2"/>
        <v>0</v>
      </c>
      <c r="R57" s="47"/>
      <c r="S57" s="74" t="s">
        <v>197</v>
      </c>
      <c r="T57" s="26" t="s">
        <v>412</v>
      </c>
      <c r="U57" s="26" t="s">
        <v>454</v>
      </c>
      <c r="V57" s="26">
        <v>63</v>
      </c>
    </row>
    <row r="58" spans="1:22" x14ac:dyDescent="0.2">
      <c r="A58" s="29" t="s">
        <v>117</v>
      </c>
      <c r="B58" s="23" t="s">
        <v>1089</v>
      </c>
      <c r="C58" s="27" t="s">
        <v>95</v>
      </c>
      <c r="D58" s="81">
        <v>43351</v>
      </c>
      <c r="E58" s="81">
        <v>43380</v>
      </c>
      <c r="F58" s="82">
        <v>500</v>
      </c>
      <c r="G58" s="83">
        <v>30</v>
      </c>
      <c r="H58" s="83">
        <v>6</v>
      </c>
      <c r="I58" s="84"/>
      <c r="J58" s="87">
        <v>464</v>
      </c>
      <c r="K58" s="85">
        <v>43353.647222222222</v>
      </c>
      <c r="L58" s="84"/>
      <c r="M58" s="121">
        <f t="shared" si="1"/>
        <v>464</v>
      </c>
      <c r="N58" s="47" t="s">
        <v>6</v>
      </c>
      <c r="O58" s="82">
        <v>206.77</v>
      </c>
      <c r="P58" s="46">
        <f t="shared" si="3"/>
        <v>257.23</v>
      </c>
      <c r="Q58" s="147">
        <f t="shared" si="2"/>
        <v>0</v>
      </c>
      <c r="R58" s="47"/>
      <c r="S58" s="74" t="s">
        <v>396</v>
      </c>
      <c r="T58" s="26" t="s">
        <v>406</v>
      </c>
      <c r="U58" s="26" t="s">
        <v>455</v>
      </c>
      <c r="V58" s="26">
        <v>68</v>
      </c>
    </row>
    <row r="59" spans="1:22" ht="12.75" customHeight="1" x14ac:dyDescent="0.2">
      <c r="A59" s="29" t="s">
        <v>74</v>
      </c>
      <c r="B59" s="23" t="s">
        <v>1090</v>
      </c>
      <c r="C59" s="27" t="s">
        <v>1056</v>
      </c>
      <c r="D59" s="81">
        <v>43355</v>
      </c>
      <c r="E59" s="81">
        <v>43384</v>
      </c>
      <c r="F59" s="82">
        <v>550</v>
      </c>
      <c r="G59" s="83">
        <v>33</v>
      </c>
      <c r="H59" s="83">
        <v>6.6</v>
      </c>
      <c r="I59" s="84">
        <v>90</v>
      </c>
      <c r="J59" s="87">
        <v>420.4</v>
      </c>
      <c r="K59" s="85">
        <v>43356.71875</v>
      </c>
      <c r="L59" s="84">
        <v>2.5</v>
      </c>
      <c r="M59" s="121">
        <f t="shared" si="1"/>
        <v>417.9</v>
      </c>
      <c r="N59" s="47" t="s">
        <v>6</v>
      </c>
      <c r="O59" s="82">
        <v>206.93</v>
      </c>
      <c r="P59" s="46">
        <f t="shared" si="3"/>
        <v>210.96999999999997</v>
      </c>
      <c r="Q59" s="147">
        <f t="shared" si="2"/>
        <v>0</v>
      </c>
      <c r="R59" s="157"/>
      <c r="S59" s="74" t="s">
        <v>197</v>
      </c>
      <c r="T59" s="26" t="s">
        <v>406</v>
      </c>
      <c r="U59" s="79" t="s">
        <v>456</v>
      </c>
      <c r="V59" s="79">
        <v>64</v>
      </c>
    </row>
    <row r="60" spans="1:22" ht="12.75" customHeight="1" x14ac:dyDescent="0.2">
      <c r="A60" s="29" t="s">
        <v>118</v>
      </c>
      <c r="B60" s="23" t="s">
        <v>1091</v>
      </c>
      <c r="C60" s="27" t="s">
        <v>95</v>
      </c>
      <c r="D60" s="81">
        <v>43362</v>
      </c>
      <c r="E60" s="81">
        <v>43391</v>
      </c>
      <c r="F60" s="82">
        <v>505</v>
      </c>
      <c r="G60" s="83">
        <v>30.3</v>
      </c>
      <c r="H60" s="83">
        <v>6.06</v>
      </c>
      <c r="I60" s="84"/>
      <c r="J60" s="87">
        <v>468.64</v>
      </c>
      <c r="K60" s="85">
        <v>43362.652777777781</v>
      </c>
      <c r="L60" s="84"/>
      <c r="M60" s="121">
        <f t="shared" si="1"/>
        <v>468.64</v>
      </c>
      <c r="N60" s="47" t="s">
        <v>6</v>
      </c>
      <c r="O60" s="82">
        <v>206.77</v>
      </c>
      <c r="P60" s="46">
        <f t="shared" si="3"/>
        <v>261.87</v>
      </c>
      <c r="Q60" s="147">
        <f t="shared" si="2"/>
        <v>0</v>
      </c>
      <c r="R60" s="47"/>
      <c r="S60" s="74" t="s">
        <v>396</v>
      </c>
      <c r="T60" s="26" t="s">
        <v>406</v>
      </c>
      <c r="U60" s="26" t="s">
        <v>457</v>
      </c>
      <c r="V60" s="26">
        <v>71</v>
      </c>
    </row>
    <row r="61" spans="1:22" ht="12.75" customHeight="1" x14ac:dyDescent="0.2">
      <c r="A61" s="29" t="s">
        <v>119</v>
      </c>
      <c r="B61" s="23" t="s">
        <v>572</v>
      </c>
      <c r="C61" s="40"/>
      <c r="D61" s="81"/>
      <c r="E61" s="81"/>
      <c r="F61" s="82"/>
      <c r="G61" s="83"/>
      <c r="H61" s="83"/>
      <c r="I61" s="84"/>
      <c r="J61" s="87"/>
      <c r="K61" s="85"/>
      <c r="L61" s="84"/>
      <c r="M61" s="121" t="str">
        <f t="shared" si="1"/>
        <v/>
      </c>
      <c r="N61" s="47" t="s">
        <v>202</v>
      </c>
      <c r="O61" s="82">
        <v>251.96</v>
      </c>
      <c r="P61" s="46">
        <f t="shared" si="3"/>
        <v>-251.96</v>
      </c>
      <c r="Q61" s="147">
        <f t="shared" si="2"/>
        <v>0</v>
      </c>
      <c r="R61" s="158" t="s">
        <v>568</v>
      </c>
      <c r="S61" s="74" t="s">
        <v>197</v>
      </c>
      <c r="T61" s="26" t="s">
        <v>406</v>
      </c>
      <c r="U61" s="79" t="s">
        <v>458</v>
      </c>
      <c r="V61" s="79">
        <v>70</v>
      </c>
    </row>
    <row r="62" spans="1:22" ht="12.75" customHeight="1" x14ac:dyDescent="0.2">
      <c r="A62" s="29" t="s">
        <v>75</v>
      </c>
      <c r="B62" s="23" t="s">
        <v>1092</v>
      </c>
      <c r="C62" s="27" t="s">
        <v>1056</v>
      </c>
      <c r="D62" s="85">
        <v>43340</v>
      </c>
      <c r="E62" s="81">
        <v>43400</v>
      </c>
      <c r="F62" s="89">
        <v>1050</v>
      </c>
      <c r="G62" s="83">
        <v>63</v>
      </c>
      <c r="H62" s="83">
        <v>12.6</v>
      </c>
      <c r="I62" s="84">
        <v>328</v>
      </c>
      <c r="J62" s="87">
        <v>556.4</v>
      </c>
      <c r="K62" s="85">
        <v>43349.681944444441</v>
      </c>
      <c r="L62" s="84"/>
      <c r="M62" s="121">
        <f t="shared" si="1"/>
        <v>646.4</v>
      </c>
      <c r="N62" s="47" t="s">
        <v>6</v>
      </c>
      <c r="O62" s="89">
        <v>213.98</v>
      </c>
      <c r="P62" s="46">
        <f t="shared" si="3"/>
        <v>432.41999999999996</v>
      </c>
      <c r="Q62" s="147">
        <f t="shared" si="2"/>
        <v>-90</v>
      </c>
      <c r="R62" s="60" t="s">
        <v>569</v>
      </c>
      <c r="S62" s="74" t="s">
        <v>396</v>
      </c>
      <c r="T62" s="26" t="s">
        <v>406</v>
      </c>
      <c r="U62" s="26" t="s">
        <v>459</v>
      </c>
      <c r="V62" s="26">
        <v>65</v>
      </c>
    </row>
    <row r="63" spans="1:22" ht="12.75" customHeight="1" x14ac:dyDescent="0.2">
      <c r="A63" s="30"/>
      <c r="B63" s="28"/>
      <c r="C63" s="17"/>
      <c r="D63" s="90"/>
      <c r="E63" s="90"/>
      <c r="F63" s="91"/>
      <c r="G63" s="92"/>
      <c r="H63" s="92"/>
      <c r="I63" s="93"/>
      <c r="J63" s="97"/>
      <c r="K63" s="95"/>
      <c r="L63" s="93"/>
      <c r="M63" s="122" t="str">
        <f t="shared" si="1"/>
        <v/>
      </c>
      <c r="N63" s="54"/>
      <c r="O63" s="91"/>
      <c r="P63" s="120">
        <f t="shared" si="3"/>
        <v>0</v>
      </c>
      <c r="Q63" s="148">
        <f t="shared" si="2"/>
        <v>0</v>
      </c>
      <c r="R63" s="54"/>
      <c r="S63" s="77"/>
      <c r="T63" s="39"/>
      <c r="U63" s="39"/>
      <c r="V63" s="39"/>
    </row>
    <row r="64" spans="1:22" x14ac:dyDescent="0.2">
      <c r="F64" s="14"/>
      <c r="G64" s="14"/>
      <c r="H64" s="14"/>
      <c r="I64" s="14"/>
      <c r="J64" s="14"/>
      <c r="O64" s="10"/>
      <c r="P64" s="10"/>
      <c r="R64" s="10"/>
    </row>
    <row r="65" spans="1:18" ht="15" thickBot="1" x14ac:dyDescent="0.25">
      <c r="A65" s="15"/>
      <c r="B65" s="15"/>
      <c r="C65" s="15"/>
      <c r="E65" s="16" t="s">
        <v>19</v>
      </c>
      <c r="F65" s="42">
        <f>SUM(F9:F63)</f>
        <v>30099.26</v>
      </c>
      <c r="G65" s="42">
        <f>SUM(G9:G63)</f>
        <v>1769.95</v>
      </c>
      <c r="H65" s="42">
        <f>SUM(H9:H63)</f>
        <v>354.00000000000011</v>
      </c>
      <c r="I65" s="42">
        <f>SUM(I9:I63)</f>
        <v>1397</v>
      </c>
      <c r="J65" s="42">
        <f>SUM(J9:J63)</f>
        <v>26523.310000000005</v>
      </c>
      <c r="K65" s="41"/>
      <c r="L65" s="42">
        <f>SUM(L9:L63)</f>
        <v>3652.3</v>
      </c>
      <c r="M65" s="42">
        <f>SUM(M9:M63)</f>
        <v>22926.010000000002</v>
      </c>
      <c r="N65" s="41"/>
      <c r="O65" s="42">
        <f>SUM(O9:O63)</f>
        <v>9204.0399999999991</v>
      </c>
      <c r="P65" s="42">
        <f>SUM(P9:P63)</f>
        <v>13721.970000000003</v>
      </c>
      <c r="R65" s="41"/>
    </row>
    <row r="66" spans="1:18" ht="13.5" thickTop="1" x14ac:dyDescent="0.2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">
      <c r="Q65532" s="20">
        <v>40611</v>
      </c>
    </row>
  </sheetData>
  <autoFilter ref="B7:U63" xr:uid="{00000000-0009-0000-0000-000000000000}"/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00000000-0002-0000-0000-000005000000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3"/>
  <sheetViews>
    <sheetView zoomScale="85" zoomScaleNormal="85" workbookViewId="0">
      <selection activeCell="E51" sqref="E51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f>SUM('Rent Statement'!F9:F63)</f>
        <v>30099.26</v>
      </c>
      <c r="E5" s="52">
        <f>SUMIF('Rent Statement'!S9:S63,"=Mathew Tucker", 'Rent Statement'!F9:F63)</f>
        <v>19946.47</v>
      </c>
      <c r="H5" s="52">
        <f>SUMIF('Rent Statement'!S9:S63,"Ivana Valentino", 'Rent Statement'!F9:F63)</f>
        <v>10152.790000000001</v>
      </c>
    </row>
    <row r="6" spans="1:9" x14ac:dyDescent="0.2">
      <c r="A6" t="s">
        <v>214</v>
      </c>
      <c r="C6" s="55">
        <f>-SUM('Rent Statement'!O9:O63)</f>
        <v>-9204.0399999999991</v>
      </c>
      <c r="F6" s="55">
        <f>-SUMIF('Rent Statement'!S9:S63,"Mathew Tucker",'Rent Statement'!O9:O63)</f>
        <v>-5103.12</v>
      </c>
      <c r="I6" s="55">
        <f>-SUMIF('Rent Statement'!S9:S63,"Ivana Valentino",'Rent Statement'!O9:O63)</f>
        <v>-4100.92</v>
      </c>
    </row>
    <row r="7" spans="1:9" x14ac:dyDescent="0.2">
      <c r="A7" t="s">
        <v>213</v>
      </c>
      <c r="C7" s="55">
        <f>-SUM('Rent Statement'!G9:G63)</f>
        <v>-1769.95</v>
      </c>
      <c r="F7" s="55">
        <f>-SUMIF('Rent Statement'!S9:S63,"Mathew Tucker",'Rent Statement'!G9:G63)</f>
        <v>-1196.7800000000002</v>
      </c>
      <c r="I7" s="55">
        <f>-SUMIF('Rent Statement'!S9:S63,"Ivana Valentino",'Rent Statement'!G9:G63)</f>
        <v>-573.17000000000007</v>
      </c>
    </row>
    <row r="8" spans="1:9" x14ac:dyDescent="0.2">
      <c r="A8" t="s">
        <v>212</v>
      </c>
      <c r="C8" s="55">
        <f>-SUM('Rent Statement'!H9:H63)</f>
        <v>-354.00000000000011</v>
      </c>
      <c r="F8" s="55">
        <f>-SUMIF('Rent Statement'!S9:S63,"Mathew Tucker",'Rent Statement'!H9:H63)</f>
        <v>-239.36000000000004</v>
      </c>
      <c r="I8" s="55">
        <f>-SUMIF('Rent Statement'!S9:S63,"Ivana Valentino",'Rent Statement'!H9:H63)</f>
        <v>-114.64</v>
      </c>
    </row>
    <row r="9" spans="1:9" x14ac:dyDescent="0.2">
      <c r="A9" t="s">
        <v>211</v>
      </c>
      <c r="C9" s="55">
        <f>-SUM('Rent Statement'!I9:I63)-SUM('Rent Statement'!L9:L63)</f>
        <v>-5049.3</v>
      </c>
      <c r="F9" s="55">
        <f>-SUMIF('Rent Statement'!S9:S63,"Mathew Tucker",'Rent Statement'!I9:I63)-SUMIF('Rent Statement'!S9:S63,"Mathew Tucker",'Rent Statement'!L9:L63)</f>
        <v>-4607.3</v>
      </c>
      <c r="I9" s="55">
        <f>-SUMIF('Rent Statement'!S9:S63,"Ivana Valentino",'Rent Statement'!I9:I63)-SUMIF('Rent Statement'!S9:S63,"Ivana Valentino",'Rent Statement'!L9:L63)</f>
        <v>-442</v>
      </c>
    </row>
    <row r="10" spans="1:9" x14ac:dyDescent="0.2">
      <c r="A10" s="56" t="s">
        <v>402</v>
      </c>
      <c r="C10" s="55"/>
      <c r="F10" s="55">
        <f>-((SUMIF('Rent Statement'!S9:S63,"Mathew Tucker/Ivana Valentino",'Rent Statement'!I9:I63)/3)*2)-(SUMIF('Rent Statement'!S9:S63,"Lordswood Estates",'Rent Statement'!I9:I63)/2)</f>
        <v>0</v>
      </c>
      <c r="I10" s="5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f>B5+SUM(C6:C9)</f>
        <v>13721.969999999998</v>
      </c>
      <c r="D12" s="53"/>
      <c r="E12" s="137">
        <f>E5+SUM(F6:F10)</f>
        <v>8799.9100000000017</v>
      </c>
      <c r="H12" s="137">
        <f>H5+SUM(I6:I10)</f>
        <v>4922.0600000000004</v>
      </c>
    </row>
    <row r="13" spans="1:9" ht="15.75" thickTop="1" x14ac:dyDescent="0.25">
      <c r="A13" s="103"/>
      <c r="B13" s="103"/>
      <c r="C13" s="98"/>
      <c r="F13" s="98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53" t="s">
        <v>522</v>
      </c>
      <c r="F14" s="106" t="s">
        <v>523</v>
      </c>
    </row>
    <row r="15" spans="1:9" ht="15" x14ac:dyDescent="0.25">
      <c r="A15" s="103" t="s">
        <v>524</v>
      </c>
      <c r="B15" s="100">
        <f>E12</f>
        <v>8799.9100000000017</v>
      </c>
      <c r="C15" s="100">
        <f>H12</f>
        <v>4922.0600000000004</v>
      </c>
      <c r="D15" s="107"/>
      <c r="E15" s="154">
        <f>IFERROR(B15/($B$15+$C$15),"")</f>
        <v>0.64130077532599183</v>
      </c>
      <c r="F15" s="152">
        <f>IFERROR(C15/($B$15+$C$15),"")</f>
        <v>0.35869922467400817</v>
      </c>
    </row>
    <row r="16" spans="1:9" ht="15" x14ac:dyDescent="0.25">
      <c r="A16" s="103"/>
      <c r="B16" s="108"/>
      <c r="C16" s="108"/>
      <c r="D16" s="109"/>
      <c r="E16" s="110"/>
      <c r="F16" s="111"/>
    </row>
    <row r="17" spans="1:17" x14ac:dyDescent="0.2">
      <c r="A17" s="99" t="s">
        <v>518</v>
      </c>
      <c r="B17" s="100">
        <f ca="1">_xll.EVAL("SUM(SUMIFS(MT_Amount, MT_BankRef," &amp;$H17&amp; "))")</f>
        <v>-2530.3900000000003</v>
      </c>
      <c r="C17" s="100">
        <f ca="1">_xll.EVAL("SUM(SUMIFS(IV_Amount, IV_BankRef," &amp;$H17&amp; "))")</f>
        <v>-2177.9</v>
      </c>
      <c r="D17" s="112"/>
      <c r="E17" s="113"/>
      <c r="F17" s="114"/>
      <c r="H17" t="s">
        <v>519</v>
      </c>
    </row>
    <row r="18" spans="1:17" x14ac:dyDescent="0.2">
      <c r="A18" s="99" t="s">
        <v>25</v>
      </c>
      <c r="B18" s="100">
        <f ca="1">_xll.EVAL("SUM(SUMIFS(MT_Amount, MT_BankRef," &amp;$H18&amp; "))")</f>
        <v>17939.430000000008</v>
      </c>
      <c r="C18" s="100">
        <f ca="1">_xll.EVAL("SUM(SUMIFS(IV_Amount, IV_BankRef," &amp;$H18&amp; "))")</f>
        <v>8594.3199999999979</v>
      </c>
      <c r="D18" s="112"/>
      <c r="E18" s="113"/>
      <c r="F18" s="114"/>
      <c r="H18" t="s">
        <v>520</v>
      </c>
    </row>
    <row r="19" spans="1:17" x14ac:dyDescent="0.2">
      <c r="A19" s="99"/>
      <c r="B19" s="101">
        <f ca="1">SUM(B17:B18)</f>
        <v>15409.040000000008</v>
      </c>
      <c r="C19" s="101">
        <f ca="1">SUM(C17:C18)</f>
        <v>6416.4199999999983</v>
      </c>
      <c r="D19" s="112"/>
      <c r="E19" s="113"/>
      <c r="F19" s="114"/>
    </row>
    <row r="20" spans="1:17" ht="15" x14ac:dyDescent="0.25">
      <c r="A20" s="103"/>
      <c r="B20" s="100"/>
      <c r="C20" s="100"/>
      <c r="D20" s="112"/>
      <c r="E20" s="113"/>
      <c r="F20" s="114"/>
      <c r="H20" s="103"/>
    </row>
    <row r="21" spans="1:17" x14ac:dyDescent="0.2">
      <c r="A21" t="s">
        <v>525</v>
      </c>
      <c r="B21" s="100">
        <f ca="1">_xll.EVAL("SUM(SUMIFS(MT_Amount, MT_BankRef," &amp;$H21&amp; "))")</f>
        <v>-550</v>
      </c>
      <c r="C21" s="100">
        <f ca="1">_xll.EVAL("SUM(SUMIFS(IV_Amount, IV_BankRef," &amp;$H21&amp; "))")</f>
        <v>-550</v>
      </c>
      <c r="D21" s="112"/>
      <c r="E21" s="113"/>
      <c r="F21" s="114"/>
      <c r="H21" t="s">
        <v>526</v>
      </c>
    </row>
    <row r="22" spans="1:17" x14ac:dyDescent="0.2">
      <c r="A22" s="126" t="s">
        <v>527</v>
      </c>
      <c r="B22" s="100">
        <f ca="1">_xll.EVAL("SUM(SUMIFS(MT_Amount, MT_BankRef," &amp;$H22&amp; "))")</f>
        <v>-50</v>
      </c>
      <c r="C22" s="100">
        <f ca="1">_xll.EVAL("SUM(SUMIFS(IV_Amount, IV_BankRef," &amp;$H22&amp; "))")</f>
        <v>-50</v>
      </c>
      <c r="D22" s="112"/>
      <c r="E22" s="113"/>
      <c r="F22" s="114"/>
      <c r="H22" s="126" t="s">
        <v>528</v>
      </c>
    </row>
    <row r="23" spans="1:17" x14ac:dyDescent="0.2">
      <c r="A23" s="126"/>
      <c r="B23" s="100"/>
      <c r="C23" s="100"/>
      <c r="D23" s="112"/>
      <c r="E23" s="113"/>
      <c r="F23" s="114"/>
      <c r="H23" s="126"/>
    </row>
    <row r="24" spans="1:17" x14ac:dyDescent="0.2">
      <c r="A24" s="126" t="s">
        <v>533</v>
      </c>
      <c r="B24" s="100">
        <f ca="1">_xll.EVAL("SUM(SUMIFS(MT_Amount, MT_BankRef," &amp;$H24&amp; "))")</f>
        <v>0</v>
      </c>
      <c r="C24" s="100">
        <f ca="1">_xll.EVAL("SUM(SUMIFS(IV_Amount, IV_BankRef," &amp;$H24&amp; "))")</f>
        <v>0</v>
      </c>
      <c r="D24" s="112"/>
      <c r="E24" s="113">
        <f t="shared" ref="E24:F26" si="0">IFERROR(($D24)*E$15,"")</f>
        <v>0</v>
      </c>
      <c r="F24" s="114">
        <f t="shared" si="0"/>
        <v>0</v>
      </c>
      <c r="H24" s="126" t="s">
        <v>534</v>
      </c>
    </row>
    <row r="25" spans="1:17" x14ac:dyDescent="0.2">
      <c r="A25" s="126" t="s">
        <v>540</v>
      </c>
      <c r="B25" s="100">
        <f ca="1">_xll.EVAL("SUM(SUMIFS(MT_Amount, MT_BankRef," &amp;$H25&amp; "))")</f>
        <v>0</v>
      </c>
      <c r="C25" s="100">
        <f ca="1">_xll.EVAL("SUM(SUMIFS(IV_Amount, IV_BankRef," &amp;$H25&amp; "))")</f>
        <v>0</v>
      </c>
      <c r="D25" s="112"/>
      <c r="E25" s="113">
        <f t="shared" si="0"/>
        <v>0</v>
      </c>
      <c r="F25" s="114">
        <f t="shared" si="0"/>
        <v>0</v>
      </c>
      <c r="H25" s="126" t="s">
        <v>541</v>
      </c>
    </row>
    <row r="26" spans="1:17" x14ac:dyDescent="0.2">
      <c r="A26" s="126" t="s">
        <v>542</v>
      </c>
      <c r="B26" s="100">
        <f ca="1">_xll.EVAL("SUM(SUMIFS(MT_Amount, MT_BankRef," &amp;$H26&amp; "))")</f>
        <v>-102</v>
      </c>
      <c r="C26" s="100">
        <f ca="1">_xll.EVAL("SUM(SUMIFS(IV_Amount, IV_BankRef," &amp;$H26&amp; "))")</f>
        <v>0</v>
      </c>
      <c r="D26" s="112"/>
      <c r="E26" s="113">
        <f t="shared" si="0"/>
        <v>0</v>
      </c>
      <c r="F26" s="114">
        <f t="shared" si="0"/>
        <v>0</v>
      </c>
      <c r="H26" s="126" t="s">
        <v>543</v>
      </c>
    </row>
    <row r="27" spans="1:17" x14ac:dyDescent="0.2">
      <c r="A27" s="126"/>
      <c r="B27" s="100"/>
      <c r="C27" s="100"/>
      <c r="D27" s="112"/>
      <c r="E27" s="113"/>
      <c r="F27" s="114"/>
      <c r="H27" s="126"/>
    </row>
    <row r="28" spans="1:17" x14ac:dyDescent="0.2">
      <c r="A28" s="131" t="s">
        <v>557</v>
      </c>
      <c r="B28" s="100"/>
      <c r="C28" s="100"/>
      <c r="D28" s="112"/>
      <c r="E28" s="113"/>
      <c r="F28" s="114"/>
      <c r="H28" s="126"/>
    </row>
    <row r="29" spans="1:17" x14ac:dyDescent="0.2">
      <c r="A29" t="s">
        <v>529</v>
      </c>
      <c r="B29" s="138">
        <f ca="1">_xll.EVAL("SUM(SUMIFS(MT_Amount, MT_BankRef," &amp;$H29&amp; "))")</f>
        <v>0</v>
      </c>
      <c r="C29" s="101">
        <f ca="1">_xll.EVAL("SUM(SUMIFS(IV_Amount, IV_BankRef," &amp;$H29&amp; "))")</f>
        <v>-200</v>
      </c>
      <c r="D29" s="139">
        <f t="shared" ref="D29:D35" ca="1" si="1">B29+C29</f>
        <v>-200</v>
      </c>
      <c r="E29" s="140">
        <f ca="1">IFERROR(($D29)*E$15,"")</f>
        <v>-128.26015506519838</v>
      </c>
      <c r="F29" s="141">
        <f ca="1">IFERROR(($D29)*F$15,"")</f>
        <v>-71.739844934801638</v>
      </c>
      <c r="H29" t="s">
        <v>530</v>
      </c>
      <c r="J29" s="56"/>
      <c r="Q29" s="56"/>
    </row>
    <row r="30" spans="1:17" x14ac:dyDescent="0.2">
      <c r="A30" s="126" t="s">
        <v>531</v>
      </c>
      <c r="B30" s="142">
        <f ca="1">_xll.EVAL("SUM(SUMIFS(MT_Amount, MT_BankRef," &amp;$H30&amp; "))")</f>
        <v>0</v>
      </c>
      <c r="C30" s="129">
        <f ca="1">_xll.EVAL("SUM(SUMIFS(IV_Amount, IV_BankRef," &amp;$H30&amp; "))")</f>
        <v>-4570.4299999999994</v>
      </c>
      <c r="D30" s="112">
        <f t="shared" ca="1" si="1"/>
        <v>-4570.4299999999994</v>
      </c>
      <c r="E30" s="113">
        <f t="shared" ref="E30:F35" ca="1" si="2">IFERROR(($D30)*E$15,"")</f>
        <v>-2931.0203025731726</v>
      </c>
      <c r="F30" s="114">
        <f t="shared" ca="1" si="2"/>
        <v>-1639.4096974268268</v>
      </c>
      <c r="H30" s="126" t="s">
        <v>532</v>
      </c>
      <c r="Q30" s="56"/>
    </row>
    <row r="31" spans="1:17" x14ac:dyDescent="0.2">
      <c r="A31" s="126" t="s">
        <v>535</v>
      </c>
      <c r="B31" s="142">
        <f ca="1">_xll.EVAL("SUM(SUMIFS(MT_Amount, MT_BankRef," &amp;$H31&amp; "))")</f>
        <v>0</v>
      </c>
      <c r="C31" s="129">
        <f ca="1">_xll.EVAL("SUM(SUMIFS(IV_Amount, IV_BankRef," &amp;$H31&amp; "))")</f>
        <v>-37.950000000000003</v>
      </c>
      <c r="D31" s="112">
        <f t="shared" ca="1" si="1"/>
        <v>-37.950000000000003</v>
      </c>
      <c r="E31" s="113">
        <f t="shared" ca="1" si="2"/>
        <v>-24.337364423621391</v>
      </c>
      <c r="F31" s="114">
        <f t="shared" ca="1" si="2"/>
        <v>-13.612635576378612</v>
      </c>
      <c r="H31" t="s">
        <v>536</v>
      </c>
    </row>
    <row r="32" spans="1:17" x14ac:dyDescent="0.2">
      <c r="A32" s="126" t="s">
        <v>537</v>
      </c>
      <c r="B32" s="142">
        <f ca="1">_xll.EVAL("SUM(SUMIFS(MT_Amount, MT_BankRef," &amp;$H32&amp; "))")</f>
        <v>0</v>
      </c>
      <c r="C32" s="129">
        <f ca="1">_xll.EVAL("SUM(SUMIFS(IV_Amount, IV_BankRef," &amp;$H32&amp; "))")</f>
        <v>-56.49</v>
      </c>
      <c r="D32" s="112">
        <f t="shared" ca="1" si="1"/>
        <v>-56.49</v>
      </c>
      <c r="E32" s="113">
        <f t="shared" ca="1" si="2"/>
        <v>-36.227080798165282</v>
      </c>
      <c r="F32" s="114">
        <f t="shared" ca="1" si="2"/>
        <v>-20.262919201834723</v>
      </c>
      <c r="H32" t="s">
        <v>538</v>
      </c>
    </row>
    <row r="33" spans="1:8" ht="15" x14ac:dyDescent="0.25">
      <c r="A33" s="126" t="s">
        <v>539</v>
      </c>
      <c r="B33" s="149">
        <f>SUMIFS(MT_Amount, MT_Include,"I")</f>
        <v>-1710.16</v>
      </c>
      <c r="C33" s="129">
        <f ca="1">_xll.EVAL("SUM(SUMIFS(IV_Amount, IV_BankRef," &amp;$H33&amp; "))")-SUMIFS(IV_Amount_4040, IV_BankRef_4040,"=X")</f>
        <v>-2380</v>
      </c>
      <c r="D33" s="112">
        <f t="shared" ca="1" si="1"/>
        <v>-4090.16</v>
      </c>
      <c r="E33" s="113">
        <f t="shared" ca="1" si="2"/>
        <v>-2623.0227792073588</v>
      </c>
      <c r="F33" s="114">
        <f t="shared" ca="1" si="2"/>
        <v>-1467.1372207926411</v>
      </c>
      <c r="H33" s="56" t="s">
        <v>565</v>
      </c>
    </row>
    <row r="34" spans="1:8" x14ac:dyDescent="0.2">
      <c r="A34" s="126" t="s">
        <v>25</v>
      </c>
      <c r="B34" s="142">
        <f ca="1">_xll.EVAL("SUM(SUMIFS(MT_Amount, MT_BankRef," &amp;$H34&amp; "))")</f>
        <v>0</v>
      </c>
      <c r="C34" s="129">
        <f ca="1">_xll.EVAL("SUM(SUMIFS(IV_Amount, IV_BankRef," &amp;$H34&amp; "))")</f>
        <v>0</v>
      </c>
      <c r="D34" s="112">
        <f t="shared" ca="1" si="1"/>
        <v>0</v>
      </c>
      <c r="E34" s="113">
        <f t="shared" ca="1" si="2"/>
        <v>0</v>
      </c>
      <c r="F34" s="114">
        <f t="shared" ca="1" si="2"/>
        <v>0</v>
      </c>
      <c r="H34" s="126" t="s">
        <v>544</v>
      </c>
    </row>
    <row r="35" spans="1:8" x14ac:dyDescent="0.2">
      <c r="A35" s="127" t="s">
        <v>564</v>
      </c>
      <c r="B35" s="143">
        <v>0</v>
      </c>
      <c r="C35" s="144">
        <v>0</v>
      </c>
      <c r="D35" s="112">
        <f t="shared" si="1"/>
        <v>0</v>
      </c>
      <c r="E35" s="113">
        <f t="shared" si="2"/>
        <v>0</v>
      </c>
      <c r="F35" s="114">
        <f t="shared" si="2"/>
        <v>0</v>
      </c>
      <c r="H35" s="127"/>
    </row>
    <row r="36" spans="1:8" x14ac:dyDescent="0.2">
      <c r="B36" s="115">
        <f ca="1">SUBTOTAL(9,B29:B35)</f>
        <v>-1710.16</v>
      </c>
      <c r="C36" s="115">
        <f ca="1">SUBTOTAL(9,C29:C35)</f>
        <v>-7244.869999999999</v>
      </c>
      <c r="D36" s="116">
        <f ca="1">SUBTOTAL(9,D20:D35)</f>
        <v>-8955.0299999999988</v>
      </c>
      <c r="E36" s="117">
        <f ca="1">SUBTOTAL(9,E29:E35)</f>
        <v>-5742.8676820675164</v>
      </c>
      <c r="F36" s="115">
        <f ca="1">SUBTOTAL(9,F29:F35)</f>
        <v>-3212.1623179324824</v>
      </c>
    </row>
    <row r="37" spans="1:8" x14ac:dyDescent="0.2">
      <c r="B37" s="129"/>
      <c r="C37" s="129"/>
      <c r="D37" s="129"/>
      <c r="E37" s="113"/>
      <c r="F37" s="129"/>
    </row>
    <row r="38" spans="1:8" x14ac:dyDescent="0.2">
      <c r="A38" s="130" t="s">
        <v>555</v>
      </c>
      <c r="E38" s="100">
        <f ca="1">SUM(B29:B35)</f>
        <v>-1710.16</v>
      </c>
      <c r="F38" s="100">
        <f ca="1">SUM(C29:C35)</f>
        <v>-7244.869999999999</v>
      </c>
    </row>
    <row r="39" spans="1:8" x14ac:dyDescent="0.2">
      <c r="A39" s="127" t="s">
        <v>556</v>
      </c>
      <c r="E39" s="119">
        <f ca="1">_xll.EVAL("SUM(SUMIFS(MT_Amount, MT_BankRef," &amp;$H39&amp; "))")</f>
        <v>-2609.16</v>
      </c>
      <c r="F39" s="100">
        <f ca="1">-E39</f>
        <v>2609.16</v>
      </c>
      <c r="H39" t="s">
        <v>545</v>
      </c>
    </row>
    <row r="40" spans="1:8" x14ac:dyDescent="0.2">
      <c r="E40" s="118"/>
      <c r="F40" s="100"/>
    </row>
    <row r="41" spans="1:8" x14ac:dyDescent="0.2">
      <c r="A41" t="s">
        <v>546</v>
      </c>
      <c r="E41" s="117">
        <f ca="1">E36-E38-E39</f>
        <v>-1423.5476820675167</v>
      </c>
      <c r="F41" s="117">
        <f ca="1">F36-F38-F39</f>
        <v>1423.5476820675167</v>
      </c>
    </row>
    <row r="42" spans="1:8" x14ac:dyDescent="0.2">
      <c r="A42" s="132" t="s">
        <v>558</v>
      </c>
    </row>
    <row r="43" spans="1:8" x14ac:dyDescent="0.2">
      <c r="A43" s="132"/>
      <c r="E43" s="100"/>
    </row>
    <row r="44" spans="1:8" x14ac:dyDescent="0.2">
      <c r="A44" s="127"/>
      <c r="E44" s="100"/>
    </row>
    <row r="45" spans="1:8" x14ac:dyDescent="0.2">
      <c r="A45" s="127"/>
      <c r="E45" s="100"/>
    </row>
    <row r="46" spans="1:8" x14ac:dyDescent="0.2">
      <c r="A46" s="56"/>
    </row>
    <row r="47" spans="1:8" x14ac:dyDescent="0.2">
      <c r="A47" s="132"/>
      <c r="E47" s="115">
        <f ca="1">E41+SUM(E44:E46)</f>
        <v>-1423.5476820675167</v>
      </c>
      <c r="F47" s="56"/>
    </row>
    <row r="49" spans="1:5" x14ac:dyDescent="0.2">
      <c r="A49" s="50" t="s">
        <v>547</v>
      </c>
      <c r="D49" s="56"/>
    </row>
    <row r="50" spans="1:5" x14ac:dyDescent="0.2">
      <c r="A50" s="56"/>
      <c r="D50" s="56"/>
    </row>
    <row r="51" spans="1:5" x14ac:dyDescent="0.2">
      <c r="A51" s="56"/>
      <c r="D51" s="56"/>
    </row>
    <row r="52" spans="1:5" x14ac:dyDescent="0.2">
      <c r="D52" s="56"/>
    </row>
    <row r="53" spans="1:5" x14ac:dyDescent="0.2">
      <c r="D53" s="56"/>
      <c r="E53" s="100"/>
    </row>
  </sheetData>
  <pageMargins left="0.7" right="0.7" top="0.75" bottom="0.75" header="0.3" footer="0.3"/>
  <ignoredErrors>
    <ignoredError sqref="B9 C5 B6 B7 B8" formulaRange="1"/>
    <ignoredError sqref="B33:C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O46"/>
  <sheetViews>
    <sheetView zoomScale="85" zoomScaleNormal="85" workbookViewId="0">
      <selection activeCell="A3" sqref="A3:G59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 x14ac:dyDescent="0.2">
      <c r="A1" s="124" t="s">
        <v>548</v>
      </c>
    </row>
    <row r="2" spans="1:15" x14ac:dyDescent="0.2">
      <c r="A2" s="50"/>
      <c r="B2" s="72"/>
      <c r="C2" s="72"/>
      <c r="D2" s="73"/>
      <c r="E2" s="72"/>
      <c r="F2" s="72"/>
      <c r="G2" s="73"/>
      <c r="H2" s="72"/>
      <c r="I2" s="72"/>
    </row>
    <row r="3" spans="1:15" ht="15" x14ac:dyDescent="0.25">
      <c r="A3" s="160" t="s">
        <v>1093</v>
      </c>
    </row>
    <row r="4" spans="1:15" x14ac:dyDescent="0.2">
      <c r="A4" t="s">
        <v>1094</v>
      </c>
      <c r="B4">
        <v>17</v>
      </c>
    </row>
    <row r="5" spans="1:15" x14ac:dyDescent="0.2">
      <c r="A5" t="s">
        <v>1095</v>
      </c>
      <c r="B5">
        <v>66</v>
      </c>
    </row>
    <row r="6" spans="1:15" x14ac:dyDescent="0.2">
      <c r="A6" t="s">
        <v>1096</v>
      </c>
      <c r="B6">
        <v>65</v>
      </c>
    </row>
    <row r="7" spans="1:15" x14ac:dyDescent="0.2">
      <c r="A7" t="s">
        <v>1097</v>
      </c>
      <c r="B7">
        <v>55</v>
      </c>
    </row>
    <row r="8" spans="1:15" x14ac:dyDescent="0.2">
      <c r="A8" t="s">
        <v>1098</v>
      </c>
      <c r="B8">
        <v>8</v>
      </c>
    </row>
    <row r="9" spans="1:15" x14ac:dyDescent="0.2">
      <c r="A9" t="s">
        <v>1099</v>
      </c>
      <c r="B9">
        <v>10</v>
      </c>
    </row>
    <row r="10" spans="1:15" x14ac:dyDescent="0.2">
      <c r="A10" s="145"/>
      <c r="B10" s="145"/>
      <c r="C10" s="145"/>
      <c r="D10" s="145"/>
      <c r="E10" s="145"/>
      <c r="F10" s="145"/>
      <c r="G10" s="145"/>
      <c r="H10" s="123"/>
      <c r="I10" s="123"/>
      <c r="J10" s="123"/>
      <c r="K10" s="123"/>
      <c r="L10" s="123"/>
      <c r="M10" s="123"/>
      <c r="N10" s="123"/>
      <c r="O10" s="123"/>
    </row>
    <row r="11" spans="1:15" ht="15" x14ac:dyDescent="0.25">
      <c r="A11" s="160" t="s">
        <v>24</v>
      </c>
      <c r="B11" s="160" t="s">
        <v>513</v>
      </c>
      <c r="C11" s="160" t="s">
        <v>515</v>
      </c>
      <c r="D11" s="160" t="s">
        <v>550</v>
      </c>
      <c r="E11" s="160" t="s">
        <v>1100</v>
      </c>
      <c r="F11" s="160" t="s">
        <v>1101</v>
      </c>
    </row>
    <row r="12" spans="1:15" x14ac:dyDescent="0.2">
      <c r="A12" t="s">
        <v>112</v>
      </c>
      <c r="B12" s="161">
        <v>43200.385833333334</v>
      </c>
      <c r="C12">
        <v>180</v>
      </c>
      <c r="D12" t="s">
        <v>1102</v>
      </c>
      <c r="E12">
        <v>188953</v>
      </c>
      <c r="F12" t="s">
        <v>1103</v>
      </c>
    </row>
    <row r="13" spans="1:15" x14ac:dyDescent="0.2">
      <c r="A13" t="s">
        <v>112</v>
      </c>
      <c r="B13" s="161">
        <v>43188.623298611114</v>
      </c>
      <c r="C13">
        <v>-180</v>
      </c>
      <c r="D13" t="s">
        <v>1104</v>
      </c>
      <c r="E13">
        <v>188657</v>
      </c>
      <c r="F13" t="s">
        <v>1103</v>
      </c>
    </row>
    <row r="14" spans="1:15" x14ac:dyDescent="0.2">
      <c r="A14" t="s">
        <v>75</v>
      </c>
      <c r="B14" s="161">
        <v>43173.395543981482</v>
      </c>
      <c r="C14">
        <v>-288</v>
      </c>
      <c r="D14" t="s">
        <v>1105</v>
      </c>
      <c r="E14">
        <v>188673</v>
      </c>
      <c r="F14" t="s">
        <v>1103</v>
      </c>
    </row>
    <row r="15" spans="1:15" x14ac:dyDescent="0.2">
      <c r="A15" t="s">
        <v>75</v>
      </c>
      <c r="B15" s="161">
        <v>43167.664571759262</v>
      </c>
      <c r="C15">
        <v>-40</v>
      </c>
      <c r="D15" t="s">
        <v>1106</v>
      </c>
      <c r="E15">
        <v>188672</v>
      </c>
      <c r="F15" t="s">
        <v>1103</v>
      </c>
    </row>
    <row r="16" spans="1:15" x14ac:dyDescent="0.2">
      <c r="A16" t="s">
        <v>73</v>
      </c>
      <c r="B16" s="161">
        <v>43294.545995370368</v>
      </c>
      <c r="C16">
        <v>85</v>
      </c>
      <c r="D16" t="s">
        <v>1107</v>
      </c>
      <c r="E16">
        <v>191920</v>
      </c>
      <c r="F16" t="s">
        <v>1103</v>
      </c>
    </row>
    <row r="17" spans="1:6" x14ac:dyDescent="0.2">
      <c r="A17" t="s">
        <v>73</v>
      </c>
      <c r="B17" s="161">
        <v>43292.506909722222</v>
      </c>
      <c r="C17">
        <v>-120</v>
      </c>
      <c r="D17" t="s">
        <v>1108</v>
      </c>
      <c r="E17">
        <v>191919</v>
      </c>
      <c r="F17" t="s">
        <v>1103</v>
      </c>
    </row>
    <row r="18" spans="1:6" x14ac:dyDescent="0.2">
      <c r="A18" t="s">
        <v>99</v>
      </c>
      <c r="B18" s="161">
        <v>43342.581608796296</v>
      </c>
      <c r="C18">
        <v>-375</v>
      </c>
      <c r="D18" t="s">
        <v>1109</v>
      </c>
      <c r="E18">
        <v>193565</v>
      </c>
      <c r="F18" t="s">
        <v>1103</v>
      </c>
    </row>
    <row r="19" spans="1:6" x14ac:dyDescent="0.2">
      <c r="A19" t="s">
        <v>99</v>
      </c>
      <c r="B19" s="161">
        <v>43328.680752314816</v>
      </c>
      <c r="C19">
        <v>-145</v>
      </c>
      <c r="D19" t="s">
        <v>1110</v>
      </c>
      <c r="E19">
        <v>193564</v>
      </c>
      <c r="F19" t="s">
        <v>1103</v>
      </c>
    </row>
    <row r="20" spans="1:6" x14ac:dyDescent="0.2">
      <c r="A20" t="s">
        <v>106</v>
      </c>
      <c r="B20" s="161">
        <v>43365.519444444442</v>
      </c>
      <c r="C20">
        <v>-114</v>
      </c>
      <c r="D20" t="s">
        <v>593</v>
      </c>
      <c r="E20">
        <v>194466</v>
      </c>
      <c r="F20" t="s">
        <v>1111</v>
      </c>
    </row>
    <row r="21" spans="1:6" x14ac:dyDescent="0.2">
      <c r="A21" t="s">
        <v>109</v>
      </c>
      <c r="B21" s="161">
        <v>43364.388194444444</v>
      </c>
      <c r="C21">
        <v>555</v>
      </c>
      <c r="D21" t="s">
        <v>598</v>
      </c>
      <c r="E21">
        <v>194473</v>
      </c>
      <c r="F21" t="s">
        <v>1111</v>
      </c>
    </row>
    <row r="22" spans="1:6" x14ac:dyDescent="0.2">
      <c r="A22" t="s">
        <v>70</v>
      </c>
      <c r="B22" s="161">
        <v>43369.499305555553</v>
      </c>
      <c r="C22">
        <v>-78</v>
      </c>
      <c r="D22" t="s">
        <v>650</v>
      </c>
      <c r="E22">
        <v>194548</v>
      </c>
      <c r="F22" t="s">
        <v>1111</v>
      </c>
    </row>
    <row r="23" spans="1:6" x14ac:dyDescent="0.2">
      <c r="A23" t="s">
        <v>115</v>
      </c>
      <c r="B23" s="161">
        <v>43371.397222222222</v>
      </c>
      <c r="C23">
        <v>-76</v>
      </c>
      <c r="D23" t="s">
        <v>661</v>
      </c>
      <c r="E23">
        <v>194564</v>
      </c>
      <c r="F23" t="s">
        <v>1111</v>
      </c>
    </row>
    <row r="24" spans="1:6" x14ac:dyDescent="0.2">
      <c r="A24" t="s">
        <v>74</v>
      </c>
      <c r="B24" s="161">
        <v>43357.537499999999</v>
      </c>
      <c r="C24">
        <v>-456</v>
      </c>
      <c r="D24" t="s">
        <v>669</v>
      </c>
      <c r="E24">
        <v>194572</v>
      </c>
      <c r="F24" t="s">
        <v>1111</v>
      </c>
    </row>
    <row r="25" spans="1:6" x14ac:dyDescent="0.2">
      <c r="A25" t="s">
        <v>119</v>
      </c>
      <c r="B25" s="161">
        <v>43350.645138888889</v>
      </c>
      <c r="C25">
        <v>-280</v>
      </c>
      <c r="D25" t="s">
        <v>670</v>
      </c>
      <c r="E25">
        <v>194573</v>
      </c>
      <c r="F25" t="s">
        <v>1111</v>
      </c>
    </row>
    <row r="26" spans="1:6" x14ac:dyDescent="0.2">
      <c r="A26" t="s">
        <v>119</v>
      </c>
      <c r="B26" s="161">
        <v>43358.496527777781</v>
      </c>
      <c r="C26">
        <v>-140</v>
      </c>
      <c r="D26" t="s">
        <v>671</v>
      </c>
      <c r="E26">
        <v>194574</v>
      </c>
      <c r="F26" t="s">
        <v>1111</v>
      </c>
    </row>
    <row r="27" spans="1:6" x14ac:dyDescent="0.2">
      <c r="A27" t="s">
        <v>58</v>
      </c>
      <c r="B27" s="161">
        <v>43371.636805555558</v>
      </c>
      <c r="C27">
        <v>-75</v>
      </c>
      <c r="D27" t="s">
        <v>694</v>
      </c>
      <c r="E27">
        <v>194606</v>
      </c>
      <c r="F27" t="s">
        <v>1111</v>
      </c>
    </row>
    <row r="28" spans="1:6" x14ac:dyDescent="0.2">
      <c r="A28" t="s">
        <v>60</v>
      </c>
      <c r="B28" s="161">
        <v>43367.660416666666</v>
      </c>
      <c r="C28">
        <v>-2940</v>
      </c>
      <c r="D28" t="s">
        <v>723</v>
      </c>
      <c r="E28">
        <v>194646</v>
      </c>
      <c r="F28" t="s">
        <v>1111</v>
      </c>
    </row>
    <row r="29" spans="1:6" x14ac:dyDescent="0.2">
      <c r="A29" t="s">
        <v>60</v>
      </c>
      <c r="B29" s="161">
        <v>43368.431944444441</v>
      </c>
      <c r="C29">
        <v>2940</v>
      </c>
      <c r="D29" t="s">
        <v>724</v>
      </c>
      <c r="E29">
        <v>194647</v>
      </c>
      <c r="F29" t="s">
        <v>1111</v>
      </c>
    </row>
    <row r="31" spans="1:6" ht="15" x14ac:dyDescent="0.25">
      <c r="A31" s="160" t="s">
        <v>1112</v>
      </c>
    </row>
    <row r="32" spans="1:6" x14ac:dyDescent="0.2">
      <c r="A32" t="s">
        <v>1113</v>
      </c>
      <c r="B32" t="s">
        <v>522</v>
      </c>
    </row>
    <row r="33" spans="1:3" x14ac:dyDescent="0.2">
      <c r="A33" t="s">
        <v>1114</v>
      </c>
      <c r="B33">
        <v>167</v>
      </c>
    </row>
    <row r="34" spans="1:3" x14ac:dyDescent="0.2">
      <c r="A34" t="s">
        <v>1115</v>
      </c>
      <c r="B34">
        <v>167</v>
      </c>
    </row>
    <row r="35" spans="1:3" x14ac:dyDescent="0.2">
      <c r="A35" t="s">
        <v>1116</v>
      </c>
      <c r="B35">
        <v>0</v>
      </c>
    </row>
    <row r="36" spans="1:3" x14ac:dyDescent="0.2">
      <c r="A36" t="s">
        <v>1117</v>
      </c>
      <c r="B36">
        <v>167</v>
      </c>
      <c r="C36">
        <v>167</v>
      </c>
    </row>
    <row r="37" spans="1:3" x14ac:dyDescent="0.2">
      <c r="A37" t="s">
        <v>1118</v>
      </c>
      <c r="B37">
        <v>8</v>
      </c>
      <c r="C37">
        <v>8</v>
      </c>
    </row>
    <row r="38" spans="1:3" x14ac:dyDescent="0.2">
      <c r="A38" t="s">
        <v>1119</v>
      </c>
      <c r="B38">
        <v>27</v>
      </c>
      <c r="C38">
        <v>27</v>
      </c>
    </row>
    <row r="40" spans="1:3" x14ac:dyDescent="0.2">
      <c r="A40" t="s">
        <v>1113</v>
      </c>
      <c r="B40" t="s">
        <v>523</v>
      </c>
    </row>
    <row r="41" spans="1:3" x14ac:dyDescent="0.2">
      <c r="A41" t="s">
        <v>1114</v>
      </c>
      <c r="B41">
        <v>61</v>
      </c>
    </row>
    <row r="42" spans="1:3" x14ac:dyDescent="0.2">
      <c r="A42" t="s">
        <v>1115</v>
      </c>
      <c r="B42">
        <v>61</v>
      </c>
    </row>
    <row r="43" spans="1:3" x14ac:dyDescent="0.2">
      <c r="A43" t="s">
        <v>1116</v>
      </c>
      <c r="B43">
        <v>0</v>
      </c>
    </row>
    <row r="44" spans="1:3" x14ac:dyDescent="0.2">
      <c r="A44" t="s">
        <v>1117</v>
      </c>
      <c r="B44">
        <v>61</v>
      </c>
      <c r="C44">
        <v>61</v>
      </c>
    </row>
    <row r="45" spans="1:3" x14ac:dyDescent="0.2">
      <c r="A45" t="s">
        <v>1118</v>
      </c>
      <c r="B45">
        <v>0</v>
      </c>
      <c r="C45">
        <v>0</v>
      </c>
    </row>
    <row r="46" spans="1:3" x14ac:dyDescent="0.2">
      <c r="A46" t="s">
        <v>1119</v>
      </c>
      <c r="B46">
        <v>16</v>
      </c>
      <c r="C46">
        <v>16</v>
      </c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J183"/>
  <sheetViews>
    <sheetView topLeftCell="A100" zoomScale="85" zoomScaleNormal="85" workbookViewId="0">
      <selection activeCell="F129" sqref="F1:F1048576"/>
    </sheetView>
  </sheetViews>
  <sheetFormatPr defaultRowHeight="12.75" x14ac:dyDescent="0.2"/>
  <cols>
    <col min="1" max="2" width="10.28515625" style="125" bestFit="1" customWidth="1"/>
    <col min="3" max="3" width="16.85546875" style="125" bestFit="1" customWidth="1"/>
    <col min="4" max="4" width="12.85546875" style="125" bestFit="1" customWidth="1"/>
    <col min="5" max="5" width="12.85546875" style="125" customWidth="1"/>
    <col min="6" max="6" width="50.140625" style="125" bestFit="1" customWidth="1"/>
    <col min="7" max="7" width="10.7109375" style="125" bestFit="1" customWidth="1"/>
    <col min="8" max="8" width="25.5703125" style="125" customWidth="1"/>
    <col min="9" max="9" width="8.7109375" style="125" bestFit="1" customWidth="1"/>
    <col min="10" max="16384" width="9.140625" style="125"/>
  </cols>
  <sheetData>
    <row r="1" spans="1:10" x14ac:dyDescent="0.2">
      <c r="A1" s="125" t="s">
        <v>512</v>
      </c>
      <c r="B1" s="125" t="s">
        <v>513</v>
      </c>
      <c r="C1" s="125" t="s">
        <v>514</v>
      </c>
      <c r="D1" s="125" t="s">
        <v>515</v>
      </c>
      <c r="E1" s="125" t="s">
        <v>516</v>
      </c>
      <c r="F1" s="125" t="s">
        <v>517</v>
      </c>
      <c r="G1" s="133" t="s">
        <v>24</v>
      </c>
      <c r="H1" s="133" t="s">
        <v>550</v>
      </c>
      <c r="I1" s="133" t="s">
        <v>551</v>
      </c>
    </row>
    <row r="2" spans="1:10" x14ac:dyDescent="0.2">
      <c r="B2" s="135">
        <v>43346</v>
      </c>
      <c r="C2" s="125" t="s">
        <v>729</v>
      </c>
      <c r="D2" s="125">
        <v>-70.95</v>
      </c>
      <c r="E2" s="125" t="s">
        <v>730</v>
      </c>
      <c r="F2" s="125" t="s">
        <v>731</v>
      </c>
      <c r="H2" s="134"/>
      <c r="I2" t="s">
        <v>1047</v>
      </c>
      <c r="J2" s="133"/>
    </row>
    <row r="3" spans="1:10" x14ac:dyDescent="0.2">
      <c r="B3" s="135">
        <v>43346</v>
      </c>
      <c r="C3" s="125" t="s">
        <v>729</v>
      </c>
      <c r="D3" s="125">
        <v>-2609.16</v>
      </c>
      <c r="E3" s="125" t="s">
        <v>732</v>
      </c>
      <c r="F3" s="125" t="s">
        <v>733</v>
      </c>
      <c r="I3" t="s">
        <v>1047</v>
      </c>
    </row>
    <row r="4" spans="1:10" x14ac:dyDescent="0.2">
      <c r="B4" s="135">
        <v>43346</v>
      </c>
      <c r="C4" s="125" t="s">
        <v>729</v>
      </c>
      <c r="D4" s="125">
        <v>-196.79</v>
      </c>
      <c r="E4" s="125" t="s">
        <v>732</v>
      </c>
      <c r="F4" s="125" t="s">
        <v>734</v>
      </c>
      <c r="I4" t="s">
        <v>1047</v>
      </c>
    </row>
    <row r="5" spans="1:10" x14ac:dyDescent="0.2">
      <c r="B5" s="135">
        <v>43346</v>
      </c>
      <c r="C5" s="125" t="s">
        <v>729</v>
      </c>
      <c r="D5" s="125">
        <v>-50</v>
      </c>
      <c r="E5" s="125" t="s">
        <v>732</v>
      </c>
      <c r="F5" s="125" t="s">
        <v>735</v>
      </c>
      <c r="I5" t="s">
        <v>1047</v>
      </c>
    </row>
    <row r="6" spans="1:10" x14ac:dyDescent="0.2">
      <c r="B6" s="135">
        <v>43346</v>
      </c>
      <c r="C6" s="125" t="s">
        <v>729</v>
      </c>
      <c r="D6" s="125">
        <v>-50</v>
      </c>
      <c r="E6" s="125" t="s">
        <v>732</v>
      </c>
      <c r="F6" s="125" t="s">
        <v>736</v>
      </c>
      <c r="I6" t="s">
        <v>1047</v>
      </c>
    </row>
    <row r="7" spans="1:10" x14ac:dyDescent="0.2">
      <c r="B7" s="135">
        <v>43346</v>
      </c>
      <c r="C7" s="125" t="s">
        <v>729</v>
      </c>
      <c r="D7" s="125">
        <v>-160</v>
      </c>
      <c r="E7" s="125" t="s">
        <v>732</v>
      </c>
      <c r="F7" s="125" t="s">
        <v>737</v>
      </c>
      <c r="I7" t="s">
        <v>1047</v>
      </c>
    </row>
    <row r="8" spans="1:10" x14ac:dyDescent="0.2">
      <c r="B8" s="135">
        <v>43346</v>
      </c>
      <c r="C8" s="125" t="s">
        <v>729</v>
      </c>
      <c r="D8" s="125">
        <v>-157.5</v>
      </c>
      <c r="E8" s="125" t="s">
        <v>732</v>
      </c>
      <c r="F8" s="125" t="s">
        <v>738</v>
      </c>
      <c r="I8" t="s">
        <v>1047</v>
      </c>
    </row>
    <row r="9" spans="1:10" x14ac:dyDescent="0.2">
      <c r="B9" s="135">
        <v>43346</v>
      </c>
      <c r="C9" s="125" t="s">
        <v>729</v>
      </c>
      <c r="D9" s="125">
        <v>-232.5</v>
      </c>
      <c r="E9" s="125" t="s">
        <v>732</v>
      </c>
      <c r="F9" s="125" t="s">
        <v>739</v>
      </c>
      <c r="I9" t="s">
        <v>1047</v>
      </c>
    </row>
    <row r="10" spans="1:10" x14ac:dyDescent="0.2">
      <c r="B10" s="135">
        <v>43346</v>
      </c>
      <c r="C10" s="125" t="s">
        <v>729</v>
      </c>
      <c r="D10" s="125">
        <v>-217.96</v>
      </c>
      <c r="E10" s="125" t="s">
        <v>740</v>
      </c>
      <c r="F10" s="125" t="s">
        <v>741</v>
      </c>
      <c r="I10" t="s">
        <v>1048</v>
      </c>
    </row>
    <row r="11" spans="1:10" x14ac:dyDescent="0.2">
      <c r="B11" s="135">
        <v>43346</v>
      </c>
      <c r="C11" s="125" t="s">
        <v>729</v>
      </c>
      <c r="D11" s="125">
        <v>-200.86</v>
      </c>
      <c r="E11" s="125" t="s">
        <v>740</v>
      </c>
      <c r="F11" s="125" t="s">
        <v>742</v>
      </c>
      <c r="I11" t="s">
        <v>1048</v>
      </c>
    </row>
    <row r="12" spans="1:10" x14ac:dyDescent="0.2">
      <c r="B12" s="135">
        <v>43346</v>
      </c>
      <c r="C12" s="125" t="s">
        <v>729</v>
      </c>
      <c r="D12" s="125">
        <v>-23.45</v>
      </c>
      <c r="E12" s="125" t="s">
        <v>740</v>
      </c>
      <c r="F12" s="125" t="s">
        <v>743</v>
      </c>
      <c r="I12" t="s">
        <v>1047</v>
      </c>
    </row>
    <row r="13" spans="1:10" x14ac:dyDescent="0.2">
      <c r="B13" s="135">
        <v>43346</v>
      </c>
      <c r="C13" s="125" t="s">
        <v>729</v>
      </c>
      <c r="D13" s="125">
        <v>-109.15</v>
      </c>
      <c r="E13" s="125" t="s">
        <v>740</v>
      </c>
      <c r="F13" s="125" t="s">
        <v>744</v>
      </c>
      <c r="I13" t="s">
        <v>1047</v>
      </c>
    </row>
    <row r="14" spans="1:10" x14ac:dyDescent="0.2">
      <c r="B14" s="135">
        <v>43346</v>
      </c>
      <c r="C14" s="125" t="s">
        <v>729</v>
      </c>
      <c r="D14" s="125">
        <v>-109.73</v>
      </c>
      <c r="E14" s="125" t="s">
        <v>740</v>
      </c>
      <c r="F14" s="125" t="s">
        <v>745</v>
      </c>
      <c r="H14" s="133"/>
      <c r="I14" t="s">
        <v>1047</v>
      </c>
    </row>
    <row r="15" spans="1:10" x14ac:dyDescent="0.2">
      <c r="B15" s="135">
        <v>43346</v>
      </c>
      <c r="C15" s="125" t="s">
        <v>729</v>
      </c>
      <c r="D15" s="125">
        <v>-209.16</v>
      </c>
      <c r="E15" s="125" t="s">
        <v>740</v>
      </c>
      <c r="F15" s="125" t="s">
        <v>746</v>
      </c>
      <c r="G15" s="133"/>
      <c r="H15" s="133"/>
      <c r="I15" t="s">
        <v>1048</v>
      </c>
    </row>
    <row r="16" spans="1:10" x14ac:dyDescent="0.2">
      <c r="B16" s="135">
        <v>43346</v>
      </c>
      <c r="C16" s="125" t="s">
        <v>729</v>
      </c>
      <c r="D16" s="125">
        <v>-236.44</v>
      </c>
      <c r="E16" s="125" t="s">
        <v>740</v>
      </c>
      <c r="F16" s="125" t="s">
        <v>747</v>
      </c>
      <c r="G16" s="133"/>
      <c r="I16" t="s">
        <v>1048</v>
      </c>
      <c r="J16" s="133"/>
    </row>
    <row r="17" spans="2:10" x14ac:dyDescent="0.2">
      <c r="B17" s="135">
        <v>43346</v>
      </c>
      <c r="C17" s="125" t="s">
        <v>729</v>
      </c>
      <c r="D17" s="125">
        <v>-260.98</v>
      </c>
      <c r="E17" s="125" t="s">
        <v>740</v>
      </c>
      <c r="F17" s="125" t="s">
        <v>748</v>
      </c>
      <c r="H17" s="134"/>
      <c r="I17" t="s">
        <v>1048</v>
      </c>
      <c r="J17" s="133"/>
    </row>
    <row r="18" spans="2:10" x14ac:dyDescent="0.2">
      <c r="B18" s="135">
        <v>43346</v>
      </c>
      <c r="C18" s="125" t="s">
        <v>729</v>
      </c>
      <c r="D18" s="125">
        <v>-251.96</v>
      </c>
      <c r="E18" s="125" t="s">
        <v>740</v>
      </c>
      <c r="F18" s="125" t="s">
        <v>749</v>
      </c>
      <c r="G18" s="133"/>
      <c r="H18" s="133"/>
      <c r="I18" t="s">
        <v>1048</v>
      </c>
      <c r="J18" s="133"/>
    </row>
    <row r="19" spans="2:10" x14ac:dyDescent="0.2">
      <c r="B19" s="135">
        <v>43346</v>
      </c>
      <c r="C19" s="125" t="s">
        <v>729</v>
      </c>
      <c r="D19" s="125">
        <v>-206.93</v>
      </c>
      <c r="E19" s="125" t="s">
        <v>740</v>
      </c>
      <c r="F19" s="125" t="s">
        <v>750</v>
      </c>
      <c r="H19" s="134"/>
      <c r="I19" t="s">
        <v>1048</v>
      </c>
      <c r="J19" s="133"/>
    </row>
    <row r="20" spans="2:10" x14ac:dyDescent="0.2">
      <c r="B20" s="135">
        <v>43346</v>
      </c>
      <c r="C20" s="125" t="s">
        <v>729</v>
      </c>
      <c r="D20" s="125">
        <v>-251.78</v>
      </c>
      <c r="E20" s="125" t="s">
        <v>740</v>
      </c>
      <c r="F20" s="125" t="s">
        <v>751</v>
      </c>
      <c r="I20" t="s">
        <v>1048</v>
      </c>
      <c r="J20" s="133"/>
    </row>
    <row r="21" spans="2:10" x14ac:dyDescent="0.2">
      <c r="B21" s="135">
        <v>43346</v>
      </c>
      <c r="C21" s="125" t="s">
        <v>729</v>
      </c>
      <c r="D21" s="125">
        <v>-206.8</v>
      </c>
      <c r="E21" s="125" t="s">
        <v>740</v>
      </c>
      <c r="F21" s="125" t="s">
        <v>752</v>
      </c>
      <c r="I21" t="s">
        <v>1048</v>
      </c>
      <c r="J21" s="133"/>
    </row>
    <row r="22" spans="2:10" x14ac:dyDescent="0.2">
      <c r="B22" s="135">
        <v>43346</v>
      </c>
      <c r="C22" s="125" t="s">
        <v>729</v>
      </c>
      <c r="D22" s="125">
        <v>-159.5</v>
      </c>
      <c r="E22" s="125" t="s">
        <v>740</v>
      </c>
      <c r="F22" s="125" t="s">
        <v>753</v>
      </c>
      <c r="I22" t="s">
        <v>1048</v>
      </c>
    </row>
    <row r="23" spans="2:10" x14ac:dyDescent="0.2">
      <c r="B23" s="135">
        <v>43346</v>
      </c>
      <c r="C23" s="125" t="s">
        <v>729</v>
      </c>
      <c r="D23" s="125">
        <v>-177.04</v>
      </c>
      <c r="E23" s="125" t="s">
        <v>740</v>
      </c>
      <c r="F23" s="125" t="s">
        <v>754</v>
      </c>
      <c r="I23" t="s">
        <v>1048</v>
      </c>
    </row>
    <row r="24" spans="2:10" x14ac:dyDescent="0.2">
      <c r="B24" s="135">
        <v>43346</v>
      </c>
      <c r="C24" s="125" t="s">
        <v>729</v>
      </c>
      <c r="D24" s="125">
        <v>-177.08</v>
      </c>
      <c r="E24" s="125" t="s">
        <v>740</v>
      </c>
      <c r="F24" s="125" t="s">
        <v>755</v>
      </c>
      <c r="I24" t="s">
        <v>1048</v>
      </c>
    </row>
    <row r="25" spans="2:10" x14ac:dyDescent="0.2">
      <c r="B25" s="135">
        <v>43346</v>
      </c>
      <c r="C25" s="125" t="s">
        <v>729</v>
      </c>
      <c r="D25" s="125">
        <v>-169.25</v>
      </c>
      <c r="E25" s="125" t="s">
        <v>740</v>
      </c>
      <c r="F25" s="125" t="s">
        <v>756</v>
      </c>
      <c r="I25" t="s">
        <v>1048</v>
      </c>
    </row>
    <row r="26" spans="2:10" x14ac:dyDescent="0.2">
      <c r="B26" s="135">
        <v>43346</v>
      </c>
      <c r="C26" s="125" t="s">
        <v>729</v>
      </c>
      <c r="D26" s="125">
        <v>-161.62</v>
      </c>
      <c r="E26" s="125" t="s">
        <v>740</v>
      </c>
      <c r="F26" s="125" t="s">
        <v>757</v>
      </c>
      <c r="I26" t="s">
        <v>1048</v>
      </c>
    </row>
    <row r="27" spans="2:10" x14ac:dyDescent="0.2">
      <c r="B27" s="135">
        <v>43346</v>
      </c>
      <c r="C27" s="125" t="s">
        <v>729</v>
      </c>
      <c r="D27" s="125">
        <v>-33.5</v>
      </c>
      <c r="E27" s="125" t="s">
        <v>730</v>
      </c>
      <c r="F27" s="125" t="s">
        <v>758</v>
      </c>
      <c r="I27" t="s">
        <v>1047</v>
      </c>
    </row>
    <row r="28" spans="2:10" x14ac:dyDescent="0.2">
      <c r="B28" s="135">
        <v>43346</v>
      </c>
      <c r="C28" s="125" t="s">
        <v>729</v>
      </c>
      <c r="D28" s="125">
        <v>-80.5</v>
      </c>
      <c r="E28" s="125" t="s">
        <v>730</v>
      </c>
      <c r="F28" s="125" t="s">
        <v>759</v>
      </c>
      <c r="I28" t="s">
        <v>1047</v>
      </c>
    </row>
    <row r="29" spans="2:10" x14ac:dyDescent="0.2">
      <c r="B29" s="135">
        <v>43346</v>
      </c>
      <c r="C29" s="125" t="s">
        <v>729</v>
      </c>
      <c r="D29" s="125">
        <v>-30</v>
      </c>
      <c r="E29" s="125" t="s">
        <v>760</v>
      </c>
      <c r="F29" s="125" t="s">
        <v>761</v>
      </c>
      <c r="I29" t="s">
        <v>1047</v>
      </c>
    </row>
    <row r="30" spans="2:10" x14ac:dyDescent="0.2">
      <c r="B30" s="135">
        <v>43346</v>
      </c>
      <c r="C30" s="125" t="s">
        <v>729</v>
      </c>
      <c r="D30" s="125">
        <v>737</v>
      </c>
      <c r="E30" s="125" t="s">
        <v>762</v>
      </c>
      <c r="F30" s="125" t="s">
        <v>763</v>
      </c>
      <c r="H30" s="134" t="s">
        <v>1031</v>
      </c>
      <c r="I30" t="s">
        <v>1047</v>
      </c>
    </row>
    <row r="31" spans="2:10" x14ac:dyDescent="0.2">
      <c r="B31" s="135">
        <v>43346</v>
      </c>
      <c r="C31" s="125" t="s">
        <v>729</v>
      </c>
      <c r="D31" s="125">
        <v>-737</v>
      </c>
      <c r="E31" s="125" t="s">
        <v>764</v>
      </c>
      <c r="F31" s="125" t="s">
        <v>765</v>
      </c>
      <c r="H31" s="134" t="s">
        <v>1031</v>
      </c>
      <c r="I31" t="s">
        <v>1047</v>
      </c>
    </row>
    <row r="32" spans="2:10" x14ac:dyDescent="0.2">
      <c r="B32" s="135">
        <v>43346</v>
      </c>
      <c r="C32" s="125" t="s">
        <v>729</v>
      </c>
      <c r="D32" s="125">
        <v>-3.1</v>
      </c>
      <c r="E32" s="125" t="s">
        <v>730</v>
      </c>
      <c r="F32" s="125" t="s">
        <v>766</v>
      </c>
      <c r="I32" t="s">
        <v>1047</v>
      </c>
    </row>
    <row r="33" spans="2:10" x14ac:dyDescent="0.2">
      <c r="B33" s="135">
        <v>43346</v>
      </c>
      <c r="C33" s="125" t="s">
        <v>729</v>
      </c>
      <c r="D33" s="125">
        <v>-1</v>
      </c>
      <c r="E33" s="125" t="s">
        <v>730</v>
      </c>
      <c r="F33" s="125" t="s">
        <v>766</v>
      </c>
      <c r="H33" s="134"/>
      <c r="I33" t="s">
        <v>1047</v>
      </c>
    </row>
    <row r="34" spans="2:10" x14ac:dyDescent="0.2">
      <c r="B34" s="135">
        <v>43347</v>
      </c>
      <c r="C34" s="125" t="s">
        <v>729</v>
      </c>
      <c r="D34" s="125">
        <v>-3.1</v>
      </c>
      <c r="E34" s="125" t="s">
        <v>730</v>
      </c>
      <c r="F34" s="125" t="s">
        <v>767</v>
      </c>
      <c r="I34" t="s">
        <v>1047</v>
      </c>
      <c r="J34" s="133"/>
    </row>
    <row r="35" spans="2:10" x14ac:dyDescent="0.2">
      <c r="B35" s="135">
        <v>43348</v>
      </c>
      <c r="C35" s="125" t="s">
        <v>729</v>
      </c>
      <c r="D35" s="125">
        <v>-3.71</v>
      </c>
      <c r="E35" s="125" t="s">
        <v>730</v>
      </c>
      <c r="F35" s="125" t="s">
        <v>768</v>
      </c>
      <c r="I35" t="s">
        <v>1047</v>
      </c>
      <c r="J35" s="133"/>
    </row>
    <row r="36" spans="2:10" x14ac:dyDescent="0.2">
      <c r="B36" s="135">
        <v>43349</v>
      </c>
      <c r="C36" s="125" t="s">
        <v>729</v>
      </c>
      <c r="D36" s="159">
        <v>-86.8</v>
      </c>
      <c r="E36" s="125" t="s">
        <v>730</v>
      </c>
      <c r="F36" s="125" t="s">
        <v>769</v>
      </c>
      <c r="I36" t="s">
        <v>1047</v>
      </c>
      <c r="J36" s="133"/>
    </row>
    <row r="37" spans="2:10" x14ac:dyDescent="0.2">
      <c r="B37" s="135">
        <v>43349</v>
      </c>
      <c r="C37" s="125" t="s">
        <v>729</v>
      </c>
      <c r="D37" s="125">
        <v>556.79999999999995</v>
      </c>
      <c r="E37" s="125" t="s">
        <v>770</v>
      </c>
      <c r="F37" s="125" t="s">
        <v>771</v>
      </c>
      <c r="I37" t="s">
        <v>1047</v>
      </c>
      <c r="J37" s="133"/>
    </row>
    <row r="38" spans="2:10" x14ac:dyDescent="0.2">
      <c r="B38" s="135">
        <v>43349</v>
      </c>
      <c r="C38" s="125" t="s">
        <v>729</v>
      </c>
      <c r="D38" s="125">
        <v>482.56</v>
      </c>
      <c r="E38" s="125" t="s">
        <v>770</v>
      </c>
      <c r="F38" s="125" t="s">
        <v>772</v>
      </c>
      <c r="I38" t="s">
        <v>1047</v>
      </c>
      <c r="J38" s="133"/>
    </row>
    <row r="39" spans="2:10" x14ac:dyDescent="0.2">
      <c r="B39" s="135">
        <v>43350</v>
      </c>
      <c r="C39" s="125" t="s">
        <v>729</v>
      </c>
      <c r="D39" s="125">
        <v>-3.1</v>
      </c>
      <c r="E39" s="125" t="s">
        <v>730</v>
      </c>
      <c r="F39" s="125" t="s">
        <v>773</v>
      </c>
      <c r="H39" s="133"/>
      <c r="I39" t="s">
        <v>1047</v>
      </c>
      <c r="J39" s="133"/>
    </row>
    <row r="40" spans="2:10" x14ac:dyDescent="0.2">
      <c r="B40" s="135">
        <v>43353</v>
      </c>
      <c r="C40" s="125" t="s">
        <v>729</v>
      </c>
      <c r="D40" s="125">
        <v>464</v>
      </c>
      <c r="E40" s="125" t="s">
        <v>770</v>
      </c>
      <c r="F40" s="125" t="s">
        <v>774</v>
      </c>
      <c r="I40" t="s">
        <v>1047</v>
      </c>
      <c r="J40" s="133"/>
    </row>
    <row r="41" spans="2:10" x14ac:dyDescent="0.2">
      <c r="B41" s="135">
        <v>43353</v>
      </c>
      <c r="C41" s="125" t="s">
        <v>729</v>
      </c>
      <c r="D41" s="125">
        <v>220.75</v>
      </c>
      <c r="E41" s="125" t="s">
        <v>770</v>
      </c>
      <c r="F41" s="125" t="s">
        <v>775</v>
      </c>
      <c r="I41" t="s">
        <v>1047</v>
      </c>
      <c r="J41" s="134"/>
    </row>
    <row r="42" spans="2:10" x14ac:dyDescent="0.2">
      <c r="B42" s="135">
        <v>43353</v>
      </c>
      <c r="C42" s="125" t="s">
        <v>729</v>
      </c>
      <c r="D42" s="125">
        <v>-18.5</v>
      </c>
      <c r="E42" s="125" t="s">
        <v>730</v>
      </c>
      <c r="F42" s="125" t="s">
        <v>776</v>
      </c>
      <c r="I42" t="s">
        <v>1047</v>
      </c>
      <c r="J42" s="133" t="s">
        <v>1035</v>
      </c>
    </row>
    <row r="43" spans="2:10" x14ac:dyDescent="0.2">
      <c r="B43" s="135">
        <v>43353</v>
      </c>
      <c r="C43" s="125" t="s">
        <v>729</v>
      </c>
      <c r="D43" s="125">
        <v>-4.75</v>
      </c>
      <c r="E43" s="125" t="s">
        <v>730</v>
      </c>
      <c r="F43" s="125" t="s">
        <v>777</v>
      </c>
      <c r="I43" t="s">
        <v>1047</v>
      </c>
      <c r="J43" s="133"/>
    </row>
    <row r="44" spans="2:10" x14ac:dyDescent="0.2">
      <c r="B44" s="135">
        <v>43353</v>
      </c>
      <c r="C44" s="125" t="s">
        <v>729</v>
      </c>
      <c r="D44" s="125">
        <v>-3.1</v>
      </c>
      <c r="E44" s="125" t="s">
        <v>730</v>
      </c>
      <c r="F44" s="125" t="s">
        <v>778</v>
      </c>
      <c r="I44" t="s">
        <v>1047</v>
      </c>
      <c r="J44" s="133"/>
    </row>
    <row r="45" spans="2:10" x14ac:dyDescent="0.2">
      <c r="B45" s="135">
        <v>43353</v>
      </c>
      <c r="C45" s="125" t="s">
        <v>729</v>
      </c>
      <c r="D45" s="125">
        <v>-2.99</v>
      </c>
      <c r="E45" s="125" t="s">
        <v>730</v>
      </c>
      <c r="F45" s="125" t="s">
        <v>779</v>
      </c>
      <c r="I45" t="s">
        <v>1047</v>
      </c>
    </row>
    <row r="46" spans="2:10" x14ac:dyDescent="0.2">
      <c r="B46" s="135">
        <v>43353</v>
      </c>
      <c r="C46" s="125" t="s">
        <v>729</v>
      </c>
      <c r="D46" s="125">
        <v>-93.95</v>
      </c>
      <c r="E46" s="125" t="s">
        <v>730</v>
      </c>
      <c r="F46" s="125" t="s">
        <v>780</v>
      </c>
      <c r="H46" s="134" t="s">
        <v>1036</v>
      </c>
      <c r="I46" t="s">
        <v>1047</v>
      </c>
    </row>
    <row r="47" spans="2:10" x14ac:dyDescent="0.2">
      <c r="B47" s="135">
        <v>43353</v>
      </c>
      <c r="C47" s="125" t="s">
        <v>729</v>
      </c>
      <c r="D47" s="125">
        <v>-10</v>
      </c>
      <c r="E47" s="125" t="s">
        <v>730</v>
      </c>
      <c r="F47" s="125" t="s">
        <v>781</v>
      </c>
      <c r="I47" t="s">
        <v>1047</v>
      </c>
    </row>
    <row r="48" spans="2:10" x14ac:dyDescent="0.2">
      <c r="B48" s="135">
        <v>43353</v>
      </c>
      <c r="C48" s="125" t="s">
        <v>729</v>
      </c>
      <c r="D48" s="159">
        <v>-10</v>
      </c>
      <c r="E48" s="125" t="s">
        <v>730</v>
      </c>
      <c r="F48" s="125" t="s">
        <v>782</v>
      </c>
      <c r="I48" t="s">
        <v>1047</v>
      </c>
    </row>
    <row r="49" spans="2:10" x14ac:dyDescent="0.2">
      <c r="B49" s="135">
        <v>43353</v>
      </c>
      <c r="C49" s="125" t="s">
        <v>729</v>
      </c>
      <c r="D49" s="125">
        <v>-7.99</v>
      </c>
      <c r="E49" s="125" t="s">
        <v>730</v>
      </c>
      <c r="F49" s="125" t="s">
        <v>783</v>
      </c>
      <c r="I49" t="s">
        <v>1047</v>
      </c>
      <c r="J49" s="133"/>
    </row>
    <row r="50" spans="2:10" x14ac:dyDescent="0.2">
      <c r="B50" s="135">
        <v>43353</v>
      </c>
      <c r="C50" s="125" t="s">
        <v>729</v>
      </c>
      <c r="D50" s="159">
        <v>-5</v>
      </c>
      <c r="E50" s="125" t="s">
        <v>730</v>
      </c>
      <c r="F50" s="125" t="s">
        <v>784</v>
      </c>
      <c r="I50" t="s">
        <v>1047</v>
      </c>
    </row>
    <row r="51" spans="2:10" x14ac:dyDescent="0.2">
      <c r="B51" s="135">
        <v>43353</v>
      </c>
      <c r="C51" s="125" t="s">
        <v>729</v>
      </c>
      <c r="D51" s="125">
        <v>-20.43</v>
      </c>
      <c r="E51" s="125" t="s">
        <v>740</v>
      </c>
      <c r="F51" s="125" t="s">
        <v>785</v>
      </c>
      <c r="I51" t="s">
        <v>1048</v>
      </c>
      <c r="J51" s="133"/>
    </row>
    <row r="52" spans="2:10" x14ac:dyDescent="0.2">
      <c r="B52" s="135">
        <v>43353</v>
      </c>
      <c r="C52" s="125" t="s">
        <v>729</v>
      </c>
      <c r="D52" s="125">
        <v>-88.31</v>
      </c>
      <c r="E52" s="125" t="s">
        <v>740</v>
      </c>
      <c r="F52" s="125" t="s">
        <v>786</v>
      </c>
      <c r="I52" t="s">
        <v>1048</v>
      </c>
      <c r="J52" s="133"/>
    </row>
    <row r="53" spans="2:10" x14ac:dyDescent="0.2">
      <c r="B53" s="135">
        <v>43354</v>
      </c>
      <c r="C53" s="125" t="s">
        <v>729</v>
      </c>
      <c r="D53" s="125">
        <v>-4.0999999999999996</v>
      </c>
      <c r="E53" s="125" t="s">
        <v>730</v>
      </c>
      <c r="F53" s="125" t="s">
        <v>787</v>
      </c>
      <c r="I53" t="s">
        <v>1047</v>
      </c>
      <c r="J53" s="133"/>
    </row>
    <row r="54" spans="2:10" x14ac:dyDescent="0.2">
      <c r="B54" s="135">
        <v>43354</v>
      </c>
      <c r="C54" s="125" t="s">
        <v>729</v>
      </c>
      <c r="D54" s="125">
        <v>-65.709999999999994</v>
      </c>
      <c r="E54" s="125" t="s">
        <v>730</v>
      </c>
      <c r="F54" s="125" t="s">
        <v>788</v>
      </c>
      <c r="I54" t="s">
        <v>1047</v>
      </c>
      <c r="J54" s="133"/>
    </row>
    <row r="55" spans="2:10" x14ac:dyDescent="0.2">
      <c r="B55" s="135">
        <v>43355</v>
      </c>
      <c r="C55" s="125" t="s">
        <v>729</v>
      </c>
      <c r="D55" s="125">
        <v>603.20000000000005</v>
      </c>
      <c r="E55" s="125" t="s">
        <v>770</v>
      </c>
      <c r="F55" s="125" t="s">
        <v>789</v>
      </c>
      <c r="H55" s="133"/>
      <c r="I55" t="s">
        <v>1047</v>
      </c>
    </row>
    <row r="56" spans="2:10" x14ac:dyDescent="0.2">
      <c r="B56" s="135">
        <v>43355</v>
      </c>
      <c r="C56" s="125" t="s">
        <v>729</v>
      </c>
      <c r="D56" s="125">
        <v>339.02</v>
      </c>
      <c r="E56" s="125" t="s">
        <v>770</v>
      </c>
      <c r="F56" s="125" t="s">
        <v>790</v>
      </c>
      <c r="I56" t="s">
        <v>1047</v>
      </c>
    </row>
    <row r="57" spans="2:10" x14ac:dyDescent="0.2">
      <c r="B57" s="135">
        <v>43355</v>
      </c>
      <c r="C57" s="125" t="s">
        <v>729</v>
      </c>
      <c r="D57" s="159">
        <v>-217.9</v>
      </c>
      <c r="E57" s="125" t="s">
        <v>730</v>
      </c>
      <c r="F57" s="125" t="s">
        <v>791</v>
      </c>
      <c r="H57" s="134" t="s">
        <v>1037</v>
      </c>
      <c r="I57" t="s">
        <v>1047</v>
      </c>
      <c r="J57" s="134"/>
    </row>
    <row r="58" spans="2:10" x14ac:dyDescent="0.2">
      <c r="B58" s="135">
        <v>43355</v>
      </c>
      <c r="C58" s="125" t="s">
        <v>729</v>
      </c>
      <c r="D58" s="125">
        <v>-66.89</v>
      </c>
      <c r="E58" s="125" t="s">
        <v>730</v>
      </c>
      <c r="F58" s="125" t="s">
        <v>792</v>
      </c>
      <c r="I58" t="s">
        <v>1047</v>
      </c>
      <c r="J58" s="133"/>
    </row>
    <row r="59" spans="2:10" x14ac:dyDescent="0.2">
      <c r="B59" s="135">
        <v>43355</v>
      </c>
      <c r="C59" s="125" t="s">
        <v>729</v>
      </c>
      <c r="D59" s="159">
        <v>-25</v>
      </c>
      <c r="E59" s="125" t="s">
        <v>730</v>
      </c>
      <c r="F59" s="125" t="s">
        <v>793</v>
      </c>
      <c r="I59" t="s">
        <v>1047</v>
      </c>
      <c r="J59" s="133"/>
    </row>
    <row r="60" spans="2:10" x14ac:dyDescent="0.2">
      <c r="B60" s="135">
        <v>43355</v>
      </c>
      <c r="C60" s="125" t="s">
        <v>729</v>
      </c>
      <c r="D60" s="125">
        <v>-145.28</v>
      </c>
      <c r="E60" s="125" t="s">
        <v>740</v>
      </c>
      <c r="F60" s="125" t="s">
        <v>794</v>
      </c>
      <c r="I60" t="s">
        <v>1048</v>
      </c>
      <c r="J60" s="133"/>
    </row>
    <row r="61" spans="2:10" x14ac:dyDescent="0.2">
      <c r="B61" s="135">
        <v>43356</v>
      </c>
      <c r="C61" s="125" t="s">
        <v>729</v>
      </c>
      <c r="D61" s="125">
        <v>324.8</v>
      </c>
      <c r="E61" s="125" t="s">
        <v>770</v>
      </c>
      <c r="F61" s="125" t="s">
        <v>795</v>
      </c>
      <c r="I61" t="s">
        <v>1047</v>
      </c>
      <c r="J61" s="133"/>
    </row>
    <row r="62" spans="2:10" x14ac:dyDescent="0.2">
      <c r="B62" s="135">
        <v>43356</v>
      </c>
      <c r="C62" s="125" t="s">
        <v>729</v>
      </c>
      <c r="D62" s="125">
        <v>185.6</v>
      </c>
      <c r="E62" s="125" t="s">
        <v>770</v>
      </c>
      <c r="F62" s="125" t="s">
        <v>771</v>
      </c>
      <c r="H62" s="134"/>
      <c r="I62" t="s">
        <v>1047</v>
      </c>
      <c r="J62" s="133"/>
    </row>
    <row r="63" spans="2:10" x14ac:dyDescent="0.2">
      <c r="B63" s="135">
        <v>43356</v>
      </c>
      <c r="C63" s="125" t="s">
        <v>729</v>
      </c>
      <c r="D63" s="125">
        <v>38.590000000000003</v>
      </c>
      <c r="E63" s="125" t="s">
        <v>770</v>
      </c>
      <c r="F63" s="125" t="s">
        <v>796</v>
      </c>
      <c r="I63" t="s">
        <v>1047</v>
      </c>
    </row>
    <row r="64" spans="2:10" x14ac:dyDescent="0.2">
      <c r="B64" s="135">
        <v>43356</v>
      </c>
      <c r="C64" s="125" t="s">
        <v>729</v>
      </c>
      <c r="D64" s="125">
        <v>34.82</v>
      </c>
      <c r="E64" s="125" t="s">
        <v>770</v>
      </c>
      <c r="F64" s="125" t="s">
        <v>797</v>
      </c>
      <c r="I64" t="s">
        <v>1047</v>
      </c>
      <c r="J64" s="133"/>
    </row>
    <row r="65" spans="2:10" x14ac:dyDescent="0.2">
      <c r="B65" s="135">
        <v>43356</v>
      </c>
      <c r="C65" s="125" t="s">
        <v>729</v>
      </c>
      <c r="D65" s="125">
        <v>30.35</v>
      </c>
      <c r="E65" s="125" t="s">
        <v>770</v>
      </c>
      <c r="F65" s="125" t="s">
        <v>798</v>
      </c>
      <c r="I65" t="s">
        <v>1047</v>
      </c>
    </row>
    <row r="66" spans="2:10" x14ac:dyDescent="0.2">
      <c r="B66" s="135">
        <v>43356</v>
      </c>
      <c r="C66" s="125" t="s">
        <v>729</v>
      </c>
      <c r="D66" s="125">
        <v>-19.989999999999998</v>
      </c>
      <c r="E66" s="125" t="s">
        <v>730</v>
      </c>
      <c r="F66" s="125" t="s">
        <v>799</v>
      </c>
      <c r="H66" s="134"/>
      <c r="I66" t="s">
        <v>1047</v>
      </c>
      <c r="J66" s="133" t="s">
        <v>1035</v>
      </c>
    </row>
    <row r="67" spans="2:10" x14ac:dyDescent="0.2">
      <c r="B67" s="135">
        <v>43356</v>
      </c>
      <c r="C67" s="125" t="s">
        <v>729</v>
      </c>
      <c r="D67" s="125">
        <v>-7.27</v>
      </c>
      <c r="E67" s="125" t="s">
        <v>730</v>
      </c>
      <c r="F67" s="125" t="s">
        <v>800</v>
      </c>
      <c r="I67" t="s">
        <v>1047</v>
      </c>
      <c r="J67" s="133" t="s">
        <v>1035</v>
      </c>
    </row>
    <row r="68" spans="2:10" x14ac:dyDescent="0.2">
      <c r="B68" s="135">
        <v>43356</v>
      </c>
      <c r="C68" s="125" t="s">
        <v>729</v>
      </c>
      <c r="D68" s="125">
        <v>-5.05</v>
      </c>
      <c r="E68" s="125" t="s">
        <v>730</v>
      </c>
      <c r="F68" s="125" t="s">
        <v>801</v>
      </c>
      <c r="I68" t="s">
        <v>1047</v>
      </c>
      <c r="J68" s="133" t="s">
        <v>1035</v>
      </c>
    </row>
    <row r="69" spans="2:10" x14ac:dyDescent="0.2">
      <c r="B69" s="135">
        <v>43356</v>
      </c>
      <c r="C69" s="125" t="s">
        <v>729</v>
      </c>
      <c r="D69" s="125">
        <v>-858.9</v>
      </c>
      <c r="E69" s="125" t="s">
        <v>730</v>
      </c>
      <c r="F69" s="125" t="s">
        <v>802</v>
      </c>
      <c r="H69" s="134" t="s">
        <v>1038</v>
      </c>
      <c r="I69" t="s">
        <v>1047</v>
      </c>
      <c r="J69" s="133" t="s">
        <v>1035</v>
      </c>
    </row>
    <row r="70" spans="2:10" x14ac:dyDescent="0.2">
      <c r="B70" s="135">
        <v>43357</v>
      </c>
      <c r="C70" s="125" t="s">
        <v>729</v>
      </c>
      <c r="D70" s="125">
        <v>212.07</v>
      </c>
      <c r="E70" s="125" t="s">
        <v>770</v>
      </c>
      <c r="F70" s="125" t="s">
        <v>803</v>
      </c>
      <c r="I70" t="s">
        <v>1047</v>
      </c>
      <c r="J70" s="133"/>
    </row>
    <row r="71" spans="2:10" x14ac:dyDescent="0.2">
      <c r="B71" s="135">
        <v>43357</v>
      </c>
      <c r="C71" s="125" t="s">
        <v>729</v>
      </c>
      <c r="D71" s="125">
        <v>-3.1</v>
      </c>
      <c r="E71" s="125" t="s">
        <v>730</v>
      </c>
      <c r="F71" s="125" t="s">
        <v>804</v>
      </c>
      <c r="I71" t="s">
        <v>1047</v>
      </c>
      <c r="J71" s="133"/>
    </row>
    <row r="72" spans="2:10" x14ac:dyDescent="0.2">
      <c r="B72" s="135">
        <v>43357</v>
      </c>
      <c r="C72" s="125" t="s">
        <v>729</v>
      </c>
      <c r="D72" s="125">
        <v>-1</v>
      </c>
      <c r="E72" s="125" t="s">
        <v>730</v>
      </c>
      <c r="F72" s="125" t="s">
        <v>804</v>
      </c>
      <c r="I72" t="s">
        <v>1047</v>
      </c>
      <c r="J72" s="133"/>
    </row>
    <row r="73" spans="2:10" x14ac:dyDescent="0.2">
      <c r="B73" s="135">
        <v>43357</v>
      </c>
      <c r="C73" s="125" t="s">
        <v>729</v>
      </c>
      <c r="D73" s="125">
        <v>-14.99</v>
      </c>
      <c r="E73" s="125" t="s">
        <v>730</v>
      </c>
      <c r="F73" s="125" t="s">
        <v>805</v>
      </c>
      <c r="I73" t="s">
        <v>1047</v>
      </c>
      <c r="J73" s="133"/>
    </row>
    <row r="74" spans="2:10" x14ac:dyDescent="0.2">
      <c r="B74" s="135">
        <v>43360</v>
      </c>
      <c r="C74" s="125" t="s">
        <v>729</v>
      </c>
      <c r="D74" s="125">
        <v>420.4</v>
      </c>
      <c r="E74" s="125" t="s">
        <v>770</v>
      </c>
      <c r="F74" s="125" t="s">
        <v>806</v>
      </c>
      <c r="I74" t="s">
        <v>1047</v>
      </c>
      <c r="J74" s="133"/>
    </row>
    <row r="75" spans="2:10" x14ac:dyDescent="0.2">
      <c r="B75" s="135">
        <v>43360</v>
      </c>
      <c r="C75" s="125" t="s">
        <v>729</v>
      </c>
      <c r="D75" s="62">
        <v>-495.27</v>
      </c>
      <c r="E75" s="125" t="s">
        <v>730</v>
      </c>
      <c r="F75" s="133" t="s">
        <v>807</v>
      </c>
      <c r="G75" s="125" t="s">
        <v>476</v>
      </c>
      <c r="I75" t="s">
        <v>1049</v>
      </c>
      <c r="J75" s="133"/>
    </row>
    <row r="76" spans="2:10" x14ac:dyDescent="0.2">
      <c r="B76" s="135">
        <v>43360</v>
      </c>
      <c r="C76" s="125" t="s">
        <v>729</v>
      </c>
      <c r="D76" s="125">
        <v>-64.5</v>
      </c>
      <c r="E76" s="125" t="s">
        <v>730</v>
      </c>
      <c r="F76" s="125" t="s">
        <v>808</v>
      </c>
      <c r="H76" s="134"/>
      <c r="I76" t="s">
        <v>1047</v>
      </c>
      <c r="J76" s="133"/>
    </row>
    <row r="77" spans="2:10" x14ac:dyDescent="0.2">
      <c r="B77" s="135">
        <v>43360</v>
      </c>
      <c r="C77" s="125" t="s">
        <v>729</v>
      </c>
      <c r="D77" s="62">
        <v>-63.31</v>
      </c>
      <c r="E77" s="125" t="s">
        <v>730</v>
      </c>
      <c r="F77" s="133" t="s">
        <v>809</v>
      </c>
      <c r="G77" s="125" t="s">
        <v>562</v>
      </c>
      <c r="I77" t="s">
        <v>1049</v>
      </c>
      <c r="J77" s="133"/>
    </row>
    <row r="78" spans="2:10" x14ac:dyDescent="0.2">
      <c r="B78" s="135">
        <v>43360</v>
      </c>
      <c r="C78" s="125" t="s">
        <v>729</v>
      </c>
      <c r="D78" s="62">
        <v>-58.35</v>
      </c>
      <c r="E78" s="125" t="s">
        <v>730</v>
      </c>
      <c r="F78" s="133" t="s">
        <v>810</v>
      </c>
      <c r="G78" s="125" t="s">
        <v>489</v>
      </c>
      <c r="I78" t="s">
        <v>1049</v>
      </c>
      <c r="J78" s="133"/>
    </row>
    <row r="79" spans="2:10" x14ac:dyDescent="0.2">
      <c r="B79" s="135">
        <v>43360</v>
      </c>
      <c r="C79" s="125" t="s">
        <v>729</v>
      </c>
      <c r="D79" s="62">
        <v>-36.4</v>
      </c>
      <c r="E79" s="125" t="s">
        <v>730</v>
      </c>
      <c r="F79" s="133" t="s">
        <v>811</v>
      </c>
      <c r="G79" s="125" t="s">
        <v>484</v>
      </c>
      <c r="I79" t="s">
        <v>1049</v>
      </c>
      <c r="J79" s="133"/>
    </row>
    <row r="80" spans="2:10" x14ac:dyDescent="0.2">
      <c r="B80" s="135">
        <v>43360</v>
      </c>
      <c r="C80" s="125" t="s">
        <v>729</v>
      </c>
      <c r="D80" s="62">
        <v>-28.92</v>
      </c>
      <c r="E80" s="125" t="s">
        <v>730</v>
      </c>
      <c r="F80" s="133" t="s">
        <v>812</v>
      </c>
      <c r="G80" s="125" t="s">
        <v>472</v>
      </c>
      <c r="I80" t="s">
        <v>1049</v>
      </c>
    </row>
    <row r="81" spans="2:10" x14ac:dyDescent="0.2">
      <c r="B81" s="135">
        <v>43360</v>
      </c>
      <c r="C81" s="125" t="s">
        <v>729</v>
      </c>
      <c r="D81" s="62">
        <v>-27.55</v>
      </c>
      <c r="E81" s="125" t="s">
        <v>730</v>
      </c>
      <c r="F81" s="133" t="s">
        <v>813</v>
      </c>
      <c r="G81" s="125" t="s">
        <v>511</v>
      </c>
      <c r="H81" s="134"/>
      <c r="I81" t="s">
        <v>1049</v>
      </c>
      <c r="J81" s="133"/>
    </row>
    <row r="82" spans="2:10" x14ac:dyDescent="0.2">
      <c r="B82" s="135">
        <v>43360</v>
      </c>
      <c r="C82" s="125" t="s">
        <v>729</v>
      </c>
      <c r="D82" s="62">
        <v>-2.5</v>
      </c>
      <c r="E82" s="125" t="s">
        <v>730</v>
      </c>
      <c r="F82" s="133" t="s">
        <v>814</v>
      </c>
      <c r="G82" s="125" t="s">
        <v>504</v>
      </c>
      <c r="I82" t="s">
        <v>1049</v>
      </c>
      <c r="J82" s="133"/>
    </row>
    <row r="83" spans="2:10" x14ac:dyDescent="0.2">
      <c r="B83" s="135">
        <v>43360</v>
      </c>
      <c r="C83" s="125" t="s">
        <v>729</v>
      </c>
      <c r="D83" s="125">
        <v>-24.14</v>
      </c>
      <c r="E83" s="125" t="s">
        <v>730</v>
      </c>
      <c r="F83" s="125" t="s">
        <v>815</v>
      </c>
      <c r="I83" t="s">
        <v>1047</v>
      </c>
      <c r="J83" s="133" t="s">
        <v>1035</v>
      </c>
    </row>
    <row r="84" spans="2:10" x14ac:dyDescent="0.2">
      <c r="B84" s="135">
        <v>43360</v>
      </c>
      <c r="C84" s="125" t="s">
        <v>729</v>
      </c>
      <c r="D84" s="125">
        <v>-22.29</v>
      </c>
      <c r="E84" s="125" t="s">
        <v>730</v>
      </c>
      <c r="F84" s="125" t="s">
        <v>816</v>
      </c>
      <c r="I84" t="s">
        <v>1047</v>
      </c>
      <c r="J84" s="133" t="s">
        <v>1035</v>
      </c>
    </row>
    <row r="85" spans="2:10" x14ac:dyDescent="0.2">
      <c r="B85" s="135">
        <v>43360</v>
      </c>
      <c r="C85" s="125" t="s">
        <v>729</v>
      </c>
      <c r="D85" s="125">
        <v>-6.55</v>
      </c>
      <c r="E85" s="125" t="s">
        <v>730</v>
      </c>
      <c r="F85" s="125" t="s">
        <v>817</v>
      </c>
      <c r="I85" t="s">
        <v>1047</v>
      </c>
    </row>
    <row r="86" spans="2:10" x14ac:dyDescent="0.2">
      <c r="B86" s="135">
        <v>43360</v>
      </c>
      <c r="C86" s="125" t="s">
        <v>729</v>
      </c>
      <c r="D86" s="125">
        <v>-3.1</v>
      </c>
      <c r="E86" s="125" t="s">
        <v>730</v>
      </c>
      <c r="F86" s="125" t="s">
        <v>818</v>
      </c>
      <c r="I86" t="s">
        <v>1047</v>
      </c>
      <c r="J86" s="134"/>
    </row>
    <row r="87" spans="2:10" x14ac:dyDescent="0.2">
      <c r="B87" s="135">
        <v>43360</v>
      </c>
      <c r="C87" s="125" t="s">
        <v>729</v>
      </c>
      <c r="D87" s="125">
        <v>-50</v>
      </c>
      <c r="E87" s="125" t="s">
        <v>760</v>
      </c>
      <c r="F87" s="125" t="s">
        <v>819</v>
      </c>
      <c r="I87" t="s">
        <v>1047</v>
      </c>
    </row>
    <row r="88" spans="2:10" x14ac:dyDescent="0.2">
      <c r="B88" s="135">
        <v>43360</v>
      </c>
      <c r="C88" s="125" t="s">
        <v>729</v>
      </c>
      <c r="D88" s="125">
        <v>-65</v>
      </c>
      <c r="E88" s="125" t="s">
        <v>730</v>
      </c>
      <c r="F88" s="125" t="s">
        <v>820</v>
      </c>
      <c r="I88" t="s">
        <v>1047</v>
      </c>
      <c r="J88" s="133" t="s">
        <v>1035</v>
      </c>
    </row>
    <row r="89" spans="2:10" x14ac:dyDescent="0.2">
      <c r="B89" s="135">
        <v>43360</v>
      </c>
      <c r="C89" s="125" t="s">
        <v>729</v>
      </c>
      <c r="D89" s="125">
        <v>-34.99</v>
      </c>
      <c r="E89" s="125" t="s">
        <v>730</v>
      </c>
      <c r="F89" s="125" t="s">
        <v>821</v>
      </c>
      <c r="I89" t="s">
        <v>1047</v>
      </c>
      <c r="J89" s="133" t="s">
        <v>1035</v>
      </c>
    </row>
    <row r="90" spans="2:10" x14ac:dyDescent="0.2">
      <c r="B90" s="135">
        <v>43360</v>
      </c>
      <c r="C90" s="125" t="s">
        <v>729</v>
      </c>
      <c r="D90" s="159">
        <v>-18.47</v>
      </c>
      <c r="E90" s="125" t="s">
        <v>730</v>
      </c>
      <c r="F90" s="125" t="s">
        <v>822</v>
      </c>
      <c r="H90" s="134" t="s">
        <v>1039</v>
      </c>
      <c r="I90" t="s">
        <v>1047</v>
      </c>
    </row>
    <row r="91" spans="2:10" x14ac:dyDescent="0.2">
      <c r="B91" s="135">
        <v>43360</v>
      </c>
      <c r="C91" s="125" t="s">
        <v>729</v>
      </c>
      <c r="D91" s="125">
        <v>-14.99</v>
      </c>
      <c r="E91" s="125" t="s">
        <v>730</v>
      </c>
      <c r="F91" s="125" t="s">
        <v>823</v>
      </c>
      <c r="H91" s="134" t="s">
        <v>1040</v>
      </c>
      <c r="I91" t="s">
        <v>1047</v>
      </c>
    </row>
    <row r="92" spans="2:10" x14ac:dyDescent="0.2">
      <c r="B92" s="135">
        <v>43360</v>
      </c>
      <c r="C92" s="125" t="s">
        <v>729</v>
      </c>
      <c r="D92" s="125">
        <v>-5</v>
      </c>
      <c r="E92" s="125" t="s">
        <v>730</v>
      </c>
      <c r="F92" s="125" t="s">
        <v>824</v>
      </c>
      <c r="H92" s="134"/>
      <c r="I92" t="s">
        <v>1047</v>
      </c>
    </row>
    <row r="93" spans="2:10" x14ac:dyDescent="0.2">
      <c r="B93" s="135">
        <v>43360</v>
      </c>
      <c r="C93" s="125" t="s">
        <v>729</v>
      </c>
      <c r="D93" s="125">
        <v>-476.44</v>
      </c>
      <c r="E93" s="125" t="s">
        <v>740</v>
      </c>
      <c r="F93" s="125" t="s">
        <v>825</v>
      </c>
      <c r="I93" t="s">
        <v>1047</v>
      </c>
    </row>
    <row r="94" spans="2:10" x14ac:dyDescent="0.2">
      <c r="B94" s="135">
        <v>43360</v>
      </c>
      <c r="C94" s="125" t="s">
        <v>729</v>
      </c>
      <c r="D94" s="125">
        <v>-15.38</v>
      </c>
      <c r="E94" s="125" t="s">
        <v>740</v>
      </c>
      <c r="F94" s="125" t="s">
        <v>826</v>
      </c>
      <c r="H94" s="134"/>
      <c r="I94" t="s">
        <v>1048</v>
      </c>
      <c r="J94" s="133"/>
    </row>
    <row r="95" spans="2:10" x14ac:dyDescent="0.2">
      <c r="B95" s="135">
        <v>43360</v>
      </c>
      <c r="C95" s="125" t="s">
        <v>729</v>
      </c>
      <c r="D95" s="125">
        <v>-203.48</v>
      </c>
      <c r="E95" s="125" t="s">
        <v>740</v>
      </c>
      <c r="F95" s="125" t="s">
        <v>827</v>
      </c>
      <c r="I95" t="s">
        <v>1048</v>
      </c>
      <c r="J95" s="133"/>
    </row>
    <row r="96" spans="2:10" x14ac:dyDescent="0.2">
      <c r="B96" s="135">
        <v>43360</v>
      </c>
      <c r="C96" s="125" t="s">
        <v>729</v>
      </c>
      <c r="D96" s="125">
        <v>-242.09</v>
      </c>
      <c r="E96" s="125" t="s">
        <v>740</v>
      </c>
      <c r="F96" s="125" t="s">
        <v>828</v>
      </c>
      <c r="H96" s="134"/>
      <c r="I96" t="s">
        <v>1048</v>
      </c>
      <c r="J96" s="133"/>
    </row>
    <row r="97" spans="2:10" x14ac:dyDescent="0.2">
      <c r="B97" s="135">
        <v>43360</v>
      </c>
      <c r="C97" s="125" t="s">
        <v>729</v>
      </c>
      <c r="D97" s="125">
        <v>-203.62</v>
      </c>
      <c r="E97" s="125" t="s">
        <v>740</v>
      </c>
      <c r="F97" s="125" t="s">
        <v>829</v>
      </c>
      <c r="I97" t="s">
        <v>1048</v>
      </c>
      <c r="J97" s="133"/>
    </row>
    <row r="98" spans="2:10" x14ac:dyDescent="0.2">
      <c r="B98" s="135">
        <v>43361</v>
      </c>
      <c r="C98" s="125" t="s">
        <v>729</v>
      </c>
      <c r="D98" s="125">
        <v>225.83</v>
      </c>
      <c r="E98" s="125" t="s">
        <v>770</v>
      </c>
      <c r="F98" s="125" t="s">
        <v>830</v>
      </c>
      <c r="I98" t="s">
        <v>1047</v>
      </c>
    </row>
    <row r="99" spans="2:10" x14ac:dyDescent="0.2">
      <c r="B99" s="135">
        <v>43361</v>
      </c>
      <c r="C99" s="125" t="s">
        <v>729</v>
      </c>
      <c r="D99" s="125">
        <v>64.41</v>
      </c>
      <c r="E99" s="125" t="s">
        <v>770</v>
      </c>
      <c r="F99" s="125" t="s">
        <v>831</v>
      </c>
      <c r="I99" t="s">
        <v>1047</v>
      </c>
      <c r="J99" s="133"/>
    </row>
    <row r="100" spans="2:10" x14ac:dyDescent="0.2">
      <c r="B100" s="135">
        <v>43361</v>
      </c>
      <c r="C100" s="125" t="s">
        <v>729</v>
      </c>
      <c r="D100" s="125">
        <v>-4</v>
      </c>
      <c r="E100" s="125" t="s">
        <v>730</v>
      </c>
      <c r="F100" s="125" t="s">
        <v>832</v>
      </c>
      <c r="I100" t="s">
        <v>1047</v>
      </c>
      <c r="J100" s="133"/>
    </row>
    <row r="101" spans="2:10" x14ac:dyDescent="0.2">
      <c r="B101" s="135">
        <v>43361</v>
      </c>
      <c r="C101" s="125" t="s">
        <v>729</v>
      </c>
      <c r="D101" s="125">
        <v>-158</v>
      </c>
      <c r="E101" s="125" t="s">
        <v>730</v>
      </c>
      <c r="F101" s="125" t="s">
        <v>833</v>
      </c>
      <c r="I101" t="s">
        <v>1047</v>
      </c>
      <c r="J101" s="133"/>
    </row>
    <row r="102" spans="2:10" x14ac:dyDescent="0.2">
      <c r="B102" s="135">
        <v>43361</v>
      </c>
      <c r="C102" s="125" t="s">
        <v>729</v>
      </c>
      <c r="D102" s="125">
        <v>-48.63</v>
      </c>
      <c r="E102" s="125" t="s">
        <v>730</v>
      </c>
      <c r="F102" s="125" t="s">
        <v>834</v>
      </c>
      <c r="H102" s="134"/>
      <c r="I102" t="s">
        <v>1047</v>
      </c>
      <c r="J102" s="133" t="s">
        <v>1035</v>
      </c>
    </row>
    <row r="103" spans="2:10" x14ac:dyDescent="0.2">
      <c r="B103" s="135">
        <v>43361</v>
      </c>
      <c r="C103" s="125" t="s">
        <v>729</v>
      </c>
      <c r="D103" s="125">
        <v>-153.01</v>
      </c>
      <c r="E103" s="125" t="s">
        <v>740</v>
      </c>
      <c r="F103" s="125" t="s">
        <v>835</v>
      </c>
      <c r="I103" t="s">
        <v>1048</v>
      </c>
      <c r="J103" s="134"/>
    </row>
    <row r="104" spans="2:10" x14ac:dyDescent="0.2">
      <c r="B104" s="135">
        <v>43362</v>
      </c>
      <c r="C104" s="125" t="s">
        <v>729</v>
      </c>
      <c r="D104" s="125">
        <v>110.98</v>
      </c>
      <c r="E104" s="125" t="s">
        <v>770</v>
      </c>
      <c r="F104" s="125" t="s">
        <v>836</v>
      </c>
      <c r="I104" t="s">
        <v>1047</v>
      </c>
      <c r="J104" s="133"/>
    </row>
    <row r="105" spans="2:10" x14ac:dyDescent="0.2">
      <c r="B105" s="135">
        <v>43362</v>
      </c>
      <c r="C105" s="125" t="s">
        <v>729</v>
      </c>
      <c r="D105" s="125">
        <v>-26.54</v>
      </c>
      <c r="E105" s="125" t="s">
        <v>730</v>
      </c>
      <c r="F105" s="125" t="s">
        <v>837</v>
      </c>
      <c r="I105" t="s">
        <v>1047</v>
      </c>
      <c r="J105" s="133" t="s">
        <v>1035</v>
      </c>
    </row>
    <row r="106" spans="2:10" x14ac:dyDescent="0.2">
      <c r="B106" s="135">
        <v>43362</v>
      </c>
      <c r="C106" s="125" t="s">
        <v>729</v>
      </c>
      <c r="D106" s="125">
        <v>-21.9</v>
      </c>
      <c r="E106" s="125" t="s">
        <v>730</v>
      </c>
      <c r="F106" s="125" t="s">
        <v>838</v>
      </c>
      <c r="I106" t="s">
        <v>1047</v>
      </c>
      <c r="J106" s="133" t="s">
        <v>1035</v>
      </c>
    </row>
    <row r="107" spans="2:10" x14ac:dyDescent="0.2">
      <c r="B107" s="135">
        <v>43362</v>
      </c>
      <c r="C107" s="125" t="s">
        <v>729</v>
      </c>
      <c r="D107" s="125">
        <v>-3.72</v>
      </c>
      <c r="E107" s="125" t="s">
        <v>730</v>
      </c>
      <c r="F107" s="125" t="s">
        <v>838</v>
      </c>
      <c r="H107" s="134"/>
      <c r="I107" t="s">
        <v>1047</v>
      </c>
      <c r="J107" s="133" t="s">
        <v>1035</v>
      </c>
    </row>
    <row r="108" spans="2:10" x14ac:dyDescent="0.2">
      <c r="B108" s="135">
        <v>43362</v>
      </c>
      <c r="C108" s="125" t="s">
        <v>729</v>
      </c>
      <c r="D108" s="125">
        <v>-814</v>
      </c>
      <c r="E108" s="125" t="s">
        <v>730</v>
      </c>
      <c r="F108" s="125" t="s">
        <v>839</v>
      </c>
      <c r="H108" s="134" t="s">
        <v>1042</v>
      </c>
      <c r="I108" t="s">
        <v>1047</v>
      </c>
      <c r="J108" s="133"/>
    </row>
    <row r="109" spans="2:10" x14ac:dyDescent="0.2">
      <c r="B109" s="135">
        <v>43362</v>
      </c>
      <c r="C109" s="125" t="s">
        <v>729</v>
      </c>
      <c r="D109" s="125">
        <v>-60.06</v>
      </c>
      <c r="E109" s="125" t="s">
        <v>730</v>
      </c>
      <c r="F109" s="125" t="s">
        <v>840</v>
      </c>
      <c r="I109" t="s">
        <v>1047</v>
      </c>
      <c r="J109" s="133" t="s">
        <v>1035</v>
      </c>
    </row>
    <row r="110" spans="2:10" x14ac:dyDescent="0.2">
      <c r="B110" s="135">
        <v>43362</v>
      </c>
      <c r="C110" s="125" t="s">
        <v>729</v>
      </c>
      <c r="D110" s="125">
        <v>-4.18</v>
      </c>
      <c r="E110" s="125" t="s">
        <v>730</v>
      </c>
      <c r="F110" s="125" t="s">
        <v>841</v>
      </c>
      <c r="I110" t="s">
        <v>1047</v>
      </c>
      <c r="J110" s="133"/>
    </row>
    <row r="111" spans="2:10" x14ac:dyDescent="0.2">
      <c r="B111" s="135">
        <v>43363</v>
      </c>
      <c r="C111" s="125" t="s">
        <v>729</v>
      </c>
      <c r="D111" s="125">
        <v>3246.22</v>
      </c>
      <c r="E111" s="125" t="s">
        <v>762</v>
      </c>
      <c r="F111" s="125" t="s">
        <v>842</v>
      </c>
      <c r="H111" s="134" t="s">
        <v>1032</v>
      </c>
      <c r="I111" t="s">
        <v>1047</v>
      </c>
      <c r="J111" s="133"/>
    </row>
    <row r="112" spans="2:10" x14ac:dyDescent="0.2">
      <c r="B112" s="135">
        <v>43363</v>
      </c>
      <c r="C112" s="125" t="s">
        <v>729</v>
      </c>
      <c r="D112" s="125">
        <v>555</v>
      </c>
      <c r="E112" s="125" t="s">
        <v>762</v>
      </c>
      <c r="F112" s="125" t="s">
        <v>843</v>
      </c>
      <c r="H112" s="134" t="s">
        <v>1033</v>
      </c>
      <c r="I112" t="s">
        <v>1047</v>
      </c>
      <c r="J112" s="133"/>
    </row>
    <row r="113" spans="2:10" x14ac:dyDescent="0.2">
      <c r="B113" s="135">
        <v>43363</v>
      </c>
      <c r="C113" s="125" t="s">
        <v>729</v>
      </c>
      <c r="D113" s="125">
        <v>-555</v>
      </c>
      <c r="E113" s="125" t="s">
        <v>762</v>
      </c>
      <c r="F113" s="125" t="s">
        <v>844</v>
      </c>
      <c r="H113" s="134" t="s">
        <v>1033</v>
      </c>
      <c r="I113" t="s">
        <v>1047</v>
      </c>
      <c r="J113" s="133"/>
    </row>
    <row r="114" spans="2:10" x14ac:dyDescent="0.2">
      <c r="B114" s="135">
        <v>43363</v>
      </c>
      <c r="C114" s="125" t="s">
        <v>729</v>
      </c>
      <c r="D114" s="125">
        <v>-5.95</v>
      </c>
      <c r="E114" s="125" t="s">
        <v>730</v>
      </c>
      <c r="F114" s="125" t="s">
        <v>845</v>
      </c>
      <c r="I114" t="s">
        <v>1047</v>
      </c>
      <c r="J114" s="133" t="s">
        <v>1035</v>
      </c>
    </row>
    <row r="115" spans="2:10" x14ac:dyDescent="0.2">
      <c r="B115" s="135">
        <v>43364</v>
      </c>
      <c r="C115" s="125" t="s">
        <v>729</v>
      </c>
      <c r="D115" s="125">
        <v>556.79999999999995</v>
      </c>
      <c r="E115" s="125" t="s">
        <v>770</v>
      </c>
      <c r="F115" s="125" t="s">
        <v>846</v>
      </c>
      <c r="H115" s="134"/>
      <c r="I115" t="s">
        <v>1047</v>
      </c>
    </row>
    <row r="116" spans="2:10" x14ac:dyDescent="0.2">
      <c r="B116" s="135">
        <v>43364</v>
      </c>
      <c r="C116" s="125" t="s">
        <v>729</v>
      </c>
      <c r="D116" s="125">
        <v>-456.73</v>
      </c>
      <c r="E116" s="125" t="s">
        <v>730</v>
      </c>
      <c r="F116" s="125" t="s">
        <v>847</v>
      </c>
      <c r="H116" s="134" t="s">
        <v>1041</v>
      </c>
      <c r="I116" t="s">
        <v>1047</v>
      </c>
    </row>
    <row r="117" spans="2:10" x14ac:dyDescent="0.2">
      <c r="B117" s="135">
        <v>43364</v>
      </c>
      <c r="C117" s="125" t="s">
        <v>729</v>
      </c>
      <c r="D117" s="125">
        <v>-235</v>
      </c>
      <c r="E117" s="125" t="s">
        <v>730</v>
      </c>
      <c r="F117" s="125" t="s">
        <v>848</v>
      </c>
      <c r="H117" s="134" t="s">
        <v>1043</v>
      </c>
      <c r="I117" t="s">
        <v>1047</v>
      </c>
      <c r="J117" s="134" t="s">
        <v>1035</v>
      </c>
    </row>
    <row r="118" spans="2:10" x14ac:dyDescent="0.2">
      <c r="B118" s="135">
        <v>43364</v>
      </c>
      <c r="C118" s="125" t="s">
        <v>729</v>
      </c>
      <c r="D118" s="125">
        <v>-135</v>
      </c>
      <c r="E118" s="125" t="s">
        <v>730</v>
      </c>
      <c r="F118" s="125" t="s">
        <v>848</v>
      </c>
      <c r="H118" s="134" t="s">
        <v>1043</v>
      </c>
      <c r="I118" t="s">
        <v>1047</v>
      </c>
      <c r="J118" s="134" t="s">
        <v>1035</v>
      </c>
    </row>
    <row r="119" spans="2:10" x14ac:dyDescent="0.2">
      <c r="B119" s="135">
        <v>43364</v>
      </c>
      <c r="C119" s="125" t="s">
        <v>729</v>
      </c>
      <c r="D119" s="159">
        <v>-38</v>
      </c>
      <c r="E119" s="125" t="s">
        <v>730</v>
      </c>
      <c r="F119" s="125" t="s">
        <v>849</v>
      </c>
      <c r="H119" s="134" t="s">
        <v>1044</v>
      </c>
      <c r="I119" t="s">
        <v>1047</v>
      </c>
      <c r="J119" s="133"/>
    </row>
    <row r="120" spans="2:10" x14ac:dyDescent="0.2">
      <c r="B120" s="135">
        <v>43367</v>
      </c>
      <c r="C120" s="125" t="s">
        <v>729</v>
      </c>
      <c r="D120" s="125">
        <v>-2940</v>
      </c>
      <c r="E120" s="125" t="s">
        <v>762</v>
      </c>
      <c r="F120" s="125" t="s">
        <v>850</v>
      </c>
      <c r="G120" s="62" t="s">
        <v>476</v>
      </c>
      <c r="H120" s="133" t="s">
        <v>1034</v>
      </c>
      <c r="I120" t="s">
        <v>1049</v>
      </c>
      <c r="J120" s="133"/>
    </row>
    <row r="121" spans="2:10" x14ac:dyDescent="0.2">
      <c r="B121" s="135">
        <v>43367</v>
      </c>
      <c r="C121" s="125" t="s">
        <v>729</v>
      </c>
      <c r="D121" s="125">
        <v>-24.57</v>
      </c>
      <c r="E121" s="125" t="s">
        <v>730</v>
      </c>
      <c r="F121" s="125" t="s">
        <v>851</v>
      </c>
      <c r="I121" t="s">
        <v>1047</v>
      </c>
      <c r="J121" s="133" t="s">
        <v>1035</v>
      </c>
    </row>
    <row r="122" spans="2:10" x14ac:dyDescent="0.2">
      <c r="B122" s="135">
        <v>43367</v>
      </c>
      <c r="C122" s="125" t="s">
        <v>729</v>
      </c>
      <c r="D122" s="125">
        <v>-17.3</v>
      </c>
      <c r="E122" s="125" t="s">
        <v>730</v>
      </c>
      <c r="F122" s="125" t="s">
        <v>852</v>
      </c>
      <c r="I122" t="s">
        <v>1047</v>
      </c>
      <c r="J122" s="133"/>
    </row>
    <row r="123" spans="2:10" x14ac:dyDescent="0.2">
      <c r="B123" s="135">
        <v>43367</v>
      </c>
      <c r="C123" s="125" t="s">
        <v>729</v>
      </c>
      <c r="D123" s="125">
        <v>-15.1</v>
      </c>
      <c r="E123" s="125" t="s">
        <v>730</v>
      </c>
      <c r="F123" s="125" t="s">
        <v>853</v>
      </c>
      <c r="H123" s="134"/>
      <c r="I123" t="s">
        <v>1047</v>
      </c>
      <c r="J123" s="133"/>
    </row>
    <row r="124" spans="2:10" x14ac:dyDescent="0.2">
      <c r="B124" s="135">
        <v>43367</v>
      </c>
      <c r="C124" s="125" t="s">
        <v>729</v>
      </c>
      <c r="D124" s="125">
        <v>-9.81</v>
      </c>
      <c r="E124" s="125" t="s">
        <v>730</v>
      </c>
      <c r="F124" s="125" t="s">
        <v>854</v>
      </c>
      <c r="I124" t="s">
        <v>1047</v>
      </c>
      <c r="J124" s="133"/>
    </row>
    <row r="125" spans="2:10" x14ac:dyDescent="0.2">
      <c r="B125" s="135">
        <v>43367</v>
      </c>
      <c r="C125" s="125" t="s">
        <v>729</v>
      </c>
      <c r="D125" s="125">
        <v>-8.6999999999999993</v>
      </c>
      <c r="E125" s="125" t="s">
        <v>730</v>
      </c>
      <c r="F125" s="125" t="s">
        <v>855</v>
      </c>
      <c r="I125" t="s">
        <v>1047</v>
      </c>
      <c r="J125" s="133"/>
    </row>
    <row r="126" spans="2:10" x14ac:dyDescent="0.2">
      <c r="B126" s="135">
        <v>43367</v>
      </c>
      <c r="C126" s="125" t="s">
        <v>729</v>
      </c>
      <c r="D126" s="125">
        <v>-6.69</v>
      </c>
      <c r="E126" s="125" t="s">
        <v>730</v>
      </c>
      <c r="F126" s="125" t="s">
        <v>856</v>
      </c>
      <c r="I126" t="s">
        <v>1047</v>
      </c>
      <c r="J126" s="133"/>
    </row>
    <row r="127" spans="2:10" x14ac:dyDescent="0.2">
      <c r="B127" s="135">
        <v>43367</v>
      </c>
      <c r="C127" s="125" t="s">
        <v>729</v>
      </c>
      <c r="D127" s="125">
        <v>-56.91</v>
      </c>
      <c r="E127" s="125" t="s">
        <v>730</v>
      </c>
      <c r="F127" s="125" t="s">
        <v>857</v>
      </c>
      <c r="I127" t="s">
        <v>1047</v>
      </c>
      <c r="J127" s="133" t="s">
        <v>1035</v>
      </c>
    </row>
    <row r="128" spans="2:10" x14ac:dyDescent="0.2">
      <c r="B128" s="135">
        <v>43367</v>
      </c>
      <c r="C128" s="125" t="s">
        <v>729</v>
      </c>
      <c r="D128" s="125">
        <v>-35.75</v>
      </c>
      <c r="E128" s="125" t="s">
        <v>730</v>
      </c>
      <c r="F128" s="133" t="s">
        <v>1045</v>
      </c>
      <c r="H128" s="134"/>
      <c r="I128" t="s">
        <v>1047</v>
      </c>
      <c r="J128" s="133" t="s">
        <v>1035</v>
      </c>
    </row>
    <row r="129" spans="2:10" x14ac:dyDescent="0.2">
      <c r="B129" s="135">
        <v>43367</v>
      </c>
      <c r="C129" s="125" t="s">
        <v>729</v>
      </c>
      <c r="D129" s="125">
        <v>-20</v>
      </c>
      <c r="E129" s="125" t="s">
        <v>730</v>
      </c>
      <c r="F129" s="133" t="s">
        <v>858</v>
      </c>
      <c r="G129" s="156"/>
      <c r="H129" s="133"/>
      <c r="I129" t="s">
        <v>1047</v>
      </c>
    </row>
    <row r="130" spans="2:10" x14ac:dyDescent="0.2">
      <c r="B130" s="135">
        <v>43367</v>
      </c>
      <c r="C130" s="125" t="s">
        <v>729</v>
      </c>
      <c r="D130" s="125">
        <v>-4.99</v>
      </c>
      <c r="E130" s="125" t="s">
        <v>730</v>
      </c>
      <c r="F130" s="133" t="s">
        <v>859</v>
      </c>
      <c r="G130" s="133"/>
      <c r="H130" s="133"/>
      <c r="I130" t="s">
        <v>1047</v>
      </c>
      <c r="J130" s="133"/>
    </row>
    <row r="131" spans="2:10" x14ac:dyDescent="0.2">
      <c r="B131" s="135">
        <v>43367</v>
      </c>
      <c r="C131" s="125" t="s">
        <v>729</v>
      </c>
      <c r="D131" s="125">
        <v>-196.47</v>
      </c>
      <c r="E131" s="125" t="s">
        <v>740</v>
      </c>
      <c r="F131" s="125" t="s">
        <v>860</v>
      </c>
      <c r="H131" s="134"/>
      <c r="I131" t="s">
        <v>1048</v>
      </c>
      <c r="J131" s="133"/>
    </row>
    <row r="132" spans="2:10" x14ac:dyDescent="0.2">
      <c r="B132" s="135">
        <v>43368</v>
      </c>
      <c r="C132" s="125" t="s">
        <v>729</v>
      </c>
      <c r="D132" s="125">
        <v>6829.76</v>
      </c>
      <c r="E132" s="125" t="s">
        <v>770</v>
      </c>
      <c r="F132" s="125" t="s">
        <v>861</v>
      </c>
      <c r="I132" t="s">
        <v>1047</v>
      </c>
      <c r="J132" s="133"/>
    </row>
    <row r="133" spans="2:10" x14ac:dyDescent="0.2">
      <c r="B133" s="135">
        <v>43368</v>
      </c>
      <c r="C133" s="125" t="s">
        <v>729</v>
      </c>
      <c r="D133" s="125">
        <v>-5.39</v>
      </c>
      <c r="E133" s="125" t="s">
        <v>730</v>
      </c>
      <c r="F133" s="125" t="s">
        <v>862</v>
      </c>
      <c r="I133" t="s">
        <v>1047</v>
      </c>
      <c r="J133" s="133"/>
    </row>
    <row r="134" spans="2:10" x14ac:dyDescent="0.2">
      <c r="B134" s="135">
        <v>43368</v>
      </c>
      <c r="C134" s="125" t="s">
        <v>729</v>
      </c>
      <c r="D134" s="125">
        <v>-1.75</v>
      </c>
      <c r="E134" s="125" t="s">
        <v>730</v>
      </c>
      <c r="F134" s="125" t="s">
        <v>863</v>
      </c>
      <c r="I134" t="s">
        <v>1047</v>
      </c>
      <c r="J134" s="133"/>
    </row>
    <row r="135" spans="2:10" x14ac:dyDescent="0.2">
      <c r="B135" s="135">
        <v>43368</v>
      </c>
      <c r="C135" s="125" t="s">
        <v>729</v>
      </c>
      <c r="D135" s="125">
        <v>-5.7</v>
      </c>
      <c r="E135" s="125" t="s">
        <v>730</v>
      </c>
      <c r="F135" s="125" t="s">
        <v>864</v>
      </c>
      <c r="H135" s="134"/>
      <c r="I135" t="s">
        <v>1047</v>
      </c>
      <c r="J135" s="133"/>
    </row>
    <row r="136" spans="2:10" x14ac:dyDescent="0.2">
      <c r="B136" s="135">
        <v>43368</v>
      </c>
      <c r="C136" s="125" t="s">
        <v>729</v>
      </c>
      <c r="D136" s="125">
        <v>-4.2</v>
      </c>
      <c r="E136" s="125" t="s">
        <v>730</v>
      </c>
      <c r="F136" s="125" t="s">
        <v>864</v>
      </c>
      <c r="H136" s="133"/>
      <c r="I136" t="s">
        <v>1047</v>
      </c>
      <c r="J136" s="133"/>
    </row>
    <row r="137" spans="2:10" x14ac:dyDescent="0.2">
      <c r="B137" s="135">
        <v>43368</v>
      </c>
      <c r="C137" s="125" t="s">
        <v>729</v>
      </c>
      <c r="D137" s="125">
        <v>-102</v>
      </c>
      <c r="E137" s="125" t="s">
        <v>732</v>
      </c>
      <c r="F137" s="125" t="s">
        <v>865</v>
      </c>
      <c r="H137" s="133"/>
      <c r="I137" t="s">
        <v>1047</v>
      </c>
      <c r="J137" s="133"/>
    </row>
    <row r="138" spans="2:10" x14ac:dyDescent="0.2">
      <c r="B138" s="135">
        <v>43369</v>
      </c>
      <c r="C138" s="125" t="s">
        <v>729</v>
      </c>
      <c r="D138" s="125">
        <v>-3.99</v>
      </c>
      <c r="E138" s="125" t="s">
        <v>730</v>
      </c>
      <c r="F138" s="133" t="s">
        <v>866</v>
      </c>
      <c r="H138" s="133"/>
      <c r="I138" t="s">
        <v>1047</v>
      </c>
      <c r="J138" s="133"/>
    </row>
    <row r="139" spans="2:10" x14ac:dyDescent="0.2">
      <c r="B139" s="135">
        <v>43369</v>
      </c>
      <c r="C139" s="125" t="s">
        <v>729</v>
      </c>
      <c r="D139" s="125">
        <v>-1.9</v>
      </c>
      <c r="E139" s="125" t="s">
        <v>730</v>
      </c>
      <c r="F139" s="125" t="s">
        <v>867</v>
      </c>
      <c r="H139" s="133"/>
      <c r="I139" t="s">
        <v>1047</v>
      </c>
      <c r="J139" s="133"/>
    </row>
    <row r="140" spans="2:10" x14ac:dyDescent="0.2">
      <c r="B140" s="135">
        <v>43369</v>
      </c>
      <c r="C140" s="125" t="s">
        <v>729</v>
      </c>
      <c r="D140" s="125">
        <v>-4.5999999999999996</v>
      </c>
      <c r="E140" s="125" t="s">
        <v>730</v>
      </c>
      <c r="F140" s="125" t="s">
        <v>868</v>
      </c>
      <c r="H140" s="133"/>
      <c r="I140" t="s">
        <v>1047</v>
      </c>
      <c r="J140" s="133"/>
    </row>
    <row r="141" spans="2:10" x14ac:dyDescent="0.2">
      <c r="B141" s="135">
        <v>43370</v>
      </c>
      <c r="C141" s="125" t="s">
        <v>729</v>
      </c>
      <c r="D141" s="125">
        <v>538.24</v>
      </c>
      <c r="E141" s="125" t="s">
        <v>770</v>
      </c>
      <c r="F141" s="125" t="s">
        <v>869</v>
      </c>
      <c r="H141" s="133"/>
      <c r="I141" t="s">
        <v>1047</v>
      </c>
      <c r="J141" s="133"/>
    </row>
    <row r="142" spans="2:10" x14ac:dyDescent="0.2">
      <c r="B142" s="135">
        <v>43370</v>
      </c>
      <c r="C142" s="125" t="s">
        <v>729</v>
      </c>
      <c r="D142" s="125">
        <v>464</v>
      </c>
      <c r="E142" s="125" t="s">
        <v>770</v>
      </c>
      <c r="F142" s="125" t="s">
        <v>870</v>
      </c>
      <c r="H142" s="133"/>
      <c r="I142" t="s">
        <v>1047</v>
      </c>
      <c r="J142" s="133"/>
    </row>
    <row r="143" spans="2:10" x14ac:dyDescent="0.2">
      <c r="B143" s="135">
        <v>43370</v>
      </c>
      <c r="C143" s="125" t="s">
        <v>729</v>
      </c>
      <c r="D143" s="125">
        <v>463.09</v>
      </c>
      <c r="E143" s="125" t="s">
        <v>770</v>
      </c>
      <c r="F143" s="125" t="s">
        <v>871</v>
      </c>
      <c r="H143" s="133"/>
      <c r="I143" t="s">
        <v>1047</v>
      </c>
      <c r="J143" s="133"/>
    </row>
    <row r="144" spans="2:10" x14ac:dyDescent="0.2">
      <c r="B144" s="135">
        <v>43370</v>
      </c>
      <c r="C144" s="125" t="s">
        <v>729</v>
      </c>
      <c r="D144" s="125">
        <v>438.11</v>
      </c>
      <c r="E144" s="125" t="s">
        <v>770</v>
      </c>
      <c r="F144" s="125" t="s">
        <v>872</v>
      </c>
      <c r="H144" s="134"/>
      <c r="I144" t="s">
        <v>1047</v>
      </c>
      <c r="J144" s="133"/>
    </row>
    <row r="145" spans="2:10" x14ac:dyDescent="0.2">
      <c r="B145" s="135">
        <v>43370</v>
      </c>
      <c r="C145" s="125" t="s">
        <v>729</v>
      </c>
      <c r="D145" s="125">
        <v>428.29</v>
      </c>
      <c r="E145" s="125" t="s">
        <v>770</v>
      </c>
      <c r="F145" s="125" t="s">
        <v>798</v>
      </c>
      <c r="I145" t="s">
        <v>1047</v>
      </c>
      <c r="J145" s="133"/>
    </row>
    <row r="146" spans="2:10" x14ac:dyDescent="0.2">
      <c r="B146" s="135">
        <v>43370</v>
      </c>
      <c r="C146" s="125" t="s">
        <v>729</v>
      </c>
      <c r="D146" s="125">
        <v>428.29</v>
      </c>
      <c r="E146" s="125" t="s">
        <v>770</v>
      </c>
      <c r="F146" s="125" t="s">
        <v>796</v>
      </c>
      <c r="I146" t="s">
        <v>1047</v>
      </c>
      <c r="J146" s="133"/>
    </row>
    <row r="147" spans="2:10" x14ac:dyDescent="0.2">
      <c r="B147" s="135">
        <v>43370</v>
      </c>
      <c r="C147" s="125" t="s">
        <v>729</v>
      </c>
      <c r="D147" s="125">
        <v>428.29</v>
      </c>
      <c r="E147" s="125" t="s">
        <v>770</v>
      </c>
      <c r="F147" s="125" t="s">
        <v>797</v>
      </c>
      <c r="H147" s="133"/>
      <c r="I147" t="s">
        <v>1047</v>
      </c>
      <c r="J147" s="133"/>
    </row>
    <row r="148" spans="2:10" x14ac:dyDescent="0.2">
      <c r="B148" s="135">
        <v>43370</v>
      </c>
      <c r="C148" s="125" t="s">
        <v>729</v>
      </c>
      <c r="D148" s="125">
        <v>353.19</v>
      </c>
      <c r="E148" s="125" t="s">
        <v>770</v>
      </c>
      <c r="F148" s="125" t="s">
        <v>831</v>
      </c>
      <c r="H148" s="133"/>
      <c r="I148" t="s">
        <v>1047</v>
      </c>
      <c r="J148" s="133"/>
    </row>
    <row r="149" spans="2:10" x14ac:dyDescent="0.2">
      <c r="B149" s="135">
        <v>43370</v>
      </c>
      <c r="C149" s="125" t="s">
        <v>729</v>
      </c>
      <c r="D149" s="125">
        <v>349.1</v>
      </c>
      <c r="E149" s="125" t="s">
        <v>770</v>
      </c>
      <c r="F149" s="125" t="s">
        <v>873</v>
      </c>
      <c r="I149" t="s">
        <v>1047</v>
      </c>
    </row>
    <row r="150" spans="2:10" x14ac:dyDescent="0.2">
      <c r="B150" s="135">
        <v>43370</v>
      </c>
      <c r="C150" s="125" t="s">
        <v>729</v>
      </c>
      <c r="D150" s="125">
        <v>266.45</v>
      </c>
      <c r="E150" s="125" t="s">
        <v>770</v>
      </c>
      <c r="F150" s="125" t="s">
        <v>775</v>
      </c>
      <c r="H150" s="134"/>
      <c r="I150" t="s">
        <v>1047</v>
      </c>
    </row>
    <row r="151" spans="2:10" x14ac:dyDescent="0.2">
      <c r="B151" s="135">
        <v>43370</v>
      </c>
      <c r="C151" s="125" t="s">
        <v>729</v>
      </c>
      <c r="D151" s="125">
        <v>255.58</v>
      </c>
      <c r="E151" s="125" t="s">
        <v>770</v>
      </c>
      <c r="F151" s="125" t="s">
        <v>836</v>
      </c>
      <c r="I151" t="s">
        <v>1047</v>
      </c>
    </row>
    <row r="152" spans="2:10" x14ac:dyDescent="0.2">
      <c r="B152" s="135">
        <v>43370</v>
      </c>
      <c r="C152" s="125" t="s">
        <v>729</v>
      </c>
      <c r="D152" s="125">
        <v>251.93</v>
      </c>
      <c r="E152" s="125" t="s">
        <v>770</v>
      </c>
      <c r="F152" s="125" t="s">
        <v>803</v>
      </c>
      <c r="H152" s="134"/>
      <c r="I152" t="s">
        <v>1047</v>
      </c>
    </row>
    <row r="153" spans="2:10" x14ac:dyDescent="0.2">
      <c r="B153" s="135">
        <v>43370</v>
      </c>
      <c r="C153" s="125" t="s">
        <v>729</v>
      </c>
      <c r="D153" s="125">
        <v>242.81</v>
      </c>
      <c r="E153" s="125" t="s">
        <v>770</v>
      </c>
      <c r="F153" s="125" t="s">
        <v>830</v>
      </c>
      <c r="H153" s="134"/>
      <c r="I153" t="s">
        <v>1047</v>
      </c>
    </row>
    <row r="154" spans="2:10" x14ac:dyDescent="0.2">
      <c r="B154" s="135">
        <v>43370</v>
      </c>
      <c r="C154" s="125" t="s">
        <v>729</v>
      </c>
      <c r="D154" s="125">
        <v>147.57</v>
      </c>
      <c r="E154" s="125" t="s">
        <v>770</v>
      </c>
      <c r="F154" s="125" t="s">
        <v>874</v>
      </c>
      <c r="H154" s="134"/>
      <c r="I154" t="s">
        <v>1047</v>
      </c>
      <c r="J154" s="133"/>
    </row>
    <row r="155" spans="2:10" x14ac:dyDescent="0.2">
      <c r="B155" s="135">
        <v>43370</v>
      </c>
      <c r="C155" s="125" t="s">
        <v>729</v>
      </c>
      <c r="D155" s="125">
        <v>132.55000000000001</v>
      </c>
      <c r="E155" s="125" t="s">
        <v>770</v>
      </c>
      <c r="F155" s="125" t="s">
        <v>875</v>
      </c>
      <c r="I155" t="s">
        <v>1047</v>
      </c>
    </row>
    <row r="156" spans="2:10" x14ac:dyDescent="0.2">
      <c r="B156" s="135">
        <v>43370</v>
      </c>
      <c r="C156" s="125" t="s">
        <v>729</v>
      </c>
      <c r="D156" s="125">
        <v>124.98</v>
      </c>
      <c r="E156" s="125" t="s">
        <v>770</v>
      </c>
      <c r="F156" s="125" t="s">
        <v>790</v>
      </c>
      <c r="I156" t="s">
        <v>1047</v>
      </c>
    </row>
    <row r="157" spans="2:10" x14ac:dyDescent="0.2">
      <c r="B157" s="135">
        <v>43370</v>
      </c>
      <c r="C157" s="125" t="s">
        <v>729</v>
      </c>
      <c r="D157" s="125">
        <v>-12.05</v>
      </c>
      <c r="E157" s="125" t="s">
        <v>730</v>
      </c>
      <c r="F157" s="125" t="s">
        <v>876</v>
      </c>
      <c r="I157" t="s">
        <v>1047</v>
      </c>
    </row>
    <row r="158" spans="2:10" x14ac:dyDescent="0.2">
      <c r="B158" s="135">
        <v>43370</v>
      </c>
      <c r="C158" s="125" t="s">
        <v>729</v>
      </c>
      <c r="D158" s="125">
        <v>-5.39</v>
      </c>
      <c r="E158" s="125" t="s">
        <v>730</v>
      </c>
      <c r="F158" s="125" t="s">
        <v>877</v>
      </c>
      <c r="I158" t="s">
        <v>1047</v>
      </c>
    </row>
    <row r="159" spans="2:10" x14ac:dyDescent="0.2">
      <c r="B159" s="135">
        <v>43370</v>
      </c>
      <c r="C159" s="125" t="s">
        <v>729</v>
      </c>
      <c r="D159" s="125">
        <v>-2.0499999999999998</v>
      </c>
      <c r="E159" s="125" t="s">
        <v>730</v>
      </c>
      <c r="F159" s="125" t="s">
        <v>878</v>
      </c>
      <c r="I159" t="s">
        <v>1047</v>
      </c>
      <c r="J159" s="133"/>
    </row>
    <row r="160" spans="2:10" x14ac:dyDescent="0.2">
      <c r="B160" s="135">
        <v>43370</v>
      </c>
      <c r="C160" s="125" t="s">
        <v>729</v>
      </c>
      <c r="D160" s="125">
        <v>-4.5999999999999996</v>
      </c>
      <c r="E160" s="125" t="s">
        <v>730</v>
      </c>
      <c r="F160" s="125" t="s">
        <v>879</v>
      </c>
      <c r="I160" t="s">
        <v>1047</v>
      </c>
      <c r="J160" s="133"/>
    </row>
    <row r="161" spans="2:9" x14ac:dyDescent="0.2">
      <c r="B161" s="135">
        <v>43371</v>
      </c>
      <c r="C161" s="125" t="s">
        <v>729</v>
      </c>
      <c r="D161" s="125">
        <v>463.11</v>
      </c>
      <c r="E161" s="125" t="s">
        <v>770</v>
      </c>
      <c r="F161" s="125" t="s">
        <v>880</v>
      </c>
      <c r="I161" t="s">
        <v>1047</v>
      </c>
    </row>
    <row r="162" spans="2:9" x14ac:dyDescent="0.2">
      <c r="B162" s="135">
        <v>43371</v>
      </c>
      <c r="C162" s="125" t="s">
        <v>729</v>
      </c>
      <c r="D162" s="125">
        <v>463.11</v>
      </c>
      <c r="E162" s="125" t="s">
        <v>770</v>
      </c>
      <c r="F162" s="125" t="s">
        <v>881</v>
      </c>
      <c r="I162" t="s">
        <v>1047</v>
      </c>
    </row>
    <row r="163" spans="2:9" x14ac:dyDescent="0.2">
      <c r="B163" s="135">
        <v>43371</v>
      </c>
      <c r="C163" s="125" t="s">
        <v>729</v>
      </c>
      <c r="D163" s="125">
        <v>-1.7</v>
      </c>
      <c r="E163" s="125" t="s">
        <v>730</v>
      </c>
      <c r="F163" s="125" t="s">
        <v>882</v>
      </c>
      <c r="I163" t="s">
        <v>1047</v>
      </c>
    </row>
    <row r="164" spans="2:9" x14ac:dyDescent="0.2">
      <c r="B164" s="135">
        <v>43371</v>
      </c>
      <c r="C164" s="125" t="s">
        <v>729</v>
      </c>
      <c r="D164" s="125">
        <v>-4.5999999999999996</v>
      </c>
      <c r="E164" s="125" t="s">
        <v>730</v>
      </c>
      <c r="F164" s="125" t="s">
        <v>883</v>
      </c>
      <c r="I164" t="s">
        <v>1047</v>
      </c>
    </row>
    <row r="165" spans="2:9" x14ac:dyDescent="0.2">
      <c r="B165" s="135">
        <v>43371</v>
      </c>
      <c r="C165" s="125" t="s">
        <v>729</v>
      </c>
      <c r="D165" s="125">
        <v>-207.8</v>
      </c>
      <c r="E165" s="125" t="s">
        <v>740</v>
      </c>
      <c r="F165" s="125" t="s">
        <v>884</v>
      </c>
      <c r="I165" t="s">
        <v>1048</v>
      </c>
    </row>
    <row r="166" spans="2:9" x14ac:dyDescent="0.2">
      <c r="B166" s="135">
        <v>43371</v>
      </c>
      <c r="C166" s="125" t="s">
        <v>729</v>
      </c>
      <c r="D166" s="125">
        <v>-211.9</v>
      </c>
      <c r="E166" s="125" t="s">
        <v>740</v>
      </c>
      <c r="F166" s="125" t="s">
        <v>885</v>
      </c>
      <c r="I166" t="s">
        <v>1048</v>
      </c>
    </row>
    <row r="167" spans="2:9" x14ac:dyDescent="0.2">
      <c r="B167" s="135">
        <v>43371</v>
      </c>
      <c r="C167" s="125" t="s">
        <v>729</v>
      </c>
      <c r="D167" s="125">
        <v>-211.9</v>
      </c>
      <c r="E167" s="125" t="s">
        <v>740</v>
      </c>
      <c r="F167" s="125" t="s">
        <v>886</v>
      </c>
      <c r="I167" t="s">
        <v>1048</v>
      </c>
    </row>
    <row r="168" spans="2:9" x14ac:dyDescent="0.2">
      <c r="B168" s="135">
        <v>43371</v>
      </c>
      <c r="C168" s="125" t="s">
        <v>729</v>
      </c>
      <c r="D168" s="125">
        <v>-211.9</v>
      </c>
      <c r="E168" s="125" t="s">
        <v>740</v>
      </c>
      <c r="F168" s="125" t="s">
        <v>887</v>
      </c>
      <c r="I168" t="s">
        <v>1048</v>
      </c>
    </row>
    <row r="169" spans="2:9" x14ac:dyDescent="0.2">
      <c r="B169" s="135"/>
    </row>
    <row r="170" spans="2:9" x14ac:dyDescent="0.2">
      <c r="B170" s="135"/>
    </row>
    <row r="171" spans="2:9" x14ac:dyDescent="0.2">
      <c r="B171" s="135"/>
    </row>
    <row r="172" spans="2:9" x14ac:dyDescent="0.2">
      <c r="B172" s="135"/>
    </row>
    <row r="173" spans="2:9" x14ac:dyDescent="0.2">
      <c r="B173" s="135"/>
    </row>
    <row r="174" spans="2:9" x14ac:dyDescent="0.2">
      <c r="B174" s="135"/>
    </row>
    <row r="175" spans="2:9" x14ac:dyDescent="0.2">
      <c r="B175" s="135"/>
    </row>
    <row r="176" spans="2:9" x14ac:dyDescent="0.2">
      <c r="B176" s="135"/>
    </row>
    <row r="177" spans="2:10" x14ac:dyDescent="0.2">
      <c r="B177" s="135"/>
    </row>
    <row r="178" spans="2:10" x14ac:dyDescent="0.2">
      <c r="B178" s="135"/>
      <c r="J178" s="133"/>
    </row>
    <row r="179" spans="2:10" x14ac:dyDescent="0.2">
      <c r="B179" s="135"/>
    </row>
    <row r="180" spans="2:10" x14ac:dyDescent="0.2">
      <c r="B180" s="135"/>
    </row>
    <row r="181" spans="2:10" x14ac:dyDescent="0.2">
      <c r="B181" s="135"/>
    </row>
    <row r="182" spans="2:10" x14ac:dyDescent="0.2">
      <c r="B182" s="135"/>
    </row>
    <row r="183" spans="2:10" x14ac:dyDescent="0.2">
      <c r="B183" s="135"/>
    </row>
  </sheetData>
  <autoFilter ref="A1:L183" xr:uid="{7B825A4A-7350-468C-B3AA-76268A0AD425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K73"/>
  <sheetViews>
    <sheetView zoomScale="85" zoomScaleNormal="85" workbookViewId="0">
      <selection activeCell="F1" sqref="F1:F1048576"/>
    </sheetView>
  </sheetViews>
  <sheetFormatPr defaultRowHeight="12.75" x14ac:dyDescent="0.2"/>
  <cols>
    <col min="1" max="2" width="10.28515625" bestFit="1" customWidth="1"/>
    <col min="3" max="3" width="17.28515625" bestFit="1" customWidth="1"/>
    <col min="4" max="4" width="8.85546875" bestFit="1" customWidth="1"/>
    <col min="5" max="5" width="12.85546875" bestFit="1" customWidth="1"/>
    <col min="6" max="6" width="50.140625" bestFit="1" customWidth="1"/>
    <col min="7" max="7" width="8" bestFit="1" customWidth="1"/>
    <col min="8" max="8" width="25.140625" customWidth="1"/>
    <col min="9" max="9" width="8.7109375" bestFit="1" customWidth="1"/>
  </cols>
  <sheetData>
    <row r="1" spans="1:11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1" x14ac:dyDescent="0.2">
      <c r="B2" s="155">
        <v>43346</v>
      </c>
      <c r="C2" t="s">
        <v>888</v>
      </c>
      <c r="D2">
        <v>482.56</v>
      </c>
      <c r="E2" t="s">
        <v>770</v>
      </c>
      <c r="F2" t="s">
        <v>889</v>
      </c>
      <c r="G2" s="125"/>
      <c r="H2" s="134"/>
      <c r="I2" t="s">
        <v>1047</v>
      </c>
      <c r="J2" s="125"/>
      <c r="K2" s="125"/>
    </row>
    <row r="3" spans="1:11" x14ac:dyDescent="0.2">
      <c r="B3" s="155">
        <v>43346</v>
      </c>
      <c r="C3" t="s">
        <v>888</v>
      </c>
      <c r="D3">
        <v>2609.16</v>
      </c>
      <c r="E3" t="s">
        <v>890</v>
      </c>
      <c r="F3" t="s">
        <v>891</v>
      </c>
      <c r="G3" s="125"/>
      <c r="H3" s="125"/>
      <c r="I3" t="s">
        <v>1047</v>
      </c>
      <c r="J3" s="125"/>
      <c r="K3" s="125"/>
    </row>
    <row r="4" spans="1:11" x14ac:dyDescent="0.2">
      <c r="B4" s="155">
        <v>43346</v>
      </c>
      <c r="C4" t="s">
        <v>888</v>
      </c>
      <c r="D4">
        <v>-50</v>
      </c>
      <c r="E4" t="s">
        <v>732</v>
      </c>
      <c r="F4" t="s">
        <v>892</v>
      </c>
      <c r="G4" s="125"/>
      <c r="H4" s="125"/>
      <c r="I4" t="s">
        <v>1047</v>
      </c>
      <c r="J4" s="125"/>
      <c r="K4" s="125"/>
    </row>
    <row r="5" spans="1:11" x14ac:dyDescent="0.2">
      <c r="B5" s="155">
        <v>43346</v>
      </c>
      <c r="C5" t="s">
        <v>888</v>
      </c>
      <c r="D5">
        <v>-50</v>
      </c>
      <c r="E5" t="s">
        <v>732</v>
      </c>
      <c r="F5" t="s">
        <v>736</v>
      </c>
      <c r="G5" s="125"/>
      <c r="H5" s="125"/>
      <c r="I5" t="s">
        <v>1047</v>
      </c>
      <c r="J5" s="125"/>
      <c r="K5" s="125"/>
    </row>
    <row r="6" spans="1:11" x14ac:dyDescent="0.2">
      <c r="B6" s="155">
        <v>43346</v>
      </c>
      <c r="C6" t="s">
        <v>888</v>
      </c>
      <c r="D6">
        <v>-160</v>
      </c>
      <c r="E6" t="s">
        <v>732</v>
      </c>
      <c r="F6" t="s">
        <v>893</v>
      </c>
      <c r="G6" s="125"/>
      <c r="H6" s="125"/>
      <c r="I6" t="s">
        <v>1047</v>
      </c>
      <c r="J6" s="125"/>
      <c r="K6" s="125"/>
    </row>
    <row r="7" spans="1:11" x14ac:dyDescent="0.2">
      <c r="B7" s="155">
        <v>43346</v>
      </c>
      <c r="C7" t="s">
        <v>888</v>
      </c>
      <c r="D7">
        <v>-157.5</v>
      </c>
      <c r="E7" t="s">
        <v>732</v>
      </c>
      <c r="F7" t="s">
        <v>894</v>
      </c>
      <c r="G7" s="125"/>
      <c r="H7" s="125"/>
      <c r="I7" t="s">
        <v>1047</v>
      </c>
      <c r="J7" s="125"/>
      <c r="K7" s="125"/>
    </row>
    <row r="8" spans="1:11" x14ac:dyDescent="0.2">
      <c r="B8" s="155">
        <v>43346</v>
      </c>
      <c r="C8" t="s">
        <v>888</v>
      </c>
      <c r="D8">
        <v>-232.5</v>
      </c>
      <c r="E8" t="s">
        <v>732</v>
      </c>
      <c r="F8" t="s">
        <v>895</v>
      </c>
      <c r="G8" s="125"/>
      <c r="H8" s="125"/>
      <c r="I8" t="s">
        <v>1047</v>
      </c>
      <c r="J8" s="125"/>
      <c r="K8" s="125"/>
    </row>
    <row r="9" spans="1:11" x14ac:dyDescent="0.2">
      <c r="B9" s="155">
        <v>43346</v>
      </c>
      <c r="C9" t="s">
        <v>888</v>
      </c>
      <c r="D9">
        <v>-37.950000000000003</v>
      </c>
      <c r="E9" t="s">
        <v>740</v>
      </c>
      <c r="F9" t="s">
        <v>896</v>
      </c>
      <c r="G9" s="125"/>
      <c r="H9" s="125"/>
      <c r="I9" t="s">
        <v>1047</v>
      </c>
      <c r="J9" s="125"/>
      <c r="K9" s="125"/>
    </row>
    <row r="10" spans="1:11" x14ac:dyDescent="0.2">
      <c r="B10" s="155">
        <v>43346</v>
      </c>
      <c r="C10" t="s">
        <v>888</v>
      </c>
      <c r="D10">
        <v>-217.96</v>
      </c>
      <c r="E10" t="s">
        <v>740</v>
      </c>
      <c r="F10" t="s">
        <v>897</v>
      </c>
      <c r="G10" s="125"/>
      <c r="H10" s="125"/>
      <c r="I10" t="s">
        <v>1048</v>
      </c>
      <c r="J10" s="125"/>
      <c r="K10" s="125"/>
    </row>
    <row r="11" spans="1:11" x14ac:dyDescent="0.2">
      <c r="B11" s="155">
        <v>43346</v>
      </c>
      <c r="C11" t="s">
        <v>888</v>
      </c>
      <c r="D11">
        <v>-219.74</v>
      </c>
      <c r="E11" t="s">
        <v>740</v>
      </c>
      <c r="F11" t="s">
        <v>898</v>
      </c>
      <c r="G11" s="125"/>
      <c r="H11" s="125"/>
      <c r="I11" t="s">
        <v>1048</v>
      </c>
      <c r="J11" s="125"/>
      <c r="K11" s="125"/>
    </row>
    <row r="12" spans="1:11" x14ac:dyDescent="0.2">
      <c r="B12" s="155">
        <v>43346</v>
      </c>
      <c r="C12" t="s">
        <v>888</v>
      </c>
      <c r="D12">
        <v>-551.5</v>
      </c>
      <c r="E12" t="s">
        <v>740</v>
      </c>
      <c r="F12" t="s">
        <v>899</v>
      </c>
      <c r="G12" s="125"/>
      <c r="H12" s="125"/>
      <c r="I12" t="s">
        <v>1048</v>
      </c>
      <c r="J12" s="125"/>
      <c r="K12" s="125"/>
    </row>
    <row r="13" spans="1:11" x14ac:dyDescent="0.2">
      <c r="B13" s="155">
        <v>43346</v>
      </c>
      <c r="C13" t="s">
        <v>888</v>
      </c>
      <c r="D13">
        <v>-386.17</v>
      </c>
      <c r="E13" t="s">
        <v>740</v>
      </c>
      <c r="F13" t="s">
        <v>900</v>
      </c>
      <c r="G13" s="125"/>
      <c r="H13" s="125"/>
      <c r="I13" t="s">
        <v>1048</v>
      </c>
      <c r="J13" s="125"/>
      <c r="K13" s="125"/>
    </row>
    <row r="14" spans="1:11" x14ac:dyDescent="0.2">
      <c r="B14" s="155">
        <v>43346</v>
      </c>
      <c r="C14" t="s">
        <v>888</v>
      </c>
      <c r="D14">
        <v>-375.8</v>
      </c>
      <c r="E14" t="s">
        <v>740</v>
      </c>
      <c r="F14" t="s">
        <v>901</v>
      </c>
      <c r="G14" s="125"/>
      <c r="H14" s="125"/>
      <c r="I14" t="s">
        <v>1048</v>
      </c>
      <c r="J14" s="125"/>
      <c r="K14" s="125"/>
    </row>
    <row r="15" spans="1:11" x14ac:dyDescent="0.2">
      <c r="B15" s="155">
        <v>43346</v>
      </c>
      <c r="C15" t="s">
        <v>888</v>
      </c>
      <c r="D15">
        <v>-254.22</v>
      </c>
      <c r="E15" t="s">
        <v>740</v>
      </c>
      <c r="F15" t="s">
        <v>902</v>
      </c>
      <c r="G15" s="125"/>
      <c r="H15" s="125"/>
      <c r="I15" t="s">
        <v>1048</v>
      </c>
      <c r="J15" s="125"/>
      <c r="K15" s="125"/>
    </row>
    <row r="16" spans="1:11" x14ac:dyDescent="0.2">
      <c r="B16" s="155">
        <v>43346</v>
      </c>
      <c r="C16" t="s">
        <v>888</v>
      </c>
      <c r="D16">
        <v>-206.82</v>
      </c>
      <c r="E16" t="s">
        <v>740</v>
      </c>
      <c r="F16" t="s">
        <v>903</v>
      </c>
      <c r="G16" s="125"/>
      <c r="H16" s="125"/>
      <c r="I16" t="s">
        <v>1048</v>
      </c>
      <c r="J16" s="125"/>
      <c r="K16" s="125"/>
    </row>
    <row r="17" spans="2:11" x14ac:dyDescent="0.2">
      <c r="B17" s="155">
        <v>43347</v>
      </c>
      <c r="C17" t="s">
        <v>888</v>
      </c>
      <c r="D17">
        <v>232</v>
      </c>
      <c r="E17" t="s">
        <v>770</v>
      </c>
      <c r="F17" t="s">
        <v>904</v>
      </c>
      <c r="G17" s="125"/>
      <c r="H17" s="125"/>
      <c r="I17" t="s">
        <v>1047</v>
      </c>
      <c r="J17" s="125"/>
      <c r="K17" s="125"/>
    </row>
    <row r="18" spans="2:11" x14ac:dyDescent="0.2">
      <c r="B18" s="155">
        <v>43347</v>
      </c>
      <c r="C18" t="s">
        <v>888</v>
      </c>
      <c r="D18">
        <v>3340.8</v>
      </c>
      <c r="E18" t="s">
        <v>770</v>
      </c>
      <c r="F18" t="s">
        <v>905</v>
      </c>
      <c r="G18" s="125"/>
      <c r="H18" s="125"/>
      <c r="I18" t="s">
        <v>1047</v>
      </c>
      <c r="J18" s="125"/>
      <c r="K18" s="125"/>
    </row>
    <row r="19" spans="2:11" x14ac:dyDescent="0.2">
      <c r="B19" s="155">
        <v>43347</v>
      </c>
      <c r="C19" t="s">
        <v>888</v>
      </c>
      <c r="D19">
        <v>15.08</v>
      </c>
      <c r="E19" t="s">
        <v>770</v>
      </c>
      <c r="F19" t="s">
        <v>906</v>
      </c>
      <c r="G19" s="133"/>
      <c r="H19" s="133"/>
      <c r="I19" t="s">
        <v>1047</v>
      </c>
      <c r="J19" s="125"/>
      <c r="K19" s="125"/>
    </row>
    <row r="20" spans="2:11" x14ac:dyDescent="0.2">
      <c r="B20" s="155">
        <v>43347</v>
      </c>
      <c r="C20" t="s">
        <v>888</v>
      </c>
      <c r="D20">
        <v>-75</v>
      </c>
      <c r="E20" t="s">
        <v>732</v>
      </c>
      <c r="F20" t="s">
        <v>907</v>
      </c>
      <c r="G20" s="125"/>
      <c r="H20" s="125"/>
      <c r="I20" t="s">
        <v>1047</v>
      </c>
      <c r="J20" s="125"/>
      <c r="K20" s="125"/>
    </row>
    <row r="21" spans="2:11" x14ac:dyDescent="0.2">
      <c r="B21" s="155">
        <v>43347</v>
      </c>
      <c r="C21" t="s">
        <v>888</v>
      </c>
      <c r="D21">
        <v>-32.58</v>
      </c>
      <c r="E21" t="s">
        <v>740</v>
      </c>
      <c r="F21" t="s">
        <v>908</v>
      </c>
      <c r="G21" s="125"/>
      <c r="H21" s="125"/>
      <c r="I21" t="s">
        <v>1047</v>
      </c>
      <c r="J21" s="125"/>
      <c r="K21" s="125"/>
    </row>
    <row r="22" spans="2:11" x14ac:dyDescent="0.2">
      <c r="B22" s="155">
        <v>43347</v>
      </c>
      <c r="C22" t="s">
        <v>888</v>
      </c>
      <c r="D22">
        <v>-75</v>
      </c>
      <c r="E22" t="s">
        <v>740</v>
      </c>
      <c r="F22" t="s">
        <v>909</v>
      </c>
      <c r="G22" s="125"/>
      <c r="H22" s="125"/>
      <c r="I22" t="s">
        <v>1047</v>
      </c>
      <c r="J22" s="125"/>
      <c r="K22" s="125"/>
    </row>
    <row r="23" spans="2:11" x14ac:dyDescent="0.2">
      <c r="B23" s="155">
        <v>43348</v>
      </c>
      <c r="C23" t="s">
        <v>888</v>
      </c>
      <c r="D23">
        <v>-1798.05</v>
      </c>
      <c r="E23" t="s">
        <v>740</v>
      </c>
      <c r="F23" t="s">
        <v>910</v>
      </c>
      <c r="G23" s="125"/>
      <c r="H23" s="125"/>
      <c r="I23" t="s">
        <v>1047</v>
      </c>
      <c r="J23" s="125"/>
      <c r="K23" s="125"/>
    </row>
    <row r="24" spans="2:11" x14ac:dyDescent="0.2">
      <c r="B24" s="155">
        <v>43348</v>
      </c>
      <c r="C24" t="s">
        <v>888</v>
      </c>
      <c r="D24">
        <v>-1145.06</v>
      </c>
      <c r="E24" t="s">
        <v>740</v>
      </c>
      <c r="F24" t="s">
        <v>911</v>
      </c>
      <c r="G24" s="125"/>
      <c r="H24" s="134"/>
      <c r="I24" t="s">
        <v>1047</v>
      </c>
      <c r="J24" s="125"/>
      <c r="K24" s="125"/>
    </row>
    <row r="25" spans="2:11" x14ac:dyDescent="0.2">
      <c r="B25" s="155">
        <v>43348</v>
      </c>
      <c r="C25" t="s">
        <v>888</v>
      </c>
      <c r="D25">
        <v>-1627.32</v>
      </c>
      <c r="E25" t="s">
        <v>740</v>
      </c>
      <c r="F25" t="s">
        <v>912</v>
      </c>
      <c r="G25" s="125"/>
      <c r="H25" s="125"/>
      <c r="I25" t="s">
        <v>1047</v>
      </c>
      <c r="J25" s="125"/>
      <c r="K25" s="125"/>
    </row>
    <row r="26" spans="2:11" x14ac:dyDescent="0.2">
      <c r="B26" s="155">
        <v>43349</v>
      </c>
      <c r="C26" t="s">
        <v>888</v>
      </c>
      <c r="D26">
        <v>334.08</v>
      </c>
      <c r="E26" t="s">
        <v>770</v>
      </c>
      <c r="F26" t="s">
        <v>906</v>
      </c>
      <c r="G26" s="133"/>
      <c r="H26" s="133"/>
      <c r="I26" t="s">
        <v>1047</v>
      </c>
      <c r="J26" s="125"/>
      <c r="K26" s="125"/>
    </row>
    <row r="27" spans="2:11" x14ac:dyDescent="0.2">
      <c r="B27" s="155">
        <v>43353</v>
      </c>
      <c r="C27" t="s">
        <v>888</v>
      </c>
      <c r="D27">
        <v>69.2</v>
      </c>
      <c r="E27" t="s">
        <v>770</v>
      </c>
      <c r="F27" t="s">
        <v>913</v>
      </c>
      <c r="G27" s="125"/>
      <c r="H27" s="125"/>
      <c r="I27" t="s">
        <v>1047</v>
      </c>
      <c r="J27" s="125"/>
      <c r="K27" s="125"/>
    </row>
    <row r="28" spans="2:11" x14ac:dyDescent="0.2">
      <c r="B28" s="155">
        <v>43353</v>
      </c>
      <c r="C28" t="s">
        <v>888</v>
      </c>
      <c r="D28">
        <v>-400</v>
      </c>
      <c r="E28" t="s">
        <v>762</v>
      </c>
      <c r="F28" t="s">
        <v>914</v>
      </c>
      <c r="G28" s="125"/>
      <c r="H28" s="125"/>
      <c r="I28" t="s">
        <v>1047</v>
      </c>
      <c r="J28" s="125"/>
      <c r="K28" s="125"/>
    </row>
    <row r="29" spans="2:11" x14ac:dyDescent="0.2">
      <c r="B29" s="155">
        <v>43353</v>
      </c>
      <c r="C29" t="s">
        <v>888</v>
      </c>
      <c r="D29">
        <v>-223.11</v>
      </c>
      <c r="E29" t="s">
        <v>740</v>
      </c>
      <c r="F29" t="s">
        <v>915</v>
      </c>
      <c r="G29" s="125"/>
      <c r="H29" s="125"/>
      <c r="I29" t="s">
        <v>1048</v>
      </c>
      <c r="J29" s="125"/>
      <c r="K29" s="125"/>
    </row>
    <row r="30" spans="2:11" x14ac:dyDescent="0.2">
      <c r="B30" s="155">
        <v>43355</v>
      </c>
      <c r="C30" t="s">
        <v>888</v>
      </c>
      <c r="D30">
        <v>320.08</v>
      </c>
      <c r="E30" t="s">
        <v>770</v>
      </c>
      <c r="F30" t="s">
        <v>916</v>
      </c>
      <c r="G30" s="125"/>
      <c r="H30" s="133"/>
      <c r="I30" t="s">
        <v>1047</v>
      </c>
      <c r="J30" s="125"/>
      <c r="K30" s="125"/>
    </row>
    <row r="31" spans="2:11" x14ac:dyDescent="0.2">
      <c r="B31" s="155">
        <v>43355</v>
      </c>
      <c r="C31" t="s">
        <v>888</v>
      </c>
      <c r="D31">
        <v>53.38</v>
      </c>
      <c r="E31" t="s">
        <v>770</v>
      </c>
      <c r="F31" t="s">
        <v>917</v>
      </c>
      <c r="G31" s="125"/>
      <c r="H31" s="133"/>
      <c r="I31" t="s">
        <v>1047</v>
      </c>
      <c r="J31" s="125"/>
      <c r="K31" s="125"/>
    </row>
    <row r="32" spans="2:11" x14ac:dyDescent="0.2">
      <c r="B32" s="155">
        <v>43355</v>
      </c>
      <c r="C32" t="s">
        <v>888</v>
      </c>
      <c r="D32">
        <v>-37.68</v>
      </c>
      <c r="E32" t="s">
        <v>740</v>
      </c>
      <c r="F32" t="s">
        <v>918</v>
      </c>
      <c r="G32" s="125"/>
      <c r="H32" s="125"/>
      <c r="I32" t="s">
        <v>1047</v>
      </c>
      <c r="J32" s="125"/>
      <c r="K32" s="125"/>
    </row>
    <row r="33" spans="2:11" x14ac:dyDescent="0.2">
      <c r="B33" s="155">
        <v>43357</v>
      </c>
      <c r="C33" t="s">
        <v>888</v>
      </c>
      <c r="D33">
        <v>-56.49</v>
      </c>
      <c r="E33" t="s">
        <v>740</v>
      </c>
      <c r="F33" t="s">
        <v>919</v>
      </c>
      <c r="G33" s="125"/>
      <c r="H33" s="125"/>
      <c r="I33" t="s">
        <v>1047</v>
      </c>
      <c r="J33" s="125"/>
      <c r="K33" s="125"/>
    </row>
    <row r="34" spans="2:11" x14ac:dyDescent="0.2">
      <c r="B34" s="155">
        <v>43360</v>
      </c>
      <c r="C34" t="s">
        <v>888</v>
      </c>
      <c r="D34">
        <v>-260</v>
      </c>
      <c r="E34" t="s">
        <v>762</v>
      </c>
      <c r="F34" t="s">
        <v>914</v>
      </c>
      <c r="G34" s="125"/>
      <c r="H34" s="125"/>
      <c r="I34" t="s">
        <v>1047</v>
      </c>
      <c r="J34" s="125"/>
      <c r="K34" s="125"/>
    </row>
    <row r="35" spans="2:11" x14ac:dyDescent="0.2">
      <c r="B35" s="155">
        <v>43360</v>
      </c>
      <c r="C35" t="s">
        <v>888</v>
      </c>
      <c r="D35">
        <v>-203.62</v>
      </c>
      <c r="E35" t="s">
        <v>740</v>
      </c>
      <c r="F35" t="s">
        <v>920</v>
      </c>
      <c r="G35" s="125"/>
      <c r="H35" s="134"/>
      <c r="I35" t="s">
        <v>1048</v>
      </c>
      <c r="J35" s="125"/>
      <c r="K35" s="125"/>
    </row>
    <row r="36" spans="2:11" x14ac:dyDescent="0.2">
      <c r="B36" s="155">
        <v>43360</v>
      </c>
      <c r="C36" t="s">
        <v>888</v>
      </c>
      <c r="D36">
        <v>-213.98</v>
      </c>
      <c r="E36" t="s">
        <v>740</v>
      </c>
      <c r="F36" t="s">
        <v>921</v>
      </c>
      <c r="G36" s="125"/>
      <c r="H36" s="125"/>
      <c r="I36" t="s">
        <v>1048</v>
      </c>
      <c r="J36" s="125"/>
      <c r="K36" s="125"/>
    </row>
    <row r="37" spans="2:11" x14ac:dyDescent="0.2">
      <c r="B37" s="155">
        <v>43360</v>
      </c>
      <c r="C37" t="s">
        <v>888</v>
      </c>
      <c r="D37">
        <v>-213.98</v>
      </c>
      <c r="E37" t="s">
        <v>740</v>
      </c>
      <c r="F37" t="s">
        <v>922</v>
      </c>
      <c r="G37" s="125"/>
      <c r="H37" s="125"/>
      <c r="I37" t="s">
        <v>1048</v>
      </c>
      <c r="J37" s="125"/>
      <c r="K37" s="125"/>
    </row>
    <row r="38" spans="2:11" x14ac:dyDescent="0.2">
      <c r="B38" s="155">
        <v>43360</v>
      </c>
      <c r="C38" t="s">
        <v>888</v>
      </c>
      <c r="D38">
        <v>-206.82</v>
      </c>
      <c r="E38" t="s">
        <v>740</v>
      </c>
      <c r="F38" t="s">
        <v>923</v>
      </c>
      <c r="G38" s="125"/>
      <c r="H38" s="125"/>
      <c r="I38" t="s">
        <v>1048</v>
      </c>
      <c r="J38" s="125"/>
      <c r="K38" s="125"/>
    </row>
    <row r="39" spans="2:11" x14ac:dyDescent="0.2">
      <c r="B39" s="155">
        <v>43360</v>
      </c>
      <c r="C39" t="s">
        <v>888</v>
      </c>
      <c r="D39">
        <v>-206.77</v>
      </c>
      <c r="E39" t="s">
        <v>740</v>
      </c>
      <c r="F39" t="s">
        <v>924</v>
      </c>
      <c r="G39" s="125"/>
      <c r="H39" s="125"/>
      <c r="I39" t="s">
        <v>1048</v>
      </c>
      <c r="J39" s="125"/>
      <c r="K39" s="125"/>
    </row>
    <row r="40" spans="2:11" x14ac:dyDescent="0.2">
      <c r="B40" s="155">
        <v>43360</v>
      </c>
      <c r="C40" t="s">
        <v>888</v>
      </c>
      <c r="D40">
        <v>-206.85</v>
      </c>
      <c r="E40" t="s">
        <v>740</v>
      </c>
      <c r="F40" t="s">
        <v>925</v>
      </c>
      <c r="G40" s="125"/>
      <c r="H40" s="125"/>
      <c r="I40" t="s">
        <v>1048</v>
      </c>
      <c r="J40" s="125"/>
      <c r="K40" s="125"/>
    </row>
    <row r="41" spans="2:11" x14ac:dyDescent="0.2">
      <c r="B41" s="155">
        <v>43360</v>
      </c>
      <c r="C41" t="s">
        <v>888</v>
      </c>
      <c r="D41">
        <v>-206.81</v>
      </c>
      <c r="E41" t="s">
        <v>740</v>
      </c>
      <c r="F41" t="s">
        <v>926</v>
      </c>
      <c r="G41" s="125"/>
      <c r="H41" s="125"/>
      <c r="I41" t="s">
        <v>1048</v>
      </c>
      <c r="J41" s="125"/>
      <c r="K41" s="125"/>
    </row>
    <row r="42" spans="2:11" x14ac:dyDescent="0.2">
      <c r="B42" s="155">
        <v>43360</v>
      </c>
      <c r="C42" t="s">
        <v>888</v>
      </c>
      <c r="D42">
        <v>-206.77</v>
      </c>
      <c r="E42" t="s">
        <v>740</v>
      </c>
      <c r="F42" t="s">
        <v>927</v>
      </c>
      <c r="G42" s="125"/>
      <c r="H42" s="125"/>
      <c r="I42" t="s">
        <v>1048</v>
      </c>
      <c r="J42" s="125"/>
      <c r="K42" s="125"/>
    </row>
    <row r="43" spans="2:11" x14ac:dyDescent="0.2">
      <c r="B43" s="155">
        <v>43362</v>
      </c>
      <c r="C43" t="s">
        <v>888</v>
      </c>
      <c r="D43">
        <v>232</v>
      </c>
      <c r="E43" t="s">
        <v>770</v>
      </c>
      <c r="F43" t="s">
        <v>904</v>
      </c>
      <c r="G43" s="125"/>
      <c r="H43" s="125"/>
      <c r="I43" t="s">
        <v>1047</v>
      </c>
      <c r="J43" s="125"/>
      <c r="K43" s="125"/>
    </row>
    <row r="44" spans="2:11" x14ac:dyDescent="0.2">
      <c r="B44" s="155">
        <v>43363</v>
      </c>
      <c r="C44" t="s">
        <v>888</v>
      </c>
      <c r="D44">
        <v>238.57</v>
      </c>
      <c r="E44" t="s">
        <v>770</v>
      </c>
      <c r="F44" t="s">
        <v>928</v>
      </c>
      <c r="G44" s="125"/>
      <c r="H44" s="125"/>
      <c r="I44" t="s">
        <v>1047</v>
      </c>
      <c r="J44" s="125"/>
      <c r="K44" s="125"/>
    </row>
    <row r="45" spans="2:11" x14ac:dyDescent="0.2">
      <c r="B45" s="155">
        <v>43363</v>
      </c>
      <c r="C45" t="s">
        <v>888</v>
      </c>
      <c r="D45">
        <v>-260</v>
      </c>
      <c r="E45" t="s">
        <v>762</v>
      </c>
      <c r="F45" t="s">
        <v>929</v>
      </c>
      <c r="G45" s="125"/>
      <c r="H45" s="125"/>
      <c r="I45" t="s">
        <v>1047</v>
      </c>
      <c r="J45" s="125"/>
      <c r="K45" s="125"/>
    </row>
    <row r="46" spans="2:11" x14ac:dyDescent="0.2">
      <c r="B46" s="155">
        <v>43363</v>
      </c>
      <c r="C46" t="s">
        <v>888</v>
      </c>
      <c r="D46">
        <v>-555</v>
      </c>
      <c r="E46" t="s">
        <v>762</v>
      </c>
      <c r="F46" t="s">
        <v>930</v>
      </c>
      <c r="G46" s="125"/>
      <c r="H46" s="125"/>
      <c r="I46" t="s">
        <v>1047</v>
      </c>
      <c r="J46" s="125"/>
      <c r="K46" s="125"/>
    </row>
    <row r="47" spans="2:11" x14ac:dyDescent="0.2">
      <c r="B47" s="155">
        <v>43363</v>
      </c>
      <c r="C47" t="s">
        <v>888</v>
      </c>
      <c r="D47">
        <v>-31.88</v>
      </c>
      <c r="E47" t="s">
        <v>740</v>
      </c>
      <c r="F47" t="s">
        <v>931</v>
      </c>
      <c r="G47" s="125"/>
      <c r="H47" s="125"/>
      <c r="I47" t="s">
        <v>1047</v>
      </c>
      <c r="J47" s="125"/>
      <c r="K47" s="125"/>
    </row>
    <row r="48" spans="2:11" x14ac:dyDescent="0.2">
      <c r="B48" s="155">
        <v>43364</v>
      </c>
      <c r="C48" t="s">
        <v>888</v>
      </c>
      <c r="D48">
        <v>107.42</v>
      </c>
      <c r="E48" t="s">
        <v>770</v>
      </c>
      <c r="F48" t="s">
        <v>932</v>
      </c>
      <c r="G48" s="125"/>
      <c r="H48" s="125"/>
      <c r="I48" t="s">
        <v>1047</v>
      </c>
      <c r="J48" s="125"/>
      <c r="K48" s="125"/>
    </row>
    <row r="49" spans="2:11" x14ac:dyDescent="0.2">
      <c r="B49" s="155">
        <v>43367</v>
      </c>
      <c r="C49" t="s">
        <v>888</v>
      </c>
      <c r="D49">
        <v>600</v>
      </c>
      <c r="E49" t="s">
        <v>770</v>
      </c>
      <c r="F49" t="s">
        <v>906</v>
      </c>
      <c r="G49" s="125"/>
      <c r="H49" s="125"/>
      <c r="I49" t="s">
        <v>1047</v>
      </c>
      <c r="J49" s="125"/>
      <c r="K49" s="125"/>
    </row>
    <row r="50" spans="2:11" x14ac:dyDescent="0.2">
      <c r="B50" s="155">
        <v>43367</v>
      </c>
      <c r="C50" t="s">
        <v>888</v>
      </c>
      <c r="D50">
        <v>-260</v>
      </c>
      <c r="E50" t="s">
        <v>762</v>
      </c>
      <c r="F50" s="56" t="s">
        <v>929</v>
      </c>
      <c r="G50" s="125"/>
      <c r="H50" s="134"/>
      <c r="I50" t="s">
        <v>1047</v>
      </c>
      <c r="J50" s="125"/>
      <c r="K50" s="125"/>
    </row>
    <row r="51" spans="2:11" x14ac:dyDescent="0.2">
      <c r="B51" s="155">
        <v>43367</v>
      </c>
      <c r="C51" t="s">
        <v>888</v>
      </c>
      <c r="D51">
        <v>-93</v>
      </c>
      <c r="E51" t="s">
        <v>764</v>
      </c>
      <c r="F51" t="s">
        <v>933</v>
      </c>
      <c r="G51" s="125"/>
      <c r="H51" s="125"/>
      <c r="I51" t="s">
        <v>1047</v>
      </c>
      <c r="J51" s="125"/>
      <c r="K51" s="125"/>
    </row>
    <row r="52" spans="2:11" x14ac:dyDescent="0.2">
      <c r="B52" s="155">
        <v>43367</v>
      </c>
      <c r="C52" t="s">
        <v>888</v>
      </c>
      <c r="D52">
        <v>-5</v>
      </c>
      <c r="E52" t="s">
        <v>740</v>
      </c>
      <c r="F52" t="s">
        <v>934</v>
      </c>
      <c r="G52" s="125"/>
      <c r="H52" s="125"/>
      <c r="I52" t="s">
        <v>1047</v>
      </c>
      <c r="J52" s="125"/>
      <c r="K52" s="125"/>
    </row>
    <row r="53" spans="2:11" x14ac:dyDescent="0.2">
      <c r="B53" s="155">
        <v>43369</v>
      </c>
      <c r="C53" t="s">
        <v>888</v>
      </c>
      <c r="D53">
        <v>-41.68</v>
      </c>
      <c r="E53" t="s">
        <v>740</v>
      </c>
      <c r="F53" t="s">
        <v>935</v>
      </c>
      <c r="G53" s="125"/>
      <c r="H53" s="125"/>
      <c r="I53" t="s">
        <v>1047</v>
      </c>
      <c r="J53" s="125"/>
      <c r="K53" s="125"/>
    </row>
    <row r="54" spans="2:11" x14ac:dyDescent="0.2">
      <c r="B54" s="155">
        <v>43370</v>
      </c>
      <c r="C54" t="s">
        <v>888</v>
      </c>
      <c r="D54">
        <v>466.23</v>
      </c>
      <c r="E54" t="s">
        <v>770</v>
      </c>
      <c r="F54" t="s">
        <v>936</v>
      </c>
      <c r="G54" s="125"/>
      <c r="H54" s="125"/>
      <c r="I54" t="s">
        <v>1047</v>
      </c>
      <c r="J54" s="125"/>
      <c r="K54" s="125"/>
    </row>
    <row r="55" spans="2:11" x14ac:dyDescent="0.2">
      <c r="B55" s="155">
        <v>43370</v>
      </c>
      <c r="C55" t="s">
        <v>888</v>
      </c>
      <c r="D55">
        <v>428.29</v>
      </c>
      <c r="E55" t="s">
        <v>770</v>
      </c>
      <c r="F55" t="s">
        <v>937</v>
      </c>
      <c r="G55" s="125"/>
      <c r="H55" s="125"/>
      <c r="I55" t="s">
        <v>1047</v>
      </c>
      <c r="J55" s="125"/>
      <c r="K55" s="125"/>
    </row>
    <row r="56" spans="2:11" x14ac:dyDescent="0.2">
      <c r="B56" s="155">
        <v>43370</v>
      </c>
      <c r="C56" t="s">
        <v>888</v>
      </c>
      <c r="D56">
        <v>428.28</v>
      </c>
      <c r="E56" t="s">
        <v>770</v>
      </c>
      <c r="F56" t="s">
        <v>938</v>
      </c>
      <c r="G56" s="125"/>
      <c r="H56" s="125"/>
      <c r="I56" t="s">
        <v>1047</v>
      </c>
      <c r="J56" s="125"/>
      <c r="K56" s="125"/>
    </row>
    <row r="57" spans="2:11" x14ac:dyDescent="0.2">
      <c r="B57" s="155">
        <v>43370</v>
      </c>
      <c r="C57" t="s">
        <v>888</v>
      </c>
      <c r="D57">
        <v>410.62</v>
      </c>
      <c r="E57" t="s">
        <v>770</v>
      </c>
      <c r="F57" t="s">
        <v>917</v>
      </c>
      <c r="G57" s="125"/>
      <c r="H57" s="125"/>
      <c r="I57" t="s">
        <v>1047</v>
      </c>
      <c r="J57" s="125"/>
      <c r="K57" s="125"/>
    </row>
    <row r="58" spans="2:11" x14ac:dyDescent="0.2">
      <c r="B58" s="155">
        <v>43370</v>
      </c>
      <c r="C58" t="s">
        <v>888</v>
      </c>
      <c r="D58">
        <v>361.22</v>
      </c>
      <c r="E58" t="s">
        <v>770</v>
      </c>
      <c r="F58" t="s">
        <v>932</v>
      </c>
      <c r="G58" s="125"/>
      <c r="H58" s="125"/>
      <c r="I58" t="s">
        <v>1047</v>
      </c>
      <c r="J58" s="125"/>
      <c r="K58" s="125"/>
    </row>
    <row r="59" spans="2:11" x14ac:dyDescent="0.2">
      <c r="B59" s="155">
        <v>43370</v>
      </c>
      <c r="C59" t="s">
        <v>888</v>
      </c>
      <c r="D59">
        <v>248.63</v>
      </c>
      <c r="E59" t="s">
        <v>770</v>
      </c>
      <c r="F59" t="s">
        <v>928</v>
      </c>
      <c r="G59" s="125"/>
      <c r="H59" s="125"/>
      <c r="I59" t="s">
        <v>1047</v>
      </c>
      <c r="J59" s="125"/>
      <c r="K59" s="125"/>
    </row>
    <row r="60" spans="2:11" x14ac:dyDescent="0.2">
      <c r="B60" s="155">
        <v>43370</v>
      </c>
      <c r="C60" t="s">
        <v>888</v>
      </c>
      <c r="D60">
        <v>190.32</v>
      </c>
      <c r="E60" t="s">
        <v>770</v>
      </c>
      <c r="F60" t="s">
        <v>916</v>
      </c>
      <c r="G60" s="125"/>
      <c r="H60" s="125"/>
      <c r="I60" t="s">
        <v>1047</v>
      </c>
      <c r="J60" s="125"/>
    </row>
    <row r="61" spans="2:11" x14ac:dyDescent="0.2">
      <c r="B61" s="155">
        <v>43370</v>
      </c>
      <c r="C61" t="s">
        <v>888</v>
      </c>
      <c r="D61">
        <v>35.56</v>
      </c>
      <c r="E61" t="s">
        <v>770</v>
      </c>
      <c r="F61" t="s">
        <v>939</v>
      </c>
      <c r="G61" s="125"/>
      <c r="H61" s="133"/>
      <c r="I61" t="s">
        <v>1047</v>
      </c>
      <c r="J61" s="125"/>
    </row>
    <row r="62" spans="2:11" x14ac:dyDescent="0.2">
      <c r="B62" s="155">
        <v>43370</v>
      </c>
      <c r="C62" t="s">
        <v>888</v>
      </c>
      <c r="D62">
        <v>-1200</v>
      </c>
      <c r="E62" t="s">
        <v>732</v>
      </c>
      <c r="F62" t="s">
        <v>940</v>
      </c>
      <c r="G62" s="125"/>
      <c r="H62" s="125"/>
      <c r="I62" t="s">
        <v>1047</v>
      </c>
      <c r="J62" s="125"/>
    </row>
    <row r="63" spans="2:11" x14ac:dyDescent="0.2">
      <c r="B63" s="155"/>
      <c r="G63" s="125"/>
      <c r="H63" s="125"/>
      <c r="J63" s="125"/>
    </row>
    <row r="64" spans="2:11" x14ac:dyDescent="0.2">
      <c r="B64" s="155"/>
      <c r="G64" s="125"/>
      <c r="H64" s="134"/>
      <c r="J64" s="125"/>
    </row>
    <row r="65" spans="1:10" x14ac:dyDescent="0.2">
      <c r="B65" s="155"/>
      <c r="G65" s="125"/>
      <c r="H65" s="134"/>
      <c r="J65" s="125"/>
    </row>
    <row r="66" spans="1:10" x14ac:dyDescent="0.2">
      <c r="B66" s="155"/>
      <c r="G66" s="125"/>
      <c r="H66" s="125"/>
      <c r="J66" s="125"/>
    </row>
    <row r="67" spans="1:10" x14ac:dyDescent="0.2">
      <c r="A67" s="151"/>
      <c r="B67" s="151"/>
      <c r="G67" s="125"/>
      <c r="H67" s="125"/>
      <c r="J67" s="125"/>
    </row>
    <row r="68" spans="1:10" x14ac:dyDescent="0.2">
      <c r="A68" s="151"/>
      <c r="B68" s="151"/>
      <c r="G68" s="125"/>
      <c r="H68" s="125"/>
      <c r="J68" s="125"/>
    </row>
    <row r="69" spans="1:10" x14ac:dyDescent="0.2">
      <c r="A69" s="151"/>
      <c r="B69" s="151"/>
    </row>
    <row r="70" spans="1:10" x14ac:dyDescent="0.2">
      <c r="A70" s="151"/>
      <c r="B70" s="151"/>
    </row>
    <row r="71" spans="1:10" x14ac:dyDescent="0.2">
      <c r="B71" s="136"/>
    </row>
    <row r="72" spans="1:10" x14ac:dyDescent="0.2">
      <c r="B72" s="136"/>
    </row>
    <row r="73" spans="1:10" x14ac:dyDescent="0.2">
      <c r="B73" s="136"/>
    </row>
  </sheetData>
  <autoFilter ref="A1:K70" xr:uid="{4B531DEC-8EB9-4AD6-A5BC-A99F52F8E6A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M185"/>
  <sheetViews>
    <sheetView topLeftCell="A32" zoomScale="85" zoomScaleNormal="85" workbookViewId="0">
      <selection activeCell="F61" sqref="F1:F1048576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3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3" x14ac:dyDescent="0.2">
      <c r="A2" s="125"/>
      <c r="B2" s="135">
        <v>43346</v>
      </c>
      <c r="C2" s="125" t="s">
        <v>941</v>
      </c>
      <c r="D2" s="125">
        <v>-23.35</v>
      </c>
      <c r="E2" s="125" t="s">
        <v>730</v>
      </c>
      <c r="F2" s="125" t="s">
        <v>942</v>
      </c>
      <c r="G2" s="125"/>
      <c r="H2" s="125"/>
      <c r="I2" s="125"/>
      <c r="J2" s="125"/>
      <c r="K2" s="125"/>
      <c r="L2" s="125"/>
      <c r="M2" s="125"/>
    </row>
    <row r="3" spans="1:13" x14ac:dyDescent="0.2">
      <c r="A3" s="125"/>
      <c r="B3" s="135">
        <v>43346</v>
      </c>
      <c r="C3" s="125" t="s">
        <v>941</v>
      </c>
      <c r="D3" s="125">
        <v>-18</v>
      </c>
      <c r="E3" s="125" t="s">
        <v>730</v>
      </c>
      <c r="F3" s="125" t="s">
        <v>942</v>
      </c>
      <c r="G3" s="125"/>
      <c r="H3" s="125"/>
      <c r="I3" s="125"/>
      <c r="J3" s="125"/>
      <c r="K3" s="125"/>
      <c r="L3" s="125"/>
      <c r="M3" s="125"/>
    </row>
    <row r="4" spans="1:13" x14ac:dyDescent="0.2">
      <c r="A4" s="125"/>
      <c r="B4" s="135">
        <v>43346</v>
      </c>
      <c r="C4" s="125" t="s">
        <v>941</v>
      </c>
      <c r="D4" s="125">
        <v>-4.78</v>
      </c>
      <c r="E4" s="125" t="s">
        <v>730</v>
      </c>
      <c r="F4" s="125" t="s">
        <v>943</v>
      </c>
      <c r="G4" s="125"/>
      <c r="H4" s="125"/>
      <c r="I4" s="125"/>
      <c r="J4" s="125"/>
      <c r="K4" s="125"/>
      <c r="L4" s="125"/>
      <c r="M4" s="125"/>
    </row>
    <row r="5" spans="1:13" x14ac:dyDescent="0.2">
      <c r="A5" s="125"/>
      <c r="B5" s="135">
        <v>43346</v>
      </c>
      <c r="C5" s="125" t="s">
        <v>941</v>
      </c>
      <c r="D5" s="125">
        <v>-19.89</v>
      </c>
      <c r="E5" s="125" t="s">
        <v>730</v>
      </c>
      <c r="F5" s="125" t="s">
        <v>944</v>
      </c>
      <c r="G5" s="125"/>
      <c r="H5" s="125"/>
      <c r="I5" s="125"/>
      <c r="J5" s="125"/>
      <c r="K5" s="125"/>
      <c r="L5" s="125"/>
      <c r="M5" s="125"/>
    </row>
    <row r="6" spans="1:13" x14ac:dyDescent="0.2">
      <c r="A6" s="125"/>
      <c r="B6" s="135">
        <v>43346</v>
      </c>
      <c r="C6" s="125" t="s">
        <v>941</v>
      </c>
      <c r="D6" s="125">
        <v>-5.65</v>
      </c>
      <c r="E6" s="125" t="s">
        <v>730</v>
      </c>
      <c r="F6" s="125" t="s">
        <v>945</v>
      </c>
      <c r="G6" s="125"/>
      <c r="H6" s="125"/>
      <c r="I6" s="125"/>
      <c r="J6" s="125"/>
      <c r="K6" s="125"/>
      <c r="L6" s="125"/>
      <c r="M6" s="125"/>
    </row>
    <row r="7" spans="1:13" x14ac:dyDescent="0.2">
      <c r="A7" s="125"/>
      <c r="B7" s="135">
        <v>43346</v>
      </c>
      <c r="C7" s="125" t="s">
        <v>941</v>
      </c>
      <c r="D7" s="125">
        <v>-5.65</v>
      </c>
      <c r="E7" s="125" t="s">
        <v>730</v>
      </c>
      <c r="F7" s="125" t="s">
        <v>945</v>
      </c>
      <c r="G7" s="125"/>
      <c r="H7" s="125"/>
      <c r="I7" s="125"/>
      <c r="J7" s="125"/>
      <c r="K7" s="125"/>
      <c r="L7" s="125"/>
      <c r="M7" s="125"/>
    </row>
    <row r="8" spans="1:13" x14ac:dyDescent="0.2">
      <c r="A8" s="125"/>
      <c r="B8" s="135">
        <v>43346</v>
      </c>
      <c r="C8" s="125" t="s">
        <v>941</v>
      </c>
      <c r="D8" s="125">
        <v>-9.5500000000000007</v>
      </c>
      <c r="E8" s="125" t="s">
        <v>730</v>
      </c>
      <c r="F8" s="125" t="s">
        <v>946</v>
      </c>
      <c r="G8" s="125"/>
      <c r="H8" s="125"/>
      <c r="I8" s="125"/>
      <c r="J8" s="125"/>
      <c r="K8" s="125"/>
      <c r="L8" s="125"/>
      <c r="M8" s="125"/>
    </row>
    <row r="9" spans="1:13" x14ac:dyDescent="0.2">
      <c r="A9" s="125"/>
      <c r="B9" s="135">
        <v>43346</v>
      </c>
      <c r="C9" s="125" t="s">
        <v>941</v>
      </c>
      <c r="D9" s="125">
        <v>-30.57</v>
      </c>
      <c r="E9" s="125" t="s">
        <v>730</v>
      </c>
      <c r="F9" s="125" t="s">
        <v>947</v>
      </c>
      <c r="G9" s="125"/>
      <c r="H9" s="125"/>
      <c r="I9" s="125"/>
      <c r="J9" s="125"/>
      <c r="K9" s="125"/>
      <c r="L9" s="125"/>
      <c r="M9" s="125"/>
    </row>
    <row r="10" spans="1:13" x14ac:dyDescent="0.2">
      <c r="A10" s="125"/>
      <c r="B10" s="135">
        <v>43346</v>
      </c>
      <c r="C10" s="125" t="s">
        <v>941</v>
      </c>
      <c r="D10" s="125">
        <v>-47.59</v>
      </c>
      <c r="E10" s="125" t="s">
        <v>730</v>
      </c>
      <c r="F10" s="125" t="s">
        <v>948</v>
      </c>
      <c r="G10" s="125"/>
      <c r="H10" s="125"/>
      <c r="I10" s="125"/>
      <c r="J10" s="125"/>
      <c r="K10" s="125"/>
      <c r="L10" s="125"/>
      <c r="M10" s="125"/>
    </row>
    <row r="11" spans="1:13" x14ac:dyDescent="0.2">
      <c r="A11" s="125"/>
      <c r="B11" s="135">
        <v>43347</v>
      </c>
      <c r="C11" s="125" t="s">
        <v>941</v>
      </c>
      <c r="D11" s="125">
        <v>-75.12</v>
      </c>
      <c r="E11" s="125" t="s">
        <v>730</v>
      </c>
      <c r="F11" s="133" t="s">
        <v>949</v>
      </c>
      <c r="G11" s="125"/>
      <c r="H11" s="125"/>
      <c r="I11" s="125"/>
      <c r="J11" s="125"/>
      <c r="K11" s="125"/>
      <c r="L11" s="125"/>
      <c r="M11" s="125"/>
    </row>
    <row r="12" spans="1:13" x14ac:dyDescent="0.2">
      <c r="A12" s="125"/>
      <c r="B12" s="135">
        <v>43347</v>
      </c>
      <c r="C12" s="125" t="s">
        <v>941</v>
      </c>
      <c r="D12" s="125">
        <v>-49.99</v>
      </c>
      <c r="E12" s="125" t="s">
        <v>730</v>
      </c>
      <c r="F12" s="125" t="s">
        <v>950</v>
      </c>
      <c r="G12" s="125"/>
      <c r="H12" s="125"/>
      <c r="I12" s="125"/>
      <c r="J12" s="125"/>
      <c r="K12" s="125"/>
      <c r="L12" s="125"/>
      <c r="M12" s="125"/>
    </row>
    <row r="13" spans="1:13" x14ac:dyDescent="0.2">
      <c r="A13" s="125"/>
      <c r="B13" s="135">
        <v>43348</v>
      </c>
      <c r="C13" s="125" t="s">
        <v>941</v>
      </c>
      <c r="D13" s="125">
        <v>-15.55</v>
      </c>
      <c r="E13" s="125" t="s">
        <v>730</v>
      </c>
      <c r="F13" s="125" t="s">
        <v>951</v>
      </c>
      <c r="G13" s="125"/>
      <c r="H13" s="125"/>
      <c r="I13" s="125"/>
      <c r="J13" s="125"/>
      <c r="K13" s="125"/>
      <c r="L13" s="125"/>
      <c r="M13" s="125"/>
    </row>
    <row r="14" spans="1:13" x14ac:dyDescent="0.2">
      <c r="A14" s="125"/>
      <c r="B14" s="135">
        <v>43348</v>
      </c>
      <c r="C14" s="125" t="s">
        <v>941</v>
      </c>
      <c r="D14" s="125">
        <v>-14.2</v>
      </c>
      <c r="E14" s="125" t="s">
        <v>730</v>
      </c>
      <c r="F14" s="125" t="s">
        <v>952</v>
      </c>
      <c r="G14" s="125"/>
      <c r="H14" s="125"/>
      <c r="I14" s="125"/>
      <c r="J14" s="125"/>
      <c r="K14" s="125"/>
      <c r="L14" s="125"/>
      <c r="M14" s="125"/>
    </row>
    <row r="15" spans="1:13" x14ac:dyDescent="0.2">
      <c r="A15" s="125"/>
      <c r="B15" s="135">
        <v>43348</v>
      </c>
      <c r="C15" s="125" t="s">
        <v>941</v>
      </c>
      <c r="D15" s="125">
        <v>-7.9</v>
      </c>
      <c r="E15" s="125" t="s">
        <v>730</v>
      </c>
      <c r="F15" s="125" t="s">
        <v>953</v>
      </c>
      <c r="G15" s="125"/>
      <c r="H15" s="125"/>
      <c r="I15" s="125"/>
      <c r="J15" s="125"/>
      <c r="K15" s="125"/>
      <c r="L15" s="125"/>
      <c r="M15" s="125"/>
    </row>
    <row r="16" spans="1:13" x14ac:dyDescent="0.2">
      <c r="A16" s="125"/>
      <c r="B16" s="135">
        <v>43348</v>
      </c>
      <c r="C16" s="125" t="s">
        <v>941</v>
      </c>
      <c r="D16" s="125">
        <v>-4.18</v>
      </c>
      <c r="E16" s="125" t="s">
        <v>730</v>
      </c>
      <c r="F16" s="125" t="s">
        <v>954</v>
      </c>
      <c r="G16" s="125"/>
      <c r="H16" s="125"/>
      <c r="I16" s="125"/>
      <c r="J16" s="125"/>
      <c r="K16" s="125"/>
      <c r="L16" s="125"/>
      <c r="M16" s="125"/>
    </row>
    <row r="17" spans="1:13" x14ac:dyDescent="0.2">
      <c r="A17" s="125"/>
      <c r="B17" s="135">
        <v>43348</v>
      </c>
      <c r="C17" s="125" t="s">
        <v>941</v>
      </c>
      <c r="D17" s="125">
        <v>-81.42</v>
      </c>
      <c r="E17" s="125" t="s">
        <v>730</v>
      </c>
      <c r="F17" s="125" t="s">
        <v>955</v>
      </c>
      <c r="G17" s="125"/>
      <c r="H17" s="125"/>
      <c r="I17" s="125"/>
      <c r="J17" s="125"/>
      <c r="K17" s="125"/>
      <c r="L17" s="125"/>
      <c r="M17" s="125"/>
    </row>
    <row r="18" spans="1:13" x14ac:dyDescent="0.2">
      <c r="A18" s="125"/>
      <c r="B18" s="135">
        <v>43348</v>
      </c>
      <c r="C18" s="125" t="s">
        <v>941</v>
      </c>
      <c r="D18" s="125">
        <v>-4.3</v>
      </c>
      <c r="E18" s="125" t="s">
        <v>730</v>
      </c>
      <c r="F18" s="125" t="s">
        <v>956</v>
      </c>
      <c r="G18" s="125"/>
      <c r="H18" s="125"/>
      <c r="I18" s="125"/>
      <c r="J18" s="125"/>
      <c r="K18" s="125"/>
      <c r="L18" s="125"/>
      <c r="M18" s="125"/>
    </row>
    <row r="19" spans="1:13" x14ac:dyDescent="0.2">
      <c r="A19" s="125"/>
      <c r="B19" s="135">
        <v>43349</v>
      </c>
      <c r="C19" s="125" t="s">
        <v>941</v>
      </c>
      <c r="D19" s="125">
        <v>-15.98</v>
      </c>
      <c r="E19" s="125" t="s">
        <v>730</v>
      </c>
      <c r="F19" s="125" t="s">
        <v>957</v>
      </c>
      <c r="G19" s="125"/>
      <c r="H19" s="125"/>
      <c r="I19" s="125"/>
      <c r="J19" s="125"/>
      <c r="K19" s="125"/>
      <c r="L19" s="125"/>
      <c r="M19" s="125"/>
    </row>
    <row r="20" spans="1:13" x14ac:dyDescent="0.2">
      <c r="A20" s="125"/>
      <c r="B20" s="135">
        <v>43349</v>
      </c>
      <c r="C20" s="125" t="s">
        <v>941</v>
      </c>
      <c r="D20" s="125">
        <v>-2.2999999999999998</v>
      </c>
      <c r="E20" s="125" t="s">
        <v>730</v>
      </c>
      <c r="F20" s="125" t="s">
        <v>958</v>
      </c>
      <c r="G20" s="125"/>
      <c r="H20" s="125"/>
      <c r="I20" s="125"/>
      <c r="J20" s="125"/>
      <c r="K20" s="125"/>
      <c r="L20" s="125"/>
      <c r="M20" s="125"/>
    </row>
    <row r="21" spans="1:13" x14ac:dyDescent="0.2">
      <c r="A21" s="125"/>
      <c r="B21" s="135">
        <v>43350</v>
      </c>
      <c r="C21" s="125" t="s">
        <v>941</v>
      </c>
      <c r="D21" s="125">
        <v>-2</v>
      </c>
      <c r="E21" s="125" t="s">
        <v>730</v>
      </c>
      <c r="F21" s="125" t="s">
        <v>959</v>
      </c>
      <c r="G21" s="125"/>
      <c r="H21" s="125"/>
      <c r="I21" s="125"/>
      <c r="J21" s="125"/>
      <c r="K21" s="125"/>
      <c r="L21" s="125"/>
      <c r="M21" s="125"/>
    </row>
    <row r="22" spans="1:13" x14ac:dyDescent="0.2">
      <c r="A22" s="125"/>
      <c r="B22" s="135">
        <v>43350</v>
      </c>
      <c r="C22" s="125" t="s">
        <v>941</v>
      </c>
      <c r="D22" s="125">
        <v>-2.2999999999999998</v>
      </c>
      <c r="E22" s="125" t="s">
        <v>730</v>
      </c>
      <c r="F22" s="125" t="s">
        <v>960</v>
      </c>
      <c r="G22" s="125"/>
      <c r="H22" s="125"/>
      <c r="I22" s="125"/>
      <c r="J22" s="125"/>
      <c r="K22" s="125"/>
      <c r="L22" s="125"/>
      <c r="M22" s="125"/>
    </row>
    <row r="23" spans="1:13" x14ac:dyDescent="0.2">
      <c r="A23" s="125"/>
      <c r="B23" s="135">
        <v>43350</v>
      </c>
      <c r="C23" s="125" t="s">
        <v>941</v>
      </c>
      <c r="D23" s="125">
        <v>-43.24</v>
      </c>
      <c r="E23" s="125" t="s">
        <v>730</v>
      </c>
      <c r="F23" s="125" t="s">
        <v>961</v>
      </c>
      <c r="G23" s="125"/>
      <c r="H23" s="125"/>
      <c r="I23" s="125"/>
      <c r="J23" s="125"/>
      <c r="K23" s="125"/>
      <c r="L23" s="125"/>
      <c r="M23" s="125"/>
    </row>
    <row r="24" spans="1:13" x14ac:dyDescent="0.2">
      <c r="A24" s="125"/>
      <c r="B24" s="135">
        <v>43350</v>
      </c>
      <c r="C24" s="125" t="s">
        <v>941</v>
      </c>
      <c r="D24" s="125">
        <v>-69.3</v>
      </c>
      <c r="E24" s="125" t="s">
        <v>730</v>
      </c>
      <c r="F24" s="125" t="s">
        <v>962</v>
      </c>
      <c r="G24" s="125"/>
      <c r="H24" s="125"/>
      <c r="I24" s="125"/>
      <c r="J24" s="125"/>
      <c r="K24" s="125"/>
      <c r="L24" s="125"/>
      <c r="M24" s="125"/>
    </row>
    <row r="25" spans="1:13" x14ac:dyDescent="0.2">
      <c r="A25" s="125"/>
      <c r="B25" s="135">
        <v>43353</v>
      </c>
      <c r="C25" s="125" t="s">
        <v>941</v>
      </c>
      <c r="D25" s="125">
        <v>400</v>
      </c>
      <c r="E25" s="125" t="s">
        <v>762</v>
      </c>
      <c r="F25" s="125" t="s">
        <v>963</v>
      </c>
      <c r="G25" s="125"/>
      <c r="H25" s="125"/>
      <c r="I25" s="125"/>
      <c r="J25" s="125"/>
      <c r="K25" s="125"/>
      <c r="L25" s="125"/>
      <c r="M25" s="125"/>
    </row>
    <row r="26" spans="1:13" x14ac:dyDescent="0.2">
      <c r="A26" s="125"/>
      <c r="B26" s="135">
        <v>43353</v>
      </c>
      <c r="C26" s="125" t="s">
        <v>941</v>
      </c>
      <c r="D26" s="125">
        <v>-17.14</v>
      </c>
      <c r="E26" s="125" t="s">
        <v>730</v>
      </c>
      <c r="F26" s="125" t="s">
        <v>964</v>
      </c>
      <c r="G26" s="125"/>
      <c r="H26" s="125"/>
      <c r="I26" s="125"/>
      <c r="J26" s="125"/>
      <c r="K26" s="125"/>
      <c r="L26" s="125"/>
      <c r="M26" s="125"/>
    </row>
    <row r="27" spans="1:13" x14ac:dyDescent="0.2">
      <c r="A27" s="125"/>
      <c r="B27" s="135">
        <v>43353</v>
      </c>
      <c r="C27" s="125" t="s">
        <v>941</v>
      </c>
      <c r="D27" s="125">
        <v>-16.600000000000001</v>
      </c>
      <c r="E27" s="125" t="s">
        <v>730</v>
      </c>
      <c r="F27" s="125" t="s">
        <v>965</v>
      </c>
      <c r="G27" s="125"/>
      <c r="H27" s="125"/>
      <c r="I27" s="125"/>
      <c r="J27" s="125"/>
      <c r="K27" s="125"/>
      <c r="L27" s="125"/>
      <c r="M27" s="125"/>
    </row>
    <row r="28" spans="1:13" x14ac:dyDescent="0.2">
      <c r="A28" s="125"/>
      <c r="B28" s="135">
        <v>43353</v>
      </c>
      <c r="C28" s="125" t="s">
        <v>941</v>
      </c>
      <c r="D28" s="125">
        <v>-13.9</v>
      </c>
      <c r="E28" s="125" t="s">
        <v>730</v>
      </c>
      <c r="F28" s="125" t="s">
        <v>966</v>
      </c>
      <c r="G28" s="125"/>
      <c r="H28" s="125"/>
      <c r="I28" s="125"/>
      <c r="J28" s="125"/>
      <c r="K28" s="125"/>
      <c r="L28" s="125"/>
      <c r="M28" s="125"/>
    </row>
    <row r="29" spans="1:13" x14ac:dyDescent="0.2">
      <c r="A29" s="125"/>
      <c r="B29" s="135">
        <v>43353</v>
      </c>
      <c r="C29" s="125" t="s">
        <v>941</v>
      </c>
      <c r="D29" s="125">
        <v>-12.25</v>
      </c>
      <c r="E29" s="125" t="s">
        <v>730</v>
      </c>
      <c r="F29" s="125" t="s">
        <v>967</v>
      </c>
      <c r="G29" s="125"/>
      <c r="H29" s="125"/>
      <c r="I29" s="125"/>
      <c r="J29" s="125"/>
      <c r="K29" s="125"/>
      <c r="L29" s="125"/>
      <c r="M29" s="125"/>
    </row>
    <row r="30" spans="1:13" x14ac:dyDescent="0.2">
      <c r="A30" s="125"/>
      <c r="B30" s="135">
        <v>43353</v>
      </c>
      <c r="C30" s="125" t="s">
        <v>941</v>
      </c>
      <c r="D30" s="125">
        <v>-8.48</v>
      </c>
      <c r="E30" s="125" t="s">
        <v>730</v>
      </c>
      <c r="F30" s="125" t="s">
        <v>968</v>
      </c>
      <c r="G30" s="125"/>
      <c r="H30" s="125"/>
      <c r="I30" s="125"/>
      <c r="J30" s="125"/>
      <c r="K30" s="125"/>
      <c r="L30" s="125"/>
      <c r="M30" s="125"/>
    </row>
    <row r="31" spans="1:13" x14ac:dyDescent="0.2">
      <c r="A31" s="125"/>
      <c r="B31" s="135">
        <v>43353</v>
      </c>
      <c r="C31" s="125" t="s">
        <v>941</v>
      </c>
      <c r="D31" s="125">
        <v>-4.7</v>
      </c>
      <c r="E31" s="125" t="s">
        <v>730</v>
      </c>
      <c r="F31" s="125" t="s">
        <v>969</v>
      </c>
      <c r="G31" s="125"/>
      <c r="H31" s="125"/>
      <c r="I31" s="125"/>
      <c r="J31" s="125"/>
      <c r="K31" s="125"/>
      <c r="L31" s="125"/>
      <c r="M31" s="125"/>
    </row>
    <row r="32" spans="1:13" x14ac:dyDescent="0.2">
      <c r="A32" s="125"/>
      <c r="B32" s="135">
        <v>43353</v>
      </c>
      <c r="C32" s="125" t="s">
        <v>941</v>
      </c>
      <c r="D32" s="125">
        <v>-60</v>
      </c>
      <c r="E32" s="125" t="s">
        <v>760</v>
      </c>
      <c r="F32" s="125" t="s">
        <v>970</v>
      </c>
      <c r="G32" s="125"/>
      <c r="H32" s="125"/>
      <c r="I32" s="125"/>
      <c r="J32" s="125"/>
      <c r="K32" s="125"/>
      <c r="L32" s="125"/>
      <c r="M32" s="125"/>
    </row>
    <row r="33" spans="1:13" x14ac:dyDescent="0.2">
      <c r="A33" s="125"/>
      <c r="B33" s="135">
        <v>43353</v>
      </c>
      <c r="C33" s="125" t="s">
        <v>941</v>
      </c>
      <c r="D33" s="125">
        <v>-68.97</v>
      </c>
      <c r="E33" s="125" t="s">
        <v>730</v>
      </c>
      <c r="F33" s="125" t="s">
        <v>971</v>
      </c>
      <c r="G33" s="125"/>
      <c r="H33" s="125"/>
      <c r="I33" s="125"/>
      <c r="J33" s="125"/>
      <c r="K33" s="125"/>
      <c r="L33" s="125"/>
      <c r="M33" s="125"/>
    </row>
    <row r="34" spans="1:13" x14ac:dyDescent="0.2">
      <c r="A34" s="125"/>
      <c r="B34" s="135">
        <v>43353</v>
      </c>
      <c r="C34" s="125" t="s">
        <v>941</v>
      </c>
      <c r="D34" s="125">
        <v>-63.71</v>
      </c>
      <c r="E34" s="125" t="s">
        <v>730</v>
      </c>
      <c r="F34" s="125" t="s">
        <v>972</v>
      </c>
      <c r="G34" s="125"/>
      <c r="H34" s="125"/>
      <c r="I34" s="125"/>
      <c r="J34" s="125"/>
      <c r="K34" s="125"/>
      <c r="L34" s="125"/>
      <c r="M34" s="125"/>
    </row>
    <row r="35" spans="1:13" x14ac:dyDescent="0.2">
      <c r="A35" s="125"/>
      <c r="B35" s="135">
        <v>43353</v>
      </c>
      <c r="C35" s="125" t="s">
        <v>941</v>
      </c>
      <c r="D35" s="125">
        <v>-47.9</v>
      </c>
      <c r="E35" s="125" t="s">
        <v>730</v>
      </c>
      <c r="F35" s="125" t="s">
        <v>973</v>
      </c>
      <c r="G35" s="125"/>
      <c r="H35" s="125"/>
      <c r="I35" s="125"/>
      <c r="J35" s="125"/>
      <c r="K35" s="125"/>
      <c r="L35" s="125"/>
      <c r="M35" s="125"/>
    </row>
    <row r="36" spans="1:13" x14ac:dyDescent="0.2">
      <c r="A36" s="125"/>
      <c r="B36" s="135">
        <v>43354</v>
      </c>
      <c r="C36" s="125" t="s">
        <v>941</v>
      </c>
      <c r="D36" s="125">
        <v>-13.75</v>
      </c>
      <c r="E36" s="125" t="s">
        <v>730</v>
      </c>
      <c r="F36" s="125" t="s">
        <v>974</v>
      </c>
      <c r="G36" s="125"/>
      <c r="H36" s="125"/>
      <c r="I36" s="125"/>
      <c r="J36" s="125"/>
      <c r="K36" s="125"/>
      <c r="L36" s="125"/>
      <c r="M36" s="125"/>
    </row>
    <row r="37" spans="1:13" x14ac:dyDescent="0.2">
      <c r="A37" s="125"/>
      <c r="B37" s="135">
        <v>43354</v>
      </c>
      <c r="C37" s="125" t="s">
        <v>941</v>
      </c>
      <c r="D37" s="125">
        <v>-13.1</v>
      </c>
      <c r="E37" s="125" t="s">
        <v>730</v>
      </c>
      <c r="F37" s="125" t="s">
        <v>975</v>
      </c>
      <c r="G37" s="125"/>
      <c r="H37" s="125"/>
      <c r="I37" s="125"/>
      <c r="J37" s="125"/>
      <c r="K37" s="125"/>
      <c r="L37" s="125"/>
      <c r="M37" s="125"/>
    </row>
    <row r="38" spans="1:13" x14ac:dyDescent="0.2">
      <c r="A38" s="125"/>
      <c r="B38" s="135">
        <v>43354</v>
      </c>
      <c r="C38" s="125" t="s">
        <v>941</v>
      </c>
      <c r="D38" s="125">
        <v>-13</v>
      </c>
      <c r="E38" s="125" t="s">
        <v>730</v>
      </c>
      <c r="F38" s="125" t="s">
        <v>975</v>
      </c>
      <c r="G38" s="125"/>
      <c r="H38" s="125"/>
      <c r="I38" s="125"/>
      <c r="J38" s="125"/>
      <c r="K38" s="125"/>
      <c r="L38" s="125"/>
      <c r="M38" s="125"/>
    </row>
    <row r="39" spans="1:13" x14ac:dyDescent="0.2">
      <c r="A39" s="125"/>
      <c r="B39" s="135">
        <v>43354</v>
      </c>
      <c r="C39" s="125" t="s">
        <v>941</v>
      </c>
      <c r="D39" s="125">
        <v>-4.0999999999999996</v>
      </c>
      <c r="E39" s="125" t="s">
        <v>730</v>
      </c>
      <c r="F39" s="125" t="s">
        <v>974</v>
      </c>
      <c r="G39" s="125"/>
      <c r="H39" s="125"/>
      <c r="I39" s="125"/>
      <c r="J39" s="125"/>
      <c r="K39" s="125"/>
      <c r="L39" s="125"/>
      <c r="M39" s="125"/>
    </row>
    <row r="40" spans="1:13" x14ac:dyDescent="0.2">
      <c r="A40" s="125"/>
      <c r="B40" s="135">
        <v>43355</v>
      </c>
      <c r="C40" s="125" t="s">
        <v>941</v>
      </c>
      <c r="D40" s="125">
        <v>-14.99</v>
      </c>
      <c r="E40" s="125" t="s">
        <v>730</v>
      </c>
      <c r="F40" s="125" t="s">
        <v>976</v>
      </c>
      <c r="G40" s="125"/>
      <c r="H40" s="125"/>
      <c r="I40" s="125"/>
      <c r="J40" s="125"/>
      <c r="K40" s="125"/>
      <c r="L40" s="125"/>
      <c r="M40" s="125"/>
    </row>
    <row r="41" spans="1:13" x14ac:dyDescent="0.2">
      <c r="A41" s="125"/>
      <c r="B41" s="135">
        <v>43355</v>
      </c>
      <c r="C41" s="125" t="s">
        <v>941</v>
      </c>
      <c r="D41" s="125">
        <v>-2.65</v>
      </c>
      <c r="E41" s="125" t="s">
        <v>730</v>
      </c>
      <c r="F41" s="125" t="s">
        <v>977</v>
      </c>
      <c r="G41" s="125"/>
      <c r="H41" s="125"/>
      <c r="I41" s="125"/>
      <c r="J41" s="125"/>
      <c r="K41" s="125"/>
      <c r="L41" s="125"/>
      <c r="M41" s="125"/>
    </row>
    <row r="42" spans="1:13" x14ac:dyDescent="0.2">
      <c r="A42" s="125"/>
      <c r="B42" s="135">
        <v>43355</v>
      </c>
      <c r="C42" s="125" t="s">
        <v>941</v>
      </c>
      <c r="D42" s="125">
        <v>-2.2999999999999998</v>
      </c>
      <c r="E42" s="125" t="s">
        <v>730</v>
      </c>
      <c r="F42" s="125" t="s">
        <v>977</v>
      </c>
      <c r="G42" s="125"/>
      <c r="H42" s="125"/>
      <c r="I42" s="125"/>
      <c r="J42" s="125"/>
      <c r="K42" s="125"/>
      <c r="L42" s="125"/>
      <c r="M42" s="125"/>
    </row>
    <row r="43" spans="1:13" x14ac:dyDescent="0.2">
      <c r="A43" s="125"/>
      <c r="B43" s="135">
        <v>43355</v>
      </c>
      <c r="C43" s="125" t="s">
        <v>941</v>
      </c>
      <c r="D43" s="125">
        <v>-45.75</v>
      </c>
      <c r="E43" s="125" t="s">
        <v>730</v>
      </c>
      <c r="F43" s="125" t="s">
        <v>978</v>
      </c>
      <c r="G43" s="125"/>
      <c r="H43" s="125"/>
      <c r="I43" s="125"/>
      <c r="J43" s="125"/>
      <c r="K43" s="125"/>
      <c r="L43" s="125"/>
      <c r="M43" s="125"/>
    </row>
    <row r="44" spans="1:13" x14ac:dyDescent="0.2">
      <c r="A44" s="125"/>
      <c r="B44" s="135">
        <v>43356</v>
      </c>
      <c r="C44" s="125" t="s">
        <v>941</v>
      </c>
      <c r="D44" s="125">
        <v>-11.23</v>
      </c>
      <c r="E44" s="125" t="s">
        <v>730</v>
      </c>
      <c r="F44" s="125" t="s">
        <v>979</v>
      </c>
      <c r="G44" s="125"/>
      <c r="H44" s="125"/>
      <c r="I44" s="125"/>
      <c r="J44" s="125"/>
      <c r="K44" s="125"/>
      <c r="L44" s="125"/>
      <c r="M44" s="125"/>
    </row>
    <row r="45" spans="1:13" x14ac:dyDescent="0.2">
      <c r="A45" s="125"/>
      <c r="B45" s="135">
        <v>43356</v>
      </c>
      <c r="C45" s="125" t="s">
        <v>941</v>
      </c>
      <c r="D45" s="125">
        <v>-9.5</v>
      </c>
      <c r="E45" s="125" t="s">
        <v>730</v>
      </c>
      <c r="F45" s="125" t="s">
        <v>799</v>
      </c>
      <c r="G45" s="125"/>
      <c r="H45" s="125"/>
      <c r="I45" s="125"/>
      <c r="J45" s="125"/>
      <c r="K45" s="125"/>
      <c r="L45" s="125"/>
      <c r="M45" s="125"/>
    </row>
    <row r="46" spans="1:13" x14ac:dyDescent="0.2">
      <c r="A46" s="125"/>
      <c r="B46" s="135">
        <v>43357</v>
      </c>
      <c r="C46" s="125" t="s">
        <v>941</v>
      </c>
      <c r="D46" s="125">
        <v>-17.75</v>
      </c>
      <c r="E46" s="125" t="s">
        <v>730</v>
      </c>
      <c r="F46" s="125" t="s">
        <v>980</v>
      </c>
      <c r="G46" s="125"/>
      <c r="H46" s="125"/>
      <c r="I46" s="125"/>
      <c r="J46" s="125"/>
      <c r="K46" s="125"/>
      <c r="L46" s="125"/>
      <c r="M46" s="125"/>
    </row>
    <row r="47" spans="1:13" x14ac:dyDescent="0.2">
      <c r="A47" s="125"/>
      <c r="B47" s="135">
        <v>43357</v>
      </c>
      <c r="C47" s="125" t="s">
        <v>941</v>
      </c>
      <c r="D47" s="125">
        <v>-13.75</v>
      </c>
      <c r="E47" s="125" t="s">
        <v>730</v>
      </c>
      <c r="F47" s="125" t="s">
        <v>981</v>
      </c>
      <c r="G47" s="125"/>
      <c r="H47" s="125"/>
      <c r="I47" s="125"/>
      <c r="J47" s="125"/>
      <c r="K47" s="125"/>
      <c r="L47" s="125"/>
      <c r="M47" s="125"/>
    </row>
    <row r="48" spans="1:13" x14ac:dyDescent="0.2">
      <c r="A48" s="125"/>
      <c r="B48" s="135">
        <v>43357</v>
      </c>
      <c r="C48" s="125" t="s">
        <v>941</v>
      </c>
      <c r="D48" s="125">
        <v>-4.0999999999999996</v>
      </c>
      <c r="E48" s="125" t="s">
        <v>730</v>
      </c>
      <c r="F48" s="125" t="s">
        <v>982</v>
      </c>
      <c r="G48" s="125"/>
      <c r="H48" s="125"/>
      <c r="I48" s="125"/>
      <c r="J48" s="125"/>
      <c r="K48" s="125"/>
      <c r="L48" s="125"/>
      <c r="M48" s="125"/>
    </row>
    <row r="49" spans="1:13" x14ac:dyDescent="0.2">
      <c r="A49" s="125"/>
      <c r="B49" s="135">
        <v>43357</v>
      </c>
      <c r="C49" s="125" t="s">
        <v>941</v>
      </c>
      <c r="D49" s="125">
        <v>-2.1</v>
      </c>
      <c r="E49" s="125" t="s">
        <v>730</v>
      </c>
      <c r="F49" s="125" t="s">
        <v>983</v>
      </c>
      <c r="G49" s="125"/>
      <c r="H49" s="125"/>
      <c r="I49" s="125"/>
      <c r="J49" s="125"/>
      <c r="K49" s="125"/>
      <c r="L49" s="125"/>
      <c r="M49" s="125"/>
    </row>
    <row r="50" spans="1:13" x14ac:dyDescent="0.2">
      <c r="A50" s="125"/>
      <c r="B50" s="135">
        <v>43357</v>
      </c>
      <c r="C50" s="125" t="s">
        <v>941</v>
      </c>
      <c r="D50" s="125">
        <v>-40</v>
      </c>
      <c r="E50" s="125" t="s">
        <v>730</v>
      </c>
      <c r="F50" s="125" t="s">
        <v>984</v>
      </c>
      <c r="G50" s="125"/>
      <c r="H50" s="125"/>
      <c r="I50" s="125"/>
      <c r="J50" s="125"/>
      <c r="K50" s="125"/>
      <c r="L50" s="125"/>
      <c r="M50" s="125"/>
    </row>
    <row r="51" spans="1:13" x14ac:dyDescent="0.2">
      <c r="A51" s="125"/>
      <c r="B51" s="135">
        <v>43360</v>
      </c>
      <c r="C51" s="125" t="s">
        <v>941</v>
      </c>
      <c r="D51" s="125">
        <v>260</v>
      </c>
      <c r="E51" s="125" t="s">
        <v>762</v>
      </c>
      <c r="F51" s="125" t="s">
        <v>963</v>
      </c>
      <c r="G51" s="125"/>
      <c r="H51" s="125"/>
      <c r="I51" s="125"/>
      <c r="J51" s="125"/>
      <c r="K51" s="125"/>
      <c r="L51" s="125"/>
      <c r="M51" s="125"/>
    </row>
    <row r="52" spans="1:13" x14ac:dyDescent="0.2">
      <c r="A52" s="125"/>
      <c r="B52" s="135">
        <v>43360</v>
      </c>
      <c r="C52" s="125" t="s">
        <v>941</v>
      </c>
      <c r="D52" s="125">
        <v>-28.3</v>
      </c>
      <c r="E52" s="125" t="s">
        <v>730</v>
      </c>
      <c r="F52" s="125" t="s">
        <v>985</v>
      </c>
      <c r="G52" s="125"/>
      <c r="H52" s="125"/>
      <c r="I52" s="125"/>
      <c r="J52" s="125"/>
      <c r="K52" s="125"/>
      <c r="L52" s="125"/>
      <c r="M52" s="125"/>
    </row>
    <row r="53" spans="1:13" x14ac:dyDescent="0.2">
      <c r="A53" s="125"/>
      <c r="B53" s="135">
        <v>43360</v>
      </c>
      <c r="C53" s="125" t="s">
        <v>941</v>
      </c>
      <c r="D53" s="125">
        <v>-20.94</v>
      </c>
      <c r="E53" s="125" t="s">
        <v>730</v>
      </c>
      <c r="F53" s="125" t="s">
        <v>986</v>
      </c>
      <c r="G53" s="125"/>
      <c r="H53" s="125"/>
      <c r="I53" s="125"/>
      <c r="J53" s="125"/>
      <c r="K53" s="125"/>
      <c r="L53" s="125"/>
      <c r="M53" s="125"/>
    </row>
    <row r="54" spans="1:13" x14ac:dyDescent="0.2">
      <c r="A54" s="125"/>
      <c r="B54" s="135">
        <v>43360</v>
      </c>
      <c r="C54" s="125" t="s">
        <v>941</v>
      </c>
      <c r="D54" s="125">
        <v>-15.02</v>
      </c>
      <c r="E54" s="125" t="s">
        <v>730</v>
      </c>
      <c r="F54" s="125" t="s">
        <v>987</v>
      </c>
      <c r="G54" s="125"/>
      <c r="H54" s="125"/>
      <c r="I54" s="125"/>
      <c r="J54" s="125"/>
      <c r="K54" s="125"/>
      <c r="L54" s="125"/>
      <c r="M54" s="125"/>
    </row>
    <row r="55" spans="1:13" x14ac:dyDescent="0.2">
      <c r="A55" s="125"/>
      <c r="B55" s="135">
        <v>43360</v>
      </c>
      <c r="C55" s="125" t="s">
        <v>941</v>
      </c>
      <c r="D55" s="125">
        <v>-4.1500000000000004</v>
      </c>
      <c r="E55" s="125" t="s">
        <v>730</v>
      </c>
      <c r="F55" s="125" t="s">
        <v>988</v>
      </c>
      <c r="G55" s="125"/>
      <c r="H55" s="125"/>
      <c r="I55" s="125"/>
      <c r="J55" s="125"/>
      <c r="K55" s="125"/>
      <c r="L55" s="125"/>
      <c r="M55" s="125"/>
    </row>
    <row r="56" spans="1:13" x14ac:dyDescent="0.2">
      <c r="A56" s="125"/>
      <c r="B56" s="135">
        <v>43360</v>
      </c>
      <c r="C56" s="125" t="s">
        <v>941</v>
      </c>
      <c r="D56" s="125">
        <v>-4.0999999999999996</v>
      </c>
      <c r="E56" s="125" t="s">
        <v>730</v>
      </c>
      <c r="F56" s="125" t="s">
        <v>989</v>
      </c>
      <c r="G56" s="125"/>
      <c r="H56" s="125"/>
      <c r="I56" s="125"/>
      <c r="J56" s="125"/>
      <c r="K56" s="125"/>
      <c r="L56" s="125"/>
      <c r="M56" s="125"/>
    </row>
    <row r="57" spans="1:13" x14ac:dyDescent="0.2">
      <c r="A57" s="125"/>
      <c r="B57" s="135">
        <v>43360</v>
      </c>
      <c r="C57" s="125" t="s">
        <v>941</v>
      </c>
      <c r="D57" s="125">
        <v>-2.95</v>
      </c>
      <c r="E57" s="125" t="s">
        <v>730</v>
      </c>
      <c r="F57" s="125" t="s">
        <v>989</v>
      </c>
      <c r="G57" s="125"/>
      <c r="H57" s="125"/>
      <c r="I57" s="125"/>
      <c r="J57" s="125"/>
      <c r="K57" s="125"/>
      <c r="L57" s="125"/>
      <c r="M57" s="125"/>
    </row>
    <row r="58" spans="1:13" x14ac:dyDescent="0.2">
      <c r="A58" s="125"/>
      <c r="B58" s="135">
        <v>43360</v>
      </c>
      <c r="C58" s="125" t="s">
        <v>941</v>
      </c>
      <c r="D58" s="125">
        <v>-45.99</v>
      </c>
      <c r="E58" s="125" t="s">
        <v>730</v>
      </c>
      <c r="F58" s="125" t="s">
        <v>990</v>
      </c>
      <c r="G58" s="125"/>
      <c r="H58" s="125"/>
      <c r="I58" s="125"/>
      <c r="J58" s="125"/>
      <c r="K58" s="125"/>
      <c r="L58" s="125"/>
      <c r="M58" s="125"/>
    </row>
    <row r="59" spans="1:13" x14ac:dyDescent="0.2">
      <c r="A59" s="125"/>
      <c r="B59" s="135">
        <v>43360</v>
      </c>
      <c r="C59" s="125" t="s">
        <v>941</v>
      </c>
      <c r="D59" s="125">
        <v>-36.69</v>
      </c>
      <c r="E59" s="125" t="s">
        <v>730</v>
      </c>
      <c r="F59" s="125" t="s">
        <v>991</v>
      </c>
      <c r="G59" s="125"/>
      <c r="H59" s="125"/>
      <c r="I59" s="125"/>
      <c r="J59" s="125"/>
      <c r="K59" s="125"/>
      <c r="L59" s="125"/>
      <c r="M59" s="125"/>
    </row>
    <row r="60" spans="1:13" x14ac:dyDescent="0.2">
      <c r="A60" s="125"/>
      <c r="B60" s="135">
        <v>43360</v>
      </c>
      <c r="C60" s="125" t="s">
        <v>941</v>
      </c>
      <c r="D60" s="125">
        <v>-5</v>
      </c>
      <c r="E60" s="125" t="s">
        <v>730</v>
      </c>
      <c r="F60" s="133" t="s">
        <v>1046</v>
      </c>
      <c r="G60" s="125"/>
      <c r="H60" s="125"/>
      <c r="I60" s="125"/>
      <c r="J60" s="125"/>
      <c r="K60" s="125"/>
      <c r="L60" s="125"/>
      <c r="M60" s="125"/>
    </row>
    <row r="61" spans="1:13" x14ac:dyDescent="0.2">
      <c r="A61" s="125"/>
      <c r="B61" s="135">
        <v>43360</v>
      </c>
      <c r="C61" s="125" t="s">
        <v>941</v>
      </c>
      <c r="D61" s="125">
        <v>-4.18</v>
      </c>
      <c r="E61" s="125" t="s">
        <v>730</v>
      </c>
      <c r="F61" s="125" t="s">
        <v>992</v>
      </c>
      <c r="G61" s="125"/>
      <c r="H61" s="125"/>
      <c r="I61" s="125"/>
      <c r="J61" s="125"/>
      <c r="K61" s="125"/>
      <c r="L61" s="125"/>
      <c r="M61" s="125"/>
    </row>
    <row r="62" spans="1:13" x14ac:dyDescent="0.2">
      <c r="A62" s="125"/>
      <c r="B62" s="135">
        <v>43360</v>
      </c>
      <c r="C62" s="125" t="s">
        <v>941</v>
      </c>
      <c r="D62" s="125">
        <v>-1.8</v>
      </c>
      <c r="E62" s="125" t="s">
        <v>730</v>
      </c>
      <c r="F62" s="125" t="s">
        <v>993</v>
      </c>
      <c r="G62" s="125"/>
      <c r="H62" s="125"/>
      <c r="I62" s="125"/>
      <c r="J62" s="125"/>
      <c r="K62" s="125"/>
      <c r="L62" s="125"/>
      <c r="M62" s="125"/>
    </row>
    <row r="63" spans="1:13" x14ac:dyDescent="0.2">
      <c r="A63" s="125"/>
      <c r="B63" s="135">
        <v>43360</v>
      </c>
      <c r="C63" s="125" t="s">
        <v>941</v>
      </c>
      <c r="D63" s="125">
        <v>-20</v>
      </c>
      <c r="E63" s="125" t="s">
        <v>760</v>
      </c>
      <c r="F63" s="125" t="s">
        <v>994</v>
      </c>
      <c r="G63" s="125"/>
      <c r="H63" s="125"/>
      <c r="I63" s="125"/>
      <c r="J63" s="125"/>
      <c r="K63" s="125"/>
      <c r="L63" s="125"/>
      <c r="M63" s="125"/>
    </row>
    <row r="64" spans="1:13" x14ac:dyDescent="0.2">
      <c r="A64" s="125"/>
      <c r="B64" s="135">
        <v>43361</v>
      </c>
      <c r="C64" s="125" t="s">
        <v>941</v>
      </c>
      <c r="D64" s="125">
        <v>-13.98</v>
      </c>
      <c r="E64" s="125" t="s">
        <v>730</v>
      </c>
      <c r="F64" s="125" t="s">
        <v>995</v>
      </c>
      <c r="G64" s="125"/>
      <c r="H64" s="125"/>
      <c r="I64" s="125"/>
      <c r="J64" s="125"/>
      <c r="K64" s="125"/>
      <c r="L64" s="125"/>
      <c r="M64" s="125"/>
    </row>
    <row r="65" spans="1:13" x14ac:dyDescent="0.2">
      <c r="A65" s="125"/>
      <c r="B65" s="135">
        <v>43361</v>
      </c>
      <c r="C65" s="125" t="s">
        <v>941</v>
      </c>
      <c r="D65" s="125">
        <v>-2.2999999999999998</v>
      </c>
      <c r="E65" s="125" t="s">
        <v>730</v>
      </c>
      <c r="F65" s="125" t="s">
        <v>996</v>
      </c>
      <c r="G65" s="125"/>
      <c r="H65" s="125"/>
      <c r="I65" s="125"/>
      <c r="J65" s="125"/>
      <c r="K65" s="125"/>
      <c r="L65" s="125"/>
      <c r="M65" s="125"/>
    </row>
    <row r="66" spans="1:13" x14ac:dyDescent="0.2">
      <c r="A66" s="125"/>
      <c r="B66" s="135">
        <v>43361</v>
      </c>
      <c r="C66" s="125" t="s">
        <v>941</v>
      </c>
      <c r="D66" s="125">
        <v>-2.1</v>
      </c>
      <c r="E66" s="125" t="s">
        <v>730</v>
      </c>
      <c r="F66" s="125" t="s">
        <v>996</v>
      </c>
      <c r="G66" s="125"/>
      <c r="H66" s="125"/>
      <c r="I66" s="125"/>
      <c r="J66" s="125"/>
      <c r="K66" s="125"/>
      <c r="L66" s="125"/>
      <c r="M66" s="125"/>
    </row>
    <row r="67" spans="1:13" x14ac:dyDescent="0.2">
      <c r="A67" s="125"/>
      <c r="B67" s="135">
        <v>43361</v>
      </c>
      <c r="C67" s="125" t="s">
        <v>941</v>
      </c>
      <c r="D67" s="125">
        <v>-35</v>
      </c>
      <c r="E67" s="125" t="s">
        <v>730</v>
      </c>
      <c r="F67" s="125" t="s">
        <v>997</v>
      </c>
      <c r="G67" s="125"/>
      <c r="H67" s="125"/>
      <c r="I67" s="125"/>
      <c r="J67" s="125"/>
      <c r="K67" s="125"/>
      <c r="L67" s="125"/>
      <c r="M67" s="125"/>
    </row>
    <row r="68" spans="1:13" x14ac:dyDescent="0.2">
      <c r="A68" s="125"/>
      <c r="B68" s="135">
        <v>43362</v>
      </c>
      <c r="C68" s="125" t="s">
        <v>941</v>
      </c>
      <c r="D68" s="125">
        <v>-12.95</v>
      </c>
      <c r="E68" s="125" t="s">
        <v>730</v>
      </c>
      <c r="F68" s="125" t="s">
        <v>998</v>
      </c>
      <c r="G68" s="125"/>
      <c r="H68" s="125"/>
      <c r="I68" s="125"/>
      <c r="J68" s="125"/>
      <c r="K68" s="125"/>
      <c r="L68" s="125"/>
      <c r="M68" s="125"/>
    </row>
    <row r="69" spans="1:13" x14ac:dyDescent="0.2">
      <c r="A69" s="125"/>
      <c r="B69" s="135">
        <v>43362</v>
      </c>
      <c r="C69" s="125" t="s">
        <v>941</v>
      </c>
      <c r="D69" s="125">
        <v>-9.44</v>
      </c>
      <c r="E69" s="125" t="s">
        <v>730</v>
      </c>
      <c r="F69" s="125" t="s">
        <v>999</v>
      </c>
      <c r="G69" s="125"/>
      <c r="H69" s="125"/>
      <c r="I69" s="125"/>
      <c r="J69" s="125"/>
      <c r="K69" s="125"/>
      <c r="L69" s="125"/>
      <c r="M69" s="125"/>
    </row>
    <row r="70" spans="1:13" x14ac:dyDescent="0.2">
      <c r="A70" s="125"/>
      <c r="B70" s="135">
        <v>43362</v>
      </c>
      <c r="C70" s="125" t="s">
        <v>941</v>
      </c>
      <c r="D70" s="125">
        <v>-82</v>
      </c>
      <c r="E70" s="125" t="s">
        <v>730</v>
      </c>
      <c r="F70" s="125" t="s">
        <v>1000</v>
      </c>
      <c r="G70" s="125"/>
      <c r="H70" s="125"/>
      <c r="I70" s="125"/>
      <c r="J70" s="125"/>
      <c r="K70" s="125"/>
      <c r="L70" s="125"/>
      <c r="M70" s="125"/>
    </row>
    <row r="71" spans="1:13" x14ac:dyDescent="0.2">
      <c r="A71" s="125"/>
      <c r="B71" s="135">
        <v>43362</v>
      </c>
      <c r="C71" s="125" t="s">
        <v>941</v>
      </c>
      <c r="D71" s="125">
        <v>-2.1800000000000002</v>
      </c>
      <c r="E71" s="125" t="s">
        <v>730</v>
      </c>
      <c r="F71" s="125" t="s">
        <v>841</v>
      </c>
      <c r="G71" s="125"/>
      <c r="H71" s="125"/>
      <c r="I71" s="125"/>
      <c r="J71" s="125"/>
      <c r="K71" s="125"/>
      <c r="L71" s="125"/>
      <c r="M71" s="125"/>
    </row>
    <row r="72" spans="1:13" x14ac:dyDescent="0.2">
      <c r="A72" s="125"/>
      <c r="B72" s="135">
        <v>43363</v>
      </c>
      <c r="C72" s="125" t="s">
        <v>941</v>
      </c>
      <c r="D72" s="125">
        <v>260</v>
      </c>
      <c r="E72" s="125" t="s">
        <v>762</v>
      </c>
      <c r="F72" s="125" t="s">
        <v>1001</v>
      </c>
      <c r="G72" s="125"/>
      <c r="H72" s="125"/>
      <c r="I72" s="125"/>
      <c r="J72" s="125"/>
      <c r="K72" s="125"/>
      <c r="L72" s="125"/>
      <c r="M72" s="125"/>
    </row>
    <row r="73" spans="1:13" x14ac:dyDescent="0.2">
      <c r="A73" s="125"/>
      <c r="B73" s="135">
        <v>43363</v>
      </c>
      <c r="C73" s="125" t="s">
        <v>941</v>
      </c>
      <c r="D73" s="125">
        <v>3246.22</v>
      </c>
      <c r="E73" s="125" t="s">
        <v>770</v>
      </c>
      <c r="F73" s="125" t="s">
        <v>1002</v>
      </c>
      <c r="G73" s="125"/>
      <c r="H73" s="125"/>
      <c r="I73" s="125"/>
      <c r="J73" s="125"/>
      <c r="K73" s="125"/>
      <c r="L73" s="125"/>
      <c r="M73" s="125"/>
    </row>
    <row r="74" spans="1:13" x14ac:dyDescent="0.2">
      <c r="A74" s="125"/>
      <c r="B74" s="135">
        <v>43363</v>
      </c>
      <c r="C74" s="125" t="s">
        <v>941</v>
      </c>
      <c r="D74" s="125">
        <v>-3246.22</v>
      </c>
      <c r="E74" s="125" t="s">
        <v>762</v>
      </c>
      <c r="F74" s="125" t="s">
        <v>1003</v>
      </c>
      <c r="G74" s="125"/>
      <c r="H74" s="125"/>
      <c r="I74" s="125"/>
      <c r="J74" s="125"/>
      <c r="K74" s="125"/>
      <c r="L74" s="125"/>
      <c r="M74" s="125"/>
    </row>
    <row r="75" spans="1:13" x14ac:dyDescent="0.2">
      <c r="A75" s="125"/>
      <c r="B75" s="135">
        <v>43363</v>
      </c>
      <c r="C75" s="125" t="s">
        <v>941</v>
      </c>
      <c r="D75" s="125">
        <v>-1.64</v>
      </c>
      <c r="E75" s="125" t="s">
        <v>730</v>
      </c>
      <c r="F75" s="125" t="s">
        <v>1004</v>
      </c>
      <c r="G75" s="125"/>
      <c r="H75" s="125"/>
      <c r="I75" s="125"/>
      <c r="J75" s="125"/>
      <c r="K75" s="125"/>
      <c r="L75" s="125"/>
      <c r="M75" s="125"/>
    </row>
    <row r="76" spans="1:13" x14ac:dyDescent="0.2">
      <c r="A76" s="125"/>
      <c r="B76" s="135">
        <v>43364</v>
      </c>
      <c r="C76" s="125" t="s">
        <v>941</v>
      </c>
      <c r="D76" s="125">
        <v>-22.69</v>
      </c>
      <c r="E76" s="125" t="s">
        <v>730</v>
      </c>
      <c r="F76" s="125" t="s">
        <v>1005</v>
      </c>
      <c r="G76" s="125"/>
      <c r="H76" s="125"/>
      <c r="I76" s="125"/>
      <c r="J76" s="125"/>
      <c r="K76" s="125"/>
      <c r="L76" s="125"/>
      <c r="M76" s="125"/>
    </row>
    <row r="77" spans="1:13" x14ac:dyDescent="0.2">
      <c r="A77" s="125"/>
      <c r="B77" s="135">
        <v>43364</v>
      </c>
      <c r="C77" s="125" t="s">
        <v>941</v>
      </c>
      <c r="D77" s="125">
        <v>-22</v>
      </c>
      <c r="E77" s="125" t="s">
        <v>730</v>
      </c>
      <c r="F77" s="133" t="s">
        <v>1006</v>
      </c>
      <c r="G77" s="125"/>
      <c r="H77" s="125"/>
      <c r="I77" s="125"/>
      <c r="J77" s="125"/>
      <c r="K77" s="125"/>
      <c r="L77" s="125"/>
      <c r="M77" s="125"/>
    </row>
    <row r="78" spans="1:13" x14ac:dyDescent="0.2">
      <c r="A78" s="125"/>
      <c r="B78" s="135">
        <v>43364</v>
      </c>
      <c r="C78" s="125" t="s">
        <v>941</v>
      </c>
      <c r="D78" s="125">
        <v>-6.37</v>
      </c>
      <c r="E78" s="125" t="s">
        <v>730</v>
      </c>
      <c r="F78" s="125" t="s">
        <v>1007</v>
      </c>
      <c r="G78" s="125"/>
      <c r="H78" s="125"/>
      <c r="I78" s="125"/>
      <c r="J78" s="125"/>
      <c r="K78" s="125"/>
      <c r="L78" s="125"/>
      <c r="M78" s="125"/>
    </row>
    <row r="79" spans="1:13" x14ac:dyDescent="0.2">
      <c r="A79" s="125"/>
      <c r="B79" s="135">
        <v>43364</v>
      </c>
      <c r="C79" s="125" t="s">
        <v>941</v>
      </c>
      <c r="D79" s="125">
        <v>-3.85</v>
      </c>
      <c r="E79" s="125" t="s">
        <v>730</v>
      </c>
      <c r="F79" s="125" t="s">
        <v>1008</v>
      </c>
      <c r="G79" s="125"/>
      <c r="H79" s="125"/>
      <c r="I79" s="125"/>
      <c r="J79" s="125"/>
      <c r="K79" s="125"/>
      <c r="L79" s="125"/>
      <c r="M79" s="125"/>
    </row>
    <row r="80" spans="1:13" x14ac:dyDescent="0.2">
      <c r="A80" s="125"/>
      <c r="B80" s="135">
        <v>43364</v>
      </c>
      <c r="C80" s="125" t="s">
        <v>941</v>
      </c>
      <c r="D80" s="125">
        <v>-37.76</v>
      </c>
      <c r="E80" s="125" t="s">
        <v>730</v>
      </c>
      <c r="F80" s="125" t="s">
        <v>1009</v>
      </c>
      <c r="G80" s="125"/>
      <c r="H80" s="125"/>
      <c r="I80" s="125"/>
      <c r="J80" s="125"/>
      <c r="K80" s="125"/>
      <c r="L80" s="125"/>
      <c r="M80" s="125"/>
    </row>
    <row r="81" spans="1:13" x14ac:dyDescent="0.2">
      <c r="A81" s="125"/>
      <c r="B81" s="135">
        <v>43367</v>
      </c>
      <c r="C81" s="125" t="s">
        <v>941</v>
      </c>
      <c r="D81" s="125">
        <v>260</v>
      </c>
      <c r="E81" s="125" t="s">
        <v>762</v>
      </c>
      <c r="F81" s="125" t="s">
        <v>1001</v>
      </c>
      <c r="G81" s="125"/>
      <c r="H81" s="125"/>
      <c r="I81" s="125"/>
      <c r="J81" s="125"/>
      <c r="K81" s="125"/>
      <c r="L81" s="125"/>
      <c r="M81" s="125"/>
    </row>
    <row r="82" spans="1:13" x14ac:dyDescent="0.2">
      <c r="A82" s="125"/>
      <c r="B82" s="135">
        <v>43367</v>
      </c>
      <c r="C82" s="125" t="s">
        <v>941</v>
      </c>
      <c r="D82" s="125">
        <v>-16.149999999999999</v>
      </c>
      <c r="E82" s="125" t="s">
        <v>730</v>
      </c>
      <c r="F82" s="125" t="s">
        <v>1010</v>
      </c>
      <c r="G82" s="125"/>
      <c r="H82" s="125"/>
      <c r="I82" s="125"/>
      <c r="J82" s="125"/>
      <c r="K82" s="125"/>
      <c r="L82" s="125"/>
      <c r="M82" s="125"/>
    </row>
    <row r="83" spans="1:13" x14ac:dyDescent="0.2">
      <c r="A83" s="125"/>
      <c r="B83" s="135">
        <v>43367</v>
      </c>
      <c r="C83" s="125" t="s">
        <v>941</v>
      </c>
      <c r="D83" s="125">
        <v>-11.4</v>
      </c>
      <c r="E83" s="125" t="s">
        <v>730</v>
      </c>
      <c r="F83" s="125" t="s">
        <v>1011</v>
      </c>
      <c r="G83" s="125"/>
      <c r="H83" s="125"/>
      <c r="I83" s="125"/>
      <c r="J83" s="125"/>
      <c r="K83" s="125"/>
      <c r="L83" s="125"/>
      <c r="M83" s="125"/>
    </row>
    <row r="84" spans="1:13" x14ac:dyDescent="0.2">
      <c r="A84" s="125"/>
      <c r="B84" s="135">
        <v>43367</v>
      </c>
      <c r="C84" s="125" t="s">
        <v>941</v>
      </c>
      <c r="D84" s="125">
        <v>-4.5999999999999996</v>
      </c>
      <c r="E84" s="125" t="s">
        <v>730</v>
      </c>
      <c r="F84" s="125" t="s">
        <v>1012</v>
      </c>
      <c r="G84" s="125"/>
      <c r="H84" s="125"/>
      <c r="I84" s="125"/>
      <c r="J84" s="125"/>
      <c r="K84" s="125"/>
      <c r="L84" s="125"/>
      <c r="M84" s="125"/>
    </row>
    <row r="85" spans="1:13" x14ac:dyDescent="0.2">
      <c r="A85" s="125"/>
      <c r="B85" s="135">
        <v>43367</v>
      </c>
      <c r="C85" s="125" t="s">
        <v>941</v>
      </c>
      <c r="D85" s="125">
        <v>-3.85</v>
      </c>
      <c r="E85" s="125" t="s">
        <v>730</v>
      </c>
      <c r="F85" s="125" t="s">
        <v>1012</v>
      </c>
      <c r="G85" s="125"/>
      <c r="H85" s="125"/>
      <c r="I85" s="125"/>
      <c r="J85" s="125"/>
      <c r="K85" s="125"/>
      <c r="L85" s="125"/>
      <c r="M85" s="125"/>
    </row>
    <row r="86" spans="1:13" x14ac:dyDescent="0.2">
      <c r="A86" s="125"/>
      <c r="B86" s="135">
        <v>43367</v>
      </c>
      <c r="C86" s="125" t="s">
        <v>941</v>
      </c>
      <c r="D86" s="125">
        <v>-82.19</v>
      </c>
      <c r="E86" s="125" t="s">
        <v>730</v>
      </c>
      <c r="F86" s="125" t="s">
        <v>1013</v>
      </c>
      <c r="G86" s="125"/>
      <c r="H86" s="125"/>
      <c r="I86" s="125"/>
      <c r="J86" s="125"/>
      <c r="K86" s="125"/>
      <c r="L86" s="125"/>
      <c r="M86" s="125"/>
    </row>
    <row r="87" spans="1:13" x14ac:dyDescent="0.2">
      <c r="A87" s="125"/>
      <c r="B87" s="135">
        <v>43367</v>
      </c>
      <c r="C87" s="125" t="s">
        <v>941</v>
      </c>
      <c r="D87" s="125">
        <v>-49.25</v>
      </c>
      <c r="E87" s="125" t="s">
        <v>730</v>
      </c>
      <c r="F87" s="125" t="s">
        <v>1014</v>
      </c>
      <c r="G87" s="125"/>
      <c r="H87" s="125"/>
      <c r="I87" s="125"/>
      <c r="J87" s="125"/>
      <c r="K87" s="125"/>
      <c r="L87" s="125"/>
      <c r="M87" s="125"/>
    </row>
    <row r="88" spans="1:13" x14ac:dyDescent="0.2">
      <c r="A88" s="125"/>
      <c r="B88" s="135">
        <v>43367</v>
      </c>
      <c r="C88" s="125" t="s">
        <v>941</v>
      </c>
      <c r="D88" s="125">
        <v>-47.03</v>
      </c>
      <c r="E88" s="125" t="s">
        <v>730</v>
      </c>
      <c r="F88" s="125" t="s">
        <v>1015</v>
      </c>
      <c r="G88" s="125"/>
      <c r="H88" s="125"/>
      <c r="I88" s="125"/>
      <c r="J88" s="125"/>
      <c r="K88" s="125"/>
      <c r="L88" s="125"/>
      <c r="M88" s="125"/>
    </row>
    <row r="89" spans="1:13" x14ac:dyDescent="0.2">
      <c r="A89" s="125"/>
      <c r="B89" s="135">
        <v>43368</v>
      </c>
      <c r="C89" s="125" t="s">
        <v>941</v>
      </c>
      <c r="D89" s="125">
        <v>-1.9</v>
      </c>
      <c r="E89" s="125" t="s">
        <v>730</v>
      </c>
      <c r="F89" s="125" t="s">
        <v>1016</v>
      </c>
      <c r="G89" s="125"/>
      <c r="H89" s="125"/>
      <c r="I89" s="125"/>
      <c r="J89" s="125"/>
      <c r="K89" s="125"/>
      <c r="L89" s="125"/>
      <c r="M89" s="125"/>
    </row>
    <row r="90" spans="1:13" x14ac:dyDescent="0.2">
      <c r="A90" s="125"/>
      <c r="B90" s="135">
        <v>43368</v>
      </c>
      <c r="C90" s="125" t="s">
        <v>941</v>
      </c>
      <c r="D90" s="125">
        <v>-50.09</v>
      </c>
      <c r="E90" s="125" t="s">
        <v>730</v>
      </c>
      <c r="F90" s="125" t="s">
        <v>1017</v>
      </c>
      <c r="G90" s="125"/>
      <c r="H90" s="125"/>
      <c r="I90" s="125"/>
      <c r="J90" s="125"/>
      <c r="K90" s="125"/>
      <c r="L90" s="125"/>
      <c r="M90" s="125"/>
    </row>
    <row r="91" spans="1:13" x14ac:dyDescent="0.2">
      <c r="A91" s="125"/>
      <c r="B91" s="135">
        <v>43368</v>
      </c>
      <c r="C91" s="125" t="s">
        <v>941</v>
      </c>
      <c r="D91" s="125">
        <v>-37.51</v>
      </c>
      <c r="E91" s="125" t="s">
        <v>730</v>
      </c>
      <c r="F91" s="125" t="s">
        <v>1018</v>
      </c>
      <c r="G91" s="125"/>
      <c r="H91" s="125"/>
      <c r="I91" s="125"/>
      <c r="J91" s="125"/>
      <c r="K91" s="125"/>
      <c r="L91" s="125"/>
      <c r="M91" s="125"/>
    </row>
    <row r="92" spans="1:13" x14ac:dyDescent="0.2">
      <c r="A92" s="125"/>
      <c r="B92" s="135">
        <v>43369</v>
      </c>
      <c r="C92" s="125" t="s">
        <v>941</v>
      </c>
      <c r="D92" s="125">
        <v>-28.35</v>
      </c>
      <c r="E92" s="125" t="s">
        <v>730</v>
      </c>
      <c r="F92" s="125" t="s">
        <v>1019</v>
      </c>
      <c r="G92" s="125"/>
      <c r="H92" s="134"/>
      <c r="I92" s="125"/>
      <c r="J92" s="125"/>
      <c r="K92" s="125"/>
      <c r="L92" s="125"/>
      <c r="M92" s="125"/>
    </row>
    <row r="93" spans="1:13" x14ac:dyDescent="0.2">
      <c r="A93" s="125"/>
      <c r="B93" s="135">
        <v>43369</v>
      </c>
      <c r="C93" s="125" t="s">
        <v>941</v>
      </c>
      <c r="D93" s="125">
        <v>-3.95</v>
      </c>
      <c r="E93" s="125" t="s">
        <v>730</v>
      </c>
      <c r="F93" s="125" t="s">
        <v>1020</v>
      </c>
      <c r="G93" s="125"/>
      <c r="H93" s="125"/>
      <c r="I93" s="125"/>
      <c r="J93" s="125"/>
      <c r="K93" s="125"/>
      <c r="L93" s="125"/>
      <c r="M93" s="125"/>
    </row>
    <row r="94" spans="1:13" x14ac:dyDescent="0.2">
      <c r="A94" s="125"/>
      <c r="B94" s="135">
        <v>43370</v>
      </c>
      <c r="C94" s="125" t="s">
        <v>941</v>
      </c>
      <c r="D94" s="125">
        <v>16.989999999999998</v>
      </c>
      <c r="E94" s="125" t="s">
        <v>1021</v>
      </c>
      <c r="F94" s="125" t="s">
        <v>1022</v>
      </c>
      <c r="G94" s="125"/>
      <c r="H94" s="125"/>
      <c r="I94" s="125"/>
      <c r="J94" s="125"/>
      <c r="K94" s="125"/>
      <c r="L94" s="125"/>
      <c r="M94" s="125"/>
    </row>
    <row r="95" spans="1:13" x14ac:dyDescent="0.2">
      <c r="A95" s="125"/>
      <c r="B95" s="135">
        <v>43370</v>
      </c>
      <c r="C95" s="125" t="s">
        <v>941</v>
      </c>
      <c r="D95" s="125">
        <v>1200</v>
      </c>
      <c r="E95" s="125" t="s">
        <v>890</v>
      </c>
      <c r="F95" s="125" t="s">
        <v>1023</v>
      </c>
      <c r="G95" s="125"/>
      <c r="H95" s="125"/>
      <c r="I95" s="125"/>
      <c r="J95" s="125"/>
      <c r="K95" s="125"/>
      <c r="L95" s="125"/>
      <c r="M95" s="125"/>
    </row>
    <row r="96" spans="1:13" x14ac:dyDescent="0.2">
      <c r="A96" s="125"/>
      <c r="B96" s="135">
        <v>43370</v>
      </c>
      <c r="C96" s="125" t="s">
        <v>941</v>
      </c>
      <c r="D96" s="125">
        <v>-2.1</v>
      </c>
      <c r="E96" s="125" t="s">
        <v>730</v>
      </c>
      <c r="F96" s="125" t="s">
        <v>1024</v>
      </c>
      <c r="G96" s="125"/>
      <c r="H96" s="125"/>
      <c r="I96" s="125"/>
      <c r="J96" s="125"/>
      <c r="K96" s="125"/>
      <c r="L96" s="125"/>
      <c r="M96" s="125"/>
    </row>
    <row r="97" spans="1:13" x14ac:dyDescent="0.2">
      <c r="A97" s="125"/>
      <c r="B97" s="135">
        <v>43370</v>
      </c>
      <c r="C97" s="125" t="s">
        <v>941</v>
      </c>
      <c r="D97" s="125">
        <v>-1.4</v>
      </c>
      <c r="E97" s="125" t="s">
        <v>730</v>
      </c>
      <c r="F97" s="125" t="s">
        <v>1025</v>
      </c>
      <c r="G97" s="125"/>
      <c r="H97" s="125"/>
      <c r="I97" s="125"/>
      <c r="J97" s="125"/>
      <c r="K97" s="125"/>
      <c r="L97" s="125"/>
      <c r="M97" s="125"/>
    </row>
    <row r="98" spans="1:13" x14ac:dyDescent="0.2">
      <c r="A98" s="125"/>
      <c r="B98" s="135">
        <v>43370</v>
      </c>
      <c r="C98" s="125" t="s">
        <v>941</v>
      </c>
      <c r="D98" s="125">
        <v>-35.200000000000003</v>
      </c>
      <c r="E98" s="125" t="s">
        <v>730</v>
      </c>
      <c r="F98" s="125" t="s">
        <v>1026</v>
      </c>
      <c r="G98" s="125"/>
      <c r="H98" s="125"/>
      <c r="I98" s="125"/>
      <c r="J98" s="125"/>
      <c r="K98" s="125"/>
      <c r="L98" s="125"/>
      <c r="M98" s="125"/>
    </row>
    <row r="99" spans="1:13" x14ac:dyDescent="0.2">
      <c r="A99" s="125"/>
      <c r="B99" s="135">
        <v>43371</v>
      </c>
      <c r="C99" s="125" t="s">
        <v>941</v>
      </c>
      <c r="D99" s="125">
        <v>-24.9</v>
      </c>
      <c r="E99" s="125" t="s">
        <v>730</v>
      </c>
      <c r="F99" s="125" t="s">
        <v>1027</v>
      </c>
      <c r="G99" s="125"/>
      <c r="H99" s="125"/>
      <c r="I99" s="125"/>
      <c r="J99" s="125"/>
      <c r="K99" s="125"/>
      <c r="L99" s="125"/>
      <c r="M99" s="125"/>
    </row>
    <row r="100" spans="1:13" x14ac:dyDescent="0.2">
      <c r="A100" s="125"/>
      <c r="B100" s="135">
        <v>43371</v>
      </c>
      <c r="C100" s="125" t="s">
        <v>941</v>
      </c>
      <c r="D100" s="125">
        <v>-22.35</v>
      </c>
      <c r="E100" s="125" t="s">
        <v>730</v>
      </c>
      <c r="F100" s="125" t="s">
        <v>1028</v>
      </c>
      <c r="G100" s="125"/>
      <c r="H100" s="125"/>
      <c r="I100" s="125"/>
      <c r="J100" s="125"/>
      <c r="K100" s="125"/>
      <c r="L100" s="125"/>
      <c r="M100" s="125"/>
    </row>
    <row r="101" spans="1:13" x14ac:dyDescent="0.2">
      <c r="A101" s="125"/>
      <c r="B101" s="135">
        <v>43371</v>
      </c>
      <c r="C101" s="125" t="s">
        <v>941</v>
      </c>
      <c r="D101" s="125">
        <v>-7.05</v>
      </c>
      <c r="E101" s="125" t="s">
        <v>730</v>
      </c>
      <c r="F101" s="125" t="s">
        <v>1028</v>
      </c>
      <c r="G101" s="125"/>
      <c r="H101" s="125"/>
      <c r="I101" s="125"/>
      <c r="J101" s="125"/>
      <c r="K101" s="125"/>
      <c r="L101" s="125"/>
      <c r="M101" s="125"/>
    </row>
    <row r="102" spans="1:13" x14ac:dyDescent="0.2">
      <c r="A102" s="125"/>
      <c r="B102" s="135">
        <v>43371</v>
      </c>
      <c r="C102" s="125" t="s">
        <v>941</v>
      </c>
      <c r="D102" s="125">
        <v>-6.05</v>
      </c>
      <c r="E102" s="125" t="s">
        <v>730</v>
      </c>
      <c r="F102" s="125" t="s">
        <v>1029</v>
      </c>
      <c r="G102" s="125"/>
      <c r="H102" s="125"/>
      <c r="I102" s="125"/>
      <c r="J102" s="125"/>
      <c r="K102" s="125"/>
      <c r="L102" s="125"/>
      <c r="M102" s="125"/>
    </row>
    <row r="103" spans="1:13" x14ac:dyDescent="0.2">
      <c r="A103" s="125"/>
      <c r="B103" s="135">
        <v>43371</v>
      </c>
      <c r="C103" s="125" t="s">
        <v>941</v>
      </c>
      <c r="D103" s="125">
        <v>-3.95</v>
      </c>
      <c r="E103" s="125" t="s">
        <v>730</v>
      </c>
      <c r="F103" s="125" t="s">
        <v>1029</v>
      </c>
      <c r="G103" s="125"/>
      <c r="H103" s="125"/>
      <c r="I103" s="125"/>
      <c r="J103" s="125"/>
      <c r="K103" s="125"/>
      <c r="L103" s="125"/>
      <c r="M103" s="125"/>
    </row>
    <row r="104" spans="1:13" x14ac:dyDescent="0.2">
      <c r="A104" s="125"/>
      <c r="B104" s="135">
        <v>43371</v>
      </c>
      <c r="C104" s="125" t="s">
        <v>941</v>
      </c>
      <c r="D104" s="125">
        <v>-1.4</v>
      </c>
      <c r="E104" s="125" t="s">
        <v>730</v>
      </c>
      <c r="F104" s="125" t="s">
        <v>1030</v>
      </c>
      <c r="G104" s="125"/>
      <c r="H104" s="125"/>
      <c r="I104" s="125"/>
      <c r="J104" s="125"/>
      <c r="K104" s="125"/>
      <c r="L104" s="125"/>
      <c r="M104" s="125"/>
    </row>
    <row r="105" spans="1:13" x14ac:dyDescent="0.2">
      <c r="A105" s="125"/>
      <c r="B105" s="135">
        <v>43371</v>
      </c>
      <c r="C105" s="125" t="s">
        <v>941</v>
      </c>
      <c r="D105" s="125">
        <v>-10</v>
      </c>
      <c r="E105" s="125" t="s">
        <v>760</v>
      </c>
      <c r="F105" s="125" t="s">
        <v>761</v>
      </c>
      <c r="G105" s="125"/>
      <c r="H105" s="125"/>
      <c r="I105" s="125"/>
      <c r="J105" s="125"/>
      <c r="K105" s="125"/>
      <c r="L105" s="125"/>
      <c r="M105" s="125"/>
    </row>
    <row r="106" spans="1:13" x14ac:dyDescent="0.2">
      <c r="A106" s="125"/>
      <c r="B106" s="13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</row>
    <row r="107" spans="1:13" x14ac:dyDescent="0.2">
      <c r="A107" s="125"/>
      <c r="B107" s="13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</row>
    <row r="108" spans="1:13" x14ac:dyDescent="0.2">
      <c r="A108" s="125"/>
      <c r="B108" s="13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</row>
    <row r="109" spans="1:13" x14ac:dyDescent="0.2">
      <c r="A109" s="125"/>
      <c r="B109" s="13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</row>
    <row r="110" spans="1:13" x14ac:dyDescent="0.2">
      <c r="A110" s="125"/>
      <c r="B110" s="13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</row>
    <row r="111" spans="1:13" x14ac:dyDescent="0.2">
      <c r="A111" s="125"/>
      <c r="B111" s="13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</row>
    <row r="112" spans="1:13" x14ac:dyDescent="0.2">
      <c r="A112" s="125"/>
      <c r="B112" s="13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</row>
    <row r="113" spans="1:13" x14ac:dyDescent="0.2">
      <c r="A113" s="125"/>
      <c r="B113" s="13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</row>
    <row r="114" spans="1:13" x14ac:dyDescent="0.2">
      <c r="A114" s="125"/>
      <c r="B114" s="13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</row>
    <row r="115" spans="1:13" x14ac:dyDescent="0.2">
      <c r="A115" s="125"/>
      <c r="B115" s="13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</row>
    <row r="116" spans="1:13" x14ac:dyDescent="0.2">
      <c r="A116" s="125"/>
      <c r="B116" s="13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</row>
    <row r="117" spans="1:13" x14ac:dyDescent="0.2">
      <c r="A117" s="125"/>
      <c r="B117" s="13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</row>
    <row r="118" spans="1:13" x14ac:dyDescent="0.2">
      <c r="A118" s="125"/>
      <c r="B118" s="13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</row>
    <row r="119" spans="1:13" x14ac:dyDescent="0.2">
      <c r="A119" s="125"/>
      <c r="B119" s="13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3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3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</row>
    <row r="122" spans="1:13" x14ac:dyDescent="0.2">
      <c r="A122" s="125"/>
      <c r="B122" s="13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</row>
    <row r="123" spans="1:13" x14ac:dyDescent="0.2">
      <c r="A123" s="125"/>
      <c r="B123" s="13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</row>
    <row r="124" spans="1:13" x14ac:dyDescent="0.2">
      <c r="A124" s="125"/>
      <c r="B124" s="13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</row>
    <row r="125" spans="1:13" x14ac:dyDescent="0.2">
      <c r="A125" s="125"/>
      <c r="B125" s="13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</row>
    <row r="126" spans="1:13" x14ac:dyDescent="0.2">
      <c r="A126" s="125"/>
      <c r="B126" s="13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</row>
    <row r="127" spans="1:13" x14ac:dyDescent="0.2">
      <c r="A127" s="125"/>
      <c r="B127" s="13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</row>
    <row r="128" spans="1:13" x14ac:dyDescent="0.2">
      <c r="A128" s="125"/>
      <c r="B128" s="13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</row>
    <row r="129" spans="1:13" x14ac:dyDescent="0.2">
      <c r="A129" s="125"/>
      <c r="B129" s="13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</row>
    <row r="130" spans="1:13" x14ac:dyDescent="0.2">
      <c r="A130" s="125"/>
      <c r="B130" s="13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</row>
    <row r="131" spans="1:13" x14ac:dyDescent="0.2">
      <c r="A131" s="125"/>
      <c r="B131" s="13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</row>
    <row r="132" spans="1:13" x14ac:dyDescent="0.2">
      <c r="A132" s="125"/>
      <c r="B132" s="13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</row>
    <row r="133" spans="1:13" x14ac:dyDescent="0.2">
      <c r="A133" s="125"/>
      <c r="B133" s="13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</row>
    <row r="134" spans="1:13" x14ac:dyDescent="0.2">
      <c r="A134" s="125"/>
      <c r="B134" s="13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</row>
    <row r="135" spans="1:13" x14ac:dyDescent="0.2">
      <c r="A135" s="125"/>
      <c r="B135" s="13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</row>
    <row r="136" spans="1:13" x14ac:dyDescent="0.2">
      <c r="A136" s="125"/>
      <c r="B136" s="135"/>
      <c r="C136" s="125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</row>
    <row r="137" spans="1:13" x14ac:dyDescent="0.2">
      <c r="A137" s="125"/>
      <c r="B137" s="135"/>
      <c r="C137" s="125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</row>
    <row r="138" spans="1:13" x14ac:dyDescent="0.2">
      <c r="A138" s="125"/>
      <c r="B138" s="135"/>
      <c r="C138" s="125"/>
      <c r="D138" s="125"/>
      <c r="E138" s="125"/>
      <c r="F138" s="125"/>
      <c r="G138" s="125"/>
      <c r="H138" s="125"/>
      <c r="I138" s="125"/>
      <c r="J138" s="125"/>
      <c r="K138" s="125"/>
      <c r="L138" s="125"/>
      <c r="M138" s="125"/>
    </row>
    <row r="139" spans="1:13" x14ac:dyDescent="0.2">
      <c r="A139" s="125"/>
      <c r="B139" s="135"/>
      <c r="C139" s="125"/>
      <c r="D139" s="125"/>
      <c r="E139" s="125"/>
      <c r="F139" s="125"/>
      <c r="G139" s="125"/>
      <c r="H139" s="125"/>
      <c r="I139" s="125"/>
      <c r="J139" s="125"/>
      <c r="K139" s="125"/>
      <c r="L139" s="125"/>
      <c r="M139" s="125"/>
    </row>
    <row r="140" spans="1:13" x14ac:dyDescent="0.2">
      <c r="A140" s="125"/>
      <c r="B140" s="135"/>
      <c r="C140" s="125"/>
      <c r="D140" s="125"/>
      <c r="E140" s="125"/>
      <c r="F140" s="125"/>
      <c r="G140" s="125"/>
      <c r="H140" s="125"/>
      <c r="I140" s="125"/>
      <c r="J140" s="125"/>
      <c r="K140" s="125"/>
      <c r="L140" s="125"/>
      <c r="M140" s="125"/>
    </row>
    <row r="141" spans="1:13" x14ac:dyDescent="0.2">
      <c r="A141" s="125"/>
      <c r="B141" s="135"/>
      <c r="C141" s="125"/>
      <c r="D141" s="125"/>
      <c r="E141" s="125"/>
      <c r="F141" s="125"/>
      <c r="G141" s="125"/>
      <c r="H141" s="125"/>
      <c r="I141" s="125"/>
      <c r="J141" s="125"/>
      <c r="K141" s="125"/>
      <c r="L141" s="125"/>
      <c r="M141" s="125"/>
    </row>
    <row r="142" spans="1:13" x14ac:dyDescent="0.2">
      <c r="A142" s="125"/>
      <c r="B142" s="135"/>
      <c r="C142" s="125"/>
      <c r="D142" s="125"/>
      <c r="E142" s="125"/>
      <c r="F142" s="125"/>
      <c r="G142" s="125"/>
      <c r="H142" s="125"/>
      <c r="I142" s="125"/>
      <c r="J142" s="125"/>
      <c r="K142" s="125"/>
      <c r="L142" s="125"/>
      <c r="M142" s="125"/>
    </row>
    <row r="143" spans="1:13" x14ac:dyDescent="0.2">
      <c r="A143" s="125"/>
      <c r="B143" s="135"/>
      <c r="C143" s="125"/>
      <c r="D143" s="125"/>
      <c r="E143" s="125"/>
      <c r="F143" s="125"/>
      <c r="G143" s="125"/>
      <c r="H143" s="125"/>
      <c r="I143" s="125"/>
      <c r="J143" s="125"/>
    </row>
    <row r="144" spans="1:13" x14ac:dyDescent="0.2">
      <c r="A144" s="125"/>
      <c r="B144" s="135"/>
      <c r="C144" s="125"/>
      <c r="D144" s="125"/>
      <c r="E144" s="125"/>
      <c r="F144" s="125"/>
      <c r="G144" s="125"/>
      <c r="H144" s="125"/>
      <c r="I144" s="125"/>
      <c r="J144" s="125"/>
    </row>
    <row r="145" spans="1:10" x14ac:dyDescent="0.2">
      <c r="A145" s="125"/>
      <c r="B145" s="135"/>
      <c r="C145" s="125"/>
      <c r="D145" s="125"/>
      <c r="E145" s="125"/>
      <c r="F145" s="125"/>
      <c r="G145" s="125"/>
      <c r="H145" s="125"/>
      <c r="I145" s="125"/>
      <c r="J145" s="125"/>
    </row>
    <row r="146" spans="1:10" x14ac:dyDescent="0.2">
      <c r="A146" s="125"/>
      <c r="B146" s="135"/>
      <c r="C146" s="125"/>
      <c r="D146" s="125"/>
      <c r="E146" s="125"/>
      <c r="F146" s="125"/>
      <c r="G146" s="125"/>
      <c r="H146" s="125"/>
      <c r="I146" s="125"/>
      <c r="J146" s="125"/>
    </row>
    <row r="147" spans="1:10" x14ac:dyDescent="0.2">
      <c r="A147" s="125"/>
      <c r="B147" s="135"/>
      <c r="C147" s="125"/>
      <c r="D147" s="125"/>
      <c r="E147" s="125"/>
      <c r="F147" s="125"/>
      <c r="G147" s="125"/>
      <c r="H147" s="125"/>
      <c r="I147" s="125"/>
      <c r="J147" s="125"/>
    </row>
    <row r="148" spans="1:10" x14ac:dyDescent="0.2">
      <c r="A148" s="125"/>
      <c r="B148" s="135"/>
      <c r="C148" s="125"/>
      <c r="D148" s="125"/>
      <c r="E148" s="125"/>
      <c r="F148" s="125"/>
      <c r="G148" s="125"/>
      <c r="H148" s="125"/>
      <c r="I148" s="125"/>
      <c r="J148" s="125"/>
    </row>
    <row r="149" spans="1:10" x14ac:dyDescent="0.2">
      <c r="A149" s="125"/>
      <c r="B149" s="135"/>
      <c r="C149" s="125"/>
      <c r="D149" s="125"/>
      <c r="E149" s="125"/>
      <c r="F149" s="125"/>
      <c r="G149" s="125"/>
      <c r="H149" s="125"/>
      <c r="I149" s="125"/>
      <c r="J149" s="125"/>
    </row>
    <row r="150" spans="1:10" x14ac:dyDescent="0.2">
      <c r="A150" s="125"/>
      <c r="B150" s="135"/>
      <c r="C150" s="125"/>
      <c r="D150" s="125"/>
      <c r="E150" s="125"/>
      <c r="F150" s="125"/>
      <c r="G150" s="125"/>
      <c r="H150" s="125"/>
      <c r="I150" s="125"/>
      <c r="J150" s="125"/>
    </row>
    <row r="151" spans="1:10" x14ac:dyDescent="0.2">
      <c r="A151" s="125"/>
      <c r="B151" s="135"/>
      <c r="C151" s="125"/>
      <c r="D151" s="125"/>
      <c r="E151" s="125"/>
      <c r="F151" s="125"/>
      <c r="G151" s="125"/>
      <c r="H151" s="125"/>
      <c r="I151" s="125"/>
      <c r="J151" s="125"/>
    </row>
    <row r="152" spans="1:10" x14ac:dyDescent="0.2">
      <c r="B152" s="136"/>
    </row>
    <row r="153" spans="1:10" x14ac:dyDescent="0.2">
      <c r="B153" s="136"/>
    </row>
    <row r="154" spans="1:10" x14ac:dyDescent="0.2">
      <c r="B154" s="136"/>
    </row>
    <row r="155" spans="1:10" x14ac:dyDescent="0.2">
      <c r="B155" s="136"/>
    </row>
    <row r="156" spans="1:10" x14ac:dyDescent="0.2">
      <c r="B156" s="136"/>
    </row>
    <row r="157" spans="1:10" x14ac:dyDescent="0.2">
      <c r="B157" s="136"/>
    </row>
    <row r="158" spans="1:10" x14ac:dyDescent="0.2">
      <c r="B158" s="136"/>
    </row>
    <row r="159" spans="1:10" x14ac:dyDescent="0.2">
      <c r="B159" s="136"/>
    </row>
    <row r="160" spans="1:10" x14ac:dyDescent="0.2">
      <c r="B160" s="136"/>
    </row>
    <row r="161" spans="2:2" x14ac:dyDescent="0.2">
      <c r="B161" s="136"/>
    </row>
    <row r="162" spans="2:2" x14ac:dyDescent="0.2">
      <c r="B162" s="136"/>
    </row>
    <row r="163" spans="2:2" x14ac:dyDescent="0.2">
      <c r="B163" s="136"/>
    </row>
    <row r="164" spans="2:2" x14ac:dyDescent="0.2">
      <c r="B164" s="136"/>
    </row>
    <row r="165" spans="2:2" x14ac:dyDescent="0.2">
      <c r="B165" s="136"/>
    </row>
    <row r="166" spans="2:2" x14ac:dyDescent="0.2">
      <c r="B166" s="136"/>
    </row>
    <row r="167" spans="2:2" x14ac:dyDescent="0.2">
      <c r="B167" s="136"/>
    </row>
    <row r="168" spans="2:2" x14ac:dyDescent="0.2">
      <c r="B168" s="136"/>
    </row>
    <row r="169" spans="2:2" x14ac:dyDescent="0.2">
      <c r="B169" s="136"/>
    </row>
    <row r="170" spans="2:2" x14ac:dyDescent="0.2">
      <c r="B170" s="136"/>
    </row>
    <row r="171" spans="2:2" x14ac:dyDescent="0.2">
      <c r="B171" s="136"/>
    </row>
    <row r="172" spans="2:2" x14ac:dyDescent="0.2">
      <c r="B172" s="136"/>
    </row>
    <row r="173" spans="2:2" x14ac:dyDescent="0.2">
      <c r="B173" s="136"/>
    </row>
    <row r="174" spans="2:2" x14ac:dyDescent="0.2">
      <c r="B174" s="136"/>
    </row>
    <row r="175" spans="2:2" x14ac:dyDescent="0.2">
      <c r="B175" s="136"/>
    </row>
    <row r="176" spans="2:2" x14ac:dyDescent="0.2">
      <c r="B176" s="136"/>
    </row>
    <row r="177" spans="2:2" x14ac:dyDescent="0.2">
      <c r="B177" s="136"/>
    </row>
    <row r="178" spans="2:2" x14ac:dyDescent="0.2">
      <c r="B178" s="136"/>
    </row>
    <row r="179" spans="2:2" x14ac:dyDescent="0.2">
      <c r="B179" s="136"/>
    </row>
    <row r="180" spans="2:2" x14ac:dyDescent="0.2">
      <c r="B180" s="136"/>
    </row>
    <row r="181" spans="2:2" x14ac:dyDescent="0.2">
      <c r="B181" s="136"/>
    </row>
    <row r="182" spans="2:2" x14ac:dyDescent="0.2">
      <c r="B182" s="136"/>
    </row>
    <row r="183" spans="2:2" x14ac:dyDescent="0.2">
      <c r="B183" s="136"/>
    </row>
    <row r="184" spans="2:2" x14ac:dyDescent="0.2">
      <c r="B184" s="136"/>
    </row>
    <row r="185" spans="2:2" x14ac:dyDescent="0.2">
      <c r="B185" s="136"/>
    </row>
  </sheetData>
  <autoFilter ref="A1:J141" xr:uid="{E226E0AA-079C-460A-94C7-1C74543100C8}"/>
  <sortState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0"/>
  <sheetViews>
    <sheetView zoomScale="85" zoomScaleNormal="85" workbookViewId="0">
      <selection activeCell="A133" sqref="A133"/>
    </sheetView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bestFit="1" customWidth="1"/>
    <col min="9" max="9" width="7.140625" bestFit="1" customWidth="1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s="56" t="s">
        <v>465</v>
      </c>
      <c r="F1" t="s">
        <v>466</v>
      </c>
      <c r="G1" t="s">
        <v>467</v>
      </c>
      <c r="H1" t="s">
        <v>468</v>
      </c>
    </row>
    <row r="2" spans="1:10" x14ac:dyDescent="0.2">
      <c r="A2" t="s">
        <v>480</v>
      </c>
      <c r="B2">
        <v>537928</v>
      </c>
      <c r="C2" s="80">
        <v>43368.661111111112</v>
      </c>
      <c r="D2" t="s">
        <v>578</v>
      </c>
      <c r="F2">
        <v>0</v>
      </c>
      <c r="G2">
        <v>0</v>
      </c>
      <c r="H2">
        <v>502.4</v>
      </c>
      <c r="J2" t="s">
        <v>1050</v>
      </c>
    </row>
    <row r="3" spans="1:10" x14ac:dyDescent="0.2">
      <c r="A3" t="s">
        <v>480</v>
      </c>
      <c r="B3">
        <v>537928</v>
      </c>
      <c r="C3" s="80">
        <v>43368.661111111112</v>
      </c>
      <c r="D3" t="s">
        <v>579</v>
      </c>
      <c r="E3" t="s">
        <v>580</v>
      </c>
      <c r="F3">
        <v>168952</v>
      </c>
      <c r="G3">
        <v>36.17</v>
      </c>
      <c r="H3">
        <v>0</v>
      </c>
      <c r="J3" t="s">
        <v>1051</v>
      </c>
    </row>
    <row r="4" spans="1:10" x14ac:dyDescent="0.2">
      <c r="A4" t="s">
        <v>480</v>
      </c>
      <c r="B4">
        <v>538090</v>
      </c>
      <c r="C4" s="80">
        <v>43368.718055555553</v>
      </c>
      <c r="D4" t="s">
        <v>581</v>
      </c>
      <c r="E4" t="s">
        <v>582</v>
      </c>
      <c r="F4">
        <v>146352</v>
      </c>
      <c r="G4">
        <v>466.23</v>
      </c>
      <c r="H4">
        <v>0</v>
      </c>
      <c r="J4" t="s">
        <v>1052</v>
      </c>
    </row>
    <row r="5" spans="1:10" x14ac:dyDescent="0.2">
      <c r="A5" t="s">
        <v>482</v>
      </c>
      <c r="B5">
        <v>531549</v>
      </c>
      <c r="C5" s="80">
        <v>43344.606249999997</v>
      </c>
      <c r="D5" t="s">
        <v>583</v>
      </c>
      <c r="F5">
        <v>0</v>
      </c>
      <c r="G5">
        <v>0</v>
      </c>
      <c r="H5">
        <v>124</v>
      </c>
      <c r="J5" t="s">
        <v>1053</v>
      </c>
    </row>
    <row r="6" spans="1:10" x14ac:dyDescent="0.2">
      <c r="A6" t="s">
        <v>482</v>
      </c>
      <c r="B6">
        <v>531550</v>
      </c>
      <c r="C6" s="80">
        <v>43344.606944444444</v>
      </c>
      <c r="D6" t="s">
        <v>584</v>
      </c>
      <c r="F6">
        <v>0</v>
      </c>
      <c r="G6">
        <v>124</v>
      </c>
      <c r="H6">
        <v>0</v>
      </c>
      <c r="J6" t="s">
        <v>1053</v>
      </c>
    </row>
    <row r="7" spans="1:10" x14ac:dyDescent="0.2">
      <c r="A7" t="s">
        <v>482</v>
      </c>
      <c r="B7">
        <v>532244</v>
      </c>
      <c r="C7" s="80">
        <v>43347.680555555555</v>
      </c>
      <c r="D7" t="s">
        <v>585</v>
      </c>
      <c r="F7">
        <v>0</v>
      </c>
      <c r="G7">
        <v>0</v>
      </c>
      <c r="H7">
        <v>360</v>
      </c>
      <c r="J7" t="s">
        <v>1050</v>
      </c>
    </row>
    <row r="8" spans="1:10" x14ac:dyDescent="0.2">
      <c r="A8" t="s">
        <v>482</v>
      </c>
      <c r="B8">
        <v>532244</v>
      </c>
      <c r="C8" s="80">
        <v>43347.680555555555</v>
      </c>
      <c r="D8" t="s">
        <v>586</v>
      </c>
      <c r="E8" t="s">
        <v>580</v>
      </c>
      <c r="F8">
        <v>167258</v>
      </c>
      <c r="G8">
        <v>25.92</v>
      </c>
      <c r="H8">
        <v>0</v>
      </c>
      <c r="J8" t="s">
        <v>1051</v>
      </c>
    </row>
    <row r="9" spans="1:10" x14ac:dyDescent="0.2">
      <c r="A9" t="s">
        <v>482</v>
      </c>
      <c r="B9">
        <v>532441</v>
      </c>
      <c r="C9" s="80">
        <v>43347.691666666666</v>
      </c>
      <c r="D9" t="s">
        <v>587</v>
      </c>
      <c r="E9" t="s">
        <v>582</v>
      </c>
      <c r="F9">
        <v>144641</v>
      </c>
      <c r="G9">
        <v>334.08</v>
      </c>
      <c r="H9">
        <v>0</v>
      </c>
      <c r="J9" t="s">
        <v>1052</v>
      </c>
    </row>
    <row r="10" spans="1:10" x14ac:dyDescent="0.2">
      <c r="A10" t="s">
        <v>482</v>
      </c>
      <c r="B10">
        <v>536820</v>
      </c>
      <c r="C10" s="80">
        <v>43363.673611111109</v>
      </c>
      <c r="D10" t="s">
        <v>588</v>
      </c>
      <c r="F10">
        <v>0</v>
      </c>
      <c r="G10">
        <v>0</v>
      </c>
      <c r="H10">
        <v>600</v>
      </c>
      <c r="J10" t="s">
        <v>1050</v>
      </c>
    </row>
    <row r="11" spans="1:10" x14ac:dyDescent="0.2">
      <c r="A11" t="s">
        <v>482</v>
      </c>
      <c r="B11">
        <v>536853</v>
      </c>
      <c r="C11" s="80">
        <v>43363.676388888889</v>
      </c>
      <c r="D11" t="s">
        <v>589</v>
      </c>
      <c r="E11" t="s">
        <v>582</v>
      </c>
      <c r="F11">
        <v>146114</v>
      </c>
      <c r="G11">
        <v>600</v>
      </c>
      <c r="H11">
        <v>0</v>
      </c>
      <c r="J11" t="s">
        <v>1052</v>
      </c>
    </row>
    <row r="12" spans="1:10" x14ac:dyDescent="0.2">
      <c r="A12" t="s">
        <v>485</v>
      </c>
      <c r="B12">
        <v>531533</v>
      </c>
      <c r="C12" s="80">
        <v>43344.597916666666</v>
      </c>
      <c r="D12" t="s">
        <v>590</v>
      </c>
      <c r="F12">
        <v>0</v>
      </c>
      <c r="G12">
        <v>0</v>
      </c>
      <c r="H12">
        <v>250</v>
      </c>
      <c r="J12" t="s">
        <v>1050</v>
      </c>
    </row>
    <row r="13" spans="1:10" x14ac:dyDescent="0.2">
      <c r="A13" t="s">
        <v>485</v>
      </c>
      <c r="B13">
        <v>531533</v>
      </c>
      <c r="C13" s="80">
        <v>43344.597916666666</v>
      </c>
      <c r="D13" t="s">
        <v>591</v>
      </c>
      <c r="E13" t="s">
        <v>580</v>
      </c>
      <c r="F13">
        <v>167068</v>
      </c>
      <c r="G13">
        <v>18</v>
      </c>
      <c r="H13">
        <v>0</v>
      </c>
      <c r="J13" t="s">
        <v>1051</v>
      </c>
    </row>
    <row r="14" spans="1:10" x14ac:dyDescent="0.2">
      <c r="A14" t="s">
        <v>485</v>
      </c>
      <c r="B14">
        <v>531547</v>
      </c>
      <c r="C14" s="80">
        <v>43344.602777777778</v>
      </c>
      <c r="D14" t="s">
        <v>592</v>
      </c>
      <c r="E14" t="s">
        <v>582</v>
      </c>
      <c r="F14">
        <v>144531</v>
      </c>
      <c r="G14">
        <v>232</v>
      </c>
      <c r="H14">
        <v>0</v>
      </c>
      <c r="J14" t="s">
        <v>1052</v>
      </c>
    </row>
    <row r="15" spans="1:10" x14ac:dyDescent="0.2">
      <c r="A15" t="s">
        <v>485</v>
      </c>
      <c r="B15">
        <v>535766</v>
      </c>
      <c r="C15" s="80">
        <v>43360.662499999999</v>
      </c>
      <c r="D15" t="s">
        <v>590</v>
      </c>
      <c r="F15">
        <v>0</v>
      </c>
      <c r="G15">
        <v>0</v>
      </c>
      <c r="H15">
        <v>250</v>
      </c>
      <c r="J15" t="s">
        <v>1050</v>
      </c>
    </row>
    <row r="16" spans="1:10" x14ac:dyDescent="0.2">
      <c r="A16" t="s">
        <v>485</v>
      </c>
      <c r="B16">
        <v>535766</v>
      </c>
      <c r="C16" s="80">
        <v>43360.662499999999</v>
      </c>
      <c r="D16" t="s">
        <v>591</v>
      </c>
      <c r="E16" t="s">
        <v>580</v>
      </c>
      <c r="F16">
        <v>168386</v>
      </c>
      <c r="G16">
        <v>18</v>
      </c>
      <c r="H16">
        <v>0</v>
      </c>
      <c r="J16" t="s">
        <v>1051</v>
      </c>
    </row>
    <row r="17" spans="1:10" x14ac:dyDescent="0.2">
      <c r="A17" t="s">
        <v>485</v>
      </c>
      <c r="B17">
        <v>535770</v>
      </c>
      <c r="C17" s="80">
        <v>43360.663888888892</v>
      </c>
      <c r="D17" t="s">
        <v>592</v>
      </c>
      <c r="E17" t="s">
        <v>582</v>
      </c>
      <c r="F17">
        <v>145850</v>
      </c>
      <c r="G17">
        <v>232</v>
      </c>
      <c r="H17">
        <v>0</v>
      </c>
      <c r="J17" t="s">
        <v>1052</v>
      </c>
    </row>
    <row r="18" spans="1:10" x14ac:dyDescent="0.2">
      <c r="A18" t="s">
        <v>486</v>
      </c>
      <c r="B18">
        <v>537308</v>
      </c>
      <c r="C18" s="80">
        <v>43365.519444444442</v>
      </c>
      <c r="D18" t="s">
        <v>593</v>
      </c>
      <c r="E18" t="s">
        <v>594</v>
      </c>
      <c r="F18">
        <v>2230</v>
      </c>
      <c r="G18">
        <v>114</v>
      </c>
      <c r="H18">
        <v>0</v>
      </c>
      <c r="J18" t="s">
        <v>1053</v>
      </c>
    </row>
    <row r="19" spans="1:10" x14ac:dyDescent="0.2">
      <c r="A19" t="s">
        <v>492</v>
      </c>
      <c r="B19">
        <v>533611</v>
      </c>
      <c r="C19" s="80">
        <v>43353.643750000003</v>
      </c>
      <c r="D19" t="s">
        <v>595</v>
      </c>
      <c r="F19">
        <v>0</v>
      </c>
      <c r="G19">
        <v>0</v>
      </c>
      <c r="H19">
        <v>344.92</v>
      </c>
      <c r="J19" t="s">
        <v>1050</v>
      </c>
    </row>
    <row r="20" spans="1:10" x14ac:dyDescent="0.2">
      <c r="A20" t="s">
        <v>492</v>
      </c>
      <c r="B20">
        <v>533611</v>
      </c>
      <c r="C20" s="80">
        <v>43353.643750000003</v>
      </c>
      <c r="D20" t="s">
        <v>596</v>
      </c>
      <c r="E20" t="s">
        <v>580</v>
      </c>
      <c r="F20">
        <v>167874</v>
      </c>
      <c r="G20">
        <v>24.84</v>
      </c>
      <c r="H20">
        <v>0</v>
      </c>
      <c r="J20" t="s">
        <v>1051</v>
      </c>
    </row>
    <row r="21" spans="1:10" x14ac:dyDescent="0.2">
      <c r="A21" t="s">
        <v>492</v>
      </c>
      <c r="B21">
        <v>533627</v>
      </c>
      <c r="C21" s="80">
        <v>43353.647222222222</v>
      </c>
      <c r="D21" t="s">
        <v>597</v>
      </c>
      <c r="E21" t="s">
        <v>582</v>
      </c>
      <c r="F21">
        <v>145136</v>
      </c>
      <c r="G21">
        <v>320.08</v>
      </c>
      <c r="H21">
        <v>0</v>
      </c>
      <c r="J21" t="s">
        <v>1052</v>
      </c>
    </row>
    <row r="22" spans="1:10" x14ac:dyDescent="0.2">
      <c r="A22" t="s">
        <v>492</v>
      </c>
      <c r="B22">
        <v>538043</v>
      </c>
      <c r="C22" s="80">
        <v>43368.691666666666</v>
      </c>
      <c r="D22" t="s">
        <v>595</v>
      </c>
      <c r="F22">
        <v>0</v>
      </c>
      <c r="G22">
        <v>0</v>
      </c>
      <c r="H22">
        <v>205.08</v>
      </c>
      <c r="J22" t="s">
        <v>1050</v>
      </c>
    </row>
    <row r="23" spans="1:10" x14ac:dyDescent="0.2">
      <c r="A23" t="s">
        <v>492</v>
      </c>
      <c r="B23">
        <v>538043</v>
      </c>
      <c r="C23" s="80">
        <v>43368.691666666666</v>
      </c>
      <c r="D23" t="s">
        <v>596</v>
      </c>
      <c r="E23" t="s">
        <v>580</v>
      </c>
      <c r="F23">
        <v>169057</v>
      </c>
      <c r="G23">
        <v>14.76</v>
      </c>
      <c r="H23">
        <v>0</v>
      </c>
      <c r="J23" t="s">
        <v>1051</v>
      </c>
    </row>
    <row r="24" spans="1:10" x14ac:dyDescent="0.2">
      <c r="A24" t="s">
        <v>492</v>
      </c>
      <c r="B24">
        <v>538090</v>
      </c>
      <c r="C24" s="80">
        <v>43368.718055555553</v>
      </c>
      <c r="D24" t="s">
        <v>597</v>
      </c>
      <c r="E24" t="s">
        <v>582</v>
      </c>
      <c r="F24">
        <v>146464</v>
      </c>
      <c r="G24">
        <v>190.32</v>
      </c>
      <c r="H24">
        <v>0</v>
      </c>
      <c r="J24" t="s">
        <v>1052</v>
      </c>
    </row>
    <row r="25" spans="1:10" x14ac:dyDescent="0.2">
      <c r="A25" t="s">
        <v>510</v>
      </c>
      <c r="B25">
        <v>536885</v>
      </c>
      <c r="C25" s="80">
        <v>43364.388194444444</v>
      </c>
      <c r="D25" t="s">
        <v>598</v>
      </c>
      <c r="E25" t="s">
        <v>599</v>
      </c>
      <c r="F25">
        <v>175555</v>
      </c>
      <c r="G25">
        <v>0</v>
      </c>
      <c r="H25">
        <v>555</v>
      </c>
      <c r="J25" t="s">
        <v>1053</v>
      </c>
    </row>
    <row r="26" spans="1:10" x14ac:dyDescent="0.2">
      <c r="A26" t="s">
        <v>493</v>
      </c>
      <c r="B26">
        <v>536211</v>
      </c>
      <c r="C26" s="80">
        <v>43361.686805555553</v>
      </c>
      <c r="D26" t="s">
        <v>600</v>
      </c>
      <c r="F26">
        <v>0</v>
      </c>
      <c r="G26">
        <v>0</v>
      </c>
      <c r="H26">
        <v>257.08999999999997</v>
      </c>
      <c r="J26" t="s">
        <v>1050</v>
      </c>
    </row>
    <row r="27" spans="1:10" x14ac:dyDescent="0.2">
      <c r="A27" t="s">
        <v>493</v>
      </c>
      <c r="B27">
        <v>536211</v>
      </c>
      <c r="C27" s="80">
        <v>43361.686805555553</v>
      </c>
      <c r="D27" t="s">
        <v>601</v>
      </c>
      <c r="E27" t="s">
        <v>580</v>
      </c>
      <c r="F27">
        <v>168529</v>
      </c>
      <c r="G27">
        <v>18.52</v>
      </c>
      <c r="H27">
        <v>0</v>
      </c>
      <c r="J27" t="s">
        <v>1051</v>
      </c>
    </row>
    <row r="28" spans="1:10" x14ac:dyDescent="0.2">
      <c r="A28" t="s">
        <v>493</v>
      </c>
      <c r="B28">
        <v>536228</v>
      </c>
      <c r="C28" s="80">
        <v>43361.693055555559</v>
      </c>
      <c r="D28" t="s">
        <v>602</v>
      </c>
      <c r="E28" t="s">
        <v>582</v>
      </c>
      <c r="F28">
        <v>145976</v>
      </c>
      <c r="G28">
        <v>238.57</v>
      </c>
      <c r="H28">
        <v>0</v>
      </c>
      <c r="J28" t="s">
        <v>1052</v>
      </c>
    </row>
    <row r="29" spans="1:10" x14ac:dyDescent="0.2">
      <c r="A29" t="s">
        <v>493</v>
      </c>
      <c r="B29">
        <v>538044</v>
      </c>
      <c r="C29" s="80">
        <v>43368.691666666666</v>
      </c>
      <c r="D29" t="s">
        <v>600</v>
      </c>
      <c r="F29">
        <v>0</v>
      </c>
      <c r="G29">
        <v>0</v>
      </c>
      <c r="H29">
        <v>267.91000000000003</v>
      </c>
      <c r="J29" t="s">
        <v>1050</v>
      </c>
    </row>
    <row r="30" spans="1:10" x14ac:dyDescent="0.2">
      <c r="A30" t="s">
        <v>493</v>
      </c>
      <c r="B30">
        <v>538044</v>
      </c>
      <c r="C30" s="80">
        <v>43368.691666666666</v>
      </c>
      <c r="D30" t="s">
        <v>601</v>
      </c>
      <c r="E30" t="s">
        <v>580</v>
      </c>
      <c r="F30">
        <v>169058</v>
      </c>
      <c r="G30">
        <v>19.28</v>
      </c>
      <c r="H30">
        <v>0</v>
      </c>
      <c r="J30" t="s">
        <v>1051</v>
      </c>
    </row>
    <row r="31" spans="1:10" x14ac:dyDescent="0.2">
      <c r="A31" t="s">
        <v>493</v>
      </c>
      <c r="B31">
        <v>538090</v>
      </c>
      <c r="C31" s="80">
        <v>43368.718055555553</v>
      </c>
      <c r="D31" t="s">
        <v>602</v>
      </c>
      <c r="E31" t="s">
        <v>582</v>
      </c>
      <c r="F31">
        <v>146465</v>
      </c>
      <c r="G31">
        <v>248.63</v>
      </c>
      <c r="H31">
        <v>0</v>
      </c>
      <c r="J31" t="s">
        <v>1052</v>
      </c>
    </row>
    <row r="32" spans="1:10" x14ac:dyDescent="0.2">
      <c r="A32" t="s">
        <v>494</v>
      </c>
      <c r="B32">
        <v>538051</v>
      </c>
      <c r="C32" s="80">
        <v>43368.691666666666</v>
      </c>
      <c r="D32" t="s">
        <v>603</v>
      </c>
      <c r="F32">
        <v>0</v>
      </c>
      <c r="G32">
        <v>0</v>
      </c>
      <c r="H32">
        <v>38.32</v>
      </c>
      <c r="J32" t="s">
        <v>1050</v>
      </c>
    </row>
    <row r="33" spans="1:10" x14ac:dyDescent="0.2">
      <c r="A33" t="s">
        <v>494</v>
      </c>
      <c r="B33">
        <v>538051</v>
      </c>
      <c r="C33" s="80">
        <v>43368.691666666666</v>
      </c>
      <c r="D33" t="s">
        <v>604</v>
      </c>
      <c r="E33" t="s">
        <v>580</v>
      </c>
      <c r="F33">
        <v>169065</v>
      </c>
      <c r="G33">
        <v>2.76</v>
      </c>
      <c r="H33">
        <v>0</v>
      </c>
      <c r="J33" t="s">
        <v>1051</v>
      </c>
    </row>
    <row r="34" spans="1:10" x14ac:dyDescent="0.2">
      <c r="A34" t="s">
        <v>494</v>
      </c>
      <c r="B34">
        <v>538090</v>
      </c>
      <c r="C34" s="80">
        <v>43368.718055555553</v>
      </c>
      <c r="D34" t="s">
        <v>605</v>
      </c>
      <c r="E34" t="s">
        <v>582</v>
      </c>
      <c r="F34">
        <v>146472</v>
      </c>
      <c r="G34">
        <v>35.56</v>
      </c>
      <c r="H34">
        <v>0</v>
      </c>
      <c r="J34" t="s">
        <v>1052</v>
      </c>
    </row>
    <row r="35" spans="1:10" x14ac:dyDescent="0.2">
      <c r="A35" t="s">
        <v>499</v>
      </c>
      <c r="B35">
        <v>538035</v>
      </c>
      <c r="C35" s="80">
        <v>43368.691666666666</v>
      </c>
      <c r="D35" t="s">
        <v>606</v>
      </c>
      <c r="F35">
        <v>0</v>
      </c>
      <c r="G35">
        <v>0</v>
      </c>
      <c r="H35">
        <v>229.92</v>
      </c>
      <c r="J35" t="s">
        <v>1050</v>
      </c>
    </row>
    <row r="36" spans="1:10" x14ac:dyDescent="0.2">
      <c r="A36" t="s">
        <v>499</v>
      </c>
      <c r="B36">
        <v>538035</v>
      </c>
      <c r="C36" s="80">
        <v>43368.691666666666</v>
      </c>
      <c r="D36" t="s">
        <v>607</v>
      </c>
      <c r="E36" t="s">
        <v>580</v>
      </c>
      <c r="F36">
        <v>169050</v>
      </c>
      <c r="G36">
        <v>16.559999999999999</v>
      </c>
      <c r="H36">
        <v>0</v>
      </c>
      <c r="J36" t="s">
        <v>1051</v>
      </c>
    </row>
    <row r="37" spans="1:10" x14ac:dyDescent="0.2">
      <c r="A37" t="s">
        <v>499</v>
      </c>
      <c r="B37">
        <v>538035</v>
      </c>
      <c r="C37" s="80">
        <v>43368.691666666666</v>
      </c>
      <c r="D37" t="s">
        <v>608</v>
      </c>
      <c r="F37">
        <v>0</v>
      </c>
      <c r="G37">
        <v>0</v>
      </c>
      <c r="H37">
        <v>231.6</v>
      </c>
      <c r="J37" t="s">
        <v>1050</v>
      </c>
    </row>
    <row r="38" spans="1:10" x14ac:dyDescent="0.2">
      <c r="A38" t="s">
        <v>499</v>
      </c>
      <c r="B38">
        <v>538035</v>
      </c>
      <c r="C38" s="80">
        <v>43368.691666666666</v>
      </c>
      <c r="D38" t="s">
        <v>607</v>
      </c>
      <c r="E38" t="s">
        <v>580</v>
      </c>
      <c r="F38">
        <v>169050</v>
      </c>
      <c r="G38">
        <v>16.68</v>
      </c>
      <c r="H38">
        <v>0</v>
      </c>
      <c r="J38" t="s">
        <v>1051</v>
      </c>
    </row>
    <row r="39" spans="1:10" x14ac:dyDescent="0.2">
      <c r="A39" t="s">
        <v>499</v>
      </c>
      <c r="B39">
        <v>538090</v>
      </c>
      <c r="C39" s="80">
        <v>43368.718055555553</v>
      </c>
      <c r="D39" t="s">
        <v>609</v>
      </c>
      <c r="E39" t="s">
        <v>582</v>
      </c>
      <c r="F39">
        <v>146456</v>
      </c>
      <c r="G39">
        <v>428.28</v>
      </c>
      <c r="H39">
        <v>0</v>
      </c>
      <c r="J39" t="s">
        <v>1052</v>
      </c>
    </row>
    <row r="40" spans="1:10" x14ac:dyDescent="0.2">
      <c r="A40" t="s">
        <v>501</v>
      </c>
      <c r="B40">
        <v>531527</v>
      </c>
      <c r="C40" s="80">
        <v>43344.597916666666</v>
      </c>
      <c r="D40" t="s">
        <v>610</v>
      </c>
      <c r="F40">
        <v>0</v>
      </c>
      <c r="G40">
        <v>0</v>
      </c>
      <c r="H40">
        <v>600</v>
      </c>
      <c r="J40" t="s">
        <v>1050</v>
      </c>
    </row>
    <row r="41" spans="1:10" x14ac:dyDescent="0.2">
      <c r="A41" t="s">
        <v>501</v>
      </c>
      <c r="B41">
        <v>531527</v>
      </c>
      <c r="C41" s="80">
        <v>43344.597916666666</v>
      </c>
      <c r="D41" t="s">
        <v>611</v>
      </c>
      <c r="E41" t="s">
        <v>580</v>
      </c>
      <c r="F41">
        <v>167063</v>
      </c>
      <c r="G41">
        <v>43.2</v>
      </c>
      <c r="H41">
        <v>0</v>
      </c>
      <c r="J41" t="s">
        <v>1051</v>
      </c>
    </row>
    <row r="42" spans="1:10" x14ac:dyDescent="0.2">
      <c r="A42" t="s">
        <v>501</v>
      </c>
      <c r="B42">
        <v>531527</v>
      </c>
      <c r="C42" s="80">
        <v>43344.597916666666</v>
      </c>
      <c r="D42" t="s">
        <v>612</v>
      </c>
      <c r="F42">
        <v>0</v>
      </c>
      <c r="G42">
        <v>0</v>
      </c>
      <c r="H42">
        <v>600</v>
      </c>
      <c r="J42" t="s">
        <v>1050</v>
      </c>
    </row>
    <row r="43" spans="1:10" x14ac:dyDescent="0.2">
      <c r="A43" t="s">
        <v>501</v>
      </c>
      <c r="B43">
        <v>531527</v>
      </c>
      <c r="C43" s="80">
        <v>43344.597916666666</v>
      </c>
      <c r="D43" t="s">
        <v>611</v>
      </c>
      <c r="E43" t="s">
        <v>580</v>
      </c>
      <c r="F43">
        <v>167063</v>
      </c>
      <c r="G43">
        <v>43.2</v>
      </c>
      <c r="H43">
        <v>0</v>
      </c>
      <c r="J43" t="s">
        <v>1051</v>
      </c>
    </row>
    <row r="44" spans="1:10" x14ac:dyDescent="0.2">
      <c r="A44" t="s">
        <v>501</v>
      </c>
      <c r="B44">
        <v>531527</v>
      </c>
      <c r="C44" s="80">
        <v>43344.597916666666</v>
      </c>
      <c r="D44" t="s">
        <v>613</v>
      </c>
      <c r="F44">
        <v>0</v>
      </c>
      <c r="G44">
        <v>0</v>
      </c>
      <c r="H44">
        <v>600</v>
      </c>
      <c r="J44" t="s">
        <v>1050</v>
      </c>
    </row>
    <row r="45" spans="1:10" x14ac:dyDescent="0.2">
      <c r="A45" t="s">
        <v>501</v>
      </c>
      <c r="B45">
        <v>531527</v>
      </c>
      <c r="C45" s="80">
        <v>43344.597916666666</v>
      </c>
      <c r="D45" t="s">
        <v>611</v>
      </c>
      <c r="E45" t="s">
        <v>580</v>
      </c>
      <c r="F45">
        <v>167063</v>
      </c>
      <c r="G45">
        <v>43.2</v>
      </c>
      <c r="H45">
        <v>0</v>
      </c>
      <c r="J45" t="s">
        <v>1051</v>
      </c>
    </row>
    <row r="46" spans="1:10" x14ac:dyDescent="0.2">
      <c r="A46" t="s">
        <v>501</v>
      </c>
      <c r="B46">
        <v>531527</v>
      </c>
      <c r="C46" s="80">
        <v>43344.597916666666</v>
      </c>
      <c r="D46" t="s">
        <v>614</v>
      </c>
      <c r="F46">
        <v>0</v>
      </c>
      <c r="G46">
        <v>0</v>
      </c>
      <c r="H46">
        <v>600</v>
      </c>
      <c r="J46" t="s">
        <v>1050</v>
      </c>
    </row>
    <row r="47" spans="1:10" x14ac:dyDescent="0.2">
      <c r="A47" t="s">
        <v>501</v>
      </c>
      <c r="B47">
        <v>531527</v>
      </c>
      <c r="C47" s="80">
        <v>43344.597916666666</v>
      </c>
      <c r="D47" t="s">
        <v>611</v>
      </c>
      <c r="E47" t="s">
        <v>580</v>
      </c>
      <c r="F47">
        <v>167063</v>
      </c>
      <c r="G47">
        <v>43.2</v>
      </c>
      <c r="H47">
        <v>0</v>
      </c>
      <c r="J47" t="s">
        <v>1051</v>
      </c>
    </row>
    <row r="48" spans="1:10" x14ac:dyDescent="0.2">
      <c r="A48" t="s">
        <v>501</v>
      </c>
      <c r="B48">
        <v>531527</v>
      </c>
      <c r="C48" s="80">
        <v>43344.597916666666</v>
      </c>
      <c r="D48" t="s">
        <v>615</v>
      </c>
      <c r="F48">
        <v>0</v>
      </c>
      <c r="G48">
        <v>0</v>
      </c>
      <c r="H48">
        <v>600</v>
      </c>
      <c r="J48" t="s">
        <v>1050</v>
      </c>
    </row>
    <row r="49" spans="1:10" x14ac:dyDescent="0.2">
      <c r="A49" t="s">
        <v>501</v>
      </c>
      <c r="B49">
        <v>531527</v>
      </c>
      <c r="C49" s="80">
        <v>43344.597916666666</v>
      </c>
      <c r="D49" t="s">
        <v>611</v>
      </c>
      <c r="E49" t="s">
        <v>580</v>
      </c>
      <c r="F49">
        <v>167063</v>
      </c>
      <c r="G49">
        <v>43.2</v>
      </c>
      <c r="H49">
        <v>0</v>
      </c>
      <c r="J49" t="s">
        <v>1051</v>
      </c>
    </row>
    <row r="50" spans="1:10" x14ac:dyDescent="0.2">
      <c r="A50" t="s">
        <v>501</v>
      </c>
      <c r="B50">
        <v>531527</v>
      </c>
      <c r="C50" s="80">
        <v>43344.597916666666</v>
      </c>
      <c r="D50" t="s">
        <v>616</v>
      </c>
      <c r="F50">
        <v>0</v>
      </c>
      <c r="G50">
        <v>0</v>
      </c>
      <c r="H50">
        <v>600</v>
      </c>
      <c r="J50" t="s">
        <v>1050</v>
      </c>
    </row>
    <row r="51" spans="1:10" x14ac:dyDescent="0.2">
      <c r="A51" t="s">
        <v>501</v>
      </c>
      <c r="B51">
        <v>531527</v>
      </c>
      <c r="C51" s="80">
        <v>43344.597916666666</v>
      </c>
      <c r="D51" t="s">
        <v>611</v>
      </c>
      <c r="E51" t="s">
        <v>580</v>
      </c>
      <c r="F51">
        <v>167063</v>
      </c>
      <c r="G51">
        <v>43.2</v>
      </c>
      <c r="H51">
        <v>0</v>
      </c>
      <c r="J51" t="s">
        <v>1051</v>
      </c>
    </row>
    <row r="52" spans="1:10" x14ac:dyDescent="0.2">
      <c r="A52" s="56" t="s">
        <v>501</v>
      </c>
      <c r="B52">
        <v>531547</v>
      </c>
      <c r="C52" s="80">
        <v>43344.602777777778</v>
      </c>
      <c r="D52" t="s">
        <v>617</v>
      </c>
      <c r="E52" t="s">
        <v>582</v>
      </c>
      <c r="F52">
        <v>144525</v>
      </c>
      <c r="G52">
        <v>3340.8</v>
      </c>
      <c r="H52">
        <v>0</v>
      </c>
      <c r="J52" t="s">
        <v>1052</v>
      </c>
    </row>
    <row r="53" spans="1:10" x14ac:dyDescent="0.2">
      <c r="A53" s="56" t="s">
        <v>503</v>
      </c>
      <c r="B53">
        <v>533617</v>
      </c>
      <c r="C53" s="80">
        <v>43353.643750000003</v>
      </c>
      <c r="D53" t="s">
        <v>618</v>
      </c>
      <c r="F53">
        <v>0</v>
      </c>
      <c r="G53">
        <v>0</v>
      </c>
      <c r="H53">
        <v>57.52</v>
      </c>
      <c r="J53" t="s">
        <v>1050</v>
      </c>
    </row>
    <row r="54" spans="1:10" x14ac:dyDescent="0.2">
      <c r="A54" s="56" t="s">
        <v>503</v>
      </c>
      <c r="B54">
        <v>533617</v>
      </c>
      <c r="C54" s="80">
        <v>43353.643750000003</v>
      </c>
      <c r="D54" t="s">
        <v>619</v>
      </c>
      <c r="E54" t="s">
        <v>580</v>
      </c>
      <c r="F54">
        <v>167879</v>
      </c>
      <c r="G54">
        <v>4.1399999999999997</v>
      </c>
      <c r="H54">
        <v>0</v>
      </c>
      <c r="J54" t="s">
        <v>1051</v>
      </c>
    </row>
    <row r="55" spans="1:10" x14ac:dyDescent="0.2">
      <c r="A55" s="56" t="s">
        <v>503</v>
      </c>
      <c r="B55">
        <v>533627</v>
      </c>
      <c r="C55" s="80">
        <v>43353.647222222222</v>
      </c>
      <c r="D55" t="s">
        <v>620</v>
      </c>
      <c r="E55" t="s">
        <v>582</v>
      </c>
      <c r="F55">
        <v>145142</v>
      </c>
      <c r="G55">
        <v>53.38</v>
      </c>
      <c r="H55">
        <v>0</v>
      </c>
      <c r="J55" t="s">
        <v>1052</v>
      </c>
    </row>
    <row r="56" spans="1:10" x14ac:dyDescent="0.2">
      <c r="A56" s="56" t="s">
        <v>503</v>
      </c>
      <c r="B56">
        <v>538056</v>
      </c>
      <c r="C56" s="80">
        <v>43368.691666666666</v>
      </c>
      <c r="D56" t="s">
        <v>618</v>
      </c>
      <c r="F56">
        <v>0</v>
      </c>
      <c r="G56">
        <v>0</v>
      </c>
      <c r="H56">
        <v>442.48</v>
      </c>
      <c r="J56" t="s">
        <v>1050</v>
      </c>
    </row>
    <row r="57" spans="1:10" x14ac:dyDescent="0.2">
      <c r="A57" s="56" t="s">
        <v>503</v>
      </c>
      <c r="B57">
        <v>538056</v>
      </c>
      <c r="C57" s="80">
        <v>43368.691666666666</v>
      </c>
      <c r="D57" t="s">
        <v>619</v>
      </c>
      <c r="E57" t="s">
        <v>580</v>
      </c>
      <c r="F57">
        <v>169070</v>
      </c>
      <c r="G57">
        <v>31.86</v>
      </c>
      <c r="H57">
        <v>0</v>
      </c>
      <c r="J57" t="s">
        <v>1051</v>
      </c>
    </row>
    <row r="58" spans="1:10" x14ac:dyDescent="0.2">
      <c r="A58" t="s">
        <v>503</v>
      </c>
      <c r="B58">
        <v>538090</v>
      </c>
      <c r="C58" s="80">
        <v>43368.718055555553</v>
      </c>
      <c r="D58" t="s">
        <v>620</v>
      </c>
      <c r="E58" t="s">
        <v>582</v>
      </c>
      <c r="F58">
        <v>146477</v>
      </c>
      <c r="G58">
        <v>410.62</v>
      </c>
      <c r="H58">
        <v>0</v>
      </c>
      <c r="J58" t="s">
        <v>1052</v>
      </c>
    </row>
    <row r="59" spans="1:10" x14ac:dyDescent="0.2">
      <c r="A59" t="s">
        <v>505</v>
      </c>
      <c r="B59">
        <v>536456</v>
      </c>
      <c r="C59" s="80">
        <v>43362.648611111108</v>
      </c>
      <c r="D59" t="s">
        <v>621</v>
      </c>
      <c r="F59">
        <v>0</v>
      </c>
      <c r="G59">
        <v>0</v>
      </c>
      <c r="H59">
        <v>115.76</v>
      </c>
      <c r="J59" t="s">
        <v>1050</v>
      </c>
    </row>
    <row r="60" spans="1:10" x14ac:dyDescent="0.2">
      <c r="A60" t="s">
        <v>505</v>
      </c>
      <c r="B60">
        <v>536456</v>
      </c>
      <c r="C60" s="80">
        <v>43362.648611111108</v>
      </c>
      <c r="D60" t="s">
        <v>622</v>
      </c>
      <c r="E60" t="s">
        <v>580</v>
      </c>
      <c r="F60">
        <v>168608</v>
      </c>
      <c r="G60">
        <v>8.34</v>
      </c>
      <c r="H60">
        <v>0</v>
      </c>
      <c r="J60" t="s">
        <v>1051</v>
      </c>
    </row>
    <row r="61" spans="1:10" x14ac:dyDescent="0.2">
      <c r="A61" t="s">
        <v>505</v>
      </c>
      <c r="B61">
        <v>536460</v>
      </c>
      <c r="C61" s="80">
        <v>43362.652777777781</v>
      </c>
      <c r="D61" t="s">
        <v>623</v>
      </c>
      <c r="E61" t="s">
        <v>582</v>
      </c>
      <c r="F61">
        <v>146043</v>
      </c>
      <c r="G61">
        <v>107.42</v>
      </c>
      <c r="H61">
        <v>0</v>
      </c>
      <c r="J61" t="s">
        <v>1052</v>
      </c>
    </row>
    <row r="62" spans="1:10" x14ac:dyDescent="0.2">
      <c r="A62" t="s">
        <v>505</v>
      </c>
      <c r="B62">
        <v>538032</v>
      </c>
      <c r="C62" s="80">
        <v>43368.691666666666</v>
      </c>
      <c r="D62" t="s">
        <v>621</v>
      </c>
      <c r="F62">
        <v>0</v>
      </c>
      <c r="G62">
        <v>0</v>
      </c>
      <c r="H62">
        <v>389.24</v>
      </c>
      <c r="J62" t="s">
        <v>1050</v>
      </c>
    </row>
    <row r="63" spans="1:10" x14ac:dyDescent="0.2">
      <c r="A63" t="s">
        <v>505</v>
      </c>
      <c r="B63">
        <v>538032</v>
      </c>
      <c r="C63" s="80">
        <v>43368.691666666666</v>
      </c>
      <c r="D63" t="s">
        <v>622</v>
      </c>
      <c r="E63" t="s">
        <v>580</v>
      </c>
      <c r="F63">
        <v>169047</v>
      </c>
      <c r="G63">
        <v>28.02</v>
      </c>
      <c r="H63">
        <v>0</v>
      </c>
      <c r="J63" t="s">
        <v>1051</v>
      </c>
    </row>
    <row r="64" spans="1:10" x14ac:dyDescent="0.2">
      <c r="A64" t="s">
        <v>505</v>
      </c>
      <c r="B64">
        <v>538090</v>
      </c>
      <c r="C64" s="80">
        <v>43368.718055555553</v>
      </c>
      <c r="D64" t="s">
        <v>623</v>
      </c>
      <c r="E64" t="s">
        <v>582</v>
      </c>
      <c r="F64">
        <v>146453</v>
      </c>
      <c r="G64">
        <v>361.22</v>
      </c>
      <c r="H64">
        <v>0</v>
      </c>
      <c r="J64" t="s">
        <v>1052</v>
      </c>
    </row>
    <row r="65" spans="1:10" x14ac:dyDescent="0.2">
      <c r="A65" t="s">
        <v>507</v>
      </c>
      <c r="B65">
        <v>533046</v>
      </c>
      <c r="C65" s="80">
        <v>43349.679861111108</v>
      </c>
      <c r="D65" t="s">
        <v>624</v>
      </c>
      <c r="F65">
        <v>0</v>
      </c>
      <c r="G65">
        <v>0</v>
      </c>
      <c r="H65">
        <v>525</v>
      </c>
      <c r="J65" t="s">
        <v>1050</v>
      </c>
    </row>
    <row r="66" spans="1:10" x14ac:dyDescent="0.2">
      <c r="A66" t="s">
        <v>507</v>
      </c>
      <c r="B66">
        <v>533046</v>
      </c>
      <c r="C66" s="80">
        <v>43349.679861111108</v>
      </c>
      <c r="D66" t="s">
        <v>625</v>
      </c>
      <c r="E66" t="s">
        <v>580</v>
      </c>
      <c r="F66">
        <v>167639</v>
      </c>
      <c r="G66">
        <v>37.799999999999997</v>
      </c>
      <c r="H66">
        <v>0</v>
      </c>
      <c r="J66" t="s">
        <v>1051</v>
      </c>
    </row>
    <row r="67" spans="1:10" x14ac:dyDescent="0.2">
      <c r="A67" t="s">
        <v>507</v>
      </c>
      <c r="B67">
        <v>533052</v>
      </c>
      <c r="C67" s="80">
        <v>43349.681944444441</v>
      </c>
      <c r="D67" t="s">
        <v>626</v>
      </c>
      <c r="E67" t="s">
        <v>582</v>
      </c>
      <c r="F67">
        <v>144983</v>
      </c>
      <c r="G67">
        <v>69.2</v>
      </c>
      <c r="H67">
        <v>0</v>
      </c>
      <c r="J67" t="s">
        <v>1052</v>
      </c>
    </row>
    <row r="68" spans="1:10" x14ac:dyDescent="0.2">
      <c r="A68" t="s">
        <v>507</v>
      </c>
      <c r="B68">
        <v>539115</v>
      </c>
      <c r="C68" s="80">
        <v>43371.633333333331</v>
      </c>
      <c r="D68" t="s">
        <v>627</v>
      </c>
      <c r="F68">
        <v>0</v>
      </c>
      <c r="G68">
        <v>0</v>
      </c>
      <c r="H68">
        <v>525</v>
      </c>
      <c r="J68" t="s">
        <v>1050</v>
      </c>
    </row>
    <row r="69" spans="1:10" x14ac:dyDescent="0.2">
      <c r="A69" t="s">
        <v>507</v>
      </c>
      <c r="B69">
        <v>539115</v>
      </c>
      <c r="C69" s="80">
        <v>43371.633333333331</v>
      </c>
      <c r="D69" t="s">
        <v>625</v>
      </c>
      <c r="E69" t="s">
        <v>580</v>
      </c>
      <c r="F69">
        <v>169561</v>
      </c>
      <c r="G69">
        <v>37.799999999999997</v>
      </c>
      <c r="H69">
        <v>0</v>
      </c>
      <c r="J69" t="s">
        <v>1051</v>
      </c>
    </row>
    <row r="70" spans="1:10" x14ac:dyDescent="0.2">
      <c r="A70" t="s">
        <v>507</v>
      </c>
      <c r="B70">
        <v>539132</v>
      </c>
      <c r="C70" s="80">
        <v>43371.638888888891</v>
      </c>
      <c r="D70" t="s">
        <v>626</v>
      </c>
      <c r="E70" t="s">
        <v>582</v>
      </c>
      <c r="F70">
        <v>146769</v>
      </c>
      <c r="G70">
        <v>487.2</v>
      </c>
      <c r="H70">
        <v>0</v>
      </c>
      <c r="J70" t="s">
        <v>1052</v>
      </c>
    </row>
    <row r="71" spans="1:10" x14ac:dyDescent="0.2">
      <c r="A71" t="s">
        <v>475</v>
      </c>
      <c r="B71">
        <v>538047</v>
      </c>
      <c r="C71" s="80">
        <v>43368.691666666666</v>
      </c>
      <c r="D71" t="s">
        <v>628</v>
      </c>
      <c r="F71">
        <v>0</v>
      </c>
      <c r="G71">
        <v>0</v>
      </c>
      <c r="H71">
        <v>157.11000000000001</v>
      </c>
      <c r="J71" t="s">
        <v>1050</v>
      </c>
    </row>
    <row r="72" spans="1:10" x14ac:dyDescent="0.2">
      <c r="A72" t="s">
        <v>475</v>
      </c>
      <c r="B72">
        <v>538047</v>
      </c>
      <c r="C72" s="80">
        <v>43368.691666666666</v>
      </c>
      <c r="D72" t="s">
        <v>629</v>
      </c>
      <c r="E72" t="s">
        <v>580</v>
      </c>
      <c r="F72">
        <v>169061</v>
      </c>
      <c r="G72">
        <v>11.32</v>
      </c>
      <c r="H72">
        <v>0</v>
      </c>
      <c r="J72" t="s">
        <v>1051</v>
      </c>
    </row>
    <row r="73" spans="1:10" x14ac:dyDescent="0.2">
      <c r="A73" t="s">
        <v>475</v>
      </c>
      <c r="B73">
        <v>538047</v>
      </c>
      <c r="C73" s="80">
        <v>43368.691666666666</v>
      </c>
      <c r="D73" t="s">
        <v>630</v>
      </c>
      <c r="F73">
        <v>0</v>
      </c>
      <c r="G73">
        <v>0</v>
      </c>
      <c r="H73">
        <v>304.41000000000003</v>
      </c>
      <c r="J73" t="s">
        <v>1050</v>
      </c>
    </row>
    <row r="74" spans="1:10" x14ac:dyDescent="0.2">
      <c r="A74" t="s">
        <v>475</v>
      </c>
      <c r="B74">
        <v>538047</v>
      </c>
      <c r="C74" s="80">
        <v>43368.691666666666</v>
      </c>
      <c r="D74" t="s">
        <v>629</v>
      </c>
      <c r="E74" t="s">
        <v>580</v>
      </c>
      <c r="F74">
        <v>169061</v>
      </c>
      <c r="G74">
        <v>21.91</v>
      </c>
      <c r="H74">
        <v>0</v>
      </c>
      <c r="J74" t="s">
        <v>1051</v>
      </c>
    </row>
    <row r="75" spans="1:10" x14ac:dyDescent="0.2">
      <c r="A75" t="s">
        <v>475</v>
      </c>
      <c r="B75">
        <v>538090</v>
      </c>
      <c r="C75" s="80">
        <v>43368.718055555553</v>
      </c>
      <c r="D75" t="s">
        <v>631</v>
      </c>
      <c r="E75" t="s">
        <v>582</v>
      </c>
      <c r="F75">
        <v>146468</v>
      </c>
      <c r="G75">
        <v>428.29</v>
      </c>
      <c r="H75">
        <v>0</v>
      </c>
      <c r="J75" t="s">
        <v>1052</v>
      </c>
    </row>
    <row r="76" spans="1:10" x14ac:dyDescent="0.2">
      <c r="A76" t="s">
        <v>490</v>
      </c>
      <c r="B76">
        <v>532418</v>
      </c>
      <c r="C76" s="80">
        <v>43347.688888888886</v>
      </c>
      <c r="D76" t="s">
        <v>632</v>
      </c>
      <c r="F76">
        <v>0</v>
      </c>
      <c r="G76">
        <v>0</v>
      </c>
      <c r="H76">
        <v>600</v>
      </c>
      <c r="J76" t="s">
        <v>1050</v>
      </c>
    </row>
    <row r="77" spans="1:10" x14ac:dyDescent="0.2">
      <c r="A77" t="s">
        <v>490</v>
      </c>
      <c r="B77">
        <v>532418</v>
      </c>
      <c r="C77" s="80">
        <v>43347.688888888886</v>
      </c>
      <c r="D77" t="s">
        <v>633</v>
      </c>
      <c r="E77" t="s">
        <v>580</v>
      </c>
      <c r="F77">
        <v>167413</v>
      </c>
      <c r="G77">
        <v>43.2</v>
      </c>
      <c r="H77">
        <v>0</v>
      </c>
      <c r="J77" t="s">
        <v>1051</v>
      </c>
    </row>
    <row r="78" spans="1:10" x14ac:dyDescent="0.2">
      <c r="A78" t="s">
        <v>490</v>
      </c>
      <c r="B78">
        <v>532441</v>
      </c>
      <c r="C78" s="80">
        <v>43347.691666666666</v>
      </c>
      <c r="D78" t="s">
        <v>634</v>
      </c>
      <c r="E78" t="s">
        <v>582</v>
      </c>
      <c r="F78">
        <v>144805</v>
      </c>
      <c r="G78">
        <v>556.79999999999995</v>
      </c>
      <c r="H78">
        <v>0</v>
      </c>
      <c r="J78" t="s">
        <v>1052</v>
      </c>
    </row>
    <row r="79" spans="1:10" x14ac:dyDescent="0.2">
      <c r="A79" t="s">
        <v>490</v>
      </c>
      <c r="B79">
        <v>534036</v>
      </c>
      <c r="C79" s="80">
        <v>43354.661111111112</v>
      </c>
      <c r="D79" t="s">
        <v>635</v>
      </c>
      <c r="F79">
        <v>0</v>
      </c>
      <c r="G79">
        <v>0</v>
      </c>
      <c r="H79">
        <v>200</v>
      </c>
      <c r="J79" t="s">
        <v>1050</v>
      </c>
    </row>
    <row r="80" spans="1:10" x14ac:dyDescent="0.2">
      <c r="A80" t="s">
        <v>490</v>
      </c>
      <c r="B80">
        <v>534036</v>
      </c>
      <c r="C80" s="80">
        <v>43354.661111111112</v>
      </c>
      <c r="D80" t="s">
        <v>633</v>
      </c>
      <c r="E80" t="s">
        <v>580</v>
      </c>
      <c r="F80">
        <v>168015</v>
      </c>
      <c r="G80">
        <v>14.4</v>
      </c>
      <c r="H80">
        <v>0</v>
      </c>
      <c r="J80" t="s">
        <v>1051</v>
      </c>
    </row>
    <row r="81" spans="1:10" x14ac:dyDescent="0.2">
      <c r="A81" t="s">
        <v>490</v>
      </c>
      <c r="B81">
        <v>534049</v>
      </c>
      <c r="C81" s="80">
        <v>43354.663888888892</v>
      </c>
      <c r="D81" t="s">
        <v>634</v>
      </c>
      <c r="E81" t="s">
        <v>582</v>
      </c>
      <c r="F81">
        <v>145268</v>
      </c>
      <c r="G81">
        <v>185.6</v>
      </c>
      <c r="H81">
        <v>0</v>
      </c>
      <c r="J81" t="s">
        <v>1052</v>
      </c>
    </row>
    <row r="82" spans="1:10" x14ac:dyDescent="0.2">
      <c r="A82" t="s">
        <v>489</v>
      </c>
      <c r="B82">
        <v>538038</v>
      </c>
      <c r="C82" s="80">
        <v>43368.691666666666</v>
      </c>
      <c r="D82" t="s">
        <v>636</v>
      </c>
      <c r="F82">
        <v>0</v>
      </c>
      <c r="G82">
        <v>0</v>
      </c>
      <c r="H82">
        <v>86.32</v>
      </c>
      <c r="J82" t="s">
        <v>1050</v>
      </c>
    </row>
    <row r="83" spans="1:10" x14ac:dyDescent="0.2">
      <c r="A83" t="s">
        <v>489</v>
      </c>
      <c r="B83">
        <v>538038</v>
      </c>
      <c r="C83" s="80">
        <v>43368.691666666666</v>
      </c>
      <c r="D83" t="s">
        <v>637</v>
      </c>
      <c r="E83" t="s">
        <v>580</v>
      </c>
      <c r="F83">
        <v>169053</v>
      </c>
      <c r="G83">
        <v>6.22</v>
      </c>
      <c r="H83">
        <v>0</v>
      </c>
      <c r="J83" t="s">
        <v>1051</v>
      </c>
    </row>
    <row r="84" spans="1:10" x14ac:dyDescent="0.2">
      <c r="A84" t="s">
        <v>489</v>
      </c>
      <c r="B84">
        <v>538038</v>
      </c>
      <c r="C84" s="80">
        <v>43368.691666666666</v>
      </c>
      <c r="D84" t="s">
        <v>638</v>
      </c>
      <c r="F84">
        <v>0</v>
      </c>
      <c r="G84">
        <v>0</v>
      </c>
      <c r="H84">
        <v>56.52</v>
      </c>
      <c r="J84" t="s">
        <v>1050</v>
      </c>
    </row>
    <row r="85" spans="1:10" x14ac:dyDescent="0.2">
      <c r="A85" t="s">
        <v>489</v>
      </c>
      <c r="B85">
        <v>538038</v>
      </c>
      <c r="C85" s="80">
        <v>43368.691666666666</v>
      </c>
      <c r="D85" t="s">
        <v>637</v>
      </c>
      <c r="E85" t="s">
        <v>580</v>
      </c>
      <c r="F85">
        <v>169053</v>
      </c>
      <c r="G85">
        <v>4.07</v>
      </c>
      <c r="H85">
        <v>0</v>
      </c>
      <c r="J85" t="s">
        <v>1051</v>
      </c>
    </row>
    <row r="86" spans="1:10" x14ac:dyDescent="0.2">
      <c r="A86" t="s">
        <v>489</v>
      </c>
      <c r="B86">
        <v>538090</v>
      </c>
      <c r="C86" s="80">
        <v>43368.718055555553</v>
      </c>
      <c r="D86" t="s">
        <v>639</v>
      </c>
      <c r="E86" t="s">
        <v>582</v>
      </c>
      <c r="F86">
        <v>146459</v>
      </c>
      <c r="G86">
        <v>132.55000000000001</v>
      </c>
      <c r="H86">
        <v>0</v>
      </c>
      <c r="J86" t="s">
        <v>1052</v>
      </c>
    </row>
    <row r="87" spans="1:10" x14ac:dyDescent="0.2">
      <c r="A87" t="s">
        <v>487</v>
      </c>
      <c r="B87">
        <v>534033</v>
      </c>
      <c r="C87" s="80">
        <v>43354.661111111112</v>
      </c>
      <c r="D87" t="s">
        <v>640</v>
      </c>
      <c r="F87">
        <v>0</v>
      </c>
      <c r="G87">
        <v>0</v>
      </c>
      <c r="H87">
        <v>41.59</v>
      </c>
      <c r="J87" t="s">
        <v>1050</v>
      </c>
    </row>
    <row r="88" spans="1:10" x14ac:dyDescent="0.2">
      <c r="A88" t="s">
        <v>487</v>
      </c>
      <c r="B88">
        <v>534033</v>
      </c>
      <c r="C88" s="80">
        <v>43354.661111111112</v>
      </c>
      <c r="D88" t="s">
        <v>641</v>
      </c>
      <c r="E88" t="s">
        <v>580</v>
      </c>
      <c r="F88">
        <v>168012</v>
      </c>
      <c r="G88">
        <v>3</v>
      </c>
      <c r="H88">
        <v>0</v>
      </c>
      <c r="J88" t="s">
        <v>1051</v>
      </c>
    </row>
    <row r="89" spans="1:10" x14ac:dyDescent="0.2">
      <c r="A89" t="s">
        <v>487</v>
      </c>
      <c r="B89">
        <v>534049</v>
      </c>
      <c r="C89" s="80">
        <v>43354.663888888892</v>
      </c>
      <c r="D89" t="s">
        <v>642</v>
      </c>
      <c r="E89" t="s">
        <v>582</v>
      </c>
      <c r="F89">
        <v>145265</v>
      </c>
      <c r="G89">
        <v>38.590000000000003</v>
      </c>
      <c r="H89">
        <v>0</v>
      </c>
      <c r="J89" t="s">
        <v>1052</v>
      </c>
    </row>
    <row r="90" spans="1:10" x14ac:dyDescent="0.2">
      <c r="A90" t="s">
        <v>487</v>
      </c>
      <c r="B90">
        <v>538036</v>
      </c>
      <c r="C90" s="80">
        <v>43368.691666666666</v>
      </c>
      <c r="D90" t="s">
        <v>640</v>
      </c>
      <c r="F90">
        <v>0</v>
      </c>
      <c r="G90">
        <v>0</v>
      </c>
      <c r="H90">
        <v>461.52</v>
      </c>
      <c r="J90" t="s">
        <v>1050</v>
      </c>
    </row>
    <row r="91" spans="1:10" x14ac:dyDescent="0.2">
      <c r="A91" t="s">
        <v>487</v>
      </c>
      <c r="B91">
        <v>538036</v>
      </c>
      <c r="C91" s="80">
        <v>43368.691666666666</v>
      </c>
      <c r="D91" t="s">
        <v>641</v>
      </c>
      <c r="E91" t="s">
        <v>580</v>
      </c>
      <c r="F91">
        <v>169051</v>
      </c>
      <c r="G91">
        <v>33.229999999999997</v>
      </c>
      <c r="H91">
        <v>0</v>
      </c>
      <c r="J91" t="s">
        <v>1051</v>
      </c>
    </row>
    <row r="92" spans="1:10" x14ac:dyDescent="0.2">
      <c r="A92" t="s">
        <v>487</v>
      </c>
      <c r="B92">
        <v>538090</v>
      </c>
      <c r="C92" s="80">
        <v>43368.718055555553</v>
      </c>
      <c r="D92" t="s">
        <v>642</v>
      </c>
      <c r="E92" t="s">
        <v>582</v>
      </c>
      <c r="F92">
        <v>146457</v>
      </c>
      <c r="G92">
        <v>428.29</v>
      </c>
      <c r="H92">
        <v>0</v>
      </c>
      <c r="J92" t="s">
        <v>1052</v>
      </c>
    </row>
    <row r="93" spans="1:10" x14ac:dyDescent="0.2">
      <c r="A93" t="s">
        <v>488</v>
      </c>
      <c r="B93">
        <v>538415</v>
      </c>
      <c r="C93" s="80">
        <v>43369.638888888891</v>
      </c>
      <c r="D93" t="s">
        <v>643</v>
      </c>
      <c r="F93">
        <v>0</v>
      </c>
      <c r="G93">
        <v>0</v>
      </c>
      <c r="H93">
        <v>499.04</v>
      </c>
      <c r="J93" t="s">
        <v>1050</v>
      </c>
    </row>
    <row r="94" spans="1:10" x14ac:dyDescent="0.2">
      <c r="A94" t="s">
        <v>488</v>
      </c>
      <c r="B94">
        <v>538415</v>
      </c>
      <c r="C94" s="80">
        <v>43369.638888888891</v>
      </c>
      <c r="D94" t="s">
        <v>644</v>
      </c>
      <c r="E94" t="s">
        <v>580</v>
      </c>
      <c r="F94">
        <v>169245</v>
      </c>
      <c r="G94">
        <v>35.93</v>
      </c>
      <c r="H94">
        <v>0</v>
      </c>
      <c r="J94" t="s">
        <v>1051</v>
      </c>
    </row>
    <row r="95" spans="1:10" x14ac:dyDescent="0.2">
      <c r="A95" t="s">
        <v>488</v>
      </c>
      <c r="B95">
        <v>538426</v>
      </c>
      <c r="C95" s="80">
        <v>43369.640972222223</v>
      </c>
      <c r="D95" t="s">
        <v>645</v>
      </c>
      <c r="E95" t="s">
        <v>582</v>
      </c>
      <c r="F95">
        <v>146595</v>
      </c>
      <c r="G95">
        <v>463.11</v>
      </c>
      <c r="H95">
        <v>0</v>
      </c>
      <c r="J95" t="s">
        <v>1052</v>
      </c>
    </row>
    <row r="96" spans="1:10" x14ac:dyDescent="0.2">
      <c r="A96" t="s">
        <v>496</v>
      </c>
      <c r="B96">
        <v>535398</v>
      </c>
      <c r="C96" s="80">
        <v>43357.713888888888</v>
      </c>
      <c r="D96" t="s">
        <v>646</v>
      </c>
      <c r="E96" t="s">
        <v>594</v>
      </c>
      <c r="F96">
        <v>140918</v>
      </c>
      <c r="G96">
        <v>114</v>
      </c>
      <c r="H96">
        <v>0</v>
      </c>
      <c r="J96" t="s">
        <v>1053</v>
      </c>
    </row>
    <row r="97" spans="1:10" x14ac:dyDescent="0.2">
      <c r="A97" t="s">
        <v>496</v>
      </c>
      <c r="B97">
        <v>538031</v>
      </c>
      <c r="C97" s="80">
        <v>43368.691666666666</v>
      </c>
      <c r="D97" t="s">
        <v>647</v>
      </c>
      <c r="F97">
        <v>0</v>
      </c>
      <c r="G97">
        <v>0</v>
      </c>
      <c r="H97">
        <v>499.03</v>
      </c>
      <c r="J97" t="s">
        <v>1050</v>
      </c>
    </row>
    <row r="98" spans="1:10" x14ac:dyDescent="0.2">
      <c r="A98" t="s">
        <v>496</v>
      </c>
      <c r="B98">
        <v>538031</v>
      </c>
      <c r="C98" s="80">
        <v>43368.691666666666</v>
      </c>
      <c r="D98" t="s">
        <v>648</v>
      </c>
      <c r="E98" t="s">
        <v>580</v>
      </c>
      <c r="F98">
        <v>169046</v>
      </c>
      <c r="G98">
        <v>35.93</v>
      </c>
      <c r="H98">
        <v>0</v>
      </c>
      <c r="J98" t="s">
        <v>1051</v>
      </c>
    </row>
    <row r="99" spans="1:10" x14ac:dyDescent="0.2">
      <c r="A99" t="s">
        <v>496</v>
      </c>
      <c r="B99">
        <v>538090</v>
      </c>
      <c r="C99" s="80">
        <v>43368.718055555553</v>
      </c>
      <c r="D99" t="s">
        <v>649</v>
      </c>
      <c r="E99" t="s">
        <v>582</v>
      </c>
      <c r="F99">
        <v>146452</v>
      </c>
      <c r="G99">
        <v>349.1</v>
      </c>
      <c r="H99">
        <v>0</v>
      </c>
      <c r="J99" t="s">
        <v>1052</v>
      </c>
    </row>
    <row r="100" spans="1:10" x14ac:dyDescent="0.2">
      <c r="A100" t="s">
        <v>496</v>
      </c>
      <c r="B100">
        <v>538298</v>
      </c>
      <c r="C100" s="80">
        <v>43369.499305555553</v>
      </c>
      <c r="D100" t="s">
        <v>650</v>
      </c>
      <c r="E100" t="s">
        <v>594</v>
      </c>
      <c r="F100" t="s">
        <v>651</v>
      </c>
      <c r="G100">
        <v>78</v>
      </c>
      <c r="H100">
        <v>0</v>
      </c>
      <c r="J100" t="s">
        <v>1053</v>
      </c>
    </row>
    <row r="101" spans="1:10" x14ac:dyDescent="0.2">
      <c r="A101" t="s">
        <v>498</v>
      </c>
      <c r="B101">
        <v>533045</v>
      </c>
      <c r="C101" s="80">
        <v>43349.679861111108</v>
      </c>
      <c r="D101" t="s">
        <v>652</v>
      </c>
      <c r="F101">
        <v>0</v>
      </c>
      <c r="G101">
        <v>0</v>
      </c>
      <c r="H101">
        <v>500</v>
      </c>
      <c r="J101" t="s">
        <v>1050</v>
      </c>
    </row>
    <row r="102" spans="1:10" x14ac:dyDescent="0.2">
      <c r="A102" t="s">
        <v>498</v>
      </c>
      <c r="B102">
        <v>533045</v>
      </c>
      <c r="C102" s="80">
        <v>43349.679861111108</v>
      </c>
      <c r="D102" t="s">
        <v>653</v>
      </c>
      <c r="E102" t="s">
        <v>580</v>
      </c>
      <c r="F102">
        <v>167638</v>
      </c>
      <c r="G102">
        <v>36</v>
      </c>
      <c r="H102">
        <v>0</v>
      </c>
      <c r="J102" t="s">
        <v>1051</v>
      </c>
    </row>
    <row r="103" spans="1:10" x14ac:dyDescent="0.2">
      <c r="A103" t="s">
        <v>498</v>
      </c>
      <c r="B103">
        <v>533052</v>
      </c>
      <c r="C103" s="80">
        <v>43349.681944444441</v>
      </c>
      <c r="D103" t="s">
        <v>654</v>
      </c>
      <c r="E103" t="s">
        <v>582</v>
      </c>
      <c r="F103">
        <v>144982</v>
      </c>
      <c r="G103">
        <v>464</v>
      </c>
      <c r="H103">
        <v>0</v>
      </c>
      <c r="J103" t="s">
        <v>1052</v>
      </c>
    </row>
    <row r="104" spans="1:10" x14ac:dyDescent="0.2">
      <c r="A104" t="s">
        <v>511</v>
      </c>
      <c r="B104">
        <v>533048</v>
      </c>
      <c r="C104" s="80">
        <v>43349.679861111108</v>
      </c>
      <c r="D104" t="s">
        <v>655</v>
      </c>
      <c r="F104">
        <v>0</v>
      </c>
      <c r="G104">
        <v>0</v>
      </c>
      <c r="H104">
        <v>237.87</v>
      </c>
      <c r="J104" t="s">
        <v>1050</v>
      </c>
    </row>
    <row r="105" spans="1:10" x14ac:dyDescent="0.2">
      <c r="A105" t="s">
        <v>511</v>
      </c>
      <c r="B105">
        <v>533048</v>
      </c>
      <c r="C105" s="80">
        <v>43349.679861111108</v>
      </c>
      <c r="D105" t="s">
        <v>656</v>
      </c>
      <c r="E105" t="s">
        <v>580</v>
      </c>
      <c r="F105">
        <v>167641</v>
      </c>
      <c r="G105">
        <v>17.12</v>
      </c>
      <c r="H105">
        <v>0</v>
      </c>
      <c r="J105" t="s">
        <v>1051</v>
      </c>
    </row>
    <row r="106" spans="1:10" x14ac:dyDescent="0.2">
      <c r="A106" t="s">
        <v>511</v>
      </c>
      <c r="B106">
        <v>533052</v>
      </c>
      <c r="C106" s="80">
        <v>43349.681944444441</v>
      </c>
      <c r="D106" t="s">
        <v>657</v>
      </c>
      <c r="E106" t="s">
        <v>582</v>
      </c>
      <c r="F106">
        <v>144985</v>
      </c>
      <c r="G106">
        <v>220.75</v>
      </c>
      <c r="H106">
        <v>0</v>
      </c>
      <c r="J106" t="s">
        <v>1052</v>
      </c>
    </row>
    <row r="107" spans="1:10" x14ac:dyDescent="0.2">
      <c r="A107" t="s">
        <v>511</v>
      </c>
      <c r="B107">
        <v>538048</v>
      </c>
      <c r="C107" s="80">
        <v>43368.691666666666</v>
      </c>
      <c r="D107" t="s">
        <v>655</v>
      </c>
      <c r="F107">
        <v>0</v>
      </c>
      <c r="G107">
        <v>0</v>
      </c>
      <c r="H107">
        <v>287.13</v>
      </c>
      <c r="J107" t="s">
        <v>1050</v>
      </c>
    </row>
    <row r="108" spans="1:10" x14ac:dyDescent="0.2">
      <c r="A108" t="s">
        <v>511</v>
      </c>
      <c r="B108">
        <v>538048</v>
      </c>
      <c r="C108" s="80">
        <v>43368.691666666666</v>
      </c>
      <c r="D108" t="s">
        <v>656</v>
      </c>
      <c r="E108" t="s">
        <v>580</v>
      </c>
      <c r="F108">
        <v>169062</v>
      </c>
      <c r="G108">
        <v>20.68</v>
      </c>
      <c r="H108">
        <v>0</v>
      </c>
      <c r="J108" t="s">
        <v>1051</v>
      </c>
    </row>
    <row r="109" spans="1:10" x14ac:dyDescent="0.2">
      <c r="A109" t="s">
        <v>511</v>
      </c>
      <c r="B109">
        <v>538090</v>
      </c>
      <c r="C109" s="80">
        <v>43368.718055555553</v>
      </c>
      <c r="D109" t="s">
        <v>657</v>
      </c>
      <c r="E109" t="s">
        <v>582</v>
      </c>
      <c r="F109">
        <v>146469</v>
      </c>
      <c r="G109">
        <v>266.45</v>
      </c>
      <c r="H109">
        <v>0</v>
      </c>
      <c r="J109" t="s">
        <v>1052</v>
      </c>
    </row>
    <row r="110" spans="1:10" x14ac:dyDescent="0.2">
      <c r="A110" t="s">
        <v>502</v>
      </c>
      <c r="B110">
        <v>534456</v>
      </c>
      <c r="C110" s="80">
        <v>43355.640277777777</v>
      </c>
      <c r="D110" t="s">
        <v>658</v>
      </c>
      <c r="F110">
        <v>0</v>
      </c>
      <c r="G110">
        <v>0</v>
      </c>
      <c r="H110">
        <v>228.52</v>
      </c>
      <c r="J110" t="s">
        <v>1050</v>
      </c>
    </row>
    <row r="111" spans="1:10" x14ac:dyDescent="0.2">
      <c r="A111" t="s">
        <v>502</v>
      </c>
      <c r="B111">
        <v>534456</v>
      </c>
      <c r="C111" s="80">
        <v>43355.640277777777</v>
      </c>
      <c r="D111" t="s">
        <v>659</v>
      </c>
      <c r="E111" t="s">
        <v>580</v>
      </c>
      <c r="F111">
        <v>168109</v>
      </c>
      <c r="G111">
        <v>16.45</v>
      </c>
      <c r="H111">
        <v>0</v>
      </c>
      <c r="J111" t="s">
        <v>1051</v>
      </c>
    </row>
    <row r="112" spans="1:10" x14ac:dyDescent="0.2">
      <c r="A112" t="s">
        <v>502</v>
      </c>
      <c r="B112">
        <v>534461</v>
      </c>
      <c r="C112" s="80">
        <v>43355.642361111109</v>
      </c>
      <c r="D112" t="s">
        <v>660</v>
      </c>
      <c r="E112" t="s">
        <v>582</v>
      </c>
      <c r="F112">
        <v>145484</v>
      </c>
      <c r="G112">
        <v>212.07</v>
      </c>
      <c r="H112">
        <v>0</v>
      </c>
      <c r="J112" t="s">
        <v>1052</v>
      </c>
    </row>
    <row r="113" spans="1:10" x14ac:dyDescent="0.2">
      <c r="A113" t="s">
        <v>502</v>
      </c>
      <c r="B113">
        <v>538053</v>
      </c>
      <c r="C113" s="80">
        <v>43368.691666666666</v>
      </c>
      <c r="D113" t="s">
        <v>658</v>
      </c>
      <c r="F113">
        <v>0</v>
      </c>
      <c r="G113">
        <v>0</v>
      </c>
      <c r="H113">
        <v>271.48</v>
      </c>
      <c r="J113" t="s">
        <v>1050</v>
      </c>
    </row>
    <row r="114" spans="1:10" x14ac:dyDescent="0.2">
      <c r="A114" t="s">
        <v>502</v>
      </c>
      <c r="B114">
        <v>538053</v>
      </c>
      <c r="C114" s="80">
        <v>43368.691666666666</v>
      </c>
      <c r="D114" t="s">
        <v>659</v>
      </c>
      <c r="E114" t="s">
        <v>580</v>
      </c>
      <c r="F114">
        <v>169067</v>
      </c>
      <c r="G114">
        <v>19.55</v>
      </c>
      <c r="H114">
        <v>0</v>
      </c>
      <c r="J114" t="s">
        <v>1051</v>
      </c>
    </row>
    <row r="115" spans="1:10" x14ac:dyDescent="0.2">
      <c r="A115" t="s">
        <v>502</v>
      </c>
      <c r="B115">
        <v>538090</v>
      </c>
      <c r="C115" s="80">
        <v>43368.718055555553</v>
      </c>
      <c r="D115" t="s">
        <v>660</v>
      </c>
      <c r="E115" t="s">
        <v>582</v>
      </c>
      <c r="F115">
        <v>146474</v>
      </c>
      <c r="G115">
        <v>251.93</v>
      </c>
      <c r="H115">
        <v>0</v>
      </c>
      <c r="J115" t="s">
        <v>1052</v>
      </c>
    </row>
    <row r="116" spans="1:10" x14ac:dyDescent="0.2">
      <c r="A116" t="s">
        <v>502</v>
      </c>
      <c r="B116">
        <v>538794</v>
      </c>
      <c r="C116" s="80">
        <v>43371.397222222222</v>
      </c>
      <c r="D116" t="s">
        <v>661</v>
      </c>
      <c r="E116" t="s">
        <v>594</v>
      </c>
      <c r="F116">
        <v>2436</v>
      </c>
      <c r="G116">
        <v>76</v>
      </c>
      <c r="H116">
        <v>0</v>
      </c>
      <c r="J116" t="s">
        <v>1053</v>
      </c>
    </row>
    <row r="117" spans="1:10" x14ac:dyDescent="0.2">
      <c r="A117" t="s">
        <v>500</v>
      </c>
      <c r="B117">
        <v>533603</v>
      </c>
      <c r="C117" s="80">
        <v>43353.643750000003</v>
      </c>
      <c r="D117" t="s">
        <v>662</v>
      </c>
      <c r="F117">
        <v>0</v>
      </c>
      <c r="G117">
        <v>0</v>
      </c>
      <c r="H117">
        <v>650</v>
      </c>
      <c r="J117" t="s">
        <v>1050</v>
      </c>
    </row>
    <row r="118" spans="1:10" x14ac:dyDescent="0.2">
      <c r="A118" t="s">
        <v>500</v>
      </c>
      <c r="B118">
        <v>533603</v>
      </c>
      <c r="C118" s="80">
        <v>43353.643750000003</v>
      </c>
      <c r="D118" t="s">
        <v>663</v>
      </c>
      <c r="E118" t="s">
        <v>580</v>
      </c>
      <c r="F118">
        <v>167866</v>
      </c>
      <c r="G118">
        <v>46.8</v>
      </c>
      <c r="H118">
        <v>0</v>
      </c>
      <c r="J118" t="s">
        <v>1051</v>
      </c>
    </row>
    <row r="119" spans="1:10" x14ac:dyDescent="0.2">
      <c r="A119" t="s">
        <v>500</v>
      </c>
      <c r="B119">
        <v>533627</v>
      </c>
      <c r="C119" s="80">
        <v>43353.647222222222</v>
      </c>
      <c r="D119" t="s">
        <v>664</v>
      </c>
      <c r="E119" t="s">
        <v>582</v>
      </c>
      <c r="F119">
        <v>145128</v>
      </c>
      <c r="G119">
        <v>603.20000000000005</v>
      </c>
      <c r="H119">
        <v>0</v>
      </c>
      <c r="J119" t="s">
        <v>1052</v>
      </c>
    </row>
    <row r="120" spans="1:10" x14ac:dyDescent="0.2">
      <c r="A120" t="s">
        <v>504</v>
      </c>
      <c r="B120">
        <v>534483</v>
      </c>
      <c r="C120" s="80">
        <v>43355.740277777775</v>
      </c>
      <c r="D120" t="s">
        <v>665</v>
      </c>
      <c r="E120" t="s">
        <v>594</v>
      </c>
      <c r="F120">
        <v>12092018</v>
      </c>
      <c r="G120">
        <v>90</v>
      </c>
      <c r="H120">
        <v>0</v>
      </c>
      <c r="J120" t="s">
        <v>1053</v>
      </c>
    </row>
    <row r="121" spans="1:10" x14ac:dyDescent="0.2">
      <c r="A121" t="s">
        <v>504</v>
      </c>
      <c r="B121">
        <v>535095</v>
      </c>
      <c r="C121" s="80">
        <v>43356.71597222222</v>
      </c>
      <c r="D121" t="s">
        <v>666</v>
      </c>
      <c r="F121">
        <v>0</v>
      </c>
      <c r="G121">
        <v>0</v>
      </c>
      <c r="H121">
        <v>550</v>
      </c>
      <c r="J121" t="s">
        <v>1050</v>
      </c>
    </row>
    <row r="122" spans="1:10" x14ac:dyDescent="0.2">
      <c r="A122" t="s">
        <v>504</v>
      </c>
      <c r="B122">
        <v>535095</v>
      </c>
      <c r="C122" s="80">
        <v>43356.71597222222</v>
      </c>
      <c r="D122" t="s">
        <v>667</v>
      </c>
      <c r="E122" t="s">
        <v>580</v>
      </c>
      <c r="F122">
        <v>168179</v>
      </c>
      <c r="G122">
        <v>39.6</v>
      </c>
      <c r="H122">
        <v>0</v>
      </c>
      <c r="J122" t="s">
        <v>1051</v>
      </c>
    </row>
    <row r="123" spans="1:10" x14ac:dyDescent="0.2">
      <c r="A123" t="s">
        <v>504</v>
      </c>
      <c r="B123">
        <v>535101</v>
      </c>
      <c r="C123" s="80">
        <v>43356.71875</v>
      </c>
      <c r="D123" t="s">
        <v>668</v>
      </c>
      <c r="E123" t="s">
        <v>582</v>
      </c>
      <c r="F123">
        <v>145702</v>
      </c>
      <c r="G123">
        <v>420.4</v>
      </c>
      <c r="H123">
        <v>0</v>
      </c>
      <c r="J123" t="s">
        <v>1052</v>
      </c>
    </row>
    <row r="124" spans="1:10" x14ac:dyDescent="0.2">
      <c r="A124" t="s">
        <v>504</v>
      </c>
      <c r="B124">
        <v>535257</v>
      </c>
      <c r="C124" s="80">
        <v>43357.537499999999</v>
      </c>
      <c r="D124" t="s">
        <v>669</v>
      </c>
      <c r="E124" t="s">
        <v>594</v>
      </c>
      <c r="F124">
        <v>2019927</v>
      </c>
      <c r="G124">
        <v>456</v>
      </c>
      <c r="H124">
        <v>0</v>
      </c>
      <c r="J124" t="s">
        <v>1053</v>
      </c>
    </row>
    <row r="125" spans="1:10" x14ac:dyDescent="0.2">
      <c r="A125" t="s">
        <v>506</v>
      </c>
      <c r="B125">
        <v>533303</v>
      </c>
      <c r="C125" s="80">
        <v>43350.645138888889</v>
      </c>
      <c r="D125" t="s">
        <v>670</v>
      </c>
      <c r="E125" t="s">
        <v>594</v>
      </c>
      <c r="F125">
        <v>1814</v>
      </c>
      <c r="G125">
        <v>280</v>
      </c>
      <c r="H125">
        <v>0</v>
      </c>
      <c r="J125" t="s">
        <v>1053</v>
      </c>
    </row>
    <row r="126" spans="1:10" x14ac:dyDescent="0.2">
      <c r="A126" t="s">
        <v>506</v>
      </c>
      <c r="B126">
        <v>535449</v>
      </c>
      <c r="C126" s="80">
        <v>43358.496527777781</v>
      </c>
      <c r="D126" t="s">
        <v>671</v>
      </c>
      <c r="E126" t="s">
        <v>594</v>
      </c>
      <c r="F126">
        <v>2565</v>
      </c>
      <c r="G126">
        <v>140</v>
      </c>
      <c r="H126">
        <v>0</v>
      </c>
      <c r="J126" t="s">
        <v>1053</v>
      </c>
    </row>
    <row r="127" spans="1:10" x14ac:dyDescent="0.2">
      <c r="A127" t="s">
        <v>469</v>
      </c>
      <c r="B127">
        <v>535448</v>
      </c>
      <c r="C127" s="80">
        <v>43358.496527777781</v>
      </c>
      <c r="D127" t="s">
        <v>672</v>
      </c>
      <c r="E127" t="s">
        <v>594</v>
      </c>
      <c r="F127">
        <v>7995</v>
      </c>
      <c r="G127">
        <v>25</v>
      </c>
      <c r="H127">
        <v>0</v>
      </c>
      <c r="J127" t="s">
        <v>1053</v>
      </c>
    </row>
    <row r="128" spans="1:10" x14ac:dyDescent="0.2">
      <c r="A128" t="s">
        <v>469</v>
      </c>
      <c r="B128">
        <v>538028</v>
      </c>
      <c r="C128" s="80">
        <v>43368.691666666666</v>
      </c>
      <c r="D128" t="s">
        <v>673</v>
      </c>
      <c r="F128">
        <v>0</v>
      </c>
      <c r="G128">
        <v>0</v>
      </c>
      <c r="H128">
        <v>499.04</v>
      </c>
      <c r="J128" t="s">
        <v>1050</v>
      </c>
    </row>
    <row r="129" spans="1:10" x14ac:dyDescent="0.2">
      <c r="A129" t="s">
        <v>469</v>
      </c>
      <c r="B129">
        <v>538028</v>
      </c>
      <c r="C129" s="80">
        <v>43368.691666666666</v>
      </c>
      <c r="D129" t="s">
        <v>674</v>
      </c>
      <c r="E129" t="s">
        <v>580</v>
      </c>
      <c r="F129">
        <v>169043</v>
      </c>
      <c r="G129">
        <v>35.93</v>
      </c>
      <c r="H129">
        <v>0</v>
      </c>
      <c r="J129" t="s">
        <v>1051</v>
      </c>
    </row>
    <row r="130" spans="1:10" x14ac:dyDescent="0.2">
      <c r="A130" t="s">
        <v>469</v>
      </c>
      <c r="B130">
        <v>538090</v>
      </c>
      <c r="C130" s="80">
        <v>43368.718055555553</v>
      </c>
      <c r="D130" t="s">
        <v>675</v>
      </c>
      <c r="E130" t="s">
        <v>582</v>
      </c>
      <c r="F130">
        <v>146449</v>
      </c>
      <c r="G130">
        <v>438.11</v>
      </c>
      <c r="H130">
        <v>0</v>
      </c>
      <c r="J130" t="s">
        <v>1052</v>
      </c>
    </row>
    <row r="131" spans="1:10" x14ac:dyDescent="0.2">
      <c r="A131" s="56" t="s">
        <v>470</v>
      </c>
      <c r="B131">
        <v>536457</v>
      </c>
      <c r="C131" s="80">
        <v>43362.648611111108</v>
      </c>
      <c r="D131" t="s">
        <v>676</v>
      </c>
      <c r="F131">
        <v>0</v>
      </c>
      <c r="G131">
        <v>0</v>
      </c>
      <c r="H131">
        <v>600</v>
      </c>
      <c r="J131" t="s">
        <v>1050</v>
      </c>
    </row>
    <row r="132" spans="1:10" x14ac:dyDescent="0.2">
      <c r="A132" s="56" t="s">
        <v>470</v>
      </c>
      <c r="B132">
        <v>536457</v>
      </c>
      <c r="C132" s="80">
        <v>43362.648611111108</v>
      </c>
      <c r="D132" t="s">
        <v>677</v>
      </c>
      <c r="E132" t="s">
        <v>580</v>
      </c>
      <c r="F132">
        <v>168609</v>
      </c>
      <c r="G132">
        <v>43.2</v>
      </c>
      <c r="H132">
        <v>0</v>
      </c>
      <c r="J132" t="s">
        <v>1051</v>
      </c>
    </row>
    <row r="133" spans="1:10" x14ac:dyDescent="0.2">
      <c r="A133" s="56" t="s">
        <v>470</v>
      </c>
      <c r="B133">
        <v>536460</v>
      </c>
      <c r="C133" s="80">
        <v>43362.652777777781</v>
      </c>
      <c r="D133" t="s">
        <v>678</v>
      </c>
      <c r="E133" t="s">
        <v>582</v>
      </c>
      <c r="F133">
        <v>146044</v>
      </c>
      <c r="G133">
        <v>556.79999999999995</v>
      </c>
      <c r="H133">
        <v>0</v>
      </c>
      <c r="J133" t="s">
        <v>1052</v>
      </c>
    </row>
    <row r="134" spans="1:10" x14ac:dyDescent="0.2">
      <c r="A134" t="s">
        <v>471</v>
      </c>
      <c r="B134">
        <v>538417</v>
      </c>
      <c r="C134" s="80">
        <v>43369.638888888891</v>
      </c>
      <c r="D134" t="s">
        <v>679</v>
      </c>
      <c r="F134">
        <v>0</v>
      </c>
      <c r="G134">
        <v>0</v>
      </c>
      <c r="H134">
        <v>499.04</v>
      </c>
      <c r="J134" t="s">
        <v>1050</v>
      </c>
    </row>
    <row r="135" spans="1:10" x14ac:dyDescent="0.2">
      <c r="A135" t="s">
        <v>471</v>
      </c>
      <c r="B135">
        <v>538417</v>
      </c>
      <c r="C135" s="80">
        <v>43369.638888888891</v>
      </c>
      <c r="D135" t="s">
        <v>680</v>
      </c>
      <c r="E135" t="s">
        <v>580</v>
      </c>
      <c r="F135">
        <v>169247</v>
      </c>
      <c r="G135">
        <v>35.93</v>
      </c>
      <c r="H135">
        <v>0</v>
      </c>
      <c r="J135" t="s">
        <v>1051</v>
      </c>
    </row>
    <row r="136" spans="1:10" x14ac:dyDescent="0.2">
      <c r="A136" t="s">
        <v>471</v>
      </c>
      <c r="B136">
        <v>538426</v>
      </c>
      <c r="C136" s="80">
        <v>43369.640972222223</v>
      </c>
      <c r="D136" t="s">
        <v>681</v>
      </c>
      <c r="E136" t="s">
        <v>582</v>
      </c>
      <c r="F136">
        <v>146597</v>
      </c>
      <c r="G136">
        <v>463.11</v>
      </c>
      <c r="H136">
        <v>0</v>
      </c>
      <c r="J136" t="s">
        <v>1052</v>
      </c>
    </row>
    <row r="137" spans="1:10" x14ac:dyDescent="0.2">
      <c r="A137" t="s">
        <v>478</v>
      </c>
      <c r="B137">
        <v>535765</v>
      </c>
      <c r="C137" s="80">
        <v>43360.662499999999</v>
      </c>
      <c r="D137" t="s">
        <v>682</v>
      </c>
      <c r="F137">
        <v>0</v>
      </c>
      <c r="G137">
        <v>0</v>
      </c>
      <c r="H137">
        <v>119.6</v>
      </c>
      <c r="J137" t="s">
        <v>1050</v>
      </c>
    </row>
    <row r="138" spans="1:10" x14ac:dyDescent="0.2">
      <c r="A138" t="s">
        <v>478</v>
      </c>
      <c r="B138">
        <v>535765</v>
      </c>
      <c r="C138" s="80">
        <v>43360.662499999999</v>
      </c>
      <c r="D138" t="s">
        <v>683</v>
      </c>
      <c r="E138" t="s">
        <v>580</v>
      </c>
      <c r="F138">
        <v>168385</v>
      </c>
      <c r="G138">
        <v>8.6199999999999992</v>
      </c>
      <c r="H138">
        <v>0</v>
      </c>
      <c r="J138" t="s">
        <v>1051</v>
      </c>
    </row>
    <row r="139" spans="1:10" x14ac:dyDescent="0.2">
      <c r="A139" t="s">
        <v>478</v>
      </c>
      <c r="B139">
        <v>535770</v>
      </c>
      <c r="C139" s="80">
        <v>43360.663888888892</v>
      </c>
      <c r="D139" t="s">
        <v>684</v>
      </c>
      <c r="E139" t="s">
        <v>582</v>
      </c>
      <c r="F139">
        <v>145849</v>
      </c>
      <c r="G139">
        <v>110.98</v>
      </c>
      <c r="H139">
        <v>0</v>
      </c>
      <c r="J139" t="s">
        <v>1052</v>
      </c>
    </row>
    <row r="140" spans="1:10" x14ac:dyDescent="0.2">
      <c r="A140" t="s">
        <v>478</v>
      </c>
      <c r="B140">
        <v>538049</v>
      </c>
      <c r="C140" s="80">
        <v>43368.691666666666</v>
      </c>
      <c r="D140" t="s">
        <v>682</v>
      </c>
      <c r="F140">
        <v>0</v>
      </c>
      <c r="G140">
        <v>0</v>
      </c>
      <c r="H140">
        <v>275.39999999999998</v>
      </c>
      <c r="J140" t="s">
        <v>1050</v>
      </c>
    </row>
    <row r="141" spans="1:10" x14ac:dyDescent="0.2">
      <c r="A141" t="s">
        <v>478</v>
      </c>
      <c r="B141">
        <v>538049</v>
      </c>
      <c r="C141" s="80">
        <v>43368.691666666666</v>
      </c>
      <c r="D141" t="s">
        <v>683</v>
      </c>
      <c r="E141" t="s">
        <v>580</v>
      </c>
      <c r="F141">
        <v>169063</v>
      </c>
      <c r="G141">
        <v>19.82</v>
      </c>
      <c r="H141">
        <v>0</v>
      </c>
      <c r="J141" t="s">
        <v>1051</v>
      </c>
    </row>
    <row r="142" spans="1:10" x14ac:dyDescent="0.2">
      <c r="A142" t="s">
        <v>478</v>
      </c>
      <c r="B142">
        <v>538090</v>
      </c>
      <c r="C142" s="80">
        <v>43368.718055555553</v>
      </c>
      <c r="D142" t="s">
        <v>684</v>
      </c>
      <c r="E142" t="s">
        <v>582</v>
      </c>
      <c r="F142">
        <v>146470</v>
      </c>
      <c r="G142">
        <v>255.58</v>
      </c>
      <c r="H142">
        <v>0</v>
      </c>
      <c r="J142" t="s">
        <v>1052</v>
      </c>
    </row>
    <row r="143" spans="1:10" x14ac:dyDescent="0.2">
      <c r="A143" t="s">
        <v>474</v>
      </c>
      <c r="B143">
        <v>534035</v>
      </c>
      <c r="C143" s="80">
        <v>43354.661111111112</v>
      </c>
      <c r="D143" t="s">
        <v>685</v>
      </c>
      <c r="F143">
        <v>0</v>
      </c>
      <c r="G143">
        <v>0</v>
      </c>
      <c r="H143">
        <v>32.700000000000003</v>
      </c>
      <c r="J143" t="s">
        <v>1050</v>
      </c>
    </row>
    <row r="144" spans="1:10" x14ac:dyDescent="0.2">
      <c r="A144" t="s">
        <v>474</v>
      </c>
      <c r="B144">
        <v>534035</v>
      </c>
      <c r="C144" s="80">
        <v>43354.661111111112</v>
      </c>
      <c r="D144" t="s">
        <v>686</v>
      </c>
      <c r="E144" t="s">
        <v>580</v>
      </c>
      <c r="F144">
        <v>168014</v>
      </c>
      <c r="G144">
        <v>2.35</v>
      </c>
      <c r="H144">
        <v>0</v>
      </c>
      <c r="J144" t="s">
        <v>1051</v>
      </c>
    </row>
    <row r="145" spans="1:10" x14ac:dyDescent="0.2">
      <c r="A145" t="s">
        <v>474</v>
      </c>
      <c r="B145">
        <v>534049</v>
      </c>
      <c r="C145" s="80">
        <v>43354.663888888892</v>
      </c>
      <c r="D145" t="s">
        <v>687</v>
      </c>
      <c r="E145" t="s">
        <v>582</v>
      </c>
      <c r="F145">
        <v>145267</v>
      </c>
      <c r="G145">
        <v>30.35</v>
      </c>
      <c r="H145">
        <v>0</v>
      </c>
      <c r="J145" t="s">
        <v>1052</v>
      </c>
    </row>
    <row r="146" spans="1:10" x14ac:dyDescent="0.2">
      <c r="A146" t="s">
        <v>474</v>
      </c>
      <c r="B146">
        <v>538042</v>
      </c>
      <c r="C146" s="80">
        <v>43368.691666666666</v>
      </c>
      <c r="D146" t="s">
        <v>685</v>
      </c>
      <c r="F146">
        <v>0</v>
      </c>
      <c r="G146">
        <v>0</v>
      </c>
      <c r="H146">
        <v>461.52</v>
      </c>
      <c r="J146" t="s">
        <v>1050</v>
      </c>
    </row>
    <row r="147" spans="1:10" x14ac:dyDescent="0.2">
      <c r="A147" t="s">
        <v>474</v>
      </c>
      <c r="B147">
        <v>538042</v>
      </c>
      <c r="C147" s="80">
        <v>43368.691666666666</v>
      </c>
      <c r="D147" t="s">
        <v>686</v>
      </c>
      <c r="E147" t="s">
        <v>580</v>
      </c>
      <c r="F147">
        <v>169056</v>
      </c>
      <c r="G147">
        <v>33.229999999999997</v>
      </c>
      <c r="H147">
        <v>0</v>
      </c>
      <c r="J147" t="s">
        <v>1051</v>
      </c>
    </row>
    <row r="148" spans="1:10" x14ac:dyDescent="0.2">
      <c r="A148" t="s">
        <v>474</v>
      </c>
      <c r="B148">
        <v>538090</v>
      </c>
      <c r="C148" s="80">
        <v>43368.718055555553</v>
      </c>
      <c r="D148" t="s">
        <v>687</v>
      </c>
      <c r="E148" t="s">
        <v>582</v>
      </c>
      <c r="F148">
        <v>146463</v>
      </c>
      <c r="G148">
        <v>428.29</v>
      </c>
      <c r="H148">
        <v>0</v>
      </c>
      <c r="J148" t="s">
        <v>1052</v>
      </c>
    </row>
    <row r="149" spans="1:10" x14ac:dyDescent="0.2">
      <c r="A149" t="s">
        <v>509</v>
      </c>
      <c r="B149">
        <v>538046</v>
      </c>
      <c r="C149" s="80">
        <v>43368.691666666666</v>
      </c>
      <c r="D149" t="s">
        <v>688</v>
      </c>
      <c r="F149">
        <v>0</v>
      </c>
      <c r="G149">
        <v>0</v>
      </c>
      <c r="H149">
        <v>500</v>
      </c>
      <c r="J149" t="s">
        <v>1050</v>
      </c>
    </row>
    <row r="150" spans="1:10" x14ac:dyDescent="0.2">
      <c r="A150" t="s">
        <v>509</v>
      </c>
      <c r="B150">
        <v>538046</v>
      </c>
      <c r="C150" s="80">
        <v>43368.691666666666</v>
      </c>
      <c r="D150" t="s">
        <v>689</v>
      </c>
      <c r="E150" t="s">
        <v>580</v>
      </c>
      <c r="F150">
        <v>169060</v>
      </c>
      <c r="G150">
        <v>36</v>
      </c>
      <c r="H150">
        <v>0</v>
      </c>
      <c r="J150" t="s">
        <v>1051</v>
      </c>
    </row>
    <row r="151" spans="1:10" x14ac:dyDescent="0.2">
      <c r="A151" t="s">
        <v>509</v>
      </c>
      <c r="B151">
        <v>538090</v>
      </c>
      <c r="C151" s="80">
        <v>43368.718055555553</v>
      </c>
      <c r="D151" t="s">
        <v>690</v>
      </c>
      <c r="E151" t="s">
        <v>582</v>
      </c>
      <c r="F151">
        <v>146467</v>
      </c>
      <c r="G151">
        <v>464</v>
      </c>
      <c r="H151">
        <v>0</v>
      </c>
      <c r="J151" t="s">
        <v>1052</v>
      </c>
    </row>
    <row r="152" spans="1:10" x14ac:dyDescent="0.2">
      <c r="A152" t="s">
        <v>473</v>
      </c>
      <c r="B152">
        <v>534034</v>
      </c>
      <c r="C152" s="80">
        <v>43354.661111111112</v>
      </c>
      <c r="D152" t="s">
        <v>691</v>
      </c>
      <c r="F152">
        <v>0</v>
      </c>
      <c r="G152">
        <v>0</v>
      </c>
      <c r="H152">
        <v>37.520000000000003</v>
      </c>
      <c r="J152" t="s">
        <v>1050</v>
      </c>
    </row>
    <row r="153" spans="1:10" x14ac:dyDescent="0.2">
      <c r="A153" t="s">
        <v>473</v>
      </c>
      <c r="B153">
        <v>534034</v>
      </c>
      <c r="C153" s="80">
        <v>43354.661111111112</v>
      </c>
      <c r="D153" t="s">
        <v>692</v>
      </c>
      <c r="E153" t="s">
        <v>580</v>
      </c>
      <c r="F153">
        <v>168013</v>
      </c>
      <c r="G153">
        <v>2.7</v>
      </c>
      <c r="H153">
        <v>0</v>
      </c>
      <c r="J153" t="s">
        <v>1051</v>
      </c>
    </row>
    <row r="154" spans="1:10" x14ac:dyDescent="0.2">
      <c r="A154" t="s">
        <v>473</v>
      </c>
      <c r="B154">
        <v>534049</v>
      </c>
      <c r="C154" s="80">
        <v>43354.663888888892</v>
      </c>
      <c r="D154" t="s">
        <v>693</v>
      </c>
      <c r="E154" t="s">
        <v>582</v>
      </c>
      <c r="F154">
        <v>145266</v>
      </c>
      <c r="G154">
        <v>34.82</v>
      </c>
      <c r="H154">
        <v>0</v>
      </c>
      <c r="J154" t="s">
        <v>1052</v>
      </c>
    </row>
    <row r="155" spans="1:10" x14ac:dyDescent="0.2">
      <c r="A155" t="s">
        <v>473</v>
      </c>
      <c r="B155">
        <v>538041</v>
      </c>
      <c r="C155" s="80">
        <v>43368.691666666666</v>
      </c>
      <c r="D155" t="s">
        <v>691</v>
      </c>
      <c r="F155">
        <v>0</v>
      </c>
      <c r="G155">
        <v>0</v>
      </c>
      <c r="H155">
        <v>461.52</v>
      </c>
      <c r="J155" t="s">
        <v>1050</v>
      </c>
    </row>
    <row r="156" spans="1:10" x14ac:dyDescent="0.2">
      <c r="A156" t="s">
        <v>473</v>
      </c>
      <c r="B156">
        <v>538041</v>
      </c>
      <c r="C156" s="80">
        <v>43368.691666666666</v>
      </c>
      <c r="D156" t="s">
        <v>692</v>
      </c>
      <c r="E156" t="s">
        <v>580</v>
      </c>
      <c r="F156">
        <v>169055</v>
      </c>
      <c r="G156">
        <v>33.229999999999997</v>
      </c>
      <c r="H156">
        <v>0</v>
      </c>
      <c r="J156" t="s">
        <v>1051</v>
      </c>
    </row>
    <row r="157" spans="1:10" x14ac:dyDescent="0.2">
      <c r="A157" t="s">
        <v>473</v>
      </c>
      <c r="B157">
        <v>538090</v>
      </c>
      <c r="C157" s="80">
        <v>43368.718055555553</v>
      </c>
      <c r="D157" t="s">
        <v>693</v>
      </c>
      <c r="E157" t="s">
        <v>582</v>
      </c>
      <c r="F157">
        <v>146462</v>
      </c>
      <c r="G157">
        <v>428.29</v>
      </c>
      <c r="H157">
        <v>0</v>
      </c>
      <c r="J157" t="s">
        <v>1052</v>
      </c>
    </row>
    <row r="158" spans="1:10" x14ac:dyDescent="0.2">
      <c r="A158" t="s">
        <v>473</v>
      </c>
      <c r="B158">
        <v>539129</v>
      </c>
      <c r="C158" s="80">
        <v>43371.636805555558</v>
      </c>
      <c r="D158" t="s">
        <v>694</v>
      </c>
      <c r="E158" t="s">
        <v>594</v>
      </c>
      <c r="F158">
        <v>2630</v>
      </c>
      <c r="G158">
        <v>75</v>
      </c>
      <c r="H158">
        <v>0</v>
      </c>
      <c r="J158" t="s">
        <v>1053</v>
      </c>
    </row>
    <row r="159" spans="1:10" x14ac:dyDescent="0.2">
      <c r="A159" t="s">
        <v>472</v>
      </c>
      <c r="B159">
        <v>534569</v>
      </c>
      <c r="C159" s="80">
        <v>43356.444444444445</v>
      </c>
      <c r="D159" t="s">
        <v>695</v>
      </c>
      <c r="E159" t="s">
        <v>594</v>
      </c>
      <c r="F159">
        <v>3830</v>
      </c>
      <c r="G159">
        <v>135</v>
      </c>
      <c r="H159">
        <v>0</v>
      </c>
      <c r="J159" t="s">
        <v>1053</v>
      </c>
    </row>
    <row r="160" spans="1:10" x14ac:dyDescent="0.2">
      <c r="A160" t="s">
        <v>472</v>
      </c>
      <c r="B160">
        <v>535452</v>
      </c>
      <c r="C160" s="80">
        <v>43358.533333333333</v>
      </c>
      <c r="D160" t="s">
        <v>696</v>
      </c>
      <c r="E160" t="s">
        <v>594</v>
      </c>
      <c r="F160">
        <v>13738</v>
      </c>
      <c r="G160">
        <v>150</v>
      </c>
      <c r="H160">
        <v>0</v>
      </c>
      <c r="J160" t="s">
        <v>1053</v>
      </c>
    </row>
    <row r="161" spans="1:10" x14ac:dyDescent="0.2">
      <c r="A161" t="s">
        <v>472</v>
      </c>
      <c r="B161">
        <v>538026</v>
      </c>
      <c r="C161" s="80">
        <v>43368.691666666666</v>
      </c>
      <c r="D161" t="s">
        <v>697</v>
      </c>
      <c r="F161">
        <v>0</v>
      </c>
      <c r="G161">
        <v>0</v>
      </c>
      <c r="H161">
        <v>354.08</v>
      </c>
      <c r="J161" t="s">
        <v>1050</v>
      </c>
    </row>
    <row r="162" spans="1:10" x14ac:dyDescent="0.2">
      <c r="A162" t="s">
        <v>472</v>
      </c>
      <c r="B162">
        <v>538026</v>
      </c>
      <c r="C162" s="80">
        <v>43368.691666666666</v>
      </c>
      <c r="D162" t="s">
        <v>698</v>
      </c>
      <c r="E162" t="s">
        <v>580</v>
      </c>
      <c r="F162">
        <v>169041</v>
      </c>
      <c r="G162">
        <v>25.49</v>
      </c>
      <c r="H162">
        <v>0</v>
      </c>
      <c r="J162" t="s">
        <v>1051</v>
      </c>
    </row>
    <row r="163" spans="1:10" x14ac:dyDescent="0.2">
      <c r="A163" t="s">
        <v>472</v>
      </c>
      <c r="B163">
        <v>538026</v>
      </c>
      <c r="C163" s="80">
        <v>43368.691666666666</v>
      </c>
      <c r="D163" t="s">
        <v>699</v>
      </c>
      <c r="F163">
        <v>0</v>
      </c>
      <c r="G163">
        <v>0</v>
      </c>
      <c r="H163">
        <v>112.04</v>
      </c>
      <c r="J163" t="s">
        <v>1050</v>
      </c>
    </row>
    <row r="164" spans="1:10" x14ac:dyDescent="0.2">
      <c r="A164" t="s">
        <v>472</v>
      </c>
      <c r="B164">
        <v>538026</v>
      </c>
      <c r="C164" s="80">
        <v>43368.691666666666</v>
      </c>
      <c r="D164" t="s">
        <v>698</v>
      </c>
      <c r="E164" t="s">
        <v>580</v>
      </c>
      <c r="F164">
        <v>169041</v>
      </c>
      <c r="G164">
        <v>8.06</v>
      </c>
      <c r="H164">
        <v>0</v>
      </c>
      <c r="J164" t="s">
        <v>1051</v>
      </c>
    </row>
    <row r="165" spans="1:10" x14ac:dyDescent="0.2">
      <c r="A165" t="s">
        <v>472</v>
      </c>
      <c r="B165">
        <v>538090</v>
      </c>
      <c r="C165" s="80">
        <v>43368.718055555553</v>
      </c>
      <c r="D165" t="s">
        <v>700</v>
      </c>
      <c r="E165" t="s">
        <v>582</v>
      </c>
      <c r="F165">
        <v>146447</v>
      </c>
      <c r="G165">
        <v>147.57</v>
      </c>
      <c r="H165">
        <v>0</v>
      </c>
      <c r="J165" t="s">
        <v>1052</v>
      </c>
    </row>
    <row r="166" spans="1:10" x14ac:dyDescent="0.2">
      <c r="A166" t="s">
        <v>479</v>
      </c>
      <c r="B166">
        <v>534045</v>
      </c>
      <c r="C166" s="80">
        <v>43354.661111111112</v>
      </c>
      <c r="D166" t="s">
        <v>701</v>
      </c>
      <c r="F166">
        <v>0</v>
      </c>
      <c r="G166">
        <v>0</v>
      </c>
      <c r="H166">
        <v>350</v>
      </c>
      <c r="J166" t="s">
        <v>1050</v>
      </c>
    </row>
    <row r="167" spans="1:10" x14ac:dyDescent="0.2">
      <c r="A167" t="s">
        <v>479</v>
      </c>
      <c r="B167">
        <v>534045</v>
      </c>
      <c r="C167" s="80">
        <v>43354.661111111112</v>
      </c>
      <c r="D167" t="s">
        <v>702</v>
      </c>
      <c r="E167" t="s">
        <v>580</v>
      </c>
      <c r="F167">
        <v>168023</v>
      </c>
      <c r="G167">
        <v>25.2</v>
      </c>
      <c r="H167">
        <v>0</v>
      </c>
      <c r="J167" t="s">
        <v>1051</v>
      </c>
    </row>
    <row r="168" spans="1:10" x14ac:dyDescent="0.2">
      <c r="A168" t="s">
        <v>479</v>
      </c>
      <c r="B168">
        <v>534049</v>
      </c>
      <c r="C168" s="80">
        <v>43354.663888888892</v>
      </c>
      <c r="D168" t="s">
        <v>703</v>
      </c>
      <c r="E168" t="s">
        <v>582</v>
      </c>
      <c r="F168">
        <v>145277</v>
      </c>
      <c r="G168">
        <v>324.8</v>
      </c>
      <c r="H168">
        <v>0</v>
      </c>
      <c r="J168" t="s">
        <v>1052</v>
      </c>
    </row>
    <row r="169" spans="1:10" x14ac:dyDescent="0.2">
      <c r="A169" t="s">
        <v>562</v>
      </c>
      <c r="B169">
        <v>532218</v>
      </c>
      <c r="C169" s="80">
        <v>43347.670138888891</v>
      </c>
      <c r="D169" t="s">
        <v>704</v>
      </c>
      <c r="F169">
        <v>0</v>
      </c>
      <c r="G169">
        <v>0</v>
      </c>
      <c r="H169">
        <v>520</v>
      </c>
      <c r="J169" t="s">
        <v>1050</v>
      </c>
    </row>
    <row r="170" spans="1:10" x14ac:dyDescent="0.2">
      <c r="A170" t="s">
        <v>562</v>
      </c>
      <c r="B170">
        <v>532218</v>
      </c>
      <c r="C170" s="80">
        <v>43347.670138888891</v>
      </c>
      <c r="D170" t="s">
        <v>705</v>
      </c>
      <c r="E170" t="s">
        <v>580</v>
      </c>
      <c r="F170">
        <v>167234</v>
      </c>
      <c r="G170">
        <v>37.44</v>
      </c>
      <c r="H170">
        <v>0</v>
      </c>
      <c r="J170" t="s">
        <v>1051</v>
      </c>
    </row>
    <row r="171" spans="1:10" x14ac:dyDescent="0.2">
      <c r="A171" t="s">
        <v>562</v>
      </c>
      <c r="B171">
        <v>532441</v>
      </c>
      <c r="C171" s="80">
        <v>43347.691666666666</v>
      </c>
      <c r="D171" t="s">
        <v>706</v>
      </c>
      <c r="E171" t="s">
        <v>582</v>
      </c>
      <c r="F171">
        <v>144615</v>
      </c>
      <c r="G171">
        <v>482.56</v>
      </c>
      <c r="H171">
        <v>0</v>
      </c>
      <c r="J171" t="s">
        <v>1052</v>
      </c>
    </row>
    <row r="172" spans="1:10" x14ac:dyDescent="0.2">
      <c r="A172" t="s">
        <v>484</v>
      </c>
      <c r="B172">
        <v>533616</v>
      </c>
      <c r="C172" s="80">
        <v>43353.643750000003</v>
      </c>
      <c r="D172" t="s">
        <v>707</v>
      </c>
      <c r="F172">
        <v>0</v>
      </c>
      <c r="G172">
        <v>0</v>
      </c>
      <c r="H172">
        <v>365.32</v>
      </c>
      <c r="J172" t="s">
        <v>1050</v>
      </c>
    </row>
    <row r="173" spans="1:10" x14ac:dyDescent="0.2">
      <c r="A173" t="s">
        <v>484</v>
      </c>
      <c r="B173">
        <v>533616</v>
      </c>
      <c r="C173" s="80">
        <v>43353.643750000003</v>
      </c>
      <c r="D173" t="s">
        <v>708</v>
      </c>
      <c r="E173" t="s">
        <v>580</v>
      </c>
      <c r="F173">
        <v>167878</v>
      </c>
      <c r="G173">
        <v>26.3</v>
      </c>
      <c r="H173">
        <v>0</v>
      </c>
      <c r="J173" t="s">
        <v>1051</v>
      </c>
    </row>
    <row r="174" spans="1:10" x14ac:dyDescent="0.2">
      <c r="A174" t="s">
        <v>484</v>
      </c>
      <c r="B174">
        <v>533627</v>
      </c>
      <c r="C174" s="80">
        <v>43353.647222222222</v>
      </c>
      <c r="D174" t="s">
        <v>709</v>
      </c>
      <c r="E174" t="s">
        <v>582</v>
      </c>
      <c r="F174">
        <v>145141</v>
      </c>
      <c r="G174">
        <v>339.02</v>
      </c>
      <c r="H174">
        <v>0</v>
      </c>
      <c r="J174" t="s">
        <v>1052</v>
      </c>
    </row>
    <row r="175" spans="1:10" x14ac:dyDescent="0.2">
      <c r="A175" t="s">
        <v>484</v>
      </c>
      <c r="B175">
        <v>538054</v>
      </c>
      <c r="C175" s="80">
        <v>43368.691666666666</v>
      </c>
      <c r="D175" t="s">
        <v>707</v>
      </c>
      <c r="F175">
        <v>0</v>
      </c>
      <c r="G175">
        <v>0</v>
      </c>
      <c r="H175">
        <v>134.68</v>
      </c>
      <c r="J175" t="s">
        <v>1050</v>
      </c>
    </row>
    <row r="176" spans="1:10" x14ac:dyDescent="0.2">
      <c r="A176" t="s">
        <v>484</v>
      </c>
      <c r="B176">
        <v>538054</v>
      </c>
      <c r="C176" s="80">
        <v>43368.691666666666</v>
      </c>
      <c r="D176" t="s">
        <v>708</v>
      </c>
      <c r="E176" t="s">
        <v>580</v>
      </c>
      <c r="F176">
        <v>169068</v>
      </c>
      <c r="G176">
        <v>9.6999999999999993</v>
      </c>
      <c r="H176">
        <v>0</v>
      </c>
      <c r="J176" t="s">
        <v>1051</v>
      </c>
    </row>
    <row r="177" spans="1:10" x14ac:dyDescent="0.2">
      <c r="A177" t="s">
        <v>484</v>
      </c>
      <c r="B177">
        <v>538090</v>
      </c>
      <c r="C177" s="80">
        <v>43368.718055555553</v>
      </c>
      <c r="D177" t="s">
        <v>709</v>
      </c>
      <c r="E177" t="s">
        <v>582</v>
      </c>
      <c r="F177">
        <v>146475</v>
      </c>
      <c r="G177">
        <v>124.98</v>
      </c>
      <c r="H177">
        <v>0</v>
      </c>
      <c r="J177" t="s">
        <v>1052</v>
      </c>
    </row>
    <row r="178" spans="1:10" x14ac:dyDescent="0.2">
      <c r="A178" t="s">
        <v>483</v>
      </c>
      <c r="B178">
        <v>535343</v>
      </c>
      <c r="C178" s="80">
        <v>43357.588888888888</v>
      </c>
      <c r="D178" t="s">
        <v>710</v>
      </c>
      <c r="F178">
        <v>0</v>
      </c>
      <c r="G178">
        <v>0</v>
      </c>
      <c r="H178">
        <v>243.35</v>
      </c>
      <c r="J178" t="s">
        <v>1050</v>
      </c>
    </row>
    <row r="179" spans="1:10" x14ac:dyDescent="0.2">
      <c r="A179" t="s">
        <v>483</v>
      </c>
      <c r="B179">
        <v>535343</v>
      </c>
      <c r="C179" s="80">
        <v>43357.588888888888</v>
      </c>
      <c r="D179" t="s">
        <v>711</v>
      </c>
      <c r="E179" t="s">
        <v>580</v>
      </c>
      <c r="F179">
        <v>168253</v>
      </c>
      <c r="G179">
        <v>17.52</v>
      </c>
      <c r="H179">
        <v>0</v>
      </c>
      <c r="J179" t="s">
        <v>1051</v>
      </c>
    </row>
    <row r="180" spans="1:10" x14ac:dyDescent="0.2">
      <c r="A180" t="s">
        <v>483</v>
      </c>
      <c r="B180">
        <v>535347</v>
      </c>
      <c r="C180" s="80">
        <v>43357.594444444447</v>
      </c>
      <c r="D180" t="s">
        <v>712</v>
      </c>
      <c r="E180" t="s">
        <v>582</v>
      </c>
      <c r="F180">
        <v>145765</v>
      </c>
      <c r="G180">
        <v>225.83</v>
      </c>
      <c r="H180">
        <v>0</v>
      </c>
      <c r="J180" t="s">
        <v>1052</v>
      </c>
    </row>
    <row r="181" spans="1:10" x14ac:dyDescent="0.2">
      <c r="A181" t="s">
        <v>483</v>
      </c>
      <c r="B181">
        <v>538052</v>
      </c>
      <c r="C181" s="80">
        <v>43368.691666666666</v>
      </c>
      <c r="D181" t="s">
        <v>710</v>
      </c>
      <c r="F181">
        <v>0</v>
      </c>
      <c r="G181">
        <v>0</v>
      </c>
      <c r="H181">
        <v>261.64999999999998</v>
      </c>
      <c r="J181" t="s">
        <v>1050</v>
      </c>
    </row>
    <row r="182" spans="1:10" x14ac:dyDescent="0.2">
      <c r="A182" t="s">
        <v>483</v>
      </c>
      <c r="B182">
        <v>538052</v>
      </c>
      <c r="C182" s="80">
        <v>43368.691666666666</v>
      </c>
      <c r="D182" t="s">
        <v>711</v>
      </c>
      <c r="E182" t="s">
        <v>580</v>
      </c>
      <c r="F182">
        <v>169066</v>
      </c>
      <c r="G182">
        <v>18.84</v>
      </c>
      <c r="H182">
        <v>0</v>
      </c>
      <c r="J182" t="s">
        <v>1051</v>
      </c>
    </row>
    <row r="183" spans="1:10" x14ac:dyDescent="0.2">
      <c r="A183" t="s">
        <v>483</v>
      </c>
      <c r="B183">
        <v>538090</v>
      </c>
      <c r="C183" s="80">
        <v>43368.718055555553</v>
      </c>
      <c r="D183" t="s">
        <v>712</v>
      </c>
      <c r="E183" t="s">
        <v>582</v>
      </c>
      <c r="F183">
        <v>146473</v>
      </c>
      <c r="G183">
        <v>242.81</v>
      </c>
      <c r="H183">
        <v>0</v>
      </c>
      <c r="J183" t="s">
        <v>1052</v>
      </c>
    </row>
    <row r="184" spans="1:10" x14ac:dyDescent="0.2">
      <c r="A184" t="s">
        <v>481</v>
      </c>
      <c r="B184">
        <v>537108</v>
      </c>
      <c r="C184" s="80">
        <v>43364.577777777777</v>
      </c>
      <c r="D184" t="s">
        <v>713</v>
      </c>
      <c r="F184">
        <v>0</v>
      </c>
      <c r="G184">
        <v>0</v>
      </c>
      <c r="H184">
        <v>3960</v>
      </c>
      <c r="J184" t="s">
        <v>1050</v>
      </c>
    </row>
    <row r="185" spans="1:10" x14ac:dyDescent="0.2">
      <c r="A185" t="s">
        <v>481</v>
      </c>
      <c r="B185">
        <v>537108</v>
      </c>
      <c r="C185" s="80">
        <v>43364.577777777777</v>
      </c>
      <c r="D185" t="s">
        <v>714</v>
      </c>
      <c r="E185" t="s">
        <v>580</v>
      </c>
      <c r="F185">
        <v>168752</v>
      </c>
      <c r="G185">
        <v>285.12</v>
      </c>
      <c r="H185">
        <v>0</v>
      </c>
      <c r="J185" t="s">
        <v>1051</v>
      </c>
    </row>
    <row r="186" spans="1:10" x14ac:dyDescent="0.2">
      <c r="A186" t="s">
        <v>481</v>
      </c>
      <c r="B186">
        <v>537108</v>
      </c>
      <c r="C186" s="80">
        <v>43364.577777777777</v>
      </c>
      <c r="D186" t="s">
        <v>715</v>
      </c>
      <c r="F186">
        <v>0</v>
      </c>
      <c r="G186">
        <v>0</v>
      </c>
      <c r="H186">
        <v>3960</v>
      </c>
      <c r="J186" t="s">
        <v>1050</v>
      </c>
    </row>
    <row r="187" spans="1:10" x14ac:dyDescent="0.2">
      <c r="A187" t="s">
        <v>481</v>
      </c>
      <c r="B187">
        <v>537108</v>
      </c>
      <c r="C187" s="80">
        <v>43364.577777777777</v>
      </c>
      <c r="D187" t="s">
        <v>714</v>
      </c>
      <c r="E187" t="s">
        <v>580</v>
      </c>
      <c r="F187">
        <v>168752</v>
      </c>
      <c r="G187">
        <v>285.12</v>
      </c>
      <c r="H187">
        <v>0</v>
      </c>
      <c r="J187" t="s">
        <v>1051</v>
      </c>
    </row>
    <row r="188" spans="1:10" x14ac:dyDescent="0.2">
      <c r="A188" t="s">
        <v>481</v>
      </c>
      <c r="B188">
        <v>537142</v>
      </c>
      <c r="C188" s="80">
        <v>43364.579861111109</v>
      </c>
      <c r="D188" t="s">
        <v>716</v>
      </c>
      <c r="E188" t="s">
        <v>582</v>
      </c>
      <c r="F188">
        <v>146172</v>
      </c>
      <c r="G188">
        <v>6829.76</v>
      </c>
      <c r="H188">
        <v>0</v>
      </c>
      <c r="J188" t="s">
        <v>1052</v>
      </c>
    </row>
    <row r="189" spans="1:10" x14ac:dyDescent="0.2">
      <c r="A189" t="s">
        <v>477</v>
      </c>
      <c r="B189">
        <v>535338</v>
      </c>
      <c r="C189" s="80">
        <v>43357.588888888888</v>
      </c>
      <c r="D189" t="s">
        <v>717</v>
      </c>
      <c r="F189">
        <v>0</v>
      </c>
      <c r="G189">
        <v>0</v>
      </c>
      <c r="H189">
        <v>69.400000000000006</v>
      </c>
      <c r="J189" t="s">
        <v>1050</v>
      </c>
    </row>
    <row r="190" spans="1:10" x14ac:dyDescent="0.2">
      <c r="A190" t="s">
        <v>477</v>
      </c>
      <c r="B190">
        <v>535338</v>
      </c>
      <c r="C190" s="80">
        <v>43357.588888888888</v>
      </c>
      <c r="D190" t="s">
        <v>718</v>
      </c>
      <c r="E190" t="s">
        <v>580</v>
      </c>
      <c r="F190">
        <v>168248</v>
      </c>
      <c r="G190">
        <v>4.99</v>
      </c>
      <c r="H190">
        <v>0</v>
      </c>
      <c r="J190" t="s">
        <v>1051</v>
      </c>
    </row>
    <row r="191" spans="1:10" x14ac:dyDescent="0.2">
      <c r="A191" t="s">
        <v>477</v>
      </c>
      <c r="B191">
        <v>535347</v>
      </c>
      <c r="C191" s="80">
        <v>43357.594444444447</v>
      </c>
      <c r="D191" t="s">
        <v>719</v>
      </c>
      <c r="E191" t="s">
        <v>582</v>
      </c>
      <c r="F191">
        <v>145760</v>
      </c>
      <c r="G191">
        <v>64.41</v>
      </c>
      <c r="H191">
        <v>0</v>
      </c>
      <c r="J191" t="s">
        <v>1052</v>
      </c>
    </row>
    <row r="192" spans="1:10" x14ac:dyDescent="0.2">
      <c r="A192" t="s">
        <v>477</v>
      </c>
      <c r="B192">
        <v>538045</v>
      </c>
      <c r="C192" s="80">
        <v>43368.691666666666</v>
      </c>
      <c r="D192" t="s">
        <v>717</v>
      </c>
      <c r="F192">
        <v>0</v>
      </c>
      <c r="G192">
        <v>0</v>
      </c>
      <c r="H192">
        <v>380.6</v>
      </c>
      <c r="J192" t="s">
        <v>1050</v>
      </c>
    </row>
    <row r="193" spans="1:10" x14ac:dyDescent="0.2">
      <c r="A193" t="s">
        <v>477</v>
      </c>
      <c r="B193">
        <v>538045</v>
      </c>
      <c r="C193" s="80">
        <v>43368.691666666666</v>
      </c>
      <c r="D193" t="s">
        <v>718</v>
      </c>
      <c r="E193" t="s">
        <v>580</v>
      </c>
      <c r="F193">
        <v>169059</v>
      </c>
      <c r="G193">
        <v>27.41</v>
      </c>
      <c r="H193">
        <v>0</v>
      </c>
      <c r="J193" t="s">
        <v>1051</v>
      </c>
    </row>
    <row r="194" spans="1:10" x14ac:dyDescent="0.2">
      <c r="A194" t="s">
        <v>477</v>
      </c>
      <c r="B194">
        <v>538090</v>
      </c>
      <c r="C194" s="80">
        <v>43368.718055555553</v>
      </c>
      <c r="D194" t="s">
        <v>719</v>
      </c>
      <c r="E194" t="s">
        <v>582</v>
      </c>
      <c r="F194">
        <v>146466</v>
      </c>
      <c r="G194">
        <v>353.19</v>
      </c>
      <c r="H194">
        <v>0</v>
      </c>
      <c r="J194" t="s">
        <v>1052</v>
      </c>
    </row>
    <row r="195" spans="1:10" x14ac:dyDescent="0.2">
      <c r="A195" t="s">
        <v>495</v>
      </c>
      <c r="B195">
        <v>538055</v>
      </c>
      <c r="C195" s="80">
        <v>43368.691666666666</v>
      </c>
      <c r="D195" t="s">
        <v>720</v>
      </c>
      <c r="F195">
        <v>0</v>
      </c>
      <c r="G195">
        <v>0</v>
      </c>
      <c r="H195">
        <v>499.02</v>
      </c>
      <c r="J195" t="s">
        <v>1050</v>
      </c>
    </row>
    <row r="196" spans="1:10" x14ac:dyDescent="0.2">
      <c r="A196" t="s">
        <v>495</v>
      </c>
      <c r="B196">
        <v>538055</v>
      </c>
      <c r="C196" s="80">
        <v>43368.691666666666</v>
      </c>
      <c r="D196" t="s">
        <v>721</v>
      </c>
      <c r="E196" t="s">
        <v>580</v>
      </c>
      <c r="F196">
        <v>169069</v>
      </c>
      <c r="G196">
        <v>35.93</v>
      </c>
      <c r="H196">
        <v>0</v>
      </c>
      <c r="J196" t="s">
        <v>1051</v>
      </c>
    </row>
    <row r="197" spans="1:10" x14ac:dyDescent="0.2">
      <c r="A197" t="s">
        <v>495</v>
      </c>
      <c r="B197">
        <v>538090</v>
      </c>
      <c r="C197" s="80">
        <v>43368.718055555553</v>
      </c>
      <c r="D197" t="s">
        <v>722</v>
      </c>
      <c r="E197" t="s">
        <v>582</v>
      </c>
      <c r="F197">
        <v>146476</v>
      </c>
      <c r="G197">
        <v>463.09</v>
      </c>
      <c r="H197">
        <v>0</v>
      </c>
      <c r="J197" t="s">
        <v>1052</v>
      </c>
    </row>
    <row r="198" spans="1:10" x14ac:dyDescent="0.2">
      <c r="A198" t="s">
        <v>476</v>
      </c>
      <c r="B198">
        <v>537576</v>
      </c>
      <c r="C198" s="80">
        <v>43367.660416666666</v>
      </c>
      <c r="D198" t="s">
        <v>723</v>
      </c>
      <c r="E198" t="s">
        <v>594</v>
      </c>
      <c r="F198">
        <v>2163</v>
      </c>
      <c r="G198">
        <v>2940</v>
      </c>
      <c r="H198">
        <v>0</v>
      </c>
      <c r="J198" t="s">
        <v>1053</v>
      </c>
    </row>
    <row r="199" spans="1:10" x14ac:dyDescent="0.2">
      <c r="A199" t="s">
        <v>476</v>
      </c>
      <c r="B199">
        <v>537777</v>
      </c>
      <c r="C199" s="80">
        <v>43368.431944444441</v>
      </c>
      <c r="D199" t="s">
        <v>724</v>
      </c>
      <c r="E199" t="s">
        <v>599</v>
      </c>
      <c r="F199">
        <v>175991</v>
      </c>
      <c r="G199">
        <v>0</v>
      </c>
      <c r="H199">
        <v>2940</v>
      </c>
      <c r="J199" t="s">
        <v>1053</v>
      </c>
    </row>
    <row r="200" spans="1:10" x14ac:dyDescent="0.2">
      <c r="A200" t="s">
        <v>563</v>
      </c>
      <c r="B200">
        <v>538027</v>
      </c>
      <c r="C200" s="80">
        <v>43368.691666666666</v>
      </c>
      <c r="D200" t="s">
        <v>725</v>
      </c>
      <c r="F200">
        <v>0</v>
      </c>
      <c r="G200">
        <v>0</v>
      </c>
      <c r="H200">
        <v>508.27</v>
      </c>
      <c r="J200" t="s">
        <v>1050</v>
      </c>
    </row>
    <row r="201" spans="1:10" x14ac:dyDescent="0.2">
      <c r="A201" t="s">
        <v>563</v>
      </c>
      <c r="B201">
        <v>538027</v>
      </c>
      <c r="C201" s="80">
        <v>43368.691666666666</v>
      </c>
      <c r="D201" t="s">
        <v>726</v>
      </c>
      <c r="E201" t="s">
        <v>580</v>
      </c>
      <c r="F201">
        <v>169042</v>
      </c>
      <c r="G201">
        <v>36.6</v>
      </c>
      <c r="H201">
        <v>0</v>
      </c>
      <c r="J201" t="s">
        <v>1051</v>
      </c>
    </row>
    <row r="202" spans="1:10" x14ac:dyDescent="0.2">
      <c r="A202" t="s">
        <v>563</v>
      </c>
      <c r="B202">
        <v>538027</v>
      </c>
      <c r="C202" s="80">
        <v>43368.691666666666</v>
      </c>
      <c r="D202" t="s">
        <v>727</v>
      </c>
      <c r="F202">
        <v>0</v>
      </c>
      <c r="G202">
        <v>0</v>
      </c>
      <c r="H202">
        <v>71.73</v>
      </c>
      <c r="J202" t="s">
        <v>1050</v>
      </c>
    </row>
    <row r="203" spans="1:10" x14ac:dyDescent="0.2">
      <c r="A203" t="s">
        <v>563</v>
      </c>
      <c r="B203">
        <v>538027</v>
      </c>
      <c r="C203" s="80">
        <v>43368.691666666666</v>
      </c>
      <c r="D203" t="s">
        <v>726</v>
      </c>
      <c r="E203" t="s">
        <v>580</v>
      </c>
      <c r="F203">
        <v>169042</v>
      </c>
      <c r="G203">
        <v>5.16</v>
      </c>
      <c r="H203">
        <v>0</v>
      </c>
      <c r="J203" t="s">
        <v>1051</v>
      </c>
    </row>
    <row r="204" spans="1:10" x14ac:dyDescent="0.2">
      <c r="A204" t="s">
        <v>563</v>
      </c>
      <c r="B204">
        <v>538090</v>
      </c>
      <c r="C204" s="80">
        <v>43368.718055555553</v>
      </c>
      <c r="D204" t="s">
        <v>728</v>
      </c>
      <c r="E204" t="s">
        <v>582</v>
      </c>
      <c r="F204">
        <v>146448</v>
      </c>
      <c r="G204" s="125">
        <v>538.24</v>
      </c>
      <c r="H204">
        <v>0</v>
      </c>
      <c r="J204" t="s">
        <v>1052</v>
      </c>
    </row>
    <row r="205" spans="1:10" x14ac:dyDescent="0.2">
      <c r="C205" s="80"/>
      <c r="G205" s="125"/>
    </row>
    <row r="206" spans="1:10" x14ac:dyDescent="0.2">
      <c r="C206" s="80"/>
      <c r="G206" s="125"/>
    </row>
    <row r="207" spans="1:10" x14ac:dyDescent="0.2">
      <c r="C207" s="80"/>
      <c r="G207" s="125"/>
    </row>
    <row r="208" spans="1:10" x14ac:dyDescent="0.2">
      <c r="C208" s="80"/>
      <c r="G208" s="125"/>
    </row>
    <row r="209" spans="3:7" x14ac:dyDescent="0.2">
      <c r="C209" s="80"/>
      <c r="G209" s="125"/>
    </row>
    <row r="210" spans="3:7" x14ac:dyDescent="0.2">
      <c r="C210" s="80"/>
      <c r="G210" s="125"/>
    </row>
    <row r="211" spans="3:7" x14ac:dyDescent="0.2">
      <c r="C211" s="80"/>
      <c r="G211" s="125"/>
    </row>
    <row r="212" spans="3:7" x14ac:dyDescent="0.2">
      <c r="C212" s="80"/>
      <c r="G212" s="125"/>
    </row>
    <row r="213" spans="3:7" x14ac:dyDescent="0.2">
      <c r="C213" s="80"/>
      <c r="G213" s="125"/>
    </row>
    <row r="214" spans="3:7" x14ac:dyDescent="0.2">
      <c r="C214" s="80"/>
      <c r="G214" s="125"/>
    </row>
    <row r="215" spans="3:7" x14ac:dyDescent="0.2">
      <c r="C215" s="80"/>
      <c r="G215" s="125"/>
    </row>
    <row r="216" spans="3:7" x14ac:dyDescent="0.2">
      <c r="C216" s="80"/>
    </row>
    <row r="217" spans="3:7" x14ac:dyDescent="0.2">
      <c r="C217" s="80"/>
    </row>
    <row r="218" spans="3:7" x14ac:dyDescent="0.2">
      <c r="C218" s="80"/>
    </row>
    <row r="219" spans="3:7" x14ac:dyDescent="0.2">
      <c r="C219" s="80"/>
    </row>
    <row r="220" spans="3:7" x14ac:dyDescent="0.2">
      <c r="C220" s="80"/>
    </row>
    <row r="221" spans="3:7" x14ac:dyDescent="0.2">
      <c r="C221" s="80"/>
    </row>
    <row r="222" spans="3:7" x14ac:dyDescent="0.2">
      <c r="C222" s="80"/>
    </row>
    <row r="223" spans="3:7" x14ac:dyDescent="0.2">
      <c r="C223" s="80"/>
    </row>
    <row r="224" spans="3:7" x14ac:dyDescent="0.2">
      <c r="C224" s="80"/>
    </row>
    <row r="225" spans="3:3" x14ac:dyDescent="0.2">
      <c r="C225" s="80"/>
    </row>
    <row r="226" spans="3:3" x14ac:dyDescent="0.2">
      <c r="C226" s="80"/>
    </row>
    <row r="227" spans="3:3" x14ac:dyDescent="0.2">
      <c r="C227" s="80"/>
    </row>
    <row r="228" spans="3:3" x14ac:dyDescent="0.2">
      <c r="C228" s="80"/>
    </row>
    <row r="229" spans="3:3" x14ac:dyDescent="0.2">
      <c r="C229" s="80"/>
    </row>
    <row r="230" spans="3:3" x14ac:dyDescent="0.2">
      <c r="C230" s="80"/>
    </row>
    <row r="231" spans="3:3" x14ac:dyDescent="0.2">
      <c r="C231" s="80"/>
    </row>
    <row r="232" spans="3:3" x14ac:dyDescent="0.2">
      <c r="C232" s="80"/>
    </row>
    <row r="233" spans="3:3" x14ac:dyDescent="0.2">
      <c r="C233" s="80"/>
    </row>
    <row r="234" spans="3:3" x14ac:dyDescent="0.2">
      <c r="C234" s="80"/>
    </row>
    <row r="235" spans="3:3" x14ac:dyDescent="0.2">
      <c r="C235" s="80"/>
    </row>
    <row r="236" spans="3:3" x14ac:dyDescent="0.2">
      <c r="C236" s="80"/>
    </row>
    <row r="237" spans="3:3" x14ac:dyDescent="0.2">
      <c r="C237" s="80"/>
    </row>
    <row r="238" spans="3:3" x14ac:dyDescent="0.2">
      <c r="C238" s="80"/>
    </row>
    <row r="239" spans="3:3" x14ac:dyDescent="0.2">
      <c r="C239" s="80"/>
    </row>
    <row r="240" spans="3:3" x14ac:dyDescent="0.2">
      <c r="C240" s="80"/>
    </row>
    <row r="241" spans="3:3" x14ac:dyDescent="0.2">
      <c r="C241" s="80"/>
    </row>
    <row r="242" spans="3:3" x14ac:dyDescent="0.2">
      <c r="C242" s="80"/>
    </row>
    <row r="243" spans="3:3" x14ac:dyDescent="0.2">
      <c r="C243" s="80"/>
    </row>
    <row r="244" spans="3:3" x14ac:dyDescent="0.2">
      <c r="C244" s="80"/>
    </row>
    <row r="245" spans="3:3" x14ac:dyDescent="0.2">
      <c r="C245" s="80"/>
    </row>
    <row r="246" spans="3:3" x14ac:dyDescent="0.2">
      <c r="C246" s="80"/>
    </row>
    <row r="247" spans="3:3" x14ac:dyDescent="0.2">
      <c r="C247" s="80"/>
    </row>
    <row r="248" spans="3:3" x14ac:dyDescent="0.2">
      <c r="C248" s="80"/>
    </row>
    <row r="249" spans="3:3" x14ac:dyDescent="0.2">
      <c r="C249" s="80"/>
    </row>
    <row r="250" spans="3:3" x14ac:dyDescent="0.2">
      <c r="C250" s="80"/>
    </row>
    <row r="251" spans="3:3" x14ac:dyDescent="0.2">
      <c r="C251" s="80"/>
    </row>
    <row r="252" spans="3:3" x14ac:dyDescent="0.2">
      <c r="C252" s="80"/>
    </row>
    <row r="253" spans="3:3" x14ac:dyDescent="0.2">
      <c r="C253" s="80"/>
    </row>
    <row r="254" spans="3:3" x14ac:dyDescent="0.2">
      <c r="C254" s="80"/>
    </row>
    <row r="255" spans="3:3" x14ac:dyDescent="0.2">
      <c r="C255" s="80"/>
    </row>
    <row r="256" spans="3:3" x14ac:dyDescent="0.2">
      <c r="C256" s="80"/>
    </row>
    <row r="257" spans="3:3" x14ac:dyDescent="0.2">
      <c r="C257" s="80"/>
    </row>
    <row r="258" spans="3:3" x14ac:dyDescent="0.2">
      <c r="C258" s="80"/>
    </row>
    <row r="259" spans="3:3" x14ac:dyDescent="0.2">
      <c r="C259" s="80"/>
    </row>
    <row r="260" spans="3:3" x14ac:dyDescent="0.2">
      <c r="C260" s="80"/>
    </row>
    <row r="261" spans="3:3" x14ac:dyDescent="0.2">
      <c r="C261" s="80"/>
    </row>
    <row r="262" spans="3:3" x14ac:dyDescent="0.2">
      <c r="C262" s="80"/>
    </row>
    <row r="263" spans="3:3" x14ac:dyDescent="0.2">
      <c r="C263" s="80"/>
    </row>
    <row r="264" spans="3:3" x14ac:dyDescent="0.2">
      <c r="C264" s="80"/>
    </row>
    <row r="265" spans="3:3" x14ac:dyDescent="0.2">
      <c r="C265" s="80"/>
    </row>
    <row r="266" spans="3:3" x14ac:dyDescent="0.2">
      <c r="C266" s="80"/>
    </row>
    <row r="267" spans="3:3" x14ac:dyDescent="0.2">
      <c r="C267" s="80"/>
    </row>
    <row r="268" spans="3:3" x14ac:dyDescent="0.2">
      <c r="C268" s="80"/>
    </row>
    <row r="269" spans="3:3" x14ac:dyDescent="0.2">
      <c r="C269" s="80"/>
    </row>
    <row r="270" spans="3:3" x14ac:dyDescent="0.2">
      <c r="C270" s="80"/>
    </row>
    <row r="271" spans="3:3" x14ac:dyDescent="0.2">
      <c r="C271" s="80"/>
    </row>
    <row r="272" spans="3:3" x14ac:dyDescent="0.2">
      <c r="C272" s="80"/>
    </row>
    <row r="273" spans="3:3" x14ac:dyDescent="0.2">
      <c r="C273" s="80"/>
    </row>
    <row r="274" spans="3:3" x14ac:dyDescent="0.2">
      <c r="C274" s="80"/>
    </row>
    <row r="275" spans="3:3" x14ac:dyDescent="0.2">
      <c r="C275" s="80"/>
    </row>
    <row r="276" spans="3:3" x14ac:dyDescent="0.2">
      <c r="C276" s="80"/>
    </row>
    <row r="277" spans="3:3" x14ac:dyDescent="0.2">
      <c r="C277" s="80"/>
    </row>
    <row r="278" spans="3:3" x14ac:dyDescent="0.2">
      <c r="C278" s="80"/>
    </row>
    <row r="279" spans="3:3" x14ac:dyDescent="0.2">
      <c r="C279" s="80"/>
    </row>
    <row r="280" spans="3:3" x14ac:dyDescent="0.2">
      <c r="C280" s="80"/>
    </row>
    <row r="281" spans="3:3" x14ac:dyDescent="0.2">
      <c r="C281" s="80"/>
    </row>
    <row r="282" spans="3:3" x14ac:dyDescent="0.2">
      <c r="C282" s="80"/>
    </row>
    <row r="283" spans="3:3" x14ac:dyDescent="0.2">
      <c r="C283" s="80"/>
    </row>
    <row r="284" spans="3:3" x14ac:dyDescent="0.2">
      <c r="C284" s="80"/>
    </row>
    <row r="285" spans="3:3" x14ac:dyDescent="0.2">
      <c r="C285" s="80"/>
    </row>
    <row r="286" spans="3:3" x14ac:dyDescent="0.2">
      <c r="C286" s="80"/>
    </row>
    <row r="287" spans="3:3" x14ac:dyDescent="0.2">
      <c r="C287" s="80"/>
    </row>
    <row r="288" spans="3:3" x14ac:dyDescent="0.2">
      <c r="C288" s="80"/>
    </row>
    <row r="289" spans="3:3" x14ac:dyDescent="0.2">
      <c r="C289" s="80"/>
    </row>
    <row r="290" spans="3:3" x14ac:dyDescent="0.2">
      <c r="C290" s="80"/>
    </row>
    <row r="291" spans="3:3" x14ac:dyDescent="0.2">
      <c r="C291" s="80"/>
    </row>
    <row r="292" spans="3:3" x14ac:dyDescent="0.2">
      <c r="C292" s="80"/>
    </row>
    <row r="293" spans="3:3" x14ac:dyDescent="0.2">
      <c r="C293" s="80"/>
    </row>
    <row r="294" spans="3:3" x14ac:dyDescent="0.2">
      <c r="C294" s="80"/>
    </row>
    <row r="295" spans="3:3" x14ac:dyDescent="0.2">
      <c r="C295" s="80"/>
    </row>
    <row r="296" spans="3:3" x14ac:dyDescent="0.2">
      <c r="C296" s="80"/>
    </row>
    <row r="297" spans="3:3" x14ac:dyDescent="0.2">
      <c r="C297" s="80"/>
    </row>
    <row r="298" spans="3:3" x14ac:dyDescent="0.2">
      <c r="C298" s="80"/>
    </row>
    <row r="299" spans="3:3" x14ac:dyDescent="0.2">
      <c r="C299" s="80"/>
    </row>
    <row r="300" spans="3:3" x14ac:dyDescent="0.2">
      <c r="C300" s="80"/>
    </row>
    <row r="301" spans="3:3" x14ac:dyDescent="0.2">
      <c r="C301" s="80"/>
    </row>
    <row r="302" spans="3:3" x14ac:dyDescent="0.2">
      <c r="C302" s="80"/>
    </row>
    <row r="303" spans="3:3" x14ac:dyDescent="0.2">
      <c r="C303" s="80"/>
    </row>
    <row r="304" spans="3:3" x14ac:dyDescent="0.2">
      <c r="C304" s="80"/>
    </row>
    <row r="305" spans="3:3" x14ac:dyDescent="0.2">
      <c r="C305" s="80"/>
    </row>
    <row r="306" spans="3:3" x14ac:dyDescent="0.2">
      <c r="C306" s="80"/>
    </row>
    <row r="307" spans="3:3" x14ac:dyDescent="0.2">
      <c r="C307" s="80"/>
    </row>
    <row r="308" spans="3:3" x14ac:dyDescent="0.2">
      <c r="C308" s="80"/>
    </row>
    <row r="309" spans="3:3" x14ac:dyDescent="0.2">
      <c r="C309" s="80"/>
    </row>
    <row r="310" spans="3:3" x14ac:dyDescent="0.2">
      <c r="C310" s="80"/>
    </row>
  </sheetData>
  <autoFilter ref="A1:H204" xr:uid="{B13CB955-E6E6-4F5C-A92A-B973AF3A70B2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09"/>
  <sheetViews>
    <sheetView zoomScale="70" zoomScaleNormal="70" workbookViewId="0">
      <selection activeCell="N8" sqref="N8"/>
    </sheetView>
  </sheetViews>
  <sheetFormatPr defaultRowHeight="12.75" x14ac:dyDescent="0.2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">
      <c r="A70" s="68">
        <v>71</v>
      </c>
      <c r="B70" s="69" t="s">
        <v>118</v>
      </c>
      <c r="C70" s="68">
        <v>277</v>
      </c>
      <c r="D70" s="69" t="s">
        <v>405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">
      <c r="A204" s="68">
        <v>31</v>
      </c>
      <c r="B204" s="69" t="s">
        <v>103</v>
      </c>
      <c r="C204" s="68">
        <v>278</v>
      </c>
      <c r="D204" s="69" t="s">
        <v>404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">
      <c r="AB276" s="22" t="str">
        <f t="shared" si="5"/>
        <v/>
      </c>
    </row>
    <row r="277" spans="1:28" x14ac:dyDescent="0.2">
      <c r="AB277" s="22" t="str">
        <f t="shared" si="5"/>
        <v/>
      </c>
    </row>
    <row r="278" spans="1:28" x14ac:dyDescent="0.2">
      <c r="AB278" s="22" t="str">
        <f t="shared" si="5"/>
        <v/>
      </c>
    </row>
    <row r="279" spans="1:28" x14ac:dyDescent="0.2">
      <c r="AB279" s="22" t="str">
        <f t="shared" si="5"/>
        <v/>
      </c>
    </row>
    <row r="280" spans="1:28" x14ac:dyDescent="0.2">
      <c r="AB280" s="22" t="str">
        <f t="shared" si="5"/>
        <v/>
      </c>
    </row>
    <row r="281" spans="1:28" x14ac:dyDescent="0.2">
      <c r="AB281" s="22" t="str">
        <f t="shared" si="5"/>
        <v/>
      </c>
    </row>
    <row r="282" spans="1:28" x14ac:dyDescent="0.2">
      <c r="AB282" s="22" t="str">
        <f t="shared" si="5"/>
        <v/>
      </c>
    </row>
    <row r="283" spans="1:28" x14ac:dyDescent="0.2">
      <c r="AB283" s="22" t="str">
        <f t="shared" si="5"/>
        <v/>
      </c>
    </row>
    <row r="284" spans="1:28" x14ac:dyDescent="0.2">
      <c r="AB284" s="22" t="str">
        <f t="shared" si="5"/>
        <v/>
      </c>
    </row>
    <row r="285" spans="1:28" x14ac:dyDescent="0.2">
      <c r="AB285" s="22" t="str">
        <f t="shared" si="5"/>
        <v/>
      </c>
    </row>
    <row r="286" spans="1:28" x14ac:dyDescent="0.2">
      <c r="AB286" s="22" t="str">
        <f t="shared" si="5"/>
        <v/>
      </c>
    </row>
    <row r="287" spans="1:28" x14ac:dyDescent="0.2">
      <c r="AB287" s="22" t="str">
        <f t="shared" si="5"/>
        <v/>
      </c>
    </row>
    <row r="288" spans="1:28" x14ac:dyDescent="0.2">
      <c r="AB288" s="22" t="str">
        <f t="shared" si="5"/>
        <v/>
      </c>
    </row>
    <row r="289" spans="28:28" x14ac:dyDescent="0.2">
      <c r="AB289" s="22" t="str">
        <f t="shared" si="5"/>
        <v/>
      </c>
    </row>
    <row r="290" spans="28:28" x14ac:dyDescent="0.2">
      <c r="AB290" s="22" t="str">
        <f t="shared" si="5"/>
        <v/>
      </c>
    </row>
    <row r="291" spans="28:28" x14ac:dyDescent="0.2">
      <c r="AB291" s="22" t="str">
        <f t="shared" si="5"/>
        <v/>
      </c>
    </row>
    <row r="292" spans="28:28" x14ac:dyDescent="0.2">
      <c r="AB292" s="22" t="str">
        <f t="shared" si="5"/>
        <v/>
      </c>
    </row>
    <row r="293" spans="28:28" x14ac:dyDescent="0.2">
      <c r="AB293" s="22" t="str">
        <f t="shared" si="5"/>
        <v/>
      </c>
    </row>
    <row r="294" spans="28:28" x14ac:dyDescent="0.2">
      <c r="AB294" s="22" t="str">
        <f t="shared" si="5"/>
        <v/>
      </c>
    </row>
    <row r="295" spans="28:28" x14ac:dyDescent="0.2">
      <c r="AB295" s="22" t="str">
        <f t="shared" si="5"/>
        <v/>
      </c>
    </row>
    <row r="296" spans="28:28" x14ac:dyDescent="0.2">
      <c r="AB296" s="22" t="str">
        <f t="shared" si="5"/>
        <v/>
      </c>
    </row>
    <row r="297" spans="28:28" x14ac:dyDescent="0.2">
      <c r="AB297" s="22" t="str">
        <f t="shared" si="5"/>
        <v/>
      </c>
    </row>
    <row r="298" spans="28:28" x14ac:dyDescent="0.2">
      <c r="AB298" s="22" t="str">
        <f t="shared" si="5"/>
        <v/>
      </c>
    </row>
    <row r="299" spans="28:28" x14ac:dyDescent="0.2">
      <c r="AB299" s="22" t="str">
        <f t="shared" si="5"/>
        <v/>
      </c>
    </row>
    <row r="300" spans="28:28" x14ac:dyDescent="0.2">
      <c r="AB300" s="22" t="str">
        <f t="shared" si="5"/>
        <v/>
      </c>
    </row>
    <row r="301" spans="28:28" x14ac:dyDescent="0.2">
      <c r="AB301" s="22" t="str">
        <f t="shared" si="5"/>
        <v/>
      </c>
    </row>
    <row r="302" spans="28:28" x14ac:dyDescent="0.2">
      <c r="AB302" s="22" t="str">
        <f t="shared" si="5"/>
        <v/>
      </c>
    </row>
    <row r="303" spans="28:28" x14ac:dyDescent="0.2">
      <c r="AB303" s="22" t="str">
        <f t="shared" si="5"/>
        <v/>
      </c>
    </row>
    <row r="304" spans="28:28" x14ac:dyDescent="0.2">
      <c r="AB304" s="22" t="str">
        <f t="shared" si="5"/>
        <v/>
      </c>
    </row>
    <row r="305" spans="28:28" x14ac:dyDescent="0.2">
      <c r="AB305" s="22" t="str">
        <f t="shared" si="5"/>
        <v/>
      </c>
    </row>
    <row r="306" spans="28:28" x14ac:dyDescent="0.2">
      <c r="AB306" s="22" t="str">
        <f t="shared" si="5"/>
        <v/>
      </c>
    </row>
    <row r="307" spans="28:28" x14ac:dyDescent="0.2">
      <c r="AB307" s="22" t="str">
        <f t="shared" si="5"/>
        <v/>
      </c>
    </row>
    <row r="308" spans="28:28" x14ac:dyDescent="0.2">
      <c r="AB308" s="22" t="str">
        <f t="shared" si="5"/>
        <v/>
      </c>
    </row>
    <row r="309" spans="28:28" x14ac:dyDescent="0.2">
      <c r="AB309" s="22" t="str">
        <f t="shared" si="5"/>
        <v/>
      </c>
    </row>
    <row r="310" spans="28:28" x14ac:dyDescent="0.2">
      <c r="AB310" s="22" t="str">
        <f t="shared" si="5"/>
        <v/>
      </c>
    </row>
    <row r="311" spans="28:28" x14ac:dyDescent="0.2">
      <c r="AB311" s="22" t="str">
        <f t="shared" si="5"/>
        <v/>
      </c>
    </row>
    <row r="312" spans="28:28" x14ac:dyDescent="0.2">
      <c r="AB312" s="22" t="str">
        <f t="shared" si="5"/>
        <v/>
      </c>
    </row>
    <row r="313" spans="28:28" x14ac:dyDescent="0.2">
      <c r="AB313" s="22" t="str">
        <f t="shared" si="5"/>
        <v/>
      </c>
    </row>
    <row r="314" spans="28:28" x14ac:dyDescent="0.2">
      <c r="AB314" s="22" t="str">
        <f t="shared" si="5"/>
        <v/>
      </c>
    </row>
    <row r="315" spans="28:28" x14ac:dyDescent="0.2">
      <c r="AB315" s="22" t="str">
        <f t="shared" si="5"/>
        <v/>
      </c>
    </row>
    <row r="316" spans="28:28" x14ac:dyDescent="0.2">
      <c r="AB316" s="22" t="str">
        <f t="shared" si="5"/>
        <v/>
      </c>
    </row>
    <row r="317" spans="28:28" x14ac:dyDescent="0.2">
      <c r="AB317" s="22" t="str">
        <f t="shared" si="5"/>
        <v/>
      </c>
    </row>
    <row r="318" spans="28:28" x14ac:dyDescent="0.2">
      <c r="AB318" s="22" t="str">
        <f t="shared" si="5"/>
        <v/>
      </c>
    </row>
    <row r="319" spans="28:28" x14ac:dyDescent="0.2">
      <c r="AB319" s="22" t="str">
        <f t="shared" si="5"/>
        <v/>
      </c>
    </row>
    <row r="320" spans="28:28" x14ac:dyDescent="0.2">
      <c r="AB320" s="22" t="str">
        <f t="shared" si="5"/>
        <v/>
      </c>
    </row>
    <row r="321" spans="28:28" x14ac:dyDescent="0.2">
      <c r="AB321" s="22" t="str">
        <f t="shared" si="5"/>
        <v/>
      </c>
    </row>
    <row r="322" spans="28:28" x14ac:dyDescent="0.2">
      <c r="AB322" s="22" t="str">
        <f t="shared" si="5"/>
        <v/>
      </c>
    </row>
    <row r="323" spans="28:28" x14ac:dyDescent="0.2">
      <c r="AB323" s="22" t="str">
        <f t="shared" si="5"/>
        <v/>
      </c>
    </row>
    <row r="324" spans="28:28" x14ac:dyDescent="0.2">
      <c r="AB324" s="22" t="str">
        <f t="shared" si="5"/>
        <v/>
      </c>
    </row>
    <row r="325" spans="28:28" x14ac:dyDescent="0.2">
      <c r="AB325" s="22" t="str">
        <f t="shared" si="5"/>
        <v/>
      </c>
    </row>
    <row r="326" spans="28:28" x14ac:dyDescent="0.2">
      <c r="AB326" s="22" t="str">
        <f t="shared" si="5"/>
        <v/>
      </c>
    </row>
    <row r="327" spans="28:28" x14ac:dyDescent="0.2">
      <c r="AB327" s="22" t="str">
        <f t="shared" si="5"/>
        <v/>
      </c>
    </row>
    <row r="328" spans="28:28" x14ac:dyDescent="0.2">
      <c r="AB328" s="22" t="str">
        <f t="shared" si="5"/>
        <v/>
      </c>
    </row>
    <row r="329" spans="28:28" x14ac:dyDescent="0.2">
      <c r="AB329" s="22" t="str">
        <f t="shared" si="5"/>
        <v/>
      </c>
    </row>
    <row r="330" spans="28:28" x14ac:dyDescent="0.2">
      <c r="AB330" s="22" t="str">
        <f t="shared" si="5"/>
        <v/>
      </c>
    </row>
    <row r="331" spans="28:28" x14ac:dyDescent="0.2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">
      <c r="AB332" s="22" t="str">
        <f t="shared" si="6"/>
        <v/>
      </c>
    </row>
    <row r="333" spans="28:28" x14ac:dyDescent="0.2">
      <c r="AB333" s="22" t="str">
        <f t="shared" si="6"/>
        <v/>
      </c>
    </row>
    <row r="334" spans="28:28" x14ac:dyDescent="0.2">
      <c r="AB334" s="22" t="str">
        <f t="shared" si="6"/>
        <v/>
      </c>
    </row>
    <row r="335" spans="28:28" x14ac:dyDescent="0.2">
      <c r="AB335" s="22" t="str">
        <f t="shared" si="6"/>
        <v/>
      </c>
    </row>
    <row r="336" spans="28:28" x14ac:dyDescent="0.2">
      <c r="AB336" s="22" t="str">
        <f t="shared" si="6"/>
        <v/>
      </c>
    </row>
    <row r="337" spans="28:28" x14ac:dyDescent="0.2">
      <c r="AB337" s="22" t="str">
        <f t="shared" si="6"/>
        <v/>
      </c>
    </row>
    <row r="338" spans="28:28" x14ac:dyDescent="0.2">
      <c r="AB338" s="22" t="str">
        <f t="shared" si="6"/>
        <v/>
      </c>
    </row>
    <row r="339" spans="28:28" x14ac:dyDescent="0.2">
      <c r="AB339" s="22" t="str">
        <f t="shared" si="6"/>
        <v/>
      </c>
    </row>
    <row r="340" spans="28:28" x14ac:dyDescent="0.2">
      <c r="AB340" s="22" t="str">
        <f t="shared" si="6"/>
        <v/>
      </c>
    </row>
    <row r="341" spans="28:28" x14ac:dyDescent="0.2">
      <c r="AB341" s="22" t="str">
        <f t="shared" si="6"/>
        <v/>
      </c>
    </row>
    <row r="342" spans="28:28" x14ac:dyDescent="0.2">
      <c r="AB342" s="22" t="str">
        <f t="shared" si="6"/>
        <v/>
      </c>
    </row>
    <row r="343" spans="28:28" x14ac:dyDescent="0.2">
      <c r="AB343" s="22" t="str">
        <f t="shared" si="6"/>
        <v/>
      </c>
    </row>
    <row r="344" spans="28:28" x14ac:dyDescent="0.2">
      <c r="AB344" s="22" t="str">
        <f t="shared" si="6"/>
        <v/>
      </c>
    </row>
    <row r="345" spans="28:28" x14ac:dyDescent="0.2">
      <c r="AB345" s="22" t="str">
        <f t="shared" si="6"/>
        <v/>
      </c>
    </row>
    <row r="346" spans="28:28" x14ac:dyDescent="0.2">
      <c r="AB346" s="22" t="str">
        <f t="shared" si="6"/>
        <v/>
      </c>
    </row>
    <row r="347" spans="28:28" x14ac:dyDescent="0.2">
      <c r="AB347" s="22" t="str">
        <f t="shared" si="6"/>
        <v/>
      </c>
    </row>
    <row r="348" spans="28:28" x14ac:dyDescent="0.2">
      <c r="AB348" s="22" t="str">
        <f t="shared" si="6"/>
        <v/>
      </c>
    </row>
    <row r="349" spans="28:28" x14ac:dyDescent="0.2">
      <c r="AB349" s="22" t="str">
        <f t="shared" si="6"/>
        <v/>
      </c>
    </row>
    <row r="350" spans="28:28" x14ac:dyDescent="0.2">
      <c r="AB350" s="22" t="str">
        <f t="shared" si="6"/>
        <v/>
      </c>
    </row>
    <row r="351" spans="28:28" x14ac:dyDescent="0.2">
      <c r="AB351" s="22" t="str">
        <f t="shared" si="6"/>
        <v/>
      </c>
    </row>
    <row r="352" spans="28:28" x14ac:dyDescent="0.2">
      <c r="AB352" s="22" t="str">
        <f t="shared" si="6"/>
        <v/>
      </c>
    </row>
    <row r="353" spans="28:28" x14ac:dyDescent="0.2">
      <c r="AB353" s="22" t="str">
        <f t="shared" si="6"/>
        <v/>
      </c>
    </row>
    <row r="354" spans="28:28" x14ac:dyDescent="0.2">
      <c r="AB354" s="22" t="str">
        <f t="shared" si="6"/>
        <v/>
      </c>
    </row>
    <row r="355" spans="28:28" x14ac:dyDescent="0.2">
      <c r="AB355" s="22" t="str">
        <f t="shared" si="6"/>
        <v/>
      </c>
    </row>
    <row r="356" spans="28:28" x14ac:dyDescent="0.2">
      <c r="AB356" s="22" t="str">
        <f t="shared" si="6"/>
        <v/>
      </c>
    </row>
    <row r="357" spans="28:28" x14ac:dyDescent="0.2">
      <c r="AB357" s="22" t="str">
        <f t="shared" si="6"/>
        <v/>
      </c>
    </row>
    <row r="358" spans="28:28" x14ac:dyDescent="0.2">
      <c r="AB358" s="22" t="str">
        <f t="shared" si="6"/>
        <v/>
      </c>
    </row>
    <row r="359" spans="28:28" x14ac:dyDescent="0.2">
      <c r="AB359" s="22" t="str">
        <f t="shared" si="6"/>
        <v/>
      </c>
    </row>
    <row r="360" spans="28:28" x14ac:dyDescent="0.2">
      <c r="AB360" s="22" t="str">
        <f t="shared" si="6"/>
        <v/>
      </c>
    </row>
    <row r="361" spans="28:28" x14ac:dyDescent="0.2">
      <c r="AB361" s="22" t="str">
        <f t="shared" si="6"/>
        <v/>
      </c>
    </row>
    <row r="362" spans="28:28" x14ac:dyDescent="0.2">
      <c r="AB362" s="22" t="str">
        <f t="shared" si="6"/>
        <v/>
      </c>
    </row>
    <row r="363" spans="28:28" x14ac:dyDescent="0.2">
      <c r="AB363" s="22" t="str">
        <f t="shared" si="6"/>
        <v/>
      </c>
    </row>
    <row r="364" spans="28:28" x14ac:dyDescent="0.2">
      <c r="AB364" s="22" t="str">
        <f t="shared" si="6"/>
        <v/>
      </c>
    </row>
    <row r="365" spans="28:28" x14ac:dyDescent="0.2">
      <c r="AB365" s="22" t="str">
        <f t="shared" si="6"/>
        <v/>
      </c>
    </row>
    <row r="366" spans="28:28" x14ac:dyDescent="0.2">
      <c r="AB366" s="22" t="str">
        <f t="shared" si="6"/>
        <v/>
      </c>
    </row>
    <row r="367" spans="28:28" x14ac:dyDescent="0.2">
      <c r="AB367" s="22" t="str">
        <f t="shared" si="6"/>
        <v/>
      </c>
    </row>
    <row r="368" spans="28:28" x14ac:dyDescent="0.2">
      <c r="AB368" s="22" t="str">
        <f t="shared" si="6"/>
        <v/>
      </c>
    </row>
    <row r="369" spans="28:28" x14ac:dyDescent="0.2">
      <c r="AB369" s="22" t="str">
        <f t="shared" si="6"/>
        <v/>
      </c>
    </row>
    <row r="370" spans="28:28" x14ac:dyDescent="0.2">
      <c r="AB370" s="22" t="str">
        <f t="shared" si="6"/>
        <v/>
      </c>
    </row>
    <row r="371" spans="28:28" x14ac:dyDescent="0.2">
      <c r="AB371" s="22" t="str">
        <f t="shared" si="6"/>
        <v/>
      </c>
    </row>
    <row r="372" spans="28:28" x14ac:dyDescent="0.2">
      <c r="AB372" s="22" t="str">
        <f t="shared" si="6"/>
        <v/>
      </c>
    </row>
    <row r="373" spans="28:28" x14ac:dyDescent="0.2">
      <c r="AB373" s="22" t="str">
        <f t="shared" si="6"/>
        <v/>
      </c>
    </row>
    <row r="374" spans="28:28" x14ac:dyDescent="0.2">
      <c r="AB374" s="22" t="str">
        <f t="shared" si="6"/>
        <v/>
      </c>
    </row>
    <row r="375" spans="28:28" x14ac:dyDescent="0.2">
      <c r="AB375" s="22" t="str">
        <f t="shared" si="6"/>
        <v/>
      </c>
    </row>
    <row r="376" spans="28:28" x14ac:dyDescent="0.2">
      <c r="AB376" s="22" t="str">
        <f t="shared" si="6"/>
        <v/>
      </c>
    </row>
    <row r="377" spans="28:28" x14ac:dyDescent="0.2">
      <c r="AB377" s="22" t="str">
        <f t="shared" si="6"/>
        <v/>
      </c>
    </row>
    <row r="378" spans="28:28" x14ac:dyDescent="0.2">
      <c r="AB378" s="22" t="str">
        <f t="shared" si="6"/>
        <v/>
      </c>
    </row>
    <row r="379" spans="28:28" x14ac:dyDescent="0.2">
      <c r="AB379" s="22" t="str">
        <f t="shared" si="6"/>
        <v/>
      </c>
    </row>
    <row r="380" spans="28:28" x14ac:dyDescent="0.2">
      <c r="AB380" s="22" t="str">
        <f t="shared" si="6"/>
        <v/>
      </c>
    </row>
    <row r="381" spans="28:28" x14ac:dyDescent="0.2">
      <c r="AB381" s="22" t="str">
        <f t="shared" si="6"/>
        <v/>
      </c>
    </row>
    <row r="382" spans="28:28" x14ac:dyDescent="0.2">
      <c r="AB382" s="22" t="str">
        <f t="shared" si="6"/>
        <v/>
      </c>
    </row>
    <row r="383" spans="28:28" x14ac:dyDescent="0.2">
      <c r="AB383" s="22" t="str">
        <f t="shared" si="6"/>
        <v/>
      </c>
    </row>
    <row r="384" spans="28:28" x14ac:dyDescent="0.2">
      <c r="AB384" s="22" t="str">
        <f t="shared" si="6"/>
        <v/>
      </c>
    </row>
    <row r="385" spans="28:28" x14ac:dyDescent="0.2">
      <c r="AB385" s="22" t="str">
        <f t="shared" si="6"/>
        <v/>
      </c>
    </row>
    <row r="386" spans="28:28" x14ac:dyDescent="0.2">
      <c r="AB386" s="22" t="str">
        <f t="shared" si="6"/>
        <v/>
      </c>
    </row>
    <row r="387" spans="28:28" x14ac:dyDescent="0.2">
      <c r="AB387" s="22" t="str">
        <f t="shared" si="6"/>
        <v/>
      </c>
    </row>
    <row r="388" spans="28:28" x14ac:dyDescent="0.2">
      <c r="AB388" s="22" t="str">
        <f t="shared" si="6"/>
        <v/>
      </c>
    </row>
    <row r="389" spans="28:28" x14ac:dyDescent="0.2">
      <c r="AB389" s="22" t="str">
        <f t="shared" si="6"/>
        <v/>
      </c>
    </row>
    <row r="390" spans="28:28" x14ac:dyDescent="0.2">
      <c r="AB390" s="22" t="str">
        <f t="shared" si="6"/>
        <v/>
      </c>
    </row>
    <row r="391" spans="28:28" x14ac:dyDescent="0.2">
      <c r="AB391" s="22" t="str">
        <f t="shared" si="6"/>
        <v/>
      </c>
    </row>
    <row r="392" spans="28:28" x14ac:dyDescent="0.2">
      <c r="AB392" s="22" t="str">
        <f t="shared" si="6"/>
        <v/>
      </c>
    </row>
    <row r="393" spans="28:28" x14ac:dyDescent="0.2">
      <c r="AB393" s="22" t="str">
        <f t="shared" si="6"/>
        <v/>
      </c>
    </row>
    <row r="394" spans="28:28" x14ac:dyDescent="0.2">
      <c r="AB394" s="22" t="str">
        <f t="shared" si="6"/>
        <v/>
      </c>
    </row>
    <row r="395" spans="28:28" x14ac:dyDescent="0.2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">
      <c r="AB396" s="22" t="str">
        <f t="shared" si="7"/>
        <v/>
      </c>
    </row>
    <row r="397" spans="28:28" x14ac:dyDescent="0.2">
      <c r="AB397" s="22" t="str">
        <f t="shared" si="7"/>
        <v/>
      </c>
    </row>
    <row r="398" spans="28:28" x14ac:dyDescent="0.2">
      <c r="AB398" s="22" t="str">
        <f t="shared" si="7"/>
        <v/>
      </c>
    </row>
    <row r="399" spans="28:28" x14ac:dyDescent="0.2">
      <c r="AB399" s="22" t="str">
        <f t="shared" si="7"/>
        <v/>
      </c>
    </row>
    <row r="400" spans="28:28" x14ac:dyDescent="0.2">
      <c r="AB400" s="22" t="str">
        <f t="shared" si="7"/>
        <v/>
      </c>
    </row>
    <row r="401" spans="28:28" x14ac:dyDescent="0.2">
      <c r="AB401" s="22" t="str">
        <f t="shared" si="7"/>
        <v/>
      </c>
    </row>
    <row r="402" spans="28:28" x14ac:dyDescent="0.2">
      <c r="AB402" s="22" t="str">
        <f t="shared" si="7"/>
        <v/>
      </c>
    </row>
    <row r="403" spans="28:28" x14ac:dyDescent="0.2">
      <c r="AB403" s="22" t="str">
        <f t="shared" si="7"/>
        <v/>
      </c>
    </row>
    <row r="404" spans="28:28" x14ac:dyDescent="0.2">
      <c r="AB404" s="22" t="str">
        <f t="shared" si="7"/>
        <v/>
      </c>
    </row>
    <row r="405" spans="28:28" x14ac:dyDescent="0.2">
      <c r="AB405" s="22" t="str">
        <f t="shared" si="7"/>
        <v/>
      </c>
    </row>
    <row r="406" spans="28:28" x14ac:dyDescent="0.2">
      <c r="AB406" s="22" t="str">
        <f t="shared" si="7"/>
        <v/>
      </c>
    </row>
    <row r="407" spans="28:28" x14ac:dyDescent="0.2">
      <c r="AB407" s="22" t="str">
        <f t="shared" si="7"/>
        <v/>
      </c>
    </row>
    <row r="408" spans="28:28" x14ac:dyDescent="0.2">
      <c r="AB408" s="22" t="str">
        <f t="shared" si="7"/>
        <v/>
      </c>
    </row>
    <row r="409" spans="28:28" x14ac:dyDescent="0.2">
      <c r="AB409" s="22" t="str">
        <f t="shared" si="7"/>
        <v/>
      </c>
    </row>
    <row r="410" spans="28:28" x14ac:dyDescent="0.2">
      <c r="AB410" s="22" t="str">
        <f t="shared" si="7"/>
        <v/>
      </c>
    </row>
    <row r="411" spans="28:28" x14ac:dyDescent="0.2">
      <c r="AB411" s="22" t="str">
        <f t="shared" si="7"/>
        <v/>
      </c>
    </row>
    <row r="412" spans="28:28" x14ac:dyDescent="0.2">
      <c r="AB412" s="22" t="str">
        <f t="shared" si="7"/>
        <v/>
      </c>
    </row>
    <row r="413" spans="28:28" x14ac:dyDescent="0.2">
      <c r="AB413" s="22" t="str">
        <f t="shared" si="7"/>
        <v/>
      </c>
    </row>
    <row r="414" spans="28:28" x14ac:dyDescent="0.2">
      <c r="AB414" s="22" t="str">
        <f t="shared" si="7"/>
        <v/>
      </c>
    </row>
    <row r="415" spans="28:28" x14ac:dyDescent="0.2">
      <c r="AB415" s="22" t="str">
        <f t="shared" si="7"/>
        <v/>
      </c>
    </row>
    <row r="416" spans="28:28" x14ac:dyDescent="0.2">
      <c r="AB416" s="22" t="str">
        <f t="shared" si="7"/>
        <v/>
      </c>
    </row>
    <row r="417" spans="28:28" x14ac:dyDescent="0.2">
      <c r="AB417" s="22" t="str">
        <f t="shared" si="7"/>
        <v/>
      </c>
    </row>
    <row r="418" spans="28:28" x14ac:dyDescent="0.2">
      <c r="AB418" s="22" t="str">
        <f t="shared" si="7"/>
        <v/>
      </c>
    </row>
    <row r="419" spans="28:28" x14ac:dyDescent="0.2">
      <c r="AB419" s="22" t="str">
        <f t="shared" si="7"/>
        <v/>
      </c>
    </row>
    <row r="420" spans="28:28" x14ac:dyDescent="0.2">
      <c r="AB420" s="22" t="str">
        <f t="shared" si="7"/>
        <v/>
      </c>
    </row>
    <row r="421" spans="28:28" x14ac:dyDescent="0.2">
      <c r="AB421" s="22" t="str">
        <f t="shared" si="7"/>
        <v/>
      </c>
    </row>
    <row r="422" spans="28:28" x14ac:dyDescent="0.2">
      <c r="AB422" s="22" t="str">
        <f t="shared" si="7"/>
        <v/>
      </c>
    </row>
    <row r="423" spans="28:28" x14ac:dyDescent="0.2">
      <c r="AB423" s="22" t="str">
        <f t="shared" si="7"/>
        <v/>
      </c>
    </row>
    <row r="424" spans="28:28" x14ac:dyDescent="0.2">
      <c r="AB424" s="22" t="str">
        <f t="shared" si="7"/>
        <v/>
      </c>
    </row>
    <row r="425" spans="28:28" x14ac:dyDescent="0.2">
      <c r="AB425" s="22" t="str">
        <f t="shared" si="7"/>
        <v/>
      </c>
    </row>
    <row r="426" spans="28:28" x14ac:dyDescent="0.2">
      <c r="AB426" s="22" t="str">
        <f t="shared" si="7"/>
        <v/>
      </c>
    </row>
    <row r="427" spans="28:28" x14ac:dyDescent="0.2">
      <c r="AB427" s="22" t="str">
        <f t="shared" si="7"/>
        <v/>
      </c>
    </row>
    <row r="428" spans="28:28" x14ac:dyDescent="0.2">
      <c r="AB428" s="22" t="str">
        <f t="shared" si="7"/>
        <v/>
      </c>
    </row>
    <row r="429" spans="28:28" x14ac:dyDescent="0.2">
      <c r="AB429" s="22" t="str">
        <f t="shared" si="7"/>
        <v/>
      </c>
    </row>
    <row r="430" spans="28:28" x14ac:dyDescent="0.2">
      <c r="AB430" s="22" t="str">
        <f t="shared" si="7"/>
        <v/>
      </c>
    </row>
    <row r="431" spans="28:28" x14ac:dyDescent="0.2">
      <c r="AB431" s="22" t="str">
        <f t="shared" si="7"/>
        <v/>
      </c>
    </row>
    <row r="432" spans="28:28" x14ac:dyDescent="0.2">
      <c r="AB432" s="22" t="str">
        <f t="shared" si="7"/>
        <v/>
      </c>
    </row>
    <row r="433" spans="28:28" x14ac:dyDescent="0.2">
      <c r="AB433" s="22" t="str">
        <f t="shared" si="7"/>
        <v/>
      </c>
    </row>
    <row r="434" spans="28:28" x14ac:dyDescent="0.2">
      <c r="AB434" s="22" t="str">
        <f t="shared" si="7"/>
        <v/>
      </c>
    </row>
    <row r="435" spans="28:28" x14ac:dyDescent="0.2">
      <c r="AB435" s="22" t="str">
        <f t="shared" si="7"/>
        <v/>
      </c>
    </row>
    <row r="436" spans="28:28" x14ac:dyDescent="0.2">
      <c r="AB436" s="22" t="str">
        <f t="shared" si="7"/>
        <v/>
      </c>
    </row>
    <row r="437" spans="28:28" x14ac:dyDescent="0.2">
      <c r="AB437" s="22" t="str">
        <f t="shared" si="7"/>
        <v/>
      </c>
    </row>
    <row r="438" spans="28:28" x14ac:dyDescent="0.2">
      <c r="AB438" s="22" t="str">
        <f t="shared" si="7"/>
        <v/>
      </c>
    </row>
    <row r="439" spans="28:28" x14ac:dyDescent="0.2">
      <c r="AB439" s="22" t="str">
        <f t="shared" si="7"/>
        <v/>
      </c>
    </row>
    <row r="440" spans="28:28" x14ac:dyDescent="0.2">
      <c r="AB440" s="22" t="str">
        <f t="shared" si="7"/>
        <v/>
      </c>
    </row>
    <row r="441" spans="28:28" x14ac:dyDescent="0.2">
      <c r="AB441" s="22" t="str">
        <f t="shared" si="7"/>
        <v/>
      </c>
    </row>
    <row r="442" spans="28:28" x14ac:dyDescent="0.2">
      <c r="AB442" s="22" t="str">
        <f t="shared" si="7"/>
        <v/>
      </c>
    </row>
    <row r="443" spans="28:28" x14ac:dyDescent="0.2">
      <c r="AB443" s="22" t="str">
        <f t="shared" si="7"/>
        <v/>
      </c>
    </row>
    <row r="444" spans="28:28" x14ac:dyDescent="0.2">
      <c r="AB444" s="22" t="str">
        <f t="shared" si="7"/>
        <v/>
      </c>
    </row>
    <row r="445" spans="28:28" x14ac:dyDescent="0.2">
      <c r="AB445" s="22" t="str">
        <f t="shared" si="7"/>
        <v/>
      </c>
    </row>
    <row r="446" spans="28:28" x14ac:dyDescent="0.2">
      <c r="AB446" s="22" t="str">
        <f t="shared" si="7"/>
        <v/>
      </c>
    </row>
    <row r="447" spans="28:28" x14ac:dyDescent="0.2">
      <c r="AB447" s="22" t="str">
        <f t="shared" si="7"/>
        <v/>
      </c>
    </row>
    <row r="448" spans="28:28" x14ac:dyDescent="0.2">
      <c r="AB448" s="22" t="str">
        <f t="shared" si="7"/>
        <v/>
      </c>
    </row>
    <row r="449" spans="28:28" x14ac:dyDescent="0.2">
      <c r="AB449" s="22" t="str">
        <f t="shared" si="7"/>
        <v/>
      </c>
    </row>
    <row r="450" spans="28:28" x14ac:dyDescent="0.2">
      <c r="AB450" s="22" t="str">
        <f t="shared" si="7"/>
        <v/>
      </c>
    </row>
    <row r="451" spans="28:28" x14ac:dyDescent="0.2">
      <c r="AB451" s="22" t="str">
        <f t="shared" si="7"/>
        <v/>
      </c>
    </row>
    <row r="452" spans="28:28" x14ac:dyDescent="0.2">
      <c r="AB452" s="22" t="str">
        <f t="shared" si="7"/>
        <v/>
      </c>
    </row>
    <row r="453" spans="28:28" x14ac:dyDescent="0.2">
      <c r="AB453" s="22" t="str">
        <f t="shared" si="7"/>
        <v/>
      </c>
    </row>
    <row r="454" spans="28:28" x14ac:dyDescent="0.2">
      <c r="AB454" s="22" t="str">
        <f t="shared" si="7"/>
        <v/>
      </c>
    </row>
    <row r="455" spans="28:28" x14ac:dyDescent="0.2">
      <c r="AB455" s="22" t="str">
        <f t="shared" si="7"/>
        <v/>
      </c>
    </row>
    <row r="456" spans="28:28" x14ac:dyDescent="0.2">
      <c r="AB456" s="22" t="str">
        <f t="shared" si="7"/>
        <v/>
      </c>
    </row>
    <row r="457" spans="28:28" x14ac:dyDescent="0.2">
      <c r="AB457" s="22" t="str">
        <f t="shared" si="7"/>
        <v/>
      </c>
    </row>
    <row r="458" spans="28:28" x14ac:dyDescent="0.2">
      <c r="AB458" s="22" t="str">
        <f t="shared" si="7"/>
        <v/>
      </c>
    </row>
    <row r="459" spans="28:28" x14ac:dyDescent="0.2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">
      <c r="AB460" s="22" t="str">
        <f t="shared" si="8"/>
        <v/>
      </c>
    </row>
    <row r="461" spans="28:28" x14ac:dyDescent="0.2">
      <c r="AB461" s="22" t="str">
        <f t="shared" si="8"/>
        <v/>
      </c>
    </row>
    <row r="462" spans="28:28" x14ac:dyDescent="0.2">
      <c r="AB462" s="22" t="str">
        <f t="shared" si="8"/>
        <v/>
      </c>
    </row>
    <row r="463" spans="28:28" x14ac:dyDescent="0.2">
      <c r="AB463" s="22" t="str">
        <f t="shared" si="8"/>
        <v/>
      </c>
    </row>
    <row r="464" spans="28:28" x14ac:dyDescent="0.2">
      <c r="AB464" s="22" t="str">
        <f t="shared" si="8"/>
        <v/>
      </c>
    </row>
    <row r="465" spans="28:28" x14ac:dyDescent="0.2">
      <c r="AB465" s="22" t="str">
        <f t="shared" si="8"/>
        <v/>
      </c>
    </row>
    <row r="466" spans="28:28" x14ac:dyDescent="0.2">
      <c r="AB466" s="22" t="str">
        <f t="shared" si="8"/>
        <v/>
      </c>
    </row>
    <row r="467" spans="28:28" x14ac:dyDescent="0.2">
      <c r="AB467" s="22" t="str">
        <f t="shared" si="8"/>
        <v/>
      </c>
    </row>
    <row r="468" spans="28:28" x14ac:dyDescent="0.2">
      <c r="AB468" s="22" t="str">
        <f t="shared" si="8"/>
        <v/>
      </c>
    </row>
    <row r="469" spans="28:28" x14ac:dyDescent="0.2">
      <c r="AB469" s="22" t="str">
        <f t="shared" si="8"/>
        <v/>
      </c>
    </row>
    <row r="470" spans="28:28" x14ac:dyDescent="0.2">
      <c r="AB470" s="22" t="str">
        <f t="shared" si="8"/>
        <v/>
      </c>
    </row>
    <row r="471" spans="28:28" x14ac:dyDescent="0.2">
      <c r="AB471" s="22" t="str">
        <f t="shared" si="8"/>
        <v/>
      </c>
    </row>
    <row r="472" spans="28:28" x14ac:dyDescent="0.2">
      <c r="AB472" s="22" t="str">
        <f t="shared" si="8"/>
        <v/>
      </c>
    </row>
    <row r="473" spans="28:28" x14ac:dyDescent="0.2">
      <c r="AB473" s="22" t="str">
        <f t="shared" si="8"/>
        <v/>
      </c>
    </row>
    <row r="474" spans="28:28" x14ac:dyDescent="0.2">
      <c r="AB474" s="22" t="str">
        <f t="shared" si="8"/>
        <v/>
      </c>
    </row>
    <row r="475" spans="28:28" x14ac:dyDescent="0.2">
      <c r="AB475" s="22" t="str">
        <f t="shared" si="8"/>
        <v/>
      </c>
    </row>
    <row r="476" spans="28:28" x14ac:dyDescent="0.2">
      <c r="AB476" s="22" t="str">
        <f t="shared" si="8"/>
        <v/>
      </c>
    </row>
    <row r="477" spans="28:28" x14ac:dyDescent="0.2">
      <c r="AB477" s="22" t="str">
        <f t="shared" si="8"/>
        <v/>
      </c>
    </row>
    <row r="478" spans="28:28" x14ac:dyDescent="0.2">
      <c r="AB478" s="22" t="str">
        <f t="shared" si="8"/>
        <v/>
      </c>
    </row>
    <row r="479" spans="28:28" x14ac:dyDescent="0.2">
      <c r="AB479" s="22" t="str">
        <f t="shared" si="8"/>
        <v/>
      </c>
    </row>
    <row r="480" spans="28:28" x14ac:dyDescent="0.2">
      <c r="AB480" s="22" t="str">
        <f t="shared" si="8"/>
        <v/>
      </c>
    </row>
    <row r="481" spans="28:28" x14ac:dyDescent="0.2">
      <c r="AB481" s="22" t="str">
        <f t="shared" si="8"/>
        <v/>
      </c>
    </row>
    <row r="482" spans="28:28" x14ac:dyDescent="0.2">
      <c r="AB482" s="22" t="str">
        <f t="shared" si="8"/>
        <v/>
      </c>
    </row>
    <row r="483" spans="28:28" x14ac:dyDescent="0.2">
      <c r="AB483" s="22" t="str">
        <f t="shared" si="8"/>
        <v/>
      </c>
    </row>
    <row r="484" spans="28:28" x14ac:dyDescent="0.2">
      <c r="AB484" s="22" t="str">
        <f t="shared" si="8"/>
        <v/>
      </c>
    </row>
    <row r="485" spans="28:28" x14ac:dyDescent="0.2">
      <c r="AB485" s="22" t="str">
        <f t="shared" si="8"/>
        <v/>
      </c>
    </row>
    <row r="486" spans="28:28" x14ac:dyDescent="0.2">
      <c r="AB486" s="22" t="str">
        <f t="shared" si="8"/>
        <v/>
      </c>
    </row>
    <row r="487" spans="28:28" x14ac:dyDescent="0.2">
      <c r="AB487" s="22" t="str">
        <f t="shared" si="8"/>
        <v/>
      </c>
    </row>
    <row r="488" spans="28:28" x14ac:dyDescent="0.2">
      <c r="AB488" s="22" t="str">
        <f t="shared" si="8"/>
        <v/>
      </c>
    </row>
    <row r="489" spans="28:28" x14ac:dyDescent="0.2">
      <c r="AB489" s="22" t="str">
        <f t="shared" si="8"/>
        <v/>
      </c>
    </row>
    <row r="490" spans="28:28" x14ac:dyDescent="0.2">
      <c r="AB490" s="22" t="str">
        <f t="shared" si="8"/>
        <v/>
      </c>
    </row>
    <row r="491" spans="28:28" x14ac:dyDescent="0.2">
      <c r="AB491" s="22" t="str">
        <f t="shared" si="8"/>
        <v/>
      </c>
    </row>
    <row r="492" spans="28:28" x14ac:dyDescent="0.2">
      <c r="AB492" s="22" t="str">
        <f t="shared" si="8"/>
        <v/>
      </c>
    </row>
    <row r="493" spans="28:28" x14ac:dyDescent="0.2">
      <c r="AB493" s="22" t="str">
        <f t="shared" si="8"/>
        <v/>
      </c>
    </row>
    <row r="494" spans="28:28" x14ac:dyDescent="0.2">
      <c r="AB494" s="22" t="str">
        <f t="shared" si="8"/>
        <v/>
      </c>
    </row>
    <row r="495" spans="28:28" x14ac:dyDescent="0.2">
      <c r="AB495" s="22" t="str">
        <f t="shared" si="8"/>
        <v/>
      </c>
    </row>
    <row r="496" spans="28:28" x14ac:dyDescent="0.2">
      <c r="AB496" s="22" t="str">
        <f t="shared" si="8"/>
        <v/>
      </c>
    </row>
    <row r="497" spans="28:28" x14ac:dyDescent="0.2">
      <c r="AB497" s="22" t="str">
        <f t="shared" si="8"/>
        <v/>
      </c>
    </row>
    <row r="498" spans="28:28" x14ac:dyDescent="0.2">
      <c r="AB498" s="22" t="str">
        <f t="shared" si="8"/>
        <v/>
      </c>
    </row>
    <row r="499" spans="28:28" x14ac:dyDescent="0.2">
      <c r="AB499" s="22" t="str">
        <f t="shared" si="8"/>
        <v/>
      </c>
    </row>
    <row r="500" spans="28:28" x14ac:dyDescent="0.2">
      <c r="AB500" s="22" t="str">
        <f t="shared" si="8"/>
        <v/>
      </c>
    </row>
    <row r="501" spans="28:28" x14ac:dyDescent="0.2">
      <c r="AB501" s="22" t="str">
        <f t="shared" si="8"/>
        <v/>
      </c>
    </row>
    <row r="502" spans="28:28" x14ac:dyDescent="0.2">
      <c r="AB502" s="22" t="str">
        <f t="shared" si="8"/>
        <v/>
      </c>
    </row>
    <row r="503" spans="28:28" x14ac:dyDescent="0.2">
      <c r="AB503" s="22" t="str">
        <f t="shared" si="8"/>
        <v/>
      </c>
    </row>
    <row r="504" spans="28:28" x14ac:dyDescent="0.2">
      <c r="AB504" s="22" t="str">
        <f t="shared" si="8"/>
        <v/>
      </c>
    </row>
    <row r="505" spans="28:28" x14ac:dyDescent="0.2">
      <c r="AB505" s="22" t="str">
        <f t="shared" si="8"/>
        <v/>
      </c>
    </row>
    <row r="506" spans="28:28" x14ac:dyDescent="0.2">
      <c r="AB506" s="22" t="str">
        <f t="shared" si="8"/>
        <v/>
      </c>
    </row>
    <row r="507" spans="28:28" x14ac:dyDescent="0.2">
      <c r="AB507" s="22" t="str">
        <f t="shared" si="8"/>
        <v/>
      </c>
    </row>
    <row r="508" spans="28:28" x14ac:dyDescent="0.2">
      <c r="AB508" s="22" t="str">
        <f t="shared" si="8"/>
        <v/>
      </c>
    </row>
    <row r="509" spans="28:28" x14ac:dyDescent="0.2">
      <c r="AB509" s="22" t="str">
        <f t="shared" si="8"/>
        <v/>
      </c>
    </row>
  </sheetData>
  <autoFilter ref="A1:L255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7" zoomScale="70" workbookViewId="0">
      <selection activeCell="E62" sqref="E62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67" t="s">
        <v>184</v>
      </c>
      <c r="E1" s="67" t="s">
        <v>508</v>
      </c>
      <c r="F1" s="1"/>
      <c r="G1" s="1"/>
    </row>
    <row r="2" spans="1:7" x14ac:dyDescent="0.2">
      <c r="A2" s="68">
        <v>2</v>
      </c>
      <c r="B2" s="69" t="s">
        <v>135</v>
      </c>
      <c r="C2" s="69" t="s">
        <v>95</v>
      </c>
      <c r="D2" s="69"/>
      <c r="E2" s="56" t="s">
        <v>559</v>
      </c>
      <c r="G2" s="22"/>
    </row>
    <row r="3" spans="1:7" x14ac:dyDescent="0.2">
      <c r="A3" s="68">
        <v>1</v>
      </c>
      <c r="B3" s="69" t="s">
        <v>53</v>
      </c>
      <c r="C3" s="69" t="s">
        <v>95</v>
      </c>
      <c r="D3" s="68">
        <v>141.63</v>
      </c>
      <c r="E3" t="s">
        <v>469</v>
      </c>
    </row>
    <row r="4" spans="1:7" x14ac:dyDescent="0.2">
      <c r="A4" s="68">
        <v>14</v>
      </c>
      <c r="B4" s="69" t="s">
        <v>54</v>
      </c>
      <c r="C4" s="69" t="s">
        <v>95</v>
      </c>
      <c r="D4" s="68">
        <v>143.4</v>
      </c>
      <c r="E4" s="56" t="s">
        <v>561</v>
      </c>
    </row>
    <row r="5" spans="1:7" x14ac:dyDescent="0.2">
      <c r="A5" s="68">
        <v>3</v>
      </c>
      <c r="B5" s="69" t="s">
        <v>55</v>
      </c>
      <c r="C5" s="69" t="s">
        <v>95</v>
      </c>
      <c r="D5" s="68">
        <v>93.49</v>
      </c>
      <c r="E5" t="s">
        <v>470</v>
      </c>
    </row>
    <row r="6" spans="1:7" x14ac:dyDescent="0.2">
      <c r="A6" s="68">
        <v>4</v>
      </c>
      <c r="B6" s="69" t="s">
        <v>56</v>
      </c>
      <c r="C6" s="69" t="s">
        <v>95</v>
      </c>
      <c r="D6" s="68">
        <v>141.66</v>
      </c>
      <c r="E6" t="s">
        <v>471</v>
      </c>
    </row>
    <row r="7" spans="1:7" x14ac:dyDescent="0.2">
      <c r="A7" s="68">
        <v>7</v>
      </c>
      <c r="B7" s="69" t="s">
        <v>136</v>
      </c>
      <c r="C7" s="69" t="s">
        <v>95</v>
      </c>
      <c r="D7" s="69"/>
      <c r="E7" s="2" t="s">
        <v>560</v>
      </c>
    </row>
    <row r="8" spans="1:7" x14ac:dyDescent="0.2">
      <c r="A8" s="68">
        <v>5</v>
      </c>
      <c r="B8" s="69" t="s">
        <v>57</v>
      </c>
      <c r="C8" s="69" t="s">
        <v>95</v>
      </c>
      <c r="D8" s="68">
        <v>127.6</v>
      </c>
      <c r="E8" s="56" t="s">
        <v>472</v>
      </c>
    </row>
    <row r="9" spans="1:7" x14ac:dyDescent="0.2">
      <c r="A9" s="68">
        <v>6</v>
      </c>
      <c r="B9" s="69" t="s">
        <v>58</v>
      </c>
      <c r="C9" s="69" t="s">
        <v>95</v>
      </c>
      <c r="D9" s="68">
        <v>93.99</v>
      </c>
      <c r="E9" t="s">
        <v>473</v>
      </c>
    </row>
    <row r="10" spans="1:7" x14ac:dyDescent="0.2">
      <c r="A10" s="68">
        <v>8</v>
      </c>
      <c r="B10" s="69" t="s">
        <v>59</v>
      </c>
      <c r="C10" s="69" t="s">
        <v>95</v>
      </c>
      <c r="D10" s="68">
        <v>143.94</v>
      </c>
      <c r="E10" t="s">
        <v>509</v>
      </c>
    </row>
    <row r="11" spans="1:7" x14ac:dyDescent="0.2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">
      <c r="A12" s="68">
        <v>73</v>
      </c>
      <c r="B12" s="69" t="s">
        <v>186</v>
      </c>
      <c r="C12" s="69" t="s">
        <v>95</v>
      </c>
      <c r="D12" s="68">
        <v>189.14</v>
      </c>
      <c r="E12" s="56" t="s">
        <v>563</v>
      </c>
    </row>
    <row r="13" spans="1:7" x14ac:dyDescent="0.2">
      <c r="A13" s="68">
        <v>74</v>
      </c>
      <c r="B13" s="69" t="s">
        <v>187</v>
      </c>
      <c r="C13" s="69" t="s">
        <v>95</v>
      </c>
      <c r="D13" s="68">
        <v>167.33</v>
      </c>
      <c r="E13" t="s">
        <v>474</v>
      </c>
    </row>
    <row r="14" spans="1:7" x14ac:dyDescent="0.2">
      <c r="A14" s="68">
        <v>75</v>
      </c>
      <c r="B14" s="69" t="s">
        <v>188</v>
      </c>
      <c r="C14" s="69" t="s">
        <v>95</v>
      </c>
      <c r="D14" s="68">
        <v>203.37</v>
      </c>
      <c r="E14" t="s">
        <v>475</v>
      </c>
    </row>
    <row r="15" spans="1:7" x14ac:dyDescent="0.2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">
      <c r="A16" s="68">
        <v>9</v>
      </c>
      <c r="B16" s="69" t="s">
        <v>60</v>
      </c>
      <c r="C16" s="69" t="s">
        <v>95</v>
      </c>
      <c r="D16" s="68">
        <v>135.4</v>
      </c>
      <c r="E16" s="56" t="s">
        <v>476</v>
      </c>
    </row>
    <row r="17" spans="1:5" x14ac:dyDescent="0.2">
      <c r="A17" s="68">
        <v>10</v>
      </c>
      <c r="B17" s="69" t="s">
        <v>61</v>
      </c>
      <c r="C17" s="69" t="s">
        <v>95</v>
      </c>
      <c r="D17" s="68">
        <v>129.29</v>
      </c>
      <c r="E17" t="s">
        <v>477</v>
      </c>
    </row>
    <row r="18" spans="1:5" x14ac:dyDescent="0.2">
      <c r="A18" s="68">
        <v>11</v>
      </c>
      <c r="B18" s="69" t="s">
        <v>62</v>
      </c>
      <c r="C18" s="69" t="s">
        <v>95</v>
      </c>
      <c r="D18" s="68">
        <v>116</v>
      </c>
      <c r="E18" t="s">
        <v>478</v>
      </c>
    </row>
    <row r="19" spans="1:5" x14ac:dyDescent="0.2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">
      <c r="A20" s="68">
        <v>17</v>
      </c>
      <c r="B20" s="69" t="s">
        <v>63</v>
      </c>
      <c r="C20" s="69" t="s">
        <v>95</v>
      </c>
      <c r="D20" s="68">
        <v>148.76</v>
      </c>
      <c r="E20" t="s">
        <v>479</v>
      </c>
    </row>
    <row r="21" spans="1:5" x14ac:dyDescent="0.2">
      <c r="A21" s="68">
        <v>44</v>
      </c>
      <c r="B21" s="69" t="s">
        <v>64</v>
      </c>
      <c r="C21" s="69" t="s">
        <v>95</v>
      </c>
      <c r="D21" s="68">
        <v>165.12</v>
      </c>
      <c r="E21" s="56" t="s">
        <v>562</v>
      </c>
    </row>
    <row r="22" spans="1:5" x14ac:dyDescent="0.2">
      <c r="A22" s="68">
        <v>16</v>
      </c>
      <c r="B22" s="69" t="s">
        <v>65</v>
      </c>
      <c r="C22" s="69" t="s">
        <v>95</v>
      </c>
      <c r="D22" s="68">
        <v>196.17</v>
      </c>
      <c r="E22" s="56" t="s">
        <v>480</v>
      </c>
    </row>
    <row r="23" spans="1:5" x14ac:dyDescent="0.2">
      <c r="A23" s="68">
        <v>18</v>
      </c>
      <c r="B23" s="69" t="s">
        <v>219</v>
      </c>
      <c r="C23" s="69" t="s">
        <v>95</v>
      </c>
      <c r="D23" s="69"/>
    </row>
    <row r="24" spans="1:5" x14ac:dyDescent="0.2">
      <c r="A24" s="68">
        <v>19</v>
      </c>
      <c r="B24" s="69" t="s">
        <v>99</v>
      </c>
      <c r="C24" s="69" t="s">
        <v>95</v>
      </c>
      <c r="D24" s="68">
        <v>163.35</v>
      </c>
      <c r="E24" t="s">
        <v>481</v>
      </c>
    </row>
    <row r="25" spans="1:5" x14ac:dyDescent="0.2">
      <c r="A25" s="68">
        <v>34</v>
      </c>
      <c r="B25" s="69" t="s">
        <v>102</v>
      </c>
      <c r="C25" s="69" t="s">
        <v>95</v>
      </c>
      <c r="D25" s="68">
        <v>496.98</v>
      </c>
      <c r="E25" t="s">
        <v>482</v>
      </c>
    </row>
    <row r="26" spans="1:5" x14ac:dyDescent="0.2">
      <c r="A26" s="68">
        <v>20</v>
      </c>
      <c r="B26" s="69" t="s">
        <v>140</v>
      </c>
      <c r="C26" s="69" t="s">
        <v>95</v>
      </c>
      <c r="D26" s="69"/>
    </row>
    <row r="27" spans="1:5" x14ac:dyDescent="0.2">
      <c r="A27" s="68">
        <v>20</v>
      </c>
      <c r="B27" s="69" t="s">
        <v>234</v>
      </c>
      <c r="C27" s="69" t="s">
        <v>197</v>
      </c>
      <c r="D27" s="69"/>
    </row>
    <row r="28" spans="1:5" x14ac:dyDescent="0.2">
      <c r="A28" s="68">
        <v>20</v>
      </c>
      <c r="B28" s="69" t="s">
        <v>139</v>
      </c>
      <c r="C28" s="69" t="s">
        <v>104</v>
      </c>
      <c r="D28" s="69"/>
    </row>
    <row r="29" spans="1:5" x14ac:dyDescent="0.2">
      <c r="A29" s="68">
        <v>31</v>
      </c>
      <c r="B29" s="69" t="s">
        <v>103</v>
      </c>
      <c r="C29" s="69" t="s">
        <v>95</v>
      </c>
      <c r="D29" s="68">
        <v>180.8</v>
      </c>
      <c r="E29" t="s">
        <v>483</v>
      </c>
    </row>
    <row r="30" spans="1:5" x14ac:dyDescent="0.2">
      <c r="A30" s="68">
        <v>30</v>
      </c>
      <c r="B30" s="69" t="s">
        <v>66</v>
      </c>
      <c r="C30" s="69" t="s">
        <v>95</v>
      </c>
      <c r="D30" s="68">
        <v>165.91</v>
      </c>
      <c r="E30" s="56" t="s">
        <v>484</v>
      </c>
    </row>
    <row r="31" spans="1:5" x14ac:dyDescent="0.2">
      <c r="A31" s="68">
        <v>33</v>
      </c>
      <c r="B31" s="69" t="s">
        <v>105</v>
      </c>
      <c r="C31" s="69" t="s">
        <v>95</v>
      </c>
      <c r="D31" s="68">
        <v>165.91</v>
      </c>
      <c r="E31" s="56" t="s">
        <v>485</v>
      </c>
    </row>
    <row r="32" spans="1:5" x14ac:dyDescent="0.2">
      <c r="A32" s="68">
        <v>32</v>
      </c>
      <c r="B32" s="69" t="s">
        <v>106</v>
      </c>
      <c r="C32" s="69" t="s">
        <v>95</v>
      </c>
      <c r="D32" s="68">
        <v>356.83</v>
      </c>
      <c r="E32" t="s">
        <v>486</v>
      </c>
    </row>
    <row r="33" spans="1:5" x14ac:dyDescent="0.2">
      <c r="A33" s="68">
        <v>26</v>
      </c>
      <c r="B33" s="69" t="s">
        <v>224</v>
      </c>
      <c r="C33" s="69" t="s">
        <v>95</v>
      </c>
      <c r="D33" s="68">
        <v>180.8</v>
      </c>
      <c r="E33" t="s">
        <v>487</v>
      </c>
    </row>
    <row r="34" spans="1:5" x14ac:dyDescent="0.2">
      <c r="A34" s="68">
        <v>22</v>
      </c>
      <c r="B34" s="69" t="s">
        <v>226</v>
      </c>
      <c r="C34" s="69" t="s">
        <v>95</v>
      </c>
      <c r="D34" s="68">
        <v>180.8</v>
      </c>
      <c r="E34" t="s">
        <v>488</v>
      </c>
    </row>
    <row r="35" spans="1:5" x14ac:dyDescent="0.2">
      <c r="A35" s="68">
        <v>21</v>
      </c>
      <c r="B35" s="69" t="s">
        <v>227</v>
      </c>
      <c r="C35" s="69" t="s">
        <v>95</v>
      </c>
      <c r="D35" s="68">
        <v>197.26</v>
      </c>
      <c r="E35" s="56" t="s">
        <v>489</v>
      </c>
    </row>
    <row r="36" spans="1:5" x14ac:dyDescent="0.2">
      <c r="A36" s="68">
        <v>25</v>
      </c>
      <c r="B36" s="69" t="s">
        <v>228</v>
      </c>
      <c r="C36" s="69" t="s">
        <v>95</v>
      </c>
      <c r="D36" s="68">
        <v>195.72</v>
      </c>
      <c r="E36" t="s">
        <v>490</v>
      </c>
    </row>
    <row r="37" spans="1:5" x14ac:dyDescent="0.2">
      <c r="A37" s="68">
        <v>28</v>
      </c>
      <c r="B37" s="69" t="s">
        <v>107</v>
      </c>
      <c r="C37" s="69" t="s">
        <v>95</v>
      </c>
      <c r="D37" s="68">
        <v>348.23</v>
      </c>
      <c r="E37" t="s">
        <v>491</v>
      </c>
    </row>
    <row r="38" spans="1:5" x14ac:dyDescent="0.2">
      <c r="A38" s="68">
        <v>23</v>
      </c>
      <c r="B38" s="69" t="s">
        <v>67</v>
      </c>
      <c r="C38" s="69" t="s">
        <v>95</v>
      </c>
      <c r="D38" s="68">
        <v>195.72</v>
      </c>
      <c r="E38" s="56" t="s">
        <v>492</v>
      </c>
    </row>
    <row r="39" spans="1:5" x14ac:dyDescent="0.2">
      <c r="A39" s="68">
        <v>27</v>
      </c>
      <c r="B39" s="69" t="s">
        <v>109</v>
      </c>
      <c r="C39" s="69" t="s">
        <v>95</v>
      </c>
      <c r="D39" s="68">
        <v>197.32</v>
      </c>
      <c r="E39" t="s">
        <v>510</v>
      </c>
    </row>
    <row r="40" spans="1:5" x14ac:dyDescent="0.2">
      <c r="A40" s="68">
        <v>24</v>
      </c>
      <c r="B40" s="69" t="s">
        <v>141</v>
      </c>
      <c r="C40" s="69"/>
      <c r="D40" s="69"/>
      <c r="E40" s="2"/>
    </row>
    <row r="41" spans="1:5" x14ac:dyDescent="0.2">
      <c r="A41" s="68">
        <v>29</v>
      </c>
      <c r="B41" s="69" t="s">
        <v>142</v>
      </c>
      <c r="C41" s="69"/>
      <c r="D41" s="69"/>
      <c r="E41" s="2"/>
    </row>
    <row r="42" spans="1:5" x14ac:dyDescent="0.2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">
      <c r="A44" s="68">
        <v>51</v>
      </c>
      <c r="B44" s="69" t="s">
        <v>235</v>
      </c>
      <c r="C44" s="69" t="s">
        <v>197</v>
      </c>
      <c r="D44" s="69"/>
      <c r="E44" s="2"/>
    </row>
    <row r="45" spans="1:5" x14ac:dyDescent="0.2">
      <c r="A45" s="68">
        <v>46</v>
      </c>
      <c r="B45" s="69" t="s">
        <v>68</v>
      </c>
      <c r="C45" s="69" t="s">
        <v>95</v>
      </c>
      <c r="D45" s="68">
        <v>165.47</v>
      </c>
      <c r="E45" s="56" t="s">
        <v>493</v>
      </c>
    </row>
    <row r="46" spans="1:5" x14ac:dyDescent="0.2">
      <c r="A46" s="68">
        <v>52</v>
      </c>
      <c r="B46" s="69" t="s">
        <v>69</v>
      </c>
      <c r="C46" s="69" t="s">
        <v>95</v>
      </c>
      <c r="D46" s="68">
        <v>61.95</v>
      </c>
      <c r="E46" s="56" t="s">
        <v>511</v>
      </c>
    </row>
    <row r="47" spans="1:5" x14ac:dyDescent="0.2">
      <c r="A47" s="68">
        <v>47</v>
      </c>
      <c r="B47" s="69" t="s">
        <v>86</v>
      </c>
      <c r="C47" s="69" t="s">
        <v>95</v>
      </c>
      <c r="D47" s="68">
        <v>165.44</v>
      </c>
      <c r="E47" t="s">
        <v>494</v>
      </c>
    </row>
    <row r="48" spans="1:5" x14ac:dyDescent="0.2">
      <c r="A48" s="68">
        <v>48</v>
      </c>
      <c r="B48" s="69" t="s">
        <v>111</v>
      </c>
      <c r="C48" s="69" t="s">
        <v>95</v>
      </c>
      <c r="D48" s="68">
        <v>174.38</v>
      </c>
      <c r="E48" s="56" t="s">
        <v>495</v>
      </c>
    </row>
    <row r="49" spans="1:5" x14ac:dyDescent="0.2">
      <c r="A49" s="68">
        <v>49</v>
      </c>
      <c r="B49" s="69" t="s">
        <v>231</v>
      </c>
      <c r="C49" s="69" t="s">
        <v>95</v>
      </c>
      <c r="D49" s="68">
        <v>165.44</v>
      </c>
      <c r="E49" t="s">
        <v>497</v>
      </c>
    </row>
    <row r="50" spans="1:5" x14ac:dyDescent="0.2">
      <c r="A50" s="68">
        <v>53</v>
      </c>
      <c r="B50" s="69" t="s">
        <v>70</v>
      </c>
      <c r="C50" s="69" t="s">
        <v>95</v>
      </c>
      <c r="D50" s="68">
        <v>165.45</v>
      </c>
      <c r="E50" t="s">
        <v>496</v>
      </c>
    </row>
    <row r="51" spans="1:5" x14ac:dyDescent="0.2">
      <c r="A51" s="68">
        <v>54</v>
      </c>
      <c r="B51" s="69" t="s">
        <v>71</v>
      </c>
      <c r="C51" s="69" t="s">
        <v>95</v>
      </c>
      <c r="D51" s="68">
        <v>208.78</v>
      </c>
      <c r="E51" t="s">
        <v>498</v>
      </c>
    </row>
    <row r="52" spans="1:5" x14ac:dyDescent="0.2">
      <c r="A52" s="68">
        <v>55</v>
      </c>
      <c r="B52" s="69" t="s">
        <v>72</v>
      </c>
      <c r="C52" s="69" t="s">
        <v>95</v>
      </c>
      <c r="D52" s="68">
        <v>171.18</v>
      </c>
      <c r="E52" s="56" t="s">
        <v>499</v>
      </c>
    </row>
    <row r="53" spans="1:5" x14ac:dyDescent="0.2">
      <c r="A53" s="68">
        <v>45</v>
      </c>
      <c r="B53" s="69" t="s">
        <v>145</v>
      </c>
      <c r="C53" s="69"/>
      <c r="D53" s="69"/>
      <c r="E53" s="2"/>
    </row>
    <row r="54" spans="1:5" x14ac:dyDescent="0.2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">
      <c r="A56" s="68">
        <v>61</v>
      </c>
      <c r="B56" s="69" t="s">
        <v>233</v>
      </c>
      <c r="C56" s="69" t="s">
        <v>197</v>
      </c>
      <c r="D56" s="69"/>
      <c r="E56" s="2"/>
    </row>
    <row r="57" spans="1:5" x14ac:dyDescent="0.2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">
      <c r="A58" s="68">
        <v>66</v>
      </c>
      <c r="B58" s="69" t="s">
        <v>73</v>
      </c>
      <c r="C58" s="69" t="s">
        <v>95</v>
      </c>
      <c r="D58" s="68">
        <v>201.41</v>
      </c>
      <c r="E58" t="s">
        <v>500</v>
      </c>
    </row>
    <row r="59" spans="1:5" x14ac:dyDescent="0.2">
      <c r="A59" s="68">
        <v>67</v>
      </c>
      <c r="B59" s="69" t="s">
        <v>112</v>
      </c>
      <c r="C59" s="69" t="s">
        <v>95</v>
      </c>
      <c r="D59" s="68">
        <v>165.45</v>
      </c>
      <c r="E59" s="56" t="s">
        <v>501</v>
      </c>
    </row>
    <row r="60" spans="1:5" x14ac:dyDescent="0.2">
      <c r="A60" s="68">
        <v>63</v>
      </c>
      <c r="B60" s="69" t="s">
        <v>115</v>
      </c>
      <c r="C60" s="69" t="s">
        <v>95</v>
      </c>
      <c r="D60" s="68">
        <v>180.37</v>
      </c>
      <c r="E60" t="s">
        <v>502</v>
      </c>
    </row>
    <row r="61" spans="1:5" x14ac:dyDescent="0.2">
      <c r="A61" s="68">
        <v>68</v>
      </c>
      <c r="B61" s="69" t="s">
        <v>117</v>
      </c>
      <c r="C61" s="69" t="s">
        <v>95</v>
      </c>
      <c r="D61" s="68">
        <v>165.41</v>
      </c>
      <c r="E61" t="s">
        <v>503</v>
      </c>
    </row>
    <row r="62" spans="1:5" x14ac:dyDescent="0.2">
      <c r="A62" s="68">
        <v>64</v>
      </c>
      <c r="B62" s="69" t="s">
        <v>74</v>
      </c>
      <c r="C62" s="69" t="s">
        <v>95</v>
      </c>
      <c r="D62" s="68">
        <v>165.54</v>
      </c>
      <c r="E62" s="56" t="s">
        <v>504</v>
      </c>
    </row>
    <row r="63" spans="1:5" x14ac:dyDescent="0.2">
      <c r="A63" s="68">
        <v>71</v>
      </c>
      <c r="B63" s="69" t="s">
        <v>118</v>
      </c>
      <c r="C63" s="69" t="s">
        <v>95</v>
      </c>
      <c r="D63" s="68">
        <v>165.41</v>
      </c>
      <c r="E63" t="s">
        <v>505</v>
      </c>
    </row>
    <row r="64" spans="1:5" x14ac:dyDescent="0.2">
      <c r="A64" s="68">
        <v>70</v>
      </c>
      <c r="B64" s="69" t="s">
        <v>119</v>
      </c>
      <c r="C64" s="69" t="s">
        <v>95</v>
      </c>
      <c r="D64" s="68">
        <v>201.56</v>
      </c>
      <c r="E64" t="s">
        <v>506</v>
      </c>
    </row>
    <row r="65" spans="1:5" x14ac:dyDescent="0.2">
      <c r="A65" s="68">
        <v>65</v>
      </c>
      <c r="B65" s="69" t="s">
        <v>75</v>
      </c>
      <c r="C65" s="69" t="s">
        <v>95</v>
      </c>
      <c r="D65" s="68">
        <v>171.18</v>
      </c>
      <c r="E65" t="s">
        <v>507</v>
      </c>
    </row>
    <row r="66" spans="1:5" x14ac:dyDescent="0.2">
      <c r="A66" s="68">
        <v>62</v>
      </c>
      <c r="B66" s="69" t="s">
        <v>149</v>
      </c>
      <c r="C66" s="69"/>
      <c r="D66" s="69"/>
      <c r="E66" s="2"/>
    </row>
    <row r="67" spans="1:5" x14ac:dyDescent="0.2">
      <c r="A67" s="68">
        <v>36</v>
      </c>
      <c r="B67" s="69" t="s">
        <v>150</v>
      </c>
      <c r="C67" s="69"/>
      <c r="D67" s="69"/>
      <c r="E67" s="2"/>
    </row>
    <row r="68" spans="1:5" x14ac:dyDescent="0.2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">
      <c r="A73" s="68">
        <v>35</v>
      </c>
      <c r="B73" s="69" t="s">
        <v>127</v>
      </c>
      <c r="C73" s="69"/>
      <c r="D73" s="69"/>
      <c r="E73" s="2"/>
    </row>
    <row r="74" spans="1:5" x14ac:dyDescent="0.2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2007-06-05T09:51:23Z</cp:lastPrinted>
  <dcterms:created xsi:type="dcterms:W3CDTF">2007-01-07T18:12:56Z</dcterms:created>
  <dcterms:modified xsi:type="dcterms:W3CDTF">2018-10-20T07:57:20Z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