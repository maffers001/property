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bookViews>
    <workbookView xWindow="0" yWindow="0" windowWidth="28800" windowHeight="13785" activeTab="1"/>
  </bookViews>
  <sheets>
    <sheet name="Rent Statement" sheetId="1" r:id="rId1"/>
    <sheet name="Import" sheetId="31686" r:id="rId2"/>
    <sheet name="Statistics-1" sheetId="31693" r:id="rId3"/>
    <sheet name="Statistics" sheetId="31690" r:id="rId4"/>
    <sheet name="MT" sheetId="31688" r:id="rId5"/>
    <sheet name="IV" sheetId="31689" r:id="rId6"/>
    <sheet name="IV (4040)" sheetId="31692" r:id="rId7"/>
    <sheet name="Beals" sheetId="31687" r:id="rId8"/>
    <sheet name="Managed Properties" sheetId="31681" r:id="rId9"/>
    <sheet name="Tenancies" sheetId="31680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Beals!$A$1:$K$1</definedName>
    <definedName name="_xlnm._FilterDatabase" localSheetId="5" hidden="1">IV!$A$1:$K$51</definedName>
    <definedName name="_xlnm._FilterDatabase" localSheetId="6" hidden="1">'IV (4040)'!$A$1:$J$105</definedName>
    <definedName name="_xlnm._FilterDatabase" localSheetId="4" hidden="1">MT!$A$1:$L$119</definedName>
    <definedName name="_xlnm._FilterDatabase" localSheetId="0" hidden="1">'Rent Statement'!$B$7:$U$63</definedName>
    <definedName name="_xlnm._FilterDatabase" localSheetId="9" hidden="1">Tenancies!$A$1:$L$255</definedName>
    <definedName name="BillListStart" localSheetId="6">#REF!</definedName>
    <definedName name="BillListStart" localSheetId="2">#REF!</definedName>
    <definedName name="BillListStart">#REF!</definedName>
    <definedName name="BillPropertyList" localSheetId="6">#REF!</definedName>
    <definedName name="BillPropertyList" localSheetId="2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I10" i="31690" l="1"/>
  <c r="I9" i="31690"/>
  <c r="I8" i="31690"/>
  <c r="B33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C34" i="31690"/>
  <c r="B29" i="31690"/>
  <c r="C18" i="31690"/>
  <c r="C21" i="31690"/>
  <c r="C24" i="31690"/>
  <c r="B18" i="31690"/>
  <c r="B34" i="31690"/>
  <c r="C30" i="31690"/>
  <c r="C17" i="31690"/>
  <c r="C25" i="31690"/>
  <c r="B26" i="31690"/>
  <c r="E39" i="31690"/>
  <c r="B24" i="31690"/>
  <c r="C31" i="31690"/>
  <c r="B21" i="31690"/>
  <c r="B25" i="31690"/>
  <c r="C32" i="31690"/>
  <c r="C33" i="31690"/>
  <c r="B22" i="31690"/>
  <c r="C22" i="31690"/>
  <c r="B31" i="31690"/>
  <c r="B32" i="31690"/>
  <c r="C26" i="31690"/>
  <c r="B17" i="31690"/>
  <c r="B30" i="31690"/>
  <c r="C29" i="31690"/>
  <c r="C36" i="31690" l="1"/>
  <c r="E12" i="31690"/>
  <c r="B15" i="31690" s="1"/>
  <c r="B12" i="31690"/>
  <c r="H12" i="31690"/>
  <c r="C15" i="31690" s="1"/>
  <c r="D34" i="31690"/>
  <c r="F38" i="31690"/>
  <c r="D31" i="31690"/>
  <c r="D33" i="31690"/>
  <c r="D29" i="31690"/>
  <c r="E38" i="31690"/>
  <c r="B36" i="31690"/>
  <c r="D30" i="31690"/>
  <c r="C19" i="31690"/>
  <c r="F39" i="31690"/>
  <c r="D32" i="31690"/>
  <c r="B19" i="31690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E15" i="31690" l="1"/>
  <c r="E24" i="31690" s="1"/>
  <c r="D36" i="31690"/>
  <c r="F15" i="31690"/>
  <c r="F35" i="31690" s="1"/>
  <c r="E26" i="31690"/>
  <c r="E25" i="31690"/>
  <c r="E32" i="31690"/>
  <c r="E30" i="31690"/>
  <c r="E29" i="31690"/>
  <c r="E33" i="31690"/>
  <c r="E31" i="31690"/>
  <c r="E34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5" i="31690" l="1"/>
  <c r="F29" i="31690"/>
  <c r="F26" i="31690"/>
  <c r="F25" i="31690"/>
  <c r="F24" i="31690"/>
  <c r="F34" i="31690"/>
  <c r="F30" i="31690"/>
  <c r="F31" i="31690"/>
  <c r="F33" i="31690"/>
  <c r="F32" i="31690"/>
  <c r="E36" i="31690"/>
  <c r="E41" i="31690" s="1"/>
  <c r="E47" i="31690" s="1"/>
  <c r="M65" i="1"/>
  <c r="P65" i="1"/>
  <c r="O65" i="1"/>
  <c r="F36" i="31690" l="1"/>
  <c r="F41" i="31690" s="1"/>
</calcChain>
</file>

<file path=xl/comments1.xml><?xml version="1.0" encoding="utf-8"?>
<comments xmlns="http://schemas.openxmlformats.org/spreadsheetml/2006/main">
  <authors>
    <author>Mat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<sst xmlns="http://schemas.openxmlformats.org/spreadsheetml/2006/main" count="4509" uniqueCount="1073">
  <si>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</si>
  <si>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</si>
  <si>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</si>
  <si>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</si>
  <si>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</si>
  <si>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</si>
  <si>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</si>
  <si>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</si>
  <si>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</si>
  <si>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</si>
  <si>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</si>
  <si>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</si>
  <si>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</si>
  <si>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</si>
  <si>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</si>
  <si>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</si>
  <si>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</si>
  <si>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</si>
  <si>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</si>
  <si>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</si>
  <si>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</si>
  <si>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</si>
  <si>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</si>
  <si>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</si>
  <si>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</si>
  <si>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</si>
  <si>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</si>
  <si>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</si>
  <si>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</si>
  <si>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</si>
  <si>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</si>
  <si>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</si>
  <si>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</si>
  <si>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</si>
  <si>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</si>
  <si>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</si>
  <si>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</si>
  <si>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</si>
  <si>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</si>
  <si>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</si>
  <si>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</si>
  <si>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</si>
  <si>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</si>
  <si>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</si>
  <si>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</si>
  <si>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</si>
  <si>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</si>
  <si>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</si>
  <si>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</si>
  <si>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</si>
  <si>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</si>
  <si>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</si>
  <si>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</si>
  <si>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</si>
  <si>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</si>
  <si>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</si>
  <si>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</si>
  <si>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</si>
  <si>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</si>
  <si>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</si>
  <si>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</si>
  <si>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</si>
  <si>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</si>
  <si>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</si>
  <si>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</si>
  <si>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</si>
  <si>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</si>
  <si>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</si>
  <si>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</si>
  <si>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</si>
  <si>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</si>
  <si>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</si>
  <si>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</si>
  <si>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</si>
  <si>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</si>
  <si>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</si>
  <si>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</si>
  <si>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</si>
  <si>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</si>
  <si>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</si>
  <si>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</si>
  <si>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</si>
  <si>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</si>
  <si>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</si>
  <si>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</si>
  <si>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</si>
  <si>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</si>
  <si>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</si>
  <si>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</si>
  <si>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</si>
  <si>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</si>
  <si>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</si>
  <si>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</si>
  <si>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</si>
  <si>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</si>
  <si>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</si>
  <si>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</si>
  <si>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</si>
  <si>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</si>
  <si>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</si>
  <si>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</si>
  <si>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</si>
  <si>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</si>
  <si>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</si>
  <si>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</si>
  <si>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</si>
  <si>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</si>
  <si>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</si>
  <si>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</si>
  <si>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</si>
  <si>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</si>
  <si>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</si>
  <si>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</si>
  <si>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</si>
  <si>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</si>
  <si>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</si>
  <si>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</si>
  <si>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</si>
  <si>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</si>
  <si>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</si>
  <si>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</si>
  <si>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</si>
  <si>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</si>
  <si>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</si>
  <si>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</si>
  <si>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</si>
  <si>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</si>
  <si>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</si>
  <si>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</si>
  <si>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</si>
  <si>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</si>
  <si>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</si>
  <si>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</si>
  <si>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</si>
  <si>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</si>
  <si>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</si>
  <si>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</si>
  <si>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</si>
  <si>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</si>
  <si>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</si>
  <si>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</si>
  <si>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</si>
  <si>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</si>
  <si>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</si>
  <si>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</si>
  <si>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</si>
  <si>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</si>
  <si>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</si>
  <si>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</si>
  <si>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</si>
  <si>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</si>
  <si>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</si>
  <si>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</si>
  <si>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</si>
  <si>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</si>
  <si>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</si>
  <si>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</si>
  <si>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</si>
  <si>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</si>
  <si>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</si>
  <si>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</si>
  <si>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</si>
  <si>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</si>
  <si>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</si>
  <si>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</si>
  <si>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</si>
  <si>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</si>
  <si>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</si>
  <si>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</si>
  <si>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</si>
  <si>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</si>
  <si>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</si>
  <si>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</si>
  <si>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</si>
  <si>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</si>
  <si>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</si>
  <si>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</si>
  <si>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</si>
  <si>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</si>
  <si>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</si>
  <si>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</si>
  <si>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</si>
  <si>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</si>
  <si>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</si>
  <si>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</si>
  <si>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</si>
  <si>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</si>
  <si>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</si>
  <si>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</si>
  <si>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</si>
  <si>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</si>
  <si>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</si>
  <si>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</si>
  <si>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</si>
  <si>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</si>
  <si>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</si>
  <si>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</si>
  <si>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</si>
  <si>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</si>
  <si>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</si>
  <si>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</si>
  <si>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</si>
  <si>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</si>
  <si>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</si>
  <si>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</si>
  <si>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</si>
  <si>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</si>
  <si>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</si>
  <si>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</si>
  <si>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</si>
  <si>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</si>
  <si>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</si>
  <si>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</si>
  <si>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</si>
  <si>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</si>
  <si>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</si>
  <si>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</si>
  <si>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</si>
  <si>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</si>
  <si>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</si>
  <si>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</si>
  <si>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</si>
  <si>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</si>
  <si>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</si>
  <si>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</si>
  <si>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</si>
  <si>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</si>
  <si>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</si>
  <si>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</si>
  <si>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</si>
  <si>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</si>
  <si>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</si>
  <si>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</si>
  <si>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</si>
  <si>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</si>
  <si>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</si>
  <si>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</si>
  <si>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</si>
  <si>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</si>
  <si>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</si>
  <si>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</si>
  <si>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</si>
  <si>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</si>
  <si>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</si>
  <si>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</si>
  <si>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</si>
  <si>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</si>
  <si>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</si>
  <si>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</si>
  <si>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</si>
  <si>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</si>
  <si>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</si>
  <si>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</si>
  <si>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</si>
  <si>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</si>
  <si>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</si>
  <si>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</si>
  <si>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</si>
  <si>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</si>
  <si>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</si>
  <si>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</si>
  <si>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</si>
  <si>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</si>
  <si>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</si>
  <si>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</si>
  <si>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</si>
  <si>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</si>
  <si>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</si>
  <si>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</si>
  <si>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</si>
  <si>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</si>
  <si>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</si>
  <si>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</si>
  <si>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</si>
  <si>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</si>
  <si>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</si>
  <si>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</si>
  <si>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</si>
  <si>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</si>
  <si>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</si>
  <si>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</si>
  <si>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</si>
  <si>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</si>
  <si>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</si>
  <si>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</si>
  <si>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</si>
  <si>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</si>
  <si>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</si>
  <si>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</si>
  <si>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</si>
  <si>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</si>
  <si>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</si>
  <si>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</si>
  <si>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</si>
  <si>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</si>
  <si>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</si>
  <si>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</si>
  <si>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</si>
  <si>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</si>
  <si>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</si>
  <si>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</si>
  <si>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</si>
  <si>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</si>
  <si>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</si>
  <si>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</si>
  <si>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</si>
  <si>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</si>
  <si>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</si>
  <si>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</si>
  <si>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</si>
  <si>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</si>
  <si>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</si>
  <si>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</si>
  <si>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</si>
  <si>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</si>
  <si>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</si>
  <si>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</si>
  <si>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</si>
  <si>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</si>
  <si>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</si>
  <si>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</si>
  <si>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</si>
  <si>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</si>
  <si>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</si>
  <si>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</si>
  <si>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</si>
  <si>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</si>
  <si>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</si>
  <si>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</si>
  <si>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</si>
  <si>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</si>
  <si>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</si>
  <si>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</si>
  <si>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</si>
  <si>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</si>
  <si>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</si>
  <si>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</si>
  <si>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</si>
  <si>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</si>
  <si>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</si>
  <si>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</si>
  <si>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</si>
  <si>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</si>
  <si>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</si>
  <si>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</si>
  <si>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</si>
  <si>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</si>
  <si>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</si>
  <si>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</si>
  <si>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</si>
  <si>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</si>
  <si>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</si>
  <si>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</si>
  <si>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</si>
  <si>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</si>
  <si>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</si>
  <si>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</si>
  <si>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</si>
  <si>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</si>
  <si>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</si>
  <si>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</si>
  <si>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</si>
  <si>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</si>
  <si>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</si>
  <si>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</si>
  <si>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</si>
  <si>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</si>
  <si>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</si>
  <si>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</si>
  <si>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</si>
  <si>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</si>
  <si>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</si>
  <si>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</si>
  <si>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</si>
  <si>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</si>
  <si>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</si>
  <si>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</si>
  <si>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</si>
  <si>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</si>
  <si>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</si>
  <si>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</si>
  <si>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</si>
  <si>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</si>
  <si>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</si>
  <si>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</si>
  <si>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</si>
  <si>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</si>
  <si>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</si>
  <si>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</si>
  <si>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</si>
  <si>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</si>
  <si>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</si>
  <si>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</si>
  <si>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</si>
  <si>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</si>
  <si>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</si>
  <si>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</si>
  <si>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</si>
  <si>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</si>
  <si>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</si>
  <si>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</si>
  <si>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</si>
  <si>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</si>
  <si>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</si>
  <si>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</si>
  <si>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</si>
  <si>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</si>
  <si>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</si>
  <si>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</si>
  <si>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</si>
  <si>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</si>
  <si>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</si>
  <si>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</si>
  <si>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</si>
  <si>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</si>
  <si>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</si>
  <si>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</si>
  <si>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</si>
  <si>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</si>
  <si>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</si>
  <si>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</si>
  <si>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</si>
  <si>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</si>
  <si>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</si>
  <si>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</si>
  <si>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</si>
  <si>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</si>
  <si>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</si>
  <si>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</si>
  <si>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</si>
  <si>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</si>
  <si>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</si>
  <si>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</si>
  <si>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</si>
  <si>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</si>
  <si>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</si>
  <si>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</si>
  <si>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</si>
  <si>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</si>
  <si>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</si>
  <si>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</si>
  <si>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</si>
  <si>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</si>
  <si>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</si>
  <si>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</si>
  <si>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</si>
  <si>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</si>
  <si>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</si>
  <si>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</si>
  <si>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</si>
  <si>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</si>
  <si>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</si>
  <si>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</si>
  <si>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</si>
  <si>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</si>
  <si>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</si>
  <si>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</si>
  <si>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</si>
  <si>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</si>
  <si>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</si>
  <si>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</si>
  <si>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</si>
  <si>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</si>
  <si>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</si>
  <si>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</si>
  <si>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</si>
  <si>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</si>
  <si>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</si>
  <si>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</si>
  <si>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</si>
  <si>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</si>
  <si>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</si>
  <si>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</si>
  <si>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</si>
  <si>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</si>
  <si>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</si>
  <si>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</si>
  <si>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</si>
  <si>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</si>
  <si>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</si>
  <si>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</si>
  <si>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</si>
  <si>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</si>
  <si>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</si>
  <si>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</si>
  <si>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</si>
  <si>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</si>
  <si>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</si>
  <si>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</si>
  <si>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</si>
  <si>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</si>
  <si>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</si>
  <si>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</si>
  <si>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</si>
  <si>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</si>
  <si>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</si>
  <si>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</si>
  <si>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</si>
  <si>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</si>
  <si>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</si>
  <si>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</si>
  <si>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</si>
  <si>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</si>
  <si>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</si>
  <si>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</si>
  <si>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</si>
  <si>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</si>
  <si>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</si>
  <si>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</si>
  <si>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</si>
  <si>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</si>
  <si>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</si>
  <si>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</si>
  <si>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</si>
  <si>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</si>
  <si>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</si>
  <si>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</si>
  <si>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</si>
  <si>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</si>
  <si>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</si>
  <si>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</si>
  <si>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</si>
  <si>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</si>
  <si>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</si>
  <si>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</si>
  <si>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</si>
  <si>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</si>
  <si>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</si>
  <si>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</si>
  <si>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</si>
  <si>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</si>
  <si>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</si>
  <si>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</si>
  <si>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</si>
  <si>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</si>
  <si>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</si>
  <si>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</si>
  <si>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</si>
  <si>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</si>
  <si>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</si>
  <si>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</si>
  <si>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</si>
  <si>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</si>
  <si>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</si>
  <si>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</si>
  <si>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</si>
  <si>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</si>
  <si>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</si>
  <si>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</si>
  <si>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</si>
  <si>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</si>
  <si>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</si>
  <si>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</si>
  <si>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</si>
  <si>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</si>
  <si>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</si>
  <si>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</si>
  <si>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</si>
  <si>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</si>
  <si>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</si>
  <si>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</si>
  <si>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</si>
  <si>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</si>
  <si>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Management Fee at 6% - Flat 20, 4-6 Alhambra Road, Southsea</t>
  </si>
  <si>
    <t>Amount payable to Mr Mathew Tucker - Flat 20, 4-6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</si>
  <si>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</si>
  <si>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</si>
  <si>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</si>
  <si>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</si>
  <si>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Management Fee at 6% - Flat 10, 12-14 Alhambra Road, Southsea</t>
  </si>
  <si>
    <t>Amount payable to Mr Mathew Tucker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</si>
  <si>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</si>
  <si>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</si>
  <si>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</si>
  <si>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</si>
  <si>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</si>
  <si>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</si>
  <si>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Management Fee at 6% - Flat 1, 16-18 Alhambra Road, Southsea</t>
  </si>
  <si>
    <t>Amount payable to Mr Mathew Tucker - Flat 1, 16-18 Alhambra Road, Southsea</t>
  </si>
  <si>
    <t>Management Fee at 6% - Flat 11, 16-18 Alhambra Road, Southsea</t>
  </si>
  <si>
    <t>Amount payable to Mr Mathew Tucker - Flat 11, 16-18 Alhambra Road, Southsea</t>
  </si>
  <si>
    <t>Management Fee at 6% - Flat 13, 16-18 Alhambra Road, Southsea</t>
  </si>
  <si>
    <t>Amount payable to Mr Mathew Tucker - Flat 13, 16-18 Alhambra Road, Southsea</t>
  </si>
  <si>
    <t>Management Fee at 6% - Flat 1, 321 London Road, Portsmouth</t>
  </si>
  <si>
    <t>Amount payable to Mr Mathew Tucker - Flat 1, 321 London Road, Portsmouth</t>
  </si>
  <si>
    <t>Management Fee at 6% - Flat 2, 321 London Road, Portsmouth</t>
  </si>
  <si>
    <t>Amount payable to Mr Mathew Tucker - Flat 2, 321 London Road, Portsmouth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</si>
  <si>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</si>
  <si>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</si>
  <si>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</si>
  <si>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</si>
  <si>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Management Fee at 6% - Flat 4, 163 Fratton Road, Portsmouth</t>
  </si>
  <si>
    <t>Amount payable to Mr Mathew Tucker - Flat 4, 163 Fratton Road, Portsmouth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</si>
  <si>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</si>
  <si>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</si>
  <si>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</si>
  <si>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</si>
  <si>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</si>
  <si>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Amount payable to Mr Mathew Tucker - Flat 2, 169 Fawcett Road, Southsea</t>
  </si>
  <si>
    <t>Management Fee at 6%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</si>
  <si>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</si>
  <si>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</si>
  <si>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</si>
  <si>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</si>
  <si>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</si>
  <si>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</si>
  <si>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</si>
  <si>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</si>
  <si>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Management Fee at 6% - 23b Hampshire Terrace, Portsmouth</t>
  </si>
  <si>
    <t>Amount payable to Mr Mathew Tucker - 23b Hampshire Terrace, Portsmouth</t>
  </si>
  <si>
    <t>Management Fee at 6% - Flat 3, 163 Fratton Road, Portsmouth</t>
  </si>
  <si>
    <t>Management Fee at 6% - Flat 7, 12-14 Alhambra Road, Southsea</t>
  </si>
  <si>
    <t>Amount payable to Mr Mathew Tucker - Flat 7, 12-14 Alhambra Road, Southsea</t>
  </si>
  <si>
    <t>F1171FAW</t>
  </si>
  <si>
    <t>Management Fee at 6% - Flat 1, 171 Fawcett Road, Southsea</t>
  </si>
  <si>
    <t>Amount payable to Mr Mathew Tucker - Flat 1, 171 Fawcett Road, Southsea</t>
  </si>
  <si>
    <t>Management Fee at 6% - 196b Kingston Road, Portsmouth</t>
  </si>
  <si>
    <t>Amount payable to Ms Ivana Valentino - 196b Kingston Road, Portsmouth</t>
  </si>
  <si>
    <t>Management Fee at 6% - Flat 8, 8 Alhambra Road, Southsea</t>
  </si>
  <si>
    <t>Amount payable to Ms Ivana Valentino - Flat 8, 8 Alhambra Road, Southsea</t>
  </si>
  <si>
    <t>Management Fee at 6% - Flat 3, 12-14 Alhambra Road, Southsea</t>
  </si>
  <si>
    <t>Management Fee at 6% - Flat 11, 12-14 Alhambra Road, Southsea</t>
  </si>
  <si>
    <t>Amount payable to Ms Ivana Valentino - Flat 11, 12-14 Alhambra Road, Southsea</t>
  </si>
  <si>
    <t>Management Fee at 6% - Flat 16, 12-14 Alhambra Road, Southsea</t>
  </si>
  <si>
    <t>Amount payable to Ms Ivana Valentino - Flat 16, 12-14 Alhambra Road, Southsea</t>
  </si>
  <si>
    <t>Management Fee at 6% - Flat 7, 16-18 Alhambra Road, Southsea</t>
  </si>
  <si>
    <t>Amount payable to Ms Ivana Valentino - Flat 7, 16-18 Alhambra Road, Southsea</t>
  </si>
  <si>
    <t>Management Fee at 6% - Flat 12, 16-18 Alhambra Road, Southsea</t>
  </si>
  <si>
    <t>Amount payable to Ms Ivana Valentino - Flat 12, 16-18 Alhambra Road, Southsea</t>
  </si>
  <si>
    <t>Management Fee at 6% - Flat 3, 171 Fawcett Road, Southsea</t>
  </si>
  <si>
    <t>20-74-09 60458872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</si>
  <si>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</si>
  <si>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</si>
  <si>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</si>
  <si>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</si>
  <si>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</si>
  <si>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</si>
  <si>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</si>
  <si>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</si>
  <si>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</si>
  <si>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</si>
  <si>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</si>
  <si>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CAPITAL HOME LOANS    CHL00002/907372200 DDR</t>
  </si>
  <si>
    <t>CAPITAL HOME LOANS    CHL00002/907371904 DDR</t>
  </si>
  <si>
    <t>PAYMENT</t>
  </si>
  <si>
    <t>CASH</t>
  </si>
  <si>
    <t>DIRECTDEP</t>
  </si>
  <si>
    <t>BEALS ESTATE AGENT    196A KINGSTON ROAD BGC</t>
  </si>
  <si>
    <t>BEALS ESTATE AGENT    FLAT 4321 LONDON R BGC</t>
  </si>
  <si>
    <t>BEALS ESTATE AGENT    FLAT 1412-14 ALHAM BGC</t>
  </si>
  <si>
    <t>BEALS ESTATE AGENT    FLAT 412-14 ALHAMB BGC</t>
  </si>
  <si>
    <t>BEALS ESTATE AGENT    FLAT 1171 FAWCETT  BGC</t>
  </si>
  <si>
    <t>BEALS ESTATE AGENT    FLAT 1316-18 ALHAM BGC</t>
  </si>
  <si>
    <t>BEALS ESTATE AGENT    FLAT 2321 LONDON R BGC</t>
  </si>
  <si>
    <t>BEALS ESTATE AGENT    FLAT 174-6 ALHAMBR BGC</t>
  </si>
  <si>
    <t>BEALS ESTATE AGENT    FLAT 2171 FAWCETT  BGC</t>
  </si>
  <si>
    <t>BEALS ESTATE AGENT    FLAT 58 ALHAMBRA R BGC</t>
  </si>
  <si>
    <t>BEALS ESTATE AGENT    FLAT 3321 LONDON R BGC</t>
  </si>
  <si>
    <t>BEALS ESTATE AGENT    FLAT 1012-14 ALHAM BGC</t>
  </si>
  <si>
    <t>BEALS ESTATE AGENT    FLAT 2169 FAWCETT  BGC</t>
  </si>
  <si>
    <t>BEALS ESTATE AGENT    FLAT 712-14 ALHAMB BGC</t>
  </si>
  <si>
    <t>BEALS ESTATE AGENT    FLAT 4163 FRATTON  BGC</t>
  </si>
  <si>
    <t>BEALS ESTATE AGENT    FLAT 184-6 ALHAMBR BGC</t>
  </si>
  <si>
    <t>BEALS ESTATE AGENT    FLAT 1321 LONDON R BGC</t>
  </si>
  <si>
    <t>BHAM MIDSHIRES        020010556389/35299 DDR</t>
  </si>
  <si>
    <t>BEALS ESTATE AGENT    FLAT 68 ALHAMBRA R BGC</t>
  </si>
  <si>
    <t>BHAM MIDSHIRES        020000389757/37175 DDR</t>
  </si>
  <si>
    <t>BHAM MIDSHIRES        020009309942/35735 DDR</t>
  </si>
  <si>
    <t>BEALS ESTATE AGENT    FLAT 616-18 ALHAMB BGC</t>
  </si>
  <si>
    <t>BEALS ESTATE AGENT    SHOP196 KINGSTON R BGC</t>
  </si>
  <si>
    <t>BEALS ESTATE AGENT    FLAT 1116-18 ALHAM BGC</t>
  </si>
  <si>
    <t>BEALS ESTATE AGENT    23B HAMPSHIRE TERR BGC</t>
  </si>
  <si>
    <t>BEALS ESTATE AGENT    FLAT 204-6 ALHAMBR BGC</t>
  </si>
  <si>
    <t>BEALS ESTATE AGENT    FLAT 116-18 ALHAMB BGC</t>
  </si>
  <si>
    <t>LAND ROVER FS         579452160          DDR</t>
  </si>
  <si>
    <t>PLATFORM FUNDING      01050228979115     DDR</t>
  </si>
  <si>
    <t>PLATFORM FUNDING      01050228957650     DDR</t>
  </si>
  <si>
    <t>BHAM MIDSHIRES        020010557032/41445 DDR</t>
  </si>
  <si>
    <t>BHAM MIDSHIRES        020004110676/41435 DDR</t>
  </si>
  <si>
    <t>BHAM MIDSHIRES        020003649652/41838 DDR</t>
  </si>
  <si>
    <t>OTH</t>
  </si>
  <si>
    <t>BCC</t>
  </si>
  <si>
    <t>BHAM MIDSHIRES        020007882432/46801 DDR</t>
  </si>
  <si>
    <t xml:space="preserve">FT </t>
  </si>
  <si>
    <t>G&amp;F VALENTINO         MTUCKER            STO</t>
  </si>
  <si>
    <t>BEALS ESTATE AGENT    FLAT 3169 FAWCETT  BGC</t>
  </si>
  <si>
    <t>BHAM MIDSHIRES        020002731371/28015 DDR</t>
  </si>
  <si>
    <t xml:space="preserve">CARDTRONICS UK LTD    BP - ELSTOW INTERC    </t>
  </si>
  <si>
    <t>20-53-30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</si>
  <si>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</si>
  <si>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</si>
  <si>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</si>
  <si>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</si>
  <si>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</si>
  <si>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</si>
  <si>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BEALS ESTATE AGENT    FLAT 214-6 ALHAMBR BGC</t>
  </si>
  <si>
    <t>NRAM                  24935234           DDR</t>
  </si>
  <si>
    <t>LEGAL &amp; GEN MI C/L    011439921-5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</si>
  <si>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</si>
  <si>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</si>
  <si>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</si>
  <si>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</si>
  <si>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KINGSTON UNITY        PL684048A VALENTNO STO</t>
  </si>
  <si>
    <t>SHEPHERDS FS          PN026484A          DDR</t>
  </si>
  <si>
    <t>BEALS ESTATE AGENT    FLAT 1112-14 ALHAM BGC</t>
  </si>
  <si>
    <t>BEALS ESTATE AGENT    FLAT 716-18 ALHAMB BGC</t>
  </si>
  <si>
    <t>BEALS ESTATE AGENT    FLAT 1216-18 ALHAM BGC</t>
  </si>
  <si>
    <t>BEALS ESTATE AGENT    FLAT 1612-14 ALHAM BGC</t>
  </si>
  <si>
    <t xml:space="preserve"> </t>
  </si>
  <si>
    <t>BHAM MIDSHIRES        020007900597/89565 DDR</t>
  </si>
  <si>
    <t>BEALS ESTATE AGENT    FLAT 88 ALHAMBRA R BGC</t>
  </si>
  <si>
    <t>PLATFORM FUNDING      01050228957685     DDR</t>
  </si>
  <si>
    <t>BEALS ESTATE AGENT    23C HAMPSHIRE TERR BGC</t>
  </si>
  <si>
    <t>BEALS ESTATE AGENT    196B KINGSTON ROAD BGC</t>
  </si>
  <si>
    <t xml:space="preserve">207409 40406538       MOBILE-CHANNEL     FT </t>
  </si>
  <si>
    <t>MR MATTHEW STUART     207409 40406538    STO</t>
  </si>
  <si>
    <t>BOOTS REWARDSCHEME    A45028400000736    DDR</t>
  </si>
  <si>
    <t>20-74-09 40406538</t>
  </si>
  <si>
    <t xml:space="preserve">ITUNES.COM/BILL       IRELAND               </t>
  </si>
  <si>
    <t>MERCEDES-BENZ CARS    0376305421         DDR</t>
  </si>
  <si>
    <t xml:space="preserve">205330 30728691       MOBILE-CHANNEL     FT </t>
  </si>
  <si>
    <t>TUCK&amp;VALEN HSE%0 P    207409 40406538    STO</t>
  </si>
  <si>
    <t>BEALS ESTATE AGENT    FLAT 312-14 ALHAMB BGC</t>
  </si>
  <si>
    <t>Amount payable to Ms Ivana Valentino - Flat 3, 171 Fawcett Road, Southsea</t>
  </si>
  <si>
    <t>Amount payable to Ms Ivana Valentino - Flat 3, 12-14 Alhambra Road, Southsea</t>
  </si>
  <si>
    <t>Amount payable to Mr Mathew Tucker - Flat 3, 163 Fratton Road, Portsmouth</t>
  </si>
  <si>
    <t>BEALS ESTATE AGENT    FLAT 3163 FRATTON  BGC</t>
  </si>
  <si>
    <t>BEALS ESTATE AGENT    FLAT 3171 FAWCETT  BGC</t>
  </si>
  <si>
    <t>AVIVA LIFE            014033997          DDR</t>
  </si>
  <si>
    <t>Supplier</t>
  </si>
  <si>
    <t xml:space="preserve">TSB BANK              BARTON LE CLAY        </t>
  </si>
  <si>
    <t>BEALS ESTATE AGENT    FLAT 224-6 ALHAMBR BGC</t>
  </si>
  <si>
    <t xml:space="preserve">CHARGES               Pers OD Tier 2        </t>
  </si>
  <si>
    <t>Rent for period 14/11/2017 - 13/12/2017 from Mr John Sharpe - 196b Kingston Road, Portsmouth</t>
  </si>
  <si>
    <t>Rent for period 26/11/2017 - 25/12/2017 from Ms Lisa Pegg - Flat 8, 8 Alhambra Road, Southsea</t>
  </si>
  <si>
    <t>Management Fee at 6% - Flat 22, 4-6 Alhambra Road, Southsea</t>
  </si>
  <si>
    <t>Amount payable to Ms Ivana Valentino - Flat 22, 4-6 Alhambra Road, Southsea</t>
  </si>
  <si>
    <t>Rent for period 06/09/2017 - 05/10/2017 from Ms Sally Taylor - Flat 22, 4-6 Alhambra Road, Southsea</t>
  </si>
  <si>
    <t>Rent for period 19/11/2017 - 18/12/2017 from Mr Peter Oakwell - Flat 11, 12-14 Alhambra Road, Southsea</t>
  </si>
  <si>
    <t>Rent for period 19/11/2017 - 18/12/2017 from Mr Aubrey Milligan - Flat 16, 12-14 Alhambra Road, Southsea</t>
  </si>
  <si>
    <t>Rent for period 08/11/2017 - 07/12/2017 from Mr Alan Young - Flat 7, 16-18 Alhambra Road, Southsea</t>
  </si>
  <si>
    <t>Rent for period 19/11/2017 - 18/12/2017 from Mr Jason Passmore - Flat 12, 16-18 Alhambra Road, Southsea</t>
  </si>
  <si>
    <t>Rent for period 09/11/2017 - 08/12/2017 from Mr Nick Olsen - Flat 3, 171 Fawcett Road, Southsea</t>
  </si>
  <si>
    <t>Rent for period 16/11/2017 - 15/12/2017 from Miss Ausra Baziukiene - Flat 20, 4-6 Alhambra Road, Southsea</t>
  </si>
  <si>
    <t>Rent for period 26/11/2017 - 25/12/2017 from Mrs Dionne McLaughlin - Flat 18, 4-6 Alhambra Road, Southsea</t>
  </si>
  <si>
    <t>Rent for period 20/11/2017 - 19/12/2017 from Mr Andrew England - Flat 10, 12-14 Alhambra Road, Southsea</t>
  </si>
  <si>
    <t>Rent for period 03/11/2017 - 02/12/2017 from Mr Andrew Lewis - Flat 13, 16-18 Alhambra Road, Southsea</t>
  </si>
  <si>
    <t>Rent for period 23/11/2017 - 22/12/2017 from Mr David Connor - Flat 1, 321 London Road, Portsmouth</t>
  </si>
  <si>
    <t>Rent for period 23/11/2017 - 22/12/2017 from Ms Sharon Briscoe - Flat 2, 321 London Road, Portsmouth</t>
  </si>
  <si>
    <t>Rent for period 03/11/2017 - 02/12/2017 from Mr Joshua Brown - Flat 3, 321 London Road, Portsmouth</t>
  </si>
  <si>
    <t>Rent for period 26/11/2017 - 25/12/2017 from Miss Carol Carrington - Flat 4, 321 London Road, Portsmouth</t>
  </si>
  <si>
    <t>Rent for period 02/11/2017 - 01/12/2017 from Mr Michael Pedace - Flat 2, 171 Fawcett Road, Southsea</t>
  </si>
  <si>
    <t>Rent for period 11/11/2017 - 10/12/2017 from Mr Lee Knowles - Flat 2, 169 Fawcett Road, Southsea</t>
  </si>
  <si>
    <t>Receipt - Flat 1, 169 Fawcett Road, Southsea</t>
  </si>
  <si>
    <t>Rent for period 06/11/2017 - 05/12/2017 from Ms Susan Parkinson - Flat 1, 169 Fawcett Road, Southsea</t>
  </si>
  <si>
    <t>Rent for period 14/11/2017 - 13/12/2017 from Mr Martin Brett - Flat 3, 163 Fratton Road, Portsmouth</t>
  </si>
  <si>
    <t>Rent for period 14/11/2017 - 13/12/2017 from Mr Aleksandra Raadzevics - Flat 7, 12-14 Alhambra Road, Southsea</t>
  </si>
  <si>
    <t>Rent for period 06/11/2017 - 05/12/2017 from Ms Kirstine Aldridge - Flat 1, 171 Fawcett Road, Southsea</t>
  </si>
  <si>
    <t>Bills</t>
  </si>
  <si>
    <t>{"*4040*","*BOOTS*"}</t>
  </si>
  <si>
    <t>Rent for period 14/12/2017 - 13/01/2018 from Mr John Sharpe - 196b Kingston Road, Portsmouth</t>
  </si>
  <si>
    <t>Rent for period 26/11/2017 - 25/12/2017 from Miss Ximena Pintado - 23c Hampshire Terrace, Portsmouth</t>
  </si>
  <si>
    <t>Management Fee at 6% - 23c Hampshire Terrace, Portsmouth</t>
  </si>
  <si>
    <t>Amount payable to Ms Ivana Valentino - 23c Hampshire Terrace, Portsmouth</t>
  </si>
  <si>
    <t>Rent for period 26/12/2017 - 25/01/2018 from Ms Lisa Pegg - Flat 8, 8 Alhambra Road, Southsea</t>
  </si>
  <si>
    <t>Rent for period 06/10/2017 - 05/11/2017 from Ms Sally Taylor - Flat 22, 4-6 Alhambra Road, Southsea</t>
  </si>
  <si>
    <t>Lock Change - S Underwood Property Maintenance LTD - Flat 22, 4-6 Alhambra Road, Southsea</t>
  </si>
  <si>
    <t>AD Rear Door Lock Seized - S Underwood Property Maintenance LTD - Flat 3, 12-14 Alhambra Road, Southsea</t>
  </si>
  <si>
    <t>Rent for period 18/12/2017 - 17/01/2018 from Mr Andrew Greer - Flat 3, 12-14 Alhambra Road, Southsea</t>
  </si>
  <si>
    <t>Rent for period 23/11/2017 - 22/12/2017 from Mr Michael Valverde - Flat 5, 12-14 Alhambra Road, Southsea</t>
  </si>
  <si>
    <t>Management Fee at 6% - Flat 5, 12-14 Alhambra Road, Southsea</t>
  </si>
  <si>
    <t>Rent for period 23/10/2017 - 22/11/2017 from Mr Michael Valverde - Flat 5, 12-14 Alhambra Road, Southsea</t>
  </si>
  <si>
    <t>Rent for period 23/12/2017 - 22/01/2018 from Mr Michael Valverde - Flat 5, 12-14 Alhambra Road, Southsea</t>
  </si>
  <si>
    <t>Rent for period 19/12/2017 - 18/01/2018 from Mr Peter Oakwell - Flat 11, 12-14 Alhambra Road, Southsea</t>
  </si>
  <si>
    <t>Rent for period 19/12/2017 - 18/01/2018 from Mr Aubrey Milligan - Flat 16, 12-14 Alhambra Road, Southsea</t>
  </si>
  <si>
    <t>AD Clearance - Regal Contract Cleaning - Flat 3, 16-18 Alhambra Road, Southsea</t>
  </si>
  <si>
    <t>Receipt - Flat 3, 16-18 Alhambra Road, Southsea</t>
  </si>
  <si>
    <t>Change Locks - S Underwood Maintenance &amp; Home Improvements - Flat 3, 16-18 Alhambra Road, Southsea</t>
  </si>
  <si>
    <t>Rent for period 08/12/2017 - 07/01/2018 from Mr Alan Young - Flat 7, 16-18 Alhambra Road, Southsea</t>
  </si>
  <si>
    <t>Rent for period 19/12/2017 - 18/01/2018 from Mr Jason Passmore - Flat 12, 16-18 Alhambra Road, Southsea</t>
  </si>
  <si>
    <t>AD Property Clearance - Regal Contract Cleaning - Flat 16, 16-18 Alhambra Road, Southsea</t>
  </si>
  <si>
    <t>Receipt - Flat 16, 16-18 Alhambra Road, Southsea</t>
  </si>
  <si>
    <t>dorr smashed down again - S Underwood Maintenance &amp; Home Improvements - Flat 3, 171 Fawcett Road, Southsea</t>
  </si>
  <si>
    <t>quote new flat door  - S Underwood Maintenance &amp; Home Improvements - Flat 3, 171 Fawcett Road, Southsea</t>
  </si>
  <si>
    <t>Receipt - Flat 3, 171 Fawcett Road, Southsea</t>
  </si>
  <si>
    <t>Rent for period 09/12/2017 - 08/01/2018 from Mr Nick Olsen - Flat 3, 171 Fawcett Road, Southsea</t>
  </si>
  <si>
    <t>Rent for period 16/12/2017 - 15/01/2018 from Miss Ausra Baziukiene - Flat 20, 4-6 Alhambra Road, Southsea</t>
  </si>
  <si>
    <t>Rent for period 20/10/2017 - 19/11/2017 from Miss Sinead OBrien - Flat 19, 4-6 Alhambra Road, Southsea</t>
  </si>
  <si>
    <t>Management Fee at 6% - Flat 19, 4-6 Alhambra Road, Southsea</t>
  </si>
  <si>
    <t>Rent for period 20/09/2017 - 19/10/2017 from Miss Sinead OBrien - Flat 19, 4-6 Alhambra Road, Southsea</t>
  </si>
  <si>
    <t>Amount payable to Mr Mathew Tucker - Flat 19, 4-6 Alhambra Road, Southsea</t>
  </si>
  <si>
    <t>Rent for period 10/12/2017 - 09/01/2018 from Mr Johnathan Hill - Flat 17, 4-6 Alhambra Road, Southsea</t>
  </si>
  <si>
    <t>need nigh latch for secutiry original damaged - S Underwood Maintenance &amp; Home Improvements - Flat 18, 4-6 Alhambra Road, Southsea</t>
  </si>
  <si>
    <t>Rent for period 26/12/2017 - 25/01/2018 from Mrs Dionne McLaughlin - Flat 18, 4-6 Alhambra Road, Southsea</t>
  </si>
  <si>
    <t>Rent for period 20/12/2017 - 19/01/2018 from Mr Andrew England - Flat 10, 12-14 Alhambra Road, Southsea</t>
  </si>
  <si>
    <t>Rent for period 06/12/2017 - 05/01/2018 from Mr Paul McIlwraith - Flat 14, 12-14 Alhambra Road, Southsea</t>
  </si>
  <si>
    <t>Rent for period 06/12/2017 - 05/01/2018 from Mr Tony Di-Marco - Flat 4, 12-14 Alhambra Road, Southsea</t>
  </si>
  <si>
    <t>Rent for period 12/12/2017 - 11/01/2018 from Mr Peter Taperek - Flat 6, 16-18 Alhambra Road, Southsea</t>
  </si>
  <si>
    <t>bopiler down flashing F1 - D B Gas Services - Flat 6, 16-18 Alhambra Road, Southsea</t>
  </si>
  <si>
    <t>Rent for period 05/12/2017 - 04/01/2018 from Mr Kit Conrad - Flat 1, 16-18 Alhambra Road, Southsea</t>
  </si>
  <si>
    <t>Rent for period 12/12/2017 - 11/01/2018 from Mr Sam Yates - Flat 11, 16-18 Alhambra Road, Southsea</t>
  </si>
  <si>
    <t>Rent for period 03/12/2017 - 02/01/2018 from Mr Andrew Lewis - Flat 13, 16-18 Alhambra Road, Southsea</t>
  </si>
  <si>
    <t>Rent for period 23/12/2017 - 22/01/2018 from Mr David Connor - Flat 1, 321 London Road, Portsmouth</t>
  </si>
  <si>
    <t>Rent for period 23/12/2017 - 22/01/2018 from Ms Sharon Briscoe - Flat 2, 321 London Road, Portsmouth</t>
  </si>
  <si>
    <t>Rent for period 03/12/2017 - 02/01/2018 from Mr Joshua Brown - Flat 3, 321 London Road, Portsmouth</t>
  </si>
  <si>
    <t>Rent for period 26/12/2017 - 25/01/2018 from Miss Carol Carrington - Flat 4, 321 London Road, Portsmouth</t>
  </si>
  <si>
    <t>Rent for period 17/12/2017 - 16/01/2018 from Mr Nicholas Wright - Flat 4, 163 Fratton Road, Portsmouth</t>
  </si>
  <si>
    <t>Rent for period 15/12/2017 - 14/01/2018 from Mr Graham Robinson - Flat 3, 169 Fawcett Road, Southsea</t>
  </si>
  <si>
    <t>Rent for period 11/12/2017 - 10/01/2018 from Mr Lee Knowles - Flat 2, 169 Fawcett Road, Southsea</t>
  </si>
  <si>
    <t>issues from inspection - S Underwood Maintenance &amp; Home Improvements - Flat 1, 169 Fawcett Road, Southsea</t>
  </si>
  <si>
    <t>Rent for period 06/12/2017 - 05/01/2018 from Ms Susan Parkinson - Flat 1, 169 Fawcett Road, Southsea</t>
  </si>
  <si>
    <t>Amount payable to Mr Mathew Tucker - Flat 1, 169 Fawcett Road, Southsea</t>
  </si>
  <si>
    <t>Rent for period 11/12/2017 - 10/01/2018 from Mr Martin Gliszczynski (SIE-SOF T/A Pol Help) - Shop, 196 Kingston Road, Portsmouth</t>
  </si>
  <si>
    <t>Rent for period 01/12/2017 - 31/12/2017 from Ms Joyce Henson - 196a Kingston Road, Portsmouth</t>
  </si>
  <si>
    <t>Rent for period 08/12/2017 - 07/01/2018 from Mr Antony Raymond Hinks - Flat 6, 8 Alhambra Road, Southsea</t>
  </si>
  <si>
    <t>Rent for period 14/12/2017 - 13/01/2018 from Ms Sharon Smith - Flat 5, 8 Alhambra Road, Southsea</t>
  </si>
  <si>
    <t>Rent for period 01/12/2017 - 31/12/2017 from Mr AK MD ARIF IZZUDDIN PG HJ ISMAIL - 23b Hampshire Terrace, Portsmouth</t>
  </si>
  <si>
    <t>Rent for period 01/12/2017 - 31/12/2017 from Mr AK MD AFIF IZZUDDIN PG HJ ISMAIL - 23b Hampshire Terrace, Portsmouth</t>
  </si>
  <si>
    <t>Toilet Leak - S Underwood Maintenance &amp; Home Improvements - 23b Hampshire Terrace, Portsmouth</t>
  </si>
  <si>
    <t>Rent for period 14/12/2017 - 13/01/2018 from Mr Martin Brett - Flat 3, 163 Fratton Road, Portsmouth</t>
  </si>
  <si>
    <t>Rent for period 14/12/2017 - 13/01/2018 from Mr Aleksandra Raadzevics - Flat 7, 12-14 Alhambra Road, Southsea</t>
  </si>
  <si>
    <t>clearance before refurb can take place - S Underwood Maintenance &amp; Home Improvements - Flat 2, 163 Fratton Road, Portsmouth</t>
  </si>
  <si>
    <t>Deposit to Landlord for Rubbish Removal - Flat 2, 163 Fratton Road, Portsmouth</t>
  </si>
  <si>
    <t>Rent for period 06/12/2017 - 05/01/2018 from Ms Kirstine Aldridge - Flat 1, 171 Fawcett Road, Southsea</t>
  </si>
  <si>
    <t>CHEESEMANS PHARM      ON 30 NOV          CLP</t>
  </si>
  <si>
    <t>THE COTTAGE BAKERY    ON 30 NOV          CLP</t>
  </si>
  <si>
    <t>JACK BURGOINE FLOR    ON 30 NOV          BCC</t>
  </si>
  <si>
    <t>EE &amp; T-MOBILE         Q13077400775996675 DDR</t>
  </si>
  <si>
    <t>NEW COUNTY SERVICE    ON 03 DEC          CLP</t>
  </si>
  <si>
    <t>A JAKINS &amp; SONS       ON 03 DEC          BCC</t>
  </si>
  <si>
    <t>FROSTS AT WILLINGT    ON 03 DEC          BCC</t>
  </si>
  <si>
    <t>NEW COUNTY SERVICE    ON 03 DEC          BCC</t>
  </si>
  <si>
    <t>MORTGAGE EXPRESS      2016485130022252   DDR</t>
  </si>
  <si>
    <t>MORTGAGE EXPRESS      2016485040022252   DDR</t>
  </si>
  <si>
    <t>MORTGAGE EXPRESS      2007545250022252   DDR</t>
  </si>
  <si>
    <t>MORTGAGE EXPRESS      2007107760022252   DDR</t>
  </si>
  <si>
    <t>MORTGAGE EXPRESS      2007093450022252   DDR</t>
  </si>
  <si>
    <t>MORTGAGE EXPRESS      2007093360022252   DDR</t>
  </si>
  <si>
    <t>MORTGAGE EXPRESS      2006372640022252   DDR</t>
  </si>
  <si>
    <t>MORTGAGE EXPRESS      0019966240022252   DDR</t>
  </si>
  <si>
    <t>MORTGAGE EXPRESS      0018724700022252   DDR</t>
  </si>
  <si>
    <t>MORTGAGE EXPRESS      0017031550022252   DDR</t>
  </si>
  <si>
    <t>MORTGAGE EXPRESS      0016470530022252   DDR</t>
  </si>
  <si>
    <t>MORTGAGE EXPRESS      0015866140022252   DDR</t>
  </si>
  <si>
    <t>TESCO DIRECT          ON 05 DEC          BCC</t>
  </si>
  <si>
    <t>CLOPHILL P O &amp; STO    ON 06 DEC          BCC</t>
  </si>
  <si>
    <t>HALFORDS 0887         ON 07 DEC          BCC</t>
  </si>
  <si>
    <t>TESCO STORE 2105      ON 07 DEC          CLP</t>
  </si>
  <si>
    <t>MAPLIN BEDFORD MK4    ON 07 DEC          BCC</t>
  </si>
  <si>
    <t>TOYS R US             ON 07 DEC          BCC</t>
  </si>
  <si>
    <t xml:space="preserve">PI PROPERTY INS       BAKE03PO03/04      FT </t>
  </si>
  <si>
    <t>POST OFFICE COUNTE    ON 08 DEC          CLP</t>
  </si>
  <si>
    <t>HALFORDS 0980         ON 08 DEC          BCC</t>
  </si>
  <si>
    <t>CLOPHILL P O &amp; STO    ON 08 DEC          BCC</t>
  </si>
  <si>
    <t>TESCO STORE 2547      ON 11 DEC          BCC</t>
  </si>
  <si>
    <t xml:space="preserve">209254 13438023    FT </t>
  </si>
  <si>
    <t>BEALS                 MTUCKER F1169FWCTT BBP</t>
  </si>
  <si>
    <t>M TUCKER              M TUCKER           BBP</t>
  </si>
  <si>
    <t>WWW.JOHNLEWIS.COM     ON 11 DEC          BCC</t>
  </si>
  <si>
    <t>TRADERSZ              ON 12 DEC          BCC</t>
  </si>
  <si>
    <t>KING OF COTTON        ON 13 DEC          BCC</t>
  </si>
  <si>
    <t xml:space="preserve">205330 30728691       MT NOV17           FT </t>
  </si>
  <si>
    <t>BEALS ESTATE AGENT    FLAT 1169 FAWCETT  BGC</t>
  </si>
  <si>
    <t>BP BEDFORD EXPRESS    ON 22 DEC          CLP</t>
  </si>
  <si>
    <t>WILSTEAD PHARMACY     ON 22 DEC          CLP</t>
  </si>
  <si>
    <t>TESCO STORE 2547      ON 24 DEC          BCC</t>
  </si>
  <si>
    <t>FRANKIE &amp; BENNYS 5    ON 23 DEC          BCC</t>
  </si>
  <si>
    <t>NEW COUNTY SERVICE    ON 23 DEC          BCC</t>
  </si>
  <si>
    <t>PUSHDOCTOR            ON 22 DEC          BCC</t>
  </si>
  <si>
    <t>BEALS ESTATE AGENT    FLAT 194-6 ALHAMBR BGC</t>
  </si>
  <si>
    <t xml:space="preserve">CARDTRONICS UK LTD    WINCHESTER SERVICE    </t>
  </si>
  <si>
    <t xml:space="preserve">Coolshop.co.uk        DENMARK               </t>
  </si>
  <si>
    <t>MORTGAGE TRUST        002197389 10102270 DDR</t>
  </si>
  <si>
    <t>MORTGAGE TRUST        002186357 10102270 DDR</t>
  </si>
  <si>
    <t>MORTGAGE TRUST        002186356 10102270 DDR</t>
  </si>
  <si>
    <t>MORTGAGE TRUST        002186317 10102270 DDR</t>
  </si>
  <si>
    <t>MORTGAGE EXPRESS      2007093270022249   DDR</t>
  </si>
  <si>
    <t>MORTGAGE EXPRESS      2016485220022252   DDR</t>
  </si>
  <si>
    <t>EE &amp; T-MOBILE         Q20664165779427465 DDR</t>
  </si>
  <si>
    <t>BEALS                 F3 F16 1618 ALHAM  BBP</t>
  </si>
  <si>
    <t>BT GROUP PLC          GB14092007-000039  DDR</t>
  </si>
  <si>
    <t>MORTGAGE EXPRESS      2008784100022263   DDR</t>
  </si>
  <si>
    <t>MORTGAGE EXPRESS      2007664780022263   DDR</t>
  </si>
  <si>
    <t>MORTGAGE EXPRESS      2007545340022263   DDR</t>
  </si>
  <si>
    <t>MORTGAGE EXPRESS      2007544710022263   DDR</t>
  </si>
  <si>
    <t>MORTGAGE EXPRESS      2007107670022263   DDR</t>
  </si>
  <si>
    <t>MORTGAGE EXPRESS      2006332310022263   DDR</t>
  </si>
  <si>
    <t>MORTGAGE EXPRESS      2005787290022263   DDR</t>
  </si>
  <si>
    <t>BEALS                 MTUCKER F3 171 FAW BBP</t>
  </si>
  <si>
    <t xml:space="preserve">207409 60458872       MT NOV17           FT </t>
  </si>
  <si>
    <t>HOMESENSE             ON 30 NOV          CLP</t>
  </si>
  <si>
    <t>COSTA COFFEE 43035    ON 30 NOV          CLP</t>
  </si>
  <si>
    <t>DUNELM (SOFT FURNI    ON 30 NOV          BCC</t>
  </si>
  <si>
    <t>BP BEDFORD EXPRESS    ON 30 NOV          CLP</t>
  </si>
  <si>
    <t>TESCO STORE 2105      ON 01 DEC          CLP</t>
  </si>
  <si>
    <t>THE RANGE             ON 01 DEC          CLP</t>
  </si>
  <si>
    <t>ST PANCRAS INTL       ON 02 DEC          CLP</t>
  </si>
  <si>
    <t>ELEPHANT &amp; CASTLE     ON 02 DEC          CLP</t>
  </si>
  <si>
    <t>WH SMITH              ON 01 DEC          CLP</t>
  </si>
  <si>
    <t>NEW COUNTY SERVICE    ON 30 NOV          CLP</t>
  </si>
  <si>
    <t xml:space="preserve">LLOYDS BANK           KENSINGTN H ST        </t>
  </si>
  <si>
    <t xml:space="preserve">CARDTRONICS UK LTD    .                     </t>
  </si>
  <si>
    <t>MARKS&amp;SPENCER PLC     ON 01 DEC          BCC</t>
  </si>
  <si>
    <t>NEW COUNTY SERVICE    ON 30 NOV          BCC</t>
  </si>
  <si>
    <t>MARKS&amp;SPENCER PLC     ON 04 DEC          CLP</t>
  </si>
  <si>
    <t>BP BEDFORD EXPRESS    ON 03 DEC          CLP</t>
  </si>
  <si>
    <t>BUDGENS               ON 04 DEC          CLP</t>
  </si>
  <si>
    <t>COSTA COFFEE 43035    ON 04 DEC          CLP</t>
  </si>
  <si>
    <t>JOSENS (UK) LTD       ON 04 DEC          BCC</t>
  </si>
  <si>
    <t>MCDONALDS             ON 04 DEC          CLP</t>
  </si>
  <si>
    <t>HOMESENSE             ON 05 DEC          CLP</t>
  </si>
  <si>
    <t>COSTA COFFEE 43035    ON 05 DEC          CLP</t>
  </si>
  <si>
    <t>BP NEWHAM AVENUE C    ON 05 DEC          CLP</t>
  </si>
  <si>
    <t>BP BEDFORD EXPRESS    ON 05 DEC          CLP</t>
  </si>
  <si>
    <t>COSTA COFFEE 43035    ON 06 DEC          CLP</t>
  </si>
  <si>
    <t>TESCO STORE 2105      ON 06 DEC          BCC</t>
  </si>
  <si>
    <t>WILKO BEDFORD INT     ON 07 DEC          CLP</t>
  </si>
  <si>
    <t>WM MORRISON STORE     ON 07 DEC          CLP</t>
  </si>
  <si>
    <t>WM MORRISON STORE     ON 08 DEC          BCC</t>
  </si>
  <si>
    <t>BP NEWHAM AVENUE C    ON 08 DEC          CLP</t>
  </si>
  <si>
    <t>TIMPSON AT MORRISO    ON 08 DEC          CLP</t>
  </si>
  <si>
    <t>BP BEDFORD EXPRESS    ON 07 DEC          CLP</t>
  </si>
  <si>
    <t>WIXAMS STORES LTD     ON 08 DEC          CLP</t>
  </si>
  <si>
    <t>THE EMBANKMENT        ON 08 DEC          CLP</t>
  </si>
  <si>
    <t>TESCO STORE 2547      ON 09 DEC          BCC</t>
  </si>
  <si>
    <t>TESCO STORE 2105      ON 12 DEC          CLP</t>
  </si>
  <si>
    <t>TESCO STORE 2087      ON 12 DEC          CLP</t>
  </si>
  <si>
    <t>DUNELM (SOFT FURNI    ON 12 DEC          BCC</t>
  </si>
  <si>
    <t>MCDONALDS             ON 12 DEC          CLP</t>
  </si>
  <si>
    <t>WAITROSE              ON 13 DEC          BCC</t>
  </si>
  <si>
    <t>BP BEDFORD EXPRESS    ON 13 DEC          CLP</t>
  </si>
  <si>
    <t>BOOTS 6407            ON 14 DEC          CLP</t>
  </si>
  <si>
    <t>THE EMBANKMENT        ON 13 DEC          BCC</t>
  </si>
  <si>
    <t>TESCO STORES-2105     ON 15 DEC          CLP</t>
  </si>
  <si>
    <t>BP BEDFORD EXPRESS    ON 14 DEC          CLP</t>
  </si>
  <si>
    <t>HOBBYCRAFT LTD        ON 15 DEC          CLP</t>
  </si>
  <si>
    <t>MCDONALDS             ON 15 DEC          CLP</t>
  </si>
  <si>
    <t>COSTA COFFEE 43035    ON 15 DEC          CLP</t>
  </si>
  <si>
    <t>BP BEDFORD EXPRESS    ON 16 DEC          CLP</t>
  </si>
  <si>
    <t>BP BEDFORD EXPRESS    ON 16 DEC          BCC</t>
  </si>
  <si>
    <t>TESCO STORE 2105      ON 16 DEC          BCC</t>
  </si>
  <si>
    <t>DUNELM (SOFT FURNI    ON 15 DEC          BCC</t>
  </si>
  <si>
    <t>TESCO STORE 2105      ON 18 DEC          CLP</t>
  </si>
  <si>
    <t>MARKS&amp;SPENCER PLC     ON 18 DEC          BCC</t>
  </si>
  <si>
    <t>PETERBOROUGH WINTE    ON 19 DEC          CLP</t>
  </si>
  <si>
    <t>NEW COUNTY SERVICE    ON 19 DEC          CLP</t>
  </si>
  <si>
    <t>Subway                ON 18 DEC          CLP</t>
  </si>
  <si>
    <t>PETERBOROUGH WINTE    ON 19 DEC          BCC</t>
  </si>
  <si>
    <t>WATERSTONES           ON 20 DEC          CLP</t>
  </si>
  <si>
    <t>CHOPSTIX              ON 20 DEC          CLP</t>
  </si>
  <si>
    <t>MR PRETZELS           ON 20 DEC          CLP</t>
  </si>
  <si>
    <t>BURGER KING MIDSUM    ON 20 DEC          CLP</t>
  </si>
  <si>
    <t>COSTA COFFEE          ON 20 DEC          CLP</t>
  </si>
  <si>
    <t>JOHN LEWIS            ON 20 DEC          BCC</t>
  </si>
  <si>
    <t>SHELL DEZIGNS         ON 20 DEC          BCC</t>
  </si>
  <si>
    <t>MKC PARKING RINGGO    ON 20 DEC          BCC</t>
  </si>
  <si>
    <t>MARKS&amp;SPENCER PLC     ON 21 DEC          CLP</t>
  </si>
  <si>
    <t>COSTA COFFEE 43035    ON 21 DEC          CLP</t>
  </si>
  <si>
    <t>BP BEDFORD EXPRESS    ON 20 DEC          BCC</t>
  </si>
  <si>
    <t>BOOTS 6407            ON 21 DEC          BCC</t>
  </si>
  <si>
    <t>MARKS&amp;SPENCER PLC     ON 24 DEC          CLP</t>
  </si>
  <si>
    <t>MARKS&amp;SPENCER PLC     ON 22 DEC          CLP</t>
  </si>
  <si>
    <t>WIXAMS STORES LTD     ON 21 DEC          CLP</t>
  </si>
  <si>
    <t>BOOTS</t>
  </si>
  <si>
    <t>MILTON          ON 24 DEC          CLP</t>
  </si>
  <si>
    <t>HUGO BOSS             ON 24 DEC          BCC</t>
  </si>
  <si>
    <t>TESCO PAY AT PUMP     ON 26 DEC          BCC</t>
  </si>
  <si>
    <t>COSTCO WHOLESALE      ON 24 DEC          BCC</t>
  </si>
  <si>
    <t>DEBENHAMS.COM         ON 24 DEC          BCC</t>
  </si>
  <si>
    <t>CLAIRE'S ACCESSORI    ON 22 DEC          BCC</t>
  </si>
  <si>
    <t>MKC PARKING RINGGO    ON 24 DEC          BCC</t>
  </si>
  <si>
    <t>BEDFORD         ON 28 DEC          CLP</t>
  </si>
  <si>
    <t>Harpur Centre         ON 28 DEC          CLP</t>
  </si>
  <si>
    <t>TESCO STORE 2105      ON 28 DEC          BCC</t>
  </si>
  <si>
    <t>GAME RETAIL LTD BE    ON 28 DEC          BCC</t>
  </si>
  <si>
    <t>H3G                   976046856201271217 DDR</t>
  </si>
  <si>
    <t>I</t>
  </si>
  <si>
    <t>£2710.86 paid. Insurances. Fawcett Rd</t>
  </si>
  <si>
    <t>£2710.86 paid. Insurances. Hampshire Terrace</t>
  </si>
  <si>
    <t>£2710.86 paid. Insurances. Fratton Rd</t>
  </si>
  <si>
    <t>£2710.86 paid. Insurances. London Rd. Actual premium was a few pence more £379.95.</t>
  </si>
  <si>
    <t>Clearance - see email 13/12/17</t>
  </si>
  <si>
    <t>Fix front door.</t>
  </si>
  <si>
    <t/>
  </si>
  <si>
    <t>BK</t>
  </si>
  <si>
    <t>BK,MT</t>
  </si>
  <si>
    <t>BK,PM,EX</t>
  </si>
  <si>
    <t>RT</t>
  </si>
  <si>
    <t>MF</t>
  </si>
  <si>
    <t>PM</t>
  </si>
  <si>
    <t>EX</t>
  </si>
  <si>
    <t>EX,RT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</si>
  <si>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</si>
  <si>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</si>
  <si>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</si>
  <si>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</si>
  <si>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</si>
  <si>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</si>
  <si>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</si>
  <si>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</si>
  <si>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</si>
  <si>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</si>
  <si>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</si>
  <si>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</si>
  <si>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</si>
  <si>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</si>
  <si>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</si>
  <si>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</si>
  <si>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AK MD AFIF IZZUDDIN PG HJ ISMAIL (01/09/2017 - present)</t>
  </si>
  <si>
    <t>Ximena Pintado (26/10/2017 - present)</t>
  </si>
  <si>
    <t>Miss S Smith (14/10/2016 - present)</t>
  </si>
  <si>
    <t>Mr Hinks (08/11/2013 -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</si>
  <si>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</si>
  <si>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</si>
  <si>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</si>
  <si>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</si>
  <si>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</si>
  <si>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Ms Sally Taylor (04/06/2014 - present)</t>
  </si>
  <si>
    <t>Andrew Greer (18/07/2017 - present)</t>
  </si>
  <si>
    <t>Tony Di-Marco (06/05/2017 -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</si>
  <si>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</si>
  <si>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</si>
  <si>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</si>
  <si>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</si>
  <si>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</si>
  <si>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</si>
  <si>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</si>
  <si>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</si>
  <si>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</si>
  <si>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</si>
  <si>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Mr Lewis (03/04/2013 -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</si>
  <si>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</si>
  <si>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</si>
  <si>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</si>
  <si>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</si>
  <si>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</si>
  <si>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</si>
  <si>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</si>
  <si>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</si>
  <si>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</si>
  <si>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several issues froom mti - S Underwood Maintenance &amp; Home Improvements - Flat 19, 4-6 Alhambra Road, Southsea</t>
  </si>
  <si>
    <t>JOINED</t>
  </si>
  <si>
    <t>leak on toilet - S Underwood Maintenance &amp; Home Improvements - Flat 1, 16-18 Alhambra Road, Southsea</t>
  </si>
  <si>
    <t>part to paymentor boiler  - D B Gas Services - Flat 1, 169 Fawcett Road, Southsea</t>
  </si>
  <si>
    <t>boiler down 50 % quote upfront - D B Gas Services - Flat 1, 169 Fawcett Road, Southsea</t>
  </si>
  <si>
    <t>boielr down repairs invoice but new boiler advised - D B Gas Services - Flat 1, 169 Fawcett Road, Southsea</t>
  </si>
  <si>
    <t>Rent for period 06/10/2017 - 05/11/2017 from Ms Susan Parkinson - Flat 1, 169 Fawcett Road, Southsea</t>
  </si>
  <si>
    <t>leak in bathroom - S Underwood Maintenance &amp; Home Improvements - 196a Kingston Road, Portsmouth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</si>
  <si>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</si>
  <si>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</si>
  <si>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</si>
  <si>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</si>
  <si>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</si>
  <si>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</si>
  <si>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</si>
  <si>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</si>
  <si>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</si>
  <si>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Voluntary top up - IV account very low</t>
  </si>
  <si>
    <t>Secton 21 served?</t>
  </si>
  <si>
    <t>Tenant gave notice on 24/01/18 to end AST on 13/03/18</t>
  </si>
  <si>
    <t>Check this - first month not paid.</t>
  </si>
  <si>
    <t>Mr Prior (30/03/2016 - present)</t>
  </si>
  <si>
    <t>Valverde (23/02/2007 - present)</t>
  </si>
  <si>
    <t>Need update - tenant paid to 22/11</t>
  </si>
  <si>
    <t>C Stark (21/06/2010 - present)</t>
  </si>
  <si>
    <t>Tenants gave notive. This will need to be refurbished but cannot be done until the roof works have been completed as there was a leak to the bedroom</t>
  </si>
  <si>
    <t>Beals gave notice on 25/01/18 - violent tenant.</t>
  </si>
  <si>
    <t>R: Get update.When did tenant move out? Works required on dampness before re-let</t>
  </si>
  <si>
    <t>Works completed. £811 to pay.Possession 27/11, tenant move out 18th Dec. This needs for the items to be removed and cleaned. The decoration is OK – A few marks and scuffs in places. Would recommend new lino and carpet to rear bedroom – I have asked for a quote for the works that need doing</t>
  </si>
  <si>
    <t>R: £3508.50. CDC. When did tenant move out? This needs to be fully refurbished  however there are damp issues – I have sent the report to Kieran Godkin and he has said that he will contact you</t>
  </si>
  <si>
    <t>Need update- expenses were approved. This need redecorated, flooring laid and cleaning – Costs are decoration - £740, Flooring - £500 and some additional for cleaning – Please can you advise me if you are happy for this to go ahead</t>
  </si>
  <si>
    <t>R: Insurance claim? Tenant died. Needs refurb. CDC quote £4880</t>
  </si>
  <si>
    <t>In £1900 arrears.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</si>
</sst>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  <family val="2"/>
    </font>
    <font>
      <sz val="10"/>
      <color rgb="FF222222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5" fillId="7" borderId="7" xfId="0" applyNumberFormat="1" applyFont="1" applyFill="1" applyBorder="1" applyAlignment="1" applyProtection="1">
      <alignment horizontal="center"/>
      <protection locked="0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166" fontId="0" fillId="5" borderId="6" xfId="0" applyNumberFormat="1" applyFill="1" applyBorder="1" applyProtection="1">
      <protection locked="0"/>
    </xf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/>
    <xf numFmtId="2" fontId="1" fillId="0" borderId="9" xfId="0" applyNumberFormat="1" applyFont="1" applyBorder="1"/>
    <xf numFmtId="22" fontId="0" fillId="0" borderId="0" xfId="0" applyNumberFormat="1" applyFill="1"/>
    <xf numFmtId="0" fontId="23" fillId="0" borderId="0" xfId="0" applyFont="1"/>
    <xf numFmtId="14" fontId="0" fillId="0" borderId="0" xfId="0" applyNumberFormat="1"/>
    <xf numFmtId="0" fontId="5" fillId="6" borderId="6" xfId="0" applyFont="1" applyFill="1" applyBorder="1" applyProtection="1">
      <protection locked="0"/>
    </xf>
    <xf numFmtId="0" fontId="5" fillId="8" borderId="6" xfId="0" applyFont="1" applyFill="1" applyBorder="1" applyProtection="1">
      <protection locked="0"/>
    </xf>
    <xf numFmtId="0" fontId="5" fillId="9" borderId="6" xfId="0" applyFont="1" applyFill="1" applyBorder="1" applyProtection="1">
      <protection locked="0"/>
    </xf>
    <xf numFmtId="0" fontId="24" fillId="6" borderId="0" xfId="0" applyFont="1" applyFill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65532"/>
  <sheetViews>
    <sheetView showGridLines="0" topLeftCell="A7" zoomScale="70" zoomScaleNormal="70" workbookViewId="0">
      <selection activeCell="D17" sqref="D17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43100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4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150">
        <f>IF(F9&lt;&gt;"",F9-G9-H9-I9-J9,0)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992</v>
      </c>
      <c r="C10" s="27" t="s">
        <v>95</v>
      </c>
      <c r="D10" s="81">
        <v>43062</v>
      </c>
      <c r="E10" s="85">
        <v>43122</v>
      </c>
      <c r="F10" s="86">
        <v>461.52</v>
      </c>
      <c r="G10" s="83">
        <v>27.69</v>
      </c>
      <c r="H10" s="83">
        <v>5.54</v>
      </c>
      <c r="I10" s="84"/>
      <c r="J10" s="87">
        <v>428.29</v>
      </c>
      <c r="K10" s="85">
        <v>43089.636354166665</v>
      </c>
      <c r="L10" s="84"/>
      <c r="M10" s="124">
        <f t="shared" ref="M10:M63" si="1">IF(F10-G10-H10-I10-L10&lt;&gt;0, F10-G10-H10-I10-L10,"")</f>
        <v>428.28999999999996</v>
      </c>
      <c r="N10" s="47" t="s">
        <v>6</v>
      </c>
      <c r="O10" s="86">
        <v>159.34</v>
      </c>
      <c r="P10" s="46">
        <f t="shared" si="0"/>
        <v>268.94999999999993</v>
      </c>
      <c r="Q10" s="151">
        <f t="shared" ref="Q10:Q63" si="2">IF(F10&lt;&gt;"",F10-G10-H10-I10-J10,0)</f>
        <v>-5.6843418860808015E-14</v>
      </c>
      <c r="R10" s="60" t="s">
        <v>1066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993</v>
      </c>
      <c r="C11" s="27" t="s">
        <v>994</v>
      </c>
      <c r="D11" s="81">
        <v>43062</v>
      </c>
      <c r="E11" s="85">
        <v>43122</v>
      </c>
      <c r="F11" s="86">
        <v>494.28</v>
      </c>
      <c r="G11" s="83">
        <v>29.66</v>
      </c>
      <c r="H11" s="83">
        <v>5.93</v>
      </c>
      <c r="I11" s="84"/>
      <c r="J11" s="87">
        <v>458.69</v>
      </c>
      <c r="K11" s="85">
        <v>43077.556527777779</v>
      </c>
      <c r="L11" s="84"/>
      <c r="M11" s="124">
        <f t="shared" si="1"/>
        <v>458.68999999999994</v>
      </c>
      <c r="N11" s="47" t="s">
        <v>6</v>
      </c>
      <c r="O11" s="86">
        <v>138.69999999999999</v>
      </c>
      <c r="P11" s="46">
        <f t="shared" si="0"/>
        <v>319.98999999999995</v>
      </c>
      <c r="Q11" s="151">
        <f t="shared" si="2"/>
        <v>-5.6843418860808015E-14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995</v>
      </c>
      <c r="C12" s="27" t="s">
        <v>95</v>
      </c>
      <c r="D12" s="81">
        <v>43042</v>
      </c>
      <c r="E12" s="85">
        <v>43102</v>
      </c>
      <c r="F12" s="86">
        <v>656.22</v>
      </c>
      <c r="G12" s="83">
        <v>39.369999999999997</v>
      </c>
      <c r="H12" s="83">
        <v>7.87</v>
      </c>
      <c r="I12" s="84"/>
      <c r="J12" s="87">
        <v>608.98</v>
      </c>
      <c r="K12" s="85">
        <v>43084.588148148148</v>
      </c>
      <c r="L12" s="84"/>
      <c r="M12" s="124">
        <f t="shared" si="1"/>
        <v>608.98</v>
      </c>
      <c r="N12" s="47" t="s">
        <v>6</v>
      </c>
      <c r="O12" s="86">
        <v>93.49</v>
      </c>
      <c r="P12" s="46">
        <f t="shared" si="0"/>
        <v>515.49</v>
      </c>
      <c r="Q12" s="151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996</v>
      </c>
      <c r="C13" s="27" t="s">
        <v>95</v>
      </c>
      <c r="D13" s="81">
        <v>43065</v>
      </c>
      <c r="E13" s="85">
        <v>43125</v>
      </c>
      <c r="F13" s="86">
        <v>461.52</v>
      </c>
      <c r="G13" s="83">
        <v>27.69</v>
      </c>
      <c r="H13" s="83">
        <v>5.54</v>
      </c>
      <c r="I13" s="84"/>
      <c r="J13" s="87">
        <v>428.29</v>
      </c>
      <c r="K13" s="85">
        <v>43089.636354166665</v>
      </c>
      <c r="L13" s="84"/>
      <c r="M13" s="124">
        <f t="shared" si="1"/>
        <v>428.28999999999996</v>
      </c>
      <c r="N13" s="47" t="s">
        <v>6</v>
      </c>
      <c r="O13" s="86">
        <v>159.38</v>
      </c>
      <c r="P13" s="46">
        <f t="shared" si="0"/>
        <v>268.90999999999997</v>
      </c>
      <c r="Q13" s="151">
        <f t="shared" si="2"/>
        <v>-5.6843418860808015E-14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4" t="str">
        <f t="shared" si="1"/>
        <v/>
      </c>
      <c r="N14" s="47"/>
      <c r="O14" s="82"/>
      <c r="P14" s="46">
        <f t="shared" si="0"/>
        <v>0</v>
      </c>
      <c r="Q14" s="151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997</v>
      </c>
      <c r="C15" s="27" t="s">
        <v>994</v>
      </c>
      <c r="D15" s="81">
        <v>43014</v>
      </c>
      <c r="E15" s="81">
        <v>43105</v>
      </c>
      <c r="F15" s="86">
        <v>932.24</v>
      </c>
      <c r="G15" s="83">
        <v>55.92</v>
      </c>
      <c r="H15" s="83">
        <v>11.19</v>
      </c>
      <c r="I15" s="84">
        <v>435.23</v>
      </c>
      <c r="J15" s="87">
        <v>429.9</v>
      </c>
      <c r="K15" s="85">
        <v>43088.575416666667</v>
      </c>
      <c r="L15" s="84"/>
      <c r="M15" s="124">
        <f t="shared" si="1"/>
        <v>429.9</v>
      </c>
      <c r="N15" s="47" t="s">
        <v>6</v>
      </c>
      <c r="O15" s="86">
        <v>143.55000000000001</v>
      </c>
      <c r="P15" s="46">
        <f t="shared" si="0"/>
        <v>286.34999999999997</v>
      </c>
      <c r="Q15" s="151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998</v>
      </c>
      <c r="C16" s="27" t="s">
        <v>95</v>
      </c>
      <c r="D16" s="81">
        <v>43050</v>
      </c>
      <c r="E16" s="85">
        <v>43110</v>
      </c>
      <c r="F16" s="86">
        <v>461.52</v>
      </c>
      <c r="G16" s="83">
        <v>27.69</v>
      </c>
      <c r="H16" s="83">
        <v>5.54</v>
      </c>
      <c r="I16" s="84"/>
      <c r="J16" s="87">
        <v>428.29</v>
      </c>
      <c r="K16" s="85">
        <v>43088.575416666667</v>
      </c>
      <c r="L16" s="84"/>
      <c r="M16" s="124">
        <f t="shared" si="1"/>
        <v>428.28999999999996</v>
      </c>
      <c r="N16" s="47" t="s">
        <v>6</v>
      </c>
      <c r="O16" s="86">
        <v>93.99</v>
      </c>
      <c r="P16" s="46">
        <f t="shared" si="0"/>
        <v>334.29999999999995</v>
      </c>
      <c r="Q16" s="151">
        <f t="shared" si="2"/>
        <v>-5.6843418860808015E-14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999</v>
      </c>
      <c r="C17" s="27" t="s">
        <v>95</v>
      </c>
      <c r="D17" s="81">
        <v>43084</v>
      </c>
      <c r="E17" s="85">
        <v>43114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43097.617743055554</v>
      </c>
      <c r="L17" s="84"/>
      <c r="M17" s="124">
        <f t="shared" si="1"/>
        <v>464</v>
      </c>
      <c r="N17" s="47" t="s">
        <v>6</v>
      </c>
      <c r="O17" s="86">
        <v>131.44999999999999</v>
      </c>
      <c r="P17" s="46">
        <f t="shared" si="0"/>
        <v>332.55</v>
      </c>
      <c r="Q17" s="151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4" t="str">
        <f t="shared" si="1"/>
        <v/>
      </c>
      <c r="N18" s="47"/>
      <c r="O18" s="82"/>
      <c r="P18" s="46">
        <f t="shared" si="0"/>
        <v>0</v>
      </c>
      <c r="Q18" s="151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1000</v>
      </c>
      <c r="C19" s="27" t="s">
        <v>95</v>
      </c>
      <c r="D19" s="81">
        <v>43045</v>
      </c>
      <c r="E19" s="81">
        <v>43105</v>
      </c>
      <c r="F19" s="86">
        <v>580</v>
      </c>
      <c r="G19" s="83">
        <v>34.799999999999997</v>
      </c>
      <c r="H19" s="83">
        <v>6.96</v>
      </c>
      <c r="I19" s="84"/>
      <c r="J19" s="87">
        <v>538.24</v>
      </c>
      <c r="K19" s="85">
        <v>43088.575416666667</v>
      </c>
      <c r="L19" s="84">
        <v>780</v>
      </c>
      <c r="M19" s="124">
        <f t="shared" si="1"/>
        <v>-241.76</v>
      </c>
      <c r="N19" s="47" t="s">
        <v>6</v>
      </c>
      <c r="O19" s="86">
        <v>212.8</v>
      </c>
      <c r="P19" s="46">
        <f t="shared" si="0"/>
        <v>-454.56</v>
      </c>
      <c r="Q19" s="151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1001</v>
      </c>
      <c r="C20" s="27" t="s">
        <v>95</v>
      </c>
      <c r="D20" s="81">
        <v>43041</v>
      </c>
      <c r="E20" s="85">
        <v>43070</v>
      </c>
      <c r="F20" s="86">
        <v>82.5</v>
      </c>
      <c r="G20" s="83">
        <v>27.69</v>
      </c>
      <c r="H20" s="83">
        <v>5.54</v>
      </c>
      <c r="I20" s="84"/>
      <c r="J20" s="87">
        <v>428.29</v>
      </c>
      <c r="K20" s="85">
        <v>43088.575416666667</v>
      </c>
      <c r="L20" s="84"/>
      <c r="M20" s="124">
        <f t="shared" si="1"/>
        <v>49.27</v>
      </c>
      <c r="N20" s="47" t="s">
        <v>6</v>
      </c>
      <c r="O20" s="86">
        <v>188.25</v>
      </c>
      <c r="P20" s="46">
        <f t="shared" si="0"/>
        <v>-138.97999999999999</v>
      </c>
      <c r="Q20" s="151">
        <f t="shared" si="2"/>
        <v>-379.02000000000004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1002</v>
      </c>
      <c r="C21" s="27" t="s">
        <v>95</v>
      </c>
      <c r="D21" s="81">
        <v>43048</v>
      </c>
      <c r="E21" s="85">
        <v>43108</v>
      </c>
      <c r="F21" s="86">
        <v>419.79</v>
      </c>
      <c r="G21" s="83">
        <v>25.18</v>
      </c>
      <c r="H21" s="83">
        <v>5.03</v>
      </c>
      <c r="I21" s="84">
        <v>120</v>
      </c>
      <c r="J21" s="87">
        <v>269.58</v>
      </c>
      <c r="K21" s="85">
        <v>43089.636354166665</v>
      </c>
      <c r="L21" s="84"/>
      <c r="M21" s="124">
        <f t="shared" si="1"/>
        <v>269.58000000000004</v>
      </c>
      <c r="N21" s="47" t="s">
        <v>6</v>
      </c>
      <c r="O21" s="86">
        <v>228.8</v>
      </c>
      <c r="P21" s="46">
        <f>IFERROR(IF(M21-O21&lt;&gt;0,M21-O21,""),-O21)</f>
        <v>40.78000000000003</v>
      </c>
      <c r="Q21" s="151">
        <f t="shared" si="2"/>
        <v>5.6843418860808015E-14</v>
      </c>
      <c r="R21" s="158" t="s">
        <v>1058</v>
      </c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4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51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983</v>
      </c>
      <c r="C23" s="27"/>
      <c r="D23" s="81"/>
      <c r="E23" s="85"/>
      <c r="F23" s="86"/>
      <c r="G23" s="83"/>
      <c r="H23" s="83"/>
      <c r="I23" s="84"/>
      <c r="J23" s="87"/>
      <c r="K23" s="85"/>
      <c r="L23" s="84"/>
      <c r="M23" s="124" t="str">
        <f t="shared" si="1"/>
        <v/>
      </c>
      <c r="N23" s="47" t="s">
        <v>202</v>
      </c>
      <c r="O23" s="86">
        <v>152.33000000000001</v>
      </c>
      <c r="P23" s="46">
        <f t="shared" si="3"/>
        <v>-152.33000000000001</v>
      </c>
      <c r="Q23" s="151">
        <f t="shared" si="2"/>
        <v>0</v>
      </c>
      <c r="R23" s="159" t="s">
        <v>1071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1003</v>
      </c>
      <c r="C24" s="27" t="s">
        <v>95</v>
      </c>
      <c r="D24" s="81">
        <v>43053</v>
      </c>
      <c r="E24" s="85">
        <v>43113</v>
      </c>
      <c r="F24" s="86">
        <v>415.4</v>
      </c>
      <c r="G24" s="83">
        <v>24.93</v>
      </c>
      <c r="H24" s="83">
        <v>4.99</v>
      </c>
      <c r="I24" s="84"/>
      <c r="J24" s="87">
        <v>385.48</v>
      </c>
      <c r="K24" s="85">
        <v>43089.636354166665</v>
      </c>
      <c r="L24" s="84"/>
      <c r="M24" s="124">
        <f t="shared" si="1"/>
        <v>385.47999999999996</v>
      </c>
      <c r="N24" s="47" t="s">
        <v>6</v>
      </c>
      <c r="O24" s="86">
        <v>145.46</v>
      </c>
      <c r="P24" s="46">
        <f t="shared" si="3"/>
        <v>240.01999999999995</v>
      </c>
      <c r="Q24" s="151">
        <f t="shared" si="2"/>
        <v>-5.6843418860808015E-14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1004</v>
      </c>
      <c r="C25" s="27" t="s">
        <v>95</v>
      </c>
      <c r="D25" s="81">
        <v>43086</v>
      </c>
      <c r="E25" s="85">
        <v>43116</v>
      </c>
      <c r="F25" s="86">
        <v>393.2</v>
      </c>
      <c r="G25" s="83">
        <v>23.59</v>
      </c>
      <c r="H25" s="83">
        <v>4.72</v>
      </c>
      <c r="I25" s="84"/>
      <c r="J25" s="87">
        <v>364.89</v>
      </c>
      <c r="K25" s="85">
        <v>43088.575416666667</v>
      </c>
      <c r="L25" s="84"/>
      <c r="M25" s="124">
        <f t="shared" si="1"/>
        <v>364.89</v>
      </c>
      <c r="N25" s="47" t="s">
        <v>6</v>
      </c>
      <c r="O25" s="86">
        <v>128.30000000000001</v>
      </c>
      <c r="P25" s="46">
        <f t="shared" si="3"/>
        <v>236.58999999999997</v>
      </c>
      <c r="Q25" s="151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4" t="str">
        <f t="shared" si="1"/>
        <v/>
      </c>
      <c r="N26" s="47"/>
      <c r="O26" s="82"/>
      <c r="P26" s="46">
        <f t="shared" si="3"/>
        <v>0</v>
      </c>
      <c r="Q26" s="151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1005</v>
      </c>
      <c r="C27" s="27" t="s">
        <v>994</v>
      </c>
      <c r="D27" s="81">
        <v>43080</v>
      </c>
      <c r="E27" s="81">
        <v>43110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43083.643263888887</v>
      </c>
      <c r="L27" s="84"/>
      <c r="M27" s="124">
        <f t="shared" si="1"/>
        <v>324.8</v>
      </c>
      <c r="N27" s="47" t="s">
        <v>6</v>
      </c>
      <c r="O27" s="131">
        <v>140</v>
      </c>
      <c r="P27" s="46">
        <f t="shared" si="3"/>
        <v>184.8</v>
      </c>
      <c r="Q27" s="151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1006</v>
      </c>
      <c r="C28" s="27" t="s">
        <v>95</v>
      </c>
      <c r="D28" s="81">
        <v>43070</v>
      </c>
      <c r="E28" s="81">
        <v>43100</v>
      </c>
      <c r="F28" s="82">
        <v>520</v>
      </c>
      <c r="G28" s="83">
        <v>31.2</v>
      </c>
      <c r="H28" s="83">
        <v>6.24</v>
      </c>
      <c r="I28" s="84">
        <v>65</v>
      </c>
      <c r="J28" s="87">
        <v>417.56</v>
      </c>
      <c r="K28" s="85">
        <v>43073.659085648149</v>
      </c>
      <c r="L28" s="84"/>
      <c r="M28" s="124">
        <f t="shared" si="1"/>
        <v>417.56</v>
      </c>
      <c r="N28" s="47" t="s">
        <v>6</v>
      </c>
      <c r="O28" s="82">
        <v>178.32</v>
      </c>
      <c r="P28" s="46">
        <f t="shared" si="3"/>
        <v>239.24</v>
      </c>
      <c r="Q28" s="151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1007</v>
      </c>
      <c r="C29" s="27" t="s">
        <v>95</v>
      </c>
      <c r="D29" s="81">
        <v>43053</v>
      </c>
      <c r="E29" s="81">
        <v>43113</v>
      </c>
      <c r="F29" s="82">
        <v>466.12</v>
      </c>
      <c r="G29" s="83">
        <v>27.97</v>
      </c>
      <c r="H29" s="83">
        <v>5.59</v>
      </c>
      <c r="I29" s="84"/>
      <c r="J29" s="87">
        <v>432.56</v>
      </c>
      <c r="K29" s="85">
        <v>43088.575416666667</v>
      </c>
      <c r="L29" s="84"/>
      <c r="M29" s="124">
        <f t="shared" si="1"/>
        <v>432.56</v>
      </c>
      <c r="N29" s="60" t="s">
        <v>6</v>
      </c>
      <c r="O29" s="82">
        <v>201.56</v>
      </c>
      <c r="P29" s="46">
        <f t="shared" si="3"/>
        <v>231</v>
      </c>
      <c r="Q29" s="151">
        <f t="shared" si="2"/>
        <v>0</v>
      </c>
      <c r="R29" s="66" t="s">
        <v>1059</v>
      </c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4" t="str">
        <f t="shared" si="1"/>
        <v/>
      </c>
      <c r="N30" s="47"/>
      <c r="O30" s="82"/>
      <c r="P30" s="46">
        <f t="shared" si="3"/>
        <v>0</v>
      </c>
      <c r="Q30" s="151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1008</v>
      </c>
      <c r="C31" s="27" t="s">
        <v>994</v>
      </c>
      <c r="D31" s="81">
        <v>43070</v>
      </c>
      <c r="E31" s="81">
        <v>43100</v>
      </c>
      <c r="F31" s="82">
        <v>720</v>
      </c>
      <c r="G31" s="83">
        <v>43.2</v>
      </c>
      <c r="H31" s="83">
        <v>8.64</v>
      </c>
      <c r="I31" s="84"/>
      <c r="J31" s="87">
        <v>668.16</v>
      </c>
      <c r="K31" s="85">
        <v>43076.657199074078</v>
      </c>
      <c r="L31" s="84"/>
      <c r="M31" s="124">
        <f t="shared" si="1"/>
        <v>668.16</v>
      </c>
      <c r="N31" s="47" t="s">
        <v>6</v>
      </c>
      <c r="O31" s="82">
        <v>177.15</v>
      </c>
      <c r="P31" s="46">
        <f t="shared" si="3"/>
        <v>491.01</v>
      </c>
      <c r="Q31" s="151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1009</v>
      </c>
      <c r="C32" s="27" t="s">
        <v>994</v>
      </c>
      <c r="D32" s="81">
        <v>43065</v>
      </c>
      <c r="E32" s="81">
        <v>43094</v>
      </c>
      <c r="F32" s="82">
        <v>700</v>
      </c>
      <c r="G32" s="83">
        <v>42</v>
      </c>
      <c r="H32" s="83">
        <v>8.4</v>
      </c>
      <c r="I32" s="84"/>
      <c r="J32" s="87">
        <v>649.6</v>
      </c>
      <c r="K32" s="85">
        <v>43074.608599537038</v>
      </c>
      <c r="L32" s="84"/>
      <c r="M32" s="124">
        <f t="shared" si="1"/>
        <v>649.6</v>
      </c>
      <c r="N32" s="47" t="s">
        <v>6</v>
      </c>
      <c r="O32" s="82">
        <v>524.26</v>
      </c>
      <c r="P32" s="46">
        <f t="shared" si="3"/>
        <v>125.34000000000003</v>
      </c>
      <c r="Q32" s="151">
        <f t="shared" si="2"/>
        <v>0</v>
      </c>
      <c r="R32" s="140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4" t="str">
        <f t="shared" si="1"/>
        <v/>
      </c>
      <c r="N33" s="59"/>
      <c r="O33" s="82"/>
      <c r="P33" s="46">
        <f t="shared" si="3"/>
        <v>0</v>
      </c>
      <c r="Q33" s="151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1010</v>
      </c>
      <c r="C34" s="27" t="s">
        <v>95</v>
      </c>
      <c r="D34" s="81">
        <v>43083</v>
      </c>
      <c r="E34" s="85">
        <v>43113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43083.643263888887</v>
      </c>
      <c r="L34" s="84"/>
      <c r="M34" s="124">
        <f t="shared" si="1"/>
        <v>468.64</v>
      </c>
      <c r="N34" s="59" t="s">
        <v>6</v>
      </c>
      <c r="O34" s="86">
        <v>190.56</v>
      </c>
      <c r="P34" s="46">
        <f t="shared" si="3"/>
        <v>278.08</v>
      </c>
      <c r="Q34" s="151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1011</v>
      </c>
      <c r="C35" s="27" t="s">
        <v>95</v>
      </c>
      <c r="D35" s="81">
        <v>43077</v>
      </c>
      <c r="E35" s="81">
        <v>43107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43077.556527777779</v>
      </c>
      <c r="L35" s="84"/>
      <c r="M35" s="124">
        <f t="shared" si="1"/>
        <v>464</v>
      </c>
      <c r="N35" s="59" t="s">
        <v>6</v>
      </c>
      <c r="O35" s="82">
        <v>184.79</v>
      </c>
      <c r="P35" s="46">
        <f t="shared" si="3"/>
        <v>279.21000000000004</v>
      </c>
      <c r="Q35" s="151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983</v>
      </c>
      <c r="C36" s="27"/>
      <c r="D36" s="85"/>
      <c r="E36" s="85"/>
      <c r="F36" s="86"/>
      <c r="G36" s="83"/>
      <c r="H36" s="83"/>
      <c r="I36" s="84"/>
      <c r="J36" s="87"/>
      <c r="K36" s="85"/>
      <c r="L36" s="84"/>
      <c r="M36" s="124" t="str">
        <f t="shared" si="1"/>
        <v/>
      </c>
      <c r="N36" s="59" t="s">
        <v>202</v>
      </c>
      <c r="O36" s="86">
        <v>184.79</v>
      </c>
      <c r="P36" s="46">
        <f t="shared" si="3"/>
        <v>-184.79</v>
      </c>
      <c r="Q36" s="151">
        <f t="shared" si="2"/>
        <v>0</v>
      </c>
      <c r="R36" s="158" t="s">
        <v>1067</v>
      </c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1012</v>
      </c>
      <c r="C37" s="27" t="s">
        <v>95</v>
      </c>
      <c r="D37" s="85">
        <v>43065</v>
      </c>
      <c r="E37" s="85">
        <v>43125</v>
      </c>
      <c r="F37" s="86">
        <v>543.88</v>
      </c>
      <c r="G37" s="83">
        <v>32.630000000000003</v>
      </c>
      <c r="H37" s="83">
        <v>6.53</v>
      </c>
      <c r="I37" s="84"/>
      <c r="J37" s="87">
        <v>504.72</v>
      </c>
      <c r="K37" s="81">
        <v>43074.608599537038</v>
      </c>
      <c r="L37" s="84"/>
      <c r="M37" s="124">
        <f t="shared" si="1"/>
        <v>504.72</v>
      </c>
      <c r="N37" s="59" t="s">
        <v>6</v>
      </c>
      <c r="O37" s="86">
        <v>356.87</v>
      </c>
      <c r="P37" s="46">
        <f t="shared" si="3"/>
        <v>147.85000000000002</v>
      </c>
      <c r="Q37" s="151">
        <f t="shared" si="2"/>
        <v>0</v>
      </c>
      <c r="R37" s="60" t="s">
        <v>708</v>
      </c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1013</v>
      </c>
      <c r="C38" s="27" t="s">
        <v>95</v>
      </c>
      <c r="D38" s="85">
        <v>43079</v>
      </c>
      <c r="E38" s="85">
        <v>43109</v>
      </c>
      <c r="F38" s="82">
        <v>515</v>
      </c>
      <c r="G38" s="83">
        <v>30.9</v>
      </c>
      <c r="H38" s="83">
        <v>6.18</v>
      </c>
      <c r="I38" s="84"/>
      <c r="J38" s="87">
        <v>477.92</v>
      </c>
      <c r="K38" s="85">
        <v>43081.655277777776</v>
      </c>
      <c r="L38" s="84"/>
      <c r="M38" s="124">
        <f t="shared" si="1"/>
        <v>477.92</v>
      </c>
      <c r="N38" s="47" t="s">
        <v>6</v>
      </c>
      <c r="O38" s="82">
        <v>190.56</v>
      </c>
      <c r="P38" s="46">
        <f t="shared" si="3"/>
        <v>287.36</v>
      </c>
      <c r="Q38" s="151">
        <f t="shared" si="2"/>
        <v>0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1014</v>
      </c>
      <c r="C39" s="27" t="s">
        <v>95</v>
      </c>
      <c r="D39" s="85">
        <v>43065</v>
      </c>
      <c r="E39" s="85">
        <v>43125</v>
      </c>
      <c r="F39" s="82">
        <v>461.52</v>
      </c>
      <c r="G39" s="83">
        <v>27.69</v>
      </c>
      <c r="H39" s="83">
        <v>5.54</v>
      </c>
      <c r="I39" s="84">
        <v>120</v>
      </c>
      <c r="J39" s="87">
        <v>308.29000000000002</v>
      </c>
      <c r="K39" s="81">
        <v>43096.599930555552</v>
      </c>
      <c r="L39" s="84"/>
      <c r="M39" s="124">
        <f t="shared" si="1"/>
        <v>308.28999999999996</v>
      </c>
      <c r="N39" s="47" t="s">
        <v>6</v>
      </c>
      <c r="O39" s="82">
        <v>190.56</v>
      </c>
      <c r="P39" s="46">
        <f t="shared" si="3"/>
        <v>117.72999999999996</v>
      </c>
      <c r="Q39" s="151">
        <f t="shared" si="2"/>
        <v>-5.6843418860808015E-14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1015</v>
      </c>
      <c r="C40" s="27" t="s">
        <v>994</v>
      </c>
      <c r="D40" s="85">
        <v>42998</v>
      </c>
      <c r="E40" s="85">
        <v>43058</v>
      </c>
      <c r="F40" s="86">
        <v>670.45</v>
      </c>
      <c r="G40" s="83">
        <v>40.229999999999997</v>
      </c>
      <c r="H40" s="83">
        <v>8.0500000000000007</v>
      </c>
      <c r="I40" s="84">
        <v>65</v>
      </c>
      <c r="J40" s="87">
        <v>557.16999999999996</v>
      </c>
      <c r="K40" s="85">
        <v>43097.617743055554</v>
      </c>
      <c r="L40" s="84"/>
      <c r="M40" s="124">
        <f t="shared" si="1"/>
        <v>557.17000000000007</v>
      </c>
      <c r="N40" s="47" t="s">
        <v>258</v>
      </c>
      <c r="O40" s="86">
        <v>219.7</v>
      </c>
      <c r="P40" s="46">
        <f t="shared" si="3"/>
        <v>337.47000000000008</v>
      </c>
      <c r="Q40" s="151">
        <f t="shared" si="2"/>
        <v>1.1368683772161603E-13</v>
      </c>
      <c r="R40" s="60" t="s">
        <v>1072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1016</v>
      </c>
      <c r="C41" s="27" t="s">
        <v>95</v>
      </c>
      <c r="D41" s="81">
        <v>43055</v>
      </c>
      <c r="E41" s="81">
        <v>43115</v>
      </c>
      <c r="F41" s="82">
        <v>800</v>
      </c>
      <c r="G41" s="83">
        <v>48</v>
      </c>
      <c r="H41" s="83">
        <v>9.6</v>
      </c>
      <c r="I41" s="84"/>
      <c r="J41" s="87">
        <v>742.4</v>
      </c>
      <c r="K41" s="81">
        <v>43073.659085648149</v>
      </c>
      <c r="L41" s="84"/>
      <c r="M41" s="124">
        <f t="shared" si="1"/>
        <v>742.4</v>
      </c>
      <c r="N41" s="47" t="s">
        <v>6</v>
      </c>
      <c r="O41" s="82">
        <v>195.72</v>
      </c>
      <c r="P41" s="46">
        <f t="shared" si="3"/>
        <v>546.67999999999995</v>
      </c>
      <c r="Q41" s="151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1061</v>
      </c>
      <c r="C42" s="27"/>
      <c r="D42" s="85"/>
      <c r="E42" s="85"/>
      <c r="F42" s="86"/>
      <c r="G42" s="83"/>
      <c r="H42" s="83"/>
      <c r="I42" s="84"/>
      <c r="J42" s="87"/>
      <c r="K42" s="85"/>
      <c r="L42" s="84"/>
      <c r="M42" s="124" t="str">
        <f t="shared" si="1"/>
        <v/>
      </c>
      <c r="N42" s="47" t="s">
        <v>203</v>
      </c>
      <c r="O42" s="86">
        <v>367.24</v>
      </c>
      <c r="P42" s="46">
        <f t="shared" si="3"/>
        <v>-367.24</v>
      </c>
      <c r="Q42" s="151">
        <f t="shared" si="2"/>
        <v>0</v>
      </c>
      <c r="R42" s="158" t="s">
        <v>1060</v>
      </c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1017</v>
      </c>
      <c r="C43" s="27" t="s">
        <v>95</v>
      </c>
      <c r="D43" s="81">
        <v>42984</v>
      </c>
      <c r="E43" s="81">
        <v>43044</v>
      </c>
      <c r="F43" s="82">
        <v>365.6</v>
      </c>
      <c r="G43" s="83">
        <v>21.94</v>
      </c>
      <c r="H43" s="83">
        <v>4.3899999999999997</v>
      </c>
      <c r="I43" s="84"/>
      <c r="J43" s="87">
        <v>339.27</v>
      </c>
      <c r="K43" s="81">
        <v>43088.575416666667</v>
      </c>
      <c r="L43" s="84"/>
      <c r="M43" s="124">
        <f t="shared" si="1"/>
        <v>339.27000000000004</v>
      </c>
      <c r="N43" s="47" t="s">
        <v>202</v>
      </c>
      <c r="O43" s="82">
        <v>195.72</v>
      </c>
      <c r="P43" s="46">
        <f t="shared" si="3"/>
        <v>143.55000000000004</v>
      </c>
      <c r="Q43" s="151">
        <f t="shared" si="2"/>
        <v>5.6843418860808015E-14</v>
      </c>
      <c r="R43" s="160" t="s">
        <v>1068</v>
      </c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983</v>
      </c>
      <c r="C44" s="40"/>
      <c r="D44" s="81"/>
      <c r="E44" s="81"/>
      <c r="F44" s="82"/>
      <c r="G44" s="88"/>
      <c r="H44" s="83"/>
      <c r="I44" s="84"/>
      <c r="J44" s="87"/>
      <c r="K44" s="81"/>
      <c r="L44" s="84"/>
      <c r="M44" s="124" t="str">
        <f t="shared" si="1"/>
        <v/>
      </c>
      <c r="N44" s="59" t="s">
        <v>206</v>
      </c>
      <c r="O44" s="82">
        <v>197.32</v>
      </c>
      <c r="P44" s="46">
        <f t="shared" si="3"/>
        <v>-197.32</v>
      </c>
      <c r="Q44" s="151">
        <f t="shared" si="2"/>
        <v>0</v>
      </c>
      <c r="R44" s="60" t="s">
        <v>708</v>
      </c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4" t="str">
        <f t="shared" si="1"/>
        <v/>
      </c>
      <c r="N45" s="47"/>
      <c r="O45" s="82"/>
      <c r="P45" s="46">
        <f t="shared" si="3"/>
        <v>0</v>
      </c>
      <c r="Q45" s="151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1018</v>
      </c>
      <c r="C46" s="27" t="s">
        <v>994</v>
      </c>
      <c r="D46" s="81">
        <v>43087</v>
      </c>
      <c r="E46" s="81">
        <v>43117</v>
      </c>
      <c r="F46" s="82">
        <v>525</v>
      </c>
      <c r="G46" s="83">
        <v>31.5</v>
      </c>
      <c r="H46" s="83">
        <v>6.3</v>
      </c>
      <c r="I46" s="84">
        <v>65</v>
      </c>
      <c r="J46" s="87">
        <v>422.2</v>
      </c>
      <c r="K46" s="85">
        <v>43087.675902777781</v>
      </c>
      <c r="L46" s="84"/>
      <c r="M46" s="124">
        <f t="shared" si="1"/>
        <v>422.2</v>
      </c>
      <c r="N46" s="47" t="s">
        <v>6</v>
      </c>
      <c r="O46" s="82">
        <v>186.16</v>
      </c>
      <c r="P46" s="46">
        <f t="shared" si="3"/>
        <v>236.04</v>
      </c>
      <c r="Q46" s="151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1019</v>
      </c>
      <c r="C47" s="27" t="s">
        <v>994</v>
      </c>
      <c r="D47" s="81">
        <v>43075</v>
      </c>
      <c r="E47" s="81">
        <v>43105</v>
      </c>
      <c r="F47" s="82">
        <v>525</v>
      </c>
      <c r="G47" s="83">
        <v>31.5</v>
      </c>
      <c r="H47" s="83">
        <v>6.3</v>
      </c>
      <c r="I47" s="84"/>
      <c r="J47" s="87">
        <v>487.2</v>
      </c>
      <c r="K47" s="85">
        <v>43075.669537037036</v>
      </c>
      <c r="L47" s="84"/>
      <c r="M47" s="124">
        <f t="shared" si="1"/>
        <v>487.2</v>
      </c>
      <c r="N47" s="47" t="s">
        <v>6</v>
      </c>
      <c r="O47" s="82">
        <v>68.34</v>
      </c>
      <c r="P47" s="46">
        <f t="shared" si="3"/>
        <v>418.86</v>
      </c>
      <c r="Q47" s="151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1062</v>
      </c>
      <c r="C48" s="27"/>
      <c r="D48" s="81"/>
      <c r="E48" s="81"/>
      <c r="F48" s="82"/>
      <c r="G48" s="83"/>
      <c r="H48" s="83"/>
      <c r="I48" s="84"/>
      <c r="J48" s="87"/>
      <c r="K48" s="85"/>
      <c r="L48" s="84"/>
      <c r="M48" s="124" t="str">
        <f t="shared" si="1"/>
        <v/>
      </c>
      <c r="N48" s="47" t="s">
        <v>259</v>
      </c>
      <c r="O48" s="82">
        <v>186.13</v>
      </c>
      <c r="P48" s="46">
        <f t="shared" si="3"/>
        <v>-186.13</v>
      </c>
      <c r="Q48" s="151">
        <f t="shared" si="2"/>
        <v>0</v>
      </c>
      <c r="R48" s="158" t="s">
        <v>1063</v>
      </c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1020</v>
      </c>
      <c r="C49" s="27" t="s">
        <v>994</v>
      </c>
      <c r="D49" s="85">
        <v>43053</v>
      </c>
      <c r="E49" s="85">
        <v>43113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43088.575416666667</v>
      </c>
      <c r="L49" s="84"/>
      <c r="M49" s="124">
        <f t="shared" si="1"/>
        <v>428.28999999999996</v>
      </c>
      <c r="N49" s="47" t="s">
        <v>6</v>
      </c>
      <c r="O49" s="86">
        <v>184.91</v>
      </c>
      <c r="P49" s="46">
        <f t="shared" si="3"/>
        <v>243.37999999999997</v>
      </c>
      <c r="Q49" s="151">
        <f t="shared" si="2"/>
        <v>-5.6843418860808015E-14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1021</v>
      </c>
      <c r="C50" s="27" t="s">
        <v>95</v>
      </c>
      <c r="D50" s="81">
        <v>43058</v>
      </c>
      <c r="E50" s="81">
        <v>43118</v>
      </c>
      <c r="F50" s="82">
        <v>461.52</v>
      </c>
      <c r="G50" s="83">
        <v>27.69</v>
      </c>
      <c r="H50" s="83">
        <v>5.54</v>
      </c>
      <c r="I50" s="84"/>
      <c r="J50" s="87">
        <v>428.29</v>
      </c>
      <c r="K50" s="85">
        <v>43088.575416666667</v>
      </c>
      <c r="L50" s="84"/>
      <c r="M50" s="124">
        <f t="shared" si="1"/>
        <v>428.28999999999996</v>
      </c>
      <c r="N50" s="47" t="s">
        <v>6</v>
      </c>
      <c r="O50" s="82">
        <v>186.13</v>
      </c>
      <c r="P50" s="46">
        <f t="shared" si="3"/>
        <v>242.15999999999997</v>
      </c>
      <c r="Q50" s="151">
        <f t="shared" si="2"/>
        <v>-5.6843418860808015E-14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1022</v>
      </c>
      <c r="C51" s="27" t="s">
        <v>95</v>
      </c>
      <c r="D51" s="85">
        <v>43059</v>
      </c>
      <c r="E51" s="85">
        <v>43119</v>
      </c>
      <c r="F51" s="82">
        <v>461.52</v>
      </c>
      <c r="G51" s="83">
        <v>27.69</v>
      </c>
      <c r="H51" s="83">
        <v>5.54</v>
      </c>
      <c r="I51" s="84"/>
      <c r="J51" s="87">
        <v>428.29</v>
      </c>
      <c r="K51" s="85">
        <v>43089.636354166665</v>
      </c>
      <c r="L51" s="84"/>
      <c r="M51" s="124">
        <f t="shared" si="1"/>
        <v>428.28999999999996</v>
      </c>
      <c r="N51" s="47" t="s">
        <v>6</v>
      </c>
      <c r="O51" s="82">
        <v>186.14</v>
      </c>
      <c r="P51" s="46">
        <f t="shared" si="3"/>
        <v>242.14999999999998</v>
      </c>
      <c r="Q51" s="151">
        <f t="shared" si="2"/>
        <v>-5.6843418860808015E-14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1023</v>
      </c>
      <c r="C52" s="27" t="s">
        <v>994</v>
      </c>
      <c r="D52" s="81">
        <v>43075</v>
      </c>
      <c r="E52" s="81">
        <v>43105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43075.669537037036</v>
      </c>
      <c r="L52" s="84"/>
      <c r="M52" s="124">
        <f t="shared" si="1"/>
        <v>464</v>
      </c>
      <c r="N52" s="47" t="s">
        <v>6</v>
      </c>
      <c r="O52" s="82">
        <v>234.89</v>
      </c>
      <c r="P52" s="46">
        <f t="shared" si="3"/>
        <v>229.11</v>
      </c>
      <c r="Q52" s="151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1024</v>
      </c>
      <c r="C53" s="27" t="s">
        <v>95</v>
      </c>
      <c r="D53" s="81">
        <v>43058</v>
      </c>
      <c r="E53" s="81">
        <v>43118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43088.575416666667</v>
      </c>
      <c r="L53" s="84"/>
      <c r="M53" s="124">
        <f t="shared" si="1"/>
        <v>428.28999999999996</v>
      </c>
      <c r="N53" s="47" t="s">
        <v>6</v>
      </c>
      <c r="O53" s="82">
        <v>192.58</v>
      </c>
      <c r="P53" s="46">
        <f t="shared" si="3"/>
        <v>235.70999999999995</v>
      </c>
      <c r="Q53" s="151">
        <f t="shared" si="2"/>
        <v>-5.6843418860808015E-14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4" t="str">
        <f t="shared" si="1"/>
        <v/>
      </c>
      <c r="N54" s="47"/>
      <c r="O54" s="82"/>
      <c r="P54" s="46">
        <f t="shared" si="3"/>
        <v>0</v>
      </c>
      <c r="Q54" s="151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1025</v>
      </c>
      <c r="C55" s="27" t="s">
        <v>95</v>
      </c>
      <c r="D55" s="81">
        <v>43074</v>
      </c>
      <c r="E55" s="81">
        <v>43104</v>
      </c>
      <c r="F55" s="82">
        <v>650</v>
      </c>
      <c r="G55" s="83">
        <v>39</v>
      </c>
      <c r="H55" s="83">
        <v>7.8</v>
      </c>
      <c r="I55" s="84">
        <v>65</v>
      </c>
      <c r="J55" s="87">
        <v>538.20000000000005</v>
      </c>
      <c r="K55" s="85">
        <v>43080.656574074077</v>
      </c>
      <c r="L55" s="84"/>
      <c r="M55" s="124">
        <f t="shared" si="1"/>
        <v>538.20000000000005</v>
      </c>
      <c r="N55" s="47" t="s">
        <v>6</v>
      </c>
      <c r="O55" s="82">
        <v>226.6</v>
      </c>
      <c r="P55" s="46">
        <f t="shared" si="3"/>
        <v>311.60000000000002</v>
      </c>
      <c r="Q55" s="151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1064</v>
      </c>
      <c r="C56" s="27"/>
      <c r="D56" s="81"/>
      <c r="E56" s="81"/>
      <c r="F56" s="82"/>
      <c r="G56" s="83"/>
      <c r="H56" s="83"/>
      <c r="I56" s="84"/>
      <c r="J56" s="87"/>
      <c r="K56" s="85"/>
      <c r="L56" s="84">
        <v>750</v>
      </c>
      <c r="M56" s="124">
        <f t="shared" si="1"/>
        <v>-750</v>
      </c>
      <c r="N56" s="47" t="s">
        <v>203</v>
      </c>
      <c r="O56" s="82">
        <v>186.14</v>
      </c>
      <c r="P56" s="46">
        <f t="shared" si="3"/>
        <v>-936.14</v>
      </c>
      <c r="Q56" s="151">
        <f t="shared" si="2"/>
        <v>0</v>
      </c>
      <c r="R56" s="159" t="s">
        <v>1069</v>
      </c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1026</v>
      </c>
      <c r="C57" s="27" t="s">
        <v>95</v>
      </c>
      <c r="D57" s="81">
        <v>43081</v>
      </c>
      <c r="E57" s="81">
        <v>43111</v>
      </c>
      <c r="F57" s="82">
        <v>500</v>
      </c>
      <c r="G57" s="83">
        <v>30</v>
      </c>
      <c r="H57" s="83">
        <v>6</v>
      </c>
      <c r="I57" s="84">
        <v>57.75</v>
      </c>
      <c r="J57" s="87">
        <v>406.25</v>
      </c>
      <c r="K57" s="85">
        <v>43081.655277777776</v>
      </c>
      <c r="L57" s="84"/>
      <c r="M57" s="124">
        <f t="shared" si="1"/>
        <v>406.25</v>
      </c>
      <c r="N57" s="47" t="s">
        <v>6</v>
      </c>
      <c r="O57" s="82">
        <v>180.37</v>
      </c>
      <c r="P57" s="46">
        <f t="shared" si="3"/>
        <v>225.88</v>
      </c>
      <c r="Q57" s="151">
        <f t="shared" si="2"/>
        <v>0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1027</v>
      </c>
      <c r="C58" s="27" t="s">
        <v>95</v>
      </c>
      <c r="D58" s="81">
        <v>43047</v>
      </c>
      <c r="E58" s="81">
        <v>43107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43088.575416666667</v>
      </c>
      <c r="L58" s="84"/>
      <c r="M58" s="124">
        <f t="shared" si="1"/>
        <v>428.28999999999996</v>
      </c>
      <c r="N58" s="47" t="s">
        <v>6</v>
      </c>
      <c r="O58" s="82">
        <v>186.1</v>
      </c>
      <c r="P58" s="46">
        <f t="shared" si="3"/>
        <v>242.18999999999997</v>
      </c>
      <c r="Q58" s="151">
        <f t="shared" si="2"/>
        <v>-5.6843418860808015E-14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1028</v>
      </c>
      <c r="C59" s="27" t="s">
        <v>994</v>
      </c>
      <c r="D59" s="81">
        <v>43081</v>
      </c>
      <c r="E59" s="81">
        <v>43111</v>
      </c>
      <c r="F59" s="82">
        <v>550</v>
      </c>
      <c r="G59" s="83">
        <v>33</v>
      </c>
      <c r="H59" s="83">
        <v>6.6</v>
      </c>
      <c r="I59" s="84"/>
      <c r="J59" s="87">
        <v>510.4</v>
      </c>
      <c r="K59" s="85">
        <v>43082.635798611111</v>
      </c>
      <c r="L59" s="84"/>
      <c r="M59" s="124">
        <f t="shared" si="1"/>
        <v>510.4</v>
      </c>
      <c r="N59" s="47" t="s">
        <v>6</v>
      </c>
      <c r="O59" s="82">
        <v>186.24</v>
      </c>
      <c r="P59" s="46">
        <f t="shared" si="3"/>
        <v>324.15999999999997</v>
      </c>
      <c r="Q59" s="151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1029</v>
      </c>
      <c r="C60" s="27" t="s">
        <v>95</v>
      </c>
      <c r="D60" s="81">
        <v>43058</v>
      </c>
      <c r="E60" s="81">
        <v>43118</v>
      </c>
      <c r="F60" s="82">
        <v>466.12</v>
      </c>
      <c r="G60" s="83">
        <v>27.98</v>
      </c>
      <c r="H60" s="83">
        <v>5.59</v>
      </c>
      <c r="I60" s="84"/>
      <c r="J60" s="87">
        <v>432.55</v>
      </c>
      <c r="K60" s="85">
        <v>43088.575416666667</v>
      </c>
      <c r="L60" s="84"/>
      <c r="M60" s="124">
        <f t="shared" si="1"/>
        <v>432.55</v>
      </c>
      <c r="N60" s="47" t="s">
        <v>6</v>
      </c>
      <c r="O60" s="82">
        <v>186.1</v>
      </c>
      <c r="P60" s="46">
        <f t="shared" si="3"/>
        <v>246.45000000000002</v>
      </c>
      <c r="Q60" s="151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1030</v>
      </c>
      <c r="C61" s="40" t="s">
        <v>95</v>
      </c>
      <c r="D61" s="81">
        <v>43042</v>
      </c>
      <c r="E61" s="81">
        <v>43102</v>
      </c>
      <c r="F61" s="82">
        <v>461.52</v>
      </c>
      <c r="G61" s="83">
        <v>27.69</v>
      </c>
      <c r="H61" s="83">
        <v>5.54</v>
      </c>
      <c r="I61" s="84"/>
      <c r="J61" s="87">
        <v>428.29</v>
      </c>
      <c r="K61" s="85">
        <v>43088.575416666667</v>
      </c>
      <c r="L61" s="84"/>
      <c r="M61" s="124">
        <f t="shared" si="1"/>
        <v>428.28999999999996</v>
      </c>
      <c r="N61" s="47" t="s">
        <v>6</v>
      </c>
      <c r="O61" s="82">
        <v>226.77</v>
      </c>
      <c r="P61" s="46">
        <f t="shared" si="3"/>
        <v>201.51999999999995</v>
      </c>
      <c r="Q61" s="151">
        <f t="shared" si="2"/>
        <v>-5.6843418860808015E-14</v>
      </c>
      <c r="R61" s="60" t="s">
        <v>1065</v>
      </c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983</v>
      </c>
      <c r="C62" s="27"/>
      <c r="D62" s="85"/>
      <c r="E62" s="81"/>
      <c r="F62" s="89"/>
      <c r="G62" s="83"/>
      <c r="H62" s="83"/>
      <c r="I62" s="84"/>
      <c r="J62" s="87"/>
      <c r="K62" s="85"/>
      <c r="L62" s="84"/>
      <c r="M62" s="124" t="str">
        <f t="shared" si="1"/>
        <v/>
      </c>
      <c r="N62" s="47" t="s">
        <v>202</v>
      </c>
      <c r="O62" s="89">
        <v>192.58</v>
      </c>
      <c r="P62" s="46">
        <f t="shared" si="3"/>
        <v>-192.58</v>
      </c>
      <c r="Q62" s="151">
        <f t="shared" si="2"/>
        <v>0</v>
      </c>
      <c r="R62" s="161" t="s">
        <v>1070</v>
      </c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5" t="str">
        <f t="shared" si="1"/>
        <v/>
      </c>
      <c r="N63" s="54"/>
      <c r="O63" s="91"/>
      <c r="P63" s="123">
        <f t="shared" si="3"/>
        <v>0</v>
      </c>
      <c r="Q63" s="152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19461</v>
      </c>
      <c r="G65" s="42">
        <f>SUM(G9:G63)</f>
        <v>1190.3900000000003</v>
      </c>
      <c r="H65" s="42">
        <f>SUM(H9:H63)</f>
        <v>238.09999999999997</v>
      </c>
      <c r="I65" s="42">
        <f>SUM(I9:I63)</f>
        <v>992.98</v>
      </c>
      <c r="J65" s="42">
        <f>SUM(J9:J63)</f>
        <v>17418.55000000001</v>
      </c>
      <c r="K65" s="41"/>
      <c r="L65" s="42">
        <f>SUM(L9:L63)</f>
        <v>1530</v>
      </c>
      <c r="M65" s="42">
        <f>SUM(M9:M63)</f>
        <v>15509.530000000006</v>
      </c>
      <c r="N65" s="41"/>
      <c r="O65" s="42">
        <f>SUM(O9:O63)</f>
        <v>8667.1400000000031</v>
      </c>
      <c r="P65" s="42">
        <f>SUM(P9:P63)</f>
        <v>6842.3899999999985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>
      <formula1>0</formula1>
    </dataValidation>
    <dataValidation type="date" operator="greaterThanOrEqual" allowBlank="1" showErrorMessage="1" errorTitle="Invaid Date" error="Please enter a date (in format: dd/mm/yyyy)" sqref="E39 D9:D63 K9:L63">
      <formula1>1</formula1>
    </dataValidation>
    <dataValidation operator="greaterThanOrEqual" allowBlank="1" showInputMessage="1" showErrorMessage="1" sqref="G9:J63"/>
    <dataValidation type="list" allowBlank="1" showInputMessage="1" showErrorMessage="1" sqref="N9:N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0"/>
  <sheetViews>
    <sheetView tabSelected="1" zoomScale="85" zoomScaleNormal="85" workbookViewId="0">
      <selection activeCell="D42" sqref="D42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7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56" t="s">
        <v>1031</v>
      </c>
    </row>
    <row r="4" spans="1:15" x14ac:dyDescent="0.2">
      <c r="A4" t="s">
        <v>1032</v>
      </c>
      <c r="B4">
        <v>17</v>
      </c>
    </row>
    <row r="5" spans="1:15" x14ac:dyDescent="0.2">
      <c r="A5" t="s">
        <v>1033</v>
      </c>
      <c r="B5">
        <v>74</v>
      </c>
    </row>
    <row r="6" spans="1:15" x14ac:dyDescent="0.2">
      <c r="A6" t="s">
        <v>1034</v>
      </c>
      <c r="B6">
        <v>74</v>
      </c>
    </row>
    <row r="7" spans="1:15" x14ac:dyDescent="0.2">
      <c r="A7" t="s">
        <v>1035</v>
      </c>
      <c r="B7">
        <v>51</v>
      </c>
    </row>
    <row r="8" spans="1:15" x14ac:dyDescent="0.2">
      <c r="A8" t="s">
        <v>1036</v>
      </c>
      <c r="B8">
        <v>12</v>
      </c>
    </row>
    <row r="9" spans="1:15" x14ac:dyDescent="0.2">
      <c r="A9" t="s">
        <v>1037</v>
      </c>
      <c r="B9">
        <v>18</v>
      </c>
    </row>
    <row r="10" spans="1:15" x14ac:dyDescent="0.2">
      <c r="A10" s="149"/>
      <c r="B10" s="149"/>
      <c r="C10" s="149"/>
      <c r="D10" s="149"/>
      <c r="E10" s="149"/>
      <c r="F10" s="149"/>
      <c r="G10" s="149"/>
      <c r="H10" s="126"/>
      <c r="I10" s="126"/>
      <c r="J10" s="126"/>
      <c r="K10" s="126"/>
      <c r="L10" s="126"/>
      <c r="M10" s="126"/>
      <c r="N10" s="126"/>
      <c r="O10" s="126"/>
    </row>
    <row r="11" spans="1:15" ht="15" x14ac:dyDescent="0.25">
      <c r="A11" s="156" t="s">
        <v>24</v>
      </c>
      <c r="B11" s="156" t="s">
        <v>513</v>
      </c>
      <c r="C11" s="156" t="s">
        <v>515</v>
      </c>
      <c r="D11" s="156" t="s">
        <v>550</v>
      </c>
      <c r="E11" s="156" t="s">
        <v>1038</v>
      </c>
      <c r="F11" s="156" t="s">
        <v>1039</v>
      </c>
    </row>
    <row r="12" spans="1:15" x14ac:dyDescent="0.2">
      <c r="A12" t="s">
        <v>227</v>
      </c>
      <c r="B12" s="157">
        <v>43020.629432870373</v>
      </c>
      <c r="C12">
        <v>-65</v>
      </c>
      <c r="D12" t="s">
        <v>1040</v>
      </c>
      <c r="E12">
        <v>178796</v>
      </c>
      <c r="F12" t="s">
        <v>1041</v>
      </c>
    </row>
    <row r="13" spans="1:15" x14ac:dyDescent="0.2">
      <c r="A13" t="s">
        <v>73</v>
      </c>
      <c r="B13" s="157">
        <v>43049.477893518517</v>
      </c>
      <c r="C13">
        <v>-65</v>
      </c>
      <c r="D13" t="s">
        <v>1042</v>
      </c>
      <c r="E13">
        <v>180000</v>
      </c>
      <c r="F13" t="s">
        <v>1041</v>
      </c>
    </row>
    <row r="14" spans="1:15" x14ac:dyDescent="0.2">
      <c r="A14" t="s">
        <v>57</v>
      </c>
      <c r="B14" s="157">
        <v>43056.364699074074</v>
      </c>
      <c r="C14">
        <v>187.42</v>
      </c>
      <c r="D14" t="s">
        <v>753</v>
      </c>
      <c r="E14">
        <v>180055</v>
      </c>
      <c r="F14" t="s">
        <v>1041</v>
      </c>
    </row>
    <row r="15" spans="1:15" x14ac:dyDescent="0.2">
      <c r="A15" t="s">
        <v>57</v>
      </c>
      <c r="B15" s="157">
        <v>43055.719895833332</v>
      </c>
      <c r="C15">
        <v>-750</v>
      </c>
      <c r="D15" t="s">
        <v>1043</v>
      </c>
      <c r="E15">
        <v>180054</v>
      </c>
      <c r="F15" t="s">
        <v>1041</v>
      </c>
    </row>
    <row r="16" spans="1:15" x14ac:dyDescent="0.2">
      <c r="A16" t="s">
        <v>57</v>
      </c>
      <c r="B16" s="157">
        <v>43055.548854166664</v>
      </c>
      <c r="C16">
        <v>-750</v>
      </c>
      <c r="D16" t="s">
        <v>1044</v>
      </c>
      <c r="E16">
        <v>180053</v>
      </c>
      <c r="F16" t="s">
        <v>1041</v>
      </c>
    </row>
    <row r="17" spans="1:6" x14ac:dyDescent="0.2">
      <c r="A17" t="s">
        <v>57</v>
      </c>
      <c r="B17" s="157">
        <v>43054.380358796298</v>
      </c>
      <c r="C17">
        <v>750</v>
      </c>
      <c r="D17" t="s">
        <v>753</v>
      </c>
      <c r="E17">
        <v>180052</v>
      </c>
      <c r="F17" t="s">
        <v>1041</v>
      </c>
    </row>
    <row r="18" spans="1:6" x14ac:dyDescent="0.2">
      <c r="A18" t="s">
        <v>57</v>
      </c>
      <c r="B18" s="157">
        <v>43052.396157407406</v>
      </c>
      <c r="C18">
        <v>-187.42</v>
      </c>
      <c r="D18" t="s">
        <v>1045</v>
      </c>
      <c r="E18">
        <v>180051</v>
      </c>
      <c r="F18" t="s">
        <v>1041</v>
      </c>
    </row>
    <row r="19" spans="1:6" x14ac:dyDescent="0.2">
      <c r="A19" t="s">
        <v>57</v>
      </c>
      <c r="B19" s="157">
        <v>43061.635509259257</v>
      </c>
      <c r="C19">
        <v>276.76</v>
      </c>
      <c r="D19" t="s">
        <v>754</v>
      </c>
      <c r="E19">
        <v>180056</v>
      </c>
      <c r="F19" t="s">
        <v>1041</v>
      </c>
    </row>
    <row r="20" spans="1:6" x14ac:dyDescent="0.2">
      <c r="A20" t="s">
        <v>57</v>
      </c>
      <c r="B20" s="157">
        <v>43061.635509259257</v>
      </c>
      <c r="C20">
        <v>-13.63</v>
      </c>
      <c r="D20" t="s">
        <v>599</v>
      </c>
      <c r="E20">
        <v>180059</v>
      </c>
      <c r="F20" t="s">
        <v>1041</v>
      </c>
    </row>
    <row r="21" spans="1:6" x14ac:dyDescent="0.2">
      <c r="A21" t="s">
        <v>57</v>
      </c>
      <c r="B21" s="157">
        <v>43061.635509259257</v>
      </c>
      <c r="C21">
        <v>189.36</v>
      </c>
      <c r="D21" t="s">
        <v>1046</v>
      </c>
      <c r="E21">
        <v>180058</v>
      </c>
      <c r="F21" t="s">
        <v>1041</v>
      </c>
    </row>
    <row r="22" spans="1:6" x14ac:dyDescent="0.2">
      <c r="A22" t="s">
        <v>57</v>
      </c>
      <c r="B22" s="157">
        <v>43061.635509259257</v>
      </c>
      <c r="C22">
        <v>-19.93</v>
      </c>
      <c r="D22" t="s">
        <v>599</v>
      </c>
      <c r="E22">
        <v>180057</v>
      </c>
      <c r="F22" t="s">
        <v>1041</v>
      </c>
    </row>
    <row r="23" spans="1:6" x14ac:dyDescent="0.2">
      <c r="A23" t="s">
        <v>64</v>
      </c>
      <c r="B23" s="157">
        <v>43046.36645833333</v>
      </c>
      <c r="C23">
        <v>-65</v>
      </c>
      <c r="D23" t="s">
        <v>1047</v>
      </c>
      <c r="E23">
        <v>180066</v>
      </c>
      <c r="F23" t="s">
        <v>1041</v>
      </c>
    </row>
    <row r="24" spans="1:6" x14ac:dyDescent="0.2">
      <c r="A24" t="s">
        <v>67</v>
      </c>
      <c r="B24" s="157">
        <v>43098.519895833335</v>
      </c>
      <c r="C24">
        <v>-125</v>
      </c>
      <c r="D24" t="s">
        <v>766</v>
      </c>
      <c r="E24">
        <v>180572</v>
      </c>
      <c r="F24" t="s">
        <v>1048</v>
      </c>
    </row>
    <row r="25" spans="1:6" x14ac:dyDescent="0.2">
      <c r="A25" t="s">
        <v>86</v>
      </c>
      <c r="B25" s="157">
        <v>43070.483634259261</v>
      </c>
      <c r="C25">
        <v>415.12</v>
      </c>
      <c r="D25" t="s">
        <v>769</v>
      </c>
      <c r="E25">
        <v>180580</v>
      </c>
      <c r="F25" t="s">
        <v>1048</v>
      </c>
    </row>
    <row r="26" spans="1:6" x14ac:dyDescent="0.2">
      <c r="A26" t="s">
        <v>86</v>
      </c>
      <c r="B26" s="157">
        <v>43070.483634259261</v>
      </c>
      <c r="C26">
        <v>-29.89</v>
      </c>
      <c r="D26" t="s">
        <v>770</v>
      </c>
      <c r="E26">
        <v>180581</v>
      </c>
      <c r="F26" t="s">
        <v>1048</v>
      </c>
    </row>
    <row r="27" spans="1:6" x14ac:dyDescent="0.2">
      <c r="A27" t="s">
        <v>86</v>
      </c>
      <c r="B27" s="157">
        <v>43070.483634259261</v>
      </c>
      <c r="C27">
        <v>37.200000000000003</v>
      </c>
      <c r="D27" t="s">
        <v>771</v>
      </c>
      <c r="E27">
        <v>180582</v>
      </c>
      <c r="F27" t="s">
        <v>1048</v>
      </c>
    </row>
    <row r="28" spans="1:6" x14ac:dyDescent="0.2">
      <c r="A28" t="s">
        <v>86</v>
      </c>
      <c r="B28" s="157">
        <v>43070.483634259261</v>
      </c>
      <c r="C28">
        <v>-2.68</v>
      </c>
      <c r="D28" t="s">
        <v>770</v>
      </c>
      <c r="E28">
        <v>180583</v>
      </c>
      <c r="F28" t="s">
        <v>1048</v>
      </c>
    </row>
    <row r="29" spans="1:6" x14ac:dyDescent="0.2">
      <c r="A29" t="s">
        <v>86</v>
      </c>
      <c r="B29" s="157">
        <v>43096.595682870371</v>
      </c>
      <c r="C29">
        <v>377.44</v>
      </c>
      <c r="D29" t="s">
        <v>772</v>
      </c>
      <c r="E29">
        <v>180584</v>
      </c>
      <c r="F29" t="s">
        <v>1048</v>
      </c>
    </row>
    <row r="30" spans="1:6" x14ac:dyDescent="0.2">
      <c r="A30" t="s">
        <v>86</v>
      </c>
      <c r="B30" s="157">
        <v>43096.595682870371</v>
      </c>
      <c r="C30">
        <v>-27.18</v>
      </c>
      <c r="D30" t="s">
        <v>770</v>
      </c>
      <c r="E30">
        <v>180585</v>
      </c>
      <c r="F30" t="s">
        <v>1048</v>
      </c>
    </row>
    <row r="31" spans="1:6" x14ac:dyDescent="0.2">
      <c r="A31" t="s">
        <v>86</v>
      </c>
      <c r="B31" s="157">
        <v>43096.595682870371</v>
      </c>
      <c r="C31">
        <v>74.88</v>
      </c>
      <c r="D31" t="s">
        <v>769</v>
      </c>
      <c r="E31">
        <v>180586</v>
      </c>
      <c r="F31" t="s">
        <v>1048</v>
      </c>
    </row>
    <row r="32" spans="1:6" x14ac:dyDescent="0.2">
      <c r="A32" t="s">
        <v>86</v>
      </c>
      <c r="B32" s="157">
        <v>43096.595682870371</v>
      </c>
      <c r="C32">
        <v>-5.39</v>
      </c>
      <c r="D32" t="s">
        <v>770</v>
      </c>
      <c r="E32">
        <v>180587</v>
      </c>
      <c r="F32" t="s">
        <v>1048</v>
      </c>
    </row>
    <row r="33" spans="1:6" x14ac:dyDescent="0.2">
      <c r="A33" t="s">
        <v>112</v>
      </c>
      <c r="B33" s="157">
        <v>43082.539363425924</v>
      </c>
      <c r="C33">
        <v>-400</v>
      </c>
      <c r="D33" t="s">
        <v>775</v>
      </c>
      <c r="E33">
        <v>180598</v>
      </c>
      <c r="F33" t="s">
        <v>1048</v>
      </c>
    </row>
    <row r="34" spans="1:6" x14ac:dyDescent="0.2">
      <c r="A34" t="s">
        <v>112</v>
      </c>
      <c r="B34" s="157">
        <v>43083.380729166667</v>
      </c>
      <c r="C34">
        <v>400</v>
      </c>
      <c r="D34" t="s">
        <v>776</v>
      </c>
      <c r="E34">
        <v>180599</v>
      </c>
      <c r="F34" t="s">
        <v>1048</v>
      </c>
    </row>
    <row r="35" spans="1:6" x14ac:dyDescent="0.2">
      <c r="A35" t="s">
        <v>112</v>
      </c>
      <c r="B35" s="157">
        <v>43083.381932870368</v>
      </c>
      <c r="C35">
        <v>-110</v>
      </c>
      <c r="D35" t="s">
        <v>777</v>
      </c>
      <c r="E35">
        <v>180600</v>
      </c>
      <c r="F35" t="s">
        <v>1048</v>
      </c>
    </row>
    <row r="36" spans="1:6" x14ac:dyDescent="0.2">
      <c r="A36" t="s">
        <v>75</v>
      </c>
      <c r="B36" s="157">
        <v>43082.5391087963</v>
      </c>
      <c r="C36">
        <v>-350</v>
      </c>
      <c r="D36" t="s">
        <v>780</v>
      </c>
      <c r="E36">
        <v>180611</v>
      </c>
      <c r="F36" t="s">
        <v>1048</v>
      </c>
    </row>
    <row r="37" spans="1:6" x14ac:dyDescent="0.2">
      <c r="A37" t="s">
        <v>75</v>
      </c>
      <c r="B37" s="157">
        <v>43083.379814814813</v>
      </c>
      <c r="C37">
        <v>350</v>
      </c>
      <c r="D37" t="s">
        <v>781</v>
      </c>
      <c r="E37">
        <v>180612</v>
      </c>
      <c r="F37" t="s">
        <v>1048</v>
      </c>
    </row>
    <row r="38" spans="1:6" x14ac:dyDescent="0.2">
      <c r="A38" t="s">
        <v>99</v>
      </c>
      <c r="B38" s="157">
        <v>43090.710914351854</v>
      </c>
      <c r="C38">
        <v>-55</v>
      </c>
      <c r="D38" t="s">
        <v>818</v>
      </c>
      <c r="E38">
        <v>180750</v>
      </c>
      <c r="F38" t="s">
        <v>1048</v>
      </c>
    </row>
    <row r="39" spans="1:6" x14ac:dyDescent="0.2">
      <c r="A39" t="s">
        <v>60</v>
      </c>
      <c r="B39" s="157">
        <v>43091.545763888891</v>
      </c>
      <c r="C39">
        <v>-940</v>
      </c>
      <c r="D39" t="s">
        <v>821</v>
      </c>
      <c r="E39">
        <v>180761</v>
      </c>
      <c r="F39" t="s">
        <v>1048</v>
      </c>
    </row>
    <row r="40" spans="1:6" x14ac:dyDescent="0.2">
      <c r="A40" t="s">
        <v>60</v>
      </c>
      <c r="B40" s="157">
        <v>43096.595682870371</v>
      </c>
      <c r="C40">
        <v>505</v>
      </c>
      <c r="D40" t="s">
        <v>822</v>
      </c>
      <c r="E40">
        <v>180762</v>
      </c>
      <c r="F40" t="s">
        <v>1048</v>
      </c>
    </row>
    <row r="41" spans="1:6" x14ac:dyDescent="0.2">
      <c r="A41" t="s">
        <v>60</v>
      </c>
      <c r="B41" s="157">
        <v>43096.595682870371</v>
      </c>
      <c r="C41">
        <v>505</v>
      </c>
      <c r="D41" t="s">
        <v>822</v>
      </c>
      <c r="E41">
        <v>180763</v>
      </c>
      <c r="F41" t="s">
        <v>1048</v>
      </c>
    </row>
    <row r="43" spans="1:6" ht="15" x14ac:dyDescent="0.25">
      <c r="A43" s="156" t="s">
        <v>1049</v>
      </c>
    </row>
    <row r="44" spans="1:6" x14ac:dyDescent="0.2">
      <c r="A44" t="s">
        <v>1050</v>
      </c>
      <c r="B44" t="s">
        <v>522</v>
      </c>
    </row>
    <row r="45" spans="1:6" x14ac:dyDescent="0.2">
      <c r="A45" t="s">
        <v>1051</v>
      </c>
      <c r="B45">
        <v>118</v>
      </c>
    </row>
    <row r="46" spans="1:6" x14ac:dyDescent="0.2">
      <c r="A46" t="s">
        <v>1052</v>
      </c>
      <c r="B46">
        <v>118</v>
      </c>
    </row>
    <row r="47" spans="1:6" x14ac:dyDescent="0.2">
      <c r="A47" t="s">
        <v>1053</v>
      </c>
      <c r="B47">
        <v>0</v>
      </c>
    </row>
    <row r="48" spans="1:6" x14ac:dyDescent="0.2">
      <c r="A48" t="s">
        <v>1054</v>
      </c>
      <c r="B48">
        <v>118</v>
      </c>
      <c r="C48">
        <v>118</v>
      </c>
    </row>
    <row r="49" spans="1:7" x14ac:dyDescent="0.2">
      <c r="A49" t="s">
        <v>1055</v>
      </c>
      <c r="B49">
        <v>0</v>
      </c>
      <c r="C49">
        <v>0</v>
      </c>
    </row>
    <row r="50" spans="1:7" x14ac:dyDescent="0.2">
      <c r="A50" t="s">
        <v>1056</v>
      </c>
      <c r="B50">
        <v>30</v>
      </c>
      <c r="C50">
        <v>30</v>
      </c>
    </row>
    <row r="51" spans="1:7" x14ac:dyDescent="0.2">
      <c r="A51" s="128"/>
      <c r="B51" s="128"/>
      <c r="C51" s="128"/>
      <c r="D51" s="128"/>
      <c r="E51" s="128"/>
      <c r="F51" s="128"/>
      <c r="G51" s="128"/>
    </row>
    <row r="52" spans="1:7" x14ac:dyDescent="0.2">
      <c r="A52" t="s">
        <v>1050</v>
      </c>
      <c r="B52" t="s">
        <v>523</v>
      </c>
    </row>
    <row r="53" spans="1:7" x14ac:dyDescent="0.2">
      <c r="A53" t="s">
        <v>1051</v>
      </c>
      <c r="B53">
        <v>50</v>
      </c>
    </row>
    <row r="54" spans="1:7" x14ac:dyDescent="0.2">
      <c r="A54" t="s">
        <v>1052</v>
      </c>
      <c r="B54">
        <v>50</v>
      </c>
    </row>
    <row r="55" spans="1:7" x14ac:dyDescent="0.2">
      <c r="A55" t="s">
        <v>1053</v>
      </c>
      <c r="B55">
        <v>0</v>
      </c>
    </row>
    <row r="56" spans="1:7" x14ac:dyDescent="0.2">
      <c r="A56" t="s">
        <v>1054</v>
      </c>
      <c r="B56">
        <v>50</v>
      </c>
      <c r="C56">
        <v>50</v>
      </c>
    </row>
    <row r="57" spans="1:7" x14ac:dyDescent="0.2">
      <c r="A57" t="s">
        <v>1055</v>
      </c>
      <c r="B57">
        <v>2</v>
      </c>
      <c r="C57">
        <v>2</v>
      </c>
    </row>
    <row r="58" spans="1:7" x14ac:dyDescent="0.2">
      <c r="A58" t="s">
        <v>1056</v>
      </c>
      <c r="B58">
        <v>16</v>
      </c>
      <c r="C58">
        <v>16</v>
      </c>
    </row>
    <row r="59" spans="1:7" x14ac:dyDescent="0.2">
      <c r="A59" s="128"/>
      <c r="B59" s="128"/>
      <c r="C59" s="128"/>
      <c r="D59" s="128"/>
      <c r="E59" s="128"/>
      <c r="F59" s="128"/>
      <c r="G59" s="128"/>
    </row>
    <row r="60" spans="1:7" x14ac:dyDescent="0.2">
      <c r="A60" s="128"/>
      <c r="B60" s="128"/>
      <c r="C60" s="128"/>
      <c r="D60" s="128"/>
      <c r="E60" s="128"/>
      <c r="F60" s="128"/>
      <c r="G60" s="128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53"/>
  <sheetViews>
    <sheetView zoomScale="85" zoomScaleNormal="85" workbookViewId="0">
      <selection activeCell="B33" sqref="B33:C33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19461</v>
      </c>
      <c r="E5" s="52">
        <v>14589.93</v>
      </c>
      <c r="H5" s="52">
        <v>4871.07</v>
      </c>
    </row>
    <row r="6" spans="1:9" x14ac:dyDescent="0.2">
      <c r="A6" t="s">
        <v>214</v>
      </c>
      <c r="C6" s="55">
        <v>-8667.1400000000031</v>
      </c>
      <c r="F6" s="55">
        <v>-4908.6499999999996</v>
      </c>
      <c r="I6" s="55">
        <v>-3758.49</v>
      </c>
    </row>
    <row r="7" spans="1:9" x14ac:dyDescent="0.2">
      <c r="A7" t="s">
        <v>213</v>
      </c>
      <c r="C7" s="55">
        <v>-1190.3900000000003</v>
      </c>
      <c r="F7" s="55">
        <v>-898.12000000000023</v>
      </c>
      <c r="I7" s="55">
        <v>-292.27000000000004</v>
      </c>
    </row>
    <row r="8" spans="1:9" x14ac:dyDescent="0.2">
      <c r="A8" t="s">
        <v>212</v>
      </c>
      <c r="C8" s="55">
        <v>-238.09999999999997</v>
      </c>
      <c r="F8" s="55">
        <v>-179.64999999999998</v>
      </c>
      <c r="I8" s="55">
        <v>-58.45</v>
      </c>
    </row>
    <row r="9" spans="1:9" x14ac:dyDescent="0.2">
      <c r="A9" t="s">
        <v>211</v>
      </c>
      <c r="C9" s="55">
        <v>-2522.98</v>
      </c>
      <c r="F9" s="55">
        <v>-1587.98</v>
      </c>
      <c r="I9" s="55">
        <v>-935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6842.3899999999976</v>
      </c>
      <c r="D12" s="53"/>
      <c r="E12" s="141">
        <v>7015.5300000000007</v>
      </c>
      <c r="H12" s="141">
        <v>-173.14000000000033</v>
      </c>
    </row>
    <row r="13" spans="1:9" ht="15.75" thickTop="1" x14ac:dyDescent="0.25">
      <c r="A13" s="103"/>
      <c r="B13" s="103"/>
      <c r="C13" s="157"/>
      <c r="F13" s="157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v>7015.5300000000007</v>
      </c>
      <c r="C15" s="100">
        <v>-173.14000000000033</v>
      </c>
      <c r="D15" s="108"/>
      <c r="E15" s="109">
        <v>1.0253040238863906</v>
      </c>
      <c r="F15" s="110">
        <v>-2.5304023886390619E-2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v>-4801.0399999999991</v>
      </c>
      <c r="C17" s="100">
        <v>-3758.4899999999993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v>13083.2</v>
      </c>
      <c r="C18" s="100">
        <v>4773.66</v>
      </c>
      <c r="D18" s="115"/>
      <c r="E18" s="116"/>
      <c r="F18" s="117"/>
      <c r="H18" t="s">
        <v>520</v>
      </c>
    </row>
    <row r="19" spans="1:17" x14ac:dyDescent="0.2">
      <c r="A19" s="99"/>
      <c r="B19" s="101">
        <v>8282.1600000000017</v>
      </c>
      <c r="C19" s="101">
        <v>1015.1700000000005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5"/>
      <c r="E21" s="116"/>
      <c r="F21" s="117"/>
      <c r="H21" t="s">
        <v>526</v>
      </c>
    </row>
    <row r="22" spans="1:17" x14ac:dyDescent="0.2">
      <c r="A22" s="157" t="s">
        <v>527</v>
      </c>
      <c r="B22" s="100">
        <v>-50</v>
      </c>
      <c r="C22" s="100">
        <v>-50</v>
      </c>
      <c r="D22" s="115"/>
      <c r="E22" s="116"/>
      <c r="F22" s="117"/>
      <c r="H22" s="157" t="s">
        <v>528</v>
      </c>
    </row>
    <row r="23" spans="1:17" x14ac:dyDescent="0.2">
      <c r="A23" s="157"/>
      <c r="B23" s="100"/>
      <c r="C23" s="100"/>
      <c r="D23" s="115"/>
      <c r="E23" s="116"/>
      <c r="F23" s="117"/>
      <c r="H23" s="157"/>
    </row>
    <row r="24" spans="1:17" x14ac:dyDescent="0.2">
      <c r="A24" s="157" t="s">
        <v>533</v>
      </c>
      <c r="B24" s="100">
        <v>-59.58</v>
      </c>
      <c r="C24" s="100">
        <v>-162.04</v>
      </c>
      <c r="D24" s="115"/>
      <c r="E24" s="116">
        <v>0</v>
      </c>
      <c r="F24" s="117">
        <v>0</v>
      </c>
      <c r="H24" s="157" t="s">
        <v>534</v>
      </c>
    </row>
    <row r="25" spans="1:17" x14ac:dyDescent="0.2">
      <c r="A25" s="157" t="s">
        <v>540</v>
      </c>
      <c r="B25" s="100">
        <v>0</v>
      </c>
      <c r="C25" s="100">
        <v>-33</v>
      </c>
      <c r="D25" s="115"/>
      <c r="E25" s="116">
        <v>0</v>
      </c>
      <c r="F25" s="117">
        <v>0</v>
      </c>
      <c r="H25" s="157" t="s">
        <v>541</v>
      </c>
    </row>
    <row r="26" spans="1:17" x14ac:dyDescent="0.2">
      <c r="A26" s="157" t="s">
        <v>542</v>
      </c>
      <c r="B26" s="100">
        <v>-102</v>
      </c>
      <c r="C26" s="100">
        <v>0</v>
      </c>
      <c r="D26" s="115"/>
      <c r="E26" s="116">
        <v>0</v>
      </c>
      <c r="F26" s="117">
        <v>0</v>
      </c>
      <c r="H26" s="157" t="s">
        <v>543</v>
      </c>
    </row>
    <row r="27" spans="1:17" x14ac:dyDescent="0.2">
      <c r="A27" s="157"/>
      <c r="B27" s="100"/>
      <c r="C27" s="100"/>
      <c r="D27" s="115"/>
      <c r="E27" s="116"/>
      <c r="F27" s="117"/>
      <c r="H27" s="157"/>
    </row>
    <row r="28" spans="1:17" x14ac:dyDescent="0.2">
      <c r="A28" s="134" t="s">
        <v>557</v>
      </c>
      <c r="B28" s="100"/>
      <c r="C28" s="100"/>
      <c r="D28" s="115"/>
      <c r="E28" s="116"/>
      <c r="F28" s="117"/>
      <c r="H28" s="157"/>
    </row>
    <row r="29" spans="1:17" x14ac:dyDescent="0.2">
      <c r="A29" t="s">
        <v>529</v>
      </c>
      <c r="B29" s="142">
        <v>0</v>
      </c>
      <c r="C29" s="101">
        <v>-200</v>
      </c>
      <c r="D29" s="143">
        <v>-200</v>
      </c>
      <c r="E29" s="144">
        <v>-205.06080477727812</v>
      </c>
      <c r="F29" s="145">
        <v>5.0608047772781237</v>
      </c>
      <c r="H29" t="s">
        <v>530</v>
      </c>
      <c r="J29" s="56"/>
      <c r="Q29" s="56"/>
    </row>
    <row r="30" spans="1:17" x14ac:dyDescent="0.2">
      <c r="A30" s="157" t="s">
        <v>531</v>
      </c>
      <c r="B30" s="146">
        <v>0</v>
      </c>
      <c r="C30" s="132">
        <v>0</v>
      </c>
      <c r="D30" s="115">
        <v>0</v>
      </c>
      <c r="E30" s="116">
        <v>0</v>
      </c>
      <c r="F30" s="117">
        <v>0</v>
      </c>
      <c r="H30" s="157" t="s">
        <v>532</v>
      </c>
      <c r="Q30" s="56"/>
    </row>
    <row r="31" spans="1:17" x14ac:dyDescent="0.2">
      <c r="A31" s="157" t="s">
        <v>535</v>
      </c>
      <c r="B31" s="146">
        <v>0</v>
      </c>
      <c r="C31" s="132">
        <v>-37.950000000000003</v>
      </c>
      <c r="D31" s="115">
        <v>-37.950000000000003</v>
      </c>
      <c r="E31" s="116">
        <v>-38.910287706488525</v>
      </c>
      <c r="F31" s="117">
        <v>0.96028770648852402</v>
      </c>
      <c r="H31" t="s">
        <v>536</v>
      </c>
    </row>
    <row r="32" spans="1:17" x14ac:dyDescent="0.2">
      <c r="A32" s="157" t="s">
        <v>537</v>
      </c>
      <c r="B32" s="146">
        <v>0</v>
      </c>
      <c r="C32" s="132">
        <v>-53.99</v>
      </c>
      <c r="D32" s="115">
        <v>-53.99</v>
      </c>
      <c r="E32" s="116">
        <v>-55.356164249626232</v>
      </c>
      <c r="F32" s="117">
        <v>1.3661642496262296</v>
      </c>
      <c r="H32" t="s">
        <v>538</v>
      </c>
    </row>
    <row r="33" spans="1:8" ht="15" x14ac:dyDescent="0.25">
      <c r="A33" s="157" t="s">
        <v>539</v>
      </c>
      <c r="B33" s="154">
        <v>-2054.9899999999998</v>
      </c>
      <c r="C33" s="132">
        <v>-2023</v>
      </c>
      <c r="D33" s="115">
        <v>-4077.99</v>
      </c>
      <c r="E33" s="116">
        <v>-4181.1795563684618</v>
      </c>
      <c r="F33" s="117">
        <v>103.18955636846208</v>
      </c>
      <c r="H33" s="56" t="s">
        <v>759</v>
      </c>
    </row>
    <row r="34" spans="1:8" x14ac:dyDescent="0.2">
      <c r="A34" s="157" t="s">
        <v>25</v>
      </c>
      <c r="B34" s="146">
        <v>0</v>
      </c>
      <c r="C34" s="132">
        <v>0</v>
      </c>
      <c r="D34" s="115">
        <v>0</v>
      </c>
      <c r="E34" s="116">
        <v>0</v>
      </c>
      <c r="F34" s="117">
        <v>0</v>
      </c>
      <c r="H34" s="157" t="s">
        <v>544</v>
      </c>
    </row>
    <row r="35" spans="1:8" x14ac:dyDescent="0.2">
      <c r="A35" s="130" t="s">
        <v>758</v>
      </c>
      <c r="B35" s="147">
        <v>0</v>
      </c>
      <c r="C35" s="148">
        <v>0</v>
      </c>
      <c r="D35" s="115">
        <v>0</v>
      </c>
      <c r="E35" s="116">
        <v>0</v>
      </c>
      <c r="F35" s="117">
        <v>0</v>
      </c>
      <c r="H35" s="130"/>
    </row>
    <row r="36" spans="1:8" x14ac:dyDescent="0.2">
      <c r="B36" s="118">
        <v>-2054.9899999999998</v>
      </c>
      <c r="C36" s="118">
        <v>-2314.94</v>
      </c>
      <c r="D36" s="119">
        <v>-4369.9299999999994</v>
      </c>
      <c r="E36" s="120">
        <v>-4480.5068131018543</v>
      </c>
      <c r="F36" s="118">
        <v>110.57681310185495</v>
      </c>
    </row>
    <row r="37" spans="1:8" x14ac:dyDescent="0.2">
      <c r="B37" s="132"/>
      <c r="C37" s="132"/>
      <c r="D37" s="132"/>
      <c r="E37" s="116"/>
      <c r="F37" s="132"/>
    </row>
    <row r="38" spans="1:8" x14ac:dyDescent="0.2">
      <c r="A38" s="133" t="s">
        <v>555</v>
      </c>
      <c r="E38" s="100">
        <v>-2054.9899999999998</v>
      </c>
      <c r="F38" s="100">
        <v>-2314.94</v>
      </c>
    </row>
    <row r="39" spans="1:8" x14ac:dyDescent="0.2">
      <c r="A39" s="130" t="s">
        <v>556</v>
      </c>
      <c r="E39" s="122">
        <v>-2609.16</v>
      </c>
      <c r="F39" s="100">
        <v>2609.16</v>
      </c>
      <c r="H39" t="s">
        <v>545</v>
      </c>
    </row>
    <row r="40" spans="1:8" x14ac:dyDescent="0.2">
      <c r="E40" s="121"/>
      <c r="F40" s="100"/>
    </row>
    <row r="41" spans="1:8" x14ac:dyDescent="0.2">
      <c r="A41" t="s">
        <v>546</v>
      </c>
      <c r="E41" s="120">
        <v>183.64318689814536</v>
      </c>
      <c r="F41" s="120">
        <v>-183.6431868981449</v>
      </c>
    </row>
    <row r="42" spans="1:8" x14ac:dyDescent="0.2">
      <c r="A42" s="135" t="s">
        <v>558</v>
      </c>
    </row>
    <row r="43" spans="1:8" x14ac:dyDescent="0.2">
      <c r="A43" s="135"/>
      <c r="E43" s="100"/>
    </row>
    <row r="44" spans="1:8" x14ac:dyDescent="0.2">
      <c r="A44" s="130"/>
      <c r="E44" s="100"/>
    </row>
    <row r="45" spans="1:8" x14ac:dyDescent="0.2">
      <c r="A45" s="56" t="s">
        <v>1057</v>
      </c>
      <c r="E45" s="100">
        <v>1000</v>
      </c>
    </row>
    <row r="46" spans="1:8" x14ac:dyDescent="0.2">
      <c r="A46" s="135"/>
    </row>
    <row r="47" spans="1:8" x14ac:dyDescent="0.2">
      <c r="A47" s="135"/>
      <c r="E47" s="118">
        <v>1183.6431868981454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53"/>
  <sheetViews>
    <sheetView zoomScale="85" zoomScaleNormal="85" workbookViewId="0">
      <selection activeCell="E15" sqref="E15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19461</v>
      </c>
      <c r="E5" s="52">
        <f>SUMIF('Rent Statement'!S9:S63,"=Mathew Tucker", 'Rent Statement'!F9:F63)</f>
        <v>14589.93</v>
      </c>
      <c r="H5" s="52">
        <f>SUMIF('Rent Statement'!S9:S63,"Ivana Valentino", 'Rent Statement'!F9:F63)</f>
        <v>4871.07</v>
      </c>
    </row>
    <row r="6" spans="1:9" x14ac:dyDescent="0.2">
      <c r="A6" t="s">
        <v>214</v>
      </c>
      <c r="C6" s="55">
        <f>-SUM('Rent Statement'!O9:O63)</f>
        <v>-8667.1400000000031</v>
      </c>
      <c r="F6" s="55">
        <f>-SUMIF('Rent Statement'!S9:S63,"Mathew Tucker",'Rent Statement'!O9:O63)</f>
        <v>-4908.6499999999996</v>
      </c>
      <c r="I6" s="55">
        <f>-SUMIF('Rent Statement'!S9:S63,"Ivana Valentino",'Rent Statement'!O9:O63)</f>
        <v>-3758.49</v>
      </c>
    </row>
    <row r="7" spans="1:9" x14ac:dyDescent="0.2">
      <c r="A7" t="s">
        <v>213</v>
      </c>
      <c r="C7" s="55">
        <f>-SUM('Rent Statement'!G9:G63)</f>
        <v>-1190.3900000000003</v>
      </c>
      <c r="F7" s="55">
        <f>-SUMIF('Rent Statement'!S9:S63,"Mathew Tucker",'Rent Statement'!G9:G63)</f>
        <v>-898.12000000000023</v>
      </c>
      <c r="I7" s="55">
        <f>-SUMIF('Rent Statement'!S9:S63,"Ivana Valentino",'Rent Statement'!G9:G63)</f>
        <v>-292.27000000000004</v>
      </c>
    </row>
    <row r="8" spans="1:9" x14ac:dyDescent="0.2">
      <c r="A8" t="s">
        <v>212</v>
      </c>
      <c r="C8" s="55">
        <f>-SUM('Rent Statement'!H9:H63)</f>
        <v>-238.09999999999997</v>
      </c>
      <c r="F8" s="55">
        <f>-SUMIF('Rent Statement'!S9:S63,"Mathew Tucker",'Rent Statement'!H9:H63)</f>
        <v>-179.64999999999998</v>
      </c>
      <c r="I8" s="55">
        <f>-SUMIF('Rent Statement'!S9:S63,"Ivana Valentino",'Rent Statement'!H9:H63)</f>
        <v>-58.45</v>
      </c>
    </row>
    <row r="9" spans="1:9" x14ac:dyDescent="0.2">
      <c r="A9" t="s">
        <v>211</v>
      </c>
      <c r="C9" s="55">
        <f>-SUM('Rent Statement'!I9:I63)-SUM('Rent Statement'!L9:L63)</f>
        <v>-2522.98</v>
      </c>
      <c r="F9" s="55">
        <f>-SUMIF('Rent Statement'!S9:S63,"Mathew Tucker",'Rent Statement'!I9:I63)-SUMIF('Rent Statement'!S9:S63,"Mathew Tucker",'Rent Statement'!L9:L63)</f>
        <v>-1587.98</v>
      </c>
      <c r="I9" s="55">
        <f>-SUMIF('Rent Statement'!S9:S63,"Ivana Valentino",'Rent Statement'!I9:I63)-SUMIF('Rent Statement'!S9:S63,"Ivana Valentino",'Rent Statement'!L9:L63)</f>
        <v>-935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6842.3899999999976</v>
      </c>
      <c r="D12" s="53"/>
      <c r="E12" s="141">
        <f>E5+SUM(F6:F10)</f>
        <v>7015.5300000000007</v>
      </c>
      <c r="H12" s="141">
        <f>H5+SUM(I6:I10)</f>
        <v>-173.14000000000033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f>E12</f>
        <v>7015.5300000000007</v>
      </c>
      <c r="C15" s="100">
        <f>H12</f>
        <v>-173.14000000000033</v>
      </c>
      <c r="D15" s="108"/>
      <c r="E15" s="109">
        <f>IFERROR(B15/($B$15+$C$15),"")</f>
        <v>1.0253040238863906</v>
      </c>
      <c r="F15" s="110">
        <f>IFERROR(C15/($B$15+$C$15),"")</f>
        <v>-2.5304023886390619E-2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f>EVAL("SUM(SUMIFS(MT_Amount, MT_BankRef," &amp;$H17&amp; "))")</f>
        <v>-4926.75</v>
      </c>
      <c r="C17" s="100">
        <f>EVAL("SUM(SUMIFS(IV_Amount, IV_BankRef," &amp;$H17&amp; "))")</f>
        <v>-3820.0099999999993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f>EVAL("SUM(SUMIFS(MT_Amount, MT_BankRef," &amp;$H18&amp; "))")</f>
        <v>10831.070000000005</v>
      </c>
      <c r="C18" s="100">
        <f>EVAL("SUM(SUMIFS(IV_Amount, IV_BankRef," &amp;$H18&amp; "))")</f>
        <v>5867.6900000000005</v>
      </c>
      <c r="D18" s="115"/>
      <c r="E18" s="116"/>
      <c r="F18" s="117"/>
      <c r="H18" t="s">
        <v>520</v>
      </c>
    </row>
    <row r="19" spans="1:17" x14ac:dyDescent="0.2">
      <c r="A19" s="99"/>
      <c r="B19" s="101">
        <f>SUM(B17:B18)</f>
        <v>5904.3200000000052</v>
      </c>
      <c r="C19" s="101">
        <f>SUM(C17:C18)</f>
        <v>2047.6800000000012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f>EVAL("SUM(SUMIFS(MT_Amount, MT_BankRef," &amp;$H21&amp; "))")</f>
        <v>-550</v>
      </c>
      <c r="C21" s="100">
        <f>EVAL("SUM(SUMIFS(IV_Amount, IV_BankRef," &amp;$H21&amp; "))")</f>
        <v>-550</v>
      </c>
      <c r="D21" s="115"/>
      <c r="E21" s="116"/>
      <c r="F21" s="117"/>
      <c r="H21" t="s">
        <v>526</v>
      </c>
    </row>
    <row r="22" spans="1:17" x14ac:dyDescent="0.2">
      <c r="A22" s="129" t="s">
        <v>527</v>
      </c>
      <c r="B22" s="100">
        <f>EVAL("SUM(SUMIFS(MT_Amount, MT_BankRef," &amp;$H22&amp; "))")</f>
        <v>-50</v>
      </c>
      <c r="C22" s="100">
        <f>EVAL("SUM(SUMIFS(IV_Amount, IV_BankRef," &amp;$H22&amp; "))")</f>
        <v>-50</v>
      </c>
      <c r="D22" s="115"/>
      <c r="E22" s="116"/>
      <c r="F22" s="117"/>
      <c r="H22" s="129" t="s">
        <v>528</v>
      </c>
    </row>
    <row r="23" spans="1:17" x14ac:dyDescent="0.2">
      <c r="A23" s="129"/>
      <c r="B23" s="100"/>
      <c r="C23" s="100"/>
      <c r="D23" s="115"/>
      <c r="E23" s="116"/>
      <c r="F23" s="117"/>
      <c r="H23" s="129"/>
    </row>
    <row r="24" spans="1:17" x14ac:dyDescent="0.2">
      <c r="A24" s="129" t="s">
        <v>533</v>
      </c>
      <c r="B24" s="100">
        <f>EVAL("SUM(SUMIFS(MT_Amount, MT_BankRef," &amp;$H24&amp; "))")</f>
        <v>0</v>
      </c>
      <c r="C24" s="100">
        <f>EVAL("SUM(SUMIFS(IV_Amount, IV_BankRef," &amp;$H24&amp; "))")</f>
        <v>1.51</v>
      </c>
      <c r="D24" s="115"/>
      <c r="E24" s="116">
        <f t="shared" ref="E24:F26" si="0">IFERROR(($D24)*E$15,"")</f>
        <v>0</v>
      </c>
      <c r="F24" s="117">
        <f t="shared" si="0"/>
        <v>0</v>
      </c>
      <c r="H24" s="129" t="s">
        <v>534</v>
      </c>
    </row>
    <row r="25" spans="1:17" x14ac:dyDescent="0.2">
      <c r="A25" s="129" t="s">
        <v>540</v>
      </c>
      <c r="B25" s="100">
        <f>EVAL("SUM(SUMIFS(MT_Amount, MT_BankRef," &amp;$H25&amp; "))")</f>
        <v>0</v>
      </c>
      <c r="C25" s="100">
        <f>EVAL("SUM(SUMIFS(IV_Amount, IV_BankRef," &amp;$H25&amp; "))")</f>
        <v>-33</v>
      </c>
      <c r="D25" s="115"/>
      <c r="E25" s="116">
        <f t="shared" si="0"/>
        <v>0</v>
      </c>
      <c r="F25" s="117">
        <f t="shared" si="0"/>
        <v>0</v>
      </c>
      <c r="H25" s="129" t="s">
        <v>541</v>
      </c>
    </row>
    <row r="26" spans="1:17" x14ac:dyDescent="0.2">
      <c r="A26" s="129" t="s">
        <v>542</v>
      </c>
      <c r="B26" s="100">
        <f>EVAL("SUM(SUMIFS(MT_Amount, MT_BankRef," &amp;$H26&amp; "))")</f>
        <v>-102</v>
      </c>
      <c r="C26" s="100">
        <f>EVAL("SUM(SUMIFS(IV_Amount, IV_BankRef," &amp;$H26&amp; "))")</f>
        <v>0</v>
      </c>
      <c r="D26" s="115"/>
      <c r="E26" s="116">
        <f t="shared" si="0"/>
        <v>0</v>
      </c>
      <c r="F26" s="117">
        <f t="shared" si="0"/>
        <v>0</v>
      </c>
      <c r="H26" s="129" t="s">
        <v>543</v>
      </c>
    </row>
    <row r="27" spans="1:17" x14ac:dyDescent="0.2">
      <c r="A27" s="129"/>
      <c r="B27" s="100"/>
      <c r="C27" s="100"/>
      <c r="D27" s="115"/>
      <c r="E27" s="116"/>
      <c r="F27" s="117"/>
      <c r="H27" s="129"/>
    </row>
    <row r="28" spans="1:17" x14ac:dyDescent="0.2">
      <c r="A28" s="134" t="s">
        <v>557</v>
      </c>
      <c r="B28" s="100"/>
      <c r="C28" s="100"/>
      <c r="D28" s="115"/>
      <c r="E28" s="116"/>
      <c r="F28" s="117"/>
      <c r="H28" s="129"/>
    </row>
    <row r="29" spans="1:17" x14ac:dyDescent="0.2">
      <c r="A29" t="s">
        <v>529</v>
      </c>
      <c r="B29" s="142">
        <f>EVAL("SUM(SUMIFS(MT_Amount, MT_BankRef," &amp;$H29&amp; "))")</f>
        <v>0</v>
      </c>
      <c r="C29" s="101">
        <f>EVAL("SUM(SUMIFS(IV_Amount, IV_BankRef," &amp;$H29&amp; "))")</f>
        <v>-200</v>
      </c>
      <c r="D29" s="143">
        <f t="shared" ref="D29:D35" si="1">B29+C29</f>
        <v>-200</v>
      </c>
      <c r="E29" s="144">
        <f>IFERROR(($D29)*E$15,"")</f>
        <v>-205.06080477727812</v>
      </c>
      <c r="F29" s="145">
        <f>IFERROR(($D29)*F$15,"")</f>
        <v>5.0608047772781237</v>
      </c>
      <c r="H29" t="s">
        <v>530</v>
      </c>
      <c r="J29" s="56"/>
      <c r="Q29" s="56"/>
    </row>
    <row r="30" spans="1:17" x14ac:dyDescent="0.2">
      <c r="A30" s="129" t="s">
        <v>531</v>
      </c>
      <c r="B30" s="146">
        <f>EVAL("SUM(SUMIFS(MT_Amount, MT_BankRef," &amp;$H30&amp; "))")</f>
        <v>0</v>
      </c>
      <c r="C30" s="132">
        <f>EVAL("SUM(SUMIFS(IV_Amount, IV_BankRef," &amp;$H30&amp; "))")</f>
        <v>-3783.89</v>
      </c>
      <c r="D30" s="115">
        <f t="shared" si="1"/>
        <v>-3783.89</v>
      </c>
      <c r="E30" s="116">
        <f t="shared" ref="E30:F35" si="2">IFERROR(($D30)*E$15,"")</f>
        <v>-3879.6376429434745</v>
      </c>
      <c r="F30" s="117">
        <f t="shared" si="2"/>
        <v>95.747642943474602</v>
      </c>
      <c r="H30" s="129" t="s">
        <v>532</v>
      </c>
      <c r="Q30" s="56"/>
    </row>
    <row r="31" spans="1:17" x14ac:dyDescent="0.2">
      <c r="A31" s="129" t="s">
        <v>535</v>
      </c>
      <c r="B31" s="146">
        <f>EVAL("SUM(SUMIFS(MT_Amount, MT_BankRef," &amp;$H31&amp; "))")</f>
        <v>0</v>
      </c>
      <c r="C31" s="132">
        <f>EVAL("SUM(SUMIFS(IV_Amount, IV_BankRef," &amp;$H31&amp; "))")</f>
        <v>-37.950000000000003</v>
      </c>
      <c r="D31" s="115">
        <f t="shared" si="1"/>
        <v>-37.950000000000003</v>
      </c>
      <c r="E31" s="116">
        <f t="shared" si="2"/>
        <v>-38.910287706488525</v>
      </c>
      <c r="F31" s="117">
        <f t="shared" si="2"/>
        <v>0.96028770648852402</v>
      </c>
      <c r="H31" t="s">
        <v>536</v>
      </c>
    </row>
    <row r="32" spans="1:17" x14ac:dyDescent="0.2">
      <c r="A32" s="129" t="s">
        <v>537</v>
      </c>
      <c r="B32" s="146">
        <f>EVAL("SUM(SUMIFS(MT_Amount, MT_BankRef," &amp;$H32&amp; "))")</f>
        <v>0</v>
      </c>
      <c r="C32" s="132">
        <f>EVAL("SUM(SUMIFS(IV_Amount, IV_BankRef," &amp;$H32&amp; "))")</f>
        <v>-58.91</v>
      </c>
      <c r="D32" s="115">
        <f t="shared" si="1"/>
        <v>-58.91</v>
      </c>
      <c r="E32" s="116">
        <f t="shared" si="2"/>
        <v>-60.400660047147269</v>
      </c>
      <c r="F32" s="117">
        <f t="shared" si="2"/>
        <v>1.4906600471472713</v>
      </c>
      <c r="H32" t="s">
        <v>538</v>
      </c>
    </row>
    <row r="33" spans="1:8" ht="15" x14ac:dyDescent="0.25">
      <c r="A33" s="129" t="s">
        <v>539</v>
      </c>
      <c r="B33" s="154">
        <f>SUMIFS(MT_Amount, MT_Include,"I")</f>
        <v>-2054.9899999999998</v>
      </c>
      <c r="C33" s="132">
        <f>EVAL("SUM(SUMIFS(IV_Amount, IV_BankRef," &amp;$H33&amp; "))")-SUMIFS(IV_Amount_4040, IV_BankRef_4040,"=X")</f>
        <v>-1583</v>
      </c>
      <c r="D33" s="115">
        <f t="shared" si="1"/>
        <v>-3637.99</v>
      </c>
      <c r="E33" s="116">
        <f t="shared" si="2"/>
        <v>-3730.04578585845</v>
      </c>
      <c r="F33" s="117">
        <f t="shared" si="2"/>
        <v>92.055785858450207</v>
      </c>
      <c r="H33" s="56" t="s">
        <v>759</v>
      </c>
    </row>
    <row r="34" spans="1:8" x14ac:dyDescent="0.2">
      <c r="A34" s="129" t="s">
        <v>25</v>
      </c>
      <c r="B34" s="146">
        <f>EVAL("SUM(SUMIFS(MT_Amount, MT_BankRef," &amp;$H34&amp; "))")</f>
        <v>0</v>
      </c>
      <c r="C34" s="132">
        <f>EVAL("SUM(SUMIFS(IV_Amount, IV_BankRef," &amp;$H34&amp; "))")</f>
        <v>0</v>
      </c>
      <c r="D34" s="115">
        <f t="shared" si="1"/>
        <v>0</v>
      </c>
      <c r="E34" s="116">
        <f t="shared" si="2"/>
        <v>0</v>
      </c>
      <c r="F34" s="117">
        <f t="shared" si="2"/>
        <v>0</v>
      </c>
      <c r="H34" s="129" t="s">
        <v>544</v>
      </c>
    </row>
    <row r="35" spans="1:8" x14ac:dyDescent="0.2">
      <c r="A35" s="130" t="s">
        <v>758</v>
      </c>
      <c r="B35" s="147">
        <v>0</v>
      </c>
      <c r="C35" s="148">
        <v>0</v>
      </c>
      <c r="D35" s="115">
        <f t="shared" si="1"/>
        <v>0</v>
      </c>
      <c r="E35" s="116">
        <f t="shared" si="2"/>
        <v>0</v>
      </c>
      <c r="F35" s="117">
        <f t="shared" si="2"/>
        <v>0</v>
      </c>
      <c r="H35" s="130"/>
    </row>
    <row r="36" spans="1:8" x14ac:dyDescent="0.2">
      <c r="B36" s="118">
        <f>SUBTOTAL(9,B29:B35)</f>
        <v>-2054.9899999999998</v>
      </c>
      <c r="C36" s="118">
        <f>SUBTOTAL(9,C29:C35)</f>
        <v>-5663.75</v>
      </c>
      <c r="D36" s="119">
        <f>SUBTOTAL(9,D20:D35)</f>
        <v>-7718.74</v>
      </c>
      <c r="E36" s="120">
        <f>SUBTOTAL(9,E29:E35)</f>
        <v>-7914.0551813328384</v>
      </c>
      <c r="F36" s="118">
        <f>SUBTOTAL(9,F29:F35)</f>
        <v>195.31518133283873</v>
      </c>
    </row>
    <row r="37" spans="1:8" x14ac:dyDescent="0.2">
      <c r="B37" s="132"/>
      <c r="C37" s="132"/>
      <c r="D37" s="132"/>
      <c r="E37" s="116"/>
      <c r="F37" s="132"/>
    </row>
    <row r="38" spans="1:8" x14ac:dyDescent="0.2">
      <c r="A38" s="133" t="s">
        <v>555</v>
      </c>
      <c r="E38" s="100">
        <f>SUM(B29:B35)</f>
        <v>-2054.9899999999998</v>
      </c>
      <c r="F38" s="100">
        <f>SUM(C29:C35)</f>
        <v>-5663.75</v>
      </c>
    </row>
    <row r="39" spans="1:8" x14ac:dyDescent="0.2">
      <c r="A39" s="130" t="s">
        <v>556</v>
      </c>
      <c r="E39" s="122">
        <f>EVAL("SUM(SUMIFS(MT_Amount, MT_BankRef," &amp;$H39&amp; "))")</f>
        <v>-2609.16</v>
      </c>
      <c r="F39" s="100">
        <f>-E39</f>
        <v>2609.16</v>
      </c>
      <c r="H39" t="s">
        <v>545</v>
      </c>
    </row>
    <row r="40" spans="1:8" x14ac:dyDescent="0.2">
      <c r="E40" s="121"/>
      <c r="F40" s="100"/>
    </row>
    <row r="41" spans="1:8" x14ac:dyDescent="0.2">
      <c r="A41" t="s">
        <v>546</v>
      </c>
      <c r="E41" s="120">
        <f>E36-E38-E39</f>
        <v>-3249.9051813328388</v>
      </c>
      <c r="F41" s="120">
        <f>F36-F38-F39</f>
        <v>3249.9051813328388</v>
      </c>
    </row>
    <row r="42" spans="1:8" x14ac:dyDescent="0.2">
      <c r="A42" s="135" t="s">
        <v>558</v>
      </c>
    </row>
    <row r="43" spans="1:8" x14ac:dyDescent="0.2">
      <c r="A43" s="135"/>
      <c r="E43" s="100"/>
    </row>
    <row r="44" spans="1:8" x14ac:dyDescent="0.2">
      <c r="A44" s="130"/>
      <c r="E44" s="100"/>
    </row>
    <row r="45" spans="1:8" x14ac:dyDescent="0.2">
      <c r="A45" s="56" t="s">
        <v>1057</v>
      </c>
      <c r="E45" s="100">
        <v>1000</v>
      </c>
    </row>
    <row r="46" spans="1:8" x14ac:dyDescent="0.2">
      <c r="A46" s="135"/>
    </row>
    <row r="47" spans="1:8" x14ac:dyDescent="0.2">
      <c r="A47" s="135"/>
      <c r="E47" s="118">
        <f>E41+E44+E45</f>
        <v>-2249.9051813328388</v>
      </c>
    </row>
    <row r="49" spans="1:5" x14ac:dyDescent="0.2">
      <c r="A49" s="50" t="s">
        <v>547</v>
      </c>
      <c r="D49" s="56"/>
    </row>
    <row r="50" spans="1:5" x14ac:dyDescent="0.2">
      <c r="A50" s="56"/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  <ignoredErrors>
    <ignoredError sqref="B9 C5 B6 B7 B8" formulaRange="1"/>
    <ignoredError sqref="B33:C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59"/>
  <sheetViews>
    <sheetView topLeftCell="A15" zoomScale="85" zoomScaleNormal="85" workbookViewId="0">
      <selection activeCell="F64" sqref="F64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2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2" x14ac:dyDescent="0.2">
      <c r="A2" s="128" t="s">
        <v>708</v>
      </c>
      <c r="B2" s="138">
        <v>43070</v>
      </c>
      <c r="C2" s="128" t="s">
        <v>630</v>
      </c>
      <c r="D2" s="128">
        <v>-23.42</v>
      </c>
      <c r="E2" s="128" t="s">
        <v>644</v>
      </c>
      <c r="F2" s="128" t="s">
        <v>824</v>
      </c>
      <c r="G2" s="128"/>
      <c r="H2" s="128"/>
      <c r="I2" t="s">
        <v>984</v>
      </c>
      <c r="J2" s="128"/>
      <c r="K2" s="128"/>
      <c r="L2" s="128"/>
    </row>
    <row r="3" spans="1:12" x14ac:dyDescent="0.2">
      <c r="A3" s="128" t="s">
        <v>708</v>
      </c>
      <c r="B3" s="138">
        <v>43070</v>
      </c>
      <c r="C3" s="128" t="s">
        <v>630</v>
      </c>
      <c r="D3" s="128">
        <v>-2.15</v>
      </c>
      <c r="E3" s="128" t="s">
        <v>644</v>
      </c>
      <c r="F3" s="128" t="s">
        <v>825</v>
      </c>
      <c r="G3" s="128"/>
      <c r="H3" s="128"/>
      <c r="I3" t="s">
        <v>984</v>
      </c>
      <c r="J3" s="128"/>
      <c r="K3" s="128"/>
      <c r="L3" s="128"/>
    </row>
    <row r="4" spans="1:12" x14ac:dyDescent="0.2">
      <c r="A4" s="128" t="s">
        <v>708</v>
      </c>
      <c r="B4" s="138">
        <v>43070</v>
      </c>
      <c r="C4" s="128" t="s">
        <v>630</v>
      </c>
      <c r="D4" s="128">
        <v>-35.99</v>
      </c>
      <c r="E4" s="128" t="s">
        <v>644</v>
      </c>
      <c r="F4" s="128" t="s">
        <v>826</v>
      </c>
      <c r="G4" s="128"/>
      <c r="H4" s="128"/>
      <c r="I4" t="s">
        <v>984</v>
      </c>
      <c r="J4" s="128"/>
      <c r="K4" s="128"/>
      <c r="L4" s="128"/>
    </row>
    <row r="5" spans="1:12" x14ac:dyDescent="0.2">
      <c r="A5" s="128" t="s">
        <v>708</v>
      </c>
      <c r="B5" s="138">
        <v>43070</v>
      </c>
      <c r="C5" s="128" t="s">
        <v>630</v>
      </c>
      <c r="D5" s="128">
        <v>-2609.16</v>
      </c>
      <c r="E5" s="128" t="s">
        <v>631</v>
      </c>
      <c r="F5" s="128" t="s">
        <v>632</v>
      </c>
      <c r="G5" s="128"/>
      <c r="H5" s="128"/>
      <c r="I5" t="s">
        <v>984</v>
      </c>
      <c r="J5" s="128"/>
      <c r="K5" s="128"/>
      <c r="L5" s="128"/>
    </row>
    <row r="6" spans="1:12" x14ac:dyDescent="0.2">
      <c r="A6" s="128" t="s">
        <v>708</v>
      </c>
      <c r="B6" s="138">
        <v>43070</v>
      </c>
      <c r="C6" s="128" t="s">
        <v>630</v>
      </c>
      <c r="D6" s="128">
        <v>-232.5</v>
      </c>
      <c r="E6" s="128" t="s">
        <v>631</v>
      </c>
      <c r="F6" s="128" t="s">
        <v>638</v>
      </c>
      <c r="G6" s="128"/>
      <c r="H6" s="128"/>
      <c r="I6" t="s">
        <v>984</v>
      </c>
      <c r="J6" s="128"/>
      <c r="K6" s="128"/>
      <c r="L6" s="128"/>
    </row>
    <row r="7" spans="1:12" x14ac:dyDescent="0.2">
      <c r="A7" s="128" t="s">
        <v>708</v>
      </c>
      <c r="B7" s="138">
        <v>43070</v>
      </c>
      <c r="C7" s="128" t="s">
        <v>630</v>
      </c>
      <c r="D7" s="128">
        <v>-196.79</v>
      </c>
      <c r="E7" s="128" t="s">
        <v>631</v>
      </c>
      <c r="F7" s="128" t="s">
        <v>633</v>
      </c>
      <c r="G7" s="128"/>
      <c r="H7" s="128"/>
      <c r="I7" t="s">
        <v>984</v>
      </c>
      <c r="J7" s="128"/>
      <c r="K7" s="128"/>
      <c r="L7" s="128"/>
    </row>
    <row r="8" spans="1:12" x14ac:dyDescent="0.2">
      <c r="A8" s="128" t="s">
        <v>708</v>
      </c>
      <c r="B8" s="138">
        <v>43070</v>
      </c>
      <c r="C8" s="128" t="s">
        <v>630</v>
      </c>
      <c r="D8" s="128">
        <v>-160</v>
      </c>
      <c r="E8" s="128" t="s">
        <v>631</v>
      </c>
      <c r="F8" s="128" t="s">
        <v>636</v>
      </c>
      <c r="G8" s="128"/>
      <c r="H8" s="128"/>
      <c r="I8" t="s">
        <v>984</v>
      </c>
      <c r="J8" s="128"/>
      <c r="K8" s="128"/>
      <c r="L8" s="128"/>
    </row>
    <row r="9" spans="1:12" x14ac:dyDescent="0.2">
      <c r="A9" s="128" t="s">
        <v>708</v>
      </c>
      <c r="B9" s="138">
        <v>43070</v>
      </c>
      <c r="C9" s="128" t="s">
        <v>630</v>
      </c>
      <c r="D9" s="128">
        <v>-157.5</v>
      </c>
      <c r="E9" s="128" t="s">
        <v>631</v>
      </c>
      <c r="F9" s="128" t="s">
        <v>637</v>
      </c>
      <c r="G9" s="128"/>
      <c r="H9" s="128"/>
      <c r="I9" t="s">
        <v>984</v>
      </c>
      <c r="J9" s="128"/>
      <c r="K9" s="128"/>
      <c r="L9" s="128"/>
    </row>
    <row r="10" spans="1:12" x14ac:dyDescent="0.2">
      <c r="A10" s="128" t="s">
        <v>708</v>
      </c>
      <c r="B10" s="138">
        <v>43070</v>
      </c>
      <c r="C10" s="128" t="s">
        <v>630</v>
      </c>
      <c r="D10" s="128">
        <v>-50</v>
      </c>
      <c r="E10" s="128" t="s">
        <v>631</v>
      </c>
      <c r="F10" s="128" t="s">
        <v>634</v>
      </c>
      <c r="G10" s="128"/>
      <c r="H10" s="128"/>
      <c r="I10" t="s">
        <v>984</v>
      </c>
      <c r="J10" s="128"/>
      <c r="K10" s="128"/>
      <c r="L10" s="128"/>
    </row>
    <row r="11" spans="1:12" x14ac:dyDescent="0.2">
      <c r="A11" s="128" t="s">
        <v>708</v>
      </c>
      <c r="B11" s="138">
        <v>43070</v>
      </c>
      <c r="C11" s="128" t="s">
        <v>630</v>
      </c>
      <c r="D11" s="128">
        <v>-50</v>
      </c>
      <c r="E11" s="128" t="s">
        <v>631</v>
      </c>
      <c r="F11" s="128" t="s">
        <v>635</v>
      </c>
      <c r="G11" s="128"/>
      <c r="H11" s="128"/>
      <c r="I11" t="s">
        <v>984</v>
      </c>
      <c r="J11" s="128"/>
      <c r="K11" s="128"/>
      <c r="L11" s="128"/>
    </row>
    <row r="12" spans="1:12" x14ac:dyDescent="0.2">
      <c r="A12" s="128" t="s">
        <v>708</v>
      </c>
      <c r="B12" s="138">
        <v>43070</v>
      </c>
      <c r="C12" s="128" t="s">
        <v>630</v>
      </c>
      <c r="D12" s="128">
        <v>-180.37</v>
      </c>
      <c r="E12" s="128" t="s">
        <v>639</v>
      </c>
      <c r="F12" s="128" t="s">
        <v>641</v>
      </c>
      <c r="G12" s="128"/>
      <c r="H12" s="128"/>
      <c r="I12" t="s">
        <v>985</v>
      </c>
      <c r="J12" s="128"/>
      <c r="K12" s="128"/>
      <c r="L12" s="128"/>
    </row>
    <row r="13" spans="1:12" x14ac:dyDescent="0.2">
      <c r="A13" s="128" t="s">
        <v>708</v>
      </c>
      <c r="B13" s="138">
        <v>43070</v>
      </c>
      <c r="C13" s="128" t="s">
        <v>630</v>
      </c>
      <c r="D13" s="128">
        <v>-195.72</v>
      </c>
      <c r="E13" s="128" t="s">
        <v>639</v>
      </c>
      <c r="F13" s="128" t="s">
        <v>640</v>
      </c>
      <c r="G13" s="128"/>
      <c r="H13" s="128"/>
      <c r="I13" t="s">
        <v>985</v>
      </c>
      <c r="J13" s="128"/>
      <c r="K13" s="128"/>
      <c r="L13" s="128"/>
    </row>
    <row r="14" spans="1:12" x14ac:dyDescent="0.2">
      <c r="A14" s="128" t="s">
        <v>708</v>
      </c>
      <c r="B14" s="138">
        <v>43070</v>
      </c>
      <c r="C14" s="128" t="s">
        <v>630</v>
      </c>
      <c r="D14" s="128">
        <v>-59.58</v>
      </c>
      <c r="E14" s="128" t="s">
        <v>639</v>
      </c>
      <c r="F14" s="128" t="s">
        <v>827</v>
      </c>
      <c r="G14" s="128"/>
      <c r="H14" s="128"/>
      <c r="I14" t="s">
        <v>984</v>
      </c>
      <c r="J14" s="128"/>
      <c r="K14" s="128"/>
      <c r="L14" s="128"/>
    </row>
    <row r="15" spans="1:12" x14ac:dyDescent="0.2">
      <c r="A15" s="128" t="s">
        <v>708</v>
      </c>
      <c r="B15" s="138">
        <v>43070</v>
      </c>
      <c r="C15" s="128" t="s">
        <v>630</v>
      </c>
      <c r="D15" s="128">
        <v>-93.49</v>
      </c>
      <c r="E15" s="128" t="s">
        <v>639</v>
      </c>
      <c r="F15" s="128" t="s">
        <v>642</v>
      </c>
      <c r="G15" s="128"/>
      <c r="H15" s="128"/>
      <c r="I15" t="s">
        <v>985</v>
      </c>
      <c r="J15" s="128"/>
      <c r="K15" s="128"/>
      <c r="L15" s="128"/>
    </row>
    <row r="16" spans="1:12" x14ac:dyDescent="0.2">
      <c r="A16" s="128" t="s">
        <v>708</v>
      </c>
      <c r="B16" s="138">
        <v>43070</v>
      </c>
      <c r="C16" s="128" t="s">
        <v>630</v>
      </c>
      <c r="D16" s="128">
        <v>-93.99</v>
      </c>
      <c r="E16" s="128" t="s">
        <v>639</v>
      </c>
      <c r="F16" s="128" t="s">
        <v>643</v>
      </c>
      <c r="G16" s="128"/>
      <c r="H16" s="128"/>
      <c r="I16" t="s">
        <v>985</v>
      </c>
      <c r="J16" s="128"/>
      <c r="K16" s="128"/>
      <c r="L16" s="128"/>
    </row>
    <row r="17" spans="1:12" x14ac:dyDescent="0.2">
      <c r="A17" s="128" t="s">
        <v>708</v>
      </c>
      <c r="B17" s="138">
        <v>43073</v>
      </c>
      <c r="C17" s="128" t="s">
        <v>630</v>
      </c>
      <c r="D17" s="128">
        <v>-12.53</v>
      </c>
      <c r="E17" s="128" t="s">
        <v>644</v>
      </c>
      <c r="F17" s="128" t="s">
        <v>828</v>
      </c>
      <c r="G17" s="128"/>
      <c r="H17" s="136"/>
      <c r="I17" t="s">
        <v>984</v>
      </c>
      <c r="J17" s="136" t="s">
        <v>976</v>
      </c>
      <c r="K17" s="128"/>
      <c r="L17" s="128"/>
    </row>
    <row r="18" spans="1:12" x14ac:dyDescent="0.2">
      <c r="A18" s="128" t="s">
        <v>708</v>
      </c>
      <c r="B18" s="138">
        <v>43073</v>
      </c>
      <c r="C18" s="128" t="s">
        <v>630</v>
      </c>
      <c r="D18" s="128">
        <v>-50</v>
      </c>
      <c r="E18" s="128" t="s">
        <v>645</v>
      </c>
      <c r="F18" s="128" t="s">
        <v>730</v>
      </c>
      <c r="G18" s="128"/>
      <c r="H18" s="136"/>
      <c r="I18" t="s">
        <v>984</v>
      </c>
      <c r="J18" s="136"/>
      <c r="K18" s="128"/>
      <c r="L18" s="128"/>
    </row>
    <row r="19" spans="1:12" x14ac:dyDescent="0.2">
      <c r="A19" s="128" t="s">
        <v>708</v>
      </c>
      <c r="B19" s="138">
        <v>43073</v>
      </c>
      <c r="C19" s="128" t="s">
        <v>630</v>
      </c>
      <c r="D19" s="128">
        <v>-85</v>
      </c>
      <c r="E19" s="128" t="s">
        <v>644</v>
      </c>
      <c r="F19" s="128" t="s">
        <v>829</v>
      </c>
      <c r="G19" s="128"/>
      <c r="H19" s="128"/>
      <c r="I19" t="s">
        <v>984</v>
      </c>
      <c r="J19" s="136" t="s">
        <v>976</v>
      </c>
      <c r="K19" s="128"/>
      <c r="L19" s="128"/>
    </row>
    <row r="20" spans="1:12" x14ac:dyDescent="0.2">
      <c r="A20" s="128" t="s">
        <v>708</v>
      </c>
      <c r="B20" s="138">
        <v>43073</v>
      </c>
      <c r="C20" s="128" t="s">
        <v>630</v>
      </c>
      <c r="D20" s="128">
        <v>-73.94</v>
      </c>
      <c r="E20" s="128" t="s">
        <v>644</v>
      </c>
      <c r="F20" s="128" t="s">
        <v>830</v>
      </c>
      <c r="G20" s="128"/>
      <c r="H20" s="128"/>
      <c r="I20" t="s">
        <v>984</v>
      </c>
      <c r="J20" s="136" t="s">
        <v>976</v>
      </c>
      <c r="K20" s="128"/>
      <c r="L20" s="128"/>
    </row>
    <row r="21" spans="1:12" x14ac:dyDescent="0.2">
      <c r="A21" s="128" t="s">
        <v>708</v>
      </c>
      <c r="B21" s="138">
        <v>43073</v>
      </c>
      <c r="C21" s="128" t="s">
        <v>630</v>
      </c>
      <c r="D21" s="128">
        <v>-73.44</v>
      </c>
      <c r="E21" s="128" t="s">
        <v>644</v>
      </c>
      <c r="F21" s="128" t="s">
        <v>831</v>
      </c>
      <c r="G21" s="128"/>
      <c r="H21" s="128"/>
      <c r="I21" t="s">
        <v>984</v>
      </c>
      <c r="J21" s="136" t="s">
        <v>976</v>
      </c>
      <c r="K21" s="128"/>
      <c r="L21" s="128"/>
    </row>
    <row r="22" spans="1:12" x14ac:dyDescent="0.2">
      <c r="A22" s="128" t="s">
        <v>708</v>
      </c>
      <c r="B22" s="138">
        <v>43073</v>
      </c>
      <c r="C22" s="128" t="s">
        <v>630</v>
      </c>
      <c r="D22" s="128">
        <v>-188.25</v>
      </c>
      <c r="E22" s="128" t="s">
        <v>639</v>
      </c>
      <c r="F22" s="128" t="s">
        <v>832</v>
      </c>
      <c r="G22" s="128"/>
      <c r="H22" s="128"/>
      <c r="I22" t="s">
        <v>985</v>
      </c>
      <c r="J22" s="128"/>
      <c r="K22" s="128"/>
      <c r="L22" s="128"/>
    </row>
    <row r="23" spans="1:12" x14ac:dyDescent="0.2">
      <c r="A23" s="128" t="s">
        <v>708</v>
      </c>
      <c r="B23" s="138">
        <v>43073</v>
      </c>
      <c r="C23" s="128" t="s">
        <v>630</v>
      </c>
      <c r="D23" s="128">
        <v>-212.8</v>
      </c>
      <c r="E23" s="128" t="s">
        <v>639</v>
      </c>
      <c r="F23" s="128" t="s">
        <v>833</v>
      </c>
      <c r="G23" s="128"/>
      <c r="H23" s="128"/>
      <c r="I23" t="s">
        <v>985</v>
      </c>
      <c r="J23" s="128"/>
      <c r="K23" s="128"/>
      <c r="L23" s="128"/>
    </row>
    <row r="24" spans="1:12" x14ac:dyDescent="0.2">
      <c r="A24" s="128" t="s">
        <v>708</v>
      </c>
      <c r="B24" s="138">
        <v>43073</v>
      </c>
      <c r="C24" s="128" t="s">
        <v>630</v>
      </c>
      <c r="D24" s="128">
        <v>-234.89</v>
      </c>
      <c r="E24" s="128" t="s">
        <v>639</v>
      </c>
      <c r="F24" s="128" t="s">
        <v>834</v>
      </c>
      <c r="G24" s="128"/>
      <c r="H24" s="128"/>
      <c r="I24" t="s">
        <v>985</v>
      </c>
      <c r="J24" s="128"/>
      <c r="K24" s="128"/>
      <c r="L24" s="128"/>
    </row>
    <row r="25" spans="1:12" x14ac:dyDescent="0.2">
      <c r="A25" s="128" t="s">
        <v>708</v>
      </c>
      <c r="B25" s="138">
        <v>43073</v>
      </c>
      <c r="C25" s="128" t="s">
        <v>630</v>
      </c>
      <c r="D25" s="128">
        <v>-226.77</v>
      </c>
      <c r="E25" s="128" t="s">
        <v>639</v>
      </c>
      <c r="F25" s="128" t="s">
        <v>835</v>
      </c>
      <c r="G25" s="128"/>
      <c r="H25" s="128"/>
      <c r="I25" t="s">
        <v>985</v>
      </c>
      <c r="J25" s="128"/>
      <c r="K25" s="128"/>
      <c r="L25" s="128"/>
    </row>
    <row r="26" spans="1:12" x14ac:dyDescent="0.2">
      <c r="A26" s="128" t="s">
        <v>708</v>
      </c>
      <c r="B26" s="138">
        <v>43073</v>
      </c>
      <c r="C26" s="128" t="s">
        <v>630</v>
      </c>
      <c r="D26" s="128">
        <v>-186.24</v>
      </c>
      <c r="E26" s="128" t="s">
        <v>639</v>
      </c>
      <c r="F26" s="128" t="s">
        <v>836</v>
      </c>
      <c r="G26" s="128"/>
      <c r="H26" s="128"/>
      <c r="I26" t="s">
        <v>985</v>
      </c>
      <c r="J26" s="128"/>
      <c r="K26" s="128"/>
      <c r="L26" s="128"/>
    </row>
    <row r="27" spans="1:12" x14ac:dyDescent="0.2">
      <c r="A27" s="128" t="s">
        <v>708</v>
      </c>
      <c r="B27" s="138">
        <v>43073</v>
      </c>
      <c r="C27" s="128" t="s">
        <v>630</v>
      </c>
      <c r="D27" s="128">
        <v>-226.6</v>
      </c>
      <c r="E27" s="128" t="s">
        <v>639</v>
      </c>
      <c r="F27" s="128" t="s">
        <v>837</v>
      </c>
      <c r="G27" s="128"/>
      <c r="H27" s="128"/>
      <c r="I27" t="s">
        <v>985</v>
      </c>
      <c r="J27" s="128"/>
      <c r="K27" s="128"/>
      <c r="L27" s="128"/>
    </row>
    <row r="28" spans="1:12" x14ac:dyDescent="0.2">
      <c r="A28" s="128" t="s">
        <v>708</v>
      </c>
      <c r="B28" s="138">
        <v>43073</v>
      </c>
      <c r="C28" s="128" t="s">
        <v>630</v>
      </c>
      <c r="D28" s="128">
        <v>-186.13</v>
      </c>
      <c r="E28" s="128" t="s">
        <v>639</v>
      </c>
      <c r="F28" s="128" t="s">
        <v>838</v>
      </c>
      <c r="G28" s="128"/>
      <c r="H28" s="128"/>
      <c r="I28" t="s">
        <v>985</v>
      </c>
      <c r="J28" s="128"/>
      <c r="K28" s="128"/>
      <c r="L28" s="128"/>
    </row>
    <row r="29" spans="1:12" x14ac:dyDescent="0.2">
      <c r="A29" s="128" t="s">
        <v>708</v>
      </c>
      <c r="B29" s="138">
        <v>43073</v>
      </c>
      <c r="C29" s="128" t="s">
        <v>630</v>
      </c>
      <c r="D29" s="128">
        <v>-143.55000000000001</v>
      </c>
      <c r="E29" s="128" t="s">
        <v>639</v>
      </c>
      <c r="F29" s="128" t="s">
        <v>839</v>
      </c>
      <c r="G29" s="128"/>
      <c r="H29" s="128"/>
      <c r="I29" t="s">
        <v>985</v>
      </c>
      <c r="J29" s="128"/>
      <c r="K29" s="128"/>
      <c r="L29" s="128"/>
    </row>
    <row r="30" spans="1:12" x14ac:dyDescent="0.2">
      <c r="A30" s="128" t="s">
        <v>708</v>
      </c>
      <c r="B30" s="138">
        <v>43073</v>
      </c>
      <c r="C30" s="128" t="s">
        <v>630</v>
      </c>
      <c r="D30" s="128">
        <v>-159.34</v>
      </c>
      <c r="E30" s="128" t="s">
        <v>639</v>
      </c>
      <c r="F30" s="128" t="s">
        <v>840</v>
      </c>
      <c r="G30" s="128"/>
      <c r="H30" s="128"/>
      <c r="I30" t="s">
        <v>985</v>
      </c>
      <c r="J30" s="128"/>
      <c r="K30" s="128"/>
      <c r="L30" s="128"/>
    </row>
    <row r="31" spans="1:12" x14ac:dyDescent="0.2">
      <c r="A31" s="128" t="s">
        <v>708</v>
      </c>
      <c r="B31" s="138">
        <v>43073</v>
      </c>
      <c r="C31" s="128" t="s">
        <v>630</v>
      </c>
      <c r="D31" s="128">
        <v>-159.38</v>
      </c>
      <c r="E31" s="128" t="s">
        <v>639</v>
      </c>
      <c r="F31" s="128" t="s">
        <v>841</v>
      </c>
      <c r="G31" s="128"/>
      <c r="H31" s="128"/>
      <c r="I31" t="s">
        <v>985</v>
      </c>
      <c r="J31" s="128"/>
      <c r="K31" s="128"/>
      <c r="L31" s="128"/>
    </row>
    <row r="32" spans="1:12" x14ac:dyDescent="0.2">
      <c r="A32" s="128" t="s">
        <v>708</v>
      </c>
      <c r="B32" s="138">
        <v>43073</v>
      </c>
      <c r="C32" s="128" t="s">
        <v>630</v>
      </c>
      <c r="D32" s="128">
        <v>-152.33000000000001</v>
      </c>
      <c r="E32" s="128" t="s">
        <v>639</v>
      </c>
      <c r="F32" s="128" t="s">
        <v>842</v>
      </c>
      <c r="G32" s="128"/>
      <c r="H32" s="128"/>
      <c r="I32" t="s">
        <v>985</v>
      </c>
      <c r="J32" s="128"/>
      <c r="K32" s="128"/>
      <c r="L32" s="128"/>
    </row>
    <row r="33" spans="1:12" x14ac:dyDescent="0.2">
      <c r="A33" s="128" t="s">
        <v>708</v>
      </c>
      <c r="B33" s="138">
        <v>43073</v>
      </c>
      <c r="C33" s="128" t="s">
        <v>630</v>
      </c>
      <c r="D33" s="128">
        <v>-145.46</v>
      </c>
      <c r="E33" s="128" t="s">
        <v>639</v>
      </c>
      <c r="F33" s="128" t="s">
        <v>843</v>
      </c>
      <c r="G33" s="128"/>
      <c r="H33" s="136"/>
      <c r="I33" t="s">
        <v>985</v>
      </c>
      <c r="J33" s="128"/>
      <c r="K33" s="128"/>
      <c r="L33" s="128"/>
    </row>
    <row r="34" spans="1:12" x14ac:dyDescent="0.2">
      <c r="A34" s="128" t="s">
        <v>708</v>
      </c>
      <c r="B34" s="138">
        <v>43075</v>
      </c>
      <c r="C34" s="128" t="s">
        <v>630</v>
      </c>
      <c r="D34" s="128">
        <v>417.56</v>
      </c>
      <c r="E34" s="128" t="s">
        <v>646</v>
      </c>
      <c r="F34" s="128" t="s">
        <v>647</v>
      </c>
      <c r="G34" s="128"/>
      <c r="H34" s="136"/>
      <c r="I34" t="s">
        <v>984</v>
      </c>
      <c r="J34" s="136"/>
      <c r="K34" s="128"/>
      <c r="L34" s="128"/>
    </row>
    <row r="35" spans="1:12" x14ac:dyDescent="0.2">
      <c r="A35" s="128" t="s">
        <v>708</v>
      </c>
      <c r="B35" s="138">
        <v>43075</v>
      </c>
      <c r="C35" s="128" t="s">
        <v>630</v>
      </c>
      <c r="D35" s="128">
        <v>185.6</v>
      </c>
      <c r="E35" s="128" t="s">
        <v>646</v>
      </c>
      <c r="F35" s="128" t="s">
        <v>672</v>
      </c>
      <c r="G35" s="128"/>
      <c r="H35" s="136"/>
      <c r="I35" t="s">
        <v>984</v>
      </c>
      <c r="J35" s="136"/>
      <c r="K35" s="128"/>
      <c r="L35" s="128"/>
    </row>
    <row r="36" spans="1:12" x14ac:dyDescent="0.2">
      <c r="A36" s="128" t="s">
        <v>708</v>
      </c>
      <c r="B36" s="138">
        <v>43075</v>
      </c>
      <c r="C36" s="128" t="s">
        <v>630</v>
      </c>
      <c r="D36" s="128">
        <v>-102</v>
      </c>
      <c r="E36" s="128" t="s">
        <v>644</v>
      </c>
      <c r="F36" s="128" t="s">
        <v>844</v>
      </c>
      <c r="G36" s="128"/>
      <c r="H36" s="128"/>
      <c r="I36" t="s">
        <v>984</v>
      </c>
      <c r="J36" s="136" t="s">
        <v>976</v>
      </c>
      <c r="K36" s="128"/>
      <c r="L36" s="128"/>
    </row>
    <row r="37" spans="1:12" x14ac:dyDescent="0.2">
      <c r="A37" s="128" t="s">
        <v>708</v>
      </c>
      <c r="B37" s="138">
        <v>43076</v>
      </c>
      <c r="C37" s="128" t="s">
        <v>630</v>
      </c>
      <c r="D37" s="128">
        <v>-2.65</v>
      </c>
      <c r="E37" s="128" t="s">
        <v>644</v>
      </c>
      <c r="F37" s="136" t="s">
        <v>845</v>
      </c>
      <c r="G37" s="128"/>
      <c r="H37" s="136"/>
      <c r="I37" t="s">
        <v>984</v>
      </c>
      <c r="J37" s="136"/>
      <c r="K37" s="128"/>
      <c r="L37" s="128"/>
    </row>
    <row r="38" spans="1:12" x14ac:dyDescent="0.2">
      <c r="A38" s="128" t="s">
        <v>708</v>
      </c>
      <c r="B38" s="138">
        <v>43077</v>
      </c>
      <c r="C38" s="128" t="s">
        <v>630</v>
      </c>
      <c r="D38" s="128">
        <v>20</v>
      </c>
      <c r="E38" s="128" t="s">
        <v>681</v>
      </c>
      <c r="F38" s="136" t="s">
        <v>846</v>
      </c>
      <c r="G38" s="128"/>
      <c r="H38" s="136"/>
      <c r="I38" t="s">
        <v>984</v>
      </c>
      <c r="J38" s="136"/>
      <c r="K38" s="128"/>
      <c r="L38" s="128"/>
    </row>
    <row r="39" spans="1:12" x14ac:dyDescent="0.2">
      <c r="A39" s="128" t="s">
        <v>708</v>
      </c>
      <c r="B39" s="138">
        <v>43077</v>
      </c>
      <c r="C39" s="128" t="s">
        <v>630</v>
      </c>
      <c r="D39" s="128">
        <v>464</v>
      </c>
      <c r="E39" s="128" t="s">
        <v>646</v>
      </c>
      <c r="F39" s="128" t="s">
        <v>649</v>
      </c>
      <c r="G39" s="128"/>
      <c r="H39" s="128"/>
      <c r="I39" t="s">
        <v>984</v>
      </c>
      <c r="J39" s="128"/>
      <c r="K39" s="128"/>
      <c r="L39" s="128"/>
    </row>
    <row r="40" spans="1:12" x14ac:dyDescent="0.2">
      <c r="A40" s="128" t="s">
        <v>708</v>
      </c>
      <c r="B40" s="138">
        <v>43077</v>
      </c>
      <c r="C40" s="128" t="s">
        <v>630</v>
      </c>
      <c r="D40" s="128">
        <v>187.15</v>
      </c>
      <c r="E40" s="128" t="s">
        <v>646</v>
      </c>
      <c r="F40" s="128" t="s">
        <v>650</v>
      </c>
      <c r="G40" s="128"/>
      <c r="H40" s="128"/>
      <c r="I40" t="s">
        <v>984</v>
      </c>
      <c r="J40" s="128"/>
      <c r="K40" s="128"/>
      <c r="L40" s="128"/>
    </row>
    <row r="41" spans="1:12" x14ac:dyDescent="0.2">
      <c r="A41" s="128" t="s">
        <v>708</v>
      </c>
      <c r="B41" s="138">
        <v>43077</v>
      </c>
      <c r="C41" s="128" t="s">
        <v>630</v>
      </c>
      <c r="D41" s="128">
        <v>-21.75</v>
      </c>
      <c r="E41" s="128" t="s">
        <v>644</v>
      </c>
      <c r="F41" s="128" t="s">
        <v>847</v>
      </c>
      <c r="G41" s="128"/>
      <c r="H41" s="128"/>
      <c r="I41" t="s">
        <v>984</v>
      </c>
      <c r="J41" s="136" t="s">
        <v>976</v>
      </c>
      <c r="K41" s="128"/>
      <c r="L41" s="128"/>
    </row>
    <row r="42" spans="1:12" x14ac:dyDescent="0.2">
      <c r="A42" s="128" t="s">
        <v>708</v>
      </c>
      <c r="B42" s="138">
        <v>43077</v>
      </c>
      <c r="C42" s="128" t="s">
        <v>630</v>
      </c>
      <c r="D42" s="128">
        <v>-47.48</v>
      </c>
      <c r="E42" s="128" t="s">
        <v>644</v>
      </c>
      <c r="F42" s="128" t="s">
        <v>848</v>
      </c>
      <c r="G42" s="128"/>
      <c r="H42" s="136"/>
      <c r="I42" t="s">
        <v>984</v>
      </c>
      <c r="J42" s="136" t="s">
        <v>976</v>
      </c>
      <c r="K42" s="128"/>
      <c r="L42" s="128"/>
    </row>
    <row r="43" spans="1:12" x14ac:dyDescent="0.2">
      <c r="A43" s="128" t="s">
        <v>708</v>
      </c>
      <c r="B43" s="138">
        <v>43077</v>
      </c>
      <c r="C43" s="128" t="s">
        <v>630</v>
      </c>
      <c r="D43" s="128">
        <v>-37.96</v>
      </c>
      <c r="E43" s="128" t="s">
        <v>644</v>
      </c>
      <c r="F43" s="128" t="s">
        <v>849</v>
      </c>
      <c r="G43" s="128"/>
      <c r="H43" s="128"/>
      <c r="I43" t="s">
        <v>984</v>
      </c>
      <c r="J43" s="136" t="s">
        <v>976</v>
      </c>
      <c r="K43" s="128"/>
      <c r="L43" s="128"/>
    </row>
    <row r="44" spans="1:12" x14ac:dyDescent="0.2">
      <c r="A44" s="128" t="s">
        <v>708</v>
      </c>
      <c r="B44" s="138">
        <v>43077</v>
      </c>
      <c r="C44" s="128" t="s">
        <v>630</v>
      </c>
      <c r="D44" s="128">
        <v>-33</v>
      </c>
      <c r="E44" s="128" t="s">
        <v>644</v>
      </c>
      <c r="F44" s="128" t="s">
        <v>846</v>
      </c>
      <c r="G44" s="128"/>
      <c r="H44" s="128"/>
      <c r="I44" t="s">
        <v>984</v>
      </c>
      <c r="J44" s="136" t="s">
        <v>976</v>
      </c>
      <c r="K44" s="128"/>
      <c r="L44" s="128"/>
    </row>
    <row r="45" spans="1:12" x14ac:dyDescent="0.2">
      <c r="A45" s="128" t="s">
        <v>708</v>
      </c>
      <c r="B45" s="138">
        <v>43080</v>
      </c>
      <c r="C45" s="128" t="s">
        <v>630</v>
      </c>
      <c r="D45" s="128">
        <v>668.16</v>
      </c>
      <c r="E45" s="128" t="s">
        <v>646</v>
      </c>
      <c r="F45" s="128" t="s">
        <v>671</v>
      </c>
      <c r="G45" s="128"/>
      <c r="H45" s="128"/>
      <c r="I45" t="s">
        <v>984</v>
      </c>
      <c r="J45" s="128"/>
      <c r="K45" s="128"/>
      <c r="L45" s="128"/>
    </row>
    <row r="46" spans="1:12" x14ac:dyDescent="0.2">
      <c r="A46" s="128" t="s">
        <v>708</v>
      </c>
      <c r="B46" s="138">
        <v>43080</v>
      </c>
      <c r="C46" s="128" t="s">
        <v>630</v>
      </c>
      <c r="D46" s="62">
        <v>-1007.34</v>
      </c>
      <c r="E46" s="128" t="s">
        <v>683</v>
      </c>
      <c r="F46" s="128" t="s">
        <v>850</v>
      </c>
      <c r="G46" s="128"/>
      <c r="H46" s="136" t="s">
        <v>978</v>
      </c>
      <c r="I46" t="s">
        <v>984</v>
      </c>
      <c r="J46" s="128"/>
      <c r="K46" s="128"/>
      <c r="L46" s="128"/>
    </row>
    <row r="47" spans="1:12" x14ac:dyDescent="0.2">
      <c r="A47" s="128" t="s">
        <v>983</v>
      </c>
      <c r="B47" s="138">
        <v>43080</v>
      </c>
      <c r="C47" s="128" t="s">
        <v>630</v>
      </c>
      <c r="D47" s="62">
        <v>-825.59</v>
      </c>
      <c r="E47" s="128" t="s">
        <v>683</v>
      </c>
      <c r="F47" s="128" t="s">
        <v>850</v>
      </c>
      <c r="G47" s="128"/>
      <c r="H47" s="136" t="s">
        <v>977</v>
      </c>
      <c r="I47" t="s">
        <v>984</v>
      </c>
      <c r="J47" s="128"/>
      <c r="K47" s="128"/>
      <c r="L47" s="128"/>
    </row>
    <row r="48" spans="1:12" x14ac:dyDescent="0.2">
      <c r="A48" s="128" t="s">
        <v>983</v>
      </c>
      <c r="B48" s="138">
        <v>43080</v>
      </c>
      <c r="C48" s="128" t="s">
        <v>630</v>
      </c>
      <c r="D48" s="62">
        <v>-379.84</v>
      </c>
      <c r="E48" s="128" t="s">
        <v>683</v>
      </c>
      <c r="F48" s="128" t="s">
        <v>850</v>
      </c>
      <c r="G48" s="128"/>
      <c r="H48" s="136" t="s">
        <v>980</v>
      </c>
      <c r="I48" t="s">
        <v>984</v>
      </c>
      <c r="J48" s="128"/>
      <c r="K48" s="128"/>
      <c r="L48" s="128"/>
    </row>
    <row r="49" spans="1:12" x14ac:dyDescent="0.2">
      <c r="A49" s="128" t="s">
        <v>983</v>
      </c>
      <c r="B49" s="138">
        <v>43080</v>
      </c>
      <c r="C49" s="128" t="s">
        <v>630</v>
      </c>
      <c r="D49" s="62">
        <v>-498.09</v>
      </c>
      <c r="E49" s="128" t="s">
        <v>683</v>
      </c>
      <c r="F49" s="128" t="s">
        <v>850</v>
      </c>
      <c r="G49" s="128"/>
      <c r="H49" s="136" t="s">
        <v>979</v>
      </c>
      <c r="I49" t="s">
        <v>984</v>
      </c>
      <c r="J49" s="128"/>
      <c r="K49" s="128"/>
      <c r="L49" s="128"/>
    </row>
    <row r="50" spans="1:12" x14ac:dyDescent="0.2">
      <c r="A50" s="128" t="s">
        <v>708</v>
      </c>
      <c r="B50" s="138">
        <v>43080</v>
      </c>
      <c r="C50" s="128" t="s">
        <v>630</v>
      </c>
      <c r="D50" s="128">
        <v>-3.9</v>
      </c>
      <c r="E50" s="128" t="s">
        <v>644</v>
      </c>
      <c r="F50" s="128" t="s">
        <v>851</v>
      </c>
      <c r="G50" s="128"/>
      <c r="H50" s="128"/>
      <c r="I50" t="s">
        <v>984</v>
      </c>
      <c r="J50" s="128"/>
      <c r="K50" s="128"/>
      <c r="L50" s="128"/>
    </row>
    <row r="51" spans="1:12" x14ac:dyDescent="0.2">
      <c r="A51" s="128" t="s">
        <v>708</v>
      </c>
      <c r="B51" s="138">
        <v>43080</v>
      </c>
      <c r="C51" s="128" t="s">
        <v>630</v>
      </c>
      <c r="D51" s="128">
        <v>-307</v>
      </c>
      <c r="E51" s="128" t="s">
        <v>644</v>
      </c>
      <c r="F51" s="128" t="s">
        <v>852</v>
      </c>
      <c r="G51" s="128"/>
      <c r="H51" s="128"/>
      <c r="I51" t="s">
        <v>984</v>
      </c>
      <c r="J51" s="137" t="s">
        <v>976</v>
      </c>
      <c r="K51" s="128"/>
      <c r="L51" s="128"/>
    </row>
    <row r="52" spans="1:12" x14ac:dyDescent="0.2">
      <c r="A52" s="128" t="s">
        <v>708</v>
      </c>
      <c r="B52" s="138">
        <v>43080</v>
      </c>
      <c r="C52" s="128" t="s">
        <v>630</v>
      </c>
      <c r="D52" s="128">
        <v>-2.1800000000000002</v>
      </c>
      <c r="E52" s="128" t="s">
        <v>644</v>
      </c>
      <c r="F52" s="128" t="s">
        <v>853</v>
      </c>
      <c r="G52" s="128"/>
      <c r="H52" s="128"/>
      <c r="I52" t="s">
        <v>984</v>
      </c>
      <c r="J52" s="128"/>
      <c r="K52" s="128"/>
      <c r="L52" s="128"/>
    </row>
    <row r="53" spans="1:12" x14ac:dyDescent="0.2">
      <c r="A53" s="128" t="s">
        <v>708</v>
      </c>
      <c r="B53" s="138">
        <v>43080</v>
      </c>
      <c r="C53" s="128" t="s">
        <v>630</v>
      </c>
      <c r="D53" s="128">
        <v>-18.46</v>
      </c>
      <c r="E53" s="128" t="s">
        <v>639</v>
      </c>
      <c r="F53" s="128" t="s">
        <v>664</v>
      </c>
      <c r="G53" s="128"/>
      <c r="H53" s="136"/>
      <c r="I53" t="s">
        <v>985</v>
      </c>
      <c r="J53" s="136"/>
      <c r="K53" s="128"/>
      <c r="L53" s="128"/>
    </row>
    <row r="54" spans="1:12" x14ac:dyDescent="0.2">
      <c r="A54" s="128" t="s">
        <v>708</v>
      </c>
      <c r="B54" s="138">
        <v>43080</v>
      </c>
      <c r="C54" s="128" t="s">
        <v>630</v>
      </c>
      <c r="D54" s="128">
        <v>-68.34</v>
      </c>
      <c r="E54" s="128" t="s">
        <v>639</v>
      </c>
      <c r="F54" s="128" t="s">
        <v>667</v>
      </c>
      <c r="G54" s="128"/>
      <c r="H54" s="128"/>
      <c r="I54" t="s">
        <v>985</v>
      </c>
      <c r="J54" s="128"/>
      <c r="K54" s="128"/>
      <c r="L54" s="128"/>
    </row>
    <row r="55" spans="1:12" x14ac:dyDescent="0.2">
      <c r="A55" s="128" t="s">
        <v>708</v>
      </c>
      <c r="B55" s="138">
        <v>43081</v>
      </c>
      <c r="C55" s="128" t="s">
        <v>630</v>
      </c>
      <c r="D55" s="128">
        <v>353.67</v>
      </c>
      <c r="E55" s="128" t="s">
        <v>646</v>
      </c>
      <c r="F55" s="128" t="s">
        <v>653</v>
      </c>
      <c r="G55" s="128"/>
      <c r="H55" s="128"/>
      <c r="I55" t="s">
        <v>984</v>
      </c>
      <c r="J55" s="128"/>
      <c r="K55" s="128"/>
      <c r="L55" s="128"/>
    </row>
    <row r="56" spans="1:12" x14ac:dyDescent="0.2">
      <c r="A56" s="128" t="s">
        <v>708</v>
      </c>
      <c r="B56" s="138">
        <v>43081</v>
      </c>
      <c r="C56" s="128" t="s">
        <v>630</v>
      </c>
      <c r="D56" s="128">
        <v>232.11</v>
      </c>
      <c r="E56" s="128" t="s">
        <v>646</v>
      </c>
      <c r="F56" s="128" t="s">
        <v>665</v>
      </c>
      <c r="G56" s="128"/>
      <c r="H56" s="128"/>
      <c r="I56" t="s">
        <v>984</v>
      </c>
      <c r="J56" s="128"/>
      <c r="K56" s="128"/>
      <c r="L56" s="128"/>
    </row>
    <row r="57" spans="1:12" x14ac:dyDescent="0.2">
      <c r="A57" s="128" t="s">
        <v>708</v>
      </c>
      <c r="B57" s="138">
        <v>43081</v>
      </c>
      <c r="C57" s="128" t="s">
        <v>630</v>
      </c>
      <c r="D57" s="128">
        <v>-209</v>
      </c>
      <c r="E57" s="128" t="s">
        <v>644</v>
      </c>
      <c r="F57" s="128" t="s">
        <v>854</v>
      </c>
      <c r="G57" s="128"/>
      <c r="H57" s="136"/>
      <c r="I57" t="s">
        <v>984</v>
      </c>
      <c r="J57" s="137" t="s">
        <v>976</v>
      </c>
      <c r="K57" s="128"/>
      <c r="L57" s="128"/>
    </row>
    <row r="58" spans="1:12" x14ac:dyDescent="0.2">
      <c r="A58" s="128" t="s">
        <v>708</v>
      </c>
      <c r="B58" s="138">
        <v>43081</v>
      </c>
      <c r="C58" s="128" t="s">
        <v>630</v>
      </c>
      <c r="D58" s="128">
        <v>-131.44999999999999</v>
      </c>
      <c r="E58" s="128" t="s">
        <v>639</v>
      </c>
      <c r="F58" s="128" t="s">
        <v>666</v>
      </c>
      <c r="G58" s="128"/>
      <c r="H58" s="136"/>
      <c r="I58" t="s">
        <v>985</v>
      </c>
      <c r="J58" s="136"/>
      <c r="K58" s="128"/>
      <c r="L58" s="128"/>
    </row>
    <row r="59" spans="1:12" x14ac:dyDescent="0.2">
      <c r="A59" s="128" t="s">
        <v>708</v>
      </c>
      <c r="B59" s="138">
        <v>43082</v>
      </c>
      <c r="C59" s="128" t="s">
        <v>630</v>
      </c>
      <c r="D59" s="128">
        <v>1500</v>
      </c>
      <c r="E59" s="128" t="s">
        <v>683</v>
      </c>
      <c r="F59" s="128" t="s">
        <v>855</v>
      </c>
      <c r="G59" s="128"/>
      <c r="H59" s="128"/>
      <c r="I59" t="s">
        <v>984</v>
      </c>
      <c r="J59" s="128"/>
      <c r="K59" s="128"/>
      <c r="L59" s="128"/>
    </row>
    <row r="60" spans="1:12" x14ac:dyDescent="0.2">
      <c r="A60" s="128" t="s">
        <v>708</v>
      </c>
      <c r="B60" s="138">
        <v>43082</v>
      </c>
      <c r="C60" s="128" t="s">
        <v>630</v>
      </c>
      <c r="D60" s="128">
        <v>538.20000000000005</v>
      </c>
      <c r="E60" s="128" t="s">
        <v>646</v>
      </c>
      <c r="F60" s="128" t="s">
        <v>673</v>
      </c>
      <c r="G60" s="128"/>
      <c r="H60" s="128"/>
      <c r="I60" t="s">
        <v>984</v>
      </c>
      <c r="J60" s="128"/>
      <c r="K60" s="128"/>
      <c r="L60" s="128"/>
    </row>
    <row r="61" spans="1:12" x14ac:dyDescent="0.2">
      <c r="A61" s="128" t="s">
        <v>708</v>
      </c>
      <c r="B61" s="138">
        <v>43082</v>
      </c>
      <c r="C61" s="128" t="s">
        <v>630</v>
      </c>
      <c r="D61" s="128">
        <v>-824.77</v>
      </c>
      <c r="E61" s="128" t="s">
        <v>644</v>
      </c>
      <c r="F61" s="128" t="s">
        <v>856</v>
      </c>
      <c r="G61" s="128"/>
      <c r="H61" s="128"/>
      <c r="I61" t="s">
        <v>984</v>
      </c>
      <c r="J61" s="128"/>
      <c r="K61" s="128"/>
      <c r="L61" s="128"/>
    </row>
    <row r="62" spans="1:12" x14ac:dyDescent="0.2">
      <c r="A62" s="128" t="s">
        <v>708</v>
      </c>
      <c r="B62" s="138">
        <v>43082</v>
      </c>
      <c r="C62" s="128" t="s">
        <v>630</v>
      </c>
      <c r="D62" s="128">
        <v>-750</v>
      </c>
      <c r="E62" s="128" t="s">
        <v>644</v>
      </c>
      <c r="F62" s="128" t="s">
        <v>857</v>
      </c>
      <c r="G62" s="128"/>
      <c r="H62" s="128"/>
      <c r="I62" t="s">
        <v>984</v>
      </c>
      <c r="J62" s="136" t="s">
        <v>976</v>
      </c>
      <c r="K62" s="128"/>
      <c r="L62" s="128"/>
    </row>
    <row r="63" spans="1:12" x14ac:dyDescent="0.2">
      <c r="A63" s="128" t="s">
        <v>708</v>
      </c>
      <c r="B63" s="138">
        <v>43082</v>
      </c>
      <c r="C63" s="128" t="s">
        <v>630</v>
      </c>
      <c r="D63" s="128">
        <v>-86.84</v>
      </c>
      <c r="E63" s="128" t="s">
        <v>644</v>
      </c>
      <c r="F63" s="128" t="s">
        <v>858</v>
      </c>
      <c r="G63" s="128"/>
      <c r="H63" s="128"/>
      <c r="I63" t="s">
        <v>984</v>
      </c>
      <c r="J63" s="128"/>
      <c r="K63" s="128"/>
      <c r="L63" s="128"/>
    </row>
    <row r="64" spans="1:12" x14ac:dyDescent="0.2">
      <c r="A64" s="128" t="s">
        <v>708</v>
      </c>
      <c r="B64" s="138">
        <v>43082</v>
      </c>
      <c r="C64" s="128" t="s">
        <v>630</v>
      </c>
      <c r="D64" s="128">
        <v>-64.989999999999995</v>
      </c>
      <c r="E64" s="128" t="s">
        <v>644</v>
      </c>
      <c r="F64" s="128" t="s">
        <v>859</v>
      </c>
      <c r="G64" s="128"/>
      <c r="H64" s="128"/>
      <c r="I64" t="s">
        <v>984</v>
      </c>
      <c r="J64" s="136"/>
      <c r="K64" s="128"/>
      <c r="L64" s="128"/>
    </row>
    <row r="65" spans="1:12" x14ac:dyDescent="0.2">
      <c r="A65" s="128" t="s">
        <v>708</v>
      </c>
      <c r="B65" s="138">
        <v>43083</v>
      </c>
      <c r="C65" s="128" t="s">
        <v>630</v>
      </c>
      <c r="D65" s="128">
        <v>105.16</v>
      </c>
      <c r="E65" s="128" t="s">
        <v>646</v>
      </c>
      <c r="F65" s="128" t="s">
        <v>668</v>
      </c>
      <c r="G65" s="128"/>
      <c r="H65" s="128"/>
      <c r="I65" t="s">
        <v>984</v>
      </c>
      <c r="J65" s="128"/>
      <c r="K65" s="128"/>
      <c r="L65" s="128"/>
    </row>
    <row r="66" spans="1:12" x14ac:dyDescent="0.2">
      <c r="A66" s="128" t="s">
        <v>708</v>
      </c>
      <c r="B66" s="138">
        <v>43083</v>
      </c>
      <c r="C66" s="128" t="s">
        <v>630</v>
      </c>
      <c r="D66" s="128">
        <v>66.12</v>
      </c>
      <c r="E66" s="128" t="s">
        <v>646</v>
      </c>
      <c r="F66" s="128" t="s">
        <v>654</v>
      </c>
      <c r="G66" s="128"/>
      <c r="H66" s="128"/>
      <c r="I66" t="s">
        <v>984</v>
      </c>
      <c r="J66" s="128"/>
      <c r="K66" s="128"/>
      <c r="L66" s="128"/>
    </row>
    <row r="67" spans="1:12" x14ac:dyDescent="0.2">
      <c r="A67" s="128" t="s">
        <v>708</v>
      </c>
      <c r="B67" s="138">
        <v>43083</v>
      </c>
      <c r="C67" s="128" t="s">
        <v>630</v>
      </c>
      <c r="D67" s="128">
        <v>-59.57</v>
      </c>
      <c r="E67" s="128" t="s">
        <v>644</v>
      </c>
      <c r="F67" s="128" t="s">
        <v>860</v>
      </c>
      <c r="G67" s="128"/>
      <c r="H67" s="136"/>
      <c r="I67" t="s">
        <v>984</v>
      </c>
      <c r="J67" s="136"/>
      <c r="K67" s="128"/>
      <c r="L67" s="128"/>
    </row>
    <row r="68" spans="1:12" x14ac:dyDescent="0.2">
      <c r="A68" s="128" t="s">
        <v>708</v>
      </c>
      <c r="B68" s="138">
        <v>43084</v>
      </c>
      <c r="C68" s="128" t="s">
        <v>630</v>
      </c>
      <c r="D68" s="128">
        <v>510.4</v>
      </c>
      <c r="E68" s="128" t="s">
        <v>646</v>
      </c>
      <c r="F68" s="128" t="s">
        <v>670</v>
      </c>
      <c r="G68" s="128"/>
      <c r="H68" s="128"/>
      <c r="I68" t="s">
        <v>984</v>
      </c>
      <c r="J68" s="128"/>
      <c r="K68" s="128"/>
      <c r="L68" s="128"/>
    </row>
    <row r="69" spans="1:12" x14ac:dyDescent="0.2">
      <c r="A69" s="128" t="s">
        <v>708</v>
      </c>
      <c r="B69" s="138">
        <v>43084</v>
      </c>
      <c r="C69" s="128" t="s">
        <v>630</v>
      </c>
      <c r="D69" s="128">
        <v>-476.44</v>
      </c>
      <c r="E69" s="128" t="s">
        <v>639</v>
      </c>
      <c r="F69" s="128" t="s">
        <v>674</v>
      </c>
      <c r="G69" s="128"/>
      <c r="H69" s="128"/>
      <c r="I69" t="s">
        <v>984</v>
      </c>
      <c r="J69" s="136"/>
      <c r="K69" s="128"/>
      <c r="L69" s="128"/>
    </row>
    <row r="70" spans="1:12" x14ac:dyDescent="0.2">
      <c r="A70" s="128" t="s">
        <v>708</v>
      </c>
      <c r="B70" s="138">
        <v>43084</v>
      </c>
      <c r="C70" s="128" t="s">
        <v>630</v>
      </c>
      <c r="D70" s="128">
        <v>-219.7</v>
      </c>
      <c r="E70" s="128" t="s">
        <v>639</v>
      </c>
      <c r="F70" s="128" t="s">
        <v>675</v>
      </c>
      <c r="G70" s="128"/>
      <c r="H70" s="128"/>
      <c r="I70" t="s">
        <v>985</v>
      </c>
      <c r="J70" s="136"/>
      <c r="K70" s="128"/>
      <c r="L70" s="128"/>
    </row>
    <row r="71" spans="1:12" x14ac:dyDescent="0.2">
      <c r="A71" s="128" t="s">
        <v>708</v>
      </c>
      <c r="B71" s="138">
        <v>43084</v>
      </c>
      <c r="C71" s="128" t="s">
        <v>630</v>
      </c>
      <c r="D71" s="128">
        <v>-184.79</v>
      </c>
      <c r="E71" s="128" t="s">
        <v>639</v>
      </c>
      <c r="F71" s="128" t="s">
        <v>676</v>
      </c>
      <c r="G71" s="128"/>
      <c r="H71" s="128"/>
      <c r="I71" t="s">
        <v>985</v>
      </c>
      <c r="J71" s="136"/>
      <c r="K71" s="128"/>
      <c r="L71" s="128"/>
    </row>
    <row r="72" spans="1:12" x14ac:dyDescent="0.2">
      <c r="A72" s="128" t="s">
        <v>708</v>
      </c>
      <c r="B72" s="138">
        <v>43087</v>
      </c>
      <c r="C72" s="128" t="s">
        <v>630</v>
      </c>
      <c r="D72" s="128">
        <v>324.8</v>
      </c>
      <c r="E72" s="128" t="s">
        <v>646</v>
      </c>
      <c r="F72" s="128" t="s">
        <v>669</v>
      </c>
      <c r="G72" s="128"/>
      <c r="H72" s="136"/>
      <c r="I72" t="s">
        <v>984</v>
      </c>
      <c r="J72" s="136"/>
      <c r="K72" s="128"/>
      <c r="L72" s="128"/>
    </row>
    <row r="73" spans="1:12" x14ac:dyDescent="0.2">
      <c r="A73" s="128" t="s">
        <v>708</v>
      </c>
      <c r="B73" s="138">
        <v>43087</v>
      </c>
      <c r="C73" s="128" t="s">
        <v>630</v>
      </c>
      <c r="D73" s="128">
        <v>176.41</v>
      </c>
      <c r="E73" s="128" t="s">
        <v>646</v>
      </c>
      <c r="F73" s="128" t="s">
        <v>657</v>
      </c>
      <c r="G73" s="128"/>
      <c r="H73" s="128"/>
      <c r="I73" t="s">
        <v>984</v>
      </c>
      <c r="J73" s="136"/>
      <c r="K73" s="128"/>
      <c r="L73" s="128"/>
    </row>
    <row r="74" spans="1:12" x14ac:dyDescent="0.2">
      <c r="A74" s="128" t="s">
        <v>708</v>
      </c>
      <c r="B74" s="138">
        <v>43087</v>
      </c>
      <c r="C74" s="128" t="s">
        <v>630</v>
      </c>
      <c r="D74" s="128">
        <v>117.99</v>
      </c>
      <c r="E74" s="128" t="s">
        <v>646</v>
      </c>
      <c r="F74" s="128" t="s">
        <v>656</v>
      </c>
      <c r="G74" s="128"/>
      <c r="H74" s="136"/>
      <c r="I74" t="s">
        <v>984</v>
      </c>
      <c r="J74" s="136"/>
      <c r="K74" s="128"/>
      <c r="L74" s="128"/>
    </row>
    <row r="75" spans="1:12" x14ac:dyDescent="0.2">
      <c r="A75" s="128" t="s">
        <v>708</v>
      </c>
      <c r="B75" s="138">
        <v>43087</v>
      </c>
      <c r="C75" s="128" t="s">
        <v>630</v>
      </c>
      <c r="D75" s="128">
        <v>-13.93</v>
      </c>
      <c r="E75" s="128" t="s">
        <v>639</v>
      </c>
      <c r="F75" s="128" t="s">
        <v>677</v>
      </c>
      <c r="G75" s="128"/>
      <c r="H75" s="128"/>
      <c r="I75" t="s">
        <v>985</v>
      </c>
      <c r="J75" s="136"/>
      <c r="K75" s="128"/>
      <c r="L75" s="128"/>
    </row>
    <row r="76" spans="1:12" x14ac:dyDescent="0.2">
      <c r="A76" s="128" t="s">
        <v>708</v>
      </c>
      <c r="B76" s="138">
        <v>43087</v>
      </c>
      <c r="C76" s="128" t="s">
        <v>630</v>
      </c>
      <c r="D76" s="128">
        <v>-177.15</v>
      </c>
      <c r="E76" s="128" t="s">
        <v>639</v>
      </c>
      <c r="F76" s="128" t="s">
        <v>678</v>
      </c>
      <c r="G76" s="128"/>
      <c r="H76" s="128"/>
      <c r="I76" t="s">
        <v>985</v>
      </c>
      <c r="J76" s="136"/>
      <c r="K76" s="128"/>
      <c r="L76" s="128"/>
    </row>
    <row r="77" spans="1:12" x14ac:dyDescent="0.2">
      <c r="A77" s="128" t="s">
        <v>708</v>
      </c>
      <c r="B77" s="138">
        <v>43087</v>
      </c>
      <c r="C77" s="128" t="s">
        <v>630</v>
      </c>
      <c r="D77" s="128">
        <v>-138.69999999999999</v>
      </c>
      <c r="E77" s="128" t="s">
        <v>639</v>
      </c>
      <c r="F77" s="128" t="s">
        <v>679</v>
      </c>
      <c r="G77" s="128"/>
      <c r="H77" s="128"/>
      <c r="I77" t="s">
        <v>985</v>
      </c>
      <c r="J77" s="128"/>
      <c r="K77" s="128"/>
      <c r="L77" s="128"/>
    </row>
    <row r="78" spans="1:12" x14ac:dyDescent="0.2">
      <c r="A78" s="128" t="s">
        <v>708</v>
      </c>
      <c r="B78" s="138">
        <v>43089</v>
      </c>
      <c r="C78" s="128" t="s">
        <v>630</v>
      </c>
      <c r="D78" s="128">
        <v>-2386.0700000000002</v>
      </c>
      <c r="E78" s="128" t="s">
        <v>683</v>
      </c>
      <c r="F78" s="128" t="s">
        <v>861</v>
      </c>
      <c r="G78" s="128"/>
      <c r="H78" s="137"/>
      <c r="I78" t="s">
        <v>984</v>
      </c>
      <c r="J78" s="136"/>
      <c r="K78" s="128"/>
      <c r="L78" s="128"/>
    </row>
    <row r="79" spans="1:12" x14ac:dyDescent="0.2">
      <c r="A79" s="128" t="s">
        <v>708</v>
      </c>
      <c r="B79" s="138">
        <v>43090</v>
      </c>
      <c r="C79" s="128" t="s">
        <v>630</v>
      </c>
      <c r="D79" s="128">
        <v>538.24</v>
      </c>
      <c r="E79" s="128" t="s">
        <v>646</v>
      </c>
      <c r="F79" s="128" t="s">
        <v>651</v>
      </c>
      <c r="G79" s="128"/>
      <c r="H79" s="137"/>
      <c r="I79" t="s">
        <v>984</v>
      </c>
      <c r="J79" s="136"/>
      <c r="K79" s="128"/>
      <c r="L79" s="128"/>
    </row>
    <row r="80" spans="1:12" x14ac:dyDescent="0.2">
      <c r="A80" s="128" t="s">
        <v>708</v>
      </c>
      <c r="B80" s="138">
        <v>43090</v>
      </c>
      <c r="C80" s="128" t="s">
        <v>630</v>
      </c>
      <c r="D80" s="128">
        <v>432.57</v>
      </c>
      <c r="E80" s="128" t="s">
        <v>646</v>
      </c>
      <c r="F80" s="128" t="s">
        <v>657</v>
      </c>
      <c r="G80" s="128"/>
      <c r="H80" s="128"/>
      <c r="I80" t="s">
        <v>984</v>
      </c>
      <c r="J80" s="128"/>
      <c r="K80" s="128"/>
      <c r="L80" s="128"/>
    </row>
    <row r="81" spans="1:12" x14ac:dyDescent="0.2">
      <c r="A81" s="128" t="s">
        <v>708</v>
      </c>
      <c r="B81" s="138">
        <v>43090</v>
      </c>
      <c r="C81" s="128" t="s">
        <v>630</v>
      </c>
      <c r="D81" s="128">
        <v>429.9</v>
      </c>
      <c r="E81" s="128" t="s">
        <v>646</v>
      </c>
      <c r="F81" s="128" t="s">
        <v>862</v>
      </c>
      <c r="G81" s="128"/>
      <c r="H81" s="128"/>
      <c r="I81" t="s">
        <v>984</v>
      </c>
      <c r="J81" s="128"/>
      <c r="K81" s="128"/>
      <c r="L81" s="128"/>
    </row>
    <row r="82" spans="1:12" x14ac:dyDescent="0.2">
      <c r="A82" s="128" t="s">
        <v>708</v>
      </c>
      <c r="B82" s="138">
        <v>43090</v>
      </c>
      <c r="C82" s="128" t="s">
        <v>630</v>
      </c>
      <c r="D82" s="128">
        <v>428.29</v>
      </c>
      <c r="E82" s="128" t="s">
        <v>646</v>
      </c>
      <c r="F82" s="128" t="s">
        <v>655</v>
      </c>
      <c r="G82" s="128"/>
      <c r="H82" s="128"/>
      <c r="I82" t="s">
        <v>984</v>
      </c>
      <c r="J82" s="128"/>
      <c r="K82" s="128"/>
      <c r="L82" s="128"/>
    </row>
    <row r="83" spans="1:12" x14ac:dyDescent="0.2">
      <c r="A83" s="128" t="s">
        <v>708</v>
      </c>
      <c r="B83" s="138">
        <v>43090</v>
      </c>
      <c r="C83" s="128" t="s">
        <v>630</v>
      </c>
      <c r="D83" s="128">
        <v>428.29</v>
      </c>
      <c r="E83" s="128" t="s">
        <v>646</v>
      </c>
      <c r="F83" s="128" t="s">
        <v>660</v>
      </c>
      <c r="G83" s="128"/>
      <c r="H83" s="128"/>
      <c r="I83" t="s">
        <v>984</v>
      </c>
      <c r="J83" s="128"/>
      <c r="K83" s="128"/>
      <c r="L83" s="128"/>
    </row>
    <row r="84" spans="1:12" x14ac:dyDescent="0.2">
      <c r="A84" s="128" t="s">
        <v>708</v>
      </c>
      <c r="B84" s="138">
        <v>43090</v>
      </c>
      <c r="C84" s="128" t="s">
        <v>630</v>
      </c>
      <c r="D84" s="128">
        <v>428.29</v>
      </c>
      <c r="E84" s="128" t="s">
        <v>646</v>
      </c>
      <c r="F84" s="128" t="s">
        <v>659</v>
      </c>
      <c r="G84" s="128"/>
      <c r="H84" s="128"/>
      <c r="I84" t="s">
        <v>984</v>
      </c>
      <c r="J84" s="128"/>
      <c r="K84" s="128"/>
      <c r="L84" s="128"/>
    </row>
    <row r="85" spans="1:12" x14ac:dyDescent="0.2">
      <c r="A85" s="128" t="s">
        <v>708</v>
      </c>
      <c r="B85" s="138">
        <v>43090</v>
      </c>
      <c r="C85" s="128" t="s">
        <v>630</v>
      </c>
      <c r="D85" s="128">
        <v>428.29</v>
      </c>
      <c r="E85" s="128" t="s">
        <v>646</v>
      </c>
      <c r="F85" s="128" t="s">
        <v>652</v>
      </c>
      <c r="G85" s="128"/>
      <c r="H85" s="128"/>
      <c r="I85" t="s">
        <v>984</v>
      </c>
      <c r="J85" s="128"/>
      <c r="K85" s="128"/>
      <c r="L85" s="128"/>
    </row>
    <row r="86" spans="1:12" x14ac:dyDescent="0.2">
      <c r="A86" s="128" t="s">
        <v>708</v>
      </c>
      <c r="B86" s="138">
        <v>43090</v>
      </c>
      <c r="C86" s="128" t="s">
        <v>630</v>
      </c>
      <c r="D86" s="128">
        <v>371.2</v>
      </c>
      <c r="E86" s="128" t="s">
        <v>646</v>
      </c>
      <c r="F86" s="128" t="s">
        <v>672</v>
      </c>
      <c r="G86" s="128"/>
      <c r="H86" s="128"/>
      <c r="I86" t="s">
        <v>984</v>
      </c>
      <c r="J86" s="128"/>
      <c r="K86" s="128"/>
      <c r="L86" s="128"/>
    </row>
    <row r="87" spans="1:12" x14ac:dyDescent="0.2">
      <c r="A87" s="128" t="s">
        <v>708</v>
      </c>
      <c r="B87" s="138">
        <v>43090</v>
      </c>
      <c r="C87" s="128" t="s">
        <v>630</v>
      </c>
      <c r="D87" s="128">
        <v>364.89</v>
      </c>
      <c r="E87" s="128" t="s">
        <v>646</v>
      </c>
      <c r="F87" s="128" t="s">
        <v>661</v>
      </c>
      <c r="G87" s="128"/>
      <c r="H87" s="128"/>
      <c r="I87" t="s">
        <v>984</v>
      </c>
      <c r="J87" s="128"/>
      <c r="K87" s="128"/>
      <c r="L87" s="128"/>
    </row>
    <row r="88" spans="1:12" x14ac:dyDescent="0.2">
      <c r="A88" s="128" t="s">
        <v>708</v>
      </c>
      <c r="B88" s="138">
        <v>43090</v>
      </c>
      <c r="C88" s="128" t="s">
        <v>630</v>
      </c>
      <c r="D88" s="128">
        <v>350.65</v>
      </c>
      <c r="E88" s="128" t="s">
        <v>646</v>
      </c>
      <c r="F88" s="128" t="s">
        <v>656</v>
      </c>
      <c r="G88" s="128"/>
      <c r="H88" s="128"/>
      <c r="I88" t="s">
        <v>984</v>
      </c>
      <c r="J88" s="128"/>
      <c r="K88" s="128"/>
      <c r="L88" s="128"/>
    </row>
    <row r="89" spans="1:12" x14ac:dyDescent="0.2">
      <c r="A89" s="128" t="s">
        <v>708</v>
      </c>
      <c r="B89" s="138">
        <v>43090</v>
      </c>
      <c r="C89" s="128" t="s">
        <v>630</v>
      </c>
      <c r="D89" s="128">
        <v>301.08999999999997</v>
      </c>
      <c r="E89" s="128" t="s">
        <v>646</v>
      </c>
      <c r="F89" s="128" t="s">
        <v>668</v>
      </c>
      <c r="G89" s="128"/>
      <c r="H89" s="128"/>
      <c r="I89" t="s">
        <v>984</v>
      </c>
      <c r="J89" s="128"/>
      <c r="K89" s="128"/>
      <c r="L89" s="128"/>
    </row>
    <row r="90" spans="1:12" x14ac:dyDescent="0.2">
      <c r="A90" s="128" t="s">
        <v>708</v>
      </c>
      <c r="B90" s="138">
        <v>43090</v>
      </c>
      <c r="C90" s="128" t="s">
        <v>630</v>
      </c>
      <c r="D90" s="128">
        <v>300.05</v>
      </c>
      <c r="E90" s="128" t="s">
        <v>646</v>
      </c>
      <c r="F90" s="128" t="s">
        <v>650</v>
      </c>
      <c r="G90" s="128"/>
      <c r="H90" s="128"/>
      <c r="I90" t="s">
        <v>984</v>
      </c>
      <c r="J90" s="128"/>
      <c r="K90" s="128"/>
      <c r="L90" s="128"/>
    </row>
    <row r="91" spans="1:12" x14ac:dyDescent="0.2">
      <c r="A91" s="128" t="s">
        <v>708</v>
      </c>
      <c r="B91" s="138">
        <v>43090</v>
      </c>
      <c r="C91" s="128" t="s">
        <v>630</v>
      </c>
      <c r="D91" s="128">
        <v>231.89</v>
      </c>
      <c r="E91" s="128" t="s">
        <v>646</v>
      </c>
      <c r="F91" s="128" t="s">
        <v>665</v>
      </c>
      <c r="G91" s="128"/>
      <c r="H91" s="128"/>
      <c r="I91" t="s">
        <v>984</v>
      </c>
      <c r="J91" s="128"/>
      <c r="K91" s="128"/>
      <c r="L91" s="128"/>
    </row>
    <row r="92" spans="1:12" x14ac:dyDescent="0.2">
      <c r="A92" s="128" t="s">
        <v>708</v>
      </c>
      <c r="B92" s="138">
        <v>43091</v>
      </c>
      <c r="C92" s="128" t="s">
        <v>630</v>
      </c>
      <c r="D92" s="128">
        <v>428.29</v>
      </c>
      <c r="E92" s="128" t="s">
        <v>646</v>
      </c>
      <c r="F92" s="128" t="s">
        <v>658</v>
      </c>
      <c r="G92" s="128"/>
      <c r="H92" s="128"/>
      <c r="I92" t="s">
        <v>984</v>
      </c>
      <c r="J92" s="128"/>
      <c r="K92" s="128"/>
      <c r="L92" s="128"/>
    </row>
    <row r="93" spans="1:12" x14ac:dyDescent="0.2">
      <c r="A93" s="128" t="s">
        <v>708</v>
      </c>
      <c r="B93" s="138">
        <v>43091</v>
      </c>
      <c r="C93" s="128" t="s">
        <v>630</v>
      </c>
      <c r="D93" s="128">
        <v>385.48</v>
      </c>
      <c r="E93" s="128" t="s">
        <v>646</v>
      </c>
      <c r="F93" s="128" t="s">
        <v>726</v>
      </c>
      <c r="G93" s="128"/>
      <c r="H93" s="128"/>
      <c r="I93" t="s">
        <v>984</v>
      </c>
      <c r="J93" s="128"/>
      <c r="K93" s="128"/>
      <c r="L93" s="128"/>
    </row>
    <row r="94" spans="1:12" x14ac:dyDescent="0.2">
      <c r="A94" s="128" t="s">
        <v>708</v>
      </c>
      <c r="B94" s="138">
        <v>43091</v>
      </c>
      <c r="C94" s="128" t="s">
        <v>630</v>
      </c>
      <c r="D94" s="128">
        <v>185.6</v>
      </c>
      <c r="E94" s="128" t="s">
        <v>646</v>
      </c>
      <c r="F94" s="136" t="s">
        <v>672</v>
      </c>
      <c r="G94" s="128"/>
      <c r="H94" s="137"/>
      <c r="I94" t="s">
        <v>984</v>
      </c>
      <c r="J94" s="136"/>
      <c r="K94" s="128"/>
      <c r="L94" s="128"/>
    </row>
    <row r="95" spans="1:12" x14ac:dyDescent="0.2">
      <c r="A95" s="128" t="s">
        <v>708</v>
      </c>
      <c r="B95" s="138">
        <v>43091</v>
      </c>
      <c r="C95" s="128" t="s">
        <v>630</v>
      </c>
      <c r="D95" s="128">
        <v>72.09</v>
      </c>
      <c r="E95" s="128" t="s">
        <v>646</v>
      </c>
      <c r="F95" s="128" t="s">
        <v>663</v>
      </c>
      <c r="G95" s="128"/>
      <c r="H95" s="128"/>
      <c r="I95" t="s">
        <v>984</v>
      </c>
      <c r="J95" s="128"/>
      <c r="K95" s="128"/>
      <c r="L95" s="128"/>
    </row>
    <row r="96" spans="1:12" x14ac:dyDescent="0.2">
      <c r="A96" s="128" t="s">
        <v>708</v>
      </c>
      <c r="B96" s="138">
        <v>43091</v>
      </c>
      <c r="C96" s="128" t="s">
        <v>630</v>
      </c>
      <c r="D96" s="128">
        <v>72.09</v>
      </c>
      <c r="E96" s="128" t="s">
        <v>646</v>
      </c>
      <c r="F96" s="128" t="s">
        <v>648</v>
      </c>
      <c r="G96" s="128"/>
      <c r="H96" s="128"/>
      <c r="I96" t="s">
        <v>984</v>
      </c>
      <c r="J96" s="128"/>
      <c r="K96" s="128"/>
      <c r="L96" s="128"/>
    </row>
    <row r="97" spans="1:12" x14ac:dyDescent="0.2">
      <c r="A97" s="128" t="s">
        <v>708</v>
      </c>
      <c r="B97" s="138">
        <v>43091</v>
      </c>
      <c r="C97" s="128" t="s">
        <v>630</v>
      </c>
      <c r="D97" s="128">
        <v>-178.32</v>
      </c>
      <c r="E97" s="128" t="s">
        <v>639</v>
      </c>
      <c r="F97" s="128" t="s">
        <v>682</v>
      </c>
      <c r="G97" s="128"/>
      <c r="H97" s="128"/>
      <c r="I97" t="s">
        <v>985</v>
      </c>
      <c r="J97" s="128"/>
      <c r="K97" s="128"/>
      <c r="L97" s="128"/>
    </row>
    <row r="98" spans="1:12" x14ac:dyDescent="0.2">
      <c r="A98" s="128" t="s">
        <v>708</v>
      </c>
      <c r="B98" s="138">
        <v>43096</v>
      </c>
      <c r="C98" s="128" t="s">
        <v>630</v>
      </c>
      <c r="D98" s="128">
        <v>356.2</v>
      </c>
      <c r="E98" s="128" t="s">
        <v>646</v>
      </c>
      <c r="F98" s="128" t="s">
        <v>663</v>
      </c>
      <c r="G98" s="128"/>
      <c r="H98" s="128"/>
      <c r="I98" t="s">
        <v>984</v>
      </c>
      <c r="J98" s="128"/>
      <c r="K98" s="128"/>
      <c r="L98" s="128"/>
    </row>
    <row r="99" spans="1:12" x14ac:dyDescent="0.2">
      <c r="A99" s="128" t="s">
        <v>708</v>
      </c>
      <c r="B99" s="138">
        <v>43096</v>
      </c>
      <c r="C99" s="128" t="s">
        <v>630</v>
      </c>
      <c r="D99" s="128">
        <v>356.2</v>
      </c>
      <c r="E99" s="128" t="s">
        <v>646</v>
      </c>
      <c r="F99" s="128" t="s">
        <v>648</v>
      </c>
      <c r="G99" s="128"/>
      <c r="H99" s="136"/>
      <c r="I99" t="s">
        <v>984</v>
      </c>
      <c r="J99" s="136"/>
      <c r="K99" s="128"/>
      <c r="L99" s="128"/>
    </row>
    <row r="100" spans="1:12" x14ac:dyDescent="0.2">
      <c r="A100" s="128" t="s">
        <v>708</v>
      </c>
      <c r="B100" s="138">
        <v>43096</v>
      </c>
      <c r="C100" s="128" t="s">
        <v>630</v>
      </c>
      <c r="D100" s="128">
        <v>308.29000000000002</v>
      </c>
      <c r="E100" s="128" t="s">
        <v>646</v>
      </c>
      <c r="F100" s="128" t="s">
        <v>662</v>
      </c>
      <c r="G100" s="128"/>
      <c r="H100" s="137"/>
      <c r="I100" t="s">
        <v>984</v>
      </c>
      <c r="J100" s="136"/>
      <c r="K100" s="128"/>
      <c r="L100" s="128"/>
    </row>
    <row r="101" spans="1:12" x14ac:dyDescent="0.2">
      <c r="A101" s="128" t="s">
        <v>708</v>
      </c>
      <c r="B101" s="138">
        <v>43096</v>
      </c>
      <c r="C101" s="128" t="s">
        <v>630</v>
      </c>
      <c r="D101" s="128">
        <v>-25.08</v>
      </c>
      <c r="E101" s="128" t="s">
        <v>644</v>
      </c>
      <c r="F101" s="128" t="s">
        <v>863</v>
      </c>
      <c r="G101" s="128"/>
      <c r="H101" s="137"/>
      <c r="I101" t="s">
        <v>984</v>
      </c>
      <c r="J101" s="136" t="s">
        <v>976</v>
      </c>
      <c r="K101" s="128"/>
      <c r="L101" s="128"/>
    </row>
    <row r="102" spans="1:12" x14ac:dyDescent="0.2">
      <c r="A102" s="128" t="s">
        <v>708</v>
      </c>
      <c r="B102" s="138">
        <v>43096</v>
      </c>
      <c r="C102" s="128" t="s">
        <v>630</v>
      </c>
      <c r="D102" s="128">
        <v>-9.6</v>
      </c>
      <c r="E102" s="128" t="s">
        <v>644</v>
      </c>
      <c r="F102" s="128" t="s">
        <v>864</v>
      </c>
      <c r="G102" s="128"/>
      <c r="H102" s="137"/>
      <c r="I102" t="s">
        <v>984</v>
      </c>
      <c r="J102" s="136"/>
      <c r="K102" s="128"/>
      <c r="L102" s="128"/>
    </row>
    <row r="103" spans="1:12" x14ac:dyDescent="0.2">
      <c r="A103" s="128" t="s">
        <v>708</v>
      </c>
      <c r="B103" s="138">
        <v>43096</v>
      </c>
      <c r="C103" s="128" t="s">
        <v>630</v>
      </c>
      <c r="D103" s="128">
        <v>-212.96</v>
      </c>
      <c r="E103" s="128" t="s">
        <v>644</v>
      </c>
      <c r="F103" s="128" t="s">
        <v>865</v>
      </c>
      <c r="G103" s="128"/>
      <c r="H103" s="137"/>
      <c r="I103" t="s">
        <v>984</v>
      </c>
      <c r="J103" s="136" t="s">
        <v>976</v>
      </c>
      <c r="K103" s="128"/>
      <c r="L103" s="128"/>
    </row>
    <row r="104" spans="1:12" x14ac:dyDescent="0.2">
      <c r="A104" s="128" t="s">
        <v>708</v>
      </c>
      <c r="B104" s="138">
        <v>43096</v>
      </c>
      <c r="C104" s="128" t="s">
        <v>630</v>
      </c>
      <c r="D104" s="128">
        <v>-63.85</v>
      </c>
      <c r="E104" s="128" t="s">
        <v>644</v>
      </c>
      <c r="F104" s="128" t="s">
        <v>866</v>
      </c>
      <c r="G104" s="128"/>
      <c r="H104" s="137"/>
      <c r="I104" t="s">
        <v>984</v>
      </c>
      <c r="J104" s="136" t="s">
        <v>976</v>
      </c>
      <c r="K104" s="128"/>
      <c r="L104" s="128"/>
    </row>
    <row r="105" spans="1:12" x14ac:dyDescent="0.2">
      <c r="A105" s="128" t="s">
        <v>708</v>
      </c>
      <c r="B105" s="138">
        <v>43096</v>
      </c>
      <c r="C105" s="128" t="s">
        <v>630</v>
      </c>
      <c r="D105" s="128">
        <v>-43.48</v>
      </c>
      <c r="E105" s="128" t="s">
        <v>644</v>
      </c>
      <c r="F105" s="128" t="s">
        <v>867</v>
      </c>
      <c r="G105" s="128"/>
      <c r="H105" s="137"/>
      <c r="I105" t="s">
        <v>984</v>
      </c>
      <c r="J105" s="136"/>
      <c r="K105" s="128"/>
      <c r="L105" s="128"/>
    </row>
    <row r="106" spans="1:12" x14ac:dyDescent="0.2">
      <c r="A106" s="128" t="s">
        <v>708</v>
      </c>
      <c r="B106" s="138">
        <v>43096</v>
      </c>
      <c r="C106" s="128" t="s">
        <v>630</v>
      </c>
      <c r="D106" s="128">
        <v>-20</v>
      </c>
      <c r="E106" s="128" t="s">
        <v>644</v>
      </c>
      <c r="F106" s="128" t="s">
        <v>868</v>
      </c>
      <c r="G106" s="128"/>
      <c r="H106" s="128"/>
      <c r="I106" t="s">
        <v>984</v>
      </c>
      <c r="J106" s="128"/>
      <c r="K106" s="128"/>
      <c r="L106" s="128"/>
    </row>
    <row r="107" spans="1:12" x14ac:dyDescent="0.2">
      <c r="A107" s="128" t="s">
        <v>708</v>
      </c>
      <c r="B107" s="138">
        <v>43096</v>
      </c>
      <c r="C107" s="128" t="s">
        <v>630</v>
      </c>
      <c r="D107" s="128">
        <v>-8</v>
      </c>
      <c r="E107" s="128" t="s">
        <v>644</v>
      </c>
      <c r="F107" s="128" t="s">
        <v>868</v>
      </c>
      <c r="G107" s="128"/>
      <c r="H107" s="128"/>
      <c r="I107" t="s">
        <v>984</v>
      </c>
      <c r="J107" s="128"/>
      <c r="K107" s="128"/>
      <c r="L107" s="128"/>
    </row>
    <row r="108" spans="1:12" x14ac:dyDescent="0.2">
      <c r="A108" s="128" t="s">
        <v>708</v>
      </c>
      <c r="B108" s="138">
        <v>43096</v>
      </c>
      <c r="C108" s="128" t="s">
        <v>630</v>
      </c>
      <c r="D108" s="128">
        <v>-102</v>
      </c>
      <c r="E108" s="128" t="s">
        <v>631</v>
      </c>
      <c r="F108" s="128" t="s">
        <v>684</v>
      </c>
      <c r="G108" s="128"/>
      <c r="H108" s="128"/>
      <c r="I108" t="s">
        <v>984</v>
      </c>
      <c r="J108" s="128"/>
      <c r="K108" s="128"/>
      <c r="L108" s="128"/>
    </row>
    <row r="109" spans="1:12" x14ac:dyDescent="0.2">
      <c r="A109" s="128" t="s">
        <v>708</v>
      </c>
      <c r="B109" s="138">
        <v>43098</v>
      </c>
      <c r="C109" s="128" t="s">
        <v>630</v>
      </c>
      <c r="D109" s="128">
        <v>557.16999999999996</v>
      </c>
      <c r="E109" s="128" t="s">
        <v>646</v>
      </c>
      <c r="F109" s="128" t="s">
        <v>869</v>
      </c>
      <c r="G109" s="128"/>
      <c r="H109" s="128"/>
      <c r="I109" t="s">
        <v>984</v>
      </c>
      <c r="J109" s="128"/>
      <c r="K109" s="128"/>
    </row>
    <row r="110" spans="1:12" x14ac:dyDescent="0.2">
      <c r="A110" s="128" t="s">
        <v>708</v>
      </c>
      <c r="B110" s="138">
        <v>43098</v>
      </c>
      <c r="C110" s="128" t="s">
        <v>630</v>
      </c>
      <c r="D110" s="128">
        <v>464</v>
      </c>
      <c r="E110" s="128" t="s">
        <v>646</v>
      </c>
      <c r="F110" s="128" t="s">
        <v>685</v>
      </c>
      <c r="G110" s="128"/>
      <c r="H110" s="128"/>
      <c r="I110" t="s">
        <v>984</v>
      </c>
      <c r="J110" s="136"/>
      <c r="K110" s="128"/>
    </row>
    <row r="111" spans="1:12" x14ac:dyDescent="0.2">
      <c r="A111" s="128" t="s">
        <v>708</v>
      </c>
      <c r="B111" s="138">
        <v>43098</v>
      </c>
      <c r="C111" s="128" t="s">
        <v>630</v>
      </c>
      <c r="D111" s="128">
        <v>411.8</v>
      </c>
      <c r="E111" s="128" t="s">
        <v>646</v>
      </c>
      <c r="F111" s="128" t="s">
        <v>654</v>
      </c>
      <c r="G111" s="128"/>
      <c r="H111" s="128"/>
      <c r="I111" t="s">
        <v>984</v>
      </c>
      <c r="J111" s="136"/>
      <c r="K111" s="128"/>
    </row>
    <row r="112" spans="1:12" x14ac:dyDescent="0.2">
      <c r="A112" s="128" t="s">
        <v>708</v>
      </c>
      <c r="B112" s="138">
        <v>43098</v>
      </c>
      <c r="C112" s="128" t="s">
        <v>630</v>
      </c>
      <c r="D112" s="128">
        <v>105.02</v>
      </c>
      <c r="E112" s="128" t="s">
        <v>646</v>
      </c>
      <c r="F112" s="128" t="s">
        <v>653</v>
      </c>
      <c r="G112" s="128"/>
      <c r="H112" s="128"/>
      <c r="I112" t="s">
        <v>984</v>
      </c>
      <c r="J112" s="136"/>
      <c r="K112" s="128"/>
    </row>
    <row r="113" spans="1:11" x14ac:dyDescent="0.2">
      <c r="A113" s="128" t="s">
        <v>708</v>
      </c>
      <c r="B113" s="138">
        <v>43098</v>
      </c>
      <c r="C113" s="128" t="s">
        <v>630</v>
      </c>
      <c r="D113" s="128">
        <v>-51.99</v>
      </c>
      <c r="E113" s="128" t="s">
        <v>645</v>
      </c>
      <c r="F113" s="128" t="s">
        <v>870</v>
      </c>
      <c r="G113" s="128"/>
      <c r="H113" s="128"/>
      <c r="I113" t="s">
        <v>984</v>
      </c>
      <c r="J113" s="136"/>
      <c r="K113" s="128"/>
    </row>
    <row r="114" spans="1:11" x14ac:dyDescent="0.2">
      <c r="A114" s="128" t="s">
        <v>708</v>
      </c>
      <c r="B114" s="138">
        <v>43098</v>
      </c>
      <c r="C114" s="128" t="s">
        <v>630</v>
      </c>
      <c r="D114" s="128">
        <v>-46.92</v>
      </c>
      <c r="E114" s="128" t="s">
        <v>644</v>
      </c>
      <c r="F114" s="128" t="s">
        <v>871</v>
      </c>
      <c r="G114" s="128"/>
      <c r="H114" s="128"/>
      <c r="I114" t="s">
        <v>984</v>
      </c>
      <c r="J114" s="128"/>
      <c r="K114" s="128"/>
    </row>
    <row r="115" spans="1:11" x14ac:dyDescent="0.2">
      <c r="A115" s="128" t="s">
        <v>708</v>
      </c>
      <c r="B115" s="138">
        <v>43098</v>
      </c>
      <c r="C115" s="128" t="s">
        <v>630</v>
      </c>
      <c r="D115" s="128">
        <v>-128.30000000000001</v>
      </c>
      <c r="E115" s="128" t="s">
        <v>639</v>
      </c>
      <c r="F115" s="128" t="s">
        <v>686</v>
      </c>
      <c r="G115" s="128"/>
      <c r="H115" s="128"/>
      <c r="I115" t="s">
        <v>985</v>
      </c>
      <c r="J115" s="128"/>
      <c r="K115" s="128"/>
    </row>
    <row r="116" spans="1:11" x14ac:dyDescent="0.2">
      <c r="A116" s="128" t="s">
        <v>708</v>
      </c>
      <c r="B116" s="138">
        <v>43098</v>
      </c>
      <c r="C116" s="128" t="s">
        <v>630</v>
      </c>
      <c r="D116" s="128">
        <v>-184.91</v>
      </c>
      <c r="E116" s="128" t="s">
        <v>639</v>
      </c>
      <c r="F116" s="128" t="s">
        <v>872</v>
      </c>
      <c r="G116" s="128"/>
      <c r="H116" s="128"/>
      <c r="I116" t="s">
        <v>985</v>
      </c>
      <c r="J116" s="128"/>
      <c r="K116" s="128"/>
    </row>
    <row r="117" spans="1:11" x14ac:dyDescent="0.2">
      <c r="A117" s="128" t="s">
        <v>708</v>
      </c>
      <c r="B117" s="138">
        <v>43098</v>
      </c>
      <c r="C117" s="128" t="s">
        <v>630</v>
      </c>
      <c r="D117" s="128">
        <v>-190.56</v>
      </c>
      <c r="E117" s="128" t="s">
        <v>639</v>
      </c>
      <c r="F117" s="128" t="s">
        <v>873</v>
      </c>
      <c r="G117" s="128"/>
      <c r="H117" s="137"/>
      <c r="I117" t="s">
        <v>985</v>
      </c>
      <c r="J117" s="136"/>
      <c r="K117" s="128"/>
    </row>
    <row r="118" spans="1:11" x14ac:dyDescent="0.2">
      <c r="A118" s="128" t="s">
        <v>708</v>
      </c>
      <c r="B118" s="138">
        <v>43098</v>
      </c>
      <c r="C118" s="128" t="s">
        <v>630</v>
      </c>
      <c r="D118" s="128">
        <v>-190.56</v>
      </c>
      <c r="E118" s="128" t="s">
        <v>639</v>
      </c>
      <c r="F118" s="128" t="s">
        <v>874</v>
      </c>
      <c r="G118" s="128"/>
      <c r="H118" s="137"/>
      <c r="I118" t="s">
        <v>985</v>
      </c>
      <c r="J118" s="136"/>
      <c r="K118" s="128"/>
    </row>
    <row r="119" spans="1:11" x14ac:dyDescent="0.2">
      <c r="A119" s="128" t="s">
        <v>708</v>
      </c>
      <c r="B119" s="138">
        <v>43098</v>
      </c>
      <c r="C119" s="128" t="s">
        <v>630</v>
      </c>
      <c r="D119" s="128">
        <v>-190.56</v>
      </c>
      <c r="E119" s="128" t="s">
        <v>639</v>
      </c>
      <c r="F119" s="128" t="s">
        <v>875</v>
      </c>
      <c r="G119" s="128"/>
      <c r="H119" s="136"/>
      <c r="I119" t="s">
        <v>985</v>
      </c>
      <c r="J119" s="136"/>
      <c r="K119" s="128"/>
    </row>
    <row r="120" spans="1:11" x14ac:dyDescent="0.2">
      <c r="A120" s="128"/>
      <c r="B120" s="138"/>
      <c r="C120" s="128"/>
      <c r="D120" s="128"/>
      <c r="E120" s="128"/>
      <c r="F120" s="128"/>
      <c r="G120" s="128"/>
      <c r="H120" s="136"/>
      <c r="I120" s="128"/>
      <c r="J120" s="136"/>
      <c r="K120" s="128"/>
    </row>
    <row r="121" spans="1:11" x14ac:dyDescent="0.2">
      <c r="A121" s="128"/>
      <c r="B121" s="138"/>
      <c r="C121" s="128"/>
      <c r="D121" s="128"/>
      <c r="E121" s="128"/>
      <c r="F121" s="128"/>
      <c r="G121" s="128"/>
      <c r="H121" s="136"/>
      <c r="I121" s="128"/>
      <c r="J121" s="128"/>
      <c r="K121" s="128"/>
    </row>
    <row r="122" spans="1:11" x14ac:dyDescent="0.2">
      <c r="A122" s="128"/>
      <c r="B122" s="138"/>
      <c r="C122" s="128"/>
      <c r="D122" s="128"/>
      <c r="E122" s="128"/>
      <c r="F122" s="128"/>
      <c r="G122" s="128"/>
      <c r="H122" s="136"/>
      <c r="I122" s="128"/>
      <c r="J122" s="128"/>
      <c r="K122" s="128"/>
    </row>
    <row r="123" spans="1:11" x14ac:dyDescent="0.2">
      <c r="A123" s="128"/>
      <c r="B123" s="138"/>
      <c r="C123" s="128"/>
      <c r="D123" s="128"/>
      <c r="E123" s="128"/>
      <c r="F123" s="128"/>
      <c r="G123" s="128"/>
      <c r="H123" s="136"/>
      <c r="I123" s="128"/>
      <c r="J123" s="128"/>
      <c r="K123" s="128"/>
    </row>
    <row r="124" spans="1:11" x14ac:dyDescent="0.2">
      <c r="A124" s="128"/>
      <c r="B124" s="138"/>
      <c r="C124" s="128"/>
      <c r="D124" s="128"/>
      <c r="E124" s="128"/>
      <c r="F124" s="128"/>
      <c r="G124" s="128"/>
      <c r="H124" s="136"/>
      <c r="I124" s="128"/>
      <c r="J124" s="128"/>
      <c r="K124" s="128"/>
    </row>
    <row r="125" spans="1:11" x14ac:dyDescent="0.2">
      <c r="A125" s="128"/>
      <c r="B125" s="138"/>
      <c r="C125" s="128"/>
      <c r="D125" s="128"/>
      <c r="E125" s="128"/>
      <c r="F125" s="128"/>
      <c r="G125" s="128"/>
      <c r="H125" s="136"/>
      <c r="I125" s="128"/>
      <c r="J125" s="136"/>
      <c r="K125" s="128"/>
    </row>
    <row r="126" spans="1:11" x14ac:dyDescent="0.2">
      <c r="B126" s="139"/>
      <c r="G126" s="128"/>
      <c r="H126" s="136"/>
      <c r="I126" s="128"/>
      <c r="J126" s="128"/>
    </row>
    <row r="127" spans="1:11" x14ac:dyDescent="0.2">
      <c r="B127" s="139"/>
      <c r="G127" s="128"/>
      <c r="H127" s="136"/>
      <c r="I127" s="128"/>
      <c r="J127" s="128"/>
    </row>
    <row r="128" spans="1:11" x14ac:dyDescent="0.2">
      <c r="B128" s="139"/>
      <c r="G128" s="128"/>
      <c r="H128" s="136"/>
      <c r="I128" s="128"/>
      <c r="J128" s="128"/>
    </row>
    <row r="129" spans="1:10" x14ac:dyDescent="0.2">
      <c r="B129" s="139"/>
      <c r="G129" s="128"/>
      <c r="H129" s="136"/>
      <c r="I129" s="128"/>
      <c r="J129" s="128"/>
    </row>
    <row r="130" spans="1:10" x14ac:dyDescent="0.2">
      <c r="B130" s="139"/>
      <c r="G130" s="128"/>
      <c r="H130" s="136"/>
      <c r="I130" s="128"/>
      <c r="J130" s="128"/>
    </row>
    <row r="131" spans="1:10" x14ac:dyDescent="0.2">
      <c r="B131" s="139"/>
      <c r="G131" s="128"/>
      <c r="H131" s="136"/>
      <c r="I131" s="128"/>
      <c r="J131" s="128"/>
    </row>
    <row r="132" spans="1:10" x14ac:dyDescent="0.2">
      <c r="A132" s="128"/>
      <c r="B132" s="138"/>
      <c r="C132" s="128"/>
      <c r="D132" s="128"/>
      <c r="E132" s="128"/>
      <c r="F132" s="128"/>
      <c r="G132" s="128"/>
      <c r="H132" s="128"/>
      <c r="I132" s="128"/>
      <c r="J132" s="128"/>
    </row>
    <row r="133" spans="1:10" x14ac:dyDescent="0.2">
      <c r="A133" s="128"/>
      <c r="B133" s="138"/>
      <c r="C133" s="128"/>
      <c r="D133" s="128"/>
      <c r="E133" s="128"/>
      <c r="F133" s="128"/>
      <c r="G133" s="128"/>
      <c r="H133" s="128"/>
      <c r="I133" s="128"/>
      <c r="J133" s="128"/>
    </row>
    <row r="134" spans="1:10" x14ac:dyDescent="0.2">
      <c r="A134" s="128"/>
      <c r="B134" s="138"/>
      <c r="C134" s="128"/>
      <c r="D134" s="128"/>
      <c r="E134" s="128"/>
      <c r="F134" s="128"/>
      <c r="G134" s="128"/>
      <c r="H134" s="136"/>
      <c r="I134" s="128"/>
      <c r="J134" s="136"/>
    </row>
    <row r="135" spans="1:10" x14ac:dyDescent="0.2">
      <c r="A135" s="128"/>
      <c r="B135" s="138"/>
      <c r="C135" s="128"/>
      <c r="D135" s="128"/>
      <c r="E135" s="128"/>
      <c r="F135" s="128"/>
      <c r="G135" s="128"/>
      <c r="H135" s="136"/>
      <c r="I135" s="128"/>
      <c r="J135" s="136"/>
    </row>
    <row r="136" spans="1:10" x14ac:dyDescent="0.2">
      <c r="A136" s="128"/>
      <c r="B136" s="138"/>
      <c r="C136" s="128"/>
      <c r="D136" s="128"/>
      <c r="E136" s="128"/>
      <c r="F136" s="128"/>
      <c r="G136" s="128"/>
      <c r="H136" s="136"/>
      <c r="I136" s="128"/>
      <c r="J136" s="136"/>
    </row>
    <row r="137" spans="1:10" x14ac:dyDescent="0.2">
      <c r="A137" s="128"/>
      <c r="B137" s="138"/>
      <c r="C137" s="128"/>
      <c r="D137" s="128"/>
      <c r="E137" s="128"/>
      <c r="F137" s="128"/>
      <c r="G137" s="128"/>
      <c r="H137" s="136"/>
      <c r="I137" s="128"/>
      <c r="J137" s="136"/>
    </row>
    <row r="138" spans="1:10" x14ac:dyDescent="0.2">
      <c r="A138" s="128"/>
      <c r="B138" s="138"/>
      <c r="C138" s="128"/>
      <c r="D138" s="128"/>
      <c r="E138" s="128"/>
      <c r="F138" s="128"/>
      <c r="G138" s="128"/>
      <c r="H138" s="136"/>
      <c r="I138" s="128"/>
      <c r="J138" s="136"/>
    </row>
    <row r="139" spans="1:10" x14ac:dyDescent="0.2">
      <c r="A139" s="128"/>
      <c r="B139" s="138"/>
      <c r="C139" s="128"/>
      <c r="D139" s="128"/>
      <c r="E139" s="128"/>
      <c r="F139" s="128"/>
      <c r="G139" s="128"/>
      <c r="H139" s="136"/>
      <c r="I139" s="128"/>
      <c r="J139" s="136"/>
    </row>
    <row r="140" spans="1:10" x14ac:dyDescent="0.2">
      <c r="A140" s="128"/>
      <c r="B140" s="138"/>
      <c r="C140" s="128"/>
      <c r="D140" s="128"/>
      <c r="E140" s="128"/>
      <c r="F140" s="128"/>
      <c r="G140" s="128"/>
      <c r="H140" s="136"/>
      <c r="I140" s="128"/>
      <c r="J140" s="136"/>
    </row>
    <row r="141" spans="1:10" x14ac:dyDescent="0.2">
      <c r="A141" s="128"/>
      <c r="B141" s="138"/>
      <c r="C141" s="128"/>
      <c r="D141" s="128"/>
      <c r="E141" s="128"/>
      <c r="F141" s="128"/>
      <c r="G141" s="128"/>
      <c r="H141" s="136"/>
      <c r="I141" s="128"/>
      <c r="J141" s="136"/>
    </row>
    <row r="142" spans="1:10" x14ac:dyDescent="0.2">
      <c r="A142" s="128"/>
      <c r="B142" s="138"/>
      <c r="C142" s="128"/>
      <c r="D142" s="128"/>
      <c r="E142" s="128"/>
      <c r="F142" s="128"/>
      <c r="G142" s="128"/>
      <c r="H142" s="136"/>
      <c r="I142" s="128"/>
      <c r="J142" s="136"/>
    </row>
    <row r="143" spans="1:10" x14ac:dyDescent="0.2">
      <c r="A143" s="128"/>
      <c r="B143" s="138"/>
      <c r="C143" s="128"/>
      <c r="D143" s="128"/>
      <c r="E143" s="128"/>
      <c r="F143" s="128"/>
      <c r="G143" s="128"/>
      <c r="H143" s="136"/>
      <c r="I143" s="128"/>
      <c r="J143" s="136"/>
    </row>
    <row r="144" spans="1:10" x14ac:dyDescent="0.2">
      <c r="A144" s="128"/>
      <c r="B144" s="138"/>
      <c r="C144" s="128"/>
      <c r="D144" s="128"/>
      <c r="E144" s="128"/>
      <c r="F144" s="128"/>
      <c r="G144" s="128"/>
      <c r="H144" s="136"/>
      <c r="I144" s="128"/>
      <c r="J144" s="128"/>
    </row>
    <row r="145" spans="1:10" x14ac:dyDescent="0.2">
      <c r="A145" s="128"/>
      <c r="B145" s="138"/>
      <c r="C145" s="128"/>
      <c r="D145" s="128"/>
      <c r="E145" s="128"/>
      <c r="F145" s="128"/>
      <c r="G145" s="128"/>
      <c r="H145" s="128"/>
      <c r="I145" s="128"/>
      <c r="J145" s="128"/>
    </row>
    <row r="146" spans="1:10" x14ac:dyDescent="0.2">
      <c r="A146" s="128"/>
      <c r="B146" s="138"/>
      <c r="C146" s="128"/>
      <c r="D146" s="128"/>
      <c r="E146" s="128"/>
      <c r="F146" s="128"/>
      <c r="G146" s="128"/>
      <c r="H146" s="128"/>
      <c r="I146" s="128"/>
      <c r="J146" s="128"/>
    </row>
    <row r="147" spans="1:10" x14ac:dyDescent="0.2">
      <c r="A147" s="128"/>
      <c r="B147" s="138"/>
      <c r="C147" s="128"/>
      <c r="D147" s="128"/>
      <c r="E147" s="128"/>
      <c r="F147" s="128"/>
      <c r="G147" s="128"/>
      <c r="H147" s="136"/>
      <c r="I147" s="128"/>
      <c r="J147" s="136"/>
    </row>
    <row r="148" spans="1:10" x14ac:dyDescent="0.2">
      <c r="A148" s="128"/>
      <c r="B148" s="138"/>
      <c r="C148" s="128"/>
      <c r="D148" s="128"/>
      <c r="E148" s="128"/>
      <c r="F148" s="128"/>
      <c r="G148" s="128"/>
      <c r="H148" s="136"/>
      <c r="I148" s="128"/>
      <c r="J148" s="136"/>
    </row>
    <row r="149" spans="1:10" x14ac:dyDescent="0.2">
      <c r="A149" s="128"/>
      <c r="B149" s="138"/>
      <c r="C149" s="128"/>
      <c r="D149" s="128"/>
      <c r="E149" s="128"/>
      <c r="F149" s="128"/>
      <c r="G149" s="128"/>
      <c r="H149" s="128"/>
      <c r="I149" s="128"/>
      <c r="J149" s="128"/>
    </row>
    <row r="150" spans="1:10" x14ac:dyDescent="0.2">
      <c r="A150" s="128"/>
      <c r="B150" s="138"/>
      <c r="C150" s="128"/>
      <c r="D150" s="128"/>
      <c r="E150" s="128"/>
      <c r="F150" s="128"/>
      <c r="G150" s="128"/>
      <c r="H150" s="128"/>
      <c r="I150" s="128"/>
      <c r="J150" s="128"/>
    </row>
    <row r="151" spans="1:10" x14ac:dyDescent="0.2">
      <c r="A151" s="128"/>
      <c r="B151" s="138"/>
      <c r="C151" s="128"/>
      <c r="D151" s="128"/>
      <c r="E151" s="128"/>
      <c r="F151" s="128"/>
      <c r="G151" s="128"/>
      <c r="H151" s="128"/>
      <c r="I151" s="128"/>
      <c r="J151" s="128"/>
    </row>
    <row r="152" spans="1:10" x14ac:dyDescent="0.2">
      <c r="A152" s="128"/>
      <c r="B152" s="138"/>
      <c r="C152" s="128"/>
      <c r="D152" s="128"/>
      <c r="E152" s="128"/>
      <c r="F152" s="128"/>
      <c r="G152" s="128"/>
      <c r="H152" s="128"/>
      <c r="I152" s="128"/>
      <c r="J152" s="128"/>
    </row>
    <row r="153" spans="1:10" x14ac:dyDescent="0.2">
      <c r="A153" s="128"/>
      <c r="B153" s="128"/>
      <c r="C153" s="128"/>
      <c r="D153" s="128"/>
      <c r="E153" s="128"/>
      <c r="F153" s="128"/>
      <c r="G153" s="128"/>
      <c r="H153" s="128"/>
      <c r="I153" s="128"/>
      <c r="J153" s="128"/>
    </row>
    <row r="154" spans="1:10" x14ac:dyDescent="0.2">
      <c r="A154" s="128"/>
      <c r="B154" s="128"/>
      <c r="C154" s="128"/>
      <c r="D154" s="128"/>
      <c r="E154" s="128"/>
      <c r="F154" s="128"/>
      <c r="G154" s="128"/>
      <c r="H154" s="128"/>
      <c r="I154" s="128"/>
      <c r="J154" s="128"/>
    </row>
    <row r="155" spans="1:10" x14ac:dyDescent="0.2">
      <c r="A155" s="128"/>
      <c r="B155" s="128"/>
      <c r="C155" s="128"/>
      <c r="D155" s="128"/>
      <c r="E155" s="128"/>
      <c r="F155" s="128"/>
      <c r="G155" s="128"/>
      <c r="H155" s="128"/>
      <c r="I155" s="128"/>
      <c r="J155" s="128"/>
    </row>
    <row r="156" spans="1:10" x14ac:dyDescent="0.2">
      <c r="A156" s="128"/>
      <c r="B156" s="128"/>
      <c r="C156" s="128"/>
      <c r="D156" s="128"/>
      <c r="E156" s="128"/>
      <c r="F156" s="128"/>
      <c r="G156" s="128"/>
      <c r="H156" s="128"/>
      <c r="I156" s="128"/>
      <c r="J156" s="128"/>
    </row>
    <row r="157" spans="1:10" x14ac:dyDescent="0.2">
      <c r="A157" s="128"/>
      <c r="B157" s="128"/>
      <c r="C157" s="128"/>
      <c r="D157" s="128"/>
      <c r="E157" s="128"/>
      <c r="F157" s="128"/>
      <c r="G157" s="128"/>
      <c r="H157" s="128"/>
      <c r="I157" s="128"/>
      <c r="J157" s="128"/>
    </row>
    <row r="158" spans="1:10" x14ac:dyDescent="0.2">
      <c r="A158" s="128"/>
      <c r="B158" s="128"/>
      <c r="C158" s="128"/>
      <c r="D158" s="128"/>
      <c r="E158" s="128"/>
      <c r="F158" s="128"/>
      <c r="G158" s="128"/>
      <c r="H158" s="128"/>
      <c r="I158" s="128"/>
      <c r="J158" s="128"/>
    </row>
    <row r="159" spans="1:10" x14ac:dyDescent="0.2">
      <c r="A159" s="128"/>
      <c r="B159" s="128"/>
      <c r="C159" s="128"/>
      <c r="D159" s="128"/>
      <c r="E159" s="128"/>
      <c r="F159" s="128"/>
      <c r="G159" s="128"/>
      <c r="H159" s="128"/>
      <c r="I159" s="128"/>
      <c r="J159" s="128"/>
    </row>
  </sheetData>
  <autoFilter ref="A1:L119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73"/>
  <sheetViews>
    <sheetView zoomScale="85" zoomScaleNormal="85" workbookViewId="0">
      <selection activeCell="F25" sqref="F25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A2" s="128" t="s">
        <v>708</v>
      </c>
      <c r="B2" s="138">
        <v>43070</v>
      </c>
      <c r="C2" s="128" t="s">
        <v>688</v>
      </c>
      <c r="D2" s="128">
        <v>2609.16</v>
      </c>
      <c r="E2" s="128" t="s">
        <v>689</v>
      </c>
      <c r="F2" s="128" t="s">
        <v>690</v>
      </c>
      <c r="G2" s="128"/>
      <c r="H2" s="128"/>
      <c r="I2" t="s">
        <v>984</v>
      </c>
      <c r="J2" s="128"/>
      <c r="K2" s="128"/>
    </row>
    <row r="3" spans="1:11" x14ac:dyDescent="0.2">
      <c r="A3" s="128" t="s">
        <v>708</v>
      </c>
      <c r="B3" s="138">
        <v>43070</v>
      </c>
      <c r="C3" s="128" t="s">
        <v>688</v>
      </c>
      <c r="D3" s="128">
        <v>-232.5</v>
      </c>
      <c r="E3" s="128" t="s">
        <v>631</v>
      </c>
      <c r="F3" s="128" t="s">
        <v>694</v>
      </c>
      <c r="G3" s="128"/>
      <c r="H3" s="128"/>
      <c r="I3" t="s">
        <v>984</v>
      </c>
      <c r="J3" s="128"/>
      <c r="K3" s="128"/>
    </row>
    <row r="4" spans="1:11" x14ac:dyDescent="0.2">
      <c r="A4" s="128" t="s">
        <v>708</v>
      </c>
      <c r="B4" s="138">
        <v>43070</v>
      </c>
      <c r="C4" s="128" t="s">
        <v>688</v>
      </c>
      <c r="D4" s="128">
        <v>-160</v>
      </c>
      <c r="E4" s="128" t="s">
        <v>631</v>
      </c>
      <c r="F4" s="128" t="s">
        <v>692</v>
      </c>
      <c r="G4" s="128"/>
      <c r="H4" s="128"/>
      <c r="I4" t="s">
        <v>984</v>
      </c>
      <c r="J4" s="128"/>
      <c r="K4" s="128"/>
    </row>
    <row r="5" spans="1:11" x14ac:dyDescent="0.2">
      <c r="A5" s="128" t="s">
        <v>708</v>
      </c>
      <c r="B5" s="138">
        <v>43070</v>
      </c>
      <c r="C5" s="128" t="s">
        <v>688</v>
      </c>
      <c r="D5" s="128">
        <v>-157.5</v>
      </c>
      <c r="E5" s="128" t="s">
        <v>631</v>
      </c>
      <c r="F5" s="128" t="s">
        <v>693</v>
      </c>
      <c r="G5" s="128"/>
      <c r="H5" s="128"/>
      <c r="I5" t="s">
        <v>984</v>
      </c>
      <c r="J5" s="128"/>
      <c r="K5" s="128"/>
    </row>
    <row r="6" spans="1:11" x14ac:dyDescent="0.2">
      <c r="A6" s="128" t="s">
        <v>708</v>
      </c>
      <c r="B6" s="138">
        <v>43070</v>
      </c>
      <c r="C6" s="128" t="s">
        <v>688</v>
      </c>
      <c r="D6" s="128">
        <v>-50</v>
      </c>
      <c r="E6" s="128" t="s">
        <v>631</v>
      </c>
      <c r="F6" s="128" t="s">
        <v>691</v>
      </c>
      <c r="G6" s="128"/>
      <c r="H6" s="128"/>
      <c r="I6" t="s">
        <v>984</v>
      </c>
      <c r="J6" s="128"/>
      <c r="K6" s="128"/>
    </row>
    <row r="7" spans="1:11" x14ac:dyDescent="0.2">
      <c r="A7" s="128" t="s">
        <v>708</v>
      </c>
      <c r="B7" s="138">
        <v>43070</v>
      </c>
      <c r="C7" s="128" t="s">
        <v>688</v>
      </c>
      <c r="D7" s="128">
        <v>-50</v>
      </c>
      <c r="E7" s="128" t="s">
        <v>631</v>
      </c>
      <c r="F7" s="128" t="s">
        <v>635</v>
      </c>
      <c r="G7" s="128"/>
      <c r="H7" s="128"/>
      <c r="I7" t="s">
        <v>984</v>
      </c>
      <c r="J7" s="128"/>
      <c r="K7" s="128"/>
    </row>
    <row r="8" spans="1:11" x14ac:dyDescent="0.2">
      <c r="A8" s="128" t="s">
        <v>708</v>
      </c>
      <c r="B8" s="138">
        <v>43070</v>
      </c>
      <c r="C8" s="128" t="s">
        <v>688</v>
      </c>
      <c r="D8" s="128">
        <v>-524.26</v>
      </c>
      <c r="E8" s="128" t="s">
        <v>639</v>
      </c>
      <c r="F8" s="128" t="s">
        <v>696</v>
      </c>
      <c r="G8" s="128"/>
      <c r="H8" s="128"/>
      <c r="I8" t="s">
        <v>985</v>
      </c>
      <c r="J8" s="128"/>
      <c r="K8" s="128"/>
    </row>
    <row r="9" spans="1:11" x14ac:dyDescent="0.2">
      <c r="A9" s="128" t="s">
        <v>708</v>
      </c>
      <c r="B9" s="138">
        <v>43070</v>
      </c>
      <c r="C9" s="128" t="s">
        <v>688</v>
      </c>
      <c r="D9" s="128">
        <v>-186.14</v>
      </c>
      <c r="E9" s="128" t="s">
        <v>639</v>
      </c>
      <c r="F9" s="128" t="s">
        <v>876</v>
      </c>
      <c r="G9" s="128"/>
      <c r="H9" s="128"/>
      <c r="I9" t="s">
        <v>985</v>
      </c>
      <c r="J9" s="128"/>
      <c r="K9" s="128"/>
    </row>
    <row r="10" spans="1:11" x14ac:dyDescent="0.2">
      <c r="A10" s="128" t="s">
        <v>708</v>
      </c>
      <c r="B10" s="138">
        <v>43070</v>
      </c>
      <c r="C10" s="128" t="s">
        <v>688</v>
      </c>
      <c r="D10" s="128">
        <v>-195.72</v>
      </c>
      <c r="E10" s="128" t="s">
        <v>639</v>
      </c>
      <c r="F10" s="128" t="s">
        <v>698</v>
      </c>
      <c r="G10" s="128"/>
      <c r="H10" s="128"/>
      <c r="I10" t="s">
        <v>985</v>
      </c>
      <c r="J10" s="128"/>
      <c r="K10" s="128"/>
    </row>
    <row r="11" spans="1:11" x14ac:dyDescent="0.2">
      <c r="A11" s="128" t="s">
        <v>708</v>
      </c>
      <c r="B11" s="138">
        <v>43070</v>
      </c>
      <c r="C11" s="128" t="s">
        <v>688</v>
      </c>
      <c r="D11" s="128">
        <v>-197.32</v>
      </c>
      <c r="E11" s="128" t="s">
        <v>639</v>
      </c>
      <c r="F11" s="128" t="s">
        <v>699</v>
      </c>
      <c r="G11" s="128"/>
      <c r="H11" s="128"/>
      <c r="I11" t="s">
        <v>985</v>
      </c>
      <c r="J11" s="128"/>
      <c r="K11" s="128"/>
    </row>
    <row r="12" spans="1:11" x14ac:dyDescent="0.2">
      <c r="A12" s="128" t="s">
        <v>708</v>
      </c>
      <c r="B12" s="138">
        <v>43070</v>
      </c>
      <c r="C12" s="128" t="s">
        <v>688</v>
      </c>
      <c r="D12" s="128">
        <v>-367.24</v>
      </c>
      <c r="E12" s="128" t="s">
        <v>639</v>
      </c>
      <c r="F12" s="128" t="s">
        <v>700</v>
      </c>
      <c r="G12" s="128"/>
      <c r="H12" s="128"/>
      <c r="I12" t="s">
        <v>985</v>
      </c>
      <c r="J12" s="128"/>
      <c r="K12" s="128"/>
    </row>
    <row r="13" spans="1:11" x14ac:dyDescent="0.2">
      <c r="A13" s="128" t="s">
        <v>708</v>
      </c>
      <c r="B13" s="138">
        <v>43070</v>
      </c>
      <c r="C13" s="128" t="s">
        <v>688</v>
      </c>
      <c r="D13" s="128">
        <v>-356.87</v>
      </c>
      <c r="E13" s="128" t="s">
        <v>639</v>
      </c>
      <c r="F13" s="128" t="s">
        <v>701</v>
      </c>
      <c r="G13" s="128"/>
      <c r="H13" s="128"/>
      <c r="I13" t="s">
        <v>985</v>
      </c>
      <c r="J13" s="128"/>
      <c r="K13" s="128"/>
    </row>
    <row r="14" spans="1:11" x14ac:dyDescent="0.2">
      <c r="A14" s="128" t="s">
        <v>708</v>
      </c>
      <c r="B14" s="138">
        <v>43073</v>
      </c>
      <c r="C14" s="128" t="s">
        <v>688</v>
      </c>
      <c r="D14" s="128">
        <v>438.31</v>
      </c>
      <c r="E14" s="128" t="s">
        <v>646</v>
      </c>
      <c r="F14" s="128" t="s">
        <v>695</v>
      </c>
      <c r="G14" s="128"/>
      <c r="H14" s="128"/>
      <c r="I14" t="s">
        <v>984</v>
      </c>
      <c r="J14" s="128"/>
      <c r="K14" s="128"/>
    </row>
    <row r="15" spans="1:11" x14ac:dyDescent="0.2">
      <c r="A15" s="128" t="s">
        <v>708</v>
      </c>
      <c r="B15" s="138">
        <v>43073</v>
      </c>
      <c r="C15" s="128" t="s">
        <v>688</v>
      </c>
      <c r="D15" s="128">
        <v>-75</v>
      </c>
      <c r="E15" s="128" t="s">
        <v>631</v>
      </c>
      <c r="F15" s="128" t="s">
        <v>702</v>
      </c>
      <c r="G15" s="128"/>
      <c r="H15" s="128"/>
      <c r="I15" t="s">
        <v>984</v>
      </c>
      <c r="J15" s="128"/>
      <c r="K15" s="128"/>
    </row>
    <row r="16" spans="1:11" x14ac:dyDescent="0.2">
      <c r="A16" s="128" t="s">
        <v>708</v>
      </c>
      <c r="B16" s="138">
        <v>43073</v>
      </c>
      <c r="C16" s="128" t="s">
        <v>688</v>
      </c>
      <c r="D16" s="128">
        <v>-228.8</v>
      </c>
      <c r="E16" s="128" t="s">
        <v>639</v>
      </c>
      <c r="F16" s="128" t="s">
        <v>877</v>
      </c>
      <c r="G16" s="128"/>
      <c r="H16" s="128"/>
      <c r="I16" t="s">
        <v>985</v>
      </c>
      <c r="J16" s="128"/>
      <c r="K16" s="128"/>
    </row>
    <row r="17" spans="1:11" x14ac:dyDescent="0.2">
      <c r="A17" s="128" t="s">
        <v>708</v>
      </c>
      <c r="B17" s="138">
        <v>43073</v>
      </c>
      <c r="C17" s="128" t="s">
        <v>688</v>
      </c>
      <c r="D17" s="128">
        <v>-37.950000000000003</v>
      </c>
      <c r="E17" s="128" t="s">
        <v>639</v>
      </c>
      <c r="F17" s="128" t="s">
        <v>697</v>
      </c>
      <c r="G17" s="128"/>
      <c r="H17" s="128"/>
      <c r="I17" t="s">
        <v>984</v>
      </c>
      <c r="J17" s="128"/>
      <c r="K17" s="128"/>
    </row>
    <row r="18" spans="1:11" x14ac:dyDescent="0.2">
      <c r="A18" s="128" t="s">
        <v>708</v>
      </c>
      <c r="B18" s="138">
        <v>43073</v>
      </c>
      <c r="C18" s="128" t="s">
        <v>688</v>
      </c>
      <c r="D18" s="128">
        <v>-75</v>
      </c>
      <c r="E18" s="128" t="s">
        <v>639</v>
      </c>
      <c r="F18" s="128" t="s">
        <v>703</v>
      </c>
      <c r="G18" s="128"/>
      <c r="H18" s="128"/>
      <c r="I18" t="s">
        <v>984</v>
      </c>
      <c r="J18" s="128"/>
      <c r="K18" s="128"/>
    </row>
    <row r="19" spans="1:11" x14ac:dyDescent="0.2">
      <c r="A19" s="128" t="s">
        <v>708</v>
      </c>
      <c r="B19" s="138">
        <v>43076</v>
      </c>
      <c r="C19" s="128" t="s">
        <v>688</v>
      </c>
      <c r="D19" s="128">
        <v>649.6</v>
      </c>
      <c r="E19" s="128" t="s">
        <v>646</v>
      </c>
      <c r="F19" s="128" t="s">
        <v>712</v>
      </c>
      <c r="G19" s="128"/>
      <c r="H19" s="128"/>
      <c r="I19" t="s">
        <v>984</v>
      </c>
      <c r="J19" s="128"/>
      <c r="K19" s="128"/>
    </row>
    <row r="20" spans="1:11" x14ac:dyDescent="0.2">
      <c r="A20" s="128" t="s">
        <v>708</v>
      </c>
      <c r="B20" s="138">
        <v>43076</v>
      </c>
      <c r="C20" s="128" t="s">
        <v>688</v>
      </c>
      <c r="D20" s="128">
        <v>36.08</v>
      </c>
      <c r="E20" s="128" t="s">
        <v>646</v>
      </c>
      <c r="F20" s="128" t="s">
        <v>710</v>
      </c>
      <c r="G20" s="128"/>
      <c r="H20" s="128"/>
      <c r="I20" t="s">
        <v>984</v>
      </c>
      <c r="J20" s="128"/>
      <c r="K20" s="128"/>
    </row>
    <row r="21" spans="1:11" x14ac:dyDescent="0.2">
      <c r="A21" s="128" t="s">
        <v>708</v>
      </c>
      <c r="B21" s="138">
        <v>43077</v>
      </c>
      <c r="C21" s="128" t="s">
        <v>688</v>
      </c>
      <c r="D21" s="128">
        <v>-201.56</v>
      </c>
      <c r="E21" s="128" t="s">
        <v>639</v>
      </c>
      <c r="F21" s="128" t="s">
        <v>709</v>
      </c>
      <c r="G21" s="128"/>
      <c r="H21" s="128"/>
      <c r="I21" t="s">
        <v>985</v>
      </c>
      <c r="J21" s="128"/>
      <c r="K21" s="128"/>
    </row>
    <row r="22" spans="1:11" x14ac:dyDescent="0.2">
      <c r="A22" s="128" t="s">
        <v>708</v>
      </c>
      <c r="B22" s="138">
        <v>43081</v>
      </c>
      <c r="C22" s="128" t="s">
        <v>688</v>
      </c>
      <c r="D22" s="128">
        <v>-37.68</v>
      </c>
      <c r="E22" s="128" t="s">
        <v>639</v>
      </c>
      <c r="F22" s="128" t="s">
        <v>728</v>
      </c>
      <c r="G22" s="128"/>
      <c r="H22" s="128"/>
      <c r="I22" t="s">
        <v>984</v>
      </c>
      <c r="J22" s="128"/>
      <c r="K22" s="128"/>
    </row>
    <row r="23" spans="1:11" x14ac:dyDescent="0.2">
      <c r="A23" s="128" t="s">
        <v>708</v>
      </c>
      <c r="B23" s="138">
        <v>43081</v>
      </c>
      <c r="C23" s="128" t="s">
        <v>688</v>
      </c>
      <c r="D23" s="128">
        <v>-162.04</v>
      </c>
      <c r="E23" s="128" t="s">
        <v>639</v>
      </c>
      <c r="F23" s="128" t="s">
        <v>878</v>
      </c>
      <c r="G23" s="128"/>
      <c r="H23" s="128"/>
      <c r="I23" t="s">
        <v>984</v>
      </c>
      <c r="J23" s="128"/>
      <c r="K23" s="128"/>
    </row>
    <row r="24" spans="1:11" x14ac:dyDescent="0.2">
      <c r="A24" s="128" t="s">
        <v>708</v>
      </c>
      <c r="B24" s="138">
        <v>43082</v>
      </c>
      <c r="C24" s="128" t="s">
        <v>688</v>
      </c>
      <c r="D24" s="128">
        <v>-750</v>
      </c>
      <c r="E24" s="128" t="s">
        <v>644</v>
      </c>
      <c r="F24" s="128" t="s">
        <v>879</v>
      </c>
      <c r="G24" s="128" t="s">
        <v>501</v>
      </c>
      <c r="H24" s="137" t="s">
        <v>981</v>
      </c>
      <c r="I24" t="s">
        <v>986</v>
      </c>
      <c r="J24" s="128"/>
      <c r="K24" s="128"/>
    </row>
    <row r="25" spans="1:11" x14ac:dyDescent="0.2">
      <c r="A25" s="128" t="s">
        <v>708</v>
      </c>
      <c r="B25" s="138">
        <v>43083</v>
      </c>
      <c r="C25" s="128" t="s">
        <v>688</v>
      </c>
      <c r="D25" s="128">
        <v>-53.99</v>
      </c>
      <c r="E25" s="128" t="s">
        <v>639</v>
      </c>
      <c r="F25" s="128" t="s">
        <v>880</v>
      </c>
      <c r="G25" s="128"/>
      <c r="H25" s="128"/>
      <c r="I25" t="s">
        <v>984</v>
      </c>
      <c r="J25" s="128"/>
      <c r="K25" s="128"/>
    </row>
    <row r="26" spans="1:11" x14ac:dyDescent="0.2">
      <c r="A26" s="128" t="s">
        <v>708</v>
      </c>
      <c r="B26" s="138">
        <v>43084</v>
      </c>
      <c r="C26" s="128" t="s">
        <v>688</v>
      </c>
      <c r="D26" s="128">
        <v>-186.1</v>
      </c>
      <c r="E26" s="128" t="s">
        <v>639</v>
      </c>
      <c r="F26" s="128" t="s">
        <v>881</v>
      </c>
      <c r="G26" s="128"/>
      <c r="H26" s="136"/>
      <c r="I26" t="s">
        <v>985</v>
      </c>
      <c r="J26" s="128"/>
      <c r="K26" s="128"/>
    </row>
    <row r="27" spans="1:11" x14ac:dyDescent="0.2">
      <c r="A27" s="128" t="s">
        <v>708</v>
      </c>
      <c r="B27" s="138">
        <v>43084</v>
      </c>
      <c r="C27" s="128" t="s">
        <v>688</v>
      </c>
      <c r="D27" s="128">
        <v>-192.58</v>
      </c>
      <c r="E27" s="128" t="s">
        <v>639</v>
      </c>
      <c r="F27" s="128" t="s">
        <v>882</v>
      </c>
      <c r="G27" s="128"/>
      <c r="H27" s="128"/>
      <c r="I27" t="s">
        <v>985</v>
      </c>
      <c r="J27" s="128"/>
      <c r="K27" s="128"/>
    </row>
    <row r="28" spans="1:11" x14ac:dyDescent="0.2">
      <c r="A28" s="128" t="s">
        <v>708</v>
      </c>
      <c r="B28" s="138">
        <v>43084</v>
      </c>
      <c r="C28" s="128" t="s">
        <v>688</v>
      </c>
      <c r="D28" s="128">
        <v>-192.58</v>
      </c>
      <c r="E28" s="128" t="s">
        <v>639</v>
      </c>
      <c r="F28" s="128" t="s">
        <v>883</v>
      </c>
      <c r="G28" s="128"/>
      <c r="H28" s="128"/>
      <c r="I28" t="s">
        <v>985</v>
      </c>
      <c r="J28" s="128"/>
      <c r="K28" s="128"/>
    </row>
    <row r="29" spans="1:11" x14ac:dyDescent="0.2">
      <c r="A29" s="128" t="s">
        <v>708</v>
      </c>
      <c r="B29" s="138">
        <v>43084</v>
      </c>
      <c r="C29" s="128" t="s">
        <v>688</v>
      </c>
      <c r="D29" s="128">
        <v>-186.14</v>
      </c>
      <c r="E29" s="128" t="s">
        <v>639</v>
      </c>
      <c r="F29" s="128" t="s">
        <v>884</v>
      </c>
      <c r="G29" s="128"/>
      <c r="H29" s="128"/>
      <c r="I29" t="s">
        <v>985</v>
      </c>
      <c r="J29" s="128"/>
      <c r="K29" s="128"/>
    </row>
    <row r="30" spans="1:11" x14ac:dyDescent="0.2">
      <c r="A30" s="128" t="s">
        <v>708</v>
      </c>
      <c r="B30" s="138">
        <v>43084</v>
      </c>
      <c r="C30" s="128" t="s">
        <v>688</v>
      </c>
      <c r="D30" s="128">
        <v>-186.1</v>
      </c>
      <c r="E30" s="128" t="s">
        <v>639</v>
      </c>
      <c r="F30" s="128" t="s">
        <v>885</v>
      </c>
      <c r="G30" s="128"/>
      <c r="H30" s="136"/>
      <c r="I30" t="s">
        <v>985</v>
      </c>
      <c r="J30" s="128"/>
      <c r="K30" s="128"/>
    </row>
    <row r="31" spans="1:11" x14ac:dyDescent="0.2">
      <c r="A31" s="128" t="s">
        <v>708</v>
      </c>
      <c r="B31" s="138">
        <v>43084</v>
      </c>
      <c r="C31" s="128" t="s">
        <v>688</v>
      </c>
      <c r="D31" s="128">
        <v>-186.16</v>
      </c>
      <c r="E31" s="128" t="s">
        <v>639</v>
      </c>
      <c r="F31" s="128" t="s">
        <v>886</v>
      </c>
      <c r="G31" s="128"/>
      <c r="H31" s="136"/>
      <c r="I31" t="s">
        <v>985</v>
      </c>
      <c r="J31" s="128"/>
      <c r="K31" s="128"/>
    </row>
    <row r="32" spans="1:11" x14ac:dyDescent="0.2">
      <c r="A32" s="128" t="s">
        <v>708</v>
      </c>
      <c r="B32" s="138">
        <v>43084</v>
      </c>
      <c r="C32" s="128" t="s">
        <v>688</v>
      </c>
      <c r="D32" s="128">
        <v>-186.13</v>
      </c>
      <c r="E32" s="128" t="s">
        <v>639</v>
      </c>
      <c r="F32" s="128" t="s">
        <v>887</v>
      </c>
      <c r="G32" s="128"/>
      <c r="H32" s="128"/>
      <c r="I32" t="s">
        <v>985</v>
      </c>
      <c r="J32" s="128"/>
      <c r="K32" s="128"/>
    </row>
    <row r="33" spans="1:11" x14ac:dyDescent="0.2">
      <c r="A33" s="128" t="s">
        <v>708</v>
      </c>
      <c r="B33" s="138">
        <v>43084</v>
      </c>
      <c r="C33" s="128" t="s">
        <v>688</v>
      </c>
      <c r="D33" s="128">
        <v>-184.79</v>
      </c>
      <c r="E33" s="128" t="s">
        <v>639</v>
      </c>
      <c r="F33" s="128" t="s">
        <v>711</v>
      </c>
      <c r="G33" s="128"/>
      <c r="H33" s="128"/>
      <c r="I33" t="s">
        <v>985</v>
      </c>
      <c r="J33" s="128"/>
      <c r="K33" s="128"/>
    </row>
    <row r="34" spans="1:11" x14ac:dyDescent="0.2">
      <c r="A34" s="128" t="s">
        <v>708</v>
      </c>
      <c r="B34" s="138">
        <v>43087</v>
      </c>
      <c r="C34" s="128" t="s">
        <v>688</v>
      </c>
      <c r="D34" s="128">
        <v>-250</v>
      </c>
      <c r="E34" s="128" t="s">
        <v>683</v>
      </c>
      <c r="F34" s="128" t="s">
        <v>714</v>
      </c>
      <c r="G34" s="128"/>
      <c r="H34" s="128"/>
      <c r="I34" t="s">
        <v>984</v>
      </c>
      <c r="J34" s="128"/>
      <c r="K34" s="128"/>
    </row>
    <row r="35" spans="1:11" x14ac:dyDescent="0.2">
      <c r="A35" s="128" t="s">
        <v>708</v>
      </c>
      <c r="B35" s="138">
        <v>43088</v>
      </c>
      <c r="C35" s="128" t="s">
        <v>688</v>
      </c>
      <c r="D35" s="128">
        <v>-780</v>
      </c>
      <c r="E35" s="128" t="s">
        <v>644</v>
      </c>
      <c r="F35" s="128" t="s">
        <v>888</v>
      </c>
      <c r="G35" s="56" t="s">
        <v>613</v>
      </c>
      <c r="H35" s="136" t="s">
        <v>982</v>
      </c>
      <c r="I35" t="s">
        <v>986</v>
      </c>
      <c r="J35" s="128"/>
      <c r="K35" s="128"/>
    </row>
    <row r="36" spans="1:11" x14ac:dyDescent="0.2">
      <c r="A36" s="128" t="s">
        <v>708</v>
      </c>
      <c r="B36" s="138">
        <v>43088</v>
      </c>
      <c r="C36" s="128" t="s">
        <v>688</v>
      </c>
      <c r="D36" s="128">
        <v>-240</v>
      </c>
      <c r="E36" s="128" t="s">
        <v>683</v>
      </c>
      <c r="F36" s="128" t="s">
        <v>714</v>
      </c>
      <c r="G36" s="128"/>
      <c r="H36" s="128"/>
      <c r="I36" t="s">
        <v>984</v>
      </c>
      <c r="J36" s="128"/>
      <c r="K36" s="128"/>
    </row>
    <row r="37" spans="1:11" x14ac:dyDescent="0.2">
      <c r="A37" s="128" t="s">
        <v>708</v>
      </c>
      <c r="B37" s="138">
        <v>43089</v>
      </c>
      <c r="C37" s="128" t="s">
        <v>688</v>
      </c>
      <c r="D37" s="128">
        <v>2386.0700000000002</v>
      </c>
      <c r="E37" s="128" t="s">
        <v>683</v>
      </c>
      <c r="F37" s="128" t="s">
        <v>889</v>
      </c>
      <c r="G37" s="128"/>
      <c r="H37" s="128"/>
      <c r="I37" t="s">
        <v>984</v>
      </c>
      <c r="J37" s="128"/>
      <c r="K37" s="128"/>
    </row>
    <row r="38" spans="1:11" x14ac:dyDescent="0.2">
      <c r="A38" s="128" t="s">
        <v>708</v>
      </c>
      <c r="B38" s="138">
        <v>43089</v>
      </c>
      <c r="C38" s="128" t="s">
        <v>688</v>
      </c>
      <c r="D38" s="128">
        <v>84.31</v>
      </c>
      <c r="E38" s="128" t="s">
        <v>646</v>
      </c>
      <c r="F38" s="128" t="s">
        <v>722</v>
      </c>
      <c r="G38" s="128"/>
      <c r="H38" s="128"/>
      <c r="I38" t="s">
        <v>984</v>
      </c>
      <c r="J38" s="128"/>
      <c r="K38" s="128"/>
    </row>
    <row r="39" spans="1:11" x14ac:dyDescent="0.2">
      <c r="A39" s="128" t="s">
        <v>708</v>
      </c>
      <c r="B39" s="138">
        <v>43090</v>
      </c>
      <c r="C39" s="128" t="s">
        <v>688</v>
      </c>
      <c r="D39" s="128">
        <v>432.56</v>
      </c>
      <c r="E39" s="128" t="s">
        <v>646</v>
      </c>
      <c r="F39" s="128" t="s">
        <v>713</v>
      </c>
      <c r="G39" s="128"/>
      <c r="H39" s="128"/>
      <c r="I39" t="s">
        <v>984</v>
      </c>
      <c r="J39" s="128"/>
      <c r="K39" s="128"/>
    </row>
    <row r="40" spans="1:11" x14ac:dyDescent="0.2">
      <c r="A40" s="128" t="s">
        <v>708</v>
      </c>
      <c r="B40" s="138">
        <v>43090</v>
      </c>
      <c r="C40" s="128" t="s">
        <v>688</v>
      </c>
      <c r="D40" s="128">
        <v>432.55</v>
      </c>
      <c r="E40" s="128" t="s">
        <v>646</v>
      </c>
      <c r="F40" s="128" t="s">
        <v>706</v>
      </c>
      <c r="G40" s="128"/>
      <c r="H40" s="128"/>
      <c r="I40" t="s">
        <v>984</v>
      </c>
      <c r="J40" s="128"/>
      <c r="K40" s="128"/>
    </row>
    <row r="41" spans="1:11" x14ac:dyDescent="0.2">
      <c r="A41" s="128" t="s">
        <v>708</v>
      </c>
      <c r="B41" s="138">
        <v>43090</v>
      </c>
      <c r="C41" s="128" t="s">
        <v>688</v>
      </c>
      <c r="D41" s="128">
        <v>428.29</v>
      </c>
      <c r="E41" s="128" t="s">
        <v>646</v>
      </c>
      <c r="F41" s="128" t="s">
        <v>704</v>
      </c>
      <c r="G41" s="128"/>
      <c r="H41" s="128"/>
      <c r="I41" t="s">
        <v>984</v>
      </c>
      <c r="J41" s="128"/>
      <c r="K41" s="128"/>
    </row>
    <row r="42" spans="1:11" x14ac:dyDescent="0.2">
      <c r="A42" s="128" t="s">
        <v>708</v>
      </c>
      <c r="B42" s="138">
        <v>43090</v>
      </c>
      <c r="C42" s="128" t="s">
        <v>688</v>
      </c>
      <c r="D42" s="128">
        <v>428.29</v>
      </c>
      <c r="E42" s="128" t="s">
        <v>646</v>
      </c>
      <c r="F42" s="128" t="s">
        <v>707</v>
      </c>
      <c r="G42" s="128"/>
      <c r="H42" s="128"/>
      <c r="I42" t="s">
        <v>984</v>
      </c>
      <c r="J42" s="128"/>
      <c r="K42" s="128"/>
    </row>
    <row r="43" spans="1:11" x14ac:dyDescent="0.2">
      <c r="A43" s="128" t="s">
        <v>708</v>
      </c>
      <c r="B43" s="138">
        <v>43090</v>
      </c>
      <c r="C43" s="128" t="s">
        <v>688</v>
      </c>
      <c r="D43" s="128">
        <v>428.29</v>
      </c>
      <c r="E43" s="128" t="s">
        <v>646</v>
      </c>
      <c r="F43" s="128" t="s">
        <v>705</v>
      </c>
      <c r="G43" s="128"/>
      <c r="H43" s="128"/>
      <c r="I43" t="s">
        <v>984</v>
      </c>
      <c r="J43" s="128"/>
      <c r="K43" s="128"/>
    </row>
    <row r="44" spans="1:11" x14ac:dyDescent="0.2">
      <c r="A44" s="128" t="s">
        <v>708</v>
      </c>
      <c r="B44" s="138">
        <v>43090</v>
      </c>
      <c r="C44" s="128" t="s">
        <v>688</v>
      </c>
      <c r="D44" s="128">
        <v>339.27</v>
      </c>
      <c r="E44" s="128" t="s">
        <v>646</v>
      </c>
      <c r="F44" s="128" t="s">
        <v>731</v>
      </c>
      <c r="G44" s="128"/>
      <c r="H44" s="128"/>
      <c r="I44" t="s">
        <v>984</v>
      </c>
      <c r="J44" s="128"/>
      <c r="K44" s="128"/>
    </row>
    <row r="45" spans="1:11" x14ac:dyDescent="0.2">
      <c r="A45" s="128" t="s">
        <v>708</v>
      </c>
      <c r="B45" s="138">
        <v>43090</v>
      </c>
      <c r="C45" s="128" t="s">
        <v>688</v>
      </c>
      <c r="D45" s="128">
        <v>337.89</v>
      </c>
      <c r="E45" s="128" t="s">
        <v>646</v>
      </c>
      <c r="F45" s="128" t="s">
        <v>722</v>
      </c>
      <c r="G45" s="128"/>
      <c r="H45" s="128"/>
      <c r="I45" t="s">
        <v>984</v>
      </c>
      <c r="J45" s="128"/>
      <c r="K45" s="128"/>
    </row>
    <row r="46" spans="1:11" x14ac:dyDescent="0.2">
      <c r="A46" s="128" t="s">
        <v>708</v>
      </c>
      <c r="B46" s="138">
        <v>43091</v>
      </c>
      <c r="C46" s="128" t="s">
        <v>688</v>
      </c>
      <c r="D46" s="128">
        <v>269.58</v>
      </c>
      <c r="E46" s="128" t="s">
        <v>646</v>
      </c>
      <c r="F46" s="128" t="s">
        <v>727</v>
      </c>
      <c r="G46" s="128"/>
      <c r="H46" s="128"/>
      <c r="I46" t="s">
        <v>984</v>
      </c>
      <c r="J46" s="128"/>
      <c r="K46" s="128"/>
    </row>
    <row r="47" spans="1:11" x14ac:dyDescent="0.2">
      <c r="A47" s="128" t="s">
        <v>708</v>
      </c>
      <c r="B47" s="138">
        <v>43091</v>
      </c>
      <c r="C47" s="128" t="s">
        <v>688</v>
      </c>
      <c r="D47" s="128">
        <v>-300</v>
      </c>
      <c r="E47" s="128" t="s">
        <v>683</v>
      </c>
      <c r="F47" s="128" t="s">
        <v>714</v>
      </c>
      <c r="G47" s="128"/>
      <c r="H47" s="128"/>
      <c r="I47" t="s">
        <v>984</v>
      </c>
      <c r="J47" s="128"/>
      <c r="K47" s="128"/>
    </row>
    <row r="48" spans="1:11" x14ac:dyDescent="0.2">
      <c r="A48" s="128" t="s">
        <v>708</v>
      </c>
      <c r="B48" s="138">
        <v>43091</v>
      </c>
      <c r="C48" s="128" t="s">
        <v>688</v>
      </c>
      <c r="D48" s="128">
        <v>-48</v>
      </c>
      <c r="E48" s="128" t="s">
        <v>680</v>
      </c>
      <c r="F48" s="128" t="s">
        <v>732</v>
      </c>
      <c r="G48" s="128"/>
      <c r="H48" s="128"/>
      <c r="I48" t="s">
        <v>984</v>
      </c>
      <c r="J48" s="128"/>
      <c r="K48" s="128"/>
    </row>
    <row r="49" spans="1:11" x14ac:dyDescent="0.2">
      <c r="A49" s="128" t="s">
        <v>708</v>
      </c>
      <c r="B49" s="138">
        <v>43096</v>
      </c>
      <c r="C49" s="128" t="s">
        <v>688</v>
      </c>
      <c r="D49" s="128">
        <v>468.64</v>
      </c>
      <c r="E49" s="128" t="s">
        <v>646</v>
      </c>
      <c r="F49" s="128" t="s">
        <v>710</v>
      </c>
      <c r="G49" s="128"/>
      <c r="H49" s="128"/>
      <c r="I49" t="s">
        <v>984</v>
      </c>
      <c r="J49" s="128"/>
      <c r="K49" s="128"/>
    </row>
    <row r="50" spans="1:11" x14ac:dyDescent="0.2">
      <c r="A50" s="128" t="s">
        <v>708</v>
      </c>
      <c r="B50" s="138">
        <v>43096</v>
      </c>
      <c r="C50" s="128" t="s">
        <v>688</v>
      </c>
      <c r="D50" s="128">
        <v>-1200</v>
      </c>
      <c r="E50" s="128" t="s">
        <v>631</v>
      </c>
      <c r="F50" s="128" t="s">
        <v>715</v>
      </c>
      <c r="G50" s="128"/>
      <c r="H50" s="128"/>
      <c r="I50" t="s">
        <v>984</v>
      </c>
      <c r="J50" s="128"/>
      <c r="K50" s="128"/>
    </row>
    <row r="51" spans="1:11" x14ac:dyDescent="0.2">
      <c r="A51" s="128" t="s">
        <v>708</v>
      </c>
      <c r="B51" s="138">
        <v>43097</v>
      </c>
      <c r="C51" s="128" t="s">
        <v>688</v>
      </c>
      <c r="D51" s="128">
        <v>-33</v>
      </c>
      <c r="E51" s="128" t="s">
        <v>639</v>
      </c>
      <c r="F51" s="128" t="s">
        <v>716</v>
      </c>
      <c r="G51" s="128"/>
      <c r="H51" s="128"/>
      <c r="I51" t="s">
        <v>984</v>
      </c>
      <c r="J51" s="128"/>
      <c r="K51" s="128"/>
    </row>
    <row r="52" spans="1:11" x14ac:dyDescent="0.2">
      <c r="A52" s="128"/>
      <c r="B52" s="138"/>
      <c r="C52" s="128"/>
      <c r="D52" s="128"/>
      <c r="E52" s="128"/>
      <c r="F52" s="128"/>
      <c r="G52" s="128"/>
      <c r="H52" s="128"/>
      <c r="I52" s="128"/>
      <c r="J52" s="128"/>
      <c r="K52" s="128"/>
    </row>
    <row r="53" spans="1:11" x14ac:dyDescent="0.2">
      <c r="A53" s="128"/>
      <c r="B53" s="138"/>
      <c r="C53" s="128"/>
      <c r="D53" s="128"/>
      <c r="E53" s="128"/>
      <c r="F53" s="128"/>
      <c r="G53" s="128"/>
      <c r="H53" s="128"/>
      <c r="I53" s="128"/>
      <c r="J53" s="128"/>
      <c r="K53" s="128"/>
    </row>
    <row r="54" spans="1:11" x14ac:dyDescent="0.2">
      <c r="A54" s="128"/>
      <c r="B54" s="138"/>
      <c r="C54" s="128"/>
      <c r="D54" s="128"/>
      <c r="E54" s="128"/>
      <c r="F54" s="128"/>
      <c r="G54" s="128"/>
      <c r="H54" s="128"/>
      <c r="I54" s="128"/>
      <c r="J54" s="128"/>
      <c r="K54" s="128"/>
    </row>
    <row r="55" spans="1:11" x14ac:dyDescent="0.2">
      <c r="A55" s="128"/>
      <c r="B55" s="138"/>
      <c r="C55" s="128"/>
      <c r="D55" s="128"/>
      <c r="E55" s="128"/>
      <c r="F55" s="128"/>
      <c r="G55" s="128"/>
      <c r="H55" s="128"/>
      <c r="I55" s="128"/>
      <c r="J55" s="128"/>
      <c r="K55" s="128"/>
    </row>
    <row r="56" spans="1:11" x14ac:dyDescent="0.2">
      <c r="A56" s="128"/>
      <c r="B56" s="138"/>
      <c r="C56" s="128"/>
      <c r="D56" s="128"/>
      <c r="E56" s="128"/>
      <c r="F56" s="128"/>
      <c r="G56" s="128"/>
      <c r="H56" s="128"/>
      <c r="I56" s="128"/>
      <c r="J56" s="128"/>
      <c r="K56" s="128"/>
    </row>
    <row r="57" spans="1:11" x14ac:dyDescent="0.2">
      <c r="A57" s="128"/>
      <c r="B57" s="138"/>
      <c r="C57" s="128"/>
      <c r="D57" s="128"/>
      <c r="E57" s="128"/>
      <c r="F57" s="128"/>
      <c r="G57" s="128"/>
      <c r="H57" s="128"/>
      <c r="I57" s="128"/>
      <c r="J57" s="128"/>
      <c r="K57" s="128"/>
    </row>
    <row r="58" spans="1:11" x14ac:dyDescent="0.2">
      <c r="A58" s="128"/>
      <c r="B58" s="138"/>
      <c r="C58" s="128"/>
      <c r="D58" s="128"/>
      <c r="E58" s="128"/>
      <c r="F58" s="128"/>
      <c r="G58" s="128"/>
      <c r="H58" s="128"/>
      <c r="I58" s="128"/>
      <c r="J58" s="128"/>
      <c r="K58" s="128"/>
    </row>
    <row r="59" spans="1:11" x14ac:dyDescent="0.2">
      <c r="A59" s="128"/>
      <c r="B59" s="138"/>
      <c r="C59" s="128"/>
      <c r="D59" s="128"/>
      <c r="E59" s="128"/>
      <c r="F59" s="128"/>
      <c r="G59" s="128"/>
      <c r="H59" s="128"/>
      <c r="I59" s="128"/>
      <c r="J59" s="128"/>
      <c r="K59" s="128"/>
    </row>
    <row r="60" spans="1:11" x14ac:dyDescent="0.2">
      <c r="B60" s="139"/>
    </row>
    <row r="61" spans="1:11" x14ac:dyDescent="0.2">
      <c r="B61" s="139"/>
    </row>
    <row r="62" spans="1:11" x14ac:dyDescent="0.2">
      <c r="B62" s="139"/>
    </row>
    <row r="63" spans="1:11" x14ac:dyDescent="0.2">
      <c r="B63" s="139"/>
    </row>
    <row r="64" spans="1:11" x14ac:dyDescent="0.2">
      <c r="B64" s="139"/>
    </row>
    <row r="65" spans="2:2" x14ac:dyDescent="0.2">
      <c r="B65" s="139"/>
    </row>
    <row r="66" spans="2:2" x14ac:dyDescent="0.2">
      <c r="B66" s="139"/>
    </row>
    <row r="67" spans="2:2" x14ac:dyDescent="0.2">
      <c r="B67" s="139"/>
    </row>
    <row r="68" spans="2:2" x14ac:dyDescent="0.2">
      <c r="B68" s="139"/>
    </row>
    <row r="69" spans="2:2" x14ac:dyDescent="0.2">
      <c r="B69" s="139"/>
    </row>
    <row r="70" spans="2:2" x14ac:dyDescent="0.2">
      <c r="B70" s="139"/>
    </row>
    <row r="71" spans="2:2" x14ac:dyDescent="0.2">
      <c r="B71" s="139"/>
    </row>
    <row r="72" spans="2:2" x14ac:dyDescent="0.2">
      <c r="B72" s="139"/>
    </row>
    <row r="73" spans="2:2" x14ac:dyDescent="0.2">
      <c r="B73" s="139"/>
    </row>
  </sheetData>
  <autoFilter ref="A1:K5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85"/>
  <sheetViews>
    <sheetView zoomScale="85" zoomScaleNormal="85" workbookViewId="0">
      <selection activeCell="H38" sqref="H38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A2" t="s">
        <v>708</v>
      </c>
      <c r="B2" s="153">
        <v>43070</v>
      </c>
      <c r="C2" t="s">
        <v>717</v>
      </c>
      <c r="D2">
        <v>-14.97</v>
      </c>
      <c r="E2" t="s">
        <v>644</v>
      </c>
      <c r="F2" t="s">
        <v>890</v>
      </c>
      <c r="J2" s="128"/>
    </row>
    <row r="3" spans="1:10" x14ac:dyDescent="0.2">
      <c r="A3" t="s">
        <v>708</v>
      </c>
      <c r="B3" s="153">
        <v>43070</v>
      </c>
      <c r="C3" t="s">
        <v>717</v>
      </c>
      <c r="D3">
        <v>-7.8</v>
      </c>
      <c r="E3" t="s">
        <v>644</v>
      </c>
      <c r="F3" t="s">
        <v>891</v>
      </c>
      <c r="J3" s="128"/>
    </row>
    <row r="4" spans="1:10" x14ac:dyDescent="0.2">
      <c r="A4" t="s">
        <v>708</v>
      </c>
      <c r="B4" s="153">
        <v>43070</v>
      </c>
      <c r="C4" t="s">
        <v>717</v>
      </c>
      <c r="D4">
        <v>-18</v>
      </c>
      <c r="E4" t="s">
        <v>644</v>
      </c>
      <c r="F4" t="s">
        <v>892</v>
      </c>
      <c r="J4" s="128"/>
    </row>
    <row r="5" spans="1:10" x14ac:dyDescent="0.2">
      <c r="A5" t="s">
        <v>708</v>
      </c>
      <c r="B5" s="153">
        <v>43073</v>
      </c>
      <c r="C5" t="s">
        <v>717</v>
      </c>
      <c r="D5">
        <v>-20.100000000000001</v>
      </c>
      <c r="E5" t="s">
        <v>644</v>
      </c>
      <c r="F5" t="s">
        <v>893</v>
      </c>
      <c r="J5" s="128"/>
    </row>
    <row r="6" spans="1:10" x14ac:dyDescent="0.2">
      <c r="A6" t="s">
        <v>708</v>
      </c>
      <c r="B6" s="153">
        <v>43073</v>
      </c>
      <c r="C6" t="s">
        <v>717</v>
      </c>
      <c r="D6">
        <v>-19.739999999999998</v>
      </c>
      <c r="E6" t="s">
        <v>644</v>
      </c>
      <c r="F6" t="s">
        <v>894</v>
      </c>
      <c r="J6" s="128"/>
    </row>
    <row r="7" spans="1:10" x14ac:dyDescent="0.2">
      <c r="A7" t="s">
        <v>708</v>
      </c>
      <c r="B7" s="153">
        <v>43073</v>
      </c>
      <c r="C7" t="s">
        <v>717</v>
      </c>
      <c r="D7">
        <v>-10.5</v>
      </c>
      <c r="E7" t="s">
        <v>644</v>
      </c>
      <c r="F7" t="s">
        <v>895</v>
      </c>
      <c r="J7" s="128"/>
    </row>
    <row r="8" spans="1:10" x14ac:dyDescent="0.2">
      <c r="A8" t="s">
        <v>708</v>
      </c>
      <c r="B8" s="153">
        <v>43073</v>
      </c>
      <c r="C8" t="s">
        <v>717</v>
      </c>
      <c r="D8">
        <v>-9.8000000000000007</v>
      </c>
      <c r="E8" t="s">
        <v>644</v>
      </c>
      <c r="F8" t="s">
        <v>896</v>
      </c>
      <c r="J8" s="128"/>
    </row>
    <row r="9" spans="1:10" x14ac:dyDescent="0.2">
      <c r="A9" t="s">
        <v>708</v>
      </c>
      <c r="B9" s="153">
        <v>43073</v>
      </c>
      <c r="C9" t="s">
        <v>717</v>
      </c>
      <c r="D9">
        <v>-6.6</v>
      </c>
      <c r="E9" t="s">
        <v>644</v>
      </c>
      <c r="F9" t="s">
        <v>897</v>
      </c>
      <c r="J9" s="128"/>
    </row>
    <row r="10" spans="1:10" x14ac:dyDescent="0.2">
      <c r="A10" t="s">
        <v>708</v>
      </c>
      <c r="B10" s="153">
        <v>43073</v>
      </c>
      <c r="C10" t="s">
        <v>717</v>
      </c>
      <c r="D10">
        <v>-4.99</v>
      </c>
      <c r="E10" t="s">
        <v>644</v>
      </c>
      <c r="F10" t="s">
        <v>898</v>
      </c>
      <c r="J10" s="128"/>
    </row>
    <row r="11" spans="1:10" x14ac:dyDescent="0.2">
      <c r="A11" t="s">
        <v>708</v>
      </c>
      <c r="B11" s="153">
        <v>43073</v>
      </c>
      <c r="C11" t="s">
        <v>717</v>
      </c>
      <c r="D11">
        <v>-4.3499999999999996</v>
      </c>
      <c r="E11" t="s">
        <v>644</v>
      </c>
      <c r="F11" t="s">
        <v>897</v>
      </c>
      <c r="J11" s="128"/>
    </row>
    <row r="12" spans="1:10" x14ac:dyDescent="0.2">
      <c r="A12" t="s">
        <v>708</v>
      </c>
      <c r="B12" s="153">
        <v>43073</v>
      </c>
      <c r="C12" t="s">
        <v>717</v>
      </c>
      <c r="D12">
        <v>-3.07</v>
      </c>
      <c r="E12" t="s">
        <v>644</v>
      </c>
      <c r="F12" t="s">
        <v>899</v>
      </c>
      <c r="J12" s="128"/>
    </row>
    <row r="13" spans="1:10" x14ac:dyDescent="0.2">
      <c r="A13" t="s">
        <v>708</v>
      </c>
      <c r="B13" s="153">
        <v>43073</v>
      </c>
      <c r="C13" t="s">
        <v>717</v>
      </c>
      <c r="D13">
        <v>-3.05</v>
      </c>
      <c r="E13" t="s">
        <v>644</v>
      </c>
      <c r="F13" t="s">
        <v>893</v>
      </c>
      <c r="J13" s="128"/>
    </row>
    <row r="14" spans="1:10" x14ac:dyDescent="0.2">
      <c r="A14" t="s">
        <v>708</v>
      </c>
      <c r="B14" s="153">
        <v>43073</v>
      </c>
      <c r="C14" t="s">
        <v>717</v>
      </c>
      <c r="D14">
        <v>-2.93</v>
      </c>
      <c r="E14" t="s">
        <v>644</v>
      </c>
      <c r="F14" t="s">
        <v>893</v>
      </c>
      <c r="J14" s="128"/>
    </row>
    <row r="15" spans="1:10" x14ac:dyDescent="0.2">
      <c r="A15" t="s">
        <v>708</v>
      </c>
      <c r="B15" s="153">
        <v>43073</v>
      </c>
      <c r="C15" t="s">
        <v>717</v>
      </c>
      <c r="D15">
        <v>-30</v>
      </c>
      <c r="E15" t="s">
        <v>645</v>
      </c>
      <c r="F15" t="s">
        <v>900</v>
      </c>
      <c r="J15" s="128"/>
    </row>
    <row r="16" spans="1:10" x14ac:dyDescent="0.2">
      <c r="A16" t="s">
        <v>708</v>
      </c>
      <c r="B16" s="153">
        <v>43073</v>
      </c>
      <c r="C16" t="s">
        <v>717</v>
      </c>
      <c r="D16">
        <v>-20</v>
      </c>
      <c r="E16" t="s">
        <v>645</v>
      </c>
      <c r="F16" t="s">
        <v>901</v>
      </c>
      <c r="J16" s="128"/>
    </row>
    <row r="17" spans="1:10" x14ac:dyDescent="0.2">
      <c r="A17" t="s">
        <v>708</v>
      </c>
      <c r="B17" s="153">
        <v>43073</v>
      </c>
      <c r="C17" t="s">
        <v>717</v>
      </c>
      <c r="D17">
        <v>-39.049999999999997</v>
      </c>
      <c r="E17" t="s">
        <v>644</v>
      </c>
      <c r="F17" t="s">
        <v>902</v>
      </c>
      <c r="J17" s="128"/>
    </row>
    <row r="18" spans="1:10" x14ac:dyDescent="0.2">
      <c r="A18" t="s">
        <v>708</v>
      </c>
      <c r="B18" s="153">
        <v>43073</v>
      </c>
      <c r="C18" t="s">
        <v>717</v>
      </c>
      <c r="D18">
        <v>-25</v>
      </c>
      <c r="E18" t="s">
        <v>644</v>
      </c>
      <c r="F18" t="s">
        <v>903</v>
      </c>
      <c r="J18" s="128"/>
    </row>
    <row r="19" spans="1:10" x14ac:dyDescent="0.2">
      <c r="A19" t="s">
        <v>708</v>
      </c>
      <c r="B19" s="153">
        <v>43074</v>
      </c>
      <c r="C19" t="s">
        <v>717</v>
      </c>
      <c r="D19">
        <v>-25.7</v>
      </c>
      <c r="E19" t="s">
        <v>644</v>
      </c>
      <c r="F19" t="s">
        <v>904</v>
      </c>
      <c r="J19" s="128"/>
    </row>
    <row r="20" spans="1:10" x14ac:dyDescent="0.2">
      <c r="A20" t="s">
        <v>708</v>
      </c>
      <c r="B20" s="153">
        <v>43074</v>
      </c>
      <c r="C20" t="s">
        <v>717</v>
      </c>
      <c r="D20">
        <v>-24.61</v>
      </c>
      <c r="E20" t="s">
        <v>644</v>
      </c>
      <c r="F20" t="s">
        <v>905</v>
      </c>
      <c r="J20" s="128"/>
    </row>
    <row r="21" spans="1:10" x14ac:dyDescent="0.2">
      <c r="A21" t="s">
        <v>708</v>
      </c>
      <c r="B21" s="153">
        <v>43074</v>
      </c>
      <c r="C21" t="s">
        <v>717</v>
      </c>
      <c r="D21">
        <v>-7.97</v>
      </c>
      <c r="E21" t="s">
        <v>644</v>
      </c>
      <c r="F21" t="s">
        <v>906</v>
      </c>
      <c r="J21" s="128"/>
    </row>
    <row r="22" spans="1:10" x14ac:dyDescent="0.2">
      <c r="A22" t="s">
        <v>708</v>
      </c>
      <c r="B22" s="153">
        <v>43074</v>
      </c>
      <c r="C22" t="s">
        <v>717</v>
      </c>
      <c r="D22">
        <v>-3.45</v>
      </c>
      <c r="E22" t="s">
        <v>644</v>
      </c>
      <c r="F22" t="s">
        <v>907</v>
      </c>
      <c r="J22" s="128"/>
    </row>
    <row r="23" spans="1:10" x14ac:dyDescent="0.2">
      <c r="A23" t="s">
        <v>708</v>
      </c>
      <c r="B23" s="153">
        <v>43074</v>
      </c>
      <c r="C23" t="s">
        <v>717</v>
      </c>
      <c r="D23">
        <v>-36.049999999999997</v>
      </c>
      <c r="E23" t="s">
        <v>644</v>
      </c>
      <c r="F23" t="s">
        <v>908</v>
      </c>
      <c r="J23" s="128"/>
    </row>
    <row r="24" spans="1:10" x14ac:dyDescent="0.2">
      <c r="A24" t="s">
        <v>708</v>
      </c>
      <c r="B24" s="153">
        <v>43075</v>
      </c>
      <c r="C24" t="s">
        <v>717</v>
      </c>
      <c r="D24">
        <v>-8.66</v>
      </c>
      <c r="E24" t="s">
        <v>644</v>
      </c>
      <c r="F24" t="s">
        <v>909</v>
      </c>
      <c r="J24" s="128"/>
    </row>
    <row r="25" spans="1:10" x14ac:dyDescent="0.2">
      <c r="A25" t="s">
        <v>708</v>
      </c>
      <c r="B25" s="153">
        <v>43075</v>
      </c>
      <c r="C25" t="s">
        <v>717</v>
      </c>
      <c r="D25">
        <v>-7.48</v>
      </c>
      <c r="E25" t="s">
        <v>644</v>
      </c>
      <c r="F25" t="s">
        <v>910</v>
      </c>
      <c r="J25" s="128"/>
    </row>
    <row r="26" spans="1:10" x14ac:dyDescent="0.2">
      <c r="A26" t="s">
        <v>708</v>
      </c>
      <c r="B26" s="153">
        <v>43075</v>
      </c>
      <c r="C26" t="s">
        <v>717</v>
      </c>
      <c r="D26">
        <v>-4.95</v>
      </c>
      <c r="E26" t="s">
        <v>644</v>
      </c>
      <c r="F26" t="s">
        <v>911</v>
      </c>
      <c r="J26" s="128"/>
    </row>
    <row r="27" spans="1:10" x14ac:dyDescent="0.2">
      <c r="A27" t="s">
        <v>708</v>
      </c>
      <c r="B27" s="153">
        <v>43076</v>
      </c>
      <c r="C27" t="s">
        <v>717</v>
      </c>
      <c r="D27">
        <v>-26.56</v>
      </c>
      <c r="E27" t="s">
        <v>644</v>
      </c>
      <c r="F27" t="s">
        <v>912</v>
      </c>
      <c r="J27" s="128"/>
    </row>
    <row r="28" spans="1:10" x14ac:dyDescent="0.2">
      <c r="A28" t="s">
        <v>708</v>
      </c>
      <c r="B28" s="153">
        <v>43076</v>
      </c>
      <c r="C28" t="s">
        <v>717</v>
      </c>
      <c r="D28">
        <v>-15.42</v>
      </c>
      <c r="E28" t="s">
        <v>644</v>
      </c>
      <c r="F28" t="s">
        <v>913</v>
      </c>
      <c r="J28" s="128"/>
    </row>
    <row r="29" spans="1:10" x14ac:dyDescent="0.2">
      <c r="A29" t="s">
        <v>708</v>
      </c>
      <c r="B29" s="153">
        <v>43076</v>
      </c>
      <c r="C29" t="s">
        <v>717</v>
      </c>
      <c r="D29">
        <v>-2.2999999999999998</v>
      </c>
      <c r="E29" t="s">
        <v>644</v>
      </c>
      <c r="F29" t="s">
        <v>914</v>
      </c>
      <c r="J29" s="128"/>
    </row>
    <row r="30" spans="1:10" x14ac:dyDescent="0.2">
      <c r="A30" t="s">
        <v>708</v>
      </c>
      <c r="B30" s="153">
        <v>43076</v>
      </c>
      <c r="C30" t="s">
        <v>717</v>
      </c>
      <c r="D30">
        <v>-38.06</v>
      </c>
      <c r="E30" t="s">
        <v>644</v>
      </c>
      <c r="F30" t="s">
        <v>915</v>
      </c>
      <c r="J30" s="128"/>
    </row>
    <row r="31" spans="1:10" x14ac:dyDescent="0.2">
      <c r="A31" t="s">
        <v>708</v>
      </c>
      <c r="B31" s="153">
        <v>43077</v>
      </c>
      <c r="C31" t="s">
        <v>717</v>
      </c>
      <c r="D31">
        <v>-29.65</v>
      </c>
      <c r="E31" t="s">
        <v>644</v>
      </c>
      <c r="F31" t="s">
        <v>916</v>
      </c>
      <c r="J31" s="128"/>
    </row>
    <row r="32" spans="1:10" x14ac:dyDescent="0.2">
      <c r="A32" t="s">
        <v>708</v>
      </c>
      <c r="B32" s="153">
        <v>43077</v>
      </c>
      <c r="C32" t="s">
        <v>717</v>
      </c>
      <c r="D32">
        <v>-26.72</v>
      </c>
      <c r="E32" t="s">
        <v>644</v>
      </c>
      <c r="F32" t="s">
        <v>917</v>
      </c>
      <c r="J32" s="128"/>
    </row>
    <row r="33" spans="1:10" x14ac:dyDescent="0.2">
      <c r="A33" t="s">
        <v>708</v>
      </c>
      <c r="B33" s="153">
        <v>43080</v>
      </c>
      <c r="C33" t="s">
        <v>717</v>
      </c>
      <c r="D33">
        <v>9</v>
      </c>
      <c r="E33" t="s">
        <v>681</v>
      </c>
      <c r="F33" t="s">
        <v>918</v>
      </c>
      <c r="J33" s="128"/>
    </row>
    <row r="34" spans="1:10" x14ac:dyDescent="0.2">
      <c r="A34" t="s">
        <v>708</v>
      </c>
      <c r="B34" s="153">
        <v>43080</v>
      </c>
      <c r="C34" t="s">
        <v>717</v>
      </c>
      <c r="D34">
        <v>-11.64</v>
      </c>
      <c r="E34" t="s">
        <v>644</v>
      </c>
      <c r="F34" t="s">
        <v>919</v>
      </c>
      <c r="J34" s="128"/>
    </row>
    <row r="35" spans="1:10" x14ac:dyDescent="0.2">
      <c r="A35" t="s">
        <v>708</v>
      </c>
      <c r="B35" s="153">
        <v>43080</v>
      </c>
      <c r="C35" t="s">
        <v>717</v>
      </c>
      <c r="D35">
        <v>-9.98</v>
      </c>
      <c r="E35" t="s">
        <v>644</v>
      </c>
      <c r="F35" t="s">
        <v>920</v>
      </c>
      <c r="J35" s="128"/>
    </row>
    <row r="36" spans="1:10" x14ac:dyDescent="0.2">
      <c r="A36" t="s">
        <v>708</v>
      </c>
      <c r="B36" s="153">
        <v>43080</v>
      </c>
      <c r="C36" t="s">
        <v>717</v>
      </c>
      <c r="D36">
        <v>-8.93</v>
      </c>
      <c r="E36" t="s">
        <v>644</v>
      </c>
      <c r="F36" t="s">
        <v>921</v>
      </c>
      <c r="J36" s="128"/>
    </row>
    <row r="37" spans="1:10" x14ac:dyDescent="0.2">
      <c r="A37" t="s">
        <v>708</v>
      </c>
      <c r="B37" s="153">
        <v>43080</v>
      </c>
      <c r="C37" t="s">
        <v>717</v>
      </c>
      <c r="D37">
        <v>-8.0299999999999994</v>
      </c>
      <c r="E37" t="s">
        <v>644</v>
      </c>
      <c r="F37" t="s">
        <v>922</v>
      </c>
      <c r="J37" s="128"/>
    </row>
    <row r="38" spans="1:10" x14ac:dyDescent="0.2">
      <c r="A38" t="s">
        <v>708</v>
      </c>
      <c r="B38" s="153">
        <v>43080</v>
      </c>
      <c r="C38" t="s">
        <v>717</v>
      </c>
      <c r="D38">
        <v>-2.4</v>
      </c>
      <c r="E38" t="s">
        <v>644</v>
      </c>
      <c r="F38" t="s">
        <v>923</v>
      </c>
      <c r="J38" s="128"/>
    </row>
    <row r="39" spans="1:10" x14ac:dyDescent="0.2">
      <c r="A39" t="s">
        <v>708</v>
      </c>
      <c r="B39" s="153">
        <v>43080</v>
      </c>
      <c r="C39" t="s">
        <v>717</v>
      </c>
      <c r="D39">
        <v>-54.05</v>
      </c>
      <c r="E39" t="s">
        <v>644</v>
      </c>
      <c r="F39" t="s">
        <v>918</v>
      </c>
      <c r="J39" s="128"/>
    </row>
    <row r="40" spans="1:10" x14ac:dyDescent="0.2">
      <c r="A40" t="s">
        <v>708</v>
      </c>
      <c r="B40" s="153">
        <v>43080</v>
      </c>
      <c r="C40" t="s">
        <v>717</v>
      </c>
      <c r="D40">
        <v>-46.97</v>
      </c>
      <c r="E40" t="s">
        <v>644</v>
      </c>
      <c r="F40" t="s">
        <v>924</v>
      </c>
      <c r="J40" s="128"/>
    </row>
    <row r="41" spans="1:10" x14ac:dyDescent="0.2">
      <c r="A41" t="s">
        <v>708</v>
      </c>
      <c r="B41" s="153">
        <v>43081</v>
      </c>
      <c r="C41" t="s">
        <v>717</v>
      </c>
      <c r="D41">
        <v>-4.99</v>
      </c>
      <c r="E41" t="s">
        <v>644</v>
      </c>
      <c r="F41" t="s">
        <v>718</v>
      </c>
      <c r="J41" s="128"/>
    </row>
    <row r="42" spans="1:10" x14ac:dyDescent="0.2">
      <c r="A42" t="s">
        <v>708</v>
      </c>
      <c r="B42" s="153">
        <v>43081</v>
      </c>
      <c r="C42" t="s">
        <v>717</v>
      </c>
      <c r="D42">
        <v>-0.79</v>
      </c>
      <c r="E42" t="s">
        <v>644</v>
      </c>
      <c r="F42" t="s">
        <v>718</v>
      </c>
      <c r="J42" s="128"/>
    </row>
    <row r="43" spans="1:10" x14ac:dyDescent="0.2">
      <c r="A43" t="s">
        <v>708</v>
      </c>
      <c r="B43" s="153">
        <v>43082</v>
      </c>
      <c r="C43" t="s">
        <v>717</v>
      </c>
      <c r="D43">
        <v>-19.61</v>
      </c>
      <c r="E43" t="s">
        <v>644</v>
      </c>
      <c r="F43" t="s">
        <v>925</v>
      </c>
      <c r="J43" s="128"/>
    </row>
    <row r="44" spans="1:10" x14ac:dyDescent="0.2">
      <c r="A44" t="s">
        <v>708</v>
      </c>
      <c r="B44" s="153">
        <v>43082</v>
      </c>
      <c r="C44" t="s">
        <v>717</v>
      </c>
      <c r="D44">
        <v>-8.19</v>
      </c>
      <c r="E44" t="s">
        <v>644</v>
      </c>
      <c r="F44" t="s">
        <v>926</v>
      </c>
      <c r="J44" s="128"/>
    </row>
    <row r="45" spans="1:10" x14ac:dyDescent="0.2">
      <c r="A45" t="s">
        <v>708</v>
      </c>
      <c r="B45" s="153">
        <v>43082</v>
      </c>
      <c r="C45" t="s">
        <v>717</v>
      </c>
      <c r="D45">
        <v>-18.22</v>
      </c>
      <c r="E45" t="s">
        <v>644</v>
      </c>
      <c r="F45" t="s">
        <v>927</v>
      </c>
      <c r="J45" s="128"/>
    </row>
    <row r="46" spans="1:10" x14ac:dyDescent="0.2">
      <c r="A46" t="s">
        <v>708</v>
      </c>
      <c r="B46" s="153">
        <v>43083</v>
      </c>
      <c r="C46" t="s">
        <v>717</v>
      </c>
      <c r="D46">
        <v>-8.56</v>
      </c>
      <c r="E46" t="s">
        <v>644</v>
      </c>
      <c r="F46" t="s">
        <v>928</v>
      </c>
      <c r="J46" s="128"/>
    </row>
    <row r="47" spans="1:10" x14ac:dyDescent="0.2">
      <c r="A47" t="s">
        <v>708</v>
      </c>
      <c r="B47" s="153">
        <v>43083</v>
      </c>
      <c r="C47" t="s">
        <v>717</v>
      </c>
      <c r="D47">
        <v>-3.98</v>
      </c>
      <c r="E47" t="s">
        <v>644</v>
      </c>
      <c r="F47" t="s">
        <v>928</v>
      </c>
      <c r="J47" s="128"/>
    </row>
    <row r="48" spans="1:10" x14ac:dyDescent="0.2">
      <c r="A48" t="s">
        <v>708</v>
      </c>
      <c r="B48" s="153">
        <v>43083</v>
      </c>
      <c r="C48" t="s">
        <v>717</v>
      </c>
      <c r="D48">
        <v>-130</v>
      </c>
      <c r="E48" t="s">
        <v>644</v>
      </c>
      <c r="F48" t="s">
        <v>929</v>
      </c>
      <c r="J48" s="128"/>
    </row>
    <row r="49" spans="1:10" x14ac:dyDescent="0.2">
      <c r="A49" t="s">
        <v>708</v>
      </c>
      <c r="B49" s="153">
        <v>43084</v>
      </c>
      <c r="C49" t="s">
        <v>717</v>
      </c>
      <c r="D49">
        <v>-29.46</v>
      </c>
      <c r="E49" t="s">
        <v>644</v>
      </c>
      <c r="F49" t="s">
        <v>930</v>
      </c>
      <c r="J49" s="128"/>
    </row>
    <row r="50" spans="1:10" x14ac:dyDescent="0.2">
      <c r="A50" t="s">
        <v>708</v>
      </c>
      <c r="B50" s="153">
        <v>43084</v>
      </c>
      <c r="C50" t="s">
        <v>717</v>
      </c>
      <c r="D50">
        <v>-18.79</v>
      </c>
      <c r="E50" t="s">
        <v>644</v>
      </c>
      <c r="F50" t="s">
        <v>931</v>
      </c>
      <c r="J50" s="128"/>
    </row>
    <row r="51" spans="1:10" x14ac:dyDescent="0.2">
      <c r="A51" t="s">
        <v>708</v>
      </c>
      <c r="B51" s="153">
        <v>43084</v>
      </c>
      <c r="C51" t="s">
        <v>717</v>
      </c>
      <c r="D51">
        <v>-17.850000000000001</v>
      </c>
      <c r="E51" t="s">
        <v>644</v>
      </c>
      <c r="F51" t="s">
        <v>932</v>
      </c>
      <c r="J51" s="128"/>
    </row>
    <row r="52" spans="1:10" x14ac:dyDescent="0.2">
      <c r="A52" t="s">
        <v>708</v>
      </c>
      <c r="B52" s="153">
        <v>43084</v>
      </c>
      <c r="C52" t="s">
        <v>717</v>
      </c>
      <c r="D52">
        <v>-61.5</v>
      </c>
      <c r="E52" t="s">
        <v>639</v>
      </c>
      <c r="F52" t="s">
        <v>719</v>
      </c>
      <c r="J52" s="128"/>
    </row>
    <row r="53" spans="1:10" x14ac:dyDescent="0.2">
      <c r="A53" t="s">
        <v>708</v>
      </c>
      <c r="B53" s="153">
        <v>43087</v>
      </c>
      <c r="C53" t="s">
        <v>717</v>
      </c>
      <c r="D53">
        <v>250</v>
      </c>
      <c r="E53" t="s">
        <v>683</v>
      </c>
      <c r="F53" t="s">
        <v>720</v>
      </c>
      <c r="J53" s="128"/>
    </row>
    <row r="54" spans="1:10" x14ac:dyDescent="0.2">
      <c r="A54" t="s">
        <v>708</v>
      </c>
      <c r="B54" s="153">
        <v>43087</v>
      </c>
      <c r="C54" t="s">
        <v>717</v>
      </c>
      <c r="D54">
        <v>-27.98</v>
      </c>
      <c r="E54" t="s">
        <v>644</v>
      </c>
      <c r="F54" t="s">
        <v>933</v>
      </c>
      <c r="J54" s="128"/>
    </row>
    <row r="55" spans="1:10" x14ac:dyDescent="0.2">
      <c r="A55" t="s">
        <v>708</v>
      </c>
      <c r="B55" s="153">
        <v>43087</v>
      </c>
      <c r="C55" t="s">
        <v>717</v>
      </c>
      <c r="D55">
        <v>-15.67</v>
      </c>
      <c r="E55" t="s">
        <v>644</v>
      </c>
      <c r="F55" t="s">
        <v>934</v>
      </c>
      <c r="J55" s="128"/>
    </row>
    <row r="56" spans="1:10" x14ac:dyDescent="0.2">
      <c r="A56" t="s">
        <v>708</v>
      </c>
      <c r="B56" s="153">
        <v>43087</v>
      </c>
      <c r="C56" t="s">
        <v>717</v>
      </c>
      <c r="D56">
        <v>-12.5</v>
      </c>
      <c r="E56" t="s">
        <v>644</v>
      </c>
      <c r="F56" t="s">
        <v>935</v>
      </c>
      <c r="J56" s="128"/>
    </row>
    <row r="57" spans="1:10" x14ac:dyDescent="0.2">
      <c r="A57" t="s">
        <v>708</v>
      </c>
      <c r="B57" s="153">
        <v>43087</v>
      </c>
      <c r="C57" t="s">
        <v>717</v>
      </c>
      <c r="D57">
        <v>-9.57</v>
      </c>
      <c r="E57" t="s">
        <v>644</v>
      </c>
      <c r="F57" t="s">
        <v>936</v>
      </c>
      <c r="J57" s="128"/>
    </row>
    <row r="58" spans="1:10" x14ac:dyDescent="0.2">
      <c r="A58" t="s">
        <v>708</v>
      </c>
      <c r="B58" s="153">
        <v>43087</v>
      </c>
      <c r="C58" t="s">
        <v>717</v>
      </c>
      <c r="D58">
        <v>-6.8</v>
      </c>
      <c r="E58" t="s">
        <v>644</v>
      </c>
      <c r="F58" t="s">
        <v>937</v>
      </c>
      <c r="J58" s="128"/>
    </row>
    <row r="59" spans="1:10" x14ac:dyDescent="0.2">
      <c r="A59" t="s">
        <v>708</v>
      </c>
      <c r="B59" s="153">
        <v>43087</v>
      </c>
      <c r="C59" t="s">
        <v>717</v>
      </c>
      <c r="D59">
        <v>-1.75</v>
      </c>
      <c r="E59" t="s">
        <v>644</v>
      </c>
      <c r="F59" t="s">
        <v>938</v>
      </c>
      <c r="J59" s="128"/>
    </row>
    <row r="60" spans="1:10" x14ac:dyDescent="0.2">
      <c r="A60" t="s">
        <v>708</v>
      </c>
      <c r="B60" s="153">
        <v>43087</v>
      </c>
      <c r="C60" t="s">
        <v>717</v>
      </c>
      <c r="D60">
        <v>-20</v>
      </c>
      <c r="E60" t="s">
        <v>645</v>
      </c>
      <c r="F60" t="s">
        <v>687</v>
      </c>
      <c r="J60" s="128"/>
    </row>
    <row r="61" spans="1:10" x14ac:dyDescent="0.2">
      <c r="A61" t="s">
        <v>708</v>
      </c>
      <c r="B61" s="153">
        <v>43087</v>
      </c>
      <c r="C61" t="s">
        <v>717</v>
      </c>
      <c r="D61">
        <v>-47.35</v>
      </c>
      <c r="E61" t="s">
        <v>644</v>
      </c>
      <c r="F61" t="s">
        <v>939</v>
      </c>
      <c r="J61" s="128"/>
    </row>
    <row r="62" spans="1:10" x14ac:dyDescent="0.2">
      <c r="A62" t="s">
        <v>708</v>
      </c>
      <c r="B62" s="153">
        <v>43087</v>
      </c>
      <c r="C62" t="s">
        <v>717</v>
      </c>
      <c r="D62">
        <v>-44.56</v>
      </c>
      <c r="E62" t="s">
        <v>644</v>
      </c>
      <c r="F62" t="s">
        <v>940</v>
      </c>
      <c r="J62" s="128"/>
    </row>
    <row r="63" spans="1:10" x14ac:dyDescent="0.2">
      <c r="A63" t="s">
        <v>708</v>
      </c>
      <c r="B63" s="153">
        <v>43087</v>
      </c>
      <c r="C63" t="s">
        <v>717</v>
      </c>
      <c r="D63">
        <v>-9.99</v>
      </c>
      <c r="E63" t="s">
        <v>644</v>
      </c>
      <c r="F63" t="s">
        <v>718</v>
      </c>
      <c r="J63" s="128"/>
    </row>
    <row r="64" spans="1:10" x14ac:dyDescent="0.2">
      <c r="A64" t="s">
        <v>708</v>
      </c>
      <c r="B64" s="153">
        <v>43087</v>
      </c>
      <c r="C64" t="s">
        <v>717</v>
      </c>
      <c r="D64">
        <v>-1.47</v>
      </c>
      <c r="E64" t="s">
        <v>644</v>
      </c>
      <c r="F64" t="s">
        <v>941</v>
      </c>
      <c r="J64" s="128"/>
    </row>
    <row r="65" spans="1:10" x14ac:dyDescent="0.2">
      <c r="A65" t="s">
        <v>708</v>
      </c>
      <c r="B65" s="153">
        <v>43088</v>
      </c>
      <c r="C65" t="s">
        <v>717</v>
      </c>
      <c r="D65">
        <v>240</v>
      </c>
      <c r="E65" t="s">
        <v>683</v>
      </c>
      <c r="F65" t="s">
        <v>720</v>
      </c>
      <c r="J65" s="128"/>
    </row>
    <row r="66" spans="1:10" x14ac:dyDescent="0.2">
      <c r="A66" t="s">
        <v>708</v>
      </c>
      <c r="B66" s="153">
        <v>43088</v>
      </c>
      <c r="C66" t="s">
        <v>717</v>
      </c>
      <c r="D66">
        <v>-25.99</v>
      </c>
      <c r="E66" t="s">
        <v>644</v>
      </c>
      <c r="F66" t="s">
        <v>942</v>
      </c>
      <c r="J66" s="128"/>
    </row>
    <row r="67" spans="1:10" x14ac:dyDescent="0.2">
      <c r="A67" t="s">
        <v>708</v>
      </c>
      <c r="B67" s="153">
        <v>43088</v>
      </c>
      <c r="C67" t="s">
        <v>717</v>
      </c>
      <c r="D67">
        <v>-14.75</v>
      </c>
      <c r="E67" t="s">
        <v>644</v>
      </c>
      <c r="F67" t="s">
        <v>942</v>
      </c>
      <c r="J67" s="128"/>
    </row>
    <row r="68" spans="1:10" x14ac:dyDescent="0.2">
      <c r="A68" t="s">
        <v>708</v>
      </c>
      <c r="B68" s="153">
        <v>43088</v>
      </c>
      <c r="C68" t="s">
        <v>717</v>
      </c>
      <c r="D68">
        <v>-59.29</v>
      </c>
      <c r="E68" t="s">
        <v>644</v>
      </c>
      <c r="F68" t="s">
        <v>943</v>
      </c>
      <c r="J68" s="128"/>
    </row>
    <row r="69" spans="1:10" x14ac:dyDescent="0.2">
      <c r="A69" t="s">
        <v>708</v>
      </c>
      <c r="B69" s="153">
        <v>43089</v>
      </c>
      <c r="C69" t="s">
        <v>717</v>
      </c>
      <c r="D69">
        <v>-22.6</v>
      </c>
      <c r="E69" t="s">
        <v>644</v>
      </c>
      <c r="F69" s="56" t="s">
        <v>944</v>
      </c>
      <c r="J69" s="128"/>
    </row>
    <row r="70" spans="1:10" x14ac:dyDescent="0.2">
      <c r="A70" t="s">
        <v>708</v>
      </c>
      <c r="B70" s="153">
        <v>43089</v>
      </c>
      <c r="C70" t="s">
        <v>717</v>
      </c>
      <c r="D70">
        <v>-11.94</v>
      </c>
      <c r="E70" t="s">
        <v>644</v>
      </c>
      <c r="F70" t="s">
        <v>945</v>
      </c>
      <c r="J70" s="128"/>
    </row>
    <row r="71" spans="1:10" x14ac:dyDescent="0.2">
      <c r="A71" t="s">
        <v>708</v>
      </c>
      <c r="B71" s="153">
        <v>43089</v>
      </c>
      <c r="C71" t="s">
        <v>717</v>
      </c>
      <c r="D71">
        <v>-11.3</v>
      </c>
      <c r="E71" t="s">
        <v>644</v>
      </c>
      <c r="F71" t="s">
        <v>946</v>
      </c>
      <c r="J71" s="128"/>
    </row>
    <row r="72" spans="1:10" x14ac:dyDescent="0.2">
      <c r="A72" t="s">
        <v>708</v>
      </c>
      <c r="B72" s="153">
        <v>43089</v>
      </c>
      <c r="C72" t="s">
        <v>717</v>
      </c>
      <c r="D72">
        <v>-4.5</v>
      </c>
      <c r="E72" t="s">
        <v>644</v>
      </c>
      <c r="F72" t="s">
        <v>944</v>
      </c>
      <c r="J72" s="128"/>
    </row>
    <row r="73" spans="1:10" x14ac:dyDescent="0.2">
      <c r="A73" t="s">
        <v>708</v>
      </c>
      <c r="B73" s="153">
        <v>43089</v>
      </c>
      <c r="C73" t="s">
        <v>717</v>
      </c>
      <c r="D73">
        <v>-48.1</v>
      </c>
      <c r="E73" t="s">
        <v>644</v>
      </c>
      <c r="F73" t="s">
        <v>947</v>
      </c>
      <c r="J73" s="128"/>
    </row>
    <row r="74" spans="1:10" x14ac:dyDescent="0.2">
      <c r="A74" t="s">
        <v>708</v>
      </c>
      <c r="B74" s="153">
        <v>43090</v>
      </c>
      <c r="C74" t="s">
        <v>717</v>
      </c>
      <c r="D74">
        <v>-18.03</v>
      </c>
      <c r="E74" t="s">
        <v>644</v>
      </c>
      <c r="F74" t="s">
        <v>948</v>
      </c>
      <c r="J74" s="128"/>
    </row>
    <row r="75" spans="1:10" x14ac:dyDescent="0.2">
      <c r="A75" t="s">
        <v>708</v>
      </c>
      <c r="B75" s="153">
        <v>43090</v>
      </c>
      <c r="C75" t="s">
        <v>717</v>
      </c>
      <c r="D75">
        <v>-12.98</v>
      </c>
      <c r="E75" t="s">
        <v>644</v>
      </c>
      <c r="F75" t="s">
        <v>948</v>
      </c>
      <c r="J75" s="128"/>
    </row>
    <row r="76" spans="1:10" x14ac:dyDescent="0.2">
      <c r="A76" t="s">
        <v>708</v>
      </c>
      <c r="B76" s="153">
        <v>43090</v>
      </c>
      <c r="C76" t="s">
        <v>717</v>
      </c>
      <c r="D76">
        <v>-12.5</v>
      </c>
      <c r="E76" t="s">
        <v>644</v>
      </c>
      <c r="F76" t="s">
        <v>949</v>
      </c>
      <c r="J76" s="128"/>
    </row>
    <row r="77" spans="1:10" x14ac:dyDescent="0.2">
      <c r="A77" t="s">
        <v>708</v>
      </c>
      <c r="B77" s="153">
        <v>43090</v>
      </c>
      <c r="C77" t="s">
        <v>717</v>
      </c>
      <c r="D77">
        <v>-10.15</v>
      </c>
      <c r="E77" t="s">
        <v>644</v>
      </c>
      <c r="F77" t="s">
        <v>950</v>
      </c>
      <c r="J77" s="128"/>
    </row>
    <row r="78" spans="1:10" x14ac:dyDescent="0.2">
      <c r="A78" t="s">
        <v>708</v>
      </c>
      <c r="B78" s="153">
        <v>43090</v>
      </c>
      <c r="C78" t="s">
        <v>717</v>
      </c>
      <c r="D78">
        <v>-6.98</v>
      </c>
      <c r="E78" t="s">
        <v>644</v>
      </c>
      <c r="F78" t="s">
        <v>951</v>
      </c>
      <c r="J78" s="128"/>
    </row>
    <row r="79" spans="1:10" x14ac:dyDescent="0.2">
      <c r="A79" t="s">
        <v>708</v>
      </c>
      <c r="B79" s="153">
        <v>43090</v>
      </c>
      <c r="C79" t="s">
        <v>717</v>
      </c>
      <c r="D79">
        <v>-4.95</v>
      </c>
      <c r="E79" t="s">
        <v>644</v>
      </c>
      <c r="F79" t="s">
        <v>952</v>
      </c>
      <c r="J79" s="128"/>
    </row>
    <row r="80" spans="1:10" x14ac:dyDescent="0.2">
      <c r="A80" t="s">
        <v>708</v>
      </c>
      <c r="B80" s="153">
        <v>43090</v>
      </c>
      <c r="C80" t="s">
        <v>717</v>
      </c>
      <c r="D80">
        <v>-4.3</v>
      </c>
      <c r="E80" t="s">
        <v>644</v>
      </c>
      <c r="F80" t="s">
        <v>952</v>
      </c>
      <c r="J80" s="128"/>
    </row>
    <row r="81" spans="1:10" x14ac:dyDescent="0.2">
      <c r="A81" t="s">
        <v>708</v>
      </c>
      <c r="B81" s="153">
        <v>43090</v>
      </c>
      <c r="C81" t="s">
        <v>717</v>
      </c>
      <c r="D81">
        <v>-45.5</v>
      </c>
      <c r="E81" t="s">
        <v>644</v>
      </c>
      <c r="F81" t="s">
        <v>953</v>
      </c>
      <c r="J81" s="128"/>
    </row>
    <row r="82" spans="1:10" x14ac:dyDescent="0.2">
      <c r="A82" t="s">
        <v>708</v>
      </c>
      <c r="B82" s="153">
        <v>43090</v>
      </c>
      <c r="C82" t="s">
        <v>717</v>
      </c>
      <c r="D82">
        <v>-15</v>
      </c>
      <c r="E82" t="s">
        <v>644</v>
      </c>
      <c r="F82" t="s">
        <v>954</v>
      </c>
      <c r="J82" s="128"/>
    </row>
    <row r="83" spans="1:10" x14ac:dyDescent="0.2">
      <c r="A83" t="s">
        <v>708</v>
      </c>
      <c r="B83" s="153">
        <v>43090</v>
      </c>
      <c r="C83" t="s">
        <v>717</v>
      </c>
      <c r="D83">
        <v>-6.18</v>
      </c>
      <c r="E83" t="s">
        <v>644</v>
      </c>
      <c r="F83" t="s">
        <v>955</v>
      </c>
      <c r="J83" s="128"/>
    </row>
    <row r="84" spans="1:10" x14ac:dyDescent="0.2">
      <c r="A84" t="s">
        <v>708</v>
      </c>
      <c r="B84" s="153">
        <v>43091</v>
      </c>
      <c r="C84" t="s">
        <v>717</v>
      </c>
      <c r="D84">
        <v>300</v>
      </c>
      <c r="E84" t="s">
        <v>683</v>
      </c>
      <c r="F84" t="s">
        <v>720</v>
      </c>
      <c r="J84" s="128"/>
    </row>
    <row r="85" spans="1:10" x14ac:dyDescent="0.2">
      <c r="A85" t="s">
        <v>708</v>
      </c>
      <c r="B85" s="153">
        <v>43091</v>
      </c>
      <c r="C85" t="s">
        <v>717</v>
      </c>
      <c r="D85">
        <v>-19.63</v>
      </c>
      <c r="E85" t="s">
        <v>644</v>
      </c>
      <c r="F85" t="s">
        <v>956</v>
      </c>
      <c r="J85" s="128"/>
    </row>
    <row r="86" spans="1:10" x14ac:dyDescent="0.2">
      <c r="A86" t="s">
        <v>708</v>
      </c>
      <c r="B86" s="153">
        <v>43091</v>
      </c>
      <c r="C86" t="s">
        <v>717</v>
      </c>
      <c r="D86">
        <v>-6.2</v>
      </c>
      <c r="E86" t="s">
        <v>644</v>
      </c>
      <c r="F86" t="s">
        <v>957</v>
      </c>
      <c r="J86" s="128"/>
    </row>
    <row r="87" spans="1:10" x14ac:dyDescent="0.2">
      <c r="A87" t="s">
        <v>708</v>
      </c>
      <c r="B87" s="153">
        <v>43091</v>
      </c>
      <c r="C87" t="s">
        <v>717</v>
      </c>
      <c r="D87">
        <v>-42.56</v>
      </c>
      <c r="E87" t="s">
        <v>644</v>
      </c>
      <c r="F87" t="s">
        <v>958</v>
      </c>
      <c r="J87" s="128"/>
    </row>
    <row r="88" spans="1:10" x14ac:dyDescent="0.2">
      <c r="A88" t="s">
        <v>708</v>
      </c>
      <c r="B88" s="153">
        <v>43091</v>
      </c>
      <c r="C88" t="s">
        <v>717</v>
      </c>
      <c r="D88">
        <v>-35.83</v>
      </c>
      <c r="E88" t="s">
        <v>644</v>
      </c>
      <c r="F88" t="s">
        <v>959</v>
      </c>
      <c r="J88" s="128"/>
    </row>
    <row r="89" spans="1:10" x14ac:dyDescent="0.2">
      <c r="A89" t="s">
        <v>708</v>
      </c>
      <c r="B89" s="153">
        <v>43096</v>
      </c>
      <c r="C89" t="s">
        <v>717</v>
      </c>
      <c r="D89">
        <v>1200</v>
      </c>
      <c r="E89" t="s">
        <v>689</v>
      </c>
      <c r="F89" t="s">
        <v>721</v>
      </c>
      <c r="J89" s="128"/>
    </row>
    <row r="90" spans="1:10" x14ac:dyDescent="0.2">
      <c r="A90" t="s">
        <v>708</v>
      </c>
      <c r="B90" s="153">
        <v>43096</v>
      </c>
      <c r="C90" t="s">
        <v>717</v>
      </c>
      <c r="D90">
        <v>-27.4</v>
      </c>
      <c r="E90" t="s">
        <v>644</v>
      </c>
      <c r="F90" t="s">
        <v>960</v>
      </c>
      <c r="J90" s="128"/>
    </row>
    <row r="91" spans="1:10" x14ac:dyDescent="0.2">
      <c r="A91" t="s">
        <v>708</v>
      </c>
      <c r="B91" s="153">
        <v>43096</v>
      </c>
      <c r="C91" t="s">
        <v>717</v>
      </c>
      <c r="D91">
        <v>-14.75</v>
      </c>
      <c r="E91" t="s">
        <v>644</v>
      </c>
      <c r="F91" t="s">
        <v>961</v>
      </c>
      <c r="J91" s="128"/>
    </row>
    <row r="92" spans="1:10" x14ac:dyDescent="0.2">
      <c r="A92" t="s">
        <v>708</v>
      </c>
      <c r="B92" s="153">
        <v>43096</v>
      </c>
      <c r="C92" t="s">
        <v>717</v>
      </c>
      <c r="D92">
        <v>-9.3699999999999992</v>
      </c>
      <c r="E92" t="s">
        <v>644</v>
      </c>
      <c r="F92" t="s">
        <v>863</v>
      </c>
      <c r="J92" s="128"/>
    </row>
    <row r="93" spans="1:10" x14ac:dyDescent="0.2">
      <c r="A93" t="s">
        <v>708</v>
      </c>
      <c r="B93" s="153">
        <v>43096</v>
      </c>
      <c r="C93" t="s">
        <v>717</v>
      </c>
      <c r="D93">
        <v>-5.67</v>
      </c>
      <c r="E93" t="s">
        <v>644</v>
      </c>
      <c r="F93" t="s">
        <v>962</v>
      </c>
      <c r="J93" s="128"/>
    </row>
    <row r="94" spans="1:10" x14ac:dyDescent="0.2">
      <c r="A94" t="s">
        <v>708</v>
      </c>
      <c r="B94" s="153">
        <v>43096</v>
      </c>
      <c r="C94" t="s">
        <v>717</v>
      </c>
      <c r="D94">
        <v>-2.99</v>
      </c>
      <c r="E94" t="s">
        <v>644</v>
      </c>
      <c r="F94" t="s">
        <v>963</v>
      </c>
      <c r="G94" t="s">
        <v>964</v>
      </c>
      <c r="J94" s="128"/>
    </row>
    <row r="95" spans="1:10" x14ac:dyDescent="0.2">
      <c r="A95" t="s">
        <v>708</v>
      </c>
      <c r="B95" s="153">
        <v>43096</v>
      </c>
      <c r="C95" t="s">
        <v>717</v>
      </c>
      <c r="D95">
        <v>-59</v>
      </c>
      <c r="E95" t="s">
        <v>644</v>
      </c>
      <c r="F95" t="s">
        <v>965</v>
      </c>
      <c r="J95" s="128"/>
    </row>
    <row r="96" spans="1:10" x14ac:dyDescent="0.2">
      <c r="A96" t="s">
        <v>708</v>
      </c>
      <c r="B96" s="153">
        <v>43096</v>
      </c>
      <c r="C96" t="s">
        <v>717</v>
      </c>
      <c r="D96">
        <v>-42.66</v>
      </c>
      <c r="E96" t="s">
        <v>644</v>
      </c>
      <c r="F96" t="s">
        <v>966</v>
      </c>
      <c r="J96" s="128"/>
    </row>
    <row r="97" spans="1:10" x14ac:dyDescent="0.2">
      <c r="A97" t="s">
        <v>708</v>
      </c>
      <c r="B97" s="153">
        <v>43096</v>
      </c>
      <c r="C97" t="s">
        <v>717</v>
      </c>
      <c r="D97">
        <v>-41.98</v>
      </c>
      <c r="E97" t="s">
        <v>644</v>
      </c>
      <c r="F97" t="s">
        <v>967</v>
      </c>
      <c r="J97" s="128"/>
    </row>
    <row r="98" spans="1:10" x14ac:dyDescent="0.2">
      <c r="A98" t="s">
        <v>708</v>
      </c>
      <c r="B98" s="153">
        <v>43096</v>
      </c>
      <c r="C98" t="s">
        <v>717</v>
      </c>
      <c r="D98">
        <v>-21.99</v>
      </c>
      <c r="E98" t="s">
        <v>644</v>
      </c>
      <c r="F98" t="s">
        <v>968</v>
      </c>
      <c r="J98" s="128"/>
    </row>
    <row r="99" spans="1:10" x14ac:dyDescent="0.2">
      <c r="A99" t="s">
        <v>708</v>
      </c>
      <c r="B99" s="153">
        <v>43096</v>
      </c>
      <c r="C99" t="s">
        <v>717</v>
      </c>
      <c r="D99">
        <v>-11.5</v>
      </c>
      <c r="E99" t="s">
        <v>644</v>
      </c>
      <c r="F99" t="s">
        <v>969</v>
      </c>
      <c r="J99" s="128"/>
    </row>
    <row r="100" spans="1:10" x14ac:dyDescent="0.2">
      <c r="A100" t="s">
        <v>708</v>
      </c>
      <c r="B100" s="153">
        <v>43096</v>
      </c>
      <c r="C100" t="s">
        <v>717</v>
      </c>
      <c r="D100">
        <v>-2.1800000000000002</v>
      </c>
      <c r="E100" t="s">
        <v>644</v>
      </c>
      <c r="F100" t="s">
        <v>970</v>
      </c>
      <c r="J100" s="128"/>
    </row>
    <row r="101" spans="1:10" x14ac:dyDescent="0.2">
      <c r="A101" t="s">
        <v>708</v>
      </c>
      <c r="B101" s="153">
        <v>43098</v>
      </c>
      <c r="C101" t="s">
        <v>717</v>
      </c>
      <c r="D101">
        <v>-7.34</v>
      </c>
      <c r="E101" t="s">
        <v>644</v>
      </c>
      <c r="F101" t="s">
        <v>963</v>
      </c>
      <c r="G101" t="s">
        <v>971</v>
      </c>
      <c r="J101" s="128"/>
    </row>
    <row r="102" spans="1:10" x14ac:dyDescent="0.2">
      <c r="A102" t="s">
        <v>708</v>
      </c>
      <c r="B102" s="153">
        <v>43098</v>
      </c>
      <c r="C102" t="s">
        <v>717</v>
      </c>
      <c r="D102">
        <v>-2</v>
      </c>
      <c r="E102" t="s">
        <v>644</v>
      </c>
      <c r="F102" t="s">
        <v>972</v>
      </c>
      <c r="J102" s="128"/>
    </row>
    <row r="103" spans="1:10" x14ac:dyDescent="0.2">
      <c r="A103" t="s">
        <v>708</v>
      </c>
      <c r="B103" s="153">
        <v>43098</v>
      </c>
      <c r="C103" t="s">
        <v>717</v>
      </c>
      <c r="D103">
        <v>-74.599999999999994</v>
      </c>
      <c r="E103" t="s">
        <v>644</v>
      </c>
      <c r="F103" t="s">
        <v>973</v>
      </c>
      <c r="J103" s="128"/>
    </row>
    <row r="104" spans="1:10" x14ac:dyDescent="0.2">
      <c r="A104" t="s">
        <v>708</v>
      </c>
      <c r="B104" s="153">
        <v>43098</v>
      </c>
      <c r="C104" t="s">
        <v>717</v>
      </c>
      <c r="D104">
        <v>-20.94</v>
      </c>
      <c r="E104" t="s">
        <v>644</v>
      </c>
      <c r="F104" t="s">
        <v>974</v>
      </c>
      <c r="J104" s="128"/>
    </row>
    <row r="105" spans="1:10" x14ac:dyDescent="0.2">
      <c r="A105" t="s">
        <v>708</v>
      </c>
      <c r="B105" s="153">
        <v>43098</v>
      </c>
      <c r="C105" t="s">
        <v>717</v>
      </c>
      <c r="D105">
        <v>-9</v>
      </c>
      <c r="E105" t="s">
        <v>639</v>
      </c>
      <c r="F105" t="s">
        <v>975</v>
      </c>
      <c r="J105" s="128"/>
    </row>
    <row r="106" spans="1:10" x14ac:dyDescent="0.2">
      <c r="B106" s="153"/>
      <c r="J106" s="128"/>
    </row>
    <row r="107" spans="1:10" x14ac:dyDescent="0.2">
      <c r="B107" s="153"/>
      <c r="J107" s="128"/>
    </row>
    <row r="108" spans="1:10" x14ac:dyDescent="0.2">
      <c r="B108" s="153"/>
      <c r="J108" s="128"/>
    </row>
    <row r="109" spans="1:10" x14ac:dyDescent="0.2">
      <c r="B109" s="153"/>
      <c r="J109" s="128"/>
    </row>
    <row r="110" spans="1:10" x14ac:dyDescent="0.2">
      <c r="B110" s="153"/>
      <c r="J110" s="128"/>
    </row>
    <row r="111" spans="1:10" x14ac:dyDescent="0.2">
      <c r="B111" s="153"/>
      <c r="J111" s="128"/>
    </row>
    <row r="112" spans="1:10" x14ac:dyDescent="0.2">
      <c r="B112" s="153"/>
      <c r="J112" s="128"/>
    </row>
    <row r="113" spans="2:2" x14ac:dyDescent="0.2">
      <c r="B113" s="153"/>
    </row>
    <row r="114" spans="2:2" x14ac:dyDescent="0.2">
      <c r="B114" s="153"/>
    </row>
    <row r="115" spans="2:2" x14ac:dyDescent="0.2">
      <c r="B115" s="153"/>
    </row>
    <row r="116" spans="2:2" x14ac:dyDescent="0.2">
      <c r="B116" s="153"/>
    </row>
    <row r="117" spans="2:2" x14ac:dyDescent="0.2">
      <c r="B117" s="153"/>
    </row>
    <row r="118" spans="2:2" x14ac:dyDescent="0.2">
      <c r="B118" s="153"/>
    </row>
    <row r="119" spans="2:2" x14ac:dyDescent="0.2">
      <c r="B119" s="153"/>
    </row>
    <row r="120" spans="2:2" x14ac:dyDescent="0.2">
      <c r="B120" s="139"/>
    </row>
    <row r="121" spans="2:2" x14ac:dyDescent="0.2">
      <c r="B121" s="139"/>
    </row>
    <row r="122" spans="2:2" x14ac:dyDescent="0.2">
      <c r="B122" s="139"/>
    </row>
    <row r="123" spans="2:2" x14ac:dyDescent="0.2">
      <c r="B123" s="139"/>
    </row>
    <row r="124" spans="2:2" x14ac:dyDescent="0.2">
      <c r="B124" s="139"/>
    </row>
    <row r="125" spans="2:2" x14ac:dyDescent="0.2">
      <c r="B125" s="139"/>
    </row>
    <row r="126" spans="2:2" x14ac:dyDescent="0.2">
      <c r="B126" s="139"/>
    </row>
    <row r="127" spans="2:2" x14ac:dyDescent="0.2">
      <c r="B127" s="139"/>
    </row>
    <row r="128" spans="2:2" x14ac:dyDescent="0.2">
      <c r="B128" s="139"/>
    </row>
    <row r="129" spans="2:2" x14ac:dyDescent="0.2">
      <c r="B129" s="139"/>
    </row>
    <row r="130" spans="2:2" x14ac:dyDescent="0.2">
      <c r="B130" s="139"/>
    </row>
    <row r="131" spans="2:2" x14ac:dyDescent="0.2">
      <c r="B131" s="139"/>
    </row>
    <row r="132" spans="2:2" x14ac:dyDescent="0.2">
      <c r="B132" s="139"/>
    </row>
    <row r="133" spans="2:2" x14ac:dyDescent="0.2">
      <c r="B133" s="139"/>
    </row>
    <row r="134" spans="2:2" x14ac:dyDescent="0.2">
      <c r="B134" s="139"/>
    </row>
    <row r="135" spans="2:2" x14ac:dyDescent="0.2">
      <c r="B135" s="139"/>
    </row>
    <row r="136" spans="2:2" x14ac:dyDescent="0.2">
      <c r="B136" s="139"/>
    </row>
    <row r="137" spans="2:2" x14ac:dyDescent="0.2">
      <c r="B137" s="139"/>
    </row>
    <row r="138" spans="2:2" x14ac:dyDescent="0.2">
      <c r="B138" s="139"/>
    </row>
    <row r="139" spans="2:2" x14ac:dyDescent="0.2">
      <c r="B139" s="139"/>
    </row>
    <row r="140" spans="2:2" x14ac:dyDescent="0.2">
      <c r="B140" s="139"/>
    </row>
    <row r="141" spans="2:2" x14ac:dyDescent="0.2">
      <c r="B141" s="139"/>
    </row>
    <row r="142" spans="2:2" x14ac:dyDescent="0.2">
      <c r="B142" s="139"/>
    </row>
    <row r="143" spans="2:2" x14ac:dyDescent="0.2">
      <c r="B143" s="139"/>
    </row>
    <row r="144" spans="2:2" x14ac:dyDescent="0.2">
      <c r="B144" s="139"/>
    </row>
    <row r="145" spans="2:2" x14ac:dyDescent="0.2">
      <c r="B145" s="139"/>
    </row>
    <row r="146" spans="2:2" x14ac:dyDescent="0.2">
      <c r="B146" s="139"/>
    </row>
    <row r="147" spans="2:2" x14ac:dyDescent="0.2">
      <c r="B147" s="139"/>
    </row>
    <row r="148" spans="2:2" x14ac:dyDescent="0.2">
      <c r="B148" s="139"/>
    </row>
    <row r="149" spans="2:2" x14ac:dyDescent="0.2">
      <c r="B149" s="139"/>
    </row>
    <row r="150" spans="2:2" x14ac:dyDescent="0.2">
      <c r="B150" s="139"/>
    </row>
    <row r="151" spans="2:2" x14ac:dyDescent="0.2">
      <c r="B151" s="139"/>
    </row>
    <row r="152" spans="2:2" x14ac:dyDescent="0.2">
      <c r="B152" s="139"/>
    </row>
    <row r="153" spans="2:2" x14ac:dyDescent="0.2">
      <c r="B153" s="139"/>
    </row>
    <row r="154" spans="2:2" x14ac:dyDescent="0.2">
      <c r="B154" s="139"/>
    </row>
    <row r="155" spans="2:2" x14ac:dyDescent="0.2">
      <c r="B155" s="139"/>
    </row>
    <row r="156" spans="2:2" x14ac:dyDescent="0.2">
      <c r="B156" s="139"/>
    </row>
    <row r="157" spans="2:2" x14ac:dyDescent="0.2">
      <c r="B157" s="139"/>
    </row>
    <row r="158" spans="2:2" x14ac:dyDescent="0.2">
      <c r="B158" s="139"/>
    </row>
    <row r="159" spans="2:2" x14ac:dyDescent="0.2">
      <c r="B159" s="139"/>
    </row>
    <row r="160" spans="2:2" x14ac:dyDescent="0.2">
      <c r="B160" s="139"/>
    </row>
    <row r="161" spans="2:2" x14ac:dyDescent="0.2">
      <c r="B161" s="139"/>
    </row>
    <row r="162" spans="2:2" x14ac:dyDescent="0.2">
      <c r="B162" s="139"/>
    </row>
    <row r="163" spans="2:2" x14ac:dyDescent="0.2">
      <c r="B163" s="139"/>
    </row>
    <row r="164" spans="2:2" x14ac:dyDescent="0.2">
      <c r="B164" s="139"/>
    </row>
    <row r="165" spans="2:2" x14ac:dyDescent="0.2">
      <c r="B165" s="139"/>
    </row>
    <row r="166" spans="2:2" x14ac:dyDescent="0.2">
      <c r="B166" s="139"/>
    </row>
    <row r="167" spans="2:2" x14ac:dyDescent="0.2">
      <c r="B167" s="139"/>
    </row>
    <row r="168" spans="2:2" x14ac:dyDescent="0.2">
      <c r="B168" s="139"/>
    </row>
    <row r="169" spans="2:2" x14ac:dyDescent="0.2">
      <c r="B169" s="139"/>
    </row>
    <row r="170" spans="2:2" x14ac:dyDescent="0.2">
      <c r="B170" s="139"/>
    </row>
    <row r="171" spans="2:2" x14ac:dyDescent="0.2">
      <c r="B171" s="139"/>
    </row>
    <row r="172" spans="2:2" x14ac:dyDescent="0.2">
      <c r="B172" s="139"/>
    </row>
    <row r="173" spans="2:2" x14ac:dyDescent="0.2">
      <c r="B173" s="139"/>
    </row>
    <row r="174" spans="2:2" x14ac:dyDescent="0.2">
      <c r="B174" s="139"/>
    </row>
    <row r="175" spans="2:2" x14ac:dyDescent="0.2">
      <c r="B175" s="139"/>
    </row>
    <row r="176" spans="2:2" x14ac:dyDescent="0.2">
      <c r="B176" s="139"/>
    </row>
    <row r="177" spans="2:2" x14ac:dyDescent="0.2">
      <c r="B177" s="139"/>
    </row>
    <row r="178" spans="2:2" x14ac:dyDescent="0.2">
      <c r="B178" s="139"/>
    </row>
    <row r="179" spans="2:2" x14ac:dyDescent="0.2">
      <c r="B179" s="139"/>
    </row>
    <row r="180" spans="2:2" x14ac:dyDescent="0.2">
      <c r="B180" s="139"/>
    </row>
    <row r="181" spans="2:2" x14ac:dyDescent="0.2">
      <c r="B181" s="139"/>
    </row>
    <row r="182" spans="2:2" x14ac:dyDescent="0.2">
      <c r="B182" s="139"/>
    </row>
    <row r="183" spans="2:2" x14ac:dyDescent="0.2">
      <c r="B183" s="139"/>
    </row>
    <row r="184" spans="2:2" x14ac:dyDescent="0.2">
      <c r="B184" s="139"/>
    </row>
    <row r="185" spans="2:2" x14ac:dyDescent="0.2">
      <c r="B185" s="139"/>
    </row>
  </sheetData>
  <autoFilter ref="A1:J105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09"/>
  <sheetViews>
    <sheetView zoomScale="85" zoomScaleNormal="85" workbookViewId="0">
      <selection activeCell="C4" sqref="C4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1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1" x14ac:dyDescent="0.2">
      <c r="A2" s="128" t="s">
        <v>480</v>
      </c>
      <c r="B2" s="128">
        <v>460145</v>
      </c>
      <c r="C2" s="155">
        <v>43088.557569444441</v>
      </c>
      <c r="D2" s="128" t="s">
        <v>760</v>
      </c>
      <c r="E2" s="128" t="s">
        <v>983</v>
      </c>
      <c r="F2" s="128">
        <v>0</v>
      </c>
      <c r="G2" s="128">
        <v>0</v>
      </c>
      <c r="H2" s="128">
        <v>391.2</v>
      </c>
      <c r="I2" s="128"/>
      <c r="J2" t="s">
        <v>987</v>
      </c>
      <c r="K2" s="128"/>
    </row>
    <row r="3" spans="1:11" x14ac:dyDescent="0.2">
      <c r="A3" s="128" t="s">
        <v>480</v>
      </c>
      <c r="B3" s="128">
        <v>460145</v>
      </c>
      <c r="C3" s="155">
        <v>43088.557569444441</v>
      </c>
      <c r="D3" s="128" t="s">
        <v>616</v>
      </c>
      <c r="E3" s="128" t="s">
        <v>983</v>
      </c>
      <c r="F3" s="128">
        <v>142384</v>
      </c>
      <c r="G3" s="128">
        <v>28.16</v>
      </c>
      <c r="H3" s="128">
        <v>0</v>
      </c>
      <c r="I3" s="128"/>
      <c r="J3" t="s">
        <v>988</v>
      </c>
      <c r="K3" s="128"/>
    </row>
    <row r="4" spans="1:11" x14ac:dyDescent="0.2">
      <c r="A4" s="128" t="s">
        <v>480</v>
      </c>
      <c r="B4" s="128">
        <v>460145</v>
      </c>
      <c r="C4" s="155">
        <v>43088.557569444441</v>
      </c>
      <c r="D4" s="128" t="s">
        <v>733</v>
      </c>
      <c r="E4" s="128" t="s">
        <v>983</v>
      </c>
      <c r="F4" s="128">
        <v>0</v>
      </c>
      <c r="G4" s="128">
        <v>0</v>
      </c>
      <c r="H4" s="128">
        <v>74.92</v>
      </c>
      <c r="I4" s="128"/>
      <c r="J4" t="s">
        <v>987</v>
      </c>
      <c r="K4" s="128"/>
    </row>
    <row r="5" spans="1:11" x14ac:dyDescent="0.2">
      <c r="A5" s="128" t="s">
        <v>480</v>
      </c>
      <c r="B5" s="128">
        <v>460145</v>
      </c>
      <c r="C5" s="155">
        <v>43088.557569444441</v>
      </c>
      <c r="D5" s="128" t="s">
        <v>616</v>
      </c>
      <c r="E5" s="128" t="s">
        <v>983</v>
      </c>
      <c r="F5" s="128">
        <v>142384</v>
      </c>
      <c r="G5" s="128">
        <v>5.4</v>
      </c>
      <c r="H5" s="128">
        <v>0</v>
      </c>
      <c r="I5" s="128"/>
      <c r="J5" t="s">
        <v>988</v>
      </c>
      <c r="K5" s="128"/>
    </row>
    <row r="6" spans="1:11" x14ac:dyDescent="0.2">
      <c r="A6" s="128" t="s">
        <v>480</v>
      </c>
      <c r="B6" s="128">
        <v>460329</v>
      </c>
      <c r="C6" s="155">
        <v>43088.575416666667</v>
      </c>
      <c r="D6" s="128" t="s">
        <v>617</v>
      </c>
      <c r="E6" s="128" t="s">
        <v>983</v>
      </c>
      <c r="F6" s="128">
        <v>122545</v>
      </c>
      <c r="G6" s="128">
        <v>432.56</v>
      </c>
      <c r="H6" s="128">
        <v>0</v>
      </c>
      <c r="I6" s="128"/>
      <c r="J6" t="s">
        <v>989</v>
      </c>
      <c r="K6" s="128"/>
    </row>
    <row r="7" spans="1:11" x14ac:dyDescent="0.2">
      <c r="A7" s="128" t="s">
        <v>482</v>
      </c>
      <c r="B7" s="128">
        <v>455860</v>
      </c>
      <c r="C7" s="155">
        <v>43074.600393518522</v>
      </c>
      <c r="D7" s="128" t="s">
        <v>761</v>
      </c>
      <c r="E7" s="128" t="s">
        <v>983</v>
      </c>
      <c r="F7" s="128">
        <v>0</v>
      </c>
      <c r="G7" s="128">
        <v>0</v>
      </c>
      <c r="H7" s="128">
        <v>700</v>
      </c>
      <c r="I7" s="128"/>
      <c r="J7" t="s">
        <v>987</v>
      </c>
      <c r="K7" s="128"/>
    </row>
    <row r="8" spans="1:11" x14ac:dyDescent="0.2">
      <c r="A8" s="128" t="s">
        <v>482</v>
      </c>
      <c r="B8" s="128">
        <v>455860</v>
      </c>
      <c r="C8" s="155">
        <v>43074.600393518522</v>
      </c>
      <c r="D8" s="128" t="s">
        <v>762</v>
      </c>
      <c r="E8" s="128" t="s">
        <v>983</v>
      </c>
      <c r="F8" s="128">
        <v>141043</v>
      </c>
      <c r="G8" s="128">
        <v>50.4</v>
      </c>
      <c r="H8" s="128">
        <v>0</v>
      </c>
      <c r="I8" s="128"/>
      <c r="J8" t="s">
        <v>988</v>
      </c>
      <c r="K8" s="128"/>
    </row>
    <row r="9" spans="1:11" x14ac:dyDescent="0.2">
      <c r="A9" s="128" t="s">
        <v>482</v>
      </c>
      <c r="B9" s="128">
        <v>455939</v>
      </c>
      <c r="C9" s="155">
        <v>43074.608599537038</v>
      </c>
      <c r="D9" s="128" t="s">
        <v>763</v>
      </c>
      <c r="E9" s="128" t="s">
        <v>983</v>
      </c>
      <c r="F9" s="128">
        <v>121318</v>
      </c>
      <c r="G9" s="128">
        <v>649.6</v>
      </c>
      <c r="H9" s="128">
        <v>0</v>
      </c>
      <c r="I9" s="128"/>
      <c r="J9" t="s">
        <v>989</v>
      </c>
      <c r="K9" s="128"/>
    </row>
    <row r="10" spans="1:11" x14ac:dyDescent="0.2">
      <c r="A10" s="136" t="s">
        <v>486</v>
      </c>
      <c r="B10" s="128">
        <v>455933</v>
      </c>
      <c r="C10" s="155">
        <v>43074.600393518522</v>
      </c>
      <c r="D10" s="128" t="s">
        <v>734</v>
      </c>
      <c r="E10" s="128" t="s">
        <v>983</v>
      </c>
      <c r="F10" s="128">
        <v>0</v>
      </c>
      <c r="G10" s="128">
        <v>0</v>
      </c>
      <c r="H10" s="128">
        <v>38.880000000000003</v>
      </c>
      <c r="I10" s="128"/>
      <c r="J10" t="s">
        <v>987</v>
      </c>
      <c r="K10" s="128"/>
    </row>
    <row r="11" spans="1:11" x14ac:dyDescent="0.2">
      <c r="A11" s="136" t="s">
        <v>486</v>
      </c>
      <c r="B11" s="128">
        <v>455933</v>
      </c>
      <c r="C11" s="155">
        <v>43074.600393518522</v>
      </c>
      <c r="D11" s="128" t="s">
        <v>618</v>
      </c>
      <c r="E11" s="128" t="s">
        <v>983</v>
      </c>
      <c r="F11" s="128">
        <v>141111</v>
      </c>
      <c r="G11" s="128">
        <v>2.8</v>
      </c>
      <c r="H11" s="128">
        <v>0</v>
      </c>
      <c r="I11" s="128"/>
      <c r="J11" t="s">
        <v>988</v>
      </c>
      <c r="K11" s="128"/>
    </row>
    <row r="12" spans="1:11" x14ac:dyDescent="0.2">
      <c r="A12" s="136" t="s">
        <v>486</v>
      </c>
      <c r="B12" s="128">
        <v>455939</v>
      </c>
      <c r="C12" s="155">
        <v>43074.608599537038</v>
      </c>
      <c r="D12" s="128" t="s">
        <v>619</v>
      </c>
      <c r="E12" s="128" t="s">
        <v>983</v>
      </c>
      <c r="F12" s="128">
        <v>121391</v>
      </c>
      <c r="G12" s="128">
        <v>36.08</v>
      </c>
      <c r="H12" s="128">
        <v>0</v>
      </c>
      <c r="I12" s="128"/>
      <c r="J12" t="s">
        <v>989</v>
      </c>
      <c r="K12" s="128"/>
    </row>
    <row r="13" spans="1:11" x14ac:dyDescent="0.2">
      <c r="A13" s="136" t="s">
        <v>486</v>
      </c>
      <c r="B13" s="128">
        <v>461655</v>
      </c>
      <c r="C13" s="155">
        <v>43096.595682870371</v>
      </c>
      <c r="D13" s="128" t="s">
        <v>764</v>
      </c>
      <c r="E13" s="128" t="s">
        <v>983</v>
      </c>
      <c r="F13" s="128">
        <v>0</v>
      </c>
      <c r="G13" s="128">
        <v>0</v>
      </c>
      <c r="H13" s="128">
        <v>505</v>
      </c>
      <c r="I13" s="128"/>
      <c r="J13" t="s">
        <v>987</v>
      </c>
      <c r="K13" s="128"/>
    </row>
    <row r="14" spans="1:11" x14ac:dyDescent="0.2">
      <c r="A14" s="136" t="s">
        <v>486</v>
      </c>
      <c r="B14" s="128">
        <v>461655</v>
      </c>
      <c r="C14" s="155">
        <v>43096.595682870371</v>
      </c>
      <c r="D14" s="128" t="s">
        <v>618</v>
      </c>
      <c r="E14" s="128" t="s">
        <v>983</v>
      </c>
      <c r="F14" s="128">
        <v>143005</v>
      </c>
      <c r="G14" s="128">
        <v>36.36</v>
      </c>
      <c r="H14" s="128">
        <v>0</v>
      </c>
      <c r="I14" s="128"/>
      <c r="J14" t="s">
        <v>988</v>
      </c>
      <c r="K14" s="128"/>
    </row>
    <row r="15" spans="1:11" x14ac:dyDescent="0.2">
      <c r="A15" s="136" t="s">
        <v>486</v>
      </c>
      <c r="B15" s="128">
        <v>461660</v>
      </c>
      <c r="C15" s="155">
        <v>43096.599930555552</v>
      </c>
      <c r="D15" s="128" t="s">
        <v>619</v>
      </c>
      <c r="E15" s="128" t="s">
        <v>983</v>
      </c>
      <c r="F15" s="128">
        <v>123067</v>
      </c>
      <c r="G15" s="128">
        <v>468.64</v>
      </c>
      <c r="H15" s="128">
        <v>0</v>
      </c>
      <c r="I15" s="128"/>
      <c r="J15" t="s">
        <v>989</v>
      </c>
      <c r="K15" s="128"/>
    </row>
    <row r="16" spans="1:11" x14ac:dyDescent="0.2">
      <c r="A16" s="128" t="s">
        <v>492</v>
      </c>
      <c r="B16" s="128">
        <v>460293</v>
      </c>
      <c r="C16" s="155">
        <v>43088.572592592594</v>
      </c>
      <c r="D16" s="128" t="s">
        <v>765</v>
      </c>
      <c r="E16" s="128" t="s">
        <v>983</v>
      </c>
      <c r="F16" s="128">
        <v>0</v>
      </c>
      <c r="G16" s="128">
        <v>0</v>
      </c>
      <c r="H16" s="128">
        <v>205.75</v>
      </c>
      <c r="I16" s="128"/>
      <c r="J16" t="s">
        <v>987</v>
      </c>
      <c r="K16" s="128"/>
    </row>
    <row r="17" spans="1:11" x14ac:dyDescent="0.2">
      <c r="A17" s="128" t="s">
        <v>492</v>
      </c>
      <c r="B17" s="128">
        <v>460293</v>
      </c>
      <c r="C17" s="155">
        <v>43088.572592592594</v>
      </c>
      <c r="D17" s="128" t="s">
        <v>735</v>
      </c>
      <c r="E17" s="128" t="s">
        <v>983</v>
      </c>
      <c r="F17" s="128">
        <v>142484</v>
      </c>
      <c r="G17" s="128">
        <v>14.82</v>
      </c>
      <c r="H17" s="128">
        <v>0</v>
      </c>
      <c r="I17" s="128"/>
      <c r="J17" t="s">
        <v>988</v>
      </c>
      <c r="K17" s="128"/>
    </row>
    <row r="18" spans="1:11" x14ac:dyDescent="0.2">
      <c r="A18" s="128" t="s">
        <v>492</v>
      </c>
      <c r="B18" s="128">
        <v>460293</v>
      </c>
      <c r="C18" s="155">
        <v>43088.572592592594</v>
      </c>
      <c r="D18" s="128" t="s">
        <v>737</v>
      </c>
      <c r="E18" s="128" t="s">
        <v>983</v>
      </c>
      <c r="F18" s="128">
        <v>0</v>
      </c>
      <c r="G18" s="128">
        <v>0</v>
      </c>
      <c r="H18" s="128">
        <v>159.85</v>
      </c>
      <c r="I18" s="128"/>
      <c r="J18" t="s">
        <v>987</v>
      </c>
      <c r="K18" s="128"/>
    </row>
    <row r="19" spans="1:11" x14ac:dyDescent="0.2">
      <c r="A19" s="128" t="s">
        <v>492</v>
      </c>
      <c r="B19" s="128">
        <v>460293</v>
      </c>
      <c r="C19" s="155">
        <v>43088.572592592594</v>
      </c>
      <c r="D19" s="128" t="s">
        <v>735</v>
      </c>
      <c r="E19" s="128" t="s">
        <v>983</v>
      </c>
      <c r="F19" s="128">
        <v>142484</v>
      </c>
      <c r="G19" s="128">
        <v>11.51</v>
      </c>
      <c r="H19" s="128">
        <v>0</v>
      </c>
      <c r="I19" s="128"/>
      <c r="J19" t="s">
        <v>988</v>
      </c>
      <c r="K19" s="128"/>
    </row>
    <row r="20" spans="1:11" x14ac:dyDescent="0.2">
      <c r="A20" s="128" t="s">
        <v>492</v>
      </c>
      <c r="B20" s="128">
        <v>460329</v>
      </c>
      <c r="C20" s="155">
        <v>43088.575416666667</v>
      </c>
      <c r="D20" s="128" t="s">
        <v>736</v>
      </c>
      <c r="E20" s="128" t="s">
        <v>983</v>
      </c>
      <c r="F20" s="128">
        <v>122693</v>
      </c>
      <c r="G20" s="128">
        <v>339.27</v>
      </c>
      <c r="H20" s="128">
        <v>0</v>
      </c>
      <c r="I20" s="128"/>
      <c r="J20" t="s">
        <v>989</v>
      </c>
      <c r="K20" s="128"/>
    </row>
    <row r="21" spans="1:11" x14ac:dyDescent="0.2">
      <c r="A21" s="128" t="s">
        <v>492</v>
      </c>
      <c r="B21" s="128">
        <v>462375</v>
      </c>
      <c r="C21" s="155">
        <v>43098.519895833335</v>
      </c>
      <c r="D21" s="128" t="s">
        <v>766</v>
      </c>
      <c r="E21" s="128" t="s">
        <v>729</v>
      </c>
      <c r="F21" s="128">
        <v>965</v>
      </c>
      <c r="G21" s="128">
        <v>125</v>
      </c>
      <c r="H21" s="128">
        <v>0</v>
      </c>
      <c r="I21" s="128"/>
      <c r="J21" t="s">
        <v>990</v>
      </c>
      <c r="K21" s="128"/>
    </row>
    <row r="22" spans="1:11" x14ac:dyDescent="0.2">
      <c r="A22" s="128" t="s">
        <v>493</v>
      </c>
      <c r="B22" s="128">
        <v>455556</v>
      </c>
      <c r="C22" s="155">
        <v>43073.672638888886</v>
      </c>
      <c r="D22" s="128" t="s">
        <v>767</v>
      </c>
      <c r="E22" s="128" t="s">
        <v>729</v>
      </c>
      <c r="F22" s="128">
        <v>931</v>
      </c>
      <c r="G22" s="128">
        <v>65</v>
      </c>
      <c r="H22" s="128">
        <v>0</v>
      </c>
      <c r="I22" s="128"/>
      <c r="J22" t="s">
        <v>990</v>
      </c>
      <c r="K22" s="128"/>
    </row>
    <row r="23" spans="1:11" x14ac:dyDescent="0.2">
      <c r="A23" s="128" t="s">
        <v>493</v>
      </c>
      <c r="B23" s="128">
        <v>459597</v>
      </c>
      <c r="C23" s="155">
        <v>43087.67355324074</v>
      </c>
      <c r="D23" s="128" t="s">
        <v>768</v>
      </c>
      <c r="E23" s="128" t="s">
        <v>983</v>
      </c>
      <c r="F23" s="128">
        <v>0</v>
      </c>
      <c r="G23" s="128">
        <v>0</v>
      </c>
      <c r="H23" s="128">
        <v>160.88999999999999</v>
      </c>
      <c r="I23" s="128"/>
      <c r="J23" t="s">
        <v>987</v>
      </c>
      <c r="K23" s="128"/>
    </row>
    <row r="24" spans="1:11" x14ac:dyDescent="0.2">
      <c r="A24" s="128" t="s">
        <v>493</v>
      </c>
      <c r="B24" s="128">
        <v>459597</v>
      </c>
      <c r="C24" s="155">
        <v>43087.67355324074</v>
      </c>
      <c r="D24" s="128" t="s">
        <v>620</v>
      </c>
      <c r="E24" s="128" t="s">
        <v>983</v>
      </c>
      <c r="F24" s="128">
        <v>142093</v>
      </c>
      <c r="G24" s="128">
        <v>11.58</v>
      </c>
      <c r="H24" s="128">
        <v>0</v>
      </c>
      <c r="I24" s="128"/>
      <c r="J24" t="s">
        <v>988</v>
      </c>
      <c r="K24" s="128"/>
    </row>
    <row r="25" spans="1:11" x14ac:dyDescent="0.2">
      <c r="A25" s="128" t="s">
        <v>493</v>
      </c>
      <c r="B25" s="128">
        <v>459608</v>
      </c>
      <c r="C25" s="155">
        <v>43087.675902777781</v>
      </c>
      <c r="D25" s="128" t="s">
        <v>724</v>
      </c>
      <c r="E25" s="128" t="s">
        <v>983</v>
      </c>
      <c r="F25" s="128">
        <v>122463</v>
      </c>
      <c r="G25" s="128">
        <v>84.31</v>
      </c>
      <c r="H25" s="128">
        <v>0</v>
      </c>
      <c r="I25" s="128"/>
      <c r="J25" t="s">
        <v>989</v>
      </c>
      <c r="K25" s="128"/>
    </row>
    <row r="26" spans="1:11" x14ac:dyDescent="0.2">
      <c r="A26" s="128" t="s">
        <v>493</v>
      </c>
      <c r="B26" s="128">
        <v>460294</v>
      </c>
      <c r="C26" s="155">
        <v>43088.572592592594</v>
      </c>
      <c r="D26" s="128" t="s">
        <v>768</v>
      </c>
      <c r="E26" s="128" t="s">
        <v>983</v>
      </c>
      <c r="F26" s="128">
        <v>0</v>
      </c>
      <c r="G26" s="128">
        <v>0</v>
      </c>
      <c r="H26" s="128">
        <v>364.11</v>
      </c>
      <c r="I26" s="128"/>
      <c r="J26" t="s">
        <v>987</v>
      </c>
      <c r="K26" s="128"/>
    </row>
    <row r="27" spans="1:11" x14ac:dyDescent="0.2">
      <c r="A27" s="128" t="s">
        <v>493</v>
      </c>
      <c r="B27" s="128">
        <v>460294</v>
      </c>
      <c r="C27" s="155">
        <v>43088.572592592594</v>
      </c>
      <c r="D27" s="128" t="s">
        <v>620</v>
      </c>
      <c r="E27" s="128" t="s">
        <v>983</v>
      </c>
      <c r="F27" s="128">
        <v>142485</v>
      </c>
      <c r="G27" s="128">
        <v>26.22</v>
      </c>
      <c r="H27" s="128">
        <v>0</v>
      </c>
      <c r="I27" s="128"/>
      <c r="J27" t="s">
        <v>988</v>
      </c>
      <c r="K27" s="128"/>
    </row>
    <row r="28" spans="1:11" x14ac:dyDescent="0.2">
      <c r="A28" s="128" t="s">
        <v>493</v>
      </c>
      <c r="B28" s="128">
        <v>460329</v>
      </c>
      <c r="C28" s="155">
        <v>43088.575416666667</v>
      </c>
      <c r="D28" s="128" t="s">
        <v>724</v>
      </c>
      <c r="E28" s="128" t="s">
        <v>983</v>
      </c>
      <c r="F28" s="128">
        <v>122694</v>
      </c>
      <c r="G28" s="128">
        <v>337.89</v>
      </c>
      <c r="H28" s="128">
        <v>0</v>
      </c>
      <c r="I28" s="128"/>
      <c r="J28" t="s">
        <v>989</v>
      </c>
      <c r="K28" s="128"/>
    </row>
    <row r="29" spans="1:11" x14ac:dyDescent="0.2">
      <c r="A29" s="128" t="s">
        <v>494</v>
      </c>
      <c r="B29" s="128">
        <v>454844</v>
      </c>
      <c r="C29" s="155">
        <v>43070.483634259261</v>
      </c>
      <c r="D29" s="128" t="s">
        <v>769</v>
      </c>
      <c r="E29" s="136" t="s">
        <v>983</v>
      </c>
      <c r="F29" s="128">
        <v>0</v>
      </c>
      <c r="G29" s="128">
        <v>0</v>
      </c>
      <c r="H29" s="128">
        <v>415.12</v>
      </c>
      <c r="I29" s="128"/>
      <c r="J29" t="s">
        <v>987</v>
      </c>
      <c r="K29" s="128"/>
    </row>
    <row r="30" spans="1:11" x14ac:dyDescent="0.2">
      <c r="A30" s="128" t="s">
        <v>494</v>
      </c>
      <c r="B30" s="128">
        <v>454844</v>
      </c>
      <c r="C30" s="155">
        <v>43070.483634259261</v>
      </c>
      <c r="D30" s="128" t="s">
        <v>770</v>
      </c>
      <c r="E30" s="136" t="s">
        <v>983</v>
      </c>
      <c r="F30" s="128">
        <v>140700</v>
      </c>
      <c r="G30" s="128">
        <v>29.89</v>
      </c>
      <c r="H30" s="128">
        <v>0</v>
      </c>
      <c r="I30" s="128"/>
      <c r="J30" t="s">
        <v>988</v>
      </c>
      <c r="K30" s="128"/>
    </row>
    <row r="31" spans="1:11" x14ac:dyDescent="0.2">
      <c r="A31" s="128" t="s">
        <v>494</v>
      </c>
      <c r="B31" s="128">
        <v>454844</v>
      </c>
      <c r="C31" s="155">
        <v>43070.483634259261</v>
      </c>
      <c r="D31" s="128" t="s">
        <v>771</v>
      </c>
      <c r="E31" s="128" t="s">
        <v>983</v>
      </c>
      <c r="F31" s="128">
        <v>0</v>
      </c>
      <c r="G31" s="128">
        <v>0</v>
      </c>
      <c r="H31" s="128">
        <v>37.200000000000003</v>
      </c>
      <c r="I31" s="128"/>
      <c r="J31" t="s">
        <v>987</v>
      </c>
      <c r="K31" s="128"/>
    </row>
    <row r="32" spans="1:11" x14ac:dyDescent="0.2">
      <c r="A32" s="128" t="s">
        <v>494</v>
      </c>
      <c r="B32" s="128">
        <v>454844</v>
      </c>
      <c r="C32" s="155">
        <v>43070.483634259261</v>
      </c>
      <c r="D32" s="128" t="s">
        <v>770</v>
      </c>
      <c r="E32" s="128" t="s">
        <v>983</v>
      </c>
      <c r="F32" s="128">
        <v>140700</v>
      </c>
      <c r="G32" s="128">
        <v>2.68</v>
      </c>
      <c r="H32" s="128">
        <v>0</v>
      </c>
      <c r="I32" s="128"/>
      <c r="J32" t="s">
        <v>988</v>
      </c>
      <c r="K32" s="128"/>
    </row>
    <row r="33" spans="1:11" x14ac:dyDescent="0.2">
      <c r="A33" s="128" t="s">
        <v>494</v>
      </c>
      <c r="B33" s="128">
        <v>461653</v>
      </c>
      <c r="C33" s="155">
        <v>43096.595682870371</v>
      </c>
      <c r="D33" s="128" t="s">
        <v>772</v>
      </c>
      <c r="E33" s="128" t="s">
        <v>983</v>
      </c>
      <c r="F33" s="128">
        <v>0</v>
      </c>
      <c r="G33" s="128">
        <v>0</v>
      </c>
      <c r="H33" s="128">
        <v>377.44</v>
      </c>
      <c r="I33" s="128"/>
      <c r="J33" t="s">
        <v>987</v>
      </c>
      <c r="K33" s="128"/>
    </row>
    <row r="34" spans="1:11" x14ac:dyDescent="0.2">
      <c r="A34" s="128" t="s">
        <v>494</v>
      </c>
      <c r="B34" s="128">
        <v>461653</v>
      </c>
      <c r="C34" s="155">
        <v>43096.595682870371</v>
      </c>
      <c r="D34" s="128" t="s">
        <v>770</v>
      </c>
      <c r="E34" s="128" t="s">
        <v>983</v>
      </c>
      <c r="F34" s="128">
        <v>143003</v>
      </c>
      <c r="G34" s="128">
        <v>27.18</v>
      </c>
      <c r="H34" s="128">
        <v>0</v>
      </c>
      <c r="I34" s="128"/>
      <c r="J34" t="s">
        <v>988</v>
      </c>
      <c r="K34" s="128"/>
    </row>
    <row r="35" spans="1:11" x14ac:dyDescent="0.2">
      <c r="A35" s="128" t="s">
        <v>494</v>
      </c>
      <c r="B35" s="128">
        <v>461653</v>
      </c>
      <c r="C35" s="155">
        <v>43096.595682870371</v>
      </c>
      <c r="D35" s="128" t="s">
        <v>769</v>
      </c>
      <c r="E35" s="128" t="s">
        <v>983</v>
      </c>
      <c r="F35" s="128">
        <v>0</v>
      </c>
      <c r="G35" s="128">
        <v>0</v>
      </c>
      <c r="H35" s="128">
        <v>74.88</v>
      </c>
      <c r="I35" s="128"/>
      <c r="J35" t="s">
        <v>987</v>
      </c>
      <c r="K35" s="128"/>
    </row>
    <row r="36" spans="1:11" x14ac:dyDescent="0.2">
      <c r="A36" s="128" t="s">
        <v>494</v>
      </c>
      <c r="B36" s="128">
        <v>461653</v>
      </c>
      <c r="C36" s="155">
        <v>43096.595682870371</v>
      </c>
      <c r="D36" s="128" t="s">
        <v>770</v>
      </c>
      <c r="E36" s="128" t="s">
        <v>983</v>
      </c>
      <c r="F36" s="128">
        <v>143003</v>
      </c>
      <c r="G36" s="128">
        <v>5.39</v>
      </c>
      <c r="H36" s="128">
        <v>0</v>
      </c>
      <c r="I36" s="128"/>
      <c r="J36" t="s">
        <v>988</v>
      </c>
      <c r="K36" s="128"/>
    </row>
    <row r="37" spans="1:11" x14ac:dyDescent="0.2">
      <c r="A37" s="128" t="s">
        <v>497</v>
      </c>
      <c r="B37" s="128">
        <v>460278</v>
      </c>
      <c r="C37" s="155">
        <v>43088.572592592594</v>
      </c>
      <c r="D37" s="128" t="s">
        <v>773</v>
      </c>
      <c r="E37" s="128" t="s">
        <v>983</v>
      </c>
      <c r="F37" s="128">
        <v>0</v>
      </c>
      <c r="G37" s="128">
        <v>0</v>
      </c>
      <c r="H37" s="128">
        <v>422.32</v>
      </c>
      <c r="I37" s="128"/>
      <c r="J37" t="s">
        <v>987</v>
      </c>
      <c r="K37" s="128"/>
    </row>
    <row r="38" spans="1:11" x14ac:dyDescent="0.2">
      <c r="A38" s="128" t="s">
        <v>497</v>
      </c>
      <c r="B38" s="128">
        <v>460278</v>
      </c>
      <c r="C38" s="155">
        <v>43088.572592592594</v>
      </c>
      <c r="D38" s="128" t="s">
        <v>621</v>
      </c>
      <c r="E38" s="128" t="s">
        <v>983</v>
      </c>
      <c r="F38" s="128">
        <v>142472</v>
      </c>
      <c r="G38" s="128">
        <v>30.41</v>
      </c>
      <c r="H38" s="128">
        <v>0</v>
      </c>
      <c r="I38" s="128"/>
      <c r="J38" t="s">
        <v>988</v>
      </c>
      <c r="K38" s="128"/>
    </row>
    <row r="39" spans="1:11" x14ac:dyDescent="0.2">
      <c r="A39" s="128" t="s">
        <v>497</v>
      </c>
      <c r="B39" s="128">
        <v>460278</v>
      </c>
      <c r="C39" s="155">
        <v>43088.572592592594</v>
      </c>
      <c r="D39" s="128" t="s">
        <v>738</v>
      </c>
      <c r="E39" s="128" t="s">
        <v>983</v>
      </c>
      <c r="F39" s="128">
        <v>0</v>
      </c>
      <c r="G39" s="128">
        <v>0</v>
      </c>
      <c r="H39" s="128">
        <v>39.200000000000003</v>
      </c>
      <c r="I39" s="128"/>
      <c r="J39" t="s">
        <v>987</v>
      </c>
      <c r="K39" s="128"/>
    </row>
    <row r="40" spans="1:11" x14ac:dyDescent="0.2">
      <c r="A40" s="128" t="s">
        <v>497</v>
      </c>
      <c r="B40" s="128">
        <v>460278</v>
      </c>
      <c r="C40" s="155">
        <v>43088.572592592594</v>
      </c>
      <c r="D40" s="128" t="s">
        <v>621</v>
      </c>
      <c r="E40" s="128" t="s">
        <v>983</v>
      </c>
      <c r="F40" s="128">
        <v>142472</v>
      </c>
      <c r="G40" s="128">
        <v>2.82</v>
      </c>
      <c r="H40" s="128">
        <v>0</v>
      </c>
      <c r="I40" s="128"/>
      <c r="J40" t="s">
        <v>988</v>
      </c>
      <c r="K40" s="128"/>
    </row>
    <row r="41" spans="1:11" x14ac:dyDescent="0.2">
      <c r="A41" s="128" t="s">
        <v>497</v>
      </c>
      <c r="B41" s="128">
        <v>460329</v>
      </c>
      <c r="C41" s="155">
        <v>43088.575416666667</v>
      </c>
      <c r="D41" s="128" t="s">
        <v>622</v>
      </c>
      <c r="E41" s="136" t="s">
        <v>983</v>
      </c>
      <c r="F41" s="128">
        <v>122678</v>
      </c>
      <c r="G41" s="128">
        <v>428.29</v>
      </c>
      <c r="H41" s="128">
        <v>0</v>
      </c>
      <c r="I41" s="128"/>
      <c r="J41" t="s">
        <v>989</v>
      </c>
      <c r="K41" s="128"/>
    </row>
    <row r="42" spans="1:11" x14ac:dyDescent="0.2">
      <c r="A42" s="128" t="s">
        <v>499</v>
      </c>
      <c r="B42" s="128">
        <v>460285</v>
      </c>
      <c r="C42" s="155">
        <v>43088.572592592594</v>
      </c>
      <c r="D42" s="128" t="s">
        <v>774</v>
      </c>
      <c r="E42" s="128" t="s">
        <v>983</v>
      </c>
      <c r="F42" s="128">
        <v>0</v>
      </c>
      <c r="G42" s="128">
        <v>0</v>
      </c>
      <c r="H42" s="128">
        <v>114.72</v>
      </c>
      <c r="I42" s="128"/>
      <c r="J42" t="s">
        <v>987</v>
      </c>
      <c r="K42" s="128"/>
    </row>
    <row r="43" spans="1:11" x14ac:dyDescent="0.2">
      <c r="A43" s="128" t="s">
        <v>499</v>
      </c>
      <c r="B43" s="128">
        <v>460285</v>
      </c>
      <c r="C43" s="155">
        <v>43088.572592592594</v>
      </c>
      <c r="D43" s="128" t="s">
        <v>623</v>
      </c>
      <c r="E43" s="128" t="s">
        <v>983</v>
      </c>
      <c r="F43" s="128">
        <v>142478</v>
      </c>
      <c r="G43" s="128">
        <v>8.26</v>
      </c>
      <c r="H43" s="128">
        <v>0</v>
      </c>
      <c r="I43" s="128"/>
      <c r="J43" t="s">
        <v>988</v>
      </c>
      <c r="K43" s="128"/>
    </row>
    <row r="44" spans="1:11" x14ac:dyDescent="0.2">
      <c r="A44" s="128" t="s">
        <v>499</v>
      </c>
      <c r="B44" s="128">
        <v>460285</v>
      </c>
      <c r="C44" s="155">
        <v>43088.572592592594</v>
      </c>
      <c r="D44" s="128" t="s">
        <v>739</v>
      </c>
      <c r="E44" s="128" t="s">
        <v>983</v>
      </c>
      <c r="F44" s="128">
        <v>0</v>
      </c>
      <c r="G44" s="128">
        <v>0</v>
      </c>
      <c r="H44" s="128">
        <v>346.8</v>
      </c>
      <c r="I44" s="128"/>
      <c r="J44" t="s">
        <v>987</v>
      </c>
      <c r="K44" s="128"/>
    </row>
    <row r="45" spans="1:11" x14ac:dyDescent="0.2">
      <c r="A45" s="128" t="s">
        <v>499</v>
      </c>
      <c r="B45" s="128">
        <v>460285</v>
      </c>
      <c r="C45" s="155">
        <v>43088.572592592594</v>
      </c>
      <c r="D45" s="128" t="s">
        <v>623</v>
      </c>
      <c r="E45" s="128" t="s">
        <v>983</v>
      </c>
      <c r="F45" s="128">
        <v>142478</v>
      </c>
      <c r="G45" s="128">
        <v>24.97</v>
      </c>
      <c r="H45" s="128">
        <v>0</v>
      </c>
      <c r="I45" s="128"/>
      <c r="J45" t="s">
        <v>988</v>
      </c>
      <c r="K45" s="128"/>
    </row>
    <row r="46" spans="1:11" x14ac:dyDescent="0.2">
      <c r="A46" s="128" t="s">
        <v>499</v>
      </c>
      <c r="B46" s="128">
        <v>460329</v>
      </c>
      <c r="C46" s="155">
        <v>43088.575416666667</v>
      </c>
      <c r="D46" s="128" t="s">
        <v>624</v>
      </c>
      <c r="E46" s="128" t="s">
        <v>983</v>
      </c>
      <c r="F46" s="128">
        <v>122685</v>
      </c>
      <c r="G46" s="128">
        <v>428.29</v>
      </c>
      <c r="H46" s="128">
        <v>0</v>
      </c>
      <c r="I46" s="128"/>
      <c r="J46" t="s">
        <v>989</v>
      </c>
      <c r="K46" s="128"/>
    </row>
    <row r="47" spans="1:11" x14ac:dyDescent="0.2">
      <c r="A47" s="128" t="s">
        <v>501</v>
      </c>
      <c r="B47" s="128">
        <v>458521</v>
      </c>
      <c r="C47" s="155">
        <v>43082.539363425924</v>
      </c>
      <c r="D47" s="128" t="s">
        <v>775</v>
      </c>
      <c r="E47" s="128" t="s">
        <v>729</v>
      </c>
      <c r="F47" s="128">
        <v>1473</v>
      </c>
      <c r="G47" s="128">
        <v>400</v>
      </c>
      <c r="H47" s="128">
        <v>0</v>
      </c>
      <c r="I47" s="128"/>
      <c r="J47" t="s">
        <v>990</v>
      </c>
      <c r="K47" s="128"/>
    </row>
    <row r="48" spans="1:11" x14ac:dyDescent="0.2">
      <c r="A48" s="128" t="s">
        <v>501</v>
      </c>
      <c r="B48" s="128">
        <v>458648</v>
      </c>
      <c r="C48" s="155">
        <v>43083.380729166667</v>
      </c>
      <c r="D48" s="128" t="s">
        <v>776</v>
      </c>
      <c r="E48" s="128" t="s">
        <v>983</v>
      </c>
      <c r="F48" s="128">
        <v>147633</v>
      </c>
      <c r="G48" s="128">
        <v>0</v>
      </c>
      <c r="H48" s="128">
        <v>400</v>
      </c>
      <c r="I48" s="128"/>
      <c r="J48" t="s">
        <v>990</v>
      </c>
      <c r="K48" s="128"/>
    </row>
    <row r="49" spans="1:11" x14ac:dyDescent="0.2">
      <c r="A49" s="128" t="s">
        <v>501</v>
      </c>
      <c r="B49" s="128">
        <v>458650</v>
      </c>
      <c r="C49" s="155">
        <v>43083.381932870368</v>
      </c>
      <c r="D49" s="128" t="s">
        <v>777</v>
      </c>
      <c r="E49" s="128" t="s">
        <v>729</v>
      </c>
      <c r="F49" s="128"/>
      <c r="G49" s="128">
        <v>110</v>
      </c>
      <c r="H49" s="128">
        <v>0</v>
      </c>
      <c r="I49" s="128"/>
      <c r="J49" t="s">
        <v>990</v>
      </c>
      <c r="K49" s="128"/>
    </row>
    <row r="50" spans="1:11" x14ac:dyDescent="0.2">
      <c r="A50" s="128" t="s">
        <v>503</v>
      </c>
      <c r="B50" s="128">
        <v>460307</v>
      </c>
      <c r="C50" s="155">
        <v>43088.572592592594</v>
      </c>
      <c r="D50" s="128" t="s">
        <v>740</v>
      </c>
      <c r="E50" s="128" t="s">
        <v>983</v>
      </c>
      <c r="F50" s="128">
        <v>0</v>
      </c>
      <c r="G50" s="128">
        <v>0</v>
      </c>
      <c r="H50" s="128">
        <v>57.68</v>
      </c>
      <c r="I50" s="128"/>
      <c r="J50" t="s">
        <v>987</v>
      </c>
      <c r="K50" s="128"/>
    </row>
    <row r="51" spans="1:11" x14ac:dyDescent="0.2">
      <c r="A51" s="128" t="s">
        <v>503</v>
      </c>
      <c r="B51" s="128">
        <v>460307</v>
      </c>
      <c r="C51" s="155">
        <v>43088.572592592594</v>
      </c>
      <c r="D51" s="128" t="s">
        <v>625</v>
      </c>
      <c r="E51" s="128" t="s">
        <v>983</v>
      </c>
      <c r="F51" s="128">
        <v>142494</v>
      </c>
      <c r="G51" s="128">
        <v>4.1500000000000004</v>
      </c>
      <c r="H51" s="128">
        <v>0</v>
      </c>
      <c r="I51" s="128"/>
      <c r="J51" t="s">
        <v>988</v>
      </c>
      <c r="K51" s="128"/>
    </row>
    <row r="52" spans="1:11" x14ac:dyDescent="0.2">
      <c r="A52" s="128" t="s">
        <v>503</v>
      </c>
      <c r="B52" s="128">
        <v>460307</v>
      </c>
      <c r="C52" s="155">
        <v>43088.572592592594</v>
      </c>
      <c r="D52" s="128" t="s">
        <v>778</v>
      </c>
      <c r="E52" s="128" t="s">
        <v>983</v>
      </c>
      <c r="F52" s="128">
        <v>0</v>
      </c>
      <c r="G52" s="128">
        <v>0</v>
      </c>
      <c r="H52" s="128">
        <v>403.84</v>
      </c>
      <c r="I52" s="128"/>
      <c r="J52" t="s">
        <v>987</v>
      </c>
      <c r="K52" s="128"/>
    </row>
    <row r="53" spans="1:11" x14ac:dyDescent="0.2">
      <c r="A53" s="128" t="s">
        <v>503</v>
      </c>
      <c r="B53" s="128">
        <v>460307</v>
      </c>
      <c r="C53" s="155">
        <v>43088.572592592594</v>
      </c>
      <c r="D53" s="128" t="s">
        <v>625</v>
      </c>
      <c r="E53" s="128" t="s">
        <v>983</v>
      </c>
      <c r="F53" s="128">
        <v>142494</v>
      </c>
      <c r="G53" s="128">
        <v>29.08</v>
      </c>
      <c r="H53" s="128">
        <v>0</v>
      </c>
      <c r="I53" s="128"/>
      <c r="J53" t="s">
        <v>988</v>
      </c>
      <c r="K53" s="128"/>
    </row>
    <row r="54" spans="1:11" x14ac:dyDescent="0.2">
      <c r="A54" s="128" t="s">
        <v>503</v>
      </c>
      <c r="B54" s="128">
        <v>460329</v>
      </c>
      <c r="C54" s="155">
        <v>43088.575416666667</v>
      </c>
      <c r="D54" s="128" t="s">
        <v>626</v>
      </c>
      <c r="E54" s="128" t="s">
        <v>983</v>
      </c>
      <c r="F54" s="128">
        <v>122707</v>
      </c>
      <c r="G54" s="128">
        <v>428.29</v>
      </c>
      <c r="H54" s="128">
        <v>0</v>
      </c>
      <c r="I54" s="128"/>
      <c r="J54" t="s">
        <v>989</v>
      </c>
      <c r="K54" s="128"/>
    </row>
    <row r="55" spans="1:11" x14ac:dyDescent="0.2">
      <c r="A55" s="128" t="s">
        <v>505</v>
      </c>
      <c r="B55" s="128">
        <v>460280</v>
      </c>
      <c r="C55" s="155">
        <v>43088.572592592594</v>
      </c>
      <c r="D55" s="128" t="s">
        <v>779</v>
      </c>
      <c r="E55" s="128" t="s">
        <v>983</v>
      </c>
      <c r="F55" s="128">
        <v>0</v>
      </c>
      <c r="G55" s="128">
        <v>0</v>
      </c>
      <c r="H55" s="128">
        <v>465.68</v>
      </c>
      <c r="I55" s="128"/>
      <c r="J55" t="s">
        <v>987</v>
      </c>
      <c r="K55" s="128"/>
    </row>
    <row r="56" spans="1:11" x14ac:dyDescent="0.2">
      <c r="A56" s="128" t="s">
        <v>505</v>
      </c>
      <c r="B56" s="128">
        <v>460280</v>
      </c>
      <c r="C56" s="155">
        <v>43088.572592592594</v>
      </c>
      <c r="D56" s="128" t="s">
        <v>627</v>
      </c>
      <c r="E56" s="128" t="s">
        <v>983</v>
      </c>
      <c r="F56" s="128">
        <v>142474</v>
      </c>
      <c r="G56" s="128">
        <v>33.53</v>
      </c>
      <c r="H56" s="128">
        <v>0</v>
      </c>
      <c r="I56" s="128"/>
      <c r="J56" t="s">
        <v>988</v>
      </c>
      <c r="K56" s="128"/>
    </row>
    <row r="57" spans="1:11" x14ac:dyDescent="0.2">
      <c r="A57" s="128" t="s">
        <v>505</v>
      </c>
      <c r="B57" s="128">
        <v>460280</v>
      </c>
      <c r="C57" s="155">
        <v>43088.572592592594</v>
      </c>
      <c r="D57" s="128" t="s">
        <v>741</v>
      </c>
      <c r="E57" s="128" t="s">
        <v>983</v>
      </c>
      <c r="F57" s="128">
        <v>0</v>
      </c>
      <c r="G57" s="128">
        <v>0</v>
      </c>
      <c r="H57" s="128">
        <v>0.44</v>
      </c>
      <c r="I57" s="128"/>
      <c r="J57" t="s">
        <v>987</v>
      </c>
      <c r="K57" s="128"/>
    </row>
    <row r="58" spans="1:11" x14ac:dyDescent="0.2">
      <c r="A58" s="128" t="s">
        <v>505</v>
      </c>
      <c r="B58" s="128">
        <v>460280</v>
      </c>
      <c r="C58" s="155">
        <v>43088.572592592594</v>
      </c>
      <c r="D58" s="128" t="s">
        <v>627</v>
      </c>
      <c r="E58" s="128" t="s">
        <v>983</v>
      </c>
      <c r="F58" s="128">
        <v>142474</v>
      </c>
      <c r="G58" s="128">
        <v>0.04</v>
      </c>
      <c r="H58" s="128">
        <v>0</v>
      </c>
      <c r="I58" s="128"/>
      <c r="J58" t="s">
        <v>988</v>
      </c>
      <c r="K58" s="128"/>
    </row>
    <row r="59" spans="1:11" x14ac:dyDescent="0.2">
      <c r="A59" s="128" t="s">
        <v>505</v>
      </c>
      <c r="B59" s="128">
        <v>460329</v>
      </c>
      <c r="C59" s="155">
        <v>43088.575416666667</v>
      </c>
      <c r="D59" s="128" t="s">
        <v>628</v>
      </c>
      <c r="E59" s="128" t="s">
        <v>983</v>
      </c>
      <c r="F59" s="128">
        <v>122680</v>
      </c>
      <c r="G59" s="128">
        <v>432.55</v>
      </c>
      <c r="H59" s="128">
        <v>0</v>
      </c>
      <c r="I59" s="128"/>
      <c r="J59" t="s">
        <v>989</v>
      </c>
      <c r="K59" s="128"/>
    </row>
    <row r="60" spans="1:11" x14ac:dyDescent="0.2">
      <c r="A60" s="128" t="s">
        <v>507</v>
      </c>
      <c r="B60" s="128">
        <v>458520</v>
      </c>
      <c r="C60" s="155">
        <v>43082.5391087963</v>
      </c>
      <c r="D60" s="128" t="s">
        <v>780</v>
      </c>
      <c r="E60" s="128" t="s">
        <v>729</v>
      </c>
      <c r="F60" s="128">
        <v>1472</v>
      </c>
      <c r="G60" s="128">
        <v>350</v>
      </c>
      <c r="H60" s="128">
        <v>0</v>
      </c>
      <c r="I60" s="128"/>
      <c r="J60" t="s">
        <v>990</v>
      </c>
      <c r="K60" s="128"/>
    </row>
    <row r="61" spans="1:11" x14ac:dyDescent="0.2">
      <c r="A61" s="128" t="s">
        <v>507</v>
      </c>
      <c r="B61" s="128">
        <v>458647</v>
      </c>
      <c r="C61" s="155">
        <v>43083.379814814813</v>
      </c>
      <c r="D61" s="128" t="s">
        <v>781</v>
      </c>
      <c r="E61" s="128" t="s">
        <v>983</v>
      </c>
      <c r="F61" s="128">
        <v>147632</v>
      </c>
      <c r="G61" s="128">
        <v>0</v>
      </c>
      <c r="H61" s="128">
        <v>350</v>
      </c>
      <c r="I61" s="128"/>
      <c r="J61" t="s">
        <v>990</v>
      </c>
      <c r="K61" s="128"/>
    </row>
    <row r="62" spans="1:11" x14ac:dyDescent="0.2">
      <c r="A62" s="128" t="s">
        <v>475</v>
      </c>
      <c r="B62" s="128">
        <v>455812</v>
      </c>
      <c r="C62" s="155">
        <v>43074.507569444446</v>
      </c>
      <c r="D62" s="128" t="s">
        <v>782</v>
      </c>
      <c r="E62" s="128" t="s">
        <v>729</v>
      </c>
      <c r="F62" s="128">
        <v>906</v>
      </c>
      <c r="G62" s="128">
        <v>120</v>
      </c>
      <c r="H62" s="128">
        <v>0</v>
      </c>
      <c r="I62" s="128"/>
      <c r="J62" t="s">
        <v>990</v>
      </c>
      <c r="K62" s="128"/>
    </row>
    <row r="63" spans="1:11" x14ac:dyDescent="0.2">
      <c r="A63" s="128" t="s">
        <v>475</v>
      </c>
      <c r="B63" s="128">
        <v>459510</v>
      </c>
      <c r="C63" s="155">
        <v>43087.659814814811</v>
      </c>
      <c r="D63" s="128" t="s">
        <v>783</v>
      </c>
      <c r="E63" s="128" t="s">
        <v>729</v>
      </c>
      <c r="F63" s="128">
        <v>951</v>
      </c>
      <c r="G63" s="128">
        <v>780</v>
      </c>
      <c r="H63" s="128">
        <v>0</v>
      </c>
      <c r="I63" s="128"/>
      <c r="J63" t="s">
        <v>990</v>
      </c>
      <c r="K63" s="128"/>
    </row>
    <row r="64" spans="1:11" x14ac:dyDescent="0.2">
      <c r="A64" s="128" t="s">
        <v>475</v>
      </c>
      <c r="B64" s="128">
        <v>460479</v>
      </c>
      <c r="C64" s="155">
        <v>43089.414560185185</v>
      </c>
      <c r="D64" s="128" t="s">
        <v>784</v>
      </c>
      <c r="E64" s="128" t="s">
        <v>983</v>
      </c>
      <c r="F64" s="128">
        <v>148217</v>
      </c>
      <c r="G64" s="128">
        <v>0</v>
      </c>
      <c r="H64" s="128">
        <v>780</v>
      </c>
      <c r="I64" s="128"/>
      <c r="J64" t="s">
        <v>990</v>
      </c>
      <c r="K64" s="128"/>
    </row>
    <row r="65" spans="1:11" x14ac:dyDescent="0.2">
      <c r="A65" s="128" t="s">
        <v>475</v>
      </c>
      <c r="B65" s="128">
        <v>460785</v>
      </c>
      <c r="C65" s="155">
        <v>43089.63385416667</v>
      </c>
      <c r="D65" s="128" t="s">
        <v>742</v>
      </c>
      <c r="E65" s="128" t="s">
        <v>983</v>
      </c>
      <c r="F65" s="128">
        <v>0</v>
      </c>
      <c r="G65" s="128">
        <v>0</v>
      </c>
      <c r="H65" s="128">
        <v>152.88</v>
      </c>
      <c r="I65" s="128"/>
      <c r="J65" t="s">
        <v>987</v>
      </c>
      <c r="K65" s="128"/>
    </row>
    <row r="66" spans="1:11" x14ac:dyDescent="0.2">
      <c r="A66" s="128" t="s">
        <v>475</v>
      </c>
      <c r="B66" s="128">
        <v>460785</v>
      </c>
      <c r="C66" s="155">
        <v>43089.63385416667</v>
      </c>
      <c r="D66" s="128" t="s">
        <v>629</v>
      </c>
      <c r="E66" s="128" t="s">
        <v>983</v>
      </c>
      <c r="F66" s="128">
        <v>142620</v>
      </c>
      <c r="G66" s="128">
        <v>11</v>
      </c>
      <c r="H66" s="128">
        <v>0</v>
      </c>
      <c r="I66" s="128"/>
      <c r="J66" t="s">
        <v>988</v>
      </c>
      <c r="K66" s="128"/>
    </row>
    <row r="67" spans="1:11" x14ac:dyDescent="0.2">
      <c r="A67" s="128" t="s">
        <v>475</v>
      </c>
      <c r="B67" s="128">
        <v>460785</v>
      </c>
      <c r="C67" s="155">
        <v>43089.63385416667</v>
      </c>
      <c r="D67" s="128" t="s">
        <v>785</v>
      </c>
      <c r="E67" s="128" t="s">
        <v>983</v>
      </c>
      <c r="F67" s="128">
        <v>0</v>
      </c>
      <c r="G67" s="128">
        <v>0</v>
      </c>
      <c r="H67" s="128">
        <v>266.91000000000003</v>
      </c>
      <c r="I67" s="128"/>
      <c r="J67" t="s">
        <v>987</v>
      </c>
      <c r="K67" s="128"/>
    </row>
    <row r="68" spans="1:11" x14ac:dyDescent="0.2">
      <c r="A68" s="128" t="s">
        <v>475</v>
      </c>
      <c r="B68" s="128">
        <v>460785</v>
      </c>
      <c r="C68" s="155">
        <v>43089.63385416667</v>
      </c>
      <c r="D68" s="128" t="s">
        <v>629</v>
      </c>
      <c r="E68" s="128" t="s">
        <v>983</v>
      </c>
      <c r="F68" s="128">
        <v>142620</v>
      </c>
      <c r="G68" s="128">
        <v>19.21</v>
      </c>
      <c r="H68" s="128">
        <v>0</v>
      </c>
      <c r="I68" s="128"/>
      <c r="J68" t="s">
        <v>988</v>
      </c>
      <c r="K68" s="128"/>
    </row>
    <row r="69" spans="1:11" x14ac:dyDescent="0.2">
      <c r="A69" s="128" t="s">
        <v>475</v>
      </c>
      <c r="B69" s="128">
        <v>460798</v>
      </c>
      <c r="C69" s="155">
        <v>43089.636354166665</v>
      </c>
      <c r="D69" s="128" t="s">
        <v>723</v>
      </c>
      <c r="E69" s="128" t="s">
        <v>983</v>
      </c>
      <c r="F69" s="128">
        <v>122844</v>
      </c>
      <c r="G69" s="128">
        <v>269.58</v>
      </c>
      <c r="H69" s="128">
        <v>0</v>
      </c>
      <c r="I69" s="128"/>
      <c r="J69" t="s">
        <v>989</v>
      </c>
      <c r="K69" s="128"/>
    </row>
    <row r="70" spans="1:11" x14ac:dyDescent="0.2">
      <c r="A70" s="128" t="s">
        <v>490</v>
      </c>
      <c r="B70" s="128">
        <v>455534</v>
      </c>
      <c r="C70" s="155">
        <v>43073.655752314815</v>
      </c>
      <c r="D70" s="128" t="s">
        <v>743</v>
      </c>
      <c r="E70" s="128" t="s">
        <v>983</v>
      </c>
      <c r="F70" s="128">
        <v>0</v>
      </c>
      <c r="G70" s="128">
        <v>0</v>
      </c>
      <c r="H70" s="128">
        <v>200</v>
      </c>
      <c r="I70" s="128"/>
      <c r="J70" t="s">
        <v>987</v>
      </c>
      <c r="K70" s="128"/>
    </row>
    <row r="71" spans="1:11" x14ac:dyDescent="0.2">
      <c r="A71" s="128" t="s">
        <v>490</v>
      </c>
      <c r="B71" s="128">
        <v>455534</v>
      </c>
      <c r="C71" s="155">
        <v>43073.655752314815</v>
      </c>
      <c r="D71" s="128" t="s">
        <v>563</v>
      </c>
      <c r="E71" s="128" t="s">
        <v>983</v>
      </c>
      <c r="F71" s="128">
        <v>140971</v>
      </c>
      <c r="G71" s="128">
        <v>14.4</v>
      </c>
      <c r="H71" s="128">
        <v>0</v>
      </c>
      <c r="I71" s="128"/>
      <c r="J71" t="s">
        <v>988</v>
      </c>
      <c r="K71" s="128"/>
    </row>
    <row r="72" spans="1:11" x14ac:dyDescent="0.2">
      <c r="A72" s="128" t="s">
        <v>490</v>
      </c>
      <c r="B72" s="128">
        <v>455551</v>
      </c>
      <c r="C72" s="155">
        <v>43073.659085648149</v>
      </c>
      <c r="D72" s="128" t="s">
        <v>564</v>
      </c>
      <c r="E72" s="128" t="s">
        <v>983</v>
      </c>
      <c r="F72" s="128">
        <v>121261</v>
      </c>
      <c r="G72" s="128">
        <v>185.6</v>
      </c>
      <c r="H72" s="128">
        <v>0</v>
      </c>
      <c r="I72" s="128"/>
      <c r="J72" t="s">
        <v>989</v>
      </c>
      <c r="K72" s="128"/>
    </row>
    <row r="73" spans="1:11" x14ac:dyDescent="0.2">
      <c r="A73" s="128" t="s">
        <v>490</v>
      </c>
      <c r="B73" s="128">
        <v>460292</v>
      </c>
      <c r="C73" s="155">
        <v>43088.572592592594</v>
      </c>
      <c r="D73" s="128" t="s">
        <v>786</v>
      </c>
      <c r="E73" s="128" t="s">
        <v>983</v>
      </c>
      <c r="F73" s="128">
        <v>0</v>
      </c>
      <c r="G73" s="128">
        <v>0</v>
      </c>
      <c r="H73" s="128">
        <v>400</v>
      </c>
      <c r="I73" s="128"/>
      <c r="J73" t="s">
        <v>987</v>
      </c>
      <c r="K73" s="128"/>
    </row>
    <row r="74" spans="1:11" x14ac:dyDescent="0.2">
      <c r="A74" s="128" t="s">
        <v>490</v>
      </c>
      <c r="B74" s="128">
        <v>460292</v>
      </c>
      <c r="C74" s="155">
        <v>43088.572592592594</v>
      </c>
      <c r="D74" s="128" t="s">
        <v>563</v>
      </c>
      <c r="E74" s="128" t="s">
        <v>983</v>
      </c>
      <c r="F74" s="128">
        <v>142483</v>
      </c>
      <c r="G74" s="128">
        <v>28.8</v>
      </c>
      <c r="H74" s="128">
        <v>0</v>
      </c>
      <c r="I74" s="128"/>
      <c r="J74" t="s">
        <v>988</v>
      </c>
      <c r="K74" s="128"/>
    </row>
    <row r="75" spans="1:11" x14ac:dyDescent="0.2">
      <c r="A75" s="128" t="s">
        <v>490</v>
      </c>
      <c r="B75" s="128">
        <v>460329</v>
      </c>
      <c r="C75" s="155">
        <v>43088.575416666667</v>
      </c>
      <c r="D75" s="128" t="s">
        <v>564</v>
      </c>
      <c r="E75" s="128" t="s">
        <v>983</v>
      </c>
      <c r="F75" s="128">
        <v>122692</v>
      </c>
      <c r="G75" s="128">
        <v>371.2</v>
      </c>
      <c r="H75" s="128">
        <v>0</v>
      </c>
      <c r="I75" s="128"/>
      <c r="J75" t="s">
        <v>989</v>
      </c>
      <c r="K75" s="128"/>
    </row>
    <row r="76" spans="1:11" x14ac:dyDescent="0.2">
      <c r="A76" s="128" t="s">
        <v>490</v>
      </c>
      <c r="B76" s="128">
        <v>461280</v>
      </c>
      <c r="C76" s="155">
        <v>43091.475162037037</v>
      </c>
      <c r="D76" s="128" t="s">
        <v>786</v>
      </c>
      <c r="E76" s="128" t="s">
        <v>983</v>
      </c>
      <c r="F76" s="128">
        <v>0</v>
      </c>
      <c r="G76" s="128">
        <v>0</v>
      </c>
      <c r="H76" s="128">
        <v>200</v>
      </c>
      <c r="I76" s="128"/>
      <c r="J76" t="s">
        <v>987</v>
      </c>
      <c r="K76" s="128"/>
    </row>
    <row r="77" spans="1:11" x14ac:dyDescent="0.2">
      <c r="A77" s="128" t="s">
        <v>490</v>
      </c>
      <c r="B77" s="128">
        <v>461280</v>
      </c>
      <c r="C77" s="155">
        <v>43091.475162037037</v>
      </c>
      <c r="D77" s="128" t="s">
        <v>563</v>
      </c>
      <c r="E77" s="128" t="s">
        <v>983</v>
      </c>
      <c r="F77" s="128">
        <v>142781</v>
      </c>
      <c r="G77" s="128">
        <v>14.4</v>
      </c>
      <c r="H77" s="128">
        <v>0</v>
      </c>
      <c r="I77" s="128"/>
      <c r="J77" t="s">
        <v>988</v>
      </c>
      <c r="K77" s="128"/>
    </row>
    <row r="78" spans="1:11" x14ac:dyDescent="0.2">
      <c r="A78" s="128" t="s">
        <v>490</v>
      </c>
      <c r="B78" s="128">
        <v>461282</v>
      </c>
      <c r="C78" s="155">
        <v>43091.477141203701</v>
      </c>
      <c r="D78" s="128" t="s">
        <v>564</v>
      </c>
      <c r="E78" s="128" t="s">
        <v>983</v>
      </c>
      <c r="F78" s="128">
        <v>122973</v>
      </c>
      <c r="G78" s="128">
        <v>185.6</v>
      </c>
      <c r="H78" s="128">
        <v>0</v>
      </c>
      <c r="I78" s="128"/>
      <c r="J78" t="s">
        <v>989</v>
      </c>
      <c r="K78" s="128"/>
    </row>
    <row r="79" spans="1:11" x14ac:dyDescent="0.2">
      <c r="A79" s="128" t="s">
        <v>489</v>
      </c>
      <c r="B79" s="128">
        <v>462164</v>
      </c>
      <c r="C79" s="155">
        <v>43097.615439814814</v>
      </c>
      <c r="D79" s="128" t="s">
        <v>787</v>
      </c>
      <c r="E79" s="128" t="s">
        <v>983</v>
      </c>
      <c r="F79" s="128">
        <v>0</v>
      </c>
      <c r="G79" s="128">
        <v>0</v>
      </c>
      <c r="H79" s="128">
        <v>60.45</v>
      </c>
      <c r="I79" s="128"/>
      <c r="J79" t="s">
        <v>987</v>
      </c>
      <c r="K79" s="128"/>
    </row>
    <row r="80" spans="1:11" x14ac:dyDescent="0.2">
      <c r="A80" s="128" t="s">
        <v>489</v>
      </c>
      <c r="B80" s="128">
        <v>462164</v>
      </c>
      <c r="C80" s="155">
        <v>43097.615439814814</v>
      </c>
      <c r="D80" s="128" t="s">
        <v>788</v>
      </c>
      <c r="E80" s="128" t="s">
        <v>983</v>
      </c>
      <c r="F80" s="128">
        <v>143254</v>
      </c>
      <c r="G80" s="128">
        <v>4.3600000000000003</v>
      </c>
      <c r="H80" s="128">
        <v>0</v>
      </c>
      <c r="I80" s="128"/>
      <c r="J80" t="s">
        <v>988</v>
      </c>
      <c r="K80" s="128"/>
    </row>
    <row r="81" spans="1:11" x14ac:dyDescent="0.2">
      <c r="A81" s="128" t="s">
        <v>489</v>
      </c>
      <c r="B81" s="128">
        <v>462164</v>
      </c>
      <c r="C81" s="155">
        <v>43097.615439814814</v>
      </c>
      <c r="D81" s="128" t="s">
        <v>789</v>
      </c>
      <c r="E81" s="128" t="s">
        <v>983</v>
      </c>
      <c r="F81" s="128">
        <v>0</v>
      </c>
      <c r="G81" s="128">
        <v>0</v>
      </c>
      <c r="H81" s="128">
        <v>610</v>
      </c>
      <c r="I81" s="128"/>
      <c r="J81" t="s">
        <v>987</v>
      </c>
      <c r="K81" s="128"/>
    </row>
    <row r="82" spans="1:11" x14ac:dyDescent="0.2">
      <c r="A82" s="128" t="s">
        <v>489</v>
      </c>
      <c r="B82" s="128">
        <v>462164</v>
      </c>
      <c r="C82" s="155">
        <v>43097.615439814814</v>
      </c>
      <c r="D82" s="128" t="s">
        <v>788</v>
      </c>
      <c r="E82" s="128" t="s">
        <v>983</v>
      </c>
      <c r="F82" s="128">
        <v>143254</v>
      </c>
      <c r="G82" s="128">
        <v>43.92</v>
      </c>
      <c r="H82" s="128">
        <v>0</v>
      </c>
      <c r="I82" s="128"/>
      <c r="J82" t="s">
        <v>988</v>
      </c>
      <c r="K82" s="128"/>
    </row>
    <row r="83" spans="1:11" x14ac:dyDescent="0.2">
      <c r="A83" s="128" t="s">
        <v>489</v>
      </c>
      <c r="B83" s="128">
        <v>462186</v>
      </c>
      <c r="C83" s="155">
        <v>43097.617743055554</v>
      </c>
      <c r="D83" s="128" t="s">
        <v>790</v>
      </c>
      <c r="E83" s="136" t="s">
        <v>983</v>
      </c>
      <c r="F83" s="128">
        <v>123235</v>
      </c>
      <c r="G83" s="128">
        <v>557.16999999999996</v>
      </c>
      <c r="H83" s="128">
        <v>0</v>
      </c>
      <c r="I83" s="128"/>
      <c r="J83" t="s">
        <v>989</v>
      </c>
      <c r="K83" s="128"/>
    </row>
    <row r="84" spans="1:11" x14ac:dyDescent="0.2">
      <c r="A84" s="128" t="s">
        <v>487</v>
      </c>
      <c r="B84" s="128">
        <v>458025</v>
      </c>
      <c r="C84" s="155">
        <v>43081.652118055557</v>
      </c>
      <c r="D84" s="128" t="s">
        <v>791</v>
      </c>
      <c r="E84" s="128" t="s">
        <v>983</v>
      </c>
      <c r="F84" s="128">
        <v>0</v>
      </c>
      <c r="G84" s="128">
        <v>0</v>
      </c>
      <c r="H84" s="128">
        <v>71.260000000000005</v>
      </c>
      <c r="I84" s="128"/>
      <c r="J84" t="s">
        <v>987</v>
      </c>
      <c r="K84" s="128"/>
    </row>
    <row r="85" spans="1:11" x14ac:dyDescent="0.2">
      <c r="A85" s="128" t="s">
        <v>487</v>
      </c>
      <c r="B85" s="128">
        <v>458025</v>
      </c>
      <c r="C85" s="155">
        <v>43081.652118055557</v>
      </c>
      <c r="D85" s="128" t="s">
        <v>565</v>
      </c>
      <c r="E85" s="128" t="s">
        <v>983</v>
      </c>
      <c r="F85" s="128">
        <v>141710</v>
      </c>
      <c r="G85" s="128">
        <v>5.14</v>
      </c>
      <c r="H85" s="128">
        <v>0</v>
      </c>
      <c r="I85" s="128"/>
      <c r="J85" t="s">
        <v>988</v>
      </c>
      <c r="K85" s="128"/>
    </row>
    <row r="86" spans="1:11" x14ac:dyDescent="0.2">
      <c r="A86" s="128" t="s">
        <v>487</v>
      </c>
      <c r="B86" s="128">
        <v>458066</v>
      </c>
      <c r="C86" s="155">
        <v>43081.655277777776</v>
      </c>
      <c r="D86" s="128" t="s">
        <v>566</v>
      </c>
      <c r="E86" s="128" t="s">
        <v>983</v>
      </c>
      <c r="F86" s="128">
        <v>122037</v>
      </c>
      <c r="G86" s="128">
        <v>66.12</v>
      </c>
      <c r="H86" s="128">
        <v>0</v>
      </c>
      <c r="I86" s="128"/>
      <c r="J86" t="s">
        <v>989</v>
      </c>
      <c r="K86" s="128"/>
    </row>
    <row r="87" spans="1:11" x14ac:dyDescent="0.2">
      <c r="A87" s="128" t="s">
        <v>487</v>
      </c>
      <c r="B87" s="128">
        <v>462163</v>
      </c>
      <c r="C87" s="155">
        <v>43097.615439814814</v>
      </c>
      <c r="D87" s="128" t="s">
        <v>791</v>
      </c>
      <c r="E87" s="128" t="s">
        <v>983</v>
      </c>
      <c r="F87" s="128">
        <v>0</v>
      </c>
      <c r="G87" s="128">
        <v>0</v>
      </c>
      <c r="H87" s="128">
        <v>443.74</v>
      </c>
      <c r="I87" s="128"/>
      <c r="J87" t="s">
        <v>987</v>
      </c>
      <c r="K87" s="128"/>
    </row>
    <row r="88" spans="1:11" x14ac:dyDescent="0.2">
      <c r="A88" s="128" t="s">
        <v>487</v>
      </c>
      <c r="B88" s="128">
        <v>462163</v>
      </c>
      <c r="C88" s="155">
        <v>43097.615439814814</v>
      </c>
      <c r="D88" s="128" t="s">
        <v>565</v>
      </c>
      <c r="E88" s="128" t="s">
        <v>983</v>
      </c>
      <c r="F88" s="128">
        <v>143253</v>
      </c>
      <c r="G88" s="128">
        <v>31.94</v>
      </c>
      <c r="H88" s="128">
        <v>0</v>
      </c>
      <c r="I88" s="128"/>
      <c r="J88" t="s">
        <v>988</v>
      </c>
      <c r="K88" s="128"/>
    </row>
    <row r="89" spans="1:11" x14ac:dyDescent="0.2">
      <c r="A89" s="128" t="s">
        <v>487</v>
      </c>
      <c r="B89" s="128">
        <v>462186</v>
      </c>
      <c r="C89" s="155">
        <v>43097.617743055554</v>
      </c>
      <c r="D89" s="128" t="s">
        <v>566</v>
      </c>
      <c r="E89" s="128" t="s">
        <v>983</v>
      </c>
      <c r="F89" s="128">
        <v>123234</v>
      </c>
      <c r="G89" s="128">
        <v>411.8</v>
      </c>
      <c r="H89" s="128">
        <v>0</v>
      </c>
      <c r="I89" s="128"/>
      <c r="J89" t="s">
        <v>989</v>
      </c>
      <c r="K89" s="128"/>
    </row>
    <row r="90" spans="1:11" x14ac:dyDescent="0.2">
      <c r="A90" s="128" t="s">
        <v>488</v>
      </c>
      <c r="B90" s="128">
        <v>458911</v>
      </c>
      <c r="C90" s="155">
        <v>43084.409826388888</v>
      </c>
      <c r="D90" s="128" t="s">
        <v>792</v>
      </c>
      <c r="E90" s="128" t="s">
        <v>729</v>
      </c>
      <c r="F90" s="128">
        <v>916</v>
      </c>
      <c r="G90" s="128">
        <v>120</v>
      </c>
      <c r="H90" s="128">
        <v>0</v>
      </c>
      <c r="I90" s="128"/>
      <c r="J90" t="s">
        <v>990</v>
      </c>
      <c r="K90" s="128"/>
    </row>
    <row r="91" spans="1:11" x14ac:dyDescent="0.2">
      <c r="A91" s="128" t="s">
        <v>488</v>
      </c>
      <c r="B91" s="128">
        <v>461648</v>
      </c>
      <c r="C91" s="155">
        <v>43096.595682870371</v>
      </c>
      <c r="D91" s="128" t="s">
        <v>744</v>
      </c>
      <c r="E91" s="128" t="s">
        <v>983</v>
      </c>
      <c r="F91" s="128">
        <v>0</v>
      </c>
      <c r="G91" s="128">
        <v>0</v>
      </c>
      <c r="H91" s="128">
        <v>77.680000000000007</v>
      </c>
      <c r="I91" s="128"/>
      <c r="J91" t="s">
        <v>987</v>
      </c>
      <c r="K91" s="128"/>
    </row>
    <row r="92" spans="1:11" x14ac:dyDescent="0.2">
      <c r="A92" s="128" t="s">
        <v>488</v>
      </c>
      <c r="B92" s="128">
        <v>461648</v>
      </c>
      <c r="C92" s="155">
        <v>43096.595682870371</v>
      </c>
      <c r="D92" s="128" t="s">
        <v>567</v>
      </c>
      <c r="E92" s="128" t="s">
        <v>983</v>
      </c>
      <c r="F92" s="128">
        <v>142999</v>
      </c>
      <c r="G92" s="128">
        <v>5.59</v>
      </c>
      <c r="H92" s="128">
        <v>0</v>
      </c>
      <c r="I92" s="128"/>
      <c r="J92" t="s">
        <v>988</v>
      </c>
      <c r="K92" s="128"/>
    </row>
    <row r="93" spans="1:11" x14ac:dyDescent="0.2">
      <c r="A93" s="128" t="s">
        <v>488</v>
      </c>
      <c r="B93" s="128">
        <v>461648</v>
      </c>
      <c r="C93" s="155">
        <v>43096.595682870371</v>
      </c>
      <c r="D93" s="128" t="s">
        <v>793</v>
      </c>
      <c r="E93" s="128" t="s">
        <v>983</v>
      </c>
      <c r="F93" s="128">
        <v>0</v>
      </c>
      <c r="G93" s="128">
        <v>0</v>
      </c>
      <c r="H93" s="128">
        <v>383.84</v>
      </c>
      <c r="I93" s="128"/>
      <c r="J93" t="s">
        <v>987</v>
      </c>
      <c r="K93" s="128"/>
    </row>
    <row r="94" spans="1:11" x14ac:dyDescent="0.2">
      <c r="A94" s="128" t="s">
        <v>488</v>
      </c>
      <c r="B94" s="128">
        <v>461648</v>
      </c>
      <c r="C94" s="155">
        <v>43096.595682870371</v>
      </c>
      <c r="D94" s="128" t="s">
        <v>567</v>
      </c>
      <c r="E94" s="128" t="s">
        <v>983</v>
      </c>
      <c r="F94" s="128">
        <v>142999</v>
      </c>
      <c r="G94" s="128">
        <v>27.64</v>
      </c>
      <c r="H94" s="128">
        <v>0</v>
      </c>
      <c r="I94" s="128"/>
      <c r="J94" t="s">
        <v>988</v>
      </c>
      <c r="K94" s="128"/>
    </row>
    <row r="95" spans="1:11" x14ac:dyDescent="0.2">
      <c r="A95" s="128" t="s">
        <v>488</v>
      </c>
      <c r="B95" s="128">
        <v>461660</v>
      </c>
      <c r="C95" s="155">
        <v>43096.599930555552</v>
      </c>
      <c r="D95" s="128" t="s">
        <v>568</v>
      </c>
      <c r="E95" s="128" t="s">
        <v>983</v>
      </c>
      <c r="F95" s="128">
        <v>123060</v>
      </c>
      <c r="G95" s="128">
        <v>308.29000000000002</v>
      </c>
      <c r="H95" s="128">
        <v>0</v>
      </c>
      <c r="I95" s="128"/>
      <c r="J95" t="s">
        <v>989</v>
      </c>
      <c r="K95" s="128"/>
    </row>
    <row r="96" spans="1:11" x14ac:dyDescent="0.2">
      <c r="A96" s="128" t="s">
        <v>496</v>
      </c>
      <c r="B96" s="128">
        <v>460782</v>
      </c>
      <c r="C96" s="155">
        <v>43089.63385416667</v>
      </c>
      <c r="D96" s="128" t="s">
        <v>794</v>
      </c>
      <c r="E96" s="128" t="s">
        <v>983</v>
      </c>
      <c r="F96" s="128">
        <v>0</v>
      </c>
      <c r="G96" s="128">
        <v>0</v>
      </c>
      <c r="H96" s="128">
        <v>383.83</v>
      </c>
      <c r="I96" s="128"/>
      <c r="J96" t="s">
        <v>987</v>
      </c>
      <c r="K96" s="128"/>
    </row>
    <row r="97" spans="1:11" x14ac:dyDescent="0.2">
      <c r="A97" s="128" t="s">
        <v>496</v>
      </c>
      <c r="B97" s="128">
        <v>460782</v>
      </c>
      <c r="C97" s="155">
        <v>43089.63385416667</v>
      </c>
      <c r="D97" s="128" t="s">
        <v>569</v>
      </c>
      <c r="E97" s="128" t="s">
        <v>983</v>
      </c>
      <c r="F97" s="128">
        <v>142618</v>
      </c>
      <c r="G97" s="128">
        <v>27.64</v>
      </c>
      <c r="H97" s="128">
        <v>0</v>
      </c>
      <c r="I97" s="128"/>
      <c r="J97" t="s">
        <v>988</v>
      </c>
      <c r="K97" s="128"/>
    </row>
    <row r="98" spans="1:11" x14ac:dyDescent="0.2">
      <c r="A98" s="128" t="s">
        <v>496</v>
      </c>
      <c r="B98" s="128">
        <v>460782</v>
      </c>
      <c r="C98" s="155">
        <v>43089.63385416667</v>
      </c>
      <c r="D98" s="128" t="s">
        <v>745</v>
      </c>
      <c r="E98" s="128" t="s">
        <v>983</v>
      </c>
      <c r="F98" s="128">
        <v>0</v>
      </c>
      <c r="G98" s="128">
        <v>0</v>
      </c>
      <c r="H98" s="128">
        <v>77.69</v>
      </c>
      <c r="I98" s="128"/>
      <c r="J98" t="s">
        <v>987</v>
      </c>
      <c r="K98" s="128"/>
    </row>
    <row r="99" spans="1:11" x14ac:dyDescent="0.2">
      <c r="A99" s="128" t="s">
        <v>496</v>
      </c>
      <c r="B99" s="128">
        <v>460782</v>
      </c>
      <c r="C99" s="155">
        <v>43089.63385416667</v>
      </c>
      <c r="D99" s="128" t="s">
        <v>569</v>
      </c>
      <c r="E99" s="128" t="s">
        <v>983</v>
      </c>
      <c r="F99" s="128">
        <v>142618</v>
      </c>
      <c r="G99" s="128">
        <v>5.59</v>
      </c>
      <c r="H99" s="128">
        <v>0</v>
      </c>
      <c r="I99" s="128"/>
      <c r="J99" t="s">
        <v>988</v>
      </c>
      <c r="K99" s="128"/>
    </row>
    <row r="100" spans="1:11" x14ac:dyDescent="0.2">
      <c r="A100" s="128" t="s">
        <v>496</v>
      </c>
      <c r="B100" s="128">
        <v>460798</v>
      </c>
      <c r="C100" s="155">
        <v>43089.636354166665</v>
      </c>
      <c r="D100" s="128" t="s">
        <v>570</v>
      </c>
      <c r="E100" s="128" t="s">
        <v>983</v>
      </c>
      <c r="F100" s="128">
        <v>122841</v>
      </c>
      <c r="G100" s="128">
        <v>428.29</v>
      </c>
      <c r="H100" s="128">
        <v>0</v>
      </c>
      <c r="I100" s="128"/>
      <c r="J100" t="s">
        <v>989</v>
      </c>
      <c r="K100" s="128"/>
    </row>
    <row r="101" spans="1:11" x14ac:dyDescent="0.2">
      <c r="A101" s="128" t="s">
        <v>498</v>
      </c>
      <c r="B101" s="128">
        <v>456296</v>
      </c>
      <c r="C101" s="155">
        <v>43075.66547453704</v>
      </c>
      <c r="D101" s="128" t="s">
        <v>795</v>
      </c>
      <c r="E101" s="136" t="s">
        <v>983</v>
      </c>
      <c r="F101" s="128">
        <v>0</v>
      </c>
      <c r="G101" s="128">
        <v>0</v>
      </c>
      <c r="H101" s="128">
        <v>500</v>
      </c>
      <c r="I101" s="128"/>
      <c r="J101" t="s">
        <v>987</v>
      </c>
      <c r="K101" s="128"/>
    </row>
    <row r="102" spans="1:11" x14ac:dyDescent="0.2">
      <c r="A102" s="128" t="s">
        <v>498</v>
      </c>
      <c r="B102" s="128">
        <v>456296</v>
      </c>
      <c r="C102" s="155">
        <v>43075.66547453704</v>
      </c>
      <c r="D102" s="128" t="s">
        <v>571</v>
      </c>
      <c r="E102" s="128" t="s">
        <v>983</v>
      </c>
      <c r="F102" s="128">
        <v>141245</v>
      </c>
      <c r="G102" s="128">
        <v>36</v>
      </c>
      <c r="H102" s="128">
        <v>0</v>
      </c>
      <c r="I102" s="128"/>
      <c r="J102" t="s">
        <v>988</v>
      </c>
      <c r="K102" s="128"/>
    </row>
    <row r="103" spans="1:11" x14ac:dyDescent="0.2">
      <c r="A103" s="128" t="s">
        <v>498</v>
      </c>
      <c r="B103" s="128">
        <v>456308</v>
      </c>
      <c r="C103" s="155">
        <v>43075.669537037036</v>
      </c>
      <c r="D103" s="128" t="s">
        <v>572</v>
      </c>
      <c r="E103" s="128" t="s">
        <v>983</v>
      </c>
      <c r="F103" s="128">
        <v>121514</v>
      </c>
      <c r="G103" s="128">
        <v>464</v>
      </c>
      <c r="H103" s="128">
        <v>0</v>
      </c>
      <c r="I103" s="128"/>
      <c r="J103" t="s">
        <v>989</v>
      </c>
      <c r="K103" s="128"/>
    </row>
    <row r="104" spans="1:11" x14ac:dyDescent="0.2">
      <c r="A104" s="128" t="s">
        <v>511</v>
      </c>
      <c r="B104" s="128">
        <v>456298</v>
      </c>
      <c r="C104" s="155">
        <v>43075.66547453704</v>
      </c>
      <c r="D104" s="128" t="s">
        <v>796</v>
      </c>
      <c r="E104" s="128" t="s">
        <v>983</v>
      </c>
      <c r="F104" s="128">
        <v>0</v>
      </c>
      <c r="G104" s="128">
        <v>0</v>
      </c>
      <c r="H104" s="128">
        <v>201.67</v>
      </c>
      <c r="I104" s="128"/>
      <c r="J104" t="s">
        <v>987</v>
      </c>
      <c r="K104" s="128"/>
    </row>
    <row r="105" spans="1:11" x14ac:dyDescent="0.2">
      <c r="A105" s="128" t="s">
        <v>511</v>
      </c>
      <c r="B105" s="128">
        <v>456298</v>
      </c>
      <c r="C105" s="155">
        <v>43075.66547453704</v>
      </c>
      <c r="D105" s="128" t="s">
        <v>573</v>
      </c>
      <c r="E105" s="128" t="s">
        <v>983</v>
      </c>
      <c r="F105" s="128">
        <v>141246</v>
      </c>
      <c r="G105" s="128">
        <v>14.52</v>
      </c>
      <c r="H105" s="128">
        <v>0</v>
      </c>
      <c r="I105" s="128"/>
      <c r="J105" t="s">
        <v>988</v>
      </c>
      <c r="K105" s="128"/>
    </row>
    <row r="106" spans="1:11" x14ac:dyDescent="0.2">
      <c r="A106" s="128" t="s">
        <v>511</v>
      </c>
      <c r="B106" s="128">
        <v>456308</v>
      </c>
      <c r="C106" s="155">
        <v>43075.669537037036</v>
      </c>
      <c r="D106" s="128" t="s">
        <v>574</v>
      </c>
      <c r="E106" s="128" t="s">
        <v>983</v>
      </c>
      <c r="F106" s="128">
        <v>121516</v>
      </c>
      <c r="G106" s="128">
        <v>187.15</v>
      </c>
      <c r="H106" s="128">
        <v>0</v>
      </c>
      <c r="I106" s="128"/>
      <c r="J106" t="s">
        <v>989</v>
      </c>
      <c r="K106" s="128"/>
    </row>
    <row r="107" spans="1:11" x14ac:dyDescent="0.2">
      <c r="A107" s="128" t="s">
        <v>511</v>
      </c>
      <c r="B107" s="128">
        <v>460298</v>
      </c>
      <c r="C107" s="155">
        <v>43088.572592592594</v>
      </c>
      <c r="D107" s="128" t="s">
        <v>796</v>
      </c>
      <c r="E107" s="128" t="s">
        <v>983</v>
      </c>
      <c r="F107" s="128">
        <v>0</v>
      </c>
      <c r="G107" s="128">
        <v>0</v>
      </c>
      <c r="H107" s="128">
        <v>323.33</v>
      </c>
      <c r="I107" s="128"/>
      <c r="J107" t="s">
        <v>987</v>
      </c>
      <c r="K107" s="128"/>
    </row>
    <row r="108" spans="1:11" x14ac:dyDescent="0.2">
      <c r="A108" s="128" t="s">
        <v>511</v>
      </c>
      <c r="B108" s="128">
        <v>460298</v>
      </c>
      <c r="C108" s="155">
        <v>43088.572592592594</v>
      </c>
      <c r="D108" s="128" t="s">
        <v>573</v>
      </c>
      <c r="E108" s="128" t="s">
        <v>983</v>
      </c>
      <c r="F108" s="128">
        <v>142488</v>
      </c>
      <c r="G108" s="128">
        <v>23.28</v>
      </c>
      <c r="H108" s="128">
        <v>0</v>
      </c>
      <c r="I108" s="128"/>
      <c r="J108" t="s">
        <v>988</v>
      </c>
      <c r="K108" s="128"/>
    </row>
    <row r="109" spans="1:11" x14ac:dyDescent="0.2">
      <c r="A109" s="128" t="s">
        <v>511</v>
      </c>
      <c r="B109" s="128">
        <v>460329</v>
      </c>
      <c r="C109" s="155">
        <v>43088.575416666667</v>
      </c>
      <c r="D109" s="128" t="s">
        <v>574</v>
      </c>
      <c r="E109" s="128" t="s">
        <v>983</v>
      </c>
      <c r="F109" s="128">
        <v>122698</v>
      </c>
      <c r="G109" s="128">
        <v>300.05</v>
      </c>
      <c r="H109" s="128">
        <v>0</v>
      </c>
      <c r="I109" s="128"/>
      <c r="J109" t="s">
        <v>989</v>
      </c>
      <c r="K109" s="128"/>
    </row>
    <row r="110" spans="1:11" x14ac:dyDescent="0.2">
      <c r="A110" s="128" t="s">
        <v>502</v>
      </c>
      <c r="B110" s="128">
        <v>458034</v>
      </c>
      <c r="C110" s="155">
        <v>43081.652118055557</v>
      </c>
      <c r="D110" s="128" t="s">
        <v>797</v>
      </c>
      <c r="E110" s="128" t="s">
        <v>983</v>
      </c>
      <c r="F110" s="128">
        <v>0</v>
      </c>
      <c r="G110" s="128">
        <v>0</v>
      </c>
      <c r="H110" s="128">
        <v>113.32</v>
      </c>
      <c r="I110" s="128"/>
      <c r="J110" t="s">
        <v>987</v>
      </c>
      <c r="K110" s="128"/>
    </row>
    <row r="111" spans="1:11" x14ac:dyDescent="0.2">
      <c r="A111" s="128" t="s">
        <v>502</v>
      </c>
      <c r="B111" s="128">
        <v>458034</v>
      </c>
      <c r="C111" s="155">
        <v>43081.652118055557</v>
      </c>
      <c r="D111" s="128" t="s">
        <v>575</v>
      </c>
      <c r="E111" s="136" t="s">
        <v>983</v>
      </c>
      <c r="F111" s="128">
        <v>141718</v>
      </c>
      <c r="G111" s="128">
        <v>8.16</v>
      </c>
      <c r="H111" s="128">
        <v>0</v>
      </c>
      <c r="I111" s="128"/>
      <c r="J111" t="s">
        <v>988</v>
      </c>
      <c r="K111" s="128"/>
    </row>
    <row r="112" spans="1:11" x14ac:dyDescent="0.2">
      <c r="A112" s="128" t="s">
        <v>502</v>
      </c>
      <c r="B112" s="128">
        <v>458066</v>
      </c>
      <c r="C112" s="155">
        <v>43081.655277777776</v>
      </c>
      <c r="D112" s="128" t="s">
        <v>576</v>
      </c>
      <c r="E112" s="128" t="s">
        <v>983</v>
      </c>
      <c r="F112" s="128">
        <v>122046</v>
      </c>
      <c r="G112" s="128">
        <v>105.16</v>
      </c>
      <c r="H112" s="128">
        <v>0</v>
      </c>
      <c r="I112" s="128"/>
      <c r="J112" t="s">
        <v>989</v>
      </c>
      <c r="K112" s="128"/>
    </row>
    <row r="113" spans="1:11" x14ac:dyDescent="0.2">
      <c r="A113" s="128" t="s">
        <v>502</v>
      </c>
      <c r="B113" s="128">
        <v>459400</v>
      </c>
      <c r="C113" s="155">
        <v>43087.50072916667</v>
      </c>
      <c r="D113" s="128" t="s">
        <v>798</v>
      </c>
      <c r="E113" s="128" t="s">
        <v>729</v>
      </c>
      <c r="F113" s="128">
        <v>128</v>
      </c>
      <c r="G113" s="128">
        <v>57.75</v>
      </c>
      <c r="H113" s="128">
        <v>0</v>
      </c>
      <c r="I113" s="128"/>
      <c r="J113" t="s">
        <v>990</v>
      </c>
      <c r="K113" s="128"/>
    </row>
    <row r="114" spans="1:11" x14ac:dyDescent="0.2">
      <c r="A114" s="128" t="s">
        <v>502</v>
      </c>
      <c r="B114" s="128">
        <v>460303</v>
      </c>
      <c r="C114" s="155">
        <v>43088.572592592594</v>
      </c>
      <c r="D114" s="128" t="s">
        <v>797</v>
      </c>
      <c r="E114" s="128" t="s">
        <v>983</v>
      </c>
      <c r="F114" s="128">
        <v>0</v>
      </c>
      <c r="G114" s="128">
        <v>0</v>
      </c>
      <c r="H114" s="128">
        <v>386.68</v>
      </c>
      <c r="I114" s="128"/>
      <c r="J114" t="s">
        <v>987</v>
      </c>
      <c r="K114" s="128"/>
    </row>
    <row r="115" spans="1:11" x14ac:dyDescent="0.2">
      <c r="A115" s="128" t="s">
        <v>502</v>
      </c>
      <c r="B115" s="128">
        <v>460303</v>
      </c>
      <c r="C115" s="155">
        <v>43088.572592592594</v>
      </c>
      <c r="D115" s="128" t="s">
        <v>575</v>
      </c>
      <c r="E115" s="128" t="s">
        <v>983</v>
      </c>
      <c r="F115" s="128">
        <v>142491</v>
      </c>
      <c r="G115" s="128">
        <v>27.84</v>
      </c>
      <c r="H115" s="128">
        <v>0</v>
      </c>
      <c r="I115" s="128"/>
      <c r="J115" t="s">
        <v>988</v>
      </c>
      <c r="K115" s="128"/>
    </row>
    <row r="116" spans="1:11" x14ac:dyDescent="0.2">
      <c r="A116" s="128" t="s">
        <v>502</v>
      </c>
      <c r="B116" s="128">
        <v>460329</v>
      </c>
      <c r="C116" s="155">
        <v>43088.575416666667</v>
      </c>
      <c r="D116" s="128" t="s">
        <v>576</v>
      </c>
      <c r="E116" s="128" t="s">
        <v>983</v>
      </c>
      <c r="F116" s="128">
        <v>122703</v>
      </c>
      <c r="G116" s="128">
        <v>301.08999999999997</v>
      </c>
      <c r="H116" s="128">
        <v>0</v>
      </c>
      <c r="I116" s="128"/>
      <c r="J116" t="s">
        <v>989</v>
      </c>
      <c r="K116" s="128"/>
    </row>
    <row r="117" spans="1:11" x14ac:dyDescent="0.2">
      <c r="A117" s="128" t="s">
        <v>500</v>
      </c>
      <c r="B117" s="128">
        <v>457154</v>
      </c>
      <c r="C117" s="155">
        <v>43080.65420138889</v>
      </c>
      <c r="D117" s="128" t="s">
        <v>799</v>
      </c>
      <c r="E117" s="128" t="s">
        <v>983</v>
      </c>
      <c r="F117" s="128">
        <v>0</v>
      </c>
      <c r="G117" s="128">
        <v>0</v>
      </c>
      <c r="H117" s="128">
        <v>650</v>
      </c>
      <c r="I117" s="128"/>
      <c r="J117" t="s">
        <v>987</v>
      </c>
      <c r="K117" s="128"/>
    </row>
    <row r="118" spans="1:11" x14ac:dyDescent="0.2">
      <c r="A118" s="128" t="s">
        <v>500</v>
      </c>
      <c r="B118" s="128">
        <v>457154</v>
      </c>
      <c r="C118" s="155">
        <v>43080.65420138889</v>
      </c>
      <c r="D118" s="128" t="s">
        <v>577</v>
      </c>
      <c r="E118" s="128" t="s">
        <v>983</v>
      </c>
      <c r="F118" s="128">
        <v>141553</v>
      </c>
      <c r="G118" s="128">
        <v>46.8</v>
      </c>
      <c r="H118" s="128">
        <v>0</v>
      </c>
      <c r="I118" s="128"/>
      <c r="J118" t="s">
        <v>988</v>
      </c>
      <c r="K118" s="128"/>
    </row>
    <row r="119" spans="1:11" x14ac:dyDescent="0.2">
      <c r="A119" s="128" t="s">
        <v>500</v>
      </c>
      <c r="B119" s="128">
        <v>457166</v>
      </c>
      <c r="C119" s="155">
        <v>43080.656574074077</v>
      </c>
      <c r="D119" s="128" t="s">
        <v>578</v>
      </c>
      <c r="E119" s="128" t="s">
        <v>983</v>
      </c>
      <c r="F119" s="128">
        <v>121754</v>
      </c>
      <c r="G119" s="128">
        <v>538.20000000000005</v>
      </c>
      <c r="H119" s="128">
        <v>0</v>
      </c>
      <c r="I119" s="128"/>
      <c r="J119" t="s">
        <v>989</v>
      </c>
      <c r="K119" s="128"/>
    </row>
    <row r="120" spans="1:11" x14ac:dyDescent="0.2">
      <c r="A120" s="128" t="s">
        <v>504</v>
      </c>
      <c r="B120" s="128">
        <v>458578</v>
      </c>
      <c r="C120" s="155">
        <v>43082.632222222222</v>
      </c>
      <c r="D120" s="128" t="s">
        <v>800</v>
      </c>
      <c r="E120" s="128" t="s">
        <v>983</v>
      </c>
      <c r="F120" s="128">
        <v>0</v>
      </c>
      <c r="G120" s="128">
        <v>0</v>
      </c>
      <c r="H120" s="128">
        <v>550</v>
      </c>
      <c r="I120" s="128"/>
      <c r="J120" t="s">
        <v>987</v>
      </c>
      <c r="K120" s="128"/>
    </row>
    <row r="121" spans="1:11" x14ac:dyDescent="0.2">
      <c r="A121" s="128" t="s">
        <v>504</v>
      </c>
      <c r="B121" s="128">
        <v>458578</v>
      </c>
      <c r="C121" s="155">
        <v>43082.632222222222</v>
      </c>
      <c r="D121" s="128" t="s">
        <v>579</v>
      </c>
      <c r="E121" s="128" t="s">
        <v>983</v>
      </c>
      <c r="F121" s="128">
        <v>141800</v>
      </c>
      <c r="G121" s="128">
        <v>39.6</v>
      </c>
      <c r="H121" s="128">
        <v>0</v>
      </c>
      <c r="I121" s="128"/>
      <c r="J121" t="s">
        <v>988</v>
      </c>
      <c r="K121" s="128"/>
    </row>
    <row r="122" spans="1:11" x14ac:dyDescent="0.2">
      <c r="A122" s="128" t="s">
        <v>504</v>
      </c>
      <c r="B122" s="128">
        <v>458587</v>
      </c>
      <c r="C122" s="155">
        <v>43082.635798611111</v>
      </c>
      <c r="D122" s="128" t="s">
        <v>580</v>
      </c>
      <c r="E122" s="128" t="s">
        <v>983</v>
      </c>
      <c r="F122" s="128">
        <v>122246</v>
      </c>
      <c r="G122" s="128">
        <v>510.4</v>
      </c>
      <c r="H122" s="128">
        <v>0</v>
      </c>
      <c r="I122" s="128"/>
      <c r="J122" t="s">
        <v>989</v>
      </c>
      <c r="K122" s="128"/>
    </row>
    <row r="123" spans="1:11" x14ac:dyDescent="0.2">
      <c r="A123" s="128" t="s">
        <v>506</v>
      </c>
      <c r="B123" s="128">
        <v>460282</v>
      </c>
      <c r="C123" s="155">
        <v>43088.572592592594</v>
      </c>
      <c r="D123" s="128" t="s">
        <v>746</v>
      </c>
      <c r="E123" s="128" t="s">
        <v>983</v>
      </c>
      <c r="F123" s="128">
        <v>0</v>
      </c>
      <c r="G123" s="128">
        <v>0</v>
      </c>
      <c r="H123" s="128">
        <v>77.680000000000007</v>
      </c>
      <c r="I123" s="128"/>
      <c r="J123" t="s">
        <v>987</v>
      </c>
      <c r="K123" s="128"/>
    </row>
    <row r="124" spans="1:11" x14ac:dyDescent="0.2">
      <c r="A124" s="128" t="s">
        <v>506</v>
      </c>
      <c r="B124" s="128">
        <v>460282</v>
      </c>
      <c r="C124" s="155">
        <v>43088.572592592594</v>
      </c>
      <c r="D124" s="128" t="s">
        <v>581</v>
      </c>
      <c r="E124" s="128" t="s">
        <v>983</v>
      </c>
      <c r="F124" s="128">
        <v>142476</v>
      </c>
      <c r="G124" s="128">
        <v>5.59</v>
      </c>
      <c r="H124" s="128">
        <v>0</v>
      </c>
      <c r="I124" s="128"/>
      <c r="J124" t="s">
        <v>988</v>
      </c>
      <c r="K124" s="128"/>
    </row>
    <row r="125" spans="1:11" x14ac:dyDescent="0.2">
      <c r="A125" s="128" t="s">
        <v>506</v>
      </c>
      <c r="B125" s="128">
        <v>460282</v>
      </c>
      <c r="C125" s="155">
        <v>43088.572592592594</v>
      </c>
      <c r="D125" s="128" t="s">
        <v>801</v>
      </c>
      <c r="E125" s="128" t="s">
        <v>983</v>
      </c>
      <c r="F125" s="128">
        <v>0</v>
      </c>
      <c r="G125" s="128">
        <v>0</v>
      </c>
      <c r="H125" s="128">
        <v>383.84</v>
      </c>
      <c r="I125" s="128"/>
      <c r="J125" t="s">
        <v>987</v>
      </c>
      <c r="K125" s="128"/>
    </row>
    <row r="126" spans="1:11" x14ac:dyDescent="0.2">
      <c r="A126" s="128" t="s">
        <v>506</v>
      </c>
      <c r="B126" s="128">
        <v>460282</v>
      </c>
      <c r="C126" s="155">
        <v>43088.572592592594</v>
      </c>
      <c r="D126" s="128" t="s">
        <v>581</v>
      </c>
      <c r="E126" s="128" t="s">
        <v>983</v>
      </c>
      <c r="F126" s="128">
        <v>142476</v>
      </c>
      <c r="G126" s="128">
        <v>27.64</v>
      </c>
      <c r="H126" s="128">
        <v>0</v>
      </c>
      <c r="I126" s="128"/>
      <c r="J126" t="s">
        <v>988</v>
      </c>
      <c r="K126" s="128"/>
    </row>
    <row r="127" spans="1:11" x14ac:dyDescent="0.2">
      <c r="A127" s="128" t="s">
        <v>506</v>
      </c>
      <c r="B127" s="128">
        <v>460329</v>
      </c>
      <c r="C127" s="155">
        <v>43088.575416666667</v>
      </c>
      <c r="D127" s="128" t="s">
        <v>582</v>
      </c>
      <c r="E127" s="128" t="s">
        <v>983</v>
      </c>
      <c r="F127" s="128">
        <v>122682</v>
      </c>
      <c r="G127" s="128">
        <v>428.29</v>
      </c>
      <c r="H127" s="128">
        <v>0</v>
      </c>
      <c r="I127" s="128"/>
      <c r="J127" t="s">
        <v>989</v>
      </c>
      <c r="K127" s="128"/>
    </row>
    <row r="128" spans="1:11" x14ac:dyDescent="0.2">
      <c r="A128" s="128" t="s">
        <v>469</v>
      </c>
      <c r="B128" s="128">
        <v>460780</v>
      </c>
      <c r="C128" s="155">
        <v>43089.63385416667</v>
      </c>
      <c r="D128" s="128" t="s">
        <v>747</v>
      </c>
      <c r="E128" s="128" t="s">
        <v>983</v>
      </c>
      <c r="F128" s="128">
        <v>0</v>
      </c>
      <c r="G128" s="128">
        <v>0</v>
      </c>
      <c r="H128" s="128">
        <v>77.680000000000007</v>
      </c>
      <c r="I128" s="128"/>
      <c r="J128" t="s">
        <v>987</v>
      </c>
      <c r="K128" s="128"/>
    </row>
    <row r="129" spans="1:11" x14ac:dyDescent="0.2">
      <c r="A129" s="128" t="s">
        <v>469</v>
      </c>
      <c r="B129" s="128">
        <v>460780</v>
      </c>
      <c r="C129" s="155">
        <v>43089.63385416667</v>
      </c>
      <c r="D129" s="128" t="s">
        <v>583</v>
      </c>
      <c r="E129" s="128" t="s">
        <v>983</v>
      </c>
      <c r="F129" s="128">
        <v>142616</v>
      </c>
      <c r="G129" s="128">
        <v>5.59</v>
      </c>
      <c r="H129" s="128">
        <v>0</v>
      </c>
      <c r="I129" s="128"/>
      <c r="J129" t="s">
        <v>988</v>
      </c>
      <c r="K129" s="128"/>
    </row>
    <row r="130" spans="1:11" x14ac:dyDescent="0.2">
      <c r="A130" s="128" t="s">
        <v>469</v>
      </c>
      <c r="B130" s="128">
        <v>460798</v>
      </c>
      <c r="C130" s="155">
        <v>43089.636354166665</v>
      </c>
      <c r="D130" s="128" t="s">
        <v>584</v>
      </c>
      <c r="E130" s="128" t="s">
        <v>983</v>
      </c>
      <c r="F130" s="128">
        <v>122839</v>
      </c>
      <c r="G130" s="128">
        <v>72.09</v>
      </c>
      <c r="H130" s="128">
        <v>0</v>
      </c>
      <c r="I130" s="128"/>
      <c r="J130" t="s">
        <v>989</v>
      </c>
      <c r="K130" s="128"/>
    </row>
    <row r="131" spans="1:11" x14ac:dyDescent="0.2">
      <c r="A131" s="128" t="s">
        <v>469</v>
      </c>
      <c r="B131" s="128">
        <v>461645</v>
      </c>
      <c r="C131" s="155">
        <v>43096.595682870371</v>
      </c>
      <c r="D131" s="128" t="s">
        <v>802</v>
      </c>
      <c r="E131" s="128" t="s">
        <v>983</v>
      </c>
      <c r="F131" s="128">
        <v>0</v>
      </c>
      <c r="G131" s="128">
        <v>0</v>
      </c>
      <c r="H131" s="128">
        <v>383.84</v>
      </c>
      <c r="I131" s="128"/>
      <c r="J131" t="s">
        <v>987</v>
      </c>
      <c r="K131" s="128"/>
    </row>
    <row r="132" spans="1:11" x14ac:dyDescent="0.2">
      <c r="A132" s="128" t="s">
        <v>469</v>
      </c>
      <c r="B132" s="128">
        <v>461645</v>
      </c>
      <c r="C132" s="155">
        <v>43096.595682870371</v>
      </c>
      <c r="D132" s="128" t="s">
        <v>583</v>
      </c>
      <c r="E132" s="128" t="s">
        <v>983</v>
      </c>
      <c r="F132" s="128">
        <v>142996</v>
      </c>
      <c r="G132" s="128">
        <v>27.64</v>
      </c>
      <c r="H132" s="128">
        <v>0</v>
      </c>
      <c r="I132" s="128"/>
      <c r="J132" t="s">
        <v>988</v>
      </c>
      <c r="K132" s="128"/>
    </row>
    <row r="133" spans="1:11" x14ac:dyDescent="0.2">
      <c r="A133" s="128" t="s">
        <v>469</v>
      </c>
      <c r="B133" s="128">
        <v>461660</v>
      </c>
      <c r="C133" s="155">
        <v>43096.599930555552</v>
      </c>
      <c r="D133" s="128" t="s">
        <v>584</v>
      </c>
      <c r="E133" s="128" t="s">
        <v>983</v>
      </c>
      <c r="F133" s="128">
        <v>123057</v>
      </c>
      <c r="G133" s="128">
        <v>356.2</v>
      </c>
      <c r="H133" s="128">
        <v>0</v>
      </c>
      <c r="I133" s="128"/>
      <c r="J133" t="s">
        <v>989</v>
      </c>
      <c r="K133" s="128"/>
    </row>
    <row r="134" spans="1:11" x14ac:dyDescent="0.2">
      <c r="A134" s="128" t="s">
        <v>561</v>
      </c>
      <c r="B134" s="128">
        <v>456872</v>
      </c>
      <c r="C134" s="155">
        <v>43077.549641203703</v>
      </c>
      <c r="D134" s="128" t="s">
        <v>748</v>
      </c>
      <c r="E134" s="128" t="s">
        <v>983</v>
      </c>
      <c r="F134" s="128">
        <v>0</v>
      </c>
      <c r="G134" s="128">
        <v>0</v>
      </c>
      <c r="H134" s="128">
        <v>381.11</v>
      </c>
      <c r="I134" s="128"/>
      <c r="J134" t="s">
        <v>987</v>
      </c>
      <c r="K134" s="128"/>
    </row>
    <row r="135" spans="1:11" x14ac:dyDescent="0.2">
      <c r="A135" s="128" t="s">
        <v>561</v>
      </c>
      <c r="B135" s="128">
        <v>456872</v>
      </c>
      <c r="C135" s="155">
        <v>43077.549641203703</v>
      </c>
      <c r="D135" s="128" t="s">
        <v>585</v>
      </c>
      <c r="E135" s="128" t="s">
        <v>983</v>
      </c>
      <c r="F135" s="128">
        <v>141443</v>
      </c>
      <c r="G135" s="128">
        <v>27.44</v>
      </c>
      <c r="H135" s="128">
        <v>0</v>
      </c>
      <c r="I135" s="128"/>
      <c r="J135" t="s">
        <v>988</v>
      </c>
      <c r="K135" s="128"/>
    </row>
    <row r="136" spans="1:11" x14ac:dyDescent="0.2">
      <c r="A136" s="128" t="s">
        <v>561</v>
      </c>
      <c r="B136" s="128">
        <v>456889</v>
      </c>
      <c r="C136" s="155">
        <v>43077.556527777779</v>
      </c>
      <c r="D136" s="128" t="s">
        <v>586</v>
      </c>
      <c r="E136" s="128" t="s">
        <v>983</v>
      </c>
      <c r="F136" s="128">
        <v>121681</v>
      </c>
      <c r="G136" s="128">
        <v>353.67</v>
      </c>
      <c r="H136" s="128">
        <v>0</v>
      </c>
      <c r="I136" s="128"/>
      <c r="J136" t="s">
        <v>989</v>
      </c>
      <c r="K136" s="128"/>
    </row>
    <row r="137" spans="1:11" x14ac:dyDescent="0.2">
      <c r="A137" s="128" t="s">
        <v>561</v>
      </c>
      <c r="B137" s="128">
        <v>462168</v>
      </c>
      <c r="C137" s="155">
        <v>43097.615439814814</v>
      </c>
      <c r="D137" s="128" t="s">
        <v>803</v>
      </c>
      <c r="E137" s="128" t="s">
        <v>983</v>
      </c>
      <c r="F137" s="128">
        <v>0</v>
      </c>
      <c r="G137" s="128">
        <v>0</v>
      </c>
      <c r="H137" s="128">
        <v>113.17</v>
      </c>
      <c r="I137" s="128"/>
      <c r="J137" t="s">
        <v>987</v>
      </c>
      <c r="K137" s="128"/>
    </row>
    <row r="138" spans="1:11" x14ac:dyDescent="0.2">
      <c r="A138" s="128" t="s">
        <v>561</v>
      </c>
      <c r="B138" s="128">
        <v>462168</v>
      </c>
      <c r="C138" s="155">
        <v>43097.615439814814</v>
      </c>
      <c r="D138" s="128" t="s">
        <v>585</v>
      </c>
      <c r="E138" s="128" t="s">
        <v>983</v>
      </c>
      <c r="F138" s="128">
        <v>143258</v>
      </c>
      <c r="G138" s="128">
        <v>8.15</v>
      </c>
      <c r="H138" s="128">
        <v>0</v>
      </c>
      <c r="I138" s="128"/>
      <c r="J138" t="s">
        <v>988</v>
      </c>
      <c r="K138" s="128"/>
    </row>
    <row r="139" spans="1:11" x14ac:dyDescent="0.2">
      <c r="A139" s="128" t="s">
        <v>561</v>
      </c>
      <c r="B139" s="128">
        <v>462186</v>
      </c>
      <c r="C139" s="155">
        <v>43097.617743055554</v>
      </c>
      <c r="D139" s="128" t="s">
        <v>586</v>
      </c>
      <c r="E139" s="128" t="s">
        <v>983</v>
      </c>
      <c r="F139" s="128">
        <v>123239</v>
      </c>
      <c r="G139" s="128">
        <v>105.02</v>
      </c>
      <c r="H139" s="128">
        <v>0</v>
      </c>
      <c r="I139" s="128"/>
      <c r="J139" t="s">
        <v>989</v>
      </c>
      <c r="K139" s="128"/>
    </row>
    <row r="140" spans="1:11" x14ac:dyDescent="0.2">
      <c r="A140" s="128" t="s">
        <v>470</v>
      </c>
      <c r="B140" s="128">
        <v>459034</v>
      </c>
      <c r="C140" s="155">
        <v>43084.584594907406</v>
      </c>
      <c r="D140" s="128" t="s">
        <v>749</v>
      </c>
      <c r="E140" s="128" t="s">
        <v>983</v>
      </c>
      <c r="F140" s="128">
        <v>0</v>
      </c>
      <c r="G140" s="128">
        <v>0</v>
      </c>
      <c r="H140" s="128">
        <v>190.1</v>
      </c>
      <c r="I140" s="128"/>
      <c r="J140" t="s">
        <v>987</v>
      </c>
      <c r="K140" s="128"/>
    </row>
    <row r="141" spans="1:11" x14ac:dyDescent="0.2">
      <c r="A141" s="128" t="s">
        <v>470</v>
      </c>
      <c r="B141" s="128">
        <v>459034</v>
      </c>
      <c r="C141" s="155">
        <v>43084.584594907406</v>
      </c>
      <c r="D141" s="128" t="s">
        <v>587</v>
      </c>
      <c r="E141" s="128" t="s">
        <v>983</v>
      </c>
      <c r="F141" s="128">
        <v>141952</v>
      </c>
      <c r="G141" s="128">
        <v>13.69</v>
      </c>
      <c r="H141" s="128">
        <v>0</v>
      </c>
      <c r="I141" s="128"/>
      <c r="J141" t="s">
        <v>988</v>
      </c>
      <c r="K141" s="128"/>
    </row>
    <row r="142" spans="1:11" x14ac:dyDescent="0.2">
      <c r="A142" s="128" t="s">
        <v>470</v>
      </c>
      <c r="B142" s="128">
        <v>459038</v>
      </c>
      <c r="C142" s="155">
        <v>43084.588148148148</v>
      </c>
      <c r="D142" s="128" t="s">
        <v>588</v>
      </c>
      <c r="E142" s="128" t="s">
        <v>983</v>
      </c>
      <c r="F142" s="128">
        <v>122371</v>
      </c>
      <c r="G142" s="128">
        <v>176.41</v>
      </c>
      <c r="H142" s="128">
        <v>0</v>
      </c>
      <c r="I142" s="128"/>
      <c r="J142" t="s">
        <v>989</v>
      </c>
      <c r="K142" s="128"/>
    </row>
    <row r="143" spans="1:11" x14ac:dyDescent="0.2">
      <c r="A143" s="128" t="s">
        <v>470</v>
      </c>
      <c r="B143" s="128">
        <v>460296</v>
      </c>
      <c r="C143" s="155">
        <v>43088.572592592594</v>
      </c>
      <c r="D143" s="128" t="s">
        <v>804</v>
      </c>
      <c r="E143" s="128" t="s">
        <v>983</v>
      </c>
      <c r="F143" s="128">
        <v>0</v>
      </c>
      <c r="G143" s="128">
        <v>0</v>
      </c>
      <c r="H143" s="128">
        <v>405.04</v>
      </c>
      <c r="I143" s="128"/>
      <c r="J143" t="s">
        <v>987</v>
      </c>
      <c r="K143" s="128"/>
    </row>
    <row r="144" spans="1:11" x14ac:dyDescent="0.2">
      <c r="A144" s="128" t="s">
        <v>470</v>
      </c>
      <c r="B144" s="128">
        <v>460296</v>
      </c>
      <c r="C144" s="155">
        <v>43088.572592592594</v>
      </c>
      <c r="D144" s="128" t="s">
        <v>587</v>
      </c>
      <c r="E144" s="128" t="s">
        <v>983</v>
      </c>
      <c r="F144" s="128">
        <v>142487</v>
      </c>
      <c r="G144" s="128">
        <v>29.16</v>
      </c>
      <c r="H144" s="128">
        <v>0</v>
      </c>
      <c r="I144" s="128"/>
      <c r="J144" t="s">
        <v>988</v>
      </c>
      <c r="K144" s="128"/>
    </row>
    <row r="145" spans="1:11" x14ac:dyDescent="0.2">
      <c r="A145" s="128" t="s">
        <v>470</v>
      </c>
      <c r="B145" s="128">
        <v>460296</v>
      </c>
      <c r="C145" s="155">
        <v>43088.572592592594</v>
      </c>
      <c r="D145" s="128" t="s">
        <v>749</v>
      </c>
      <c r="E145" s="128" t="s">
        <v>983</v>
      </c>
      <c r="F145" s="128">
        <v>0</v>
      </c>
      <c r="G145" s="128">
        <v>0</v>
      </c>
      <c r="H145" s="128">
        <v>61.08</v>
      </c>
      <c r="I145" s="128"/>
      <c r="J145" t="s">
        <v>987</v>
      </c>
      <c r="K145" s="128"/>
    </row>
    <row r="146" spans="1:11" x14ac:dyDescent="0.2">
      <c r="A146" s="128" t="s">
        <v>470</v>
      </c>
      <c r="B146" s="128">
        <v>460296</v>
      </c>
      <c r="C146" s="155">
        <v>43088.572592592594</v>
      </c>
      <c r="D146" s="128" t="s">
        <v>587</v>
      </c>
      <c r="E146" s="128" t="s">
        <v>983</v>
      </c>
      <c r="F146" s="128">
        <v>142487</v>
      </c>
      <c r="G146" s="128">
        <v>4.3899999999999997</v>
      </c>
      <c r="H146" s="128">
        <v>0</v>
      </c>
      <c r="I146" s="128"/>
      <c r="J146" t="s">
        <v>988</v>
      </c>
      <c r="K146" s="128"/>
    </row>
    <row r="147" spans="1:11" x14ac:dyDescent="0.2">
      <c r="A147" s="128" t="s">
        <v>470</v>
      </c>
      <c r="B147" s="128">
        <v>460329</v>
      </c>
      <c r="C147" s="155">
        <v>43088.575416666667</v>
      </c>
      <c r="D147" s="128" t="s">
        <v>588</v>
      </c>
      <c r="E147" s="128" t="s">
        <v>983</v>
      </c>
      <c r="F147" s="128">
        <v>122696</v>
      </c>
      <c r="G147" s="128">
        <v>432.57</v>
      </c>
      <c r="H147" s="128">
        <v>0</v>
      </c>
      <c r="I147" s="128"/>
      <c r="J147" t="s">
        <v>989</v>
      </c>
      <c r="K147" s="128"/>
    </row>
    <row r="148" spans="1:11" x14ac:dyDescent="0.2">
      <c r="A148" s="128" t="s">
        <v>471</v>
      </c>
      <c r="B148" s="128">
        <v>460788</v>
      </c>
      <c r="C148" s="155">
        <v>43089.63385416667</v>
      </c>
      <c r="D148" s="128" t="s">
        <v>750</v>
      </c>
      <c r="E148" s="128" t="s">
        <v>983</v>
      </c>
      <c r="F148" s="128">
        <v>0</v>
      </c>
      <c r="G148" s="128">
        <v>0</v>
      </c>
      <c r="H148" s="128">
        <v>77.680000000000007</v>
      </c>
      <c r="I148" s="128"/>
      <c r="J148" t="s">
        <v>987</v>
      </c>
      <c r="K148" s="128"/>
    </row>
    <row r="149" spans="1:11" x14ac:dyDescent="0.2">
      <c r="A149" s="128" t="s">
        <v>471</v>
      </c>
      <c r="B149" s="128">
        <v>460788</v>
      </c>
      <c r="C149" s="155">
        <v>43089.63385416667</v>
      </c>
      <c r="D149" s="128" t="s">
        <v>589</v>
      </c>
      <c r="E149" s="128" t="s">
        <v>983</v>
      </c>
      <c r="F149" s="128">
        <v>142623</v>
      </c>
      <c r="G149" s="128">
        <v>5.59</v>
      </c>
      <c r="H149" s="128">
        <v>0</v>
      </c>
      <c r="I149" s="128"/>
      <c r="J149" t="s">
        <v>988</v>
      </c>
      <c r="K149" s="128"/>
    </row>
    <row r="150" spans="1:11" x14ac:dyDescent="0.2">
      <c r="A150" s="128" t="s">
        <v>471</v>
      </c>
      <c r="B150" s="128">
        <v>460798</v>
      </c>
      <c r="C150" s="155">
        <v>43089.636354166665</v>
      </c>
      <c r="D150" s="128" t="s">
        <v>590</v>
      </c>
      <c r="E150" s="128" t="s">
        <v>983</v>
      </c>
      <c r="F150" s="128">
        <v>122847</v>
      </c>
      <c r="G150" s="128">
        <v>72.09</v>
      </c>
      <c r="H150" s="128">
        <v>0</v>
      </c>
      <c r="I150" s="128"/>
      <c r="J150" t="s">
        <v>989</v>
      </c>
      <c r="K150" s="128"/>
    </row>
    <row r="151" spans="1:11" x14ac:dyDescent="0.2">
      <c r="A151" s="128" t="s">
        <v>471</v>
      </c>
      <c r="B151" s="128">
        <v>461652</v>
      </c>
      <c r="C151" s="155">
        <v>43096.595682870371</v>
      </c>
      <c r="D151" s="128" t="s">
        <v>805</v>
      </c>
      <c r="E151" s="128" t="s">
        <v>983</v>
      </c>
      <c r="F151" s="128">
        <v>0</v>
      </c>
      <c r="G151" s="128">
        <v>0</v>
      </c>
      <c r="H151" s="128">
        <v>383.84</v>
      </c>
      <c r="I151" s="128"/>
      <c r="J151" t="s">
        <v>987</v>
      </c>
      <c r="K151" s="128"/>
    </row>
    <row r="152" spans="1:11" x14ac:dyDescent="0.2">
      <c r="A152" s="128" t="s">
        <v>471</v>
      </c>
      <c r="B152" s="128">
        <v>461652</v>
      </c>
      <c r="C152" s="155">
        <v>43096.595682870371</v>
      </c>
      <c r="D152" s="128" t="s">
        <v>589</v>
      </c>
      <c r="E152" s="128" t="s">
        <v>983</v>
      </c>
      <c r="F152" s="128">
        <v>143002</v>
      </c>
      <c r="G152" s="128">
        <v>27.64</v>
      </c>
      <c r="H152" s="128">
        <v>0</v>
      </c>
      <c r="I152" s="128"/>
      <c r="J152" t="s">
        <v>988</v>
      </c>
      <c r="K152" s="128"/>
    </row>
    <row r="153" spans="1:11" x14ac:dyDescent="0.2">
      <c r="A153" s="128" t="s">
        <v>471</v>
      </c>
      <c r="B153" s="128">
        <v>461660</v>
      </c>
      <c r="C153" s="155">
        <v>43096.599930555552</v>
      </c>
      <c r="D153" s="128" t="s">
        <v>590</v>
      </c>
      <c r="E153" s="136" t="s">
        <v>983</v>
      </c>
      <c r="F153" s="128">
        <v>123064</v>
      </c>
      <c r="G153" s="128">
        <v>356.2</v>
      </c>
      <c r="H153" s="128">
        <v>0</v>
      </c>
      <c r="I153" s="128"/>
      <c r="J153" t="s">
        <v>989</v>
      </c>
      <c r="K153" s="128"/>
    </row>
    <row r="154" spans="1:11" x14ac:dyDescent="0.2">
      <c r="A154" s="128" t="s">
        <v>478</v>
      </c>
      <c r="B154" s="128">
        <v>460299</v>
      </c>
      <c r="C154" s="155">
        <v>43088.572592592594</v>
      </c>
      <c r="D154" s="128" t="s">
        <v>806</v>
      </c>
      <c r="E154" s="128" t="s">
        <v>983</v>
      </c>
      <c r="F154" s="128">
        <v>0</v>
      </c>
      <c r="G154" s="128">
        <v>0</v>
      </c>
      <c r="H154" s="128">
        <v>393.2</v>
      </c>
      <c r="I154" s="128"/>
      <c r="J154" t="s">
        <v>987</v>
      </c>
      <c r="K154" s="128"/>
    </row>
    <row r="155" spans="1:11" x14ac:dyDescent="0.2">
      <c r="A155" s="128" t="s">
        <v>478</v>
      </c>
      <c r="B155" s="128">
        <v>460299</v>
      </c>
      <c r="C155" s="155">
        <v>43088.572592592594</v>
      </c>
      <c r="D155" s="128" t="s">
        <v>591</v>
      </c>
      <c r="E155" s="128" t="s">
        <v>983</v>
      </c>
      <c r="F155" s="128">
        <v>142489</v>
      </c>
      <c r="G155" s="128">
        <v>28.31</v>
      </c>
      <c r="H155" s="128">
        <v>0</v>
      </c>
      <c r="I155" s="128"/>
      <c r="J155" t="s">
        <v>988</v>
      </c>
      <c r="K155" s="128"/>
    </row>
    <row r="156" spans="1:11" x14ac:dyDescent="0.2">
      <c r="A156" s="128" t="s">
        <v>478</v>
      </c>
      <c r="B156" s="128">
        <v>460329</v>
      </c>
      <c r="C156" s="155">
        <v>43088.575416666667</v>
      </c>
      <c r="D156" s="128" t="s">
        <v>592</v>
      </c>
      <c r="E156" s="128" t="s">
        <v>983</v>
      </c>
      <c r="F156" s="128">
        <v>122699</v>
      </c>
      <c r="G156" s="128">
        <v>364.89</v>
      </c>
      <c r="H156" s="128">
        <v>0</v>
      </c>
      <c r="I156" s="128"/>
      <c r="J156" t="s">
        <v>989</v>
      </c>
      <c r="K156" s="128"/>
    </row>
    <row r="157" spans="1:11" x14ac:dyDescent="0.2">
      <c r="A157" s="128" t="s">
        <v>474</v>
      </c>
      <c r="B157" s="128">
        <v>460288</v>
      </c>
      <c r="C157" s="155">
        <v>43088.572592592594</v>
      </c>
      <c r="D157" s="128" t="s">
        <v>593</v>
      </c>
      <c r="E157" s="128" t="s">
        <v>983</v>
      </c>
      <c r="F157" s="128">
        <v>142481</v>
      </c>
      <c r="G157" s="128">
        <v>27.29</v>
      </c>
      <c r="H157" s="128">
        <v>0</v>
      </c>
      <c r="I157" s="128"/>
      <c r="J157" t="s">
        <v>988</v>
      </c>
      <c r="K157" s="128"/>
    </row>
    <row r="158" spans="1:11" x14ac:dyDescent="0.2">
      <c r="A158" s="128" t="s">
        <v>474</v>
      </c>
      <c r="B158" s="128">
        <v>460288</v>
      </c>
      <c r="C158" s="155">
        <v>43088.572592592594</v>
      </c>
      <c r="D158" s="128" t="s">
        <v>751</v>
      </c>
      <c r="E158" s="128" t="s">
        <v>983</v>
      </c>
      <c r="F158" s="128">
        <v>0</v>
      </c>
      <c r="G158" s="128">
        <v>0</v>
      </c>
      <c r="H158" s="128">
        <v>82.5</v>
      </c>
      <c r="I158" s="128"/>
      <c r="J158" t="s">
        <v>987</v>
      </c>
      <c r="K158" s="128"/>
    </row>
    <row r="159" spans="1:11" x14ac:dyDescent="0.2">
      <c r="A159" s="128" t="s">
        <v>474</v>
      </c>
      <c r="B159" s="128">
        <v>460288</v>
      </c>
      <c r="C159" s="155">
        <v>43088.572592592594</v>
      </c>
      <c r="D159" s="128" t="s">
        <v>593</v>
      </c>
      <c r="E159" s="128" t="s">
        <v>983</v>
      </c>
      <c r="F159" s="128">
        <v>142481</v>
      </c>
      <c r="G159" s="128">
        <v>5.94</v>
      </c>
      <c r="H159" s="128">
        <v>0</v>
      </c>
      <c r="I159" s="128"/>
      <c r="J159" t="s">
        <v>988</v>
      </c>
      <c r="K159" s="128"/>
    </row>
    <row r="160" spans="1:11" x14ac:dyDescent="0.2">
      <c r="A160" s="128" t="s">
        <v>474</v>
      </c>
      <c r="B160" s="128">
        <v>460329</v>
      </c>
      <c r="C160" s="155">
        <v>43088.575416666667</v>
      </c>
      <c r="D160" s="128" t="s">
        <v>594</v>
      </c>
      <c r="E160" s="128" t="s">
        <v>983</v>
      </c>
      <c r="F160" s="128">
        <v>122688</v>
      </c>
      <c r="G160" s="128">
        <v>428.29</v>
      </c>
      <c r="H160" s="128">
        <v>0</v>
      </c>
      <c r="I160" s="128"/>
      <c r="J160" t="s">
        <v>989</v>
      </c>
      <c r="K160" s="128"/>
    </row>
    <row r="161" spans="1:11" x14ac:dyDescent="0.2">
      <c r="A161" s="128" t="s">
        <v>509</v>
      </c>
      <c r="B161" s="128">
        <v>462171</v>
      </c>
      <c r="C161" s="155">
        <v>43097.615439814814</v>
      </c>
      <c r="D161" s="128" t="s">
        <v>807</v>
      </c>
      <c r="E161" s="128" t="s">
        <v>983</v>
      </c>
      <c r="F161" s="128">
        <v>0</v>
      </c>
      <c r="G161" s="128">
        <v>0</v>
      </c>
      <c r="H161" s="128">
        <v>500</v>
      </c>
      <c r="I161" s="128"/>
      <c r="J161" t="s">
        <v>987</v>
      </c>
      <c r="K161" s="128"/>
    </row>
    <row r="162" spans="1:11" x14ac:dyDescent="0.2">
      <c r="A162" s="128" t="s">
        <v>509</v>
      </c>
      <c r="B162" s="128">
        <v>462171</v>
      </c>
      <c r="C162" s="155">
        <v>43097.615439814814</v>
      </c>
      <c r="D162" s="128" t="s">
        <v>595</v>
      </c>
      <c r="E162" s="136" t="s">
        <v>983</v>
      </c>
      <c r="F162" s="128">
        <v>143260</v>
      </c>
      <c r="G162" s="128">
        <v>36</v>
      </c>
      <c r="H162" s="128">
        <v>0</v>
      </c>
      <c r="I162" s="128"/>
      <c r="J162" t="s">
        <v>988</v>
      </c>
      <c r="K162" s="128"/>
    </row>
    <row r="163" spans="1:11" x14ac:dyDescent="0.2">
      <c r="A163" s="128" t="s">
        <v>509</v>
      </c>
      <c r="B163" s="128">
        <v>462186</v>
      </c>
      <c r="C163" s="155">
        <v>43097.617743055554</v>
      </c>
      <c r="D163" s="128" t="s">
        <v>596</v>
      </c>
      <c r="E163" s="136" t="s">
        <v>983</v>
      </c>
      <c r="F163" s="128">
        <v>123242</v>
      </c>
      <c r="G163" s="128">
        <v>464</v>
      </c>
      <c r="H163" s="128">
        <v>0</v>
      </c>
      <c r="I163" s="128"/>
      <c r="J163" t="s">
        <v>989</v>
      </c>
      <c r="K163" s="128"/>
    </row>
    <row r="164" spans="1:11" x14ac:dyDescent="0.2">
      <c r="A164" s="128" t="s">
        <v>473</v>
      </c>
      <c r="B164" s="128">
        <v>460287</v>
      </c>
      <c r="C164" s="155">
        <v>43088.572592592594</v>
      </c>
      <c r="D164" s="128" t="s">
        <v>808</v>
      </c>
      <c r="E164" s="136" t="s">
        <v>983</v>
      </c>
      <c r="F164" s="128">
        <v>0</v>
      </c>
      <c r="G164" s="128">
        <v>0</v>
      </c>
      <c r="H164" s="128">
        <v>383.84</v>
      </c>
      <c r="I164" s="128"/>
      <c r="J164" t="s">
        <v>987</v>
      </c>
      <c r="K164" s="128"/>
    </row>
    <row r="165" spans="1:11" x14ac:dyDescent="0.2">
      <c r="A165" s="128" t="s">
        <v>473</v>
      </c>
      <c r="B165" s="128">
        <v>460287</v>
      </c>
      <c r="C165" s="155">
        <v>43088.572592592594</v>
      </c>
      <c r="D165" s="128" t="s">
        <v>597</v>
      </c>
      <c r="E165" s="136" t="s">
        <v>983</v>
      </c>
      <c r="F165" s="128">
        <v>142480</v>
      </c>
      <c r="G165" s="128">
        <v>27.64</v>
      </c>
      <c r="H165" s="128">
        <v>0</v>
      </c>
      <c r="I165" s="128"/>
      <c r="J165" t="s">
        <v>988</v>
      </c>
      <c r="K165" s="128"/>
    </row>
    <row r="166" spans="1:11" x14ac:dyDescent="0.2">
      <c r="A166" s="128" t="s">
        <v>473</v>
      </c>
      <c r="B166" s="128">
        <v>460287</v>
      </c>
      <c r="C166" s="155">
        <v>43088.572592592594</v>
      </c>
      <c r="D166" s="128" t="s">
        <v>752</v>
      </c>
      <c r="E166" s="136" t="s">
        <v>983</v>
      </c>
      <c r="F166" s="128">
        <v>0</v>
      </c>
      <c r="G166" s="128">
        <v>0</v>
      </c>
      <c r="H166" s="128">
        <v>77.680000000000007</v>
      </c>
      <c r="I166" s="128"/>
      <c r="J166" t="s">
        <v>987</v>
      </c>
      <c r="K166" s="128"/>
    </row>
    <row r="167" spans="1:11" x14ac:dyDescent="0.2">
      <c r="A167" s="128" t="s">
        <v>473</v>
      </c>
      <c r="B167" s="128">
        <v>460287</v>
      </c>
      <c r="C167" s="155">
        <v>43088.572592592594</v>
      </c>
      <c r="D167" s="128" t="s">
        <v>597</v>
      </c>
      <c r="E167" s="128" t="s">
        <v>983</v>
      </c>
      <c r="F167" s="128">
        <v>142480</v>
      </c>
      <c r="G167" s="128">
        <v>5.59</v>
      </c>
      <c r="H167" s="128">
        <v>0</v>
      </c>
      <c r="I167" s="128"/>
      <c r="J167" t="s">
        <v>988</v>
      </c>
      <c r="K167" s="128"/>
    </row>
    <row r="168" spans="1:11" x14ac:dyDescent="0.2">
      <c r="A168" s="128" t="s">
        <v>473</v>
      </c>
      <c r="B168" s="128">
        <v>460329</v>
      </c>
      <c r="C168" s="155">
        <v>43088.575416666667</v>
      </c>
      <c r="D168" s="128" t="s">
        <v>598</v>
      </c>
      <c r="E168" s="128" t="s">
        <v>983</v>
      </c>
      <c r="F168" s="128">
        <v>122687</v>
      </c>
      <c r="G168" s="128">
        <v>428.29</v>
      </c>
      <c r="H168" s="128">
        <v>0</v>
      </c>
      <c r="I168" s="128"/>
      <c r="J168" t="s">
        <v>989</v>
      </c>
      <c r="K168" s="128"/>
    </row>
    <row r="169" spans="1:11" x14ac:dyDescent="0.2">
      <c r="A169" s="128" t="s">
        <v>472</v>
      </c>
      <c r="B169" s="128">
        <v>454707</v>
      </c>
      <c r="C169" s="155">
        <v>43070.470011574071</v>
      </c>
      <c r="D169" s="128" t="s">
        <v>809</v>
      </c>
      <c r="E169" s="128" t="s">
        <v>729</v>
      </c>
      <c r="F169" s="128">
        <v>925</v>
      </c>
      <c r="G169" s="128">
        <v>510</v>
      </c>
      <c r="H169" s="128">
        <v>0</v>
      </c>
      <c r="I169" s="128"/>
      <c r="J169" t="s">
        <v>990</v>
      </c>
      <c r="K169" s="128"/>
    </row>
    <row r="170" spans="1:11" x14ac:dyDescent="0.2">
      <c r="A170" s="128" t="s">
        <v>472</v>
      </c>
      <c r="B170" s="128">
        <v>458653</v>
      </c>
      <c r="C170" s="155">
        <v>43083.384143518517</v>
      </c>
      <c r="D170" s="128" t="s">
        <v>753</v>
      </c>
      <c r="E170" s="128" t="s">
        <v>983</v>
      </c>
      <c r="F170" s="128">
        <v>147636</v>
      </c>
      <c r="G170" s="128">
        <v>0</v>
      </c>
      <c r="H170" s="128">
        <v>824.77</v>
      </c>
      <c r="I170" s="128"/>
      <c r="J170" t="s">
        <v>990</v>
      </c>
      <c r="K170" s="128"/>
    </row>
    <row r="171" spans="1:11" x14ac:dyDescent="0.2">
      <c r="A171" s="128" t="s">
        <v>472</v>
      </c>
      <c r="B171" s="128">
        <v>460271</v>
      </c>
      <c r="C171" s="155">
        <v>43088.572592592594</v>
      </c>
      <c r="D171" s="128" t="s">
        <v>754</v>
      </c>
      <c r="E171" s="128" t="s">
        <v>983</v>
      </c>
      <c r="F171" s="128">
        <v>0</v>
      </c>
      <c r="G171" s="128">
        <v>0</v>
      </c>
      <c r="H171" s="128">
        <v>228.24</v>
      </c>
      <c r="I171" s="128"/>
      <c r="J171" t="s">
        <v>987</v>
      </c>
      <c r="K171" s="128"/>
    </row>
    <row r="172" spans="1:11" x14ac:dyDescent="0.2">
      <c r="A172" s="128" t="s">
        <v>472</v>
      </c>
      <c r="B172" s="128">
        <v>460271</v>
      </c>
      <c r="C172" s="155">
        <v>43088.572592592594</v>
      </c>
      <c r="D172" s="128" t="s">
        <v>599</v>
      </c>
      <c r="E172" s="128" t="s">
        <v>983</v>
      </c>
      <c r="F172" s="128">
        <v>142467</v>
      </c>
      <c r="G172" s="128">
        <v>16.43</v>
      </c>
      <c r="H172" s="128">
        <v>0</v>
      </c>
      <c r="I172" s="128"/>
      <c r="J172" t="s">
        <v>988</v>
      </c>
      <c r="K172" s="128"/>
    </row>
    <row r="173" spans="1:11" x14ac:dyDescent="0.2">
      <c r="A173" s="128" t="s">
        <v>472</v>
      </c>
      <c r="B173" s="128">
        <v>460271</v>
      </c>
      <c r="C173" s="155">
        <v>43088.572592592594</v>
      </c>
      <c r="D173" s="128" t="s">
        <v>810</v>
      </c>
      <c r="E173" s="128" t="s">
        <v>983</v>
      </c>
      <c r="F173" s="128">
        <v>0</v>
      </c>
      <c r="G173" s="128">
        <v>0</v>
      </c>
      <c r="H173" s="128">
        <v>237.88</v>
      </c>
      <c r="I173" s="128"/>
      <c r="J173" t="s">
        <v>987</v>
      </c>
      <c r="K173" s="128"/>
    </row>
    <row r="174" spans="1:11" x14ac:dyDescent="0.2">
      <c r="A174" s="128" t="s">
        <v>472</v>
      </c>
      <c r="B174" s="128">
        <v>460271</v>
      </c>
      <c r="C174" s="155">
        <v>43088.572592592594</v>
      </c>
      <c r="D174" s="128" t="s">
        <v>599</v>
      </c>
      <c r="E174" s="128" t="s">
        <v>983</v>
      </c>
      <c r="F174" s="128">
        <v>142467</v>
      </c>
      <c r="G174" s="128">
        <v>17.12</v>
      </c>
      <c r="H174" s="128">
        <v>0</v>
      </c>
      <c r="I174" s="128"/>
      <c r="J174" t="s">
        <v>988</v>
      </c>
      <c r="K174" s="128"/>
    </row>
    <row r="175" spans="1:11" x14ac:dyDescent="0.2">
      <c r="A175" s="128" t="s">
        <v>472</v>
      </c>
      <c r="B175" s="128">
        <v>460329</v>
      </c>
      <c r="C175" s="155">
        <v>43088.575416666667</v>
      </c>
      <c r="D175" s="128" t="s">
        <v>811</v>
      </c>
      <c r="E175" s="128" t="s">
        <v>983</v>
      </c>
      <c r="F175" s="128">
        <v>122671</v>
      </c>
      <c r="G175" s="128">
        <v>429.9</v>
      </c>
      <c r="H175" s="128">
        <v>0</v>
      </c>
      <c r="I175" s="128"/>
      <c r="J175" t="s">
        <v>989</v>
      </c>
      <c r="K175" s="128"/>
    </row>
    <row r="176" spans="1:11" x14ac:dyDescent="0.2">
      <c r="A176" s="128" t="s">
        <v>479</v>
      </c>
      <c r="B176" s="128">
        <v>458791</v>
      </c>
      <c r="C176" s="155">
        <v>43083.640960648147</v>
      </c>
      <c r="D176" s="128" t="s">
        <v>812</v>
      </c>
      <c r="E176" s="128" t="s">
        <v>983</v>
      </c>
      <c r="F176" s="128">
        <v>0</v>
      </c>
      <c r="G176" s="128">
        <v>0</v>
      </c>
      <c r="H176" s="128">
        <v>350</v>
      </c>
      <c r="I176" s="128"/>
      <c r="J176" t="s">
        <v>987</v>
      </c>
      <c r="K176" s="128"/>
    </row>
    <row r="177" spans="1:11" x14ac:dyDescent="0.2">
      <c r="A177" s="128" t="s">
        <v>479</v>
      </c>
      <c r="B177" s="128">
        <v>458791</v>
      </c>
      <c r="C177" s="155">
        <v>43083.640960648147</v>
      </c>
      <c r="D177" s="128" t="s">
        <v>600</v>
      </c>
      <c r="E177" s="136" t="s">
        <v>983</v>
      </c>
      <c r="F177" s="128">
        <v>141867</v>
      </c>
      <c r="G177" s="128">
        <v>25.2</v>
      </c>
      <c r="H177" s="128">
        <v>0</v>
      </c>
      <c r="I177" s="128"/>
      <c r="J177" t="s">
        <v>988</v>
      </c>
      <c r="K177" s="128"/>
    </row>
    <row r="178" spans="1:11" x14ac:dyDescent="0.2">
      <c r="A178" s="128" t="s">
        <v>479</v>
      </c>
      <c r="B178" s="128">
        <v>458792</v>
      </c>
      <c r="C178" s="155">
        <v>43083.643263888887</v>
      </c>
      <c r="D178" s="128" t="s">
        <v>601</v>
      </c>
      <c r="E178" s="128" t="s">
        <v>983</v>
      </c>
      <c r="F178" s="128">
        <v>122303</v>
      </c>
      <c r="G178" s="128">
        <v>324.8</v>
      </c>
      <c r="H178" s="128">
        <v>0</v>
      </c>
      <c r="I178" s="128"/>
      <c r="J178" t="s">
        <v>989</v>
      </c>
      <c r="K178" s="128"/>
    </row>
    <row r="179" spans="1:11" x14ac:dyDescent="0.2">
      <c r="A179" s="128" t="s">
        <v>562</v>
      </c>
      <c r="B179" s="128">
        <v>455384</v>
      </c>
      <c r="C179" s="155">
        <v>43073.634143518517</v>
      </c>
      <c r="D179" s="128" t="s">
        <v>813</v>
      </c>
      <c r="E179" s="128" t="s">
        <v>983</v>
      </c>
      <c r="F179" s="128">
        <v>0</v>
      </c>
      <c r="G179" s="128">
        <v>0</v>
      </c>
      <c r="H179" s="128">
        <v>520</v>
      </c>
      <c r="I179" s="128"/>
      <c r="J179" t="s">
        <v>987</v>
      </c>
      <c r="K179" s="128"/>
    </row>
    <row r="180" spans="1:11" x14ac:dyDescent="0.2">
      <c r="A180" s="128" t="s">
        <v>562</v>
      </c>
      <c r="B180" s="128">
        <v>455384</v>
      </c>
      <c r="C180" s="155">
        <v>43073.634143518517</v>
      </c>
      <c r="D180" s="128" t="s">
        <v>602</v>
      </c>
      <c r="E180" s="128" t="s">
        <v>983</v>
      </c>
      <c r="F180" s="128">
        <v>140827</v>
      </c>
      <c r="G180" s="128">
        <v>37.44</v>
      </c>
      <c r="H180" s="128">
        <v>0</v>
      </c>
      <c r="I180" s="128"/>
      <c r="J180" t="s">
        <v>988</v>
      </c>
      <c r="K180" s="128"/>
    </row>
    <row r="181" spans="1:11" x14ac:dyDescent="0.2">
      <c r="A181" s="128" t="s">
        <v>562</v>
      </c>
      <c r="B181" s="128">
        <v>455551</v>
      </c>
      <c r="C181" s="155">
        <v>43073.659085648149</v>
      </c>
      <c r="D181" s="128" t="s">
        <v>603</v>
      </c>
      <c r="E181" s="128" t="s">
        <v>983</v>
      </c>
      <c r="F181" s="128">
        <v>121111</v>
      </c>
      <c r="G181" s="128">
        <v>417.56</v>
      </c>
      <c r="H181" s="128">
        <v>0</v>
      </c>
      <c r="I181" s="128"/>
      <c r="J181" t="s">
        <v>989</v>
      </c>
      <c r="K181" s="128"/>
    </row>
    <row r="182" spans="1:11" x14ac:dyDescent="0.2">
      <c r="A182" s="128" t="s">
        <v>484</v>
      </c>
      <c r="B182" s="128">
        <v>456876</v>
      </c>
      <c r="C182" s="155">
        <v>43077.549641203703</v>
      </c>
      <c r="D182" s="128" t="s">
        <v>814</v>
      </c>
      <c r="E182" s="128" t="s">
        <v>983</v>
      </c>
      <c r="F182" s="128">
        <v>0</v>
      </c>
      <c r="G182" s="128">
        <v>0</v>
      </c>
      <c r="H182" s="128">
        <v>250.12</v>
      </c>
      <c r="I182" s="128"/>
      <c r="J182" t="s">
        <v>987</v>
      </c>
      <c r="K182" s="128"/>
    </row>
    <row r="183" spans="1:11" x14ac:dyDescent="0.2">
      <c r="A183" s="128" t="s">
        <v>484</v>
      </c>
      <c r="B183" s="128">
        <v>456876</v>
      </c>
      <c r="C183" s="155">
        <v>43077.549641203703</v>
      </c>
      <c r="D183" s="128" t="s">
        <v>604</v>
      </c>
      <c r="E183" s="128" t="s">
        <v>983</v>
      </c>
      <c r="F183" s="128">
        <v>141447</v>
      </c>
      <c r="G183" s="128">
        <v>18.010000000000002</v>
      </c>
      <c r="H183" s="128">
        <v>0</v>
      </c>
      <c r="I183" s="128"/>
      <c r="J183" t="s">
        <v>988</v>
      </c>
      <c r="K183" s="128"/>
    </row>
    <row r="184" spans="1:11" x14ac:dyDescent="0.2">
      <c r="A184" s="128" t="s">
        <v>484</v>
      </c>
      <c r="B184" s="128">
        <v>456889</v>
      </c>
      <c r="C184" s="155">
        <v>43077.556527777779</v>
      </c>
      <c r="D184" s="128" t="s">
        <v>605</v>
      </c>
      <c r="E184" s="128" t="s">
        <v>983</v>
      </c>
      <c r="F184" s="128">
        <v>121685</v>
      </c>
      <c r="G184" s="128">
        <v>232.11</v>
      </c>
      <c r="H184" s="128">
        <v>0</v>
      </c>
      <c r="I184" s="128"/>
      <c r="J184" t="s">
        <v>989</v>
      </c>
      <c r="K184" s="128"/>
    </row>
    <row r="185" spans="1:11" x14ac:dyDescent="0.2">
      <c r="A185" s="128" t="s">
        <v>484</v>
      </c>
      <c r="B185" s="128">
        <v>460304</v>
      </c>
      <c r="C185" s="155">
        <v>43088.572592592594</v>
      </c>
      <c r="D185" s="128" t="s">
        <v>814</v>
      </c>
      <c r="E185" s="128" t="s">
        <v>983</v>
      </c>
      <c r="F185" s="128">
        <v>0</v>
      </c>
      <c r="G185" s="128">
        <v>0</v>
      </c>
      <c r="H185" s="128">
        <v>249.88</v>
      </c>
      <c r="I185" s="128"/>
      <c r="J185" t="s">
        <v>987</v>
      </c>
      <c r="K185" s="128"/>
    </row>
    <row r="186" spans="1:11" x14ac:dyDescent="0.2">
      <c r="A186" s="128" t="s">
        <v>484</v>
      </c>
      <c r="B186" s="128">
        <v>460304</v>
      </c>
      <c r="C186" s="155">
        <v>43088.572592592594</v>
      </c>
      <c r="D186" s="128" t="s">
        <v>604</v>
      </c>
      <c r="E186" s="128" t="s">
        <v>983</v>
      </c>
      <c r="F186" s="128">
        <v>142492</v>
      </c>
      <c r="G186" s="128">
        <v>17.989999999999998</v>
      </c>
      <c r="H186" s="128">
        <v>0</v>
      </c>
      <c r="I186" s="128"/>
      <c r="J186" t="s">
        <v>988</v>
      </c>
      <c r="K186" s="128"/>
    </row>
    <row r="187" spans="1:11" x14ac:dyDescent="0.2">
      <c r="A187" s="128" t="s">
        <v>484</v>
      </c>
      <c r="B187" s="128">
        <v>460329</v>
      </c>
      <c r="C187" s="155">
        <v>43088.575416666667</v>
      </c>
      <c r="D187" s="128" t="s">
        <v>605</v>
      </c>
      <c r="E187" s="128" t="s">
        <v>983</v>
      </c>
      <c r="F187" s="128">
        <v>122704</v>
      </c>
      <c r="G187" s="128">
        <v>231.89</v>
      </c>
      <c r="H187" s="128">
        <v>0</v>
      </c>
      <c r="I187" s="128"/>
      <c r="J187" t="s">
        <v>989</v>
      </c>
      <c r="K187" s="128"/>
    </row>
    <row r="188" spans="1:11" x14ac:dyDescent="0.2">
      <c r="A188" s="128" t="s">
        <v>483</v>
      </c>
      <c r="B188" s="128">
        <v>458787</v>
      </c>
      <c r="C188" s="155">
        <v>43083.640960648147</v>
      </c>
      <c r="D188" s="128" t="s">
        <v>815</v>
      </c>
      <c r="E188" s="128" t="s">
        <v>983</v>
      </c>
      <c r="F188" s="128">
        <v>0</v>
      </c>
      <c r="G188" s="128">
        <v>0</v>
      </c>
      <c r="H188" s="128">
        <v>127.15</v>
      </c>
      <c r="I188" s="128"/>
      <c r="J188" t="s">
        <v>987</v>
      </c>
      <c r="K188" s="128"/>
    </row>
    <row r="189" spans="1:11" x14ac:dyDescent="0.2">
      <c r="A189" s="128" t="s">
        <v>483</v>
      </c>
      <c r="B189" s="128">
        <v>458787</v>
      </c>
      <c r="C189" s="155">
        <v>43083.640960648147</v>
      </c>
      <c r="D189" s="128" t="s">
        <v>606</v>
      </c>
      <c r="E189" s="128" t="s">
        <v>983</v>
      </c>
      <c r="F189" s="128">
        <v>141864</v>
      </c>
      <c r="G189" s="128">
        <v>9.16</v>
      </c>
      <c r="H189" s="128">
        <v>0</v>
      </c>
      <c r="I189" s="128"/>
      <c r="J189" t="s">
        <v>988</v>
      </c>
      <c r="K189" s="128"/>
    </row>
    <row r="190" spans="1:11" x14ac:dyDescent="0.2">
      <c r="A190" s="128" t="s">
        <v>483</v>
      </c>
      <c r="B190" s="128">
        <v>458792</v>
      </c>
      <c r="C190" s="155">
        <v>43083.643263888887</v>
      </c>
      <c r="D190" s="128" t="s">
        <v>607</v>
      </c>
      <c r="E190" s="128" t="s">
        <v>983</v>
      </c>
      <c r="F190" s="128">
        <v>122299</v>
      </c>
      <c r="G190" s="128">
        <v>117.99</v>
      </c>
      <c r="H190" s="128">
        <v>0</v>
      </c>
      <c r="I190" s="128"/>
      <c r="J190" t="s">
        <v>989</v>
      </c>
      <c r="K190" s="128"/>
    </row>
    <row r="191" spans="1:11" x14ac:dyDescent="0.2">
      <c r="A191" s="128" t="s">
        <v>483</v>
      </c>
      <c r="B191" s="128">
        <v>460302</v>
      </c>
      <c r="C191" s="155">
        <v>43088.572592592594</v>
      </c>
      <c r="D191" s="128" t="s">
        <v>815</v>
      </c>
      <c r="E191" s="128" t="s">
        <v>983</v>
      </c>
      <c r="F191" s="128">
        <v>0</v>
      </c>
      <c r="G191" s="128">
        <v>0</v>
      </c>
      <c r="H191" s="128">
        <v>377.85</v>
      </c>
      <c r="I191" s="128"/>
      <c r="J191" t="s">
        <v>987</v>
      </c>
      <c r="K191" s="128"/>
    </row>
    <row r="192" spans="1:11" x14ac:dyDescent="0.2">
      <c r="A192" s="128" t="s">
        <v>483</v>
      </c>
      <c r="B192" s="128">
        <v>460302</v>
      </c>
      <c r="C192" s="155">
        <v>43088.572592592594</v>
      </c>
      <c r="D192" s="128" t="s">
        <v>606</v>
      </c>
      <c r="E192" s="128" t="s">
        <v>983</v>
      </c>
      <c r="F192" s="128">
        <v>142490</v>
      </c>
      <c r="G192" s="128">
        <v>27.2</v>
      </c>
      <c r="H192" s="128">
        <v>0</v>
      </c>
      <c r="I192" s="128"/>
      <c r="J192" t="s">
        <v>988</v>
      </c>
      <c r="K192" s="128"/>
    </row>
    <row r="193" spans="1:11" x14ac:dyDescent="0.2">
      <c r="A193" s="128" t="s">
        <v>483</v>
      </c>
      <c r="B193" s="128">
        <v>460329</v>
      </c>
      <c r="C193" s="155">
        <v>43088.575416666667</v>
      </c>
      <c r="D193" s="128" t="s">
        <v>607</v>
      </c>
      <c r="E193" s="128" t="s">
        <v>983</v>
      </c>
      <c r="F193" s="128">
        <v>122702</v>
      </c>
      <c r="G193" s="128">
        <v>350.65</v>
      </c>
      <c r="H193" s="128">
        <v>0</v>
      </c>
      <c r="I193" s="128"/>
      <c r="J193" t="s">
        <v>989</v>
      </c>
      <c r="K193" s="128"/>
    </row>
    <row r="194" spans="1:11" x14ac:dyDescent="0.2">
      <c r="A194" s="128" t="s">
        <v>481</v>
      </c>
      <c r="B194" s="128">
        <v>456536</v>
      </c>
      <c r="C194" s="155">
        <v>43076.654918981483</v>
      </c>
      <c r="D194" s="128" t="s">
        <v>816</v>
      </c>
      <c r="E194" s="128" t="s">
        <v>983</v>
      </c>
      <c r="F194" s="128">
        <v>0</v>
      </c>
      <c r="G194" s="128">
        <v>0</v>
      </c>
      <c r="H194" s="128">
        <v>360</v>
      </c>
      <c r="I194" s="128"/>
      <c r="J194" t="s">
        <v>987</v>
      </c>
      <c r="K194" s="128"/>
    </row>
    <row r="195" spans="1:11" x14ac:dyDescent="0.2">
      <c r="A195" s="128" t="s">
        <v>481</v>
      </c>
      <c r="B195" s="128">
        <v>456536</v>
      </c>
      <c r="C195" s="155">
        <v>43076.654918981483</v>
      </c>
      <c r="D195" s="128" t="s">
        <v>608</v>
      </c>
      <c r="E195" s="136" t="s">
        <v>983</v>
      </c>
      <c r="F195" s="128">
        <v>141306</v>
      </c>
      <c r="G195" s="128">
        <v>25.92</v>
      </c>
      <c r="H195" s="128">
        <v>0</v>
      </c>
      <c r="I195" s="128"/>
      <c r="J195" t="s">
        <v>988</v>
      </c>
      <c r="K195" s="128"/>
    </row>
    <row r="196" spans="1:11" x14ac:dyDescent="0.2">
      <c r="A196" s="128" t="s">
        <v>481</v>
      </c>
      <c r="B196" s="128">
        <v>456536</v>
      </c>
      <c r="C196" s="155">
        <v>43076.654918981483</v>
      </c>
      <c r="D196" s="128" t="s">
        <v>817</v>
      </c>
      <c r="E196" s="136" t="s">
        <v>983</v>
      </c>
      <c r="F196" s="128">
        <v>0</v>
      </c>
      <c r="G196" s="128">
        <v>0</v>
      </c>
      <c r="H196" s="128">
        <v>360</v>
      </c>
      <c r="I196" s="128"/>
      <c r="J196" t="s">
        <v>987</v>
      </c>
      <c r="K196" s="128"/>
    </row>
    <row r="197" spans="1:11" x14ac:dyDescent="0.2">
      <c r="A197" s="128" t="s">
        <v>481</v>
      </c>
      <c r="B197" s="128">
        <v>456536</v>
      </c>
      <c r="C197" s="155">
        <v>43076.654918981483</v>
      </c>
      <c r="D197" s="128" t="s">
        <v>608</v>
      </c>
      <c r="E197" s="128" t="s">
        <v>983</v>
      </c>
      <c r="F197" s="128">
        <v>141306</v>
      </c>
      <c r="G197" s="128">
        <v>25.92</v>
      </c>
      <c r="H197" s="128">
        <v>0</v>
      </c>
      <c r="I197" s="128"/>
      <c r="J197" t="s">
        <v>988</v>
      </c>
      <c r="K197" s="128"/>
    </row>
    <row r="198" spans="1:11" x14ac:dyDescent="0.2">
      <c r="A198" s="128" t="s">
        <v>481</v>
      </c>
      <c r="B198" s="128">
        <v>456587</v>
      </c>
      <c r="C198" s="155">
        <v>43076.657199074078</v>
      </c>
      <c r="D198" s="128" t="s">
        <v>609</v>
      </c>
      <c r="E198" s="128" t="s">
        <v>983</v>
      </c>
      <c r="F198" s="128">
        <v>121550</v>
      </c>
      <c r="G198" s="128">
        <v>668.16</v>
      </c>
      <c r="H198" s="128">
        <v>0</v>
      </c>
      <c r="I198" s="128"/>
      <c r="J198" t="s">
        <v>989</v>
      </c>
      <c r="K198" s="128"/>
    </row>
    <row r="199" spans="1:11" x14ac:dyDescent="0.2">
      <c r="A199" s="128" t="s">
        <v>481</v>
      </c>
      <c r="B199" s="128">
        <v>461085</v>
      </c>
      <c r="C199" s="155">
        <v>43090.710914351854</v>
      </c>
      <c r="D199" s="128" t="s">
        <v>818</v>
      </c>
      <c r="E199" s="128" t="s">
        <v>729</v>
      </c>
      <c r="F199" s="128">
        <v>956</v>
      </c>
      <c r="G199" s="128">
        <v>55</v>
      </c>
      <c r="H199" s="128">
        <v>0</v>
      </c>
      <c r="I199" s="128"/>
      <c r="J199" t="s">
        <v>990</v>
      </c>
      <c r="K199" s="128"/>
    </row>
    <row r="200" spans="1:11" x14ac:dyDescent="0.2">
      <c r="A200" s="128" t="s">
        <v>477</v>
      </c>
      <c r="B200" s="128">
        <v>460784</v>
      </c>
      <c r="C200" s="155">
        <v>43089.63385416667</v>
      </c>
      <c r="D200" s="128" t="s">
        <v>755</v>
      </c>
      <c r="E200" s="128" t="s">
        <v>983</v>
      </c>
      <c r="F200" s="128">
        <v>0</v>
      </c>
      <c r="G200" s="128">
        <v>0</v>
      </c>
      <c r="H200" s="128">
        <v>34.6</v>
      </c>
      <c r="I200" s="128"/>
      <c r="J200" t="s">
        <v>987</v>
      </c>
      <c r="K200" s="128"/>
    </row>
    <row r="201" spans="1:11" x14ac:dyDescent="0.2">
      <c r="A201" s="128" t="s">
        <v>477</v>
      </c>
      <c r="B201" s="128">
        <v>460784</v>
      </c>
      <c r="C201" s="155">
        <v>43089.63385416667</v>
      </c>
      <c r="D201" s="128" t="s">
        <v>610</v>
      </c>
      <c r="E201" s="128" t="s">
        <v>983</v>
      </c>
      <c r="F201" s="128">
        <v>142619</v>
      </c>
      <c r="G201" s="128">
        <v>2.5</v>
      </c>
      <c r="H201" s="128">
        <v>0</v>
      </c>
      <c r="I201" s="128"/>
      <c r="J201" t="s">
        <v>988</v>
      </c>
      <c r="K201" s="128"/>
    </row>
    <row r="202" spans="1:11" x14ac:dyDescent="0.2">
      <c r="A202" s="128" t="s">
        <v>477</v>
      </c>
      <c r="B202" s="128">
        <v>460784</v>
      </c>
      <c r="C202" s="155">
        <v>43089.63385416667</v>
      </c>
      <c r="D202" s="128" t="s">
        <v>819</v>
      </c>
      <c r="E202" s="128" t="s">
        <v>983</v>
      </c>
      <c r="F202" s="128">
        <v>0</v>
      </c>
      <c r="G202" s="128">
        <v>0</v>
      </c>
      <c r="H202" s="128">
        <v>380.8</v>
      </c>
      <c r="I202" s="128"/>
      <c r="J202" t="s">
        <v>987</v>
      </c>
      <c r="K202" s="128"/>
    </row>
    <row r="203" spans="1:11" x14ac:dyDescent="0.2">
      <c r="A203" s="128" t="s">
        <v>477</v>
      </c>
      <c r="B203" s="128">
        <v>460784</v>
      </c>
      <c r="C203" s="155">
        <v>43089.63385416667</v>
      </c>
      <c r="D203" s="128" t="s">
        <v>610</v>
      </c>
      <c r="E203" s="128" t="s">
        <v>983</v>
      </c>
      <c r="F203" s="128">
        <v>142619</v>
      </c>
      <c r="G203" s="128">
        <v>27.42</v>
      </c>
      <c r="H203" s="128">
        <v>0</v>
      </c>
      <c r="I203" s="128"/>
      <c r="J203" t="s">
        <v>988</v>
      </c>
      <c r="K203" s="128"/>
    </row>
    <row r="204" spans="1:11" x14ac:dyDescent="0.2">
      <c r="A204" s="128" t="s">
        <v>477</v>
      </c>
      <c r="B204" s="128">
        <v>460798</v>
      </c>
      <c r="C204" s="155">
        <v>43089.636354166665</v>
      </c>
      <c r="D204" s="128" t="s">
        <v>725</v>
      </c>
      <c r="E204" s="128" t="s">
        <v>983</v>
      </c>
      <c r="F204" s="128">
        <v>122843</v>
      </c>
      <c r="G204" s="128">
        <v>385.48</v>
      </c>
      <c r="H204" s="128">
        <v>0</v>
      </c>
      <c r="I204" s="128"/>
      <c r="J204" t="s">
        <v>989</v>
      </c>
      <c r="K204" s="128"/>
    </row>
    <row r="205" spans="1:11" x14ac:dyDescent="0.2">
      <c r="A205" s="128" t="s">
        <v>495</v>
      </c>
      <c r="B205" s="128">
        <v>460306</v>
      </c>
      <c r="C205" s="155">
        <v>43088.572592592594</v>
      </c>
      <c r="D205" s="128" t="s">
        <v>756</v>
      </c>
      <c r="E205" s="128" t="s">
        <v>983</v>
      </c>
      <c r="F205" s="128">
        <v>0</v>
      </c>
      <c r="G205" s="128">
        <v>0</v>
      </c>
      <c r="H205" s="128">
        <v>77.7</v>
      </c>
      <c r="I205" s="128"/>
      <c r="J205" t="s">
        <v>987</v>
      </c>
      <c r="K205" s="128"/>
    </row>
    <row r="206" spans="1:11" x14ac:dyDescent="0.2">
      <c r="A206" s="128" t="s">
        <v>495</v>
      </c>
      <c r="B206" s="128">
        <v>460306</v>
      </c>
      <c r="C206" s="155">
        <v>43088.572592592594</v>
      </c>
      <c r="D206" s="128" t="s">
        <v>611</v>
      </c>
      <c r="E206" s="128" t="s">
        <v>983</v>
      </c>
      <c r="F206" s="128">
        <v>142493</v>
      </c>
      <c r="G206" s="128">
        <v>5.59</v>
      </c>
      <c r="H206" s="128">
        <v>0</v>
      </c>
      <c r="I206" s="128"/>
      <c r="J206" t="s">
        <v>988</v>
      </c>
      <c r="K206" s="128"/>
    </row>
    <row r="207" spans="1:11" x14ac:dyDescent="0.2">
      <c r="A207" s="128" t="s">
        <v>495</v>
      </c>
      <c r="B207" s="128">
        <v>460306</v>
      </c>
      <c r="C207" s="155">
        <v>43088.572592592594</v>
      </c>
      <c r="D207" s="128" t="s">
        <v>820</v>
      </c>
      <c r="E207" s="128" t="s">
        <v>983</v>
      </c>
      <c r="F207" s="128">
        <v>0</v>
      </c>
      <c r="G207" s="128">
        <v>0</v>
      </c>
      <c r="H207" s="128">
        <v>383.82</v>
      </c>
      <c r="I207" s="128"/>
      <c r="J207" t="s">
        <v>987</v>
      </c>
      <c r="K207" s="128"/>
    </row>
    <row r="208" spans="1:11" x14ac:dyDescent="0.2">
      <c r="A208" s="128" t="s">
        <v>495</v>
      </c>
      <c r="B208" s="128">
        <v>460306</v>
      </c>
      <c r="C208" s="155">
        <v>43088.572592592594</v>
      </c>
      <c r="D208" s="128" t="s">
        <v>611</v>
      </c>
      <c r="E208" s="128" t="s">
        <v>983</v>
      </c>
      <c r="F208" s="128">
        <v>142493</v>
      </c>
      <c r="G208" s="128">
        <v>27.64</v>
      </c>
      <c r="H208" s="128">
        <v>0</v>
      </c>
      <c r="I208" s="128"/>
      <c r="J208" t="s">
        <v>988</v>
      </c>
      <c r="K208" s="128"/>
    </row>
    <row r="209" spans="1:11" x14ac:dyDescent="0.2">
      <c r="A209" s="128" t="s">
        <v>495</v>
      </c>
      <c r="B209" s="128">
        <v>460329</v>
      </c>
      <c r="C209" s="155">
        <v>43088.575416666667</v>
      </c>
      <c r="D209" s="128" t="s">
        <v>612</v>
      </c>
      <c r="E209" s="128" t="s">
        <v>983</v>
      </c>
      <c r="F209" s="128">
        <v>122706</v>
      </c>
      <c r="G209" s="128">
        <v>428.29</v>
      </c>
      <c r="H209" s="128">
        <v>0</v>
      </c>
      <c r="I209" s="128"/>
      <c r="J209" t="s">
        <v>989</v>
      </c>
      <c r="K209" s="128"/>
    </row>
    <row r="210" spans="1:11" x14ac:dyDescent="0.2">
      <c r="A210" s="128" t="s">
        <v>476</v>
      </c>
      <c r="B210" s="128">
        <v>461311</v>
      </c>
      <c r="C210" s="155">
        <v>43091.545763888891</v>
      </c>
      <c r="D210" s="128" t="s">
        <v>821</v>
      </c>
      <c r="E210" s="128" t="s">
        <v>729</v>
      </c>
      <c r="F210" s="128">
        <v>959</v>
      </c>
      <c r="G210" s="128">
        <v>940</v>
      </c>
      <c r="H210" s="128">
        <v>0</v>
      </c>
      <c r="I210" s="128"/>
      <c r="J210" t="s">
        <v>990</v>
      </c>
      <c r="K210" s="128"/>
    </row>
    <row r="211" spans="1:11" x14ac:dyDescent="0.2">
      <c r="A211" s="128" t="s">
        <v>476</v>
      </c>
      <c r="B211" s="128">
        <v>461649</v>
      </c>
      <c r="C211" s="155">
        <v>43096.595682870371</v>
      </c>
      <c r="D211" s="128" t="s">
        <v>822</v>
      </c>
      <c r="E211" s="128" t="s">
        <v>729</v>
      </c>
      <c r="F211" s="128">
        <v>0</v>
      </c>
      <c r="G211" s="128">
        <v>0</v>
      </c>
      <c r="H211" s="128">
        <v>505</v>
      </c>
      <c r="I211" s="128"/>
      <c r="J211" t="s">
        <v>991</v>
      </c>
      <c r="K211" s="128"/>
    </row>
    <row r="212" spans="1:11" x14ac:dyDescent="0.2">
      <c r="A212" s="128" t="s">
        <v>613</v>
      </c>
      <c r="B212" s="128">
        <v>460272</v>
      </c>
      <c r="C212" s="155">
        <v>43088.572592592594</v>
      </c>
      <c r="D212" s="128" t="s">
        <v>823</v>
      </c>
      <c r="E212" s="128" t="s">
        <v>983</v>
      </c>
      <c r="F212" s="128">
        <v>0</v>
      </c>
      <c r="G212" s="128">
        <v>0</v>
      </c>
      <c r="H212" s="128">
        <v>578.27</v>
      </c>
      <c r="I212" s="128"/>
      <c r="J212" t="s">
        <v>987</v>
      </c>
      <c r="K212" s="128"/>
    </row>
    <row r="213" spans="1:11" x14ac:dyDescent="0.2">
      <c r="A213" s="128" t="s">
        <v>613</v>
      </c>
      <c r="B213" s="128">
        <v>460272</v>
      </c>
      <c r="C213" s="155">
        <v>43088.572592592594</v>
      </c>
      <c r="D213" s="128" t="s">
        <v>614</v>
      </c>
      <c r="E213" s="128" t="s">
        <v>983</v>
      </c>
      <c r="F213" s="128">
        <v>142468</v>
      </c>
      <c r="G213" s="128">
        <v>41.64</v>
      </c>
      <c r="H213" s="128">
        <v>0</v>
      </c>
      <c r="I213" s="128"/>
      <c r="J213" t="s">
        <v>988</v>
      </c>
      <c r="K213" s="128"/>
    </row>
    <row r="214" spans="1:11" x14ac:dyDescent="0.2">
      <c r="A214" s="128" t="s">
        <v>613</v>
      </c>
      <c r="B214" s="128">
        <v>460272</v>
      </c>
      <c r="C214" s="155">
        <v>43088.572592592594</v>
      </c>
      <c r="D214" s="128" t="s">
        <v>757</v>
      </c>
      <c r="E214" s="128" t="s">
        <v>983</v>
      </c>
      <c r="F214" s="128">
        <v>0</v>
      </c>
      <c r="G214" s="128">
        <v>0</v>
      </c>
      <c r="H214" s="128">
        <v>1.73</v>
      </c>
      <c r="I214" s="128"/>
      <c r="J214" t="s">
        <v>987</v>
      </c>
      <c r="K214" s="128"/>
    </row>
    <row r="215" spans="1:11" x14ac:dyDescent="0.2">
      <c r="A215" t="s">
        <v>613</v>
      </c>
      <c r="B215">
        <v>460272</v>
      </c>
      <c r="C215" s="80">
        <v>43088.572592592594</v>
      </c>
      <c r="D215" t="s">
        <v>614</v>
      </c>
      <c r="F215">
        <v>142468</v>
      </c>
      <c r="G215">
        <v>0.12</v>
      </c>
      <c r="H215">
        <v>0</v>
      </c>
      <c r="J215" t="s">
        <v>988</v>
      </c>
    </row>
    <row r="216" spans="1:11" x14ac:dyDescent="0.2">
      <c r="A216" t="s">
        <v>613</v>
      </c>
      <c r="B216">
        <v>460329</v>
      </c>
      <c r="C216" s="80">
        <v>43088.575416666667</v>
      </c>
      <c r="D216" t="s">
        <v>615</v>
      </c>
      <c r="F216">
        <v>122672</v>
      </c>
      <c r="G216">
        <v>538.24</v>
      </c>
      <c r="H216">
        <v>0</v>
      </c>
      <c r="J216" t="s">
        <v>989</v>
      </c>
    </row>
    <row r="217" spans="1:11" x14ac:dyDescent="0.2">
      <c r="C217" s="80"/>
    </row>
    <row r="218" spans="1:11" x14ac:dyDescent="0.2">
      <c r="C218" s="80"/>
    </row>
    <row r="219" spans="1:11" x14ac:dyDescent="0.2">
      <c r="C219" s="80"/>
    </row>
    <row r="220" spans="1:11" x14ac:dyDescent="0.2">
      <c r="C220" s="80"/>
    </row>
    <row r="221" spans="1:11" x14ac:dyDescent="0.2">
      <c r="C221" s="80"/>
    </row>
    <row r="222" spans="1:11" x14ac:dyDescent="0.2">
      <c r="C222" s="80"/>
    </row>
    <row r="223" spans="1:11" x14ac:dyDescent="0.2">
      <c r="C223" s="80"/>
    </row>
    <row r="224" spans="1:11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</sheetData>
  <autoFilter ref="A1:K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80"/>
  <sheetViews>
    <sheetView zoomScale="70" workbookViewId="0">
      <selection activeCell="E32" sqref="E32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613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Rent Statement</vt:lpstr>
      <vt:lpstr>Import</vt:lpstr>
      <vt:lpstr>Statistics-1</vt:lpstr>
      <vt:lpstr>Statistics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2018-03-07T20:08:51Z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