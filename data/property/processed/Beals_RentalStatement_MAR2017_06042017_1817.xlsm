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My Documents\Business\Property\Statements\processed\"/>
    </mc:Choice>
  </mc:AlternateContent>
  <xr:revisionPtr revIDLastSave="0" documentId="10_ncr:8100000_{53B110C0-EF17-4DC4-99B5-2A0CA7BEFAEF}" xr6:coauthVersionLast="34" xr6:coauthVersionMax="34" xr10:uidLastSave="{00000000-0000-0000-0000-000000000000}"/>
  <bookViews>
    <workbookView xWindow="96" yWindow="6120" windowWidth="28860" windowHeight="6348" activeTab="3" xr2:uid="{00000000-000D-0000-FFFF-FFFF00000000}"/>
  </bookViews>
  <sheets>
    <sheet name="Rent Statement" sheetId="1" r:id="rId1"/>
    <sheet name="Import" sheetId="31686" r:id="rId2"/>
    <sheet name="Statistics (FIXED-1)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Beals!$A$1:$H$291</definedName>
    <definedName name="_xlnm._FilterDatabase" localSheetId="5" hidden="1">IV!$A$1:$I$1</definedName>
    <definedName name="_xlnm._FilterDatabase" localSheetId="6" hidden="1">'IV (4040)'!$A$1:$I$113</definedName>
    <definedName name="_xlnm._FilterDatabase" localSheetId="4" hidden="1">MT!$A$1:$I$122</definedName>
    <definedName name="_xlnm._FilterDatabase" localSheetId="0" hidden="1">'Rent Statement'!$B$7:$U$62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C9" i="31690" l="1"/>
  <c r="E44" i="31690" l="1"/>
  <c r="E43" i="31690"/>
  <c r="I10" i="31690" l="1"/>
  <c r="I9" i="31690"/>
  <c r="I8" i="31690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B25" i="31690"/>
  <c r="B17" i="31690"/>
  <c r="B33" i="31690"/>
  <c r="C21" i="31690"/>
  <c r="C31" i="31690"/>
  <c r="C30" i="31690"/>
  <c r="B32" i="31690"/>
  <c r="B21" i="31690"/>
  <c r="C32" i="31690"/>
  <c r="B24" i="31690"/>
  <c r="C25" i="31690"/>
  <c r="B29" i="31690"/>
  <c r="C33" i="31690"/>
  <c r="C29" i="31690"/>
  <c r="E38" i="31690"/>
  <c r="C18" i="31690"/>
  <c r="C22" i="31690"/>
  <c r="C24" i="31690"/>
  <c r="C17" i="31690"/>
  <c r="C26" i="31690"/>
  <c r="B34" i="31690"/>
  <c r="B31" i="31690"/>
  <c r="B22" i="31690"/>
  <c r="B30" i="31690"/>
  <c r="C34" i="31690"/>
  <c r="B26" i="31690"/>
  <c r="B18" i="31690"/>
  <c r="C19" i="31690" l="1"/>
  <c r="B19" i="31690"/>
  <c r="C35" i="31690"/>
  <c r="B35" i="31690"/>
  <c r="F37" i="31690"/>
  <c r="E37" i="31690"/>
  <c r="D29" i="31690"/>
  <c r="D30" i="31690"/>
  <c r="D31" i="31690"/>
  <c r="D32" i="31690"/>
  <c r="D33" i="31690"/>
  <c r="D34" i="31690"/>
  <c r="F38" i="31690"/>
  <c r="B12" i="31690"/>
  <c r="E12" i="31690"/>
  <c r="B15" i="31690" s="1"/>
  <c r="H12" i="31690"/>
  <c r="C15" i="31690" s="1"/>
  <c r="D35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5" i="31690" l="1"/>
  <c r="E40" i="31690" s="1"/>
  <c r="E46" i="31690" s="1"/>
  <c r="F35" i="31690"/>
  <c r="F40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<sst xmlns="http://schemas.openxmlformats.org/spreadsheetml/2006/main" count="4588" uniqueCount="1110">
  <si>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</si>
  <si>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</si>
  <si>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</si>
  <si>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</si>
  <si>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</si>
  <si>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</si>
  <si>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</si>
  <si>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</si>
  <si>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</si>
  <si>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</si>
  <si>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</si>
  <si>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</si>
  <si>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</si>
  <si>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</si>
  <si>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</si>
  <si>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</si>
  <si>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</si>
  <si>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</si>
  <si>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</si>
  <si>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</si>
  <si>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</si>
  <si>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</si>
  <si>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</si>
  <si>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</si>
  <si>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</si>
  <si>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</si>
  <si>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</si>
  <si>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</si>
  <si>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</si>
  <si>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</si>
  <si>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</si>
  <si>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</si>
  <si>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</si>
  <si>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</si>
  <si>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</si>
  <si>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</si>
  <si>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</si>
  <si>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</si>
  <si>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</si>
  <si>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</si>
  <si>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</si>
  <si>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</si>
  <si>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</si>
  <si>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</si>
  <si>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</si>
  <si>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</si>
  <si>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</si>
  <si>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</si>
  <si>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</si>
  <si>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</si>
  <si>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</si>
  <si>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</si>
  <si>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</si>
  <si>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</si>
  <si>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</si>
  <si>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</si>
  <si>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</si>
  <si>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</si>
  <si>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</si>
  <si>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</si>
  <si>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</si>
  <si>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</si>
  <si>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</si>
  <si>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</si>
  <si>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</si>
  <si>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</si>
  <si>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</si>
  <si>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</si>
  <si>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</si>
  <si>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</si>
  <si>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</si>
  <si>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</si>
  <si>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</si>
  <si>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</si>
  <si>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</si>
  <si>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</si>
  <si>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</si>
  <si>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</si>
  <si>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</si>
  <si>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</si>
  <si>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</si>
  <si>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</si>
  <si>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</si>
  <si>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</si>
  <si>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</si>
  <si>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</si>
  <si>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</si>
  <si>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</si>
  <si>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</si>
  <si>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</si>
  <si>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</si>
  <si>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</si>
  <si>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</si>
  <si>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</si>
  <si>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</si>
  <si>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</si>
  <si>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</si>
  <si>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</si>
  <si>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</si>
  <si>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</si>
  <si>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</si>
  <si>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</si>
  <si>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</si>
  <si>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</si>
  <si>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</si>
  <si>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</si>
  <si>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</si>
  <si>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</si>
  <si>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</si>
  <si>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</si>
  <si>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</si>
  <si>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</si>
  <si>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</si>
  <si>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</si>
  <si>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</si>
  <si>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</si>
  <si>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</si>
  <si>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</si>
  <si>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</si>
  <si>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</si>
  <si>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</si>
  <si>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</si>
  <si>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</si>
  <si>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</si>
  <si>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</si>
  <si>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</si>
  <si>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</si>
  <si>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</si>
  <si>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</si>
  <si>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</si>
  <si>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</si>
  <si>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</si>
  <si>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</si>
  <si>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</si>
  <si>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</si>
  <si>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</si>
  <si>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</si>
  <si>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</si>
  <si>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</si>
  <si>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</si>
  <si>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</si>
  <si>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</si>
  <si>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</si>
  <si>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</si>
  <si>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</si>
  <si>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</si>
  <si>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</si>
  <si>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</si>
  <si>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</si>
  <si>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</si>
  <si>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</si>
  <si>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</si>
  <si>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</si>
  <si>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</si>
  <si>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</si>
  <si>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</si>
  <si>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</si>
  <si>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</si>
  <si>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</si>
  <si>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</si>
  <si>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</si>
  <si>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</si>
  <si>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</si>
  <si>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</si>
  <si>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</si>
  <si>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</si>
  <si>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</si>
  <si>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</si>
  <si>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</si>
  <si>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</si>
  <si>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</si>
  <si>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</si>
  <si>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</si>
  <si>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</si>
  <si>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</si>
  <si>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</si>
  <si>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</si>
  <si>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</si>
  <si>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</si>
  <si>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</si>
  <si>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</si>
  <si>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</si>
  <si>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</si>
  <si>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</si>
  <si>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</si>
  <si>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</si>
  <si>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</si>
  <si>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</si>
  <si>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</si>
  <si>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</si>
  <si>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</si>
  <si>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</si>
  <si>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</si>
  <si>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</si>
  <si>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</si>
  <si>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</si>
  <si>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</si>
  <si>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</si>
  <si>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</si>
  <si>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</si>
  <si>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</si>
  <si>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</si>
  <si>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</si>
  <si>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</si>
  <si>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</si>
  <si>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</si>
  <si>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</si>
  <si>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</si>
  <si>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</si>
  <si>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</si>
  <si>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</si>
  <si>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</si>
  <si>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</si>
  <si>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</si>
  <si>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</si>
  <si>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</si>
  <si>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</si>
  <si>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</si>
  <si>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</si>
  <si>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</si>
  <si>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</si>
  <si>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</si>
  <si>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</si>
  <si>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</si>
  <si>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</si>
  <si>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</si>
  <si>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</si>
  <si>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</si>
  <si>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</si>
  <si>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</si>
  <si>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</si>
  <si>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</si>
  <si>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</si>
  <si>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</si>
  <si>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</si>
  <si>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</si>
  <si>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</si>
  <si>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</si>
  <si>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</si>
  <si>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</si>
  <si>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</si>
  <si>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</si>
  <si>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</si>
  <si>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</si>
  <si>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</si>
  <si>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</si>
  <si>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</si>
  <si>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</si>
  <si>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</si>
  <si>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</si>
  <si>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</si>
  <si>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</si>
  <si>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</si>
  <si>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</si>
  <si>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</si>
  <si>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</si>
  <si>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</si>
  <si>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</si>
  <si>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</si>
  <si>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</si>
  <si>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</si>
  <si>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</si>
  <si>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</si>
  <si>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</si>
  <si>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</si>
  <si>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</si>
  <si>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</si>
  <si>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</si>
  <si>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</si>
  <si>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</si>
  <si>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</si>
  <si>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</si>
  <si>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</si>
  <si>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</si>
  <si>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</si>
  <si>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</si>
  <si>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</si>
  <si>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</si>
  <si>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</si>
  <si>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</si>
  <si>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</si>
  <si>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</si>
  <si>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</si>
  <si>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</si>
  <si>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</si>
  <si>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</si>
  <si>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</si>
  <si>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</si>
  <si>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</si>
  <si>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</si>
  <si>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</si>
  <si>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</si>
  <si>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</si>
  <si>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</si>
  <si>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</si>
  <si>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</si>
  <si>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</si>
  <si>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</si>
  <si>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</si>
  <si>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</si>
  <si>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</si>
  <si>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</si>
  <si>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</si>
  <si>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</si>
  <si>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</si>
  <si>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</si>
  <si>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</si>
  <si>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</si>
  <si>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</si>
  <si>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</si>
  <si>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</si>
  <si>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</si>
  <si>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</si>
  <si>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</si>
  <si>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</si>
  <si>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</si>
  <si>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</si>
  <si>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</si>
  <si>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</si>
  <si>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</si>
  <si>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</si>
  <si>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</si>
  <si>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</si>
  <si>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</si>
  <si>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</si>
  <si>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</si>
  <si>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</si>
  <si>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</si>
  <si>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</si>
  <si>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</si>
  <si>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</si>
  <si>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</si>
  <si>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</si>
  <si>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</si>
  <si>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</si>
  <si>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</si>
  <si>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</si>
  <si>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</si>
  <si>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</si>
  <si>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</si>
  <si>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</si>
  <si>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</si>
  <si>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</si>
  <si>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</si>
  <si>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</si>
  <si>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</si>
  <si>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</si>
  <si>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</si>
  <si>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</si>
  <si>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</si>
  <si>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</si>
  <si>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</si>
  <si>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</si>
  <si>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</si>
  <si>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</si>
  <si>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</si>
  <si>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</si>
  <si>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</si>
  <si>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</si>
  <si>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</si>
  <si>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</si>
  <si>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</si>
  <si>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</si>
  <si>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</si>
  <si>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</si>
  <si>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</si>
  <si>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</si>
  <si>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</si>
  <si>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</si>
  <si>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</si>
  <si>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</si>
  <si>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</si>
  <si>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</si>
  <si>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</si>
  <si>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</si>
  <si>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</si>
  <si>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</si>
  <si>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</si>
  <si>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</si>
  <si>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</si>
  <si>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</si>
  <si>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</si>
  <si>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</si>
  <si>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</si>
  <si>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</si>
  <si>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</si>
  <si>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</si>
  <si>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</si>
  <si>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</si>
  <si>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</si>
  <si>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</si>
  <si>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</si>
  <si>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</si>
  <si>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</si>
  <si>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</si>
  <si>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</si>
  <si>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</si>
  <si>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</si>
  <si>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</si>
  <si>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</si>
  <si>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</si>
  <si>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</si>
  <si>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</si>
  <si>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</si>
  <si>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</si>
  <si>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</si>
  <si>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</si>
  <si>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</si>
  <si>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</si>
  <si>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</si>
  <si>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</si>
  <si>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</si>
  <si>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</si>
  <si>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</si>
  <si>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</si>
  <si>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</si>
  <si>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</si>
  <si>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</si>
  <si>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</si>
  <si>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</si>
  <si>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</si>
  <si>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</si>
  <si>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</si>
  <si>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</si>
  <si>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</si>
  <si>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</si>
  <si>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</si>
  <si>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</si>
  <si>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</si>
  <si>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</si>
  <si>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</si>
  <si>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</si>
  <si>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</si>
  <si>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</si>
  <si>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</si>
  <si>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</si>
  <si>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</si>
  <si>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</si>
  <si>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</si>
  <si>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</si>
  <si>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</si>
  <si>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</si>
  <si>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</si>
  <si>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</si>
  <si>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</si>
  <si>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</si>
  <si>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</si>
  <si>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</si>
  <si>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</si>
  <si>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</si>
  <si>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</si>
  <si>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</si>
  <si>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</si>
  <si>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</si>
  <si>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</si>
  <si>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</si>
  <si>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</si>
  <si>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</si>
  <si>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</si>
  <si>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</si>
  <si>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</si>
  <si>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</si>
  <si>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</si>
  <si>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</si>
  <si>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</si>
  <si>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</si>
  <si>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</si>
  <si>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</si>
  <si>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</si>
  <si>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</si>
  <si>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F2321LON</t>
  </si>
  <si>
    <t>F3321LON</t>
  </si>
  <si>
    <t>F4321LON</t>
  </si>
  <si>
    <t>F1169FAW</t>
  </si>
  <si>
    <t>F2169FAW</t>
  </si>
  <si>
    <t>F1171FAW</t>
  </si>
  <si>
    <t>F2171FAW</t>
  </si>
  <si>
    <t>F3171FAW</t>
  </si>
  <si>
    <t>F2163FRA</t>
  </si>
  <si>
    <t>F3163FRA</t>
  </si>
  <si>
    <t>F4163FRA</t>
  </si>
  <si>
    <t>SHOP196KIN</t>
  </si>
  <si>
    <t>196AKIN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</si>
  <si>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</si>
  <si>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</si>
  <si>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</si>
  <si>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</si>
  <si>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</si>
  <si>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</si>
  <si>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</si>
  <si>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</si>
  <si>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</si>
  <si>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</si>
  <si>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</si>
  <si>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</si>
  <si>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</si>
  <si>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</si>
  <si>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</si>
  <si>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</si>
  <si>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</si>
  <si>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</si>
  <si>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</si>
  <si>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</si>
  <si>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</si>
  <si>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</si>
  <si>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</si>
  <si>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</si>
  <si>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</si>
  <si>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</si>
  <si>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</si>
  <si>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</si>
  <si>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</si>
  <si>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</si>
  <si>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</si>
  <si>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</si>
  <si>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</si>
  <si>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</si>
  <si>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</si>
  <si>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</si>
  <si>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</si>
  <si>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</si>
  <si>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</si>
  <si>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</si>
  <si>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</si>
  <si>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</si>
  <si>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</si>
  <si>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</si>
  <si>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</si>
  <si>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</si>
  <si>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</si>
  <si>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</si>
  <si>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</si>
  <si>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</si>
  <si>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</si>
  <si>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</si>
  <si>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</si>
  <si>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</si>
  <si>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</si>
  <si>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</si>
  <si>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</si>
  <si>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</si>
  <si>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</si>
  <si>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</si>
  <si>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</si>
  <si>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</si>
  <si>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</si>
  <si>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</si>
  <si>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</si>
  <si>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</si>
  <si>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</si>
  <si>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</si>
  <si>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</si>
  <si>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</si>
  <si>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</si>
  <si>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</si>
  <si>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</si>
  <si>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</si>
  <si>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</si>
  <si>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</si>
  <si>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</si>
  <si>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</si>
  <si>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</si>
  <si>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</si>
  <si>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</si>
  <si>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</si>
  <si>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</si>
  <si>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</si>
  <si>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</si>
  <si>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</si>
  <si>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</si>
  <si>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</si>
  <si>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</si>
  <si>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</si>
  <si>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</si>
  <si>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</si>
  <si>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</si>
  <si>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</si>
  <si>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</si>
  <si>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</si>
  <si>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</si>
  <si>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</si>
  <si>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</si>
  <si>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</si>
  <si>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</si>
  <si>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</si>
  <si>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</si>
  <si>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</si>
  <si>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</si>
  <si>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</si>
  <si>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</si>
  <si>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</si>
  <si>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</si>
  <si>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</si>
  <si>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</si>
  <si>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</si>
  <si>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</si>
  <si>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J Flegg (23/04/2013 - present)</t>
  </si>
  <si>
    <t>Mr Jason Passmore (19/09/2016 - present)</t>
  </si>
  <si>
    <t>Mr Lewis (03/04/2013 - present)</t>
  </si>
  <si>
    <t>Michala Mason (30/11/2016 - present)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</si>
  <si>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</si>
  <si>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</si>
  <si>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</si>
  <si>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</si>
  <si>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</si>
  <si>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Add underpayment DEC, JAN, FEB</t>
  </si>
  <si>
    <t>Less 65% Luis car MAY-DEC</t>
  </si>
  <si>
    <t>EPC -  Survey &amp; EPC  - Flat 1, 321 London Road, Portsmouth</t>
  </si>
  <si>
    <t>Supplier</t>
  </si>
  <si>
    <t>SA467</t>
  </si>
  <si>
    <t>Monthly communal clean for February  - FAC Contract Cleaning LTD - Flat 1, 321 London Road, Portsmouth</t>
  </si>
  <si>
    <t>Rent for period 23/02/2017 - 22/03/2017 from Mr David Connor - Flat 1, 321 London Road, Portsmouth</t>
  </si>
  <si>
    <t>Management Fee at 6% - Flat 1, 321 London Road, Portsmouth</t>
  </si>
  <si>
    <t>Invoice</t>
  </si>
  <si>
    <t>Amount payable to Mr Mathew Tucker - Flat 1, 321 London Road, Portsmouth</t>
  </si>
  <si>
    <t>Statement</t>
  </si>
  <si>
    <t>Rent for period 23/03/2017 - 22/04/2017 from Mr David Connor - Flat 1, 321 London Road, Portsmouth</t>
  </si>
  <si>
    <t>EPC -  Survey &amp; EPC  - Flat 2, 321 London Road, Portsmouth</t>
  </si>
  <si>
    <t>SA468</t>
  </si>
  <si>
    <t>Rent for period 23/01/2017 - 22/02/2017 from Ms Sharon Briscoe - Flat 2, 321 London Road, Portsmouth</t>
  </si>
  <si>
    <t>Management Fee at 6% - Flat 2, 321 London Road, Portsmouth</t>
  </si>
  <si>
    <t>Rent for period 23/02/2017 - 22/03/2017 from Ms Sharon Briscoe - Flat 2, 321 London Road, Portsmouth</t>
  </si>
  <si>
    <t>Amount payable to Mr Mathew Tucker - Flat 2, 321 London Road, Portsmouth</t>
  </si>
  <si>
    <t>Rent for period 23/03/2017 - 22/04/2017 from Ms Sharon Briscoe - Flat 2, 321 London Road, Portsmouth</t>
  </si>
  <si>
    <t>Rent for period 03/03/2017 - 02/04/2017 from Mr Joshua Brown - Flat 3, 321 London Road, Portsmouth</t>
  </si>
  <si>
    <t>Management Fee at 6% - Flat 3, 321 London Road, Portsmouth</t>
  </si>
  <si>
    <t>Amount payable to Mr Mathew Tucker - Flat 3, 321 London Road, Portsmouth</t>
  </si>
  <si>
    <t>Rent for period 26/02/2017 - 25/03/2017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</si>
  <si>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</si>
  <si>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</si>
  <si>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26/03/2017 - 25/04/2017 from Miss Carol Carrington - Flat 4, 321 London Road, Portsmouth</t>
  </si>
  <si>
    <t>Rent for period 06/02/2017 - 05/03/2017 from Ms Susan Parkinson - Flat 1, 169 Fawcett Road, Southsea</t>
  </si>
  <si>
    <t>Management Fee at 6% - Flat 1, 169 Fawcett Road, Southsea</t>
  </si>
  <si>
    <t>Rent for period 06/03/2017 - 05/04/2017 from Ms Susan Parkinson - Flat 1, 169 Fawcett Road, Southsea</t>
  </si>
  <si>
    <t>Amount payable to Mr Mathew Tucker - Flat 1, 169 Fawcett Road, Southsea</t>
  </si>
  <si>
    <t>Rent for period 11/03/2017 - 10/04/2017 from Mr Lee Knowles - Flat 2, 169 Fawcett Road, Southsea</t>
  </si>
  <si>
    <t>Management Fee at 6% - Flat 2, 169 Fawcett Road, Southsea</t>
  </si>
  <si>
    <t>Rent for period 11/02/2017 - 10/03/2017 from Mr Lee Knowles - Flat 2, 169 Fawcett Road, Southsea</t>
  </si>
  <si>
    <t>Amount payable to Mr Mathew Tucker - Flat 2, 169 Fawcett Road, Southsea</t>
  </si>
  <si>
    <t>Rent for period 15/02/2017 - 14/03/2017 from Mr Graham Robinson - Flat 3, 169 Fawcett Road, Southsea</t>
  </si>
  <si>
    <t>Management Fee at 6% - Flat 3, 169 Fawcett Road, Southsea</t>
  </si>
  <si>
    <t>Rent for period 15/01/2017 - 14/02/2017 from Mr Graham Robinson - Flat 3, 169 Fawcett Road, Southsea</t>
  </si>
  <si>
    <t>Amount payable to Mr Mathew Tucker - Flat 3, 169 Fawcett Road, Southsea</t>
  </si>
  <si>
    <t>Rent for period 15/03/2017 - 14/04/2017 from Mr Graham Robinson - Flat 3, 169 Fawcett Road, Southsea</t>
  </si>
  <si>
    <t>EPC -  Survey &amp; EPC  - Flat 1, 171 Fawcett Road, Southsea</t>
  </si>
  <si>
    <t>SA466</t>
  </si>
  <si>
    <t>Rent for period 06/03/2017 - 05/04/2017 from Ms Kirstine Aldridge - Flat 1, 171 Fawcett Road, Southsea</t>
  </si>
  <si>
    <t>Management Fee at 6% - Flat 1, 171 Fawcett Road, Southsea</t>
  </si>
  <si>
    <t>Amount payable to Mr Mathew Tucker - Flat 1, 171 Fawcett Road, Southsea</t>
  </si>
  <si>
    <t>Rent for period 02/02/2017 - 01/03/2017 from Mr Michael Pedace - Flat 2, 171 Fawcett Road, Southsea</t>
  </si>
  <si>
    <t>Management Fee at 6% - Flat 2, 171 Fawcett Road, Southsea</t>
  </si>
  <si>
    <t>Rent for period 02/03/2017 - 01/04/2017 from Mr Michael Pedace - Flat 2, 171 Fawcett Road, Southsea</t>
  </si>
  <si>
    <t>Amount payable to Mr Mathew Tucker - Flat 2, 171 Fawcett Road, Southsea</t>
  </si>
  <si>
    <t>Washing machine not working  - Kingston Domestics - Flat 2, 171 Fawcett Road, Southsea</t>
  </si>
  <si>
    <t>various mid term - SC Property Maintenance - Flat 3, 171 Fawcett Road, Southsea</t>
  </si>
  <si>
    <t>Rent for period 09/03/2017 - 08/04/2017 from Mr Nick Olsen - Flat 3, 171 Fawcett Road, Southsea</t>
  </si>
  <si>
    <t>Management Fee at 6% - Flat 3, 171 Fawcett Road, Southsea</t>
  </si>
  <si>
    <t>Amount payable to Ms Ivana Valentino - Flat 3, 171 Fawcett Road, Southsea</t>
  </si>
  <si>
    <t>Electrical Bill -  - Flat 2, 163 Fratton Road, Portsmouth</t>
  </si>
  <si>
    <t>Rent for period 15/03/2017 - 14/04/2017 from Mr Peter Grant - Flat 2, 163 Fratton Road, Portsmouth</t>
  </si>
  <si>
    <t>Management Fee at 6% - Flat 2, 163 Fratton Road, Portsmouth</t>
  </si>
  <si>
    <t>Rent for period 15/02/2017 - 14/03/2017 from Mr Peter Grant - Flat 2, 163 Fratton Road, Portsmouth</t>
  </si>
  <si>
    <t>Amount payable to Mr Mathew Tucker - Flat 2, 163 Fratton Road, Portsmouth</t>
  </si>
  <si>
    <t>Rent for period 14/03/2017 - 13/04/2017 from Mr Martin Brett - Flat 3, 163 Fratton Road, Portsmouth</t>
  </si>
  <si>
    <t>Management Fee at 6% - Flat 3, 163 Fratton Road, Portsmouth</t>
  </si>
  <si>
    <t>Rent for period 14/02/2017 - 13/03/2017 from Mr Martin Brett - Flat 3, 163 Fratton Road, Portsmouth</t>
  </si>
  <si>
    <t>Amount payable to Mr Mathew Tucker - Flat 3, 163 Fratton Road, Portsmouth</t>
  </si>
  <si>
    <t>Fault on RCD Socket - Express Electrical - Flat 4, 163 Fratton Road, Portsmouth</t>
  </si>
  <si>
    <t>Rent for period 17/02/2017 - 16/03/2017 from Mr Nicholas Wright - Flat 4, 163 Fratton Road, Portsmouth</t>
  </si>
  <si>
    <t>Management Fee at 6% - Flat 4, 163 Fratton Road, Portsmouth</t>
  </si>
  <si>
    <t>Rent for period 17/03/2017 - 16/04/2017 from Mr Nicholas Wright - Flat 4, 163 Fratton Road, Portsmouth</t>
  </si>
  <si>
    <t>Amount payable to Mr Mathew Tucker - Flat 4, 163 Fratton Road, Portsmouth</t>
  </si>
  <si>
    <t>Rent for period 11/03/2017 - 10/04/2017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</si>
  <si>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</si>
  <si>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</si>
  <si>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01/03/2017 - 31/03/2017 from Ms Joyce Henson - 196a Kingston Road, Portsmouth</t>
  </si>
  <si>
    <t>Management Fee at 6% - 196a Kingston Road, Portsmouth</t>
  </si>
  <si>
    <t>Amount payable to Mr Mathew Tucker - 196a Kingston Road, Portsmouth</t>
  </si>
  <si>
    <t>Landlord Gas Safety - Beals Plumbing - 196a Kingston Road, Portsmouth</t>
  </si>
  <si>
    <t>PL2048</t>
  </si>
  <si>
    <t>Rent for period 14/03/2017 - 13/04/2017 from Mr John Sharpe - 196b Kingston Road, Portsmouth</t>
  </si>
  <si>
    <t>Management Fee at 6% - 196b Kingston Road, Portsmouth</t>
  </si>
  <si>
    <t>Amount payable to Ms Ivana Valentino - 196b Kingston Road, Portsmouth</t>
  </si>
  <si>
    <t>Communal Cleaning - Dab Hand Cleaning - 23b Hampshire Terrace, Portsmouth</t>
  </si>
  <si>
    <t>Rent for period 14/03/2017 - 13/04/2017 from Miss Syasya Aristoteies - 23b Hampshire Terrace, Portsmouth</t>
  </si>
  <si>
    <t>Management Fee at 6% - 23b Hampshire Terrace, Portsmouth</t>
  </si>
  <si>
    <t>Amount payable to Mr Mathew Tucker - 23b Hampshire Terrace, Portsmouth</t>
  </si>
  <si>
    <t>Light Switch - Express Electrical - 23b Hampshire Terrace, Portsmouth</t>
  </si>
  <si>
    <t>washing machine - SJP Domestics - 23b Hampshire Terrace, Portsmouth</t>
  </si>
  <si>
    <t>Rent for period 14/03/2017 - 13/04/2017 from Miss Sandra Namataka - 23c Hampshire Terrace, Portsmouth</t>
  </si>
  <si>
    <t>Management Fee at 6% - 23c Hampshire Terrace, Portsmouth</t>
  </si>
  <si>
    <t>Amount payable to Ms Ivana Valentino - 23c Hampshire Terrace, Portsmouth</t>
  </si>
  <si>
    <t>Rent for period 14/03/2017 - 13/04/2017 from Ms Sharon Smith - Flat 5, 8 Alhambra Road, Southsea</t>
  </si>
  <si>
    <t>Management Fee at 6% - Flat 5, 8 Alhambra Road, Southsea</t>
  </si>
  <si>
    <t>Amount payable to Mr Mathew Tucker - Flat 5, 8 Alhambra Road, Southsea</t>
  </si>
  <si>
    <t>EPC  -  Survey &amp; EPC  - Flat 6, 8 Alhambra Road, Southsea</t>
  </si>
  <si>
    <t>SA463</t>
  </si>
  <si>
    <t>Rent for period 08/03/2017 - 07/04/2017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</si>
  <si>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</si>
  <si>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</si>
  <si>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05/03/2017 - 04/04/2017 from Miss Francis Brooker - Flat 7, 8 Alhambra Road, Southsea</t>
  </si>
  <si>
    <t>Management Fee at 6% - Flat 7, 8 Alhambra Road, Southsea</t>
  </si>
  <si>
    <t>Amount payable to Ms Ivana Valentino - Flat 7, 8 Alhambra Road, Southsea</t>
  </si>
  <si>
    <t>Rent for period 26/02/2017 - 25/03/2017 from Ms Lisa Pegg - Flat 8, 8 Alhambra Road, Southsea</t>
  </si>
  <si>
    <t>Management Fee at 6% - Flat 8, 8 Alhambra Road, Southsea</t>
  </si>
  <si>
    <t>Amount payable to Ms Ivana Valentino - Flat 8, 8 Alhambra Road, Southsea</t>
  </si>
  <si>
    <t>Rent for period 26/03/2017 - 25/04/2017 from Ms Lisa Pegg - Flat 8, 8 Alhambra Road, Southsea</t>
  </si>
  <si>
    <t>EPC -  Survey &amp; EPC  - Flat 17, 4-6 Alhambra Road, Southsea</t>
  </si>
  <si>
    <t>SA464</t>
  </si>
  <si>
    <t>Rent for period 10/03/2017 - 09/04/2017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</si>
  <si>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</si>
  <si>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</si>
  <si>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26/02/2017 - 25/03/2017 from Mrs Dionne McLaughlin - Flat 18, 4-6 Alhambra Road, Southsea</t>
  </si>
  <si>
    <t>Management Fee at 6% - Flat 18, 4-6 Alhambra Road, Southsea</t>
  </si>
  <si>
    <t>Amount payable to Mr Mathew Tucker - Flat 18, 4-6 Alhambra Road, Southsea</t>
  </si>
  <si>
    <t>Rent for period 26/03/2017 - 25/04/2017 from Mrs Dionne McLaughlin - Flat 18, 4-6 Alhambra Road, Southsea</t>
  </si>
  <si>
    <t>Rent for period 20/03/2017 - 19/04/2017 from Miss Sinead OBrien - Flat 19, 4-6 Alhambra Road, Southsea</t>
  </si>
  <si>
    <t>Management Fee at 6% - Flat 19, 4-6 Alhambra Road, Southsea</t>
  </si>
  <si>
    <t>Rent for period 20/02/2017 - 19/03/2017 from Miss Sinead OBrien - Flat 19, 4-6 Alhambra Road, Southsea</t>
  </si>
  <si>
    <t>Amount payable to Mr Mathew Tucker - Flat 19, 4-6 Alhambra Road, Southsea</t>
  </si>
  <si>
    <t>Heating - Express Electrical - Flat 20, 4-6 Alhambra Road, Southsea</t>
  </si>
  <si>
    <t>Rent for period 16/02/2017 - 15/03/2017 from Miss Ausra Baziukiene - Flat 20, 4-6 Alhambra Road, Southsea</t>
  </si>
  <si>
    <t>Management Fee at 6% - Flat 20, 4-6 Alhambra Road, Southsea</t>
  </si>
  <si>
    <t>Amount payable to Mr Mathew Tucker - Flat 20, 4-6 Alhambra Road, Southsea</t>
  </si>
  <si>
    <t>EPC -  Survey &amp; EPC  - Flat 21, 4-6 Alhambra Road, Southsea</t>
  </si>
  <si>
    <t>SA469</t>
  </si>
  <si>
    <t>Rent for period 30/03/2017 - 29/04/2017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</si>
  <si>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</si>
  <si>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</si>
  <si>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06/02/2017 - 05/03/2017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</si>
  <si>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</si>
  <si>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</si>
  <si>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Rent for period 06/03/2017 - 05/04/2017 from Ms Sally Taylor - Flat 22, 4-6 Alhambra Road, Southsea</t>
  </si>
  <si>
    <t>Rent for period 10/02/2017 - 09/03/2017 from Ms Stephanie Ryan - Flat 23, 4-6 Alhambra Road, Southsea</t>
  </si>
  <si>
    <t>Management Fee at 6% - Flat 23, 4-6 Alhambra Road, Southsea</t>
  </si>
  <si>
    <t>Amount payable to Ms Ivana Valentino - Flat 23, 4-6 Alhambra Road, Southsea</t>
  </si>
  <si>
    <t>Rent for period 10/03/2017 - 09/04/2017 from Ms Stephanie Ryan - Flat 23, 4-6 Alhambra Road, Southsea</t>
  </si>
  <si>
    <t>Rent for period 08/03/2017 - 07/04/2017 from Mr Matt Tudor - Flat 3, 12-14 Alhambra Road, Southsea</t>
  </si>
  <si>
    <t>Management Fee at 6% - Flat 3, 12-14 Alhambra Road, Southsea</t>
  </si>
  <si>
    <t>Amount payable to Ms Ivana Valentino - Flat 3, 12-14 Alhambra Road, Southsea</t>
  </si>
  <si>
    <t>Rent for period 23/02/2017 - 22/03/2017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</si>
  <si>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</si>
  <si>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</si>
  <si>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23/03/2017 - 22/04/2017 from Mr Michael Valverde - Flat 5, 12-14 Alhambra Road, Southsea</t>
  </si>
  <si>
    <t>EPC for Flat 4 12-14 Alhambra -  Survey &amp; EPC  - Flat 7, 12-14 Alhambra Road, Southsea</t>
  </si>
  <si>
    <t>SA465</t>
  </si>
  <si>
    <t>Rent for period 14/03/2017 - 13/04/2017 from Mr Aleksandra Raadzevics - Flat 7, 12-14 Alhambra Road, Southsea</t>
  </si>
  <si>
    <t>Management Fee at 6% - Flat 7, 12-14 Alhambra Road, Southsea</t>
  </si>
  <si>
    <t>Rent for period 14/02/2017 - 13/03/2017 from Mr Aleksandra Raadzevics - Flat 7, 12-14 Alhambra Road, Southsea</t>
  </si>
  <si>
    <t>Amount payable to Mr Mathew Tucker - Flat 7, 12-14 Alhambra Road, Southsea</t>
  </si>
  <si>
    <t>Rent for period 20/02/2017 - 19/03/2017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</si>
  <si>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</si>
  <si>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</si>
  <si>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20/03/2017 - 19/04/2017 from Mr Andrew England - Flat 10, 12-14 Alhambra Road, Southsea</t>
  </si>
  <si>
    <t>roof leak/not hot water/yale lock broken - S Underwood Property Maintenance LTD - Flat 11, 12-14 Alhambra Road, Southsea</t>
  </si>
  <si>
    <t>Rent for period 19/03/2017 - 18/04/2017 from Mr Peter Oakwell - Flat 11, 12-14 Alhambra Road, Southsea</t>
  </si>
  <si>
    <t>Management Fee at 6% - Flat 11, 12-14 Alhambra Road, Southsea</t>
  </si>
  <si>
    <t>Rent for period 19/02/2017 - 18/03/2017 from Mr Peter Oakwell - Flat 11, 12-14 Alhambra Road, Southsea</t>
  </si>
  <si>
    <t>Amount payable to Ms Ivana Valentino - Flat 11, 12-14 Alhambra Road, Southsea</t>
  </si>
  <si>
    <t>Rent for period 06/03/2017 - 05/04/2017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</si>
  <si>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</si>
  <si>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</si>
  <si>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Lock Change for Flat 4 12-14 Alhambra Rd - Baffins Locksmiths - Flat 14, 12-14 Alhambra Road, Southsea</t>
  </si>
  <si>
    <t>EPC -  Survey &amp; EPC  - Flat 16, 12-14 Alhambra Road, Southsea</t>
  </si>
  <si>
    <t>SA470</t>
  </si>
  <si>
    <t>Rent for period 19/02/2017 - 18/03/2017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</si>
  <si>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</si>
  <si>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</si>
  <si>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05/03/2017 - 04/04/2017 from Mr Kit Conrad - Flat 1, 16-18 Alhambra Road, Southsea</t>
  </si>
  <si>
    <t>Management Fee at 6% - Flat 1, 16-18 Alhambra Road, Southsea</t>
  </si>
  <si>
    <t>Amount payable to Mr Mathew Tucker - Flat 1, 16-18 Alhambra Road, Southsea</t>
  </si>
  <si>
    <t>Supply and fit 1x dual alarm - Beals Property Management - Flat 1, 16-18 Alhambra Road, Southsea</t>
  </si>
  <si>
    <t>PM0410</t>
  </si>
  <si>
    <t>Rent for period 21/02/2017 - 20/03/2017 from Ms Cherub Stark - Flat 3, 16-18 Alhambra Road, Southsea</t>
  </si>
  <si>
    <t>Management Fee at 6% - Flat 3, 16-18 Alhambra Road, Southsea</t>
  </si>
  <si>
    <t>Amount payable to Ms Ivana Valentino - Flat 3, 16-18 Alhambra Road, Southsea</t>
  </si>
  <si>
    <t>Rent for period 21/03/2017 - 20/04/2017 from Ms Cherub Stark - Flat 3, 16-18 Alhambra Road, Southsea</t>
  </si>
  <si>
    <t>Rent for period 12/02/2017 - 11/03/2017 from Mr Peter Taperek - Flat 6, 16-18 Alhambra Road, Southsea</t>
  </si>
  <si>
    <t>Management Fee at 6% - Flat 6, 16-18 Alhambra Road, Southsea</t>
  </si>
  <si>
    <t>Rent for period 12/03/2017 - 11/04/2017 from Mr Peter Taperek - Flat 6, 16-18 Alhambra Road, Southsea</t>
  </si>
  <si>
    <t>Amount payable to Mr Mathew Tucker - Flat 6, 16-18 Alhambra Road, Southsea</t>
  </si>
  <si>
    <t>Rent for period 08/02/2017 - 07/03/2017 from Mr Alan Young - Flat 7, 16-18 Alhambra Road, Southsea</t>
  </si>
  <si>
    <t>Management Fee at 6% - Flat 7, 16-18 Alhambra Road, Southsea</t>
  </si>
  <si>
    <t>Rent for period 08/03/2017 - 07/04/2017 from Mr Alan Young - Flat 7, 16-18 Alhambra Road, Southsea</t>
  </si>
  <si>
    <t>Amount payable to Ms Ivana Valentino - Flat 7, 16-18 Alhambra Road, Southsea</t>
  </si>
  <si>
    <t>Rent for period 23/02/2017 - 22/03/2017 from Ms Janet Flegg - Flat 11, 16-18 Alhambra Road, Southsea</t>
  </si>
  <si>
    <t>Management Fee at 6% - Flat 11, 16-18 Alhambra Road, Southsea</t>
  </si>
  <si>
    <t>Amount payable to Mr Mathew Tucker - Flat 11, 16-18 Alhambra Road, Southsea</t>
  </si>
  <si>
    <t>EPC -  Survey &amp; EPC  - Flat 12, 16-18 Alhambra Road, Southsea</t>
  </si>
  <si>
    <t>SA471</t>
  </si>
  <si>
    <t>Rent for period 19/03/2017 - 18/04/2017 from Mr Jason Passmore - Flat 12, 16-18 Alhambra Road, Southsea</t>
  </si>
  <si>
    <t>Management Fee at 6% - Flat 12, 16-18 Alhambra Road, Southsea</t>
  </si>
  <si>
    <t>Rent for period 19/02/2017 - 18/03/2017 from Mr Jason Passmore - Flat 12, 16-18 Alhambra Road, Southsea</t>
  </si>
  <si>
    <t>Amount payable to Ms Ivana Valentino - Flat 12, 16-18 Alhambra Road, Southsea</t>
  </si>
  <si>
    <t>Rent for period 03/03/2017 - 02/04/2017 from Mr Andrew Lewis - Flat 13, 16-18 Alhambra Road, Southsea</t>
  </si>
  <si>
    <t>Management Fee at 6% - Flat 13, 16-18 Alhambra Road, Southsea</t>
  </si>
  <si>
    <t>Rent for period 03/02/2017 - 02/03/2017 from Mr Andrew Lewis - Flat 13, 16-18 Alhambra Road, Southsea</t>
  </si>
  <si>
    <t>Amount payable to Mr Mathew Tucker - Flat 13, 16-18 Alhambra Road, Southsea</t>
  </si>
  <si>
    <t>Supply and fit 1x dual alarm - Beals Property Management - Flat 13, 16-18 Alhambra Road, Southsea</t>
  </si>
  <si>
    <t>PM0411</t>
  </si>
  <si>
    <t>EPC -  Survey &amp; EPC  - Flat 16, 16-18 Alhambra Road, Southsea</t>
  </si>
  <si>
    <t>SA472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</si>
  <si>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</si>
  <si>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</si>
  <si>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</si>
  <si>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 xml:space="preserve"> 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</si>
  <si>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</si>
  <si>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</si>
  <si>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</si>
  <si>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</si>
  <si>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</si>
  <si>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</si>
  <si>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</si>
  <si>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</si>
  <si>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</si>
  <si>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</si>
  <si>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</si>
  <si>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</si>
  <si>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</si>
  <si>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</si>
  <si>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</si>
  <si>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</si>
  <si>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</si>
  <si>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</si>
  <si>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MORTGAGE EXPRESS      2016485130021976   DDR</t>
  </si>
  <si>
    <t>MORTGAGE EXPRESS      2016485040021976   DDR</t>
  </si>
  <si>
    <t>MORTGAGE EXPRESS      2007545250021976   DDR</t>
  </si>
  <si>
    <t>MORTGAGE EXPRESS      2007107760021976   DDR</t>
  </si>
  <si>
    <t>MORTGAGE EXPRESS      2007093450021976   DDR</t>
  </si>
  <si>
    <t>MORTGAGE EXPRESS      2007093360021976   DDR</t>
  </si>
  <si>
    <t>MORTGAGE EXPRESS      2006372640021976   DDR</t>
  </si>
  <si>
    <t>MORTGAGE EXPRESS      0019966240021976   DDR</t>
  </si>
  <si>
    <t>MORTGAGE EXPRESS      0018724700021976   DDR</t>
  </si>
  <si>
    <t>MORTGAGE EXPRESS      0017031550021976   DDR</t>
  </si>
  <si>
    <t>MORTGAGE EXPRESS      0016470530021976   DDR</t>
  </si>
  <si>
    <t>MORTGAGE EXPRESS      0015866140021976   DDR</t>
  </si>
  <si>
    <t>EE &amp; T-MOBILE         Q13077400697648444 DDR</t>
  </si>
  <si>
    <t>PAYMENT</t>
  </si>
  <si>
    <t>M&amp;S SIMPLY FOOD       ON 03 MAR          CLP</t>
  </si>
  <si>
    <t>ABARBISTRO &amp; CAMBE    ON 03 MAR          CLP</t>
  </si>
  <si>
    <t>NEW COUNTY SERVICE    ON 03 MAR          CLP</t>
  </si>
  <si>
    <t>NEW COUNTY SERVICE    ON 03 MAR          BCC</t>
  </si>
  <si>
    <t>PORTSMOUTH CITY CO    ON 03 MAR          BCC</t>
  </si>
  <si>
    <t>BEALS ESTATE AGENT    196A KINGSTON ROAD BGC</t>
  </si>
  <si>
    <t>BEALS ESTATE AGENT    FLAT 3321 LONDON R BGC</t>
  </si>
  <si>
    <t>BP BEDFORD EXPRESS    ON 05 MAR          BCC</t>
  </si>
  <si>
    <t>BEALS ESTATE AGENT    FLAT 1171 FAWCETT  BGC</t>
  </si>
  <si>
    <t>BEALS ESTATE AGENT    FLAT 1412-14 ALHAM BGC</t>
  </si>
  <si>
    <t>HOMEBASE LTD 049      ON 07 MAR          BCC</t>
  </si>
  <si>
    <t>CARD FACTORY          ON 08 MAR          BCC</t>
  </si>
  <si>
    <t>UPT BEDFORD BOROUG    ON 08 MAR          BCC</t>
  </si>
  <si>
    <t>BHAM MIDSHIRES        020010556389/35299 DDR</t>
  </si>
  <si>
    <t>CASH</t>
  </si>
  <si>
    <t xml:space="preserve">CARDTRONICS UK LTD    BP - ELSTOW INTERC    </t>
  </si>
  <si>
    <t>PETER VARDY LAND R    ON 09 MAR          BCC</t>
  </si>
  <si>
    <t>INTERFLORA BRITISH    ON 09 MAR          BCC</t>
  </si>
  <si>
    <t>BHAM MIDSHIRES        020009309942/35735 DDR</t>
  </si>
  <si>
    <t>BP BEDFORD EXPRESS    ON 09 MAR          CLP</t>
  </si>
  <si>
    <t>NEW COUNTY SERVICE    ON 11 MAR          CLP</t>
  </si>
  <si>
    <t>CHAPERILL LTD         ON 10 MAR          BCC</t>
  </si>
  <si>
    <t>JS ONLINE GROCERY     ON 12 MAR          BCC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</si>
  <si>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</si>
  <si>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</si>
  <si>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</si>
  <si>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</si>
  <si>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</si>
  <si>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M Tucker              M TUCKER           BGC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</si>
  <si>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</si>
  <si>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</si>
  <si>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</si>
  <si>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</si>
  <si>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</si>
  <si>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616-18 ALHAMB BGC</t>
  </si>
  <si>
    <t>BEALS ESTATE AGENT    FLAT 174-6 ALHAMBR BGC</t>
  </si>
  <si>
    <t>BEALS ESTATE AGENT    FLAT 3163 FRATTON  BGC</t>
  </si>
  <si>
    <t>BEALS ESTATE AGENT    FLAT 712-14 ALHAMB BGC</t>
  </si>
  <si>
    <t>BEALS ESTATE AGENT    23B HAMPSHIRE TERR BGC</t>
  </si>
  <si>
    <t>BEALS ESTATE AGENT    FLAT 1012-14 ALHAM BGC</t>
  </si>
  <si>
    <t>BEALS ESTATE AGENT    FLAT 1116-18 ALHAM BGC</t>
  </si>
  <si>
    <t>BEALS ESTATE AGENT    FLAT 1321 LONDON R BGC</t>
  </si>
  <si>
    <t xml:space="preserve">FT </t>
  </si>
  <si>
    <t xml:space="preserve">PETER VARDY LANDRV    M TUCKER           FT </t>
  </si>
  <si>
    <t>HOMEBASE LTD 049      ON 15 MAR          BCC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</si>
  <si>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</si>
  <si>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</si>
  <si>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</si>
  <si>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</si>
  <si>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</si>
  <si>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</si>
  <si>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 xml:space="preserve">LINK                  BARTON LE CLAY        </t>
  </si>
  <si>
    <t>HASTINGS INSURANCE    ON 19 MAR          BCC</t>
  </si>
  <si>
    <t>NEW COUNTY SERVICE    ON 18 MAR          BCC</t>
  </si>
  <si>
    <t>THE SHUTTLEWORTH      ON 18 MAR          BCC</t>
  </si>
  <si>
    <t>BHAM MIDSHIRES        020003649652/41838 DDR</t>
  </si>
  <si>
    <t>BEALS ESTATE AGENT    FLAT 4163 FRATTON  BGC</t>
  </si>
  <si>
    <t xml:space="preserve">CD4U                  MTUCKER 26123      FT </t>
  </si>
  <si>
    <t xml:space="preserve">205330 30728691       MTUCKER JAN17      FT </t>
  </si>
  <si>
    <t xml:space="preserve">205330 30728691       MTUCKER FEB17      FT </t>
  </si>
  <si>
    <t>WARRANTY DIRECT       ON 20 MAR          BCC</t>
  </si>
  <si>
    <t>HOMEBASE LTD 049      ON 21 MAR          BCC</t>
  </si>
  <si>
    <t>BHAM MIDSHIRES        020007882432/46801 DDR</t>
  </si>
  <si>
    <t>CYCLEWORX             ON 23 MAR          BCC</t>
  </si>
  <si>
    <t>NEW COUNTY SERVICE    ON 23 MAR          BCC</t>
  </si>
  <si>
    <t>WWW.MOONPIG.COM LT    ON 22 MAR          BCC</t>
  </si>
  <si>
    <t>MONECOR (LONDON) L    ETX CAPITAL        BGC</t>
  </si>
  <si>
    <t>BEALS ESTATE AGENT    FLAT 204-6 ALHAMBR BGC</t>
  </si>
  <si>
    <t>ABARBISTRO &amp; CAMBE    ON 25 MAR          CLP</t>
  </si>
  <si>
    <t>MEAD OPEN FARM LTD    ON 26 MAR          CLP</t>
  </si>
  <si>
    <t xml:space="preserve">LINK                  BROADCUT              </t>
  </si>
  <si>
    <t>MEAD OPEN FARM LTD    ON 26 MAR          BCC</t>
  </si>
  <si>
    <t>NEW COUNTY SERVICE    ON 26 MAR          BCC</t>
  </si>
  <si>
    <t>G&amp;F VALENTINO         MTUCKER            STO</t>
  </si>
  <si>
    <t>BEALS ESTATE AGENT    F1 171 FAWCETT RD  BGC</t>
  </si>
  <si>
    <t>BHAM MIDSHIRES        020002731371/28015 DDR</t>
  </si>
  <si>
    <t>BCC</t>
  </si>
  <si>
    <t>AUTO NET INSURANCE    ON 27 MAR          BCC</t>
  </si>
  <si>
    <t>JS ONLINE GROCERY     ON 28 MAR          BCC</t>
  </si>
  <si>
    <t>MORTGAGE TRUST        002197389 10199520 DDR</t>
  </si>
  <si>
    <t>MORTGAGE TRUST        002186357 10199520 DDR</t>
  </si>
  <si>
    <t>MORTGAGE TRUST        002186356 10199520 DDR</t>
  </si>
  <si>
    <t>MORTGAGE TRUST        002186317 10199520 DDR</t>
  </si>
  <si>
    <t>EE &amp; T-MOBILE         Q13077400706145979 DDR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</si>
  <si>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</si>
  <si>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</si>
  <si>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</si>
  <si>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</si>
  <si>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</si>
  <si>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</si>
  <si>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</si>
  <si>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</si>
  <si>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</si>
  <si>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</si>
  <si>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MORTGAGE EXPRESS      2007093270021974   DDR</t>
  </si>
  <si>
    <t>PLATFORM FUNDING      01050229961090     DDR</t>
  </si>
  <si>
    <t>PLATFORM FUNDING      01050228964703     DDR</t>
  </si>
  <si>
    <t>THE HARPUR TRUST      TUCKM8  PVALA1     DDR</t>
  </si>
  <si>
    <t>THE HARPUR TRUST      TUCKM8  BVALR8     DDR</t>
  </si>
  <si>
    <t>THE HARPUR TRUST      TUCKMS  GVALS1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</si>
  <si>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</si>
  <si>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</si>
  <si>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</si>
  <si>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</si>
  <si>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BEALS ESTATE AGENT    FLAT 234-6 ALHAMBR BGC</t>
  </si>
  <si>
    <t>MORTGAGE EXPRESS      2016485220021976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</si>
  <si>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</si>
  <si>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</si>
  <si>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</si>
  <si>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</si>
  <si>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</si>
  <si>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</si>
  <si>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</si>
  <si>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EE &amp; T-MOBILE         Q20664165701179951 DDR</t>
  </si>
  <si>
    <t>BT GROUP PLC          GB14092007-000030  DDR</t>
  </si>
  <si>
    <t>MORTGAGE EXPRESS      2008784100021988   DDR</t>
  </si>
  <si>
    <t>MORTGAGE EXPRESS      2007664780021988   DDR</t>
  </si>
  <si>
    <t>MORTGAGE EXPRESS      2007545340021988   DDR</t>
  </si>
  <si>
    <t>MORTGAGE EXPRESS      2007544710021988   DDR</t>
  </si>
  <si>
    <t>MORTGAGE EXPRESS      2007107670021988   DDR</t>
  </si>
  <si>
    <t>MORTGAGE EXPRESS      2006332310021988   DDR</t>
  </si>
  <si>
    <t>MORTGAGE EXPRESS      2005787290021988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</si>
  <si>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</si>
  <si>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</si>
  <si>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</si>
  <si>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</si>
  <si>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</si>
  <si>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</si>
  <si>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</si>
  <si>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</si>
  <si>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</si>
  <si>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 xml:space="preserve">207409 60458872       MTUCKER JAN17      FT </t>
  </si>
  <si>
    <t xml:space="preserve">207409 60458872       MTUCKER FEB17      FT </t>
  </si>
  <si>
    <t>BEALS ESTATE AGENT    FLAT 1216-18 ALHAM BGC</t>
  </si>
  <si>
    <t>BEALS ESTATE AGENT    FLAT 1112-14 ALHAM BGC</t>
  </si>
  <si>
    <t>SKY DIGITAL           00620054164228     DDR</t>
  </si>
  <si>
    <t>MR MATTHEW STUART     207409 40406538    STO</t>
  </si>
  <si>
    <t>BOOTS REWARDSCHEME    A45028400000736    DDR</t>
  </si>
  <si>
    <t>20-74-09 40406538</t>
  </si>
  <si>
    <t>MARKS&amp;SPENCER PLC     ON 28 FEB          CLP</t>
  </si>
  <si>
    <t>TESCO STORE 2105      ON 28 FEB          CLP</t>
  </si>
  <si>
    <t>COSTA COFFEE          ON 28 FEB          CLP</t>
  </si>
  <si>
    <t>NARNIA FANCY DRESS    ON 28 FEB          CLP</t>
  </si>
  <si>
    <t>COSTA COFFEE 43035    ON 28 FEB          CLP</t>
  </si>
  <si>
    <t>TESCO PAY AT PUMP     ON 28 FEB          BCC</t>
  </si>
  <si>
    <t>H3G                   976046856201270217 DDR</t>
  </si>
  <si>
    <t>PRIMARK               ON 28 FEB          CLP</t>
  </si>
  <si>
    <t>Subway                ON 28 FEB          CLP</t>
  </si>
  <si>
    <t>SAINSBURY'S S/MKT     ON 01 MAR          BCC</t>
  </si>
  <si>
    <t>WM MORRISON STORE     ON 02 MAR          CLP</t>
  </si>
  <si>
    <t>TESCO STORE 2105      ON 02 MAR          CLP</t>
  </si>
  <si>
    <t>T K MAXX              ON 03 MAR          CLP</t>
  </si>
  <si>
    <t>BP BEDFORD EXPRESS    ON 04 MAR          CLP</t>
  </si>
  <si>
    <t>MARKS&amp;SPENCER PLC     ON 03 MAR          BCC</t>
  </si>
  <si>
    <t>BP MALTHURST CHILD    ON 04 MAR          BCC</t>
  </si>
  <si>
    <t>WIXAMS STORES LTD     ON 03 MAR          BCC</t>
  </si>
  <si>
    <t>43034375 COSTA COF    ON 06 MAR          CLP</t>
  </si>
  <si>
    <t>THORNTONS LTD         ON 06 MAR          CLP</t>
  </si>
  <si>
    <t>TESCO STORE 2105      ON 06 MAR          BCC</t>
  </si>
  <si>
    <t>BOUNCE                ON 04 MAR          BCC</t>
  </si>
  <si>
    <t>UPT BEDFORD BOROUG    ON 06 MAR          BCC</t>
  </si>
  <si>
    <t>MARKS&amp;SPENCER PLC     ON 07 MAR          CLP</t>
  </si>
  <si>
    <t>WH SMITH              ON 06 MAR          CLP</t>
  </si>
  <si>
    <t>WIXAMS STORES LTD     ON 07 MAR          CLP</t>
  </si>
  <si>
    <t>PRIMARK               ON 06 MAR          CLP</t>
  </si>
  <si>
    <t>SUBWAY                ON 07 MAR          CLP</t>
  </si>
  <si>
    <t>THE ART CENTRE        ON 07 MAR          BCC</t>
  </si>
  <si>
    <t>TESCO PAY AT PUMP     ON 07 MAR          BCC</t>
  </si>
  <si>
    <t>BP NEWHAM AVENUE C    ON 07 MAR          CLP</t>
  </si>
  <si>
    <t>WH SMITH              ON 08 MAR          CLP</t>
  </si>
  <si>
    <t>BP BEDFORD EXPRESS    ON 08 MAR          CLP</t>
  </si>
  <si>
    <t>COSTA COFFEE          ON 09 MAR          CLP</t>
  </si>
  <si>
    <t>MARKS&amp;SPENCER PLC     ON 09 MAR          CLP</t>
  </si>
  <si>
    <t>BP NEWHAM AVENUE C    ON 08 MAR          CLP</t>
  </si>
  <si>
    <t xml:space="preserve">TESCO                 TESCO BE BR DR EXP    </t>
  </si>
  <si>
    <t>BOOTS 6407            ON 09 MAR          BCC</t>
  </si>
  <si>
    <t>BP NEWHAM AVENUE C    ON 10 MAR          CLP</t>
  </si>
  <si>
    <t>LAKESIDE FISH AND     ON 10 MAR          CLP</t>
  </si>
  <si>
    <t>TESCO STORES 6579     ON 10 MAR          CLP</t>
  </si>
  <si>
    <t>MKC PARKING RINGGO    ON 10 MAR          BCC</t>
  </si>
  <si>
    <t xml:space="preserve">ITUNES.COM/BILL       IRELAND               </t>
  </si>
  <si>
    <t>T K MAXX              ON 13 MAR          BCC</t>
  </si>
  <si>
    <t>BP NEWHAM AVENUE C    ON 13 MAR          CLP</t>
  </si>
  <si>
    <t>MARKS&amp;SPENCER PLC     ON 14 MAR          CLP</t>
  </si>
  <si>
    <t>TAXI FARE BY VERIF    ON 14 MAR          CLP</t>
  </si>
  <si>
    <t>STARBUCKS             ON 14 MAR          CLP</t>
  </si>
  <si>
    <t>CRAVIN                ON 14 MAR          CLP</t>
  </si>
  <si>
    <t>BP BEDFORD EXPRESS    ON 13 MAR          BCC</t>
  </si>
  <si>
    <t>RINGGO                ON 14 MAR          BCC</t>
  </si>
  <si>
    <t xml:space="preserve">205330 30728691       MOBILE-CHANNEL     FT </t>
  </si>
  <si>
    <t>MERCEDES-BENZ CARS    0376305421         DDR</t>
  </si>
  <si>
    <t>WM MORRISON STORE     ON 16 MAR          CLP</t>
  </si>
  <si>
    <t>BP NEWHAM AVENUE C    ON 15 MAR          CLP</t>
  </si>
  <si>
    <t>MCDONALDS             ON 16 MAR          CLP</t>
  </si>
  <si>
    <t>COSTA COFFEE 43035    ON 16 MAR          CLP</t>
  </si>
  <si>
    <t>MERCEDES BENZ B/SH    ON 16 MAR          BCC</t>
  </si>
  <si>
    <t>NEXT RETAIL LTD       ON 16 MAR          BCC</t>
  </si>
  <si>
    <t>T K MAXX              ON 17 MAR          BCC</t>
  </si>
  <si>
    <t>WM MORRISON PLC       ON 18 MAR          BCC</t>
  </si>
  <si>
    <t>MARKS&amp;SPENCER PLC     ON 17 MAR          BCC</t>
  </si>
  <si>
    <t>MARKS&amp;SPENCER PLC     ON 20 MAR          CLP</t>
  </si>
  <si>
    <t>BP BEDFORD EXPRESS    ON 20 MAR          CLP</t>
  </si>
  <si>
    <t>MARKS&amp;SPENCER PLC     ON 21 MAR          BCC</t>
  </si>
  <si>
    <t>TESCO STORE 2105      ON 22 MAR          CLP</t>
  </si>
  <si>
    <t>BP BEDFORD EXPRESS    ON 21 MAR          CLP</t>
  </si>
  <si>
    <t>FROSTS AT WILLINGT    ON 22 MAR          CLP</t>
  </si>
  <si>
    <t>NEW COUNTY SERVICE    ON 22 MAR          BCC</t>
  </si>
  <si>
    <t>FROSTS AT WILLINGT    ON 22 MAR          BCC</t>
  </si>
  <si>
    <t>T K MAXX              ON 23 MAR          CLP</t>
  </si>
  <si>
    <t>BP BEDFORD EXPRESS    ON 22 MAR          CLP</t>
  </si>
  <si>
    <t>TUCK&amp;VALEN HSE%0 P    207409 40406538    STO</t>
  </si>
  <si>
    <t>CO-OP GROUP 310244    ON 26 MAR          CLP</t>
  </si>
  <si>
    <t>MCDONALDS             ON 25 MAR          CLP</t>
  </si>
  <si>
    <t>MARKS&amp;SPENCER PLC     ON 24 MAR          CLP</t>
  </si>
  <si>
    <t>MCDONALDS             ON 24 MAR          CLP</t>
  </si>
  <si>
    <t>BP NEWHAM AVENUE C    ON 23 MAR          CLP</t>
  </si>
  <si>
    <t>BP BEDFORD EXPRESS    ON 24 MAR          CLP</t>
  </si>
  <si>
    <t>HOUSE OF FRASER       ON 25 MAR          BCC</t>
  </si>
  <si>
    <t>WILKO BEDFORD INT     ON 24 MAR          BCC</t>
  </si>
  <si>
    <t>BP BEDFORD EXPRESS    ON 24 MAR          BCC</t>
  </si>
  <si>
    <t>H3G                   976046856201270317 DDR</t>
  </si>
  <si>
    <t>SPORTSDIRECT 233      ON 27 MAR          CLP</t>
  </si>
  <si>
    <t>TESCO STORES-2105     ON 27 MAR          CLP</t>
  </si>
  <si>
    <t>BURGER KING KEMPST    ON 27 MAR          CLP</t>
  </si>
  <si>
    <t>VISION DIRECT BV      ON 27 MAR          BCC</t>
  </si>
  <si>
    <t>THE CLARKS SHOP       ON 27 MAR          BCC</t>
  </si>
  <si>
    <t>TESCO STORE 2105      ON 27 MAR          BCC</t>
  </si>
  <si>
    <t>WILKO BEDFORD INT     ON 28 MAR          CLP</t>
  </si>
  <si>
    <t>BOOTS 6407            ON 28 MAR          CLP</t>
  </si>
  <si>
    <t>KIOSK AT THE PARK     ON 29 MAR          CLP</t>
  </si>
  <si>
    <t>BP BEDFORD EXPRESS    ON 28 MAR          CLP</t>
  </si>
  <si>
    <t>MARKS&amp;SPENCER PLC     ON 28 MAR          CLP</t>
  </si>
  <si>
    <t>BP NEWHAM AVENUE C    ON 28 MAR          CLP</t>
  </si>
  <si>
    <t>MCDONALDS             ON 28 MAR          CLP</t>
  </si>
  <si>
    <t>NEW COUNTY SERVICE    ON 28 MAR          BCC</t>
  </si>
  <si>
    <t>NEXT RETAIL LTD       ON 28 MAR          BCC</t>
  </si>
  <si>
    <t>BK</t>
  </si>
  <si>
    <t>BK,MT</t>
  </si>
  <si>
    <t>EX</t>
  </si>
  <si>
    <t>RT</t>
  </si>
  <si>
    <t>MF</t>
  </si>
  <si>
    <t>PM</t>
  </si>
  <si>
    <t>Mr Robinson (15/05/2013 - present)</t>
  </si>
  <si>
    <t>Mr Prior (30/03/2016 - present)</t>
  </si>
  <si>
    <t>Ms S Ryan (10/09/2013 -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</si>
  <si>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</si>
  <si>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</si>
  <si>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</si>
  <si>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</si>
  <si>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</si>
  <si>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</si>
  <si>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</si>
  <si>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Type</t>
  </si>
  <si>
    <t>JOINED</t>
  </si>
  <si>
    <t>Immersion tank - no hot water  - S Underwood Property Maintenance LTD - Flat 3, 321 London Road, Portsmouth</t>
  </si>
  <si>
    <t>No fsd on hob. Multi occupancy building - SC Plumbers LTD - 23b Hampshire Terrace, Portsmouth</t>
  </si>
  <si>
    <t>electrical problem in the house - R S Electrical - 23c Hampshire Terrace, Portsmouth</t>
  </si>
  <si>
    <t>issolation switch - Express Electrical - Flat 20, 4-6 Alhambra Road, Southsea</t>
  </si>
  <si>
    <t>Bathroom Sink - S Underwood Property Maintenance LTD - Flat 20, 4-6 Alhambra Road, Southsea</t>
  </si>
  <si>
    <t>Internal Intercom - Express Electrical - Flat 12,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</si>
  <si>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</si>
  <si>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</si>
  <si>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</si>
  <si>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</si>
  <si>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</si>
  <si>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</si>
  <si>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</si>
  <si>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</si>
  <si>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</si>
  <si>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 STORE*","BP BEDFORD EXPRESS*","JS ONLINE*","CO-OP*","MEAD*","HASTINGS*"}</t>
  </si>
  <si>
    <t>The amounts calculated for DEC, JAN, FEB were updated as more information was provided (Beals had missed some transactions etc).</t>
  </si>
  <si>
    <t>Deduction for 65% of Luis car payments made from 4040 account.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</si>
</sst>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0" fontId="22" fillId="0" borderId="0" xfId="0" applyFont="1"/>
    <xf numFmtId="14" fontId="0" fillId="0" borderId="0" xfId="0" applyNumberFormat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137160</xdr:rowOff>
        </xdr:from>
        <xdr:to>
          <xdr:col>6</xdr:col>
          <xdr:colOff>289560</xdr:colOff>
          <xdr:row>3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7620</xdr:rowOff>
        </xdr:from>
        <xdr:to>
          <xdr:col>16</xdr:col>
          <xdr:colOff>83820</xdr:colOff>
          <xdr:row>2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>
      <selection activeCell="N9" sqref="N9:N63"/>
    </sheetView>
  </sheetViews>
  <sheetFormatPr defaultColWidth="9.109375" defaultRowHeight="13.2" x14ac:dyDescent="0.25"/>
  <cols>
    <col min="1" max="1" width="38.5546875" style="7" customWidth="1"/>
    <col min="2" max="2" width="39.109375" style="7" customWidth="1"/>
    <col min="3" max="3" width="17.6640625" style="7" customWidth="1"/>
    <col min="4" max="4" width="22.109375" style="7" customWidth="1"/>
    <col min="5" max="5" width="11.6640625" style="7" customWidth="1"/>
    <col min="6" max="6" width="13.5546875" style="7" customWidth="1"/>
    <col min="7" max="7" width="11.6640625" style="7" customWidth="1"/>
    <col min="8" max="8" width="10" style="7" customWidth="1"/>
    <col min="9" max="9" width="10.88671875" style="7" bestFit="1" customWidth="1"/>
    <col min="10" max="10" width="12.109375" style="7" bestFit="1" customWidth="1"/>
    <col min="11" max="13" width="11.6640625" style="7" customWidth="1"/>
    <col min="14" max="14" width="16.33203125" style="7" bestFit="1" customWidth="1"/>
    <col min="15" max="15" width="14.109375" style="7" customWidth="1"/>
    <col min="16" max="16" width="13.6640625" style="7" customWidth="1"/>
    <col min="17" max="17" width="16.109375" style="20" customWidth="1"/>
    <col min="18" max="18" width="42.33203125" style="7" customWidth="1"/>
    <col min="19" max="19" width="28.6640625" style="7" bestFit="1" customWidth="1"/>
    <col min="20" max="20" width="27.109375" style="7" bestFit="1" customWidth="1"/>
    <col min="21" max="22" width="13.44140625" style="7" bestFit="1" customWidth="1"/>
    <col min="23" max="16384" width="9.109375" style="7"/>
  </cols>
  <sheetData>
    <row r="1" spans="1:22" ht="17.399999999999999" x14ac:dyDescent="0.3">
      <c r="A1" s="6" t="s">
        <v>134</v>
      </c>
    </row>
    <row r="3" spans="1:22" ht="13.8" x14ac:dyDescent="0.25">
      <c r="A3" s="8" t="s">
        <v>31</v>
      </c>
      <c r="B3" s="94">
        <v>42825</v>
      </c>
    </row>
    <row r="4" spans="1:22" ht="13.8" x14ac:dyDescent="0.25">
      <c r="A4" s="9"/>
      <c r="B4" s="9"/>
    </row>
    <row r="5" spans="1:22" ht="14.25" customHeight="1" x14ac:dyDescent="0.25">
      <c r="A5" s="61" t="s">
        <v>552</v>
      </c>
      <c r="B5" s="43"/>
      <c r="C5" s="10"/>
      <c r="D5" s="10"/>
    </row>
    <row r="6" spans="1:22" x14ac:dyDescent="0.25">
      <c r="A6" s="11"/>
      <c r="Q6" s="21"/>
    </row>
    <row r="7" spans="1:22" ht="27.6" x14ac:dyDescent="0.2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555</v>
      </c>
      <c r="M7" s="31" t="s">
        <v>556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3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5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8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5">
      <c r="A10" s="29" t="s">
        <v>53</v>
      </c>
      <c r="B10" s="23" t="s">
        <v>558</v>
      </c>
      <c r="C10" s="27" t="s">
        <v>95</v>
      </c>
      <c r="D10" s="81">
        <v>42789</v>
      </c>
      <c r="E10" s="85">
        <v>42847</v>
      </c>
      <c r="F10" s="86">
        <v>461.52</v>
      </c>
      <c r="G10" s="83">
        <v>27.68</v>
      </c>
      <c r="H10" s="83">
        <v>5.54</v>
      </c>
      <c r="I10" s="84">
        <v>75</v>
      </c>
      <c r="J10" s="87">
        <v>353.3</v>
      </c>
      <c r="K10" s="85">
        <v>42808.685150462959</v>
      </c>
      <c r="L10" s="84"/>
      <c r="M10" s="128">
        <f t="shared" ref="M10:M63" si="1">IF(F10-G10-H10-I10-L10&lt;&gt;0, F10-G10-H10-I10-L10,"")</f>
        <v>353.29999999999995</v>
      </c>
      <c r="N10" s="47" t="s">
        <v>6</v>
      </c>
      <c r="O10" s="86">
        <v>141.63</v>
      </c>
      <c r="P10" s="46">
        <f t="shared" si="0"/>
        <v>211.66999999999996</v>
      </c>
      <c r="Q10" s="96"/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5">
      <c r="A11" s="29" t="s">
        <v>54</v>
      </c>
      <c r="B11" s="23" t="s">
        <v>559</v>
      </c>
      <c r="C11" s="27" t="s">
        <v>560</v>
      </c>
      <c r="D11" s="81">
        <v>42758</v>
      </c>
      <c r="E11" s="85">
        <v>42847</v>
      </c>
      <c r="F11" s="86">
        <v>654.28</v>
      </c>
      <c r="G11" s="83">
        <v>39.25</v>
      </c>
      <c r="H11" s="83">
        <v>7.85</v>
      </c>
      <c r="I11" s="84">
        <v>50</v>
      </c>
      <c r="J11" s="87">
        <v>557.17999999999995</v>
      </c>
      <c r="K11" s="85">
        <v>42809.579386574071</v>
      </c>
      <c r="L11" s="84"/>
      <c r="M11" s="128">
        <f t="shared" si="1"/>
        <v>557.17999999999995</v>
      </c>
      <c r="N11" s="47" t="s">
        <v>6</v>
      </c>
      <c r="O11" s="86">
        <v>130.22999999999999</v>
      </c>
      <c r="P11" s="46">
        <f t="shared" si="0"/>
        <v>426.94999999999993</v>
      </c>
      <c r="Q11" s="96"/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5">
      <c r="A12" s="29" t="s">
        <v>55</v>
      </c>
      <c r="B12" s="23" t="s">
        <v>561</v>
      </c>
      <c r="C12" s="27" t="s">
        <v>95</v>
      </c>
      <c r="D12" s="81">
        <v>42797</v>
      </c>
      <c r="E12" s="85">
        <v>42827</v>
      </c>
      <c r="F12" s="86">
        <v>600</v>
      </c>
      <c r="G12" s="83">
        <v>36</v>
      </c>
      <c r="H12" s="83">
        <v>7.2</v>
      </c>
      <c r="I12" s="84">
        <v>90</v>
      </c>
      <c r="J12" s="87">
        <v>466.8</v>
      </c>
      <c r="K12" s="85">
        <v>42797.637662037036</v>
      </c>
      <c r="L12" s="84"/>
      <c r="M12" s="128">
        <f t="shared" si="1"/>
        <v>466.79999999999995</v>
      </c>
      <c r="N12" s="47" t="s">
        <v>6</v>
      </c>
      <c r="O12" s="86">
        <v>93.49</v>
      </c>
      <c r="P12" s="46">
        <f t="shared" si="0"/>
        <v>373.30999999999995</v>
      </c>
      <c r="Q12" s="96"/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5">
      <c r="A13" s="29" t="s">
        <v>56</v>
      </c>
      <c r="B13" s="23" t="s">
        <v>562</v>
      </c>
      <c r="C13" s="27" t="s">
        <v>95</v>
      </c>
      <c r="D13" s="81">
        <v>42792</v>
      </c>
      <c r="E13" s="85">
        <v>42850</v>
      </c>
      <c r="F13" s="86">
        <v>461.52</v>
      </c>
      <c r="G13" s="83">
        <v>27.68</v>
      </c>
      <c r="H13" s="83">
        <v>5.54</v>
      </c>
      <c r="I13" s="84"/>
      <c r="J13" s="87">
        <v>428.3</v>
      </c>
      <c r="K13" s="85">
        <v>42808.685150462959</v>
      </c>
      <c r="L13" s="84"/>
      <c r="M13" s="128">
        <f t="shared" si="1"/>
        <v>428.29999999999995</v>
      </c>
      <c r="N13" s="47" t="s">
        <v>6</v>
      </c>
      <c r="O13" s="86">
        <v>141.66</v>
      </c>
      <c r="P13" s="46">
        <f t="shared" si="0"/>
        <v>286.64</v>
      </c>
      <c r="Q13" s="96"/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5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8" t="str">
        <f t="shared" si="1"/>
        <v/>
      </c>
      <c r="N14" s="47"/>
      <c r="O14" s="82"/>
      <c r="P14" s="46">
        <f t="shared" si="0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5">
      <c r="A15" s="29" t="s">
        <v>57</v>
      </c>
      <c r="B15" s="23" t="s">
        <v>563</v>
      </c>
      <c r="C15" s="27" t="s">
        <v>560</v>
      </c>
      <c r="D15" s="81">
        <v>42772</v>
      </c>
      <c r="E15" s="81">
        <v>42830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42808.685150462959</v>
      </c>
      <c r="L15" s="84"/>
      <c r="M15" s="128">
        <f t="shared" si="1"/>
        <v>432.56</v>
      </c>
      <c r="N15" s="47" t="s">
        <v>6</v>
      </c>
      <c r="O15" s="86">
        <v>127.6</v>
      </c>
      <c r="P15" s="46">
        <f t="shared" si="0"/>
        <v>304.96000000000004</v>
      </c>
      <c r="Q15" s="96"/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5">
      <c r="A16" s="29" t="s">
        <v>58</v>
      </c>
      <c r="B16" s="23" t="s">
        <v>564</v>
      </c>
      <c r="C16" s="27" t="s">
        <v>95</v>
      </c>
      <c r="D16" s="81">
        <v>42777</v>
      </c>
      <c r="E16" s="85">
        <v>42835</v>
      </c>
      <c r="F16" s="86">
        <v>461.52</v>
      </c>
      <c r="G16" s="83">
        <v>27.68</v>
      </c>
      <c r="H16" s="83">
        <v>5.54</v>
      </c>
      <c r="I16" s="84"/>
      <c r="J16" s="87">
        <v>428.3</v>
      </c>
      <c r="K16" s="85">
        <v>42808.685150462959</v>
      </c>
      <c r="L16" s="84"/>
      <c r="M16" s="128">
        <f t="shared" si="1"/>
        <v>428.29999999999995</v>
      </c>
      <c r="N16" s="47" t="s">
        <v>6</v>
      </c>
      <c r="O16" s="86">
        <v>93.99</v>
      </c>
      <c r="P16" s="46">
        <f t="shared" si="0"/>
        <v>334.30999999999995</v>
      </c>
      <c r="Q16" s="96"/>
      <c r="R16" s="47"/>
      <c r="S16" s="74" t="s">
        <v>197</v>
      </c>
      <c r="T16" s="26" t="s">
        <v>408</v>
      </c>
      <c r="U16" s="78">
        <v>907372200</v>
      </c>
      <c r="V16" s="99">
        <v>6</v>
      </c>
    </row>
    <row r="17" spans="1:22" ht="12.75" customHeight="1" x14ac:dyDescent="0.25">
      <c r="A17" s="29" t="s">
        <v>59</v>
      </c>
      <c r="B17" s="23" t="s">
        <v>1080</v>
      </c>
      <c r="C17" s="27" t="s">
        <v>95</v>
      </c>
      <c r="D17" s="81">
        <v>42750</v>
      </c>
      <c r="E17" s="85">
        <v>42839</v>
      </c>
      <c r="F17" s="86">
        <v>1162.06</v>
      </c>
      <c r="G17" s="83">
        <v>69.72</v>
      </c>
      <c r="H17" s="83">
        <v>13.94</v>
      </c>
      <c r="I17" s="84"/>
      <c r="J17" s="87">
        <v>1078.4000000000001</v>
      </c>
      <c r="K17" s="85">
        <v>42795.62767361111</v>
      </c>
      <c r="L17" s="84"/>
      <c r="M17" s="128">
        <f t="shared" si="1"/>
        <v>1078.3999999999999</v>
      </c>
      <c r="N17" s="47" t="s">
        <v>6</v>
      </c>
      <c r="O17" s="86">
        <v>126.04</v>
      </c>
      <c r="P17" s="46">
        <f t="shared" si="0"/>
        <v>952.3599999999999</v>
      </c>
      <c r="Q17" s="96"/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5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8" t="str">
        <f t="shared" si="1"/>
        <v/>
      </c>
      <c r="N18" s="47"/>
      <c r="O18" s="82"/>
      <c r="P18" s="46">
        <f t="shared" si="0"/>
        <v>0</v>
      </c>
      <c r="Q18" s="96"/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5">
      <c r="A19" s="29" t="s">
        <v>186</v>
      </c>
      <c r="B19" s="23" t="s">
        <v>565</v>
      </c>
      <c r="C19" s="27" t="s">
        <v>95</v>
      </c>
      <c r="D19" s="81">
        <v>42800</v>
      </c>
      <c r="E19" s="81">
        <v>42830</v>
      </c>
      <c r="F19" s="86">
        <v>566.79</v>
      </c>
      <c r="G19" s="83">
        <v>34.01</v>
      </c>
      <c r="H19" s="83">
        <v>6.8</v>
      </c>
      <c r="I19" s="84">
        <v>50</v>
      </c>
      <c r="J19" s="87">
        <v>475.98</v>
      </c>
      <c r="K19" s="85">
        <v>42800.623819444445</v>
      </c>
      <c r="L19" s="84"/>
      <c r="M19" s="128">
        <f t="shared" si="1"/>
        <v>475.98</v>
      </c>
      <c r="N19" s="47" t="s">
        <v>6</v>
      </c>
      <c r="O19" s="86">
        <v>189.14</v>
      </c>
      <c r="P19" s="46">
        <f t="shared" si="0"/>
        <v>286.84000000000003</v>
      </c>
      <c r="Q19" s="96"/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5">
      <c r="A20" s="29" t="s">
        <v>187</v>
      </c>
      <c r="B20" s="23" t="s">
        <v>566</v>
      </c>
      <c r="C20" s="27" t="s">
        <v>95</v>
      </c>
      <c r="D20" s="81">
        <v>42768</v>
      </c>
      <c r="E20" s="85">
        <v>42826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42809.579386574071</v>
      </c>
      <c r="L20" s="84"/>
      <c r="M20" s="128">
        <f t="shared" si="1"/>
        <v>428.28999999999996</v>
      </c>
      <c r="N20" s="47" t="s">
        <v>6</v>
      </c>
      <c r="O20" s="86">
        <v>167.33</v>
      </c>
      <c r="P20" s="46">
        <f t="shared" si="0"/>
        <v>260.95999999999992</v>
      </c>
      <c r="Q20" s="96"/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5">
      <c r="A21" s="29" t="s">
        <v>188</v>
      </c>
      <c r="B21" s="23" t="s">
        <v>567</v>
      </c>
      <c r="C21" s="27" t="s">
        <v>95</v>
      </c>
      <c r="D21" s="81">
        <v>42803</v>
      </c>
      <c r="E21" s="85">
        <v>42833</v>
      </c>
      <c r="F21" s="86">
        <v>500</v>
      </c>
      <c r="G21" s="83">
        <v>30</v>
      </c>
      <c r="H21" s="83">
        <v>6</v>
      </c>
      <c r="I21" s="84">
        <v>175</v>
      </c>
      <c r="J21" s="87">
        <v>289</v>
      </c>
      <c r="K21" s="85">
        <v>42803.627326388887</v>
      </c>
      <c r="L21" s="84"/>
      <c r="M21" s="128">
        <f t="shared" si="1"/>
        <v>289</v>
      </c>
      <c r="N21" s="47" t="s">
        <v>6</v>
      </c>
      <c r="O21" s="86">
        <v>203.37</v>
      </c>
      <c r="P21" s="46">
        <f>IFERROR(IF(M21-O21&lt;&gt;0,M21-O21,""),-O21)</f>
        <v>85.63</v>
      </c>
      <c r="Q21" s="96"/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5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8" t="str">
        <f t="shared" si="1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5">
      <c r="A23" s="29" t="s">
        <v>60</v>
      </c>
      <c r="B23" s="23" t="s">
        <v>568</v>
      </c>
      <c r="C23" s="27" t="s">
        <v>95</v>
      </c>
      <c r="D23" s="81">
        <v>42781</v>
      </c>
      <c r="E23" s="85">
        <v>42839</v>
      </c>
      <c r="F23" s="86">
        <v>466.12</v>
      </c>
      <c r="G23" s="83">
        <v>27.96</v>
      </c>
      <c r="H23" s="83">
        <v>5.59</v>
      </c>
      <c r="I23" s="84">
        <v>41.87</v>
      </c>
      <c r="J23" s="87">
        <v>390.7</v>
      </c>
      <c r="K23" s="85">
        <v>42809.579386574071</v>
      </c>
      <c r="L23" s="84"/>
      <c r="M23" s="128">
        <f t="shared" si="1"/>
        <v>390.70000000000005</v>
      </c>
      <c r="N23" s="47" t="s">
        <v>6</v>
      </c>
      <c r="O23" s="86">
        <v>135.4</v>
      </c>
      <c r="P23" s="46">
        <f t="shared" si="2"/>
        <v>255.30000000000004</v>
      </c>
      <c r="Q23" s="96"/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5">
      <c r="A24" s="29" t="s">
        <v>61</v>
      </c>
      <c r="B24" s="23" t="s">
        <v>569</v>
      </c>
      <c r="C24" s="27" t="s">
        <v>95</v>
      </c>
      <c r="D24" s="81">
        <v>42780</v>
      </c>
      <c r="E24" s="85">
        <v>42838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42808.685150462959</v>
      </c>
      <c r="L24" s="84"/>
      <c r="M24" s="128">
        <f t="shared" si="1"/>
        <v>385.48999999999995</v>
      </c>
      <c r="N24" s="47" t="s">
        <v>6</v>
      </c>
      <c r="O24" s="86">
        <v>129.29</v>
      </c>
      <c r="P24" s="46">
        <f t="shared" si="2"/>
        <v>256.19999999999993</v>
      </c>
      <c r="Q24" s="96"/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5">
      <c r="A25" s="29" t="s">
        <v>62</v>
      </c>
      <c r="B25" s="23" t="s">
        <v>570</v>
      </c>
      <c r="C25" s="27" t="s">
        <v>95</v>
      </c>
      <c r="D25" s="81">
        <v>42783</v>
      </c>
      <c r="E25" s="85">
        <v>42841</v>
      </c>
      <c r="F25" s="86">
        <v>364.6</v>
      </c>
      <c r="G25" s="83">
        <v>21.88</v>
      </c>
      <c r="H25" s="83">
        <v>4.37</v>
      </c>
      <c r="I25" s="84">
        <v>91.2</v>
      </c>
      <c r="J25" s="87">
        <v>247.15</v>
      </c>
      <c r="K25" s="85">
        <v>42811.537638888891</v>
      </c>
      <c r="L25" s="84"/>
      <c r="M25" s="128">
        <f t="shared" si="1"/>
        <v>247.15000000000003</v>
      </c>
      <c r="N25" s="47" t="s">
        <v>6</v>
      </c>
      <c r="O25" s="86">
        <v>116</v>
      </c>
      <c r="P25" s="46">
        <f t="shared" si="2"/>
        <v>131.15000000000003</v>
      </c>
      <c r="Q25" s="96"/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5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8" t="str">
        <f t="shared" si="1"/>
        <v/>
      </c>
      <c r="N26" s="47"/>
      <c r="O26" s="82"/>
      <c r="P26" s="46">
        <f t="shared" si="2"/>
        <v>0</v>
      </c>
      <c r="Q26" s="96"/>
      <c r="R26" s="47"/>
      <c r="S26" s="74" t="s">
        <v>395</v>
      </c>
      <c r="T26" s="26"/>
      <c r="U26" s="26"/>
      <c r="V26" s="26">
        <v>15</v>
      </c>
    </row>
    <row r="27" spans="1:22" x14ac:dyDescent="0.25">
      <c r="A27" s="29" t="s">
        <v>63</v>
      </c>
      <c r="B27" s="23" t="s">
        <v>571</v>
      </c>
      <c r="C27" s="27" t="s">
        <v>560</v>
      </c>
      <c r="D27" s="81">
        <v>42805</v>
      </c>
      <c r="E27" s="81">
        <v>42835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42807.618564814817</v>
      </c>
      <c r="L27" s="84"/>
      <c r="M27" s="128">
        <f t="shared" si="1"/>
        <v>324.8</v>
      </c>
      <c r="N27" s="47" t="s">
        <v>6</v>
      </c>
      <c r="O27" s="135">
        <v>140</v>
      </c>
      <c r="P27" s="46">
        <f t="shared" si="2"/>
        <v>184.8</v>
      </c>
      <c r="Q27" s="96"/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5">
      <c r="A28" s="29" t="s">
        <v>64</v>
      </c>
      <c r="B28" s="23" t="s">
        <v>572</v>
      </c>
      <c r="C28" s="27" t="s">
        <v>95</v>
      </c>
      <c r="D28" s="81">
        <v>42795</v>
      </c>
      <c r="E28" s="81">
        <v>42825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42797.637662037036</v>
      </c>
      <c r="L28" s="84"/>
      <c r="M28" s="128">
        <f t="shared" si="1"/>
        <v>482.56</v>
      </c>
      <c r="N28" s="47" t="s">
        <v>6</v>
      </c>
      <c r="O28" s="82">
        <v>165.12</v>
      </c>
      <c r="P28" s="46">
        <f t="shared" si="2"/>
        <v>317.44</v>
      </c>
      <c r="Q28" s="96"/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5">
      <c r="A29" s="29" t="s">
        <v>65</v>
      </c>
      <c r="B29" s="23" t="s">
        <v>573</v>
      </c>
      <c r="C29" s="27" t="s">
        <v>95</v>
      </c>
      <c r="D29" s="81">
        <v>42808</v>
      </c>
      <c r="E29" s="81">
        <v>42838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5">
        <v>42808.685150462959</v>
      </c>
      <c r="L29" s="84"/>
      <c r="M29" s="128">
        <f t="shared" si="1"/>
        <v>580</v>
      </c>
      <c r="N29" s="60" t="s">
        <v>6</v>
      </c>
      <c r="O29" s="82">
        <v>196.17</v>
      </c>
      <c r="P29" s="46">
        <f t="shared" si="2"/>
        <v>383.83000000000004</v>
      </c>
      <c r="Q29" s="96"/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5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8" t="str">
        <f t="shared" si="1"/>
        <v/>
      </c>
      <c r="N30" s="47"/>
      <c r="O30" s="82"/>
      <c r="P30" s="46">
        <f t="shared" si="2"/>
        <v>0</v>
      </c>
      <c r="Q30" s="96"/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5">
      <c r="A31" s="29" t="s">
        <v>99</v>
      </c>
      <c r="B31" s="23" t="s">
        <v>574</v>
      </c>
      <c r="C31" s="27" t="s">
        <v>560</v>
      </c>
      <c r="D31" s="81">
        <v>42808</v>
      </c>
      <c r="E31" s="81">
        <v>42838</v>
      </c>
      <c r="F31" s="82">
        <v>660</v>
      </c>
      <c r="G31" s="83">
        <v>39.6</v>
      </c>
      <c r="H31" s="83">
        <v>7.92</v>
      </c>
      <c r="I31" s="84">
        <v>264</v>
      </c>
      <c r="J31" s="87">
        <v>348.48</v>
      </c>
      <c r="K31" s="85">
        <v>42808.685150462959</v>
      </c>
      <c r="L31" s="84"/>
      <c r="M31" s="128">
        <f t="shared" si="1"/>
        <v>348.48</v>
      </c>
      <c r="N31" s="47" t="s">
        <v>6</v>
      </c>
      <c r="O31" s="82">
        <v>163.35</v>
      </c>
      <c r="P31" s="46">
        <f t="shared" si="2"/>
        <v>185.13000000000002</v>
      </c>
      <c r="Q31" s="96"/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5">
      <c r="A32" s="29" t="s">
        <v>102</v>
      </c>
      <c r="B32" s="23" t="s">
        <v>575</v>
      </c>
      <c r="C32" s="27" t="s">
        <v>95</v>
      </c>
      <c r="D32" s="81">
        <v>42808</v>
      </c>
      <c r="E32" s="81">
        <v>42838</v>
      </c>
      <c r="F32" s="82">
        <v>660</v>
      </c>
      <c r="G32" s="83">
        <v>39.6</v>
      </c>
      <c r="H32" s="83">
        <v>7.92</v>
      </c>
      <c r="I32" s="84">
        <v>200</v>
      </c>
      <c r="J32" s="87">
        <v>412.48</v>
      </c>
      <c r="K32" s="85">
        <v>42808.685150462959</v>
      </c>
      <c r="L32" s="84"/>
      <c r="M32" s="128">
        <f t="shared" si="1"/>
        <v>412.48</v>
      </c>
      <c r="N32" s="47" t="s">
        <v>6</v>
      </c>
      <c r="O32" s="82">
        <v>496.98</v>
      </c>
      <c r="P32" s="46">
        <f t="shared" si="2"/>
        <v>-84.5</v>
      </c>
      <c r="Q32" s="85"/>
      <c r="R32" s="4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5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8" t="str">
        <f t="shared" si="1"/>
        <v/>
      </c>
      <c r="N33" s="59"/>
      <c r="O33" s="82"/>
      <c r="P33" s="46">
        <f t="shared" si="2"/>
        <v>0</v>
      </c>
      <c r="Q33" s="96"/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5">
      <c r="A34" s="29" t="s">
        <v>103</v>
      </c>
      <c r="B34" s="23" t="s">
        <v>576</v>
      </c>
      <c r="C34" s="27" t="s">
        <v>95</v>
      </c>
      <c r="D34" s="81">
        <v>42808</v>
      </c>
      <c r="E34" s="85">
        <v>42838</v>
      </c>
      <c r="F34" s="86">
        <v>477.07</v>
      </c>
      <c r="G34" s="83">
        <v>28.62</v>
      </c>
      <c r="H34" s="83">
        <v>5.72</v>
      </c>
      <c r="I34" s="84"/>
      <c r="J34" s="87">
        <v>442.73</v>
      </c>
      <c r="K34" s="81">
        <v>42808.685150462959</v>
      </c>
      <c r="L34" s="84"/>
      <c r="M34" s="128">
        <f t="shared" si="1"/>
        <v>442.72999999999996</v>
      </c>
      <c r="N34" s="59" t="s">
        <v>6</v>
      </c>
      <c r="O34" s="86">
        <v>177.73</v>
      </c>
      <c r="P34" s="46">
        <f t="shared" si="2"/>
        <v>265</v>
      </c>
      <c r="Q34" s="96"/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5">
      <c r="A35" s="29" t="s">
        <v>66</v>
      </c>
      <c r="B35" s="23" t="s">
        <v>577</v>
      </c>
      <c r="C35" s="27" t="s">
        <v>95</v>
      </c>
      <c r="D35" s="81">
        <v>42802</v>
      </c>
      <c r="E35" s="81">
        <v>42832</v>
      </c>
      <c r="F35" s="82">
        <v>500</v>
      </c>
      <c r="G35" s="83">
        <v>30</v>
      </c>
      <c r="H35" s="83">
        <v>6</v>
      </c>
      <c r="I35" s="84">
        <v>50</v>
      </c>
      <c r="J35" s="87">
        <v>414</v>
      </c>
      <c r="K35" s="81">
        <v>42804.698738425926</v>
      </c>
      <c r="L35" s="84"/>
      <c r="M35" s="128">
        <f t="shared" si="1"/>
        <v>414</v>
      </c>
      <c r="N35" s="59" t="s">
        <v>6</v>
      </c>
      <c r="O35" s="82">
        <v>165.91</v>
      </c>
      <c r="P35" s="46">
        <f t="shared" si="2"/>
        <v>248.09</v>
      </c>
      <c r="Q35" s="96"/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5">
      <c r="A36" s="29" t="s">
        <v>105</v>
      </c>
      <c r="B36" s="23" t="s">
        <v>578</v>
      </c>
      <c r="C36" s="27" t="s">
        <v>560</v>
      </c>
      <c r="D36" s="85">
        <v>42799</v>
      </c>
      <c r="E36" s="85">
        <v>42829</v>
      </c>
      <c r="F36" s="86">
        <v>505</v>
      </c>
      <c r="G36" s="83">
        <v>30.32</v>
      </c>
      <c r="H36" s="83">
        <v>6.06</v>
      </c>
      <c r="I36" s="84"/>
      <c r="J36" s="87">
        <v>468.62</v>
      </c>
      <c r="K36" s="85">
        <v>42800.623819444445</v>
      </c>
      <c r="L36" s="84"/>
      <c r="M36" s="128">
        <f t="shared" si="1"/>
        <v>468.62</v>
      </c>
      <c r="N36" s="47" t="s">
        <v>6</v>
      </c>
      <c r="O36" s="86">
        <v>165.91</v>
      </c>
      <c r="P36" s="46">
        <f t="shared" si="2"/>
        <v>302.71000000000004</v>
      </c>
      <c r="Q36" s="85"/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5">
      <c r="A37" s="29" t="s">
        <v>106</v>
      </c>
      <c r="B37" s="23" t="s">
        <v>579</v>
      </c>
      <c r="C37" s="27" t="s">
        <v>95</v>
      </c>
      <c r="D37" s="85">
        <v>42792</v>
      </c>
      <c r="E37" s="85">
        <v>42850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1">
        <v>42808.685150462959</v>
      </c>
      <c r="L37" s="84"/>
      <c r="M37" s="128">
        <f t="shared" si="1"/>
        <v>432.56</v>
      </c>
      <c r="N37" s="59" t="s">
        <v>6</v>
      </c>
      <c r="O37" s="86">
        <v>356.87</v>
      </c>
      <c r="P37" s="46">
        <f t="shared" si="2"/>
        <v>75.69</v>
      </c>
      <c r="Q37" s="96"/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5">
      <c r="A38" s="29" t="s">
        <v>224</v>
      </c>
      <c r="B38" s="23" t="s">
        <v>580</v>
      </c>
      <c r="C38" s="27" t="s">
        <v>95</v>
      </c>
      <c r="D38" s="85">
        <v>42804</v>
      </c>
      <c r="E38" s="85">
        <v>42834</v>
      </c>
      <c r="F38" s="82">
        <v>477.48</v>
      </c>
      <c r="G38" s="83">
        <v>28.65</v>
      </c>
      <c r="H38" s="83">
        <v>5.73</v>
      </c>
      <c r="I38" s="84">
        <v>50</v>
      </c>
      <c r="J38" s="87">
        <v>393.1</v>
      </c>
      <c r="K38" s="85">
        <v>42808.685150462959</v>
      </c>
      <c r="L38" s="84"/>
      <c r="M38" s="128">
        <f t="shared" si="1"/>
        <v>393.1</v>
      </c>
      <c r="N38" s="47" t="s">
        <v>6</v>
      </c>
      <c r="O38" s="82">
        <v>177.73</v>
      </c>
      <c r="P38" s="46">
        <f t="shared" si="2"/>
        <v>215.37000000000003</v>
      </c>
      <c r="Q38" s="96"/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5">
      <c r="A39" s="29" t="s">
        <v>226</v>
      </c>
      <c r="B39" s="23" t="s">
        <v>581</v>
      </c>
      <c r="C39" s="27" t="s">
        <v>95</v>
      </c>
      <c r="D39" s="85">
        <v>42792</v>
      </c>
      <c r="E39" s="85">
        <v>42850</v>
      </c>
      <c r="F39" s="82">
        <v>461.52</v>
      </c>
      <c r="G39" s="83">
        <v>27.68</v>
      </c>
      <c r="H39" s="83">
        <v>5.54</v>
      </c>
      <c r="I39" s="84"/>
      <c r="J39" s="87">
        <v>428.3</v>
      </c>
      <c r="K39" s="81">
        <v>42808.685150462959</v>
      </c>
      <c r="L39" s="84"/>
      <c r="M39" s="128">
        <f t="shared" si="1"/>
        <v>428.29999999999995</v>
      </c>
      <c r="N39" s="47" t="s">
        <v>6</v>
      </c>
      <c r="O39" s="82">
        <v>177.73</v>
      </c>
      <c r="P39" s="46">
        <f t="shared" si="2"/>
        <v>250.56999999999996</v>
      </c>
      <c r="Q39" s="96"/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5">
      <c r="A40" s="29" t="s">
        <v>227</v>
      </c>
      <c r="B40" s="23" t="s">
        <v>582</v>
      </c>
      <c r="C40" s="27" t="s">
        <v>560</v>
      </c>
      <c r="D40" s="85">
        <v>42786</v>
      </c>
      <c r="E40" s="85">
        <v>42844</v>
      </c>
      <c r="F40" s="86">
        <v>550</v>
      </c>
      <c r="G40" s="83">
        <v>33</v>
      </c>
      <c r="H40" s="83">
        <v>6.6</v>
      </c>
      <c r="I40" s="84"/>
      <c r="J40" s="87">
        <v>510.4</v>
      </c>
      <c r="K40" s="85">
        <v>42809.579386574071</v>
      </c>
      <c r="L40" s="84"/>
      <c r="M40" s="128">
        <f t="shared" si="1"/>
        <v>510.4</v>
      </c>
      <c r="N40" s="47" t="s">
        <v>6</v>
      </c>
      <c r="O40" s="86">
        <v>197.26</v>
      </c>
      <c r="P40" s="46">
        <f t="shared" si="2"/>
        <v>313.14</v>
      </c>
      <c r="Q40" s="85"/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5">
      <c r="A41" s="29" t="s">
        <v>228</v>
      </c>
      <c r="B41" s="23" t="s">
        <v>583</v>
      </c>
      <c r="C41" s="27" t="s">
        <v>95</v>
      </c>
      <c r="D41" s="81">
        <v>42782</v>
      </c>
      <c r="E41" s="81">
        <v>42809</v>
      </c>
      <c r="F41" s="82">
        <v>600</v>
      </c>
      <c r="G41" s="83">
        <v>36</v>
      </c>
      <c r="H41" s="83">
        <v>7.2</v>
      </c>
      <c r="I41" s="84">
        <v>197.28</v>
      </c>
      <c r="J41" s="87">
        <v>359.52</v>
      </c>
      <c r="K41" s="81">
        <v>42817.643576388888</v>
      </c>
      <c r="L41" s="84"/>
      <c r="M41" s="128">
        <f t="shared" si="1"/>
        <v>359.52</v>
      </c>
      <c r="N41" s="47" t="s">
        <v>6</v>
      </c>
      <c r="O41" s="82">
        <v>195.72</v>
      </c>
      <c r="P41" s="46">
        <f t="shared" si="2"/>
        <v>163.79999999999998</v>
      </c>
      <c r="Q41" s="96"/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5">
      <c r="A42" s="29" t="s">
        <v>107</v>
      </c>
      <c r="B42" s="23" t="s">
        <v>1081</v>
      </c>
      <c r="C42" s="27" t="s">
        <v>95</v>
      </c>
      <c r="D42" s="85">
        <v>42824</v>
      </c>
      <c r="E42" s="85">
        <v>42854</v>
      </c>
      <c r="F42" s="86">
        <v>520</v>
      </c>
      <c r="G42" s="83">
        <v>31.2</v>
      </c>
      <c r="H42" s="83">
        <v>6.24</v>
      </c>
      <c r="I42" s="84">
        <v>50</v>
      </c>
      <c r="J42" s="87">
        <v>432.56</v>
      </c>
      <c r="K42" s="85">
        <v>42824.592777777776</v>
      </c>
      <c r="L42" s="84"/>
      <c r="M42" s="128">
        <f t="shared" si="1"/>
        <v>432.56</v>
      </c>
      <c r="N42" s="47" t="s">
        <v>6</v>
      </c>
      <c r="O42" s="86">
        <v>348.23</v>
      </c>
      <c r="P42" s="46">
        <f t="shared" si="2"/>
        <v>84.329999999999984</v>
      </c>
      <c r="Q42" s="85"/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5">
      <c r="A43" s="29" t="s">
        <v>67</v>
      </c>
      <c r="B43" s="23" t="s">
        <v>584</v>
      </c>
      <c r="C43" s="27" t="s">
        <v>95</v>
      </c>
      <c r="D43" s="81">
        <v>42772</v>
      </c>
      <c r="E43" s="81">
        <v>42830</v>
      </c>
      <c r="F43" s="82">
        <v>492.08</v>
      </c>
      <c r="G43" s="83">
        <v>29.52</v>
      </c>
      <c r="H43" s="83">
        <v>5.9</v>
      </c>
      <c r="I43" s="84"/>
      <c r="J43" s="87">
        <v>456.66</v>
      </c>
      <c r="K43" s="81">
        <v>42808.685150462959</v>
      </c>
      <c r="L43" s="84"/>
      <c r="M43" s="128">
        <f t="shared" si="1"/>
        <v>456.66</v>
      </c>
      <c r="N43" s="59" t="s">
        <v>6</v>
      </c>
      <c r="O43" s="82">
        <v>195.72</v>
      </c>
      <c r="P43" s="46">
        <f t="shared" si="2"/>
        <v>260.94000000000005</v>
      </c>
      <c r="Q43" s="96"/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5">
      <c r="A44" s="29" t="s">
        <v>109</v>
      </c>
      <c r="B44" s="23" t="s">
        <v>1082</v>
      </c>
      <c r="C44" s="40" t="s">
        <v>95</v>
      </c>
      <c r="D44" s="81">
        <v>42776</v>
      </c>
      <c r="E44" s="81">
        <v>42834</v>
      </c>
      <c r="F44" s="82">
        <v>400</v>
      </c>
      <c r="G44" s="88">
        <v>24</v>
      </c>
      <c r="H44" s="83">
        <v>4.8</v>
      </c>
      <c r="I44" s="84"/>
      <c r="J44" s="87">
        <v>371.2</v>
      </c>
      <c r="K44" s="81">
        <v>42795.62767361111</v>
      </c>
      <c r="L44" s="84"/>
      <c r="M44" s="128">
        <f t="shared" si="1"/>
        <v>371.2</v>
      </c>
      <c r="N44" s="59" t="s">
        <v>6</v>
      </c>
      <c r="O44" s="82">
        <v>197.32</v>
      </c>
      <c r="P44" s="46">
        <f t="shared" si="2"/>
        <v>173.88</v>
      </c>
      <c r="Q44" s="96"/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5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8" t="str">
        <f t="shared" si="1"/>
        <v/>
      </c>
      <c r="N45" s="47"/>
      <c r="O45" s="82"/>
      <c r="P45" s="46">
        <f t="shared" si="2"/>
        <v>0</v>
      </c>
      <c r="Q45" s="96"/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585</v>
      </c>
      <c r="C46" s="27" t="s">
        <v>95</v>
      </c>
      <c r="D46" s="81">
        <v>42802</v>
      </c>
      <c r="E46" s="81">
        <v>42832</v>
      </c>
      <c r="F46" s="82">
        <v>505</v>
      </c>
      <c r="G46" s="83">
        <v>30.3</v>
      </c>
      <c r="H46" s="83">
        <v>6.06</v>
      </c>
      <c r="I46" s="84"/>
      <c r="J46" s="87">
        <v>468.64</v>
      </c>
      <c r="K46" s="85">
        <v>42802.576215277775</v>
      </c>
      <c r="L46" s="84"/>
      <c r="M46" s="128">
        <f t="shared" si="1"/>
        <v>468.64</v>
      </c>
      <c r="N46" s="47" t="s">
        <v>6</v>
      </c>
      <c r="O46" s="82">
        <v>165.47</v>
      </c>
      <c r="P46" s="46">
        <f t="shared" si="2"/>
        <v>303.16999999999996</v>
      </c>
      <c r="Q46" s="96"/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5">
      <c r="A47" s="29" t="s">
        <v>69</v>
      </c>
      <c r="B47" s="23" t="s">
        <v>557</v>
      </c>
      <c r="C47" s="27"/>
      <c r="D47" s="81"/>
      <c r="E47" s="81"/>
      <c r="F47" s="82"/>
      <c r="G47" s="83"/>
      <c r="H47" s="83"/>
      <c r="I47" s="84"/>
      <c r="J47" s="87"/>
      <c r="K47" s="85"/>
      <c r="L47" s="84"/>
      <c r="M47" s="128" t="str">
        <f t="shared" si="1"/>
        <v/>
      </c>
      <c r="N47" s="47" t="s">
        <v>202</v>
      </c>
      <c r="O47" s="82">
        <v>61.95</v>
      </c>
      <c r="P47" s="46">
        <f t="shared" si="2"/>
        <v>-61.95</v>
      </c>
      <c r="Q47" s="85"/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5">
      <c r="A48" s="29" t="s">
        <v>86</v>
      </c>
      <c r="B48" s="23" t="s">
        <v>586</v>
      </c>
      <c r="C48" s="27" t="s">
        <v>95</v>
      </c>
      <c r="D48" s="81">
        <v>42789</v>
      </c>
      <c r="E48" s="81">
        <v>42847</v>
      </c>
      <c r="F48" s="82">
        <v>452.32</v>
      </c>
      <c r="G48" s="83">
        <v>27.13</v>
      </c>
      <c r="H48" s="83">
        <v>5.43</v>
      </c>
      <c r="I48" s="84"/>
      <c r="J48" s="87">
        <v>419.76</v>
      </c>
      <c r="K48" s="85">
        <v>42808.685150462959</v>
      </c>
      <c r="L48" s="84"/>
      <c r="M48" s="128">
        <f t="shared" si="1"/>
        <v>419.76</v>
      </c>
      <c r="N48" s="47" t="s">
        <v>6</v>
      </c>
      <c r="O48" s="82">
        <v>165.44</v>
      </c>
      <c r="P48" s="46">
        <f t="shared" si="2"/>
        <v>254.32</v>
      </c>
      <c r="Q48" s="96"/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5">
      <c r="A49" s="29" t="s">
        <v>111</v>
      </c>
      <c r="B49" s="23" t="s">
        <v>587</v>
      </c>
      <c r="C49" s="27" t="s">
        <v>560</v>
      </c>
      <c r="D49" s="85">
        <v>42780</v>
      </c>
      <c r="E49" s="85">
        <v>42838</v>
      </c>
      <c r="F49" s="86">
        <v>461.52</v>
      </c>
      <c r="G49" s="83">
        <v>27.68</v>
      </c>
      <c r="H49" s="83">
        <v>5.54</v>
      </c>
      <c r="I49" s="84">
        <v>50</v>
      </c>
      <c r="J49" s="87">
        <v>378.3</v>
      </c>
      <c r="K49" s="85">
        <v>42808.685150462959</v>
      </c>
      <c r="L49" s="84"/>
      <c r="M49" s="128">
        <f t="shared" si="1"/>
        <v>378.29999999999995</v>
      </c>
      <c r="N49" s="47" t="s">
        <v>6</v>
      </c>
      <c r="O49" s="86">
        <v>171.13</v>
      </c>
      <c r="P49" s="46">
        <f t="shared" si="2"/>
        <v>207.16999999999996</v>
      </c>
      <c r="Q49" s="96"/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5">
      <c r="A50" s="29" t="s">
        <v>231</v>
      </c>
      <c r="B50" s="23" t="s">
        <v>588</v>
      </c>
      <c r="C50" s="27" t="s">
        <v>95</v>
      </c>
      <c r="D50" s="81">
        <v>42785</v>
      </c>
      <c r="E50" s="81">
        <v>42843</v>
      </c>
      <c r="F50" s="82">
        <v>461.52</v>
      </c>
      <c r="G50" s="83">
        <v>27.69</v>
      </c>
      <c r="H50" s="83">
        <v>5.54</v>
      </c>
      <c r="I50" s="84">
        <v>270</v>
      </c>
      <c r="J50" s="87">
        <v>158.29</v>
      </c>
      <c r="K50" s="85">
        <v>42814.625208333331</v>
      </c>
      <c r="L50" s="84"/>
      <c r="M50" s="128">
        <f t="shared" si="1"/>
        <v>158.28999999999996</v>
      </c>
      <c r="N50" s="47" t="s">
        <v>6</v>
      </c>
      <c r="O50" s="82">
        <v>165.44</v>
      </c>
      <c r="P50" s="46">
        <f t="shared" si="2"/>
        <v>-7.1500000000000341</v>
      </c>
      <c r="Q50" s="96"/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5">
      <c r="A51" s="29" t="s">
        <v>70</v>
      </c>
      <c r="B51" s="23" t="s">
        <v>589</v>
      </c>
      <c r="C51" s="27" t="s">
        <v>95</v>
      </c>
      <c r="D51" s="85">
        <v>42786</v>
      </c>
      <c r="E51" s="85">
        <v>42844</v>
      </c>
      <c r="F51" s="82">
        <v>461.52</v>
      </c>
      <c r="G51" s="83">
        <v>27.68</v>
      </c>
      <c r="H51" s="83">
        <v>5.54</v>
      </c>
      <c r="I51" s="84"/>
      <c r="J51" s="87">
        <v>428.3</v>
      </c>
      <c r="K51" s="85">
        <v>42808.685150462959</v>
      </c>
      <c r="L51" s="84"/>
      <c r="M51" s="128">
        <f t="shared" si="1"/>
        <v>428.29999999999995</v>
      </c>
      <c r="N51" s="47" t="s">
        <v>6</v>
      </c>
      <c r="O51" s="82">
        <v>165.45</v>
      </c>
      <c r="P51" s="46">
        <f t="shared" si="2"/>
        <v>262.84999999999997</v>
      </c>
      <c r="Q51" s="96"/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5">
      <c r="A52" s="29" t="s">
        <v>71</v>
      </c>
      <c r="B52" s="23" t="s">
        <v>590</v>
      </c>
      <c r="C52" s="27" t="s">
        <v>560</v>
      </c>
      <c r="D52" s="81">
        <v>42800</v>
      </c>
      <c r="E52" s="81">
        <v>42830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42800.623819444445</v>
      </c>
      <c r="L52" s="84"/>
      <c r="M52" s="128">
        <f t="shared" si="1"/>
        <v>464</v>
      </c>
      <c r="N52" s="47" t="s">
        <v>6</v>
      </c>
      <c r="O52" s="82">
        <v>208.78</v>
      </c>
      <c r="P52" s="46">
        <f t="shared" si="2"/>
        <v>255.22</v>
      </c>
      <c r="Q52" s="96"/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5">
      <c r="A53" s="29" t="s">
        <v>72</v>
      </c>
      <c r="B53" s="23" t="s">
        <v>591</v>
      </c>
      <c r="C53" s="27" t="s">
        <v>95</v>
      </c>
      <c r="D53" s="81">
        <v>42785</v>
      </c>
      <c r="E53" s="81">
        <v>42812</v>
      </c>
      <c r="F53" s="82">
        <v>461.52</v>
      </c>
      <c r="G53" s="83">
        <v>27.69</v>
      </c>
      <c r="H53" s="83">
        <v>5.54</v>
      </c>
      <c r="I53" s="84">
        <v>50</v>
      </c>
      <c r="J53" s="87">
        <v>378.29</v>
      </c>
      <c r="K53" s="85">
        <v>42808.685150462959</v>
      </c>
      <c r="L53" s="84"/>
      <c r="M53" s="128">
        <f t="shared" si="1"/>
        <v>378.28999999999996</v>
      </c>
      <c r="N53" s="47" t="s">
        <v>6</v>
      </c>
      <c r="O53" s="82">
        <v>171.18</v>
      </c>
      <c r="P53" s="46">
        <f t="shared" si="2"/>
        <v>207.10999999999996</v>
      </c>
      <c r="Q53" s="96"/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5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8" t="str">
        <f t="shared" si="1"/>
        <v/>
      </c>
      <c r="N54" s="47"/>
      <c r="O54" s="82"/>
      <c r="P54" s="46">
        <f t="shared" si="2"/>
        <v>0</v>
      </c>
      <c r="Q54" s="96"/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5">
      <c r="A55" s="29" t="s">
        <v>73</v>
      </c>
      <c r="B55" s="23" t="s">
        <v>592</v>
      </c>
      <c r="C55" s="27" t="s">
        <v>95</v>
      </c>
      <c r="D55" s="81">
        <v>42799</v>
      </c>
      <c r="E55" s="81">
        <v>42829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42808.685150462959</v>
      </c>
      <c r="L55" s="84"/>
      <c r="M55" s="128">
        <f t="shared" si="1"/>
        <v>603.20000000000005</v>
      </c>
      <c r="N55" s="47" t="s">
        <v>6</v>
      </c>
      <c r="O55" s="82">
        <v>201.41</v>
      </c>
      <c r="P55" s="46">
        <f t="shared" si="2"/>
        <v>401.79000000000008</v>
      </c>
      <c r="Q55" s="96"/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5">
      <c r="A56" s="29" t="s">
        <v>112</v>
      </c>
      <c r="B56" s="23" t="s">
        <v>593</v>
      </c>
      <c r="C56" s="27" t="s">
        <v>95</v>
      </c>
      <c r="D56" s="81">
        <v>42787</v>
      </c>
      <c r="E56" s="81">
        <v>42845</v>
      </c>
      <c r="F56" s="82">
        <v>461.52</v>
      </c>
      <c r="G56" s="83">
        <v>27.68</v>
      </c>
      <c r="H56" s="83">
        <v>5.54</v>
      </c>
      <c r="I56" s="84"/>
      <c r="J56" s="87">
        <v>428.3</v>
      </c>
      <c r="K56" s="85">
        <v>42808.685150462959</v>
      </c>
      <c r="L56" s="84"/>
      <c r="M56" s="128">
        <f t="shared" si="1"/>
        <v>428.29999999999995</v>
      </c>
      <c r="N56" s="47" t="s">
        <v>6</v>
      </c>
      <c r="O56" s="82">
        <v>165.45</v>
      </c>
      <c r="P56" s="46">
        <f t="shared" si="2"/>
        <v>262.84999999999997</v>
      </c>
      <c r="Q56" s="96"/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5">
      <c r="A57" s="29" t="s">
        <v>115</v>
      </c>
      <c r="B57" s="23" t="s">
        <v>594</v>
      </c>
      <c r="C57" s="27" t="s">
        <v>95</v>
      </c>
      <c r="D57" s="81">
        <v>42778</v>
      </c>
      <c r="E57" s="81">
        <v>42836</v>
      </c>
      <c r="F57" s="82">
        <v>461.52</v>
      </c>
      <c r="G57" s="83">
        <v>27.69</v>
      </c>
      <c r="H57" s="83">
        <v>5.54</v>
      </c>
      <c r="I57" s="84"/>
      <c r="J57" s="87">
        <v>428.29</v>
      </c>
      <c r="K57" s="85">
        <v>42808.685150462959</v>
      </c>
      <c r="L57" s="84"/>
      <c r="M57" s="128">
        <f t="shared" si="1"/>
        <v>428.28999999999996</v>
      </c>
      <c r="N57" s="47" t="s">
        <v>6</v>
      </c>
      <c r="O57" s="82">
        <v>180.37</v>
      </c>
      <c r="P57" s="46">
        <f t="shared" si="2"/>
        <v>247.91999999999996</v>
      </c>
      <c r="Q57" s="96"/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5">
      <c r="A58" s="29" t="s">
        <v>117</v>
      </c>
      <c r="B58" s="23" t="s">
        <v>595</v>
      </c>
      <c r="C58" s="27" t="s">
        <v>95</v>
      </c>
      <c r="D58" s="81">
        <v>42774</v>
      </c>
      <c r="E58" s="81">
        <v>42832</v>
      </c>
      <c r="F58" s="82">
        <v>461.52</v>
      </c>
      <c r="G58" s="83">
        <v>27.68</v>
      </c>
      <c r="H58" s="83">
        <v>5.54</v>
      </c>
      <c r="I58" s="84"/>
      <c r="J58" s="87">
        <v>428.3</v>
      </c>
      <c r="K58" s="85">
        <v>42808.685150462959</v>
      </c>
      <c r="L58" s="84"/>
      <c r="M58" s="128">
        <f t="shared" si="1"/>
        <v>428.29999999999995</v>
      </c>
      <c r="N58" s="47" t="s">
        <v>6</v>
      </c>
      <c r="O58" s="82">
        <v>165.41</v>
      </c>
      <c r="P58" s="46">
        <f t="shared" si="2"/>
        <v>262.89</v>
      </c>
      <c r="Q58" s="96"/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5">
      <c r="A59" s="29" t="s">
        <v>74</v>
      </c>
      <c r="B59" s="23" t="s">
        <v>596</v>
      </c>
      <c r="C59" s="27" t="s">
        <v>95</v>
      </c>
      <c r="D59" s="81">
        <v>42789</v>
      </c>
      <c r="E59" s="81">
        <v>42816</v>
      </c>
      <c r="F59" s="82">
        <v>192.88</v>
      </c>
      <c r="G59" s="83">
        <v>11.57</v>
      </c>
      <c r="H59" s="83">
        <v>2.31</v>
      </c>
      <c r="I59" s="84"/>
      <c r="J59" s="87">
        <v>179</v>
      </c>
      <c r="K59" s="85">
        <v>42808.685150462959</v>
      </c>
      <c r="L59" s="84"/>
      <c r="M59" s="128">
        <f t="shared" si="1"/>
        <v>179</v>
      </c>
      <c r="N59" s="47" t="s">
        <v>203</v>
      </c>
      <c r="O59" s="82">
        <v>165.54</v>
      </c>
      <c r="P59" s="46">
        <f t="shared" si="2"/>
        <v>13.460000000000008</v>
      </c>
      <c r="Q59" s="96"/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5">
      <c r="A60" s="29" t="s">
        <v>118</v>
      </c>
      <c r="B60" s="23" t="s">
        <v>597</v>
      </c>
      <c r="C60" s="27" t="s">
        <v>95</v>
      </c>
      <c r="D60" s="81">
        <v>42785</v>
      </c>
      <c r="E60" s="81">
        <v>42843</v>
      </c>
      <c r="F60" s="82">
        <v>466.12</v>
      </c>
      <c r="G60" s="83">
        <v>27.97</v>
      </c>
      <c r="H60" s="83">
        <v>5.59</v>
      </c>
      <c r="I60" s="84">
        <v>159.19999999999999</v>
      </c>
      <c r="J60" s="87">
        <v>273.36</v>
      </c>
      <c r="K60" s="85">
        <v>42814.625208333331</v>
      </c>
      <c r="L60" s="84"/>
      <c r="M60" s="128">
        <f t="shared" si="1"/>
        <v>273.36</v>
      </c>
      <c r="N60" s="47" t="s">
        <v>6</v>
      </c>
      <c r="O60" s="82">
        <v>165.41</v>
      </c>
      <c r="P60" s="46">
        <f t="shared" si="2"/>
        <v>107.95000000000002</v>
      </c>
      <c r="Q60" s="96"/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5">
      <c r="A61" s="29" t="s">
        <v>119</v>
      </c>
      <c r="B61" s="23" t="s">
        <v>598</v>
      </c>
      <c r="C61" s="40" t="s">
        <v>95</v>
      </c>
      <c r="D61" s="81">
        <v>42769</v>
      </c>
      <c r="E61" s="81">
        <v>42827</v>
      </c>
      <c r="F61" s="82">
        <v>461.52</v>
      </c>
      <c r="G61" s="83">
        <v>27.68</v>
      </c>
      <c r="H61" s="83">
        <v>5.54</v>
      </c>
      <c r="I61" s="84"/>
      <c r="J61" s="87">
        <v>428.3</v>
      </c>
      <c r="K61" s="85">
        <v>42808.685150462959</v>
      </c>
      <c r="L61" s="84"/>
      <c r="M61" s="128">
        <f t="shared" si="1"/>
        <v>428.29999999999995</v>
      </c>
      <c r="N61" s="47" t="s">
        <v>6</v>
      </c>
      <c r="O61" s="82">
        <v>201.56</v>
      </c>
      <c r="P61" s="46">
        <f t="shared" si="2"/>
        <v>226.73999999999995</v>
      </c>
      <c r="Q61" s="96"/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5">
      <c r="A62" s="29" t="s">
        <v>75</v>
      </c>
      <c r="B62" s="23" t="s">
        <v>599</v>
      </c>
      <c r="C62" s="27" t="s">
        <v>560</v>
      </c>
      <c r="D62" s="85">
        <v>42704</v>
      </c>
      <c r="E62" s="81">
        <v>42733</v>
      </c>
      <c r="F62" s="89">
        <v>102.4</v>
      </c>
      <c r="G62" s="83">
        <v>6.14</v>
      </c>
      <c r="H62" s="83">
        <v>1.23</v>
      </c>
      <c r="I62" s="84">
        <v>50</v>
      </c>
      <c r="J62" s="87">
        <v>45.03</v>
      </c>
      <c r="K62" s="85">
        <v>42809.579386574071</v>
      </c>
      <c r="L62" s="84"/>
      <c r="M62" s="128">
        <f t="shared" si="1"/>
        <v>45.03</v>
      </c>
      <c r="N62" s="47" t="s">
        <v>259</v>
      </c>
      <c r="O62" s="89">
        <v>171.18</v>
      </c>
      <c r="P62" s="46">
        <f t="shared" si="2"/>
        <v>-126.15</v>
      </c>
      <c r="Q62" s="96"/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5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9" t="str">
        <f t="shared" si="1"/>
        <v/>
      </c>
      <c r="N63" s="54"/>
      <c r="O63" s="91"/>
      <c r="P63" s="127">
        <f t="shared" si="2"/>
        <v>0</v>
      </c>
      <c r="Q63" s="97"/>
      <c r="R63" s="54"/>
      <c r="S63" s="77"/>
      <c r="T63" s="39"/>
      <c r="U63" s="39"/>
      <c r="V63" s="39"/>
    </row>
    <row r="64" spans="1:22" x14ac:dyDescent="0.25">
      <c r="F64" s="14"/>
      <c r="G64" s="14"/>
      <c r="H64" s="14"/>
      <c r="I64" s="14"/>
      <c r="J64" s="14"/>
      <c r="O64" s="10"/>
      <c r="P64" s="10"/>
      <c r="R64" s="10"/>
    </row>
    <row r="65" spans="1:18" ht="14.4" thickBot="1" x14ac:dyDescent="0.3">
      <c r="A65" s="15"/>
      <c r="B65" s="15"/>
      <c r="C65" s="15"/>
      <c r="E65" s="16" t="s">
        <v>19</v>
      </c>
      <c r="F65" s="42">
        <f>SUM(F9:F63)</f>
        <v>21866.600000000006</v>
      </c>
      <c r="G65" s="42">
        <f>SUM(G9:G63)</f>
        <v>1311.8800000000003</v>
      </c>
      <c r="H65" s="42">
        <f>SUM(H9:H63)</f>
        <v>262.39</v>
      </c>
      <c r="I65" s="42">
        <f>SUM(I9:I63)</f>
        <v>1963.5500000000002</v>
      </c>
      <c r="J65" s="42">
        <f>SUM(J9:J63)</f>
        <v>18328.78</v>
      </c>
      <c r="K65" s="41"/>
      <c r="L65" s="42">
        <f>SUM(L9:L63)</f>
        <v>0</v>
      </c>
      <c r="M65" s="42">
        <f>SUM(M9:M63)</f>
        <v>18328.779999999995</v>
      </c>
      <c r="N65" s="41"/>
      <c r="O65" s="42">
        <f>SUM(O9:O63)</f>
        <v>8004.0899999999983</v>
      </c>
      <c r="P65" s="42">
        <f>SUM(P9:P63)</f>
        <v>10324.69</v>
      </c>
      <c r="R65" s="41"/>
    </row>
    <row r="66" spans="1:18" ht="13.8" thickTop="1" x14ac:dyDescent="0.25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5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5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5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5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5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5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5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5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5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5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5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5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5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5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5">
      <c r="Q65532" s="20">
        <v>40611</v>
      </c>
    </row>
  </sheetData>
  <autoFilter ref="B7:U62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Q32 Q40 Q47 E39 Q42 Q36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41"/>
  <sheetViews>
    <sheetView zoomScale="85" zoomScaleNormal="85" workbookViewId="0">
      <selection activeCell="N40" sqref="N40"/>
    </sheetView>
  </sheetViews>
  <sheetFormatPr defaultRowHeight="13.2" x14ac:dyDescent="0.25"/>
  <cols>
    <col min="1" max="1" width="20.6640625" bestFit="1" customWidth="1"/>
    <col min="2" max="2" width="10.109375" bestFit="1" customWidth="1"/>
    <col min="3" max="3" width="11.33203125" bestFit="1" customWidth="1"/>
    <col min="4" max="4" width="7.109375" bestFit="1" customWidth="1"/>
    <col min="5" max="5" width="10.109375" bestFit="1" customWidth="1"/>
    <col min="6" max="6" width="11.33203125" bestFit="1" customWidth="1"/>
    <col min="8" max="8" width="10.109375" bestFit="1" customWidth="1"/>
    <col min="9" max="9" width="11.33203125" bestFit="1" customWidth="1"/>
  </cols>
  <sheetData>
    <row r="1" spans="1:15" x14ac:dyDescent="0.25">
      <c r="A1" s="131" t="s">
        <v>551</v>
      </c>
    </row>
    <row r="2" spans="1:15" x14ac:dyDescent="0.25">
      <c r="A2" s="50"/>
      <c r="B2" s="72"/>
      <c r="C2" s="72"/>
      <c r="D2" s="73"/>
      <c r="E2" s="72"/>
      <c r="F2" s="72"/>
      <c r="G2" s="73"/>
      <c r="H2" s="72"/>
      <c r="I2" s="72"/>
    </row>
    <row r="3" spans="1:15" ht="14.4" x14ac:dyDescent="0.3">
      <c r="A3" s="141" t="s">
        <v>1083</v>
      </c>
    </row>
    <row r="4" spans="1:15" x14ac:dyDescent="0.25">
      <c r="A4" t="s">
        <v>1084</v>
      </c>
      <c r="B4">
        <v>24</v>
      </c>
    </row>
    <row r="5" spans="1:15" x14ac:dyDescent="0.25">
      <c r="A5" t="s">
        <v>1085</v>
      </c>
      <c r="B5">
        <v>80</v>
      </c>
    </row>
    <row r="6" spans="1:15" x14ac:dyDescent="0.25">
      <c r="A6" t="s">
        <v>1086</v>
      </c>
      <c r="B6">
        <v>80</v>
      </c>
    </row>
    <row r="7" spans="1:15" x14ac:dyDescent="0.25">
      <c r="A7" t="s">
        <v>1087</v>
      </c>
      <c r="B7">
        <v>62</v>
      </c>
    </row>
    <row r="8" spans="1:15" x14ac:dyDescent="0.25">
      <c r="A8" t="s">
        <v>1088</v>
      </c>
      <c r="B8">
        <v>6</v>
      </c>
    </row>
    <row r="9" spans="1:15" x14ac:dyDescent="0.25">
      <c r="A9" t="s">
        <v>1089</v>
      </c>
      <c r="B9">
        <v>7</v>
      </c>
    </row>
    <row r="10" spans="1:15" x14ac:dyDescent="0.25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4.4" x14ac:dyDescent="0.3">
      <c r="A11" s="141" t="s">
        <v>1090</v>
      </c>
      <c r="B11" s="141" t="s">
        <v>516</v>
      </c>
      <c r="C11" s="141" t="s">
        <v>518</v>
      </c>
      <c r="D11" s="141" t="s">
        <v>553</v>
      </c>
    </row>
    <row r="12" spans="1:15" x14ac:dyDescent="0.25">
      <c r="A12" t="s">
        <v>1091</v>
      </c>
      <c r="B12" s="142">
        <v>42791.45208333333</v>
      </c>
      <c r="C12">
        <v>-90</v>
      </c>
      <c r="D12" t="s">
        <v>1092</v>
      </c>
    </row>
    <row r="13" spans="1:15" x14ac:dyDescent="0.25">
      <c r="A13" t="s">
        <v>1091</v>
      </c>
      <c r="B13" s="142">
        <v>42789.579861111109</v>
      </c>
      <c r="C13">
        <v>-228</v>
      </c>
      <c r="D13" t="s">
        <v>1093</v>
      </c>
    </row>
    <row r="14" spans="1:15" x14ac:dyDescent="0.25">
      <c r="A14" t="s">
        <v>1091</v>
      </c>
      <c r="B14" s="142">
        <v>42793.711805555555</v>
      </c>
      <c r="C14">
        <v>-200</v>
      </c>
      <c r="D14" t="s">
        <v>1094</v>
      </c>
    </row>
    <row r="15" spans="1:15" x14ac:dyDescent="0.25">
      <c r="A15" t="s">
        <v>1091</v>
      </c>
      <c r="B15" s="142">
        <v>42790.506249999999</v>
      </c>
      <c r="C15">
        <v>-71.28</v>
      </c>
      <c r="D15" t="s">
        <v>1095</v>
      </c>
    </row>
    <row r="16" spans="1:15" x14ac:dyDescent="0.25">
      <c r="A16" t="s">
        <v>1091</v>
      </c>
      <c r="B16" s="142">
        <v>42782.477083333331</v>
      </c>
      <c r="C16">
        <v>-66</v>
      </c>
      <c r="D16" t="s">
        <v>1096</v>
      </c>
    </row>
    <row r="17" spans="1:4" x14ac:dyDescent="0.25">
      <c r="A17" t="s">
        <v>1091</v>
      </c>
      <c r="B17" s="142">
        <v>42789.581250000003</v>
      </c>
      <c r="C17">
        <v>-109.2</v>
      </c>
      <c r="D17" t="s">
        <v>1097</v>
      </c>
    </row>
    <row r="18" spans="1:4" x14ac:dyDescent="0.25">
      <c r="A18" t="s">
        <v>1098</v>
      </c>
      <c r="B18" s="142">
        <v>42821.548356481479</v>
      </c>
      <c r="C18">
        <v>-55</v>
      </c>
      <c r="D18" t="s">
        <v>653</v>
      </c>
    </row>
    <row r="19" spans="1:4" x14ac:dyDescent="0.25">
      <c r="A19" t="s">
        <v>1098</v>
      </c>
      <c r="B19" s="142">
        <v>42802.451527777775</v>
      </c>
      <c r="C19">
        <v>-60</v>
      </c>
      <c r="D19" t="s">
        <v>678</v>
      </c>
    </row>
    <row r="20" spans="1:4" x14ac:dyDescent="0.25">
      <c r="A20" t="s">
        <v>1098</v>
      </c>
      <c r="B20" s="142">
        <v>42822.574942129628</v>
      </c>
      <c r="C20">
        <v>-64.8</v>
      </c>
      <c r="D20" t="s">
        <v>687</v>
      </c>
    </row>
    <row r="21" spans="1:4" x14ac:dyDescent="0.25">
      <c r="A21" t="s">
        <v>1098</v>
      </c>
      <c r="B21" s="142">
        <v>42824.421064814815</v>
      </c>
      <c r="C21">
        <v>-285</v>
      </c>
      <c r="D21" t="s">
        <v>688</v>
      </c>
    </row>
    <row r="22" spans="1:4" x14ac:dyDescent="0.25">
      <c r="A22" t="s">
        <v>1098</v>
      </c>
      <c r="B22" s="142">
        <v>42821.512164351851</v>
      </c>
      <c r="C22">
        <v>-40</v>
      </c>
      <c r="D22" t="s">
        <v>762</v>
      </c>
    </row>
    <row r="23" spans="1:4" x14ac:dyDescent="0.25">
      <c r="A23" t="s">
        <v>1098</v>
      </c>
      <c r="B23" s="142">
        <v>42823.531238425923</v>
      </c>
      <c r="C23">
        <v>-60</v>
      </c>
      <c r="D23" t="s">
        <v>771</v>
      </c>
    </row>
    <row r="24" spans="1:4" x14ac:dyDescent="0.25">
      <c r="A24" t="s">
        <v>1098</v>
      </c>
      <c r="B24" s="142">
        <v>42823.532349537039</v>
      </c>
      <c r="C24">
        <v>-60</v>
      </c>
      <c r="D24" t="s">
        <v>798</v>
      </c>
    </row>
    <row r="26" spans="1:4" ht="14.4" x14ac:dyDescent="0.3">
      <c r="A26" s="141" t="s">
        <v>1099</v>
      </c>
    </row>
    <row r="27" spans="1:4" x14ac:dyDescent="0.25">
      <c r="A27" t="s">
        <v>1100</v>
      </c>
      <c r="B27" t="s">
        <v>525</v>
      </c>
    </row>
    <row r="28" spans="1:4" x14ac:dyDescent="0.25">
      <c r="A28" t="s">
        <v>1101</v>
      </c>
      <c r="B28">
        <v>121</v>
      </c>
    </row>
    <row r="29" spans="1:4" x14ac:dyDescent="0.25">
      <c r="A29" t="s">
        <v>1102</v>
      </c>
      <c r="B29">
        <v>121</v>
      </c>
    </row>
    <row r="30" spans="1:4" x14ac:dyDescent="0.25">
      <c r="A30" t="s">
        <v>1103</v>
      </c>
      <c r="B30">
        <v>0</v>
      </c>
    </row>
    <row r="31" spans="1:4" x14ac:dyDescent="0.25">
      <c r="A31" t="s">
        <v>1104</v>
      </c>
      <c r="B31">
        <v>121</v>
      </c>
      <c r="C31">
        <v>120</v>
      </c>
    </row>
    <row r="32" spans="1:4" x14ac:dyDescent="0.25">
      <c r="A32" t="s">
        <v>1105</v>
      </c>
      <c r="B32">
        <v>0</v>
      </c>
      <c r="C32">
        <v>0</v>
      </c>
    </row>
    <row r="33" spans="1:3" x14ac:dyDescent="0.25">
      <c r="A33" t="s">
        <v>1106</v>
      </c>
      <c r="B33">
        <v>30</v>
      </c>
      <c r="C33">
        <v>30</v>
      </c>
    </row>
    <row r="35" spans="1:3" x14ac:dyDescent="0.25">
      <c r="A35" t="s">
        <v>1100</v>
      </c>
      <c r="B35" t="s">
        <v>526</v>
      </c>
    </row>
    <row r="36" spans="1:3" x14ac:dyDescent="0.25">
      <c r="A36" t="s">
        <v>1101</v>
      </c>
      <c r="B36">
        <v>64</v>
      </c>
    </row>
    <row r="37" spans="1:3" x14ac:dyDescent="0.25">
      <c r="A37" t="s">
        <v>1102</v>
      </c>
      <c r="B37">
        <v>64</v>
      </c>
    </row>
    <row r="38" spans="1:3" x14ac:dyDescent="0.25">
      <c r="A38" t="s">
        <v>1103</v>
      </c>
      <c r="B38">
        <v>0</v>
      </c>
    </row>
    <row r="39" spans="1:3" x14ac:dyDescent="0.25">
      <c r="A39" t="s">
        <v>1104</v>
      </c>
      <c r="B39">
        <v>64</v>
      </c>
      <c r="C39">
        <v>64</v>
      </c>
    </row>
    <row r="40" spans="1:3" x14ac:dyDescent="0.25">
      <c r="A40" t="s">
        <v>1105</v>
      </c>
      <c r="B40">
        <v>0</v>
      </c>
      <c r="C40">
        <v>0</v>
      </c>
    </row>
    <row r="41" spans="1:3" x14ac:dyDescent="0.25">
      <c r="A41" t="s">
        <v>1106</v>
      </c>
      <c r="B41">
        <v>16</v>
      </c>
      <c r="C41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Q50"/>
  <sheetViews>
    <sheetView zoomScale="85" zoomScaleNormal="85" workbookViewId="0">
      <selection activeCell="W1" sqref="W1:W1048576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524</v>
      </c>
      <c r="B1" s="105"/>
    </row>
    <row r="2" spans="1:9" ht="14.4" x14ac:dyDescent="0.3">
      <c r="A2" s="105"/>
      <c r="B2" s="105"/>
    </row>
    <row r="3" spans="1:9" x14ac:dyDescent="0.25">
      <c r="E3" t="s">
        <v>400</v>
      </c>
      <c r="H3" t="s">
        <v>401</v>
      </c>
    </row>
    <row r="4" spans="1:9" x14ac:dyDescent="0.25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5">
      <c r="A5" t="s">
        <v>215</v>
      </c>
      <c r="B5" s="52">
        <v>21866.600000000006</v>
      </c>
      <c r="E5" s="52">
        <v>14326.480000000001</v>
      </c>
      <c r="H5" s="52">
        <v>7540.12</v>
      </c>
    </row>
    <row r="6" spans="1:9" x14ac:dyDescent="0.25">
      <c r="A6" t="s">
        <v>214</v>
      </c>
      <c r="C6" s="55">
        <v>-8004.0899999999983</v>
      </c>
      <c r="F6" s="55">
        <v>-4508.5300000000007</v>
      </c>
      <c r="I6" s="55">
        <v>-3495.559999999999</v>
      </c>
    </row>
    <row r="7" spans="1:9" x14ac:dyDescent="0.25">
      <c r="A7" t="s">
        <v>213</v>
      </c>
      <c r="C7" s="55">
        <v>-1311.8800000000003</v>
      </c>
      <c r="F7" s="55">
        <v>-859.5</v>
      </c>
      <c r="I7" s="55">
        <v>-452.38</v>
      </c>
    </row>
    <row r="8" spans="1:9" x14ac:dyDescent="0.25">
      <c r="A8" t="s">
        <v>212</v>
      </c>
      <c r="C8" s="55">
        <v>-262.39</v>
      </c>
      <c r="F8" s="55">
        <v>-171.90999999999997</v>
      </c>
      <c r="I8" s="55">
        <v>-90.480000000000032</v>
      </c>
    </row>
    <row r="9" spans="1:9" x14ac:dyDescent="0.25">
      <c r="A9" t="s">
        <v>211</v>
      </c>
      <c r="C9" s="55">
        <v>-1963.5500000000002</v>
      </c>
      <c r="F9" s="55">
        <v>-1279.3499999999999</v>
      </c>
      <c r="I9" s="55">
        <v>-684.2</v>
      </c>
    </row>
    <row r="10" spans="1:9" x14ac:dyDescent="0.25">
      <c r="A10" s="56" t="s">
        <v>402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210</v>
      </c>
      <c r="B12" s="51">
        <v>10324.690000000006</v>
      </c>
      <c r="D12" s="53"/>
      <c r="E12" s="51">
        <v>7507.1900000000005</v>
      </c>
      <c r="H12" s="51">
        <v>2817.5000000000009</v>
      </c>
    </row>
    <row r="13" spans="1:9" ht="15" thickTop="1" x14ac:dyDescent="0.3">
      <c r="A13" s="106"/>
      <c r="B13" s="106"/>
      <c r="C13" s="142"/>
      <c r="F13" s="142"/>
    </row>
    <row r="14" spans="1:9" ht="28.8" x14ac:dyDescent="0.3">
      <c r="A14" s="106"/>
      <c r="B14" s="107" t="s">
        <v>525</v>
      </c>
      <c r="C14" s="107" t="s">
        <v>526</v>
      </c>
      <c r="D14" s="108" t="s">
        <v>600</v>
      </c>
      <c r="E14" s="109" t="s">
        <v>525</v>
      </c>
      <c r="F14" s="110" t="s">
        <v>526</v>
      </c>
    </row>
    <row r="15" spans="1:9" ht="14.4" x14ac:dyDescent="0.3">
      <c r="A15" s="106" t="s">
        <v>527</v>
      </c>
      <c r="B15" s="103">
        <v>7507.1900000000005</v>
      </c>
      <c r="C15" s="103">
        <v>2817.5000000000009</v>
      </c>
      <c r="D15" s="111"/>
      <c r="E15" s="112">
        <v>0.72711045077382452</v>
      </c>
      <c r="F15" s="113">
        <v>0.27288954922617537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521</v>
      </c>
      <c r="B17" s="103">
        <v>-4399.6000000000004</v>
      </c>
      <c r="C17" s="103">
        <v>-3495.5600000000004</v>
      </c>
      <c r="D17" s="118"/>
      <c r="E17" s="119"/>
      <c r="F17" s="120"/>
      <c r="H17" t="s">
        <v>522</v>
      </c>
    </row>
    <row r="18" spans="1:17" x14ac:dyDescent="0.25">
      <c r="A18" s="102" t="s">
        <v>25</v>
      </c>
      <c r="B18" s="103">
        <v>13393.970000000001</v>
      </c>
      <c r="C18" s="103">
        <v>6377.35</v>
      </c>
      <c r="D18" s="118"/>
      <c r="E18" s="119"/>
      <c r="F18" s="120"/>
      <c r="H18" t="s">
        <v>523</v>
      </c>
    </row>
    <row r="19" spans="1:17" x14ac:dyDescent="0.25">
      <c r="A19" s="102"/>
      <c r="B19" s="104">
        <v>8994.3700000000008</v>
      </c>
      <c r="C19" s="104">
        <v>2881.79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528</v>
      </c>
      <c r="B21" s="103">
        <v>-550</v>
      </c>
      <c r="C21" s="103">
        <v>-550</v>
      </c>
      <c r="D21" s="118"/>
      <c r="E21" s="119"/>
      <c r="F21" s="120"/>
      <c r="H21" t="s">
        <v>529</v>
      </c>
    </row>
    <row r="22" spans="1:17" x14ac:dyDescent="0.25">
      <c r="A22" s="142" t="s">
        <v>530</v>
      </c>
      <c r="B22" s="103">
        <v>-50</v>
      </c>
      <c r="C22" s="103">
        <v>-50</v>
      </c>
      <c r="D22" s="118"/>
      <c r="E22" s="119"/>
      <c r="F22" s="120"/>
      <c r="H22" s="142" t="s">
        <v>531</v>
      </c>
    </row>
    <row r="23" spans="1:17" x14ac:dyDescent="0.25">
      <c r="A23" s="142"/>
      <c r="B23" s="103"/>
      <c r="C23" s="103"/>
      <c r="D23" s="118"/>
      <c r="E23" s="119"/>
      <c r="F23" s="120"/>
      <c r="H23" s="142"/>
    </row>
    <row r="24" spans="1:17" x14ac:dyDescent="0.25">
      <c r="A24" s="142" t="s">
        <v>536</v>
      </c>
      <c r="B24" s="103">
        <v>-122.8</v>
      </c>
      <c r="C24" s="103">
        <v>-81.459999999999994</v>
      </c>
      <c r="D24" s="118"/>
      <c r="E24" s="119">
        <v>0</v>
      </c>
      <c r="F24" s="120">
        <v>0</v>
      </c>
      <c r="H24" s="142" t="s">
        <v>537</v>
      </c>
    </row>
    <row r="25" spans="1:17" x14ac:dyDescent="0.25">
      <c r="A25" s="142" t="s">
        <v>543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2" t="s">
        <v>544</v>
      </c>
    </row>
    <row r="26" spans="1:17" x14ac:dyDescent="0.25">
      <c r="A26" s="142" t="s">
        <v>545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42" t="s">
        <v>546</v>
      </c>
    </row>
    <row r="27" spans="1:17" x14ac:dyDescent="0.25">
      <c r="A27" s="142"/>
      <c r="B27" s="103"/>
      <c r="C27" s="103"/>
      <c r="D27" s="118"/>
      <c r="E27" s="119"/>
      <c r="F27" s="120"/>
      <c r="H27" s="142"/>
    </row>
    <row r="28" spans="1:17" x14ac:dyDescent="0.25">
      <c r="A28" s="138" t="s">
        <v>603</v>
      </c>
      <c r="B28" s="103"/>
      <c r="C28" s="103"/>
      <c r="D28" s="118"/>
      <c r="E28" s="119"/>
      <c r="F28" s="120"/>
      <c r="H28" s="142"/>
    </row>
    <row r="29" spans="1:17" x14ac:dyDescent="0.25">
      <c r="A29" t="s">
        <v>532</v>
      </c>
      <c r="B29" s="103">
        <v>0</v>
      </c>
      <c r="C29" s="103">
        <v>-200</v>
      </c>
      <c r="D29" s="118">
        <v>-200</v>
      </c>
      <c r="E29" s="119">
        <v>-145.4220901547649</v>
      </c>
      <c r="F29" s="120">
        <v>-54.577909845235069</v>
      </c>
      <c r="H29" t="s">
        <v>533</v>
      </c>
      <c r="J29" s="56"/>
      <c r="Q29" s="56"/>
    </row>
    <row r="30" spans="1:17" x14ac:dyDescent="0.25">
      <c r="A30" s="142" t="s">
        <v>534</v>
      </c>
      <c r="B30" s="103">
        <v>0</v>
      </c>
      <c r="C30" s="103">
        <v>-2744.9700000000003</v>
      </c>
      <c r="D30" s="118">
        <v>-2744.9700000000003</v>
      </c>
      <c r="E30" s="119">
        <v>-1995.8963740606252</v>
      </c>
      <c r="F30" s="120">
        <v>-749.07362593937466</v>
      </c>
      <c r="H30" s="142" t="s">
        <v>535</v>
      </c>
      <c r="Q30" s="56"/>
    </row>
    <row r="31" spans="1:17" x14ac:dyDescent="0.25">
      <c r="A31" s="142" t="s">
        <v>538</v>
      </c>
      <c r="B31" s="103">
        <v>0</v>
      </c>
      <c r="C31" s="103">
        <v>-75.63</v>
      </c>
      <c r="D31" s="118">
        <v>-75.63</v>
      </c>
      <c r="E31" s="119">
        <v>-54.991363392024347</v>
      </c>
      <c r="F31" s="120">
        <v>-20.638636607975641</v>
      </c>
      <c r="H31" t="s">
        <v>539</v>
      </c>
    </row>
    <row r="32" spans="1:17" x14ac:dyDescent="0.25">
      <c r="A32" s="142" t="s">
        <v>540</v>
      </c>
      <c r="B32" s="103">
        <v>0</v>
      </c>
      <c r="C32" s="103">
        <v>-101.49000000000001</v>
      </c>
      <c r="D32" s="118">
        <v>-101.49000000000001</v>
      </c>
      <c r="E32" s="119">
        <v>-73.794439649035453</v>
      </c>
      <c r="F32" s="120">
        <v>-27.695560350964541</v>
      </c>
      <c r="H32" t="s">
        <v>541</v>
      </c>
    </row>
    <row r="33" spans="1:8" ht="14.4" x14ac:dyDescent="0.3">
      <c r="A33" s="142" t="s">
        <v>542</v>
      </c>
      <c r="B33" s="121">
        <v>-1137.1400000000001</v>
      </c>
      <c r="C33" s="103">
        <v>-2300</v>
      </c>
      <c r="D33" s="118">
        <v>-3437.1400000000003</v>
      </c>
      <c r="E33" s="119">
        <v>-2499.1804147727435</v>
      </c>
      <c r="F33" s="120">
        <v>-937.95958522725653</v>
      </c>
      <c r="H33" s="56" t="s">
        <v>1107</v>
      </c>
    </row>
    <row r="34" spans="1:8" x14ac:dyDescent="0.25">
      <c r="A34" s="142" t="s">
        <v>25</v>
      </c>
      <c r="B34" s="103">
        <v>0</v>
      </c>
      <c r="C34" s="103">
        <v>0</v>
      </c>
      <c r="D34" s="118">
        <v>0</v>
      </c>
      <c r="E34" s="119">
        <v>0</v>
      </c>
      <c r="F34" s="120">
        <v>0</v>
      </c>
      <c r="H34" s="142" t="s">
        <v>547</v>
      </c>
    </row>
    <row r="35" spans="1:8" x14ac:dyDescent="0.25">
      <c r="B35" s="122">
        <v>-2379.44</v>
      </c>
      <c r="C35" s="122">
        <v>-6136.55</v>
      </c>
      <c r="D35" s="123">
        <v>-6559.2300000000005</v>
      </c>
      <c r="E35" s="124">
        <v>-4769.2846820291934</v>
      </c>
      <c r="F35" s="122">
        <v>-1789.9453179708064</v>
      </c>
    </row>
    <row r="36" spans="1:8" x14ac:dyDescent="0.25">
      <c r="B36" s="136"/>
      <c r="C36" s="136"/>
      <c r="D36" s="136"/>
      <c r="E36" s="119"/>
      <c r="F36" s="136"/>
    </row>
    <row r="37" spans="1:8" x14ac:dyDescent="0.25">
      <c r="A37" s="137" t="s">
        <v>601</v>
      </c>
      <c r="E37" s="103">
        <v>-1137.1400000000001</v>
      </c>
      <c r="F37" s="103">
        <v>-5422.09</v>
      </c>
    </row>
    <row r="38" spans="1:8" x14ac:dyDescent="0.25">
      <c r="A38" s="134" t="s">
        <v>602</v>
      </c>
      <c r="E38" s="126">
        <v>-2609.16</v>
      </c>
      <c r="F38" s="103">
        <v>2609.16</v>
      </c>
      <c r="H38" t="s">
        <v>548</v>
      </c>
    </row>
    <row r="39" spans="1:8" x14ac:dyDescent="0.25">
      <c r="E39" s="125"/>
      <c r="F39" s="103"/>
    </row>
    <row r="40" spans="1:8" x14ac:dyDescent="0.25">
      <c r="A40" t="s">
        <v>549</v>
      </c>
      <c r="E40" s="124">
        <v>-1022.9846820291932</v>
      </c>
      <c r="F40" s="124">
        <v>1022.9846820291941</v>
      </c>
    </row>
    <row r="41" spans="1:8" x14ac:dyDescent="0.25">
      <c r="A41" s="139" t="s">
        <v>604</v>
      </c>
    </row>
    <row r="42" spans="1:8" x14ac:dyDescent="0.25">
      <c r="A42" s="139"/>
      <c r="E42" s="126"/>
    </row>
    <row r="43" spans="1:8" x14ac:dyDescent="0.25">
      <c r="A43" s="134" t="s">
        <v>605</v>
      </c>
      <c r="E43" s="126">
        <v>-202.04000000000011</v>
      </c>
    </row>
    <row r="44" spans="1:8" x14ac:dyDescent="0.25">
      <c r="A44" s="56" t="s">
        <v>606</v>
      </c>
      <c r="E44" s="103">
        <v>636.38249999999994</v>
      </c>
    </row>
    <row r="45" spans="1:8" x14ac:dyDescent="0.25">
      <c r="A45" s="139"/>
    </row>
    <row r="46" spans="1:8" x14ac:dyDescent="0.25">
      <c r="A46" s="139"/>
      <c r="E46" s="122">
        <v>-588.64218202919346</v>
      </c>
    </row>
    <row r="48" spans="1:8" x14ac:dyDescent="0.25">
      <c r="A48" s="50" t="s">
        <v>550</v>
      </c>
    </row>
    <row r="49" spans="1:1" x14ac:dyDescent="0.25">
      <c r="A49" s="56" t="s">
        <v>1108</v>
      </c>
    </row>
    <row r="50" spans="1:1" x14ac:dyDescent="0.25">
      <c r="A50" s="56" t="s">
        <v>1109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0"/>
  <sheetViews>
    <sheetView tabSelected="1" zoomScale="85" zoomScaleNormal="85" workbookViewId="0">
      <selection activeCell="C10" sqref="C10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524</v>
      </c>
      <c r="B1" s="105"/>
    </row>
    <row r="2" spans="1:9" ht="14.4" x14ac:dyDescent="0.3">
      <c r="A2" s="105"/>
      <c r="B2" s="105"/>
    </row>
    <row r="3" spans="1:9" x14ac:dyDescent="0.25">
      <c r="E3" t="s">
        <v>400</v>
      </c>
      <c r="H3" t="s">
        <v>401</v>
      </c>
    </row>
    <row r="4" spans="1:9" x14ac:dyDescent="0.25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5">
      <c r="A5" t="s">
        <v>215</v>
      </c>
      <c r="B5" s="52">
        <f>SUM('Rent Statement'!F10:F63)</f>
        <v>21866.600000000006</v>
      </c>
      <c r="E5" s="52">
        <f>SUMIF('Rent Statement'!S10:S63,"=Mathew Tucker", 'Rent Statement'!F10:F63)</f>
        <v>14326.480000000001</v>
      </c>
      <c r="H5" s="52">
        <f>SUMIF('Rent Statement'!S10:S63,"Ivana Valentino", 'Rent Statement'!F10:F63)</f>
        <v>7540.12</v>
      </c>
    </row>
    <row r="6" spans="1:9" x14ac:dyDescent="0.25">
      <c r="A6" t="s">
        <v>214</v>
      </c>
      <c r="C6" s="55">
        <f>-SUM('Rent Statement'!O10:O63)</f>
        <v>-8004.0899999999983</v>
      </c>
      <c r="F6" s="55">
        <f>-SUMIF('Rent Statement'!S10:S63,"Mathew Tucker",'Rent Statement'!O10:O63)</f>
        <v>-4508.5300000000007</v>
      </c>
      <c r="I6" s="55">
        <f>-SUMIF('Rent Statement'!S10:S63,"Ivana Valentino",'Rent Statement'!O10:O63)</f>
        <v>-3495.559999999999</v>
      </c>
    </row>
    <row r="7" spans="1:9" x14ac:dyDescent="0.25">
      <c r="A7" t="s">
        <v>213</v>
      </c>
      <c r="C7" s="55">
        <f>-SUM('Rent Statement'!G10:G63)</f>
        <v>-1311.8800000000003</v>
      </c>
      <c r="F7" s="55">
        <f>-SUMIF('Rent Statement'!S10:S63,"Mathew Tucker",'Rent Statement'!G10:G63)</f>
        <v>-859.5</v>
      </c>
      <c r="I7" s="55">
        <f>-SUMIF('Rent Statement'!S10:S63,"Ivana Valentino",'Rent Statement'!G10:G63)</f>
        <v>-452.38</v>
      </c>
    </row>
    <row r="8" spans="1:9" x14ac:dyDescent="0.25">
      <c r="A8" t="s">
        <v>212</v>
      </c>
      <c r="C8" s="55">
        <f>-SUM('Rent Statement'!H10:H63)</f>
        <v>-262.39</v>
      </c>
      <c r="F8" s="55">
        <f>-SUMIF('Rent Statement'!S10:S63,"Mathew Tucker",'Rent Statement'!H10:H63)</f>
        <v>-171.90999999999997</v>
      </c>
      <c r="I8" s="55">
        <f>-SUMIF('Rent Statement'!S10:S63,"Ivana Valentino",'Rent Statement'!H10:H63)</f>
        <v>-90.480000000000032</v>
      </c>
    </row>
    <row r="9" spans="1:9" x14ac:dyDescent="0.25">
      <c r="A9" t="s">
        <v>211</v>
      </c>
      <c r="C9" s="55">
        <f>-SUM('Rent Statement'!I10:I63)-SUM('Rent Statement'!L10:L63)</f>
        <v>-1963.5500000000002</v>
      </c>
      <c r="F9" s="55">
        <f>-SUMIF('Rent Statement'!S10:S63,"Mathew Tucker",'Rent Statement'!I10:I63)-SUMIF('Rent Statement'!S10:S63,"Mathew Tucker",'Rent Statement'!L10:L63)</f>
        <v>-1279.3499999999999</v>
      </c>
      <c r="I9" s="55">
        <f>-SUMIF('Rent Statement'!S10:S63,"Ivana Valentino",'Rent Statement'!I10:I63)-SUMIF('Rent Statement'!S10:S63,"Ivana Valentino",'Rent Statement'!L10:L63)</f>
        <v>-684.2</v>
      </c>
    </row>
    <row r="10" spans="1:9" x14ac:dyDescent="0.25">
      <c r="A10" s="56" t="s">
        <v>402</v>
      </c>
      <c r="C10" s="55"/>
      <c r="F10" s="55">
        <f>-((SUMIF('Rent Statement'!S10:S63,"Mathew Tucker/Ivana Valentino",'Rent Statement'!I10:I63)/3)*2)-(SUMIF('Rent Statement'!S10:S63,"Lordswood Estates",'Rent Statement'!I10:I63)/2)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5">
      <c r="B11" s="52"/>
    </row>
    <row r="12" spans="1:9" ht="13.8" thickBot="1" x14ac:dyDescent="0.3">
      <c r="A12" t="s">
        <v>210</v>
      </c>
      <c r="B12" s="51">
        <f>B5+SUM(C6:C9)</f>
        <v>10324.690000000006</v>
      </c>
      <c r="D12" s="53"/>
      <c r="E12" s="51">
        <f>E5+SUM(F6:F10)</f>
        <v>7507.1900000000005</v>
      </c>
      <c r="H12" s="51">
        <f>H5+SUM(I6:I10)</f>
        <v>2817.5000000000009</v>
      </c>
    </row>
    <row r="13" spans="1:9" ht="15" thickTop="1" x14ac:dyDescent="0.3">
      <c r="A13" s="106"/>
      <c r="B13" s="106"/>
      <c r="C13" s="101"/>
      <c r="F13" s="101"/>
    </row>
    <row r="14" spans="1:9" ht="28.8" x14ac:dyDescent="0.3">
      <c r="A14" s="106"/>
      <c r="B14" s="107" t="s">
        <v>525</v>
      </c>
      <c r="C14" s="107" t="s">
        <v>526</v>
      </c>
      <c r="D14" s="108" t="s">
        <v>600</v>
      </c>
      <c r="E14" s="109" t="s">
        <v>525</v>
      </c>
      <c r="F14" s="110" t="s">
        <v>526</v>
      </c>
    </row>
    <row r="15" spans="1:9" ht="14.4" x14ac:dyDescent="0.3">
      <c r="A15" s="106" t="s">
        <v>527</v>
      </c>
      <c r="B15" s="103">
        <f>E12</f>
        <v>7507.1900000000005</v>
      </c>
      <c r="C15" s="103">
        <f>H12</f>
        <v>2817.5000000000009</v>
      </c>
      <c r="D15" s="111"/>
      <c r="E15" s="112">
        <f>IFERROR(B15/($B$15+$C$15),"")</f>
        <v>0.72711045077382452</v>
      </c>
      <c r="F15" s="113">
        <f>IFERROR(C15/($B$15+$C$15),"")</f>
        <v>0.27288954922617537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521</v>
      </c>
      <c r="B17" s="103">
        <f ca="1">_xll.EVAL("SUM(SUMIFS(MT_Amount, MT_BankRef," &amp;$H17&amp; "))")</f>
        <v>-4399.6000000000004</v>
      </c>
      <c r="C17" s="103">
        <f ca="1">_xll.EVAL("SUM(SUMIFS(IV_Amount, IV_BankRef," &amp;$H17&amp; "))")</f>
        <v>-3495.5600000000004</v>
      </c>
      <c r="D17" s="118"/>
      <c r="E17" s="119"/>
      <c r="F17" s="120"/>
      <c r="H17" t="s">
        <v>522</v>
      </c>
    </row>
    <row r="18" spans="1:17" x14ac:dyDescent="0.25">
      <c r="A18" s="102" t="s">
        <v>25</v>
      </c>
      <c r="B18" s="103">
        <f ca="1">_xll.EVAL("SUM(SUMIFS(MT_Amount, MT_BankRef," &amp;$H18&amp; "))")</f>
        <v>13393.970000000001</v>
      </c>
      <c r="C18" s="103">
        <f ca="1">_xll.EVAL("SUM(SUMIFS(IV_Amount, IV_BankRef," &amp;$H18&amp; "))")</f>
        <v>6377.35</v>
      </c>
      <c r="D18" s="118"/>
      <c r="E18" s="119"/>
      <c r="F18" s="120"/>
      <c r="H18" t="s">
        <v>523</v>
      </c>
    </row>
    <row r="19" spans="1:17" x14ac:dyDescent="0.25">
      <c r="A19" s="102"/>
      <c r="B19" s="104">
        <f ca="1">SUM(B17:B18)</f>
        <v>8994.3700000000008</v>
      </c>
      <c r="C19" s="104">
        <f ca="1">SUM(C17:C18)</f>
        <v>2881.79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528</v>
      </c>
      <c r="B21" s="103">
        <f t="shared" ref="B21:B34" ca="1" si="0">_xll.EVAL("SUM(SUMIFS(MT_Amount, MT_BankRef," &amp;$H21&amp; "))")</f>
        <v>-550</v>
      </c>
      <c r="C21" s="103">
        <f t="shared" ref="C21:C34" ca="1" si="1">_xll.EVAL("SUM(SUMIFS(IV_Amount, IV_BankRef," &amp;$H21&amp; "))")</f>
        <v>-550</v>
      </c>
      <c r="D21" s="118"/>
      <c r="E21" s="119"/>
      <c r="F21" s="120"/>
      <c r="H21" t="s">
        <v>529</v>
      </c>
    </row>
    <row r="22" spans="1:17" x14ac:dyDescent="0.25">
      <c r="A22" s="133" t="s">
        <v>530</v>
      </c>
      <c r="B22" s="103">
        <f t="shared" ca="1" si="0"/>
        <v>-50</v>
      </c>
      <c r="C22" s="103">
        <f t="shared" ca="1" si="1"/>
        <v>-50</v>
      </c>
      <c r="D22" s="118"/>
      <c r="E22" s="119"/>
      <c r="F22" s="120"/>
      <c r="H22" s="133" t="s">
        <v>531</v>
      </c>
    </row>
    <row r="23" spans="1:17" x14ac:dyDescent="0.25">
      <c r="A23" s="133"/>
      <c r="B23" s="103"/>
      <c r="C23" s="103"/>
      <c r="D23" s="118"/>
      <c r="E23" s="119"/>
      <c r="F23" s="120"/>
      <c r="H23" s="133"/>
    </row>
    <row r="24" spans="1:17" x14ac:dyDescent="0.25">
      <c r="A24" s="133" t="s">
        <v>536</v>
      </c>
      <c r="B24" s="103">
        <f ca="1">_xll.EVAL("SUM(SUMIFS(MT_Amount, MT_BankRef," &amp;$H24&amp; "))")</f>
        <v>-122.8</v>
      </c>
      <c r="C24" s="103">
        <f ca="1">_xll.EVAL("SUM(SUMIFS(IV_Amount, IV_BankRef," &amp;$H24&amp; "))")</f>
        <v>-81.459999999999994</v>
      </c>
      <c r="D24" s="118"/>
      <c r="E24" s="119">
        <f t="shared" ref="E24:F26" si="2">IFERROR(($D24)*E$15,"")</f>
        <v>0</v>
      </c>
      <c r="F24" s="120">
        <f t="shared" si="2"/>
        <v>0</v>
      </c>
      <c r="H24" s="133" t="s">
        <v>537</v>
      </c>
    </row>
    <row r="25" spans="1:17" x14ac:dyDescent="0.25">
      <c r="A25" s="133" t="s">
        <v>543</v>
      </c>
      <c r="B25" s="103">
        <f ca="1">_xll.EVAL("SUM(SUMIFS(MT_Amount, MT_BankRef," &amp;$H25&amp; "))")</f>
        <v>0</v>
      </c>
      <c r="C25" s="103">
        <f ca="1">_xll.EVAL("SUM(SUMIFS(IV_Amount, IV_BankRef," &amp;$H25&amp; "))")</f>
        <v>-33</v>
      </c>
      <c r="D25" s="118"/>
      <c r="E25" s="119">
        <f t="shared" si="2"/>
        <v>0</v>
      </c>
      <c r="F25" s="120">
        <f t="shared" si="2"/>
        <v>0</v>
      </c>
      <c r="H25" s="133" t="s">
        <v>544</v>
      </c>
    </row>
    <row r="26" spans="1:17" x14ac:dyDescent="0.25">
      <c r="A26" s="133" t="s">
        <v>545</v>
      </c>
      <c r="B26" s="103">
        <f ca="1">_xll.EVAL("SUM(SUMIFS(MT_Amount, MT_BankRef," &amp;$H26&amp; "))")</f>
        <v>-519.5</v>
      </c>
      <c r="C26" s="103">
        <f ca="1">_xll.EVAL("SUM(SUMIFS(IV_Amount, IV_BankRef," &amp;$H26&amp; "))")</f>
        <v>0</v>
      </c>
      <c r="D26" s="118"/>
      <c r="E26" s="119">
        <f t="shared" si="2"/>
        <v>0</v>
      </c>
      <c r="F26" s="120">
        <f t="shared" si="2"/>
        <v>0</v>
      </c>
      <c r="H26" s="133" t="s">
        <v>546</v>
      </c>
    </row>
    <row r="27" spans="1:17" x14ac:dyDescent="0.25">
      <c r="A27" s="133"/>
      <c r="B27" s="103"/>
      <c r="C27" s="103"/>
      <c r="D27" s="118"/>
      <c r="E27" s="119"/>
      <c r="F27" s="120"/>
      <c r="H27" s="133"/>
    </row>
    <row r="28" spans="1:17" x14ac:dyDescent="0.25">
      <c r="A28" s="138" t="s">
        <v>603</v>
      </c>
      <c r="B28" s="103"/>
      <c r="C28" s="103"/>
      <c r="D28" s="118"/>
      <c r="E28" s="119"/>
      <c r="F28" s="120"/>
      <c r="H28" s="133"/>
    </row>
    <row r="29" spans="1:17" x14ac:dyDescent="0.25">
      <c r="A29" t="s">
        <v>532</v>
      </c>
      <c r="B29" s="103">
        <f t="shared" ca="1" si="0"/>
        <v>0</v>
      </c>
      <c r="C29" s="103">
        <f t="shared" ca="1" si="1"/>
        <v>-200</v>
      </c>
      <c r="D29" s="118">
        <f t="shared" ref="D29:D34" ca="1" si="3">B29+C29</f>
        <v>-200</v>
      </c>
      <c r="E29" s="119">
        <f ca="1">IFERROR(($D29)*E$15,"")</f>
        <v>-145.4220901547649</v>
      </c>
      <c r="F29" s="120">
        <f ca="1">IFERROR(($D29)*F$15,"")</f>
        <v>-54.577909845235069</v>
      </c>
      <c r="H29" t="s">
        <v>533</v>
      </c>
      <c r="J29" s="56"/>
      <c r="Q29" s="56"/>
    </row>
    <row r="30" spans="1:17" x14ac:dyDescent="0.25">
      <c r="A30" s="133" t="s">
        <v>534</v>
      </c>
      <c r="B30" s="103">
        <f t="shared" ca="1" si="0"/>
        <v>0</v>
      </c>
      <c r="C30" s="103">
        <f t="shared" ca="1" si="1"/>
        <v>-2744.9700000000003</v>
      </c>
      <c r="D30" s="118">
        <f t="shared" ca="1" si="3"/>
        <v>-2744.9700000000003</v>
      </c>
      <c r="E30" s="119">
        <f t="shared" ref="E30:F34" ca="1" si="4">IFERROR(($D30)*E$15,"")</f>
        <v>-1995.8963740606252</v>
      </c>
      <c r="F30" s="120">
        <f t="shared" ca="1" si="4"/>
        <v>-749.07362593937466</v>
      </c>
      <c r="H30" s="133" t="s">
        <v>535</v>
      </c>
      <c r="Q30" s="56"/>
    </row>
    <row r="31" spans="1:17" x14ac:dyDescent="0.25">
      <c r="A31" s="133" t="s">
        <v>538</v>
      </c>
      <c r="B31" s="103">
        <f t="shared" ca="1" si="0"/>
        <v>0</v>
      </c>
      <c r="C31" s="103">
        <f t="shared" ca="1" si="1"/>
        <v>-75.63</v>
      </c>
      <c r="D31" s="118">
        <f t="shared" ca="1" si="3"/>
        <v>-75.63</v>
      </c>
      <c r="E31" s="119">
        <f t="shared" ca="1" si="4"/>
        <v>-54.991363392024347</v>
      </c>
      <c r="F31" s="120">
        <f t="shared" ca="1" si="4"/>
        <v>-20.638636607975641</v>
      </c>
      <c r="H31" t="s">
        <v>539</v>
      </c>
    </row>
    <row r="32" spans="1:17" x14ac:dyDescent="0.25">
      <c r="A32" s="133" t="s">
        <v>540</v>
      </c>
      <c r="B32" s="103">
        <f t="shared" ca="1" si="0"/>
        <v>0</v>
      </c>
      <c r="C32" s="103">
        <f t="shared" ca="1" si="1"/>
        <v>-101.49000000000001</v>
      </c>
      <c r="D32" s="118">
        <f t="shared" ca="1" si="3"/>
        <v>-101.49000000000001</v>
      </c>
      <c r="E32" s="119">
        <f t="shared" ca="1" si="4"/>
        <v>-73.794439649035453</v>
      </c>
      <c r="F32" s="120">
        <f t="shared" ca="1" si="4"/>
        <v>-27.695560350964541</v>
      </c>
      <c r="H32" t="s">
        <v>541</v>
      </c>
    </row>
    <row r="33" spans="1:8" ht="14.4" x14ac:dyDescent="0.3">
      <c r="A33" s="133" t="s">
        <v>542</v>
      </c>
      <c r="B33" s="121">
        <f t="shared" ca="1" si="0"/>
        <v>-1137.1400000000001</v>
      </c>
      <c r="C33" s="103">
        <f ca="1">_xll.EVAL("SUM(SUMIFS(IV_Amount, IV_BankRef," &amp;$H33&amp; "))")-SUMIFS(IV_Amount_4040, IV_BankRef_4040,"=X")</f>
        <v>-2300</v>
      </c>
      <c r="D33" s="118">
        <f t="shared" ca="1" si="3"/>
        <v>-3437.1400000000003</v>
      </c>
      <c r="E33" s="119">
        <f t="shared" ca="1" si="4"/>
        <v>-2499.1804147727435</v>
      </c>
      <c r="F33" s="120">
        <f t="shared" ca="1" si="4"/>
        <v>-937.95958522725653</v>
      </c>
      <c r="H33" s="56" t="s">
        <v>1107</v>
      </c>
    </row>
    <row r="34" spans="1:8" x14ac:dyDescent="0.25">
      <c r="A34" s="133" t="s">
        <v>25</v>
      </c>
      <c r="B34" s="103">
        <f t="shared" ca="1" si="0"/>
        <v>0</v>
      </c>
      <c r="C34" s="103">
        <f t="shared" ca="1" si="1"/>
        <v>0</v>
      </c>
      <c r="D34" s="118">
        <f t="shared" ca="1" si="3"/>
        <v>0</v>
      </c>
      <c r="E34" s="119">
        <f t="shared" ca="1" si="4"/>
        <v>0</v>
      </c>
      <c r="F34" s="120">
        <f t="shared" ca="1" si="4"/>
        <v>0</v>
      </c>
      <c r="H34" s="133" t="s">
        <v>547</v>
      </c>
    </row>
    <row r="35" spans="1:8" x14ac:dyDescent="0.25">
      <c r="B35" s="122">
        <f ca="1">SUBTOTAL(9,B21:B34)</f>
        <v>-2379.44</v>
      </c>
      <c r="C35" s="122">
        <f ca="1">SUBTOTAL(9,C21:C34)</f>
        <v>-6136.55</v>
      </c>
      <c r="D35" s="123">
        <f ca="1">SUBTOTAL(9,D21:D34)</f>
        <v>-6559.2300000000005</v>
      </c>
      <c r="E35" s="124">
        <f ca="1">SUBTOTAL(9,E21:E34)</f>
        <v>-4769.2846820291934</v>
      </c>
      <c r="F35" s="122">
        <f ca="1">SUBTOTAL(9,F21:F34)</f>
        <v>-1789.9453179708064</v>
      </c>
    </row>
    <row r="36" spans="1:8" x14ac:dyDescent="0.25">
      <c r="B36" s="136"/>
      <c r="C36" s="136"/>
      <c r="D36" s="136"/>
      <c r="E36" s="119"/>
      <c r="F36" s="136"/>
    </row>
    <row r="37" spans="1:8" x14ac:dyDescent="0.25">
      <c r="A37" s="137" t="s">
        <v>601</v>
      </c>
      <c r="E37" s="103">
        <f ca="1">SUM(B29:B34)</f>
        <v>-1137.1400000000001</v>
      </c>
      <c r="F37" s="103">
        <f ca="1">SUM(C29:C34)</f>
        <v>-5422.09</v>
      </c>
    </row>
    <row r="38" spans="1:8" x14ac:dyDescent="0.25">
      <c r="A38" s="134" t="s">
        <v>602</v>
      </c>
      <c r="E38" s="126">
        <f ca="1">_xll.EVAL("SUM(SUMIFS(MT_Amount, MT_BankRef," &amp;$H38&amp; "))")</f>
        <v>-2609.16</v>
      </c>
      <c r="F38" s="103">
        <f ca="1">-E38</f>
        <v>2609.16</v>
      </c>
      <c r="H38" t="s">
        <v>548</v>
      </c>
    </row>
    <row r="39" spans="1:8" x14ac:dyDescent="0.25">
      <c r="E39" s="125"/>
      <c r="F39" s="103"/>
    </row>
    <row r="40" spans="1:8" x14ac:dyDescent="0.25">
      <c r="A40" t="s">
        <v>549</v>
      </c>
      <c r="E40" s="124">
        <f ca="1">E35-E37-E38</f>
        <v>-1022.9846820291932</v>
      </c>
      <c r="F40" s="124">
        <f ca="1">F35-F37-F38</f>
        <v>1022.9846820291941</v>
      </c>
    </row>
    <row r="41" spans="1:8" x14ac:dyDescent="0.25">
      <c r="A41" s="139" t="s">
        <v>604</v>
      </c>
    </row>
    <row r="42" spans="1:8" x14ac:dyDescent="0.25">
      <c r="A42" s="139"/>
      <c r="E42" s="126"/>
    </row>
    <row r="43" spans="1:8" x14ac:dyDescent="0.25">
      <c r="A43" s="134" t="s">
        <v>605</v>
      </c>
      <c r="E43" s="126">
        <f>(1253.81-1518.68)+(-2636.4--2508.92)+(-142.54--332.85)</f>
        <v>-202.04000000000011</v>
      </c>
    </row>
    <row r="44" spans="1:8" x14ac:dyDescent="0.25">
      <c r="A44" s="56" t="s">
        <v>606</v>
      </c>
      <c r="E44" s="103">
        <f>(979.05*0.65)</f>
        <v>636.38249999999994</v>
      </c>
    </row>
    <row r="45" spans="1:8" x14ac:dyDescent="0.25">
      <c r="A45" s="139"/>
    </row>
    <row r="46" spans="1:8" x14ac:dyDescent="0.25">
      <c r="A46" s="139"/>
      <c r="E46" s="122">
        <f ca="1">E40+E43+E44</f>
        <v>-588.64218202919346</v>
      </c>
    </row>
    <row r="48" spans="1:8" x14ac:dyDescent="0.25">
      <c r="A48" s="50" t="s">
        <v>550</v>
      </c>
    </row>
    <row r="49" spans="1:1" x14ac:dyDescent="0.25">
      <c r="A49" s="56" t="s">
        <v>1108</v>
      </c>
    </row>
    <row r="50" spans="1:1" x14ac:dyDescent="0.25">
      <c r="A50" s="56" t="s">
        <v>1109</v>
      </c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J123"/>
  <sheetViews>
    <sheetView zoomScale="85" zoomScaleNormal="85" workbookViewId="0">
      <selection activeCell="I1" sqref="A1:I1"/>
    </sheetView>
  </sheetViews>
  <sheetFormatPr defaultRowHeight="13.2" x14ac:dyDescent="0.25"/>
  <cols>
    <col min="2" max="2" width="10.109375" bestFit="1" customWidth="1"/>
    <col min="3" max="3" width="16.88671875" bestFit="1" customWidth="1"/>
    <col min="4" max="4" width="9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5546875" customWidth="1"/>
    <col min="9" max="9" width="8.6640625" bestFit="1" customWidth="1"/>
  </cols>
  <sheetData>
    <row r="1" spans="1:10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0" hidden="1" x14ac:dyDescent="0.25">
      <c r="A2" t="s">
        <v>805</v>
      </c>
      <c r="B2" s="133">
        <v>42795</v>
      </c>
      <c r="C2" t="s">
        <v>806</v>
      </c>
      <c r="D2">
        <v>285</v>
      </c>
      <c r="E2" t="s">
        <v>807</v>
      </c>
      <c r="F2" t="s">
        <v>808</v>
      </c>
      <c r="H2" s="132"/>
      <c r="I2" t="s">
        <v>1074</v>
      </c>
      <c r="J2" s="132"/>
    </row>
    <row r="3" spans="1:10" hidden="1" x14ac:dyDescent="0.25">
      <c r="A3" t="s">
        <v>805</v>
      </c>
      <c r="B3" s="133">
        <v>42795</v>
      </c>
      <c r="C3" t="s">
        <v>806</v>
      </c>
      <c r="D3">
        <v>285</v>
      </c>
      <c r="E3" t="s">
        <v>807</v>
      </c>
      <c r="F3" t="s">
        <v>809</v>
      </c>
      <c r="H3" s="132"/>
      <c r="I3" t="s">
        <v>1074</v>
      </c>
      <c r="J3" s="132"/>
    </row>
    <row r="4" spans="1:10" hidden="1" x14ac:dyDescent="0.25">
      <c r="A4" t="s">
        <v>805</v>
      </c>
      <c r="B4" s="133">
        <v>42795</v>
      </c>
      <c r="C4" t="s">
        <v>806</v>
      </c>
      <c r="D4">
        <v>-2609.16</v>
      </c>
      <c r="E4" t="s">
        <v>810</v>
      </c>
      <c r="F4" t="s">
        <v>811</v>
      </c>
      <c r="H4" s="132"/>
      <c r="I4" t="s">
        <v>1074</v>
      </c>
      <c r="J4" s="132"/>
    </row>
    <row r="5" spans="1:10" hidden="1" x14ac:dyDescent="0.25">
      <c r="A5" t="s">
        <v>805</v>
      </c>
      <c r="B5" s="133">
        <v>42795</v>
      </c>
      <c r="C5" t="s">
        <v>806</v>
      </c>
      <c r="D5">
        <v>-232.5</v>
      </c>
      <c r="E5" t="s">
        <v>810</v>
      </c>
      <c r="F5" t="s">
        <v>812</v>
      </c>
      <c r="H5" s="132"/>
      <c r="I5" t="s">
        <v>1074</v>
      </c>
      <c r="J5" s="132"/>
    </row>
    <row r="6" spans="1:10" hidden="1" x14ac:dyDescent="0.25">
      <c r="A6" t="s">
        <v>805</v>
      </c>
      <c r="B6" s="133">
        <v>42795</v>
      </c>
      <c r="C6" t="s">
        <v>806</v>
      </c>
      <c r="D6">
        <v>-196.79</v>
      </c>
      <c r="E6" t="s">
        <v>810</v>
      </c>
      <c r="F6" t="s">
        <v>813</v>
      </c>
      <c r="H6" s="132"/>
      <c r="I6" t="s">
        <v>1074</v>
      </c>
      <c r="J6" s="132"/>
    </row>
    <row r="7" spans="1:10" hidden="1" x14ac:dyDescent="0.25">
      <c r="A7" t="s">
        <v>805</v>
      </c>
      <c r="B7" s="133">
        <v>42795</v>
      </c>
      <c r="C7" t="s">
        <v>806</v>
      </c>
      <c r="D7">
        <v>-160</v>
      </c>
      <c r="E7" t="s">
        <v>810</v>
      </c>
      <c r="F7" t="s">
        <v>814</v>
      </c>
      <c r="H7" s="132"/>
      <c r="I7" t="s">
        <v>1074</v>
      </c>
      <c r="J7" s="132"/>
    </row>
    <row r="8" spans="1:10" hidden="1" x14ac:dyDescent="0.25">
      <c r="A8" t="s">
        <v>805</v>
      </c>
      <c r="B8" s="133">
        <v>42795</v>
      </c>
      <c r="C8" t="s">
        <v>806</v>
      </c>
      <c r="D8">
        <v>-157.5</v>
      </c>
      <c r="E8" t="s">
        <v>810</v>
      </c>
      <c r="F8" t="s">
        <v>815</v>
      </c>
      <c r="H8" s="132"/>
      <c r="I8" t="s">
        <v>1074</v>
      </c>
      <c r="J8" s="132"/>
    </row>
    <row r="9" spans="1:10" hidden="1" x14ac:dyDescent="0.25">
      <c r="A9" t="s">
        <v>805</v>
      </c>
      <c r="B9" s="133">
        <v>42795</v>
      </c>
      <c r="C9" t="s">
        <v>806</v>
      </c>
      <c r="D9">
        <v>-50</v>
      </c>
      <c r="E9" t="s">
        <v>810</v>
      </c>
      <c r="F9" t="s">
        <v>816</v>
      </c>
      <c r="H9" s="132"/>
      <c r="I9" t="s">
        <v>1074</v>
      </c>
      <c r="J9" s="132"/>
    </row>
    <row r="10" spans="1:10" hidden="1" x14ac:dyDescent="0.25">
      <c r="A10" t="s">
        <v>805</v>
      </c>
      <c r="B10" s="133">
        <v>42795</v>
      </c>
      <c r="C10" t="s">
        <v>806</v>
      </c>
      <c r="D10">
        <v>-50</v>
      </c>
      <c r="E10" t="s">
        <v>810</v>
      </c>
      <c r="F10" t="s">
        <v>817</v>
      </c>
      <c r="H10" s="132"/>
      <c r="I10" t="s">
        <v>1074</v>
      </c>
      <c r="J10" s="132"/>
    </row>
    <row r="11" spans="1:10" hidden="1" x14ac:dyDescent="0.25">
      <c r="A11" t="s">
        <v>805</v>
      </c>
      <c r="B11" s="133">
        <v>42795</v>
      </c>
      <c r="C11" t="s">
        <v>806</v>
      </c>
      <c r="D11">
        <v>-180.37</v>
      </c>
      <c r="E11" t="s">
        <v>818</v>
      </c>
      <c r="F11" t="s">
        <v>819</v>
      </c>
      <c r="H11" s="132"/>
      <c r="I11" t="s">
        <v>1075</v>
      </c>
      <c r="J11" s="132"/>
    </row>
    <row r="12" spans="1:10" hidden="1" x14ac:dyDescent="0.25">
      <c r="A12" t="s">
        <v>805</v>
      </c>
      <c r="B12" s="133">
        <v>42795</v>
      </c>
      <c r="C12" t="s">
        <v>806</v>
      </c>
      <c r="D12">
        <v>-195.72</v>
      </c>
      <c r="E12" t="s">
        <v>818</v>
      </c>
      <c r="F12" t="s">
        <v>820</v>
      </c>
      <c r="H12" s="132"/>
      <c r="I12" t="s">
        <v>1075</v>
      </c>
      <c r="J12" s="132"/>
    </row>
    <row r="13" spans="1:10" hidden="1" x14ac:dyDescent="0.25">
      <c r="A13" t="s">
        <v>805</v>
      </c>
      <c r="B13" s="133">
        <v>42795</v>
      </c>
      <c r="C13" t="s">
        <v>806</v>
      </c>
      <c r="D13">
        <v>-93.49</v>
      </c>
      <c r="E13" t="s">
        <v>818</v>
      </c>
      <c r="F13" t="s">
        <v>821</v>
      </c>
      <c r="H13" s="140"/>
      <c r="I13" t="s">
        <v>1075</v>
      </c>
      <c r="J13" s="132"/>
    </row>
    <row r="14" spans="1:10" hidden="1" x14ac:dyDescent="0.25">
      <c r="A14" t="s">
        <v>805</v>
      </c>
      <c r="B14" s="133">
        <v>42795</v>
      </c>
      <c r="C14" t="s">
        <v>806</v>
      </c>
      <c r="D14">
        <v>-93.99</v>
      </c>
      <c r="E14" t="s">
        <v>818</v>
      </c>
      <c r="F14" t="s">
        <v>822</v>
      </c>
      <c r="H14" s="140"/>
      <c r="I14" t="s">
        <v>1075</v>
      </c>
      <c r="J14" s="132"/>
    </row>
    <row r="15" spans="1:10" hidden="1" x14ac:dyDescent="0.25">
      <c r="A15" t="s">
        <v>805</v>
      </c>
      <c r="B15" s="133">
        <v>42797</v>
      </c>
      <c r="C15" t="s">
        <v>806</v>
      </c>
      <c r="D15">
        <v>614.4</v>
      </c>
      <c r="E15" t="s">
        <v>807</v>
      </c>
      <c r="F15" t="s">
        <v>823</v>
      </c>
      <c r="H15" s="132"/>
      <c r="I15" t="s">
        <v>1074</v>
      </c>
      <c r="J15" s="132"/>
    </row>
    <row r="16" spans="1:10" hidden="1" x14ac:dyDescent="0.25">
      <c r="A16" t="s">
        <v>805</v>
      </c>
      <c r="B16" s="133">
        <v>42797</v>
      </c>
      <c r="C16" t="s">
        <v>806</v>
      </c>
      <c r="D16">
        <v>-167.33</v>
      </c>
      <c r="E16" t="s">
        <v>818</v>
      </c>
      <c r="F16" t="s">
        <v>824</v>
      </c>
      <c r="H16" s="132"/>
      <c r="I16" t="s">
        <v>1075</v>
      </c>
      <c r="J16" s="132"/>
    </row>
    <row r="17" spans="1:10" hidden="1" x14ac:dyDescent="0.25">
      <c r="A17" t="s">
        <v>805</v>
      </c>
      <c r="B17" s="133">
        <v>42797</v>
      </c>
      <c r="C17" t="s">
        <v>806</v>
      </c>
      <c r="D17">
        <v>-189.14</v>
      </c>
      <c r="E17" t="s">
        <v>818</v>
      </c>
      <c r="F17" t="s">
        <v>825</v>
      </c>
      <c r="H17" s="132"/>
      <c r="I17" t="s">
        <v>1075</v>
      </c>
      <c r="J17" s="132"/>
    </row>
    <row r="18" spans="1:10" hidden="1" x14ac:dyDescent="0.25">
      <c r="A18" t="s">
        <v>805</v>
      </c>
      <c r="B18" s="133">
        <v>42797</v>
      </c>
      <c r="C18" t="s">
        <v>806</v>
      </c>
      <c r="D18">
        <v>-208.78</v>
      </c>
      <c r="E18" t="s">
        <v>818</v>
      </c>
      <c r="F18" t="s">
        <v>826</v>
      </c>
      <c r="H18" s="132"/>
      <c r="I18" t="s">
        <v>1075</v>
      </c>
      <c r="J18" s="132"/>
    </row>
    <row r="19" spans="1:10" hidden="1" x14ac:dyDescent="0.25">
      <c r="A19" t="s">
        <v>805</v>
      </c>
      <c r="B19" s="133">
        <v>42797</v>
      </c>
      <c r="C19" t="s">
        <v>806</v>
      </c>
      <c r="D19">
        <v>-201.56</v>
      </c>
      <c r="E19" t="s">
        <v>818</v>
      </c>
      <c r="F19" t="s">
        <v>827</v>
      </c>
      <c r="H19" s="132"/>
      <c r="I19" t="s">
        <v>1075</v>
      </c>
      <c r="J19" s="132"/>
    </row>
    <row r="20" spans="1:10" hidden="1" x14ac:dyDescent="0.25">
      <c r="A20" t="s">
        <v>805</v>
      </c>
      <c r="B20" s="133">
        <v>42797</v>
      </c>
      <c r="C20" t="s">
        <v>806</v>
      </c>
      <c r="D20">
        <v>-165.54</v>
      </c>
      <c r="E20" t="s">
        <v>818</v>
      </c>
      <c r="F20" t="s">
        <v>828</v>
      </c>
      <c r="H20" s="132"/>
      <c r="I20" t="s">
        <v>1075</v>
      </c>
      <c r="J20" s="132"/>
    </row>
    <row r="21" spans="1:10" hidden="1" x14ac:dyDescent="0.25">
      <c r="A21" t="s">
        <v>805</v>
      </c>
      <c r="B21" s="133">
        <v>42797</v>
      </c>
      <c r="C21" t="s">
        <v>806</v>
      </c>
      <c r="D21">
        <v>-201.41</v>
      </c>
      <c r="E21" t="s">
        <v>818</v>
      </c>
      <c r="F21" t="s">
        <v>829</v>
      </c>
      <c r="H21" s="132"/>
      <c r="I21" t="s">
        <v>1075</v>
      </c>
      <c r="J21" s="132"/>
    </row>
    <row r="22" spans="1:10" hidden="1" x14ac:dyDescent="0.25">
      <c r="A22" t="s">
        <v>805</v>
      </c>
      <c r="B22" s="133">
        <v>42797</v>
      </c>
      <c r="C22" t="s">
        <v>806</v>
      </c>
      <c r="D22">
        <v>-165.44</v>
      </c>
      <c r="E22" t="s">
        <v>818</v>
      </c>
      <c r="F22" t="s">
        <v>830</v>
      </c>
      <c r="H22" s="132"/>
      <c r="I22" t="s">
        <v>1075</v>
      </c>
      <c r="J22" s="132"/>
    </row>
    <row r="23" spans="1:10" hidden="1" x14ac:dyDescent="0.25">
      <c r="A23" t="s">
        <v>805</v>
      </c>
      <c r="B23" s="133">
        <v>42797</v>
      </c>
      <c r="C23" t="s">
        <v>806</v>
      </c>
      <c r="D23">
        <v>-127.6</v>
      </c>
      <c r="E23" t="s">
        <v>818</v>
      </c>
      <c r="F23" t="s">
        <v>831</v>
      </c>
      <c r="H23" s="132"/>
      <c r="I23" t="s">
        <v>1075</v>
      </c>
      <c r="J23" s="132"/>
    </row>
    <row r="24" spans="1:10" hidden="1" x14ac:dyDescent="0.25">
      <c r="A24" t="s">
        <v>805</v>
      </c>
      <c r="B24" s="133">
        <v>42797</v>
      </c>
      <c r="C24" t="s">
        <v>806</v>
      </c>
      <c r="D24">
        <v>-141.63</v>
      </c>
      <c r="E24" t="s">
        <v>818</v>
      </c>
      <c r="F24" t="s">
        <v>832</v>
      </c>
      <c r="H24" s="132"/>
      <c r="I24" t="s">
        <v>1075</v>
      </c>
      <c r="J24" s="132"/>
    </row>
    <row r="25" spans="1:10" hidden="1" x14ac:dyDescent="0.25">
      <c r="A25" t="s">
        <v>805</v>
      </c>
      <c r="B25" s="133">
        <v>42797</v>
      </c>
      <c r="C25" t="s">
        <v>806</v>
      </c>
      <c r="D25">
        <v>-141.66</v>
      </c>
      <c r="E25" t="s">
        <v>818</v>
      </c>
      <c r="F25" t="s">
        <v>833</v>
      </c>
      <c r="H25" s="132"/>
      <c r="I25" t="s">
        <v>1075</v>
      </c>
      <c r="J25" s="132"/>
    </row>
    <row r="26" spans="1:10" hidden="1" x14ac:dyDescent="0.25">
      <c r="A26" t="s">
        <v>805</v>
      </c>
      <c r="B26" s="133">
        <v>42797</v>
      </c>
      <c r="C26" t="s">
        <v>806</v>
      </c>
      <c r="D26">
        <v>-135.4</v>
      </c>
      <c r="E26" t="s">
        <v>818</v>
      </c>
      <c r="F26" t="s">
        <v>834</v>
      </c>
      <c r="H26" s="132"/>
      <c r="I26" t="s">
        <v>1075</v>
      </c>
      <c r="J26" s="132"/>
    </row>
    <row r="27" spans="1:10" hidden="1" x14ac:dyDescent="0.25">
      <c r="A27" t="s">
        <v>805</v>
      </c>
      <c r="B27" s="133">
        <v>42797</v>
      </c>
      <c r="C27" t="s">
        <v>806</v>
      </c>
      <c r="D27">
        <v>-129.29</v>
      </c>
      <c r="E27" t="s">
        <v>818</v>
      </c>
      <c r="F27" t="s">
        <v>835</v>
      </c>
      <c r="H27" s="132"/>
      <c r="I27" t="s">
        <v>1075</v>
      </c>
      <c r="J27" s="132"/>
    </row>
    <row r="28" spans="1:10" hidden="1" x14ac:dyDescent="0.25">
      <c r="A28" t="s">
        <v>805</v>
      </c>
      <c r="B28" s="133">
        <v>42797</v>
      </c>
      <c r="C28" t="s">
        <v>806</v>
      </c>
      <c r="D28">
        <v>-63.11</v>
      </c>
      <c r="E28" t="s">
        <v>818</v>
      </c>
      <c r="F28" t="s">
        <v>836</v>
      </c>
      <c r="H28" s="132"/>
      <c r="I28" t="s">
        <v>1074</v>
      </c>
      <c r="J28" s="132"/>
    </row>
    <row r="29" spans="1:10" x14ac:dyDescent="0.25">
      <c r="A29" t="s">
        <v>805</v>
      </c>
      <c r="B29" s="133">
        <v>42800</v>
      </c>
      <c r="C29" t="s">
        <v>806</v>
      </c>
      <c r="D29">
        <v>-21.5</v>
      </c>
      <c r="E29" t="s">
        <v>837</v>
      </c>
      <c r="F29" t="s">
        <v>838</v>
      </c>
      <c r="H29" s="132"/>
      <c r="I29" t="s">
        <v>1074</v>
      </c>
      <c r="J29" s="132"/>
    </row>
    <row r="30" spans="1:10" x14ac:dyDescent="0.25">
      <c r="A30" t="s">
        <v>805</v>
      </c>
      <c r="B30" s="133">
        <v>42800</v>
      </c>
      <c r="C30" t="s">
        <v>806</v>
      </c>
      <c r="D30">
        <v>-9.4</v>
      </c>
      <c r="E30" t="s">
        <v>837</v>
      </c>
      <c r="F30" t="s">
        <v>839</v>
      </c>
      <c r="H30" s="132"/>
      <c r="I30" t="s">
        <v>1074</v>
      </c>
      <c r="J30" s="132"/>
    </row>
    <row r="31" spans="1:10" x14ac:dyDescent="0.25">
      <c r="A31" t="s">
        <v>805</v>
      </c>
      <c r="B31" s="133">
        <v>42800</v>
      </c>
      <c r="C31" t="s">
        <v>806</v>
      </c>
      <c r="D31">
        <v>-9.4</v>
      </c>
      <c r="E31" t="s">
        <v>837</v>
      </c>
      <c r="F31" t="s">
        <v>839</v>
      </c>
      <c r="H31" s="132"/>
      <c r="I31" t="s">
        <v>1074</v>
      </c>
      <c r="J31" s="132"/>
    </row>
    <row r="32" spans="1:10" x14ac:dyDescent="0.25">
      <c r="A32" t="s">
        <v>805</v>
      </c>
      <c r="B32" s="133">
        <v>42800</v>
      </c>
      <c r="C32" t="s">
        <v>806</v>
      </c>
      <c r="D32">
        <v>-5.67</v>
      </c>
      <c r="E32" t="s">
        <v>837</v>
      </c>
      <c r="F32" t="s">
        <v>840</v>
      </c>
      <c r="H32" s="132"/>
      <c r="I32" t="s">
        <v>1074</v>
      </c>
      <c r="J32" s="132"/>
    </row>
    <row r="33" spans="1:10" x14ac:dyDescent="0.25">
      <c r="A33" t="s">
        <v>805</v>
      </c>
      <c r="B33" s="133">
        <v>42800</v>
      </c>
      <c r="C33" t="s">
        <v>806</v>
      </c>
      <c r="D33">
        <v>-50.48</v>
      </c>
      <c r="E33" t="s">
        <v>837</v>
      </c>
      <c r="F33" t="s">
        <v>841</v>
      </c>
      <c r="H33" s="132"/>
      <c r="I33" t="s">
        <v>1074</v>
      </c>
      <c r="J33" s="132"/>
    </row>
    <row r="34" spans="1:10" x14ac:dyDescent="0.25">
      <c r="A34" t="s">
        <v>805</v>
      </c>
      <c r="B34" s="133">
        <v>42800</v>
      </c>
      <c r="C34" t="s">
        <v>806</v>
      </c>
      <c r="D34">
        <v>-1.8</v>
      </c>
      <c r="E34" t="s">
        <v>837</v>
      </c>
      <c r="F34" t="s">
        <v>842</v>
      </c>
      <c r="H34" s="132"/>
      <c r="I34" t="s">
        <v>1074</v>
      </c>
      <c r="J34" s="132"/>
    </row>
    <row r="35" spans="1:10" hidden="1" x14ac:dyDescent="0.25">
      <c r="A35" t="s">
        <v>805</v>
      </c>
      <c r="B35" s="133">
        <v>42801</v>
      </c>
      <c r="C35" t="s">
        <v>806</v>
      </c>
      <c r="D35">
        <v>482.56</v>
      </c>
      <c r="E35" t="s">
        <v>807</v>
      </c>
      <c r="F35" t="s">
        <v>843</v>
      </c>
      <c r="H35" s="132"/>
      <c r="I35" t="s">
        <v>1074</v>
      </c>
      <c r="J35" s="132"/>
    </row>
    <row r="36" spans="1:10" hidden="1" x14ac:dyDescent="0.25">
      <c r="A36" t="s">
        <v>805</v>
      </c>
      <c r="B36" s="133">
        <v>42801</v>
      </c>
      <c r="C36" t="s">
        <v>806</v>
      </c>
      <c r="D36">
        <v>186.12</v>
      </c>
      <c r="E36" t="s">
        <v>807</v>
      </c>
      <c r="F36" t="s">
        <v>844</v>
      </c>
      <c r="H36" s="132"/>
      <c r="I36" t="s">
        <v>1074</v>
      </c>
      <c r="J36" s="132"/>
    </row>
    <row r="37" spans="1:10" x14ac:dyDescent="0.25">
      <c r="A37" t="s">
        <v>805</v>
      </c>
      <c r="B37" s="133">
        <v>42801</v>
      </c>
      <c r="C37" t="s">
        <v>806</v>
      </c>
      <c r="D37">
        <v>-39.83</v>
      </c>
      <c r="E37" t="s">
        <v>837</v>
      </c>
      <c r="F37" t="s">
        <v>845</v>
      </c>
      <c r="H37" s="132"/>
      <c r="I37" t="s">
        <v>1074</v>
      </c>
      <c r="J37" s="132"/>
    </row>
    <row r="38" spans="1:10" hidden="1" x14ac:dyDescent="0.25">
      <c r="A38" t="s">
        <v>805</v>
      </c>
      <c r="B38" s="133">
        <v>42802</v>
      </c>
      <c r="C38" t="s">
        <v>806</v>
      </c>
      <c r="D38">
        <v>475.98</v>
      </c>
      <c r="E38" t="s">
        <v>807</v>
      </c>
      <c r="F38" t="s">
        <v>846</v>
      </c>
      <c r="H38" s="140"/>
      <c r="I38" t="s">
        <v>1074</v>
      </c>
      <c r="J38" s="132"/>
    </row>
    <row r="39" spans="1:10" hidden="1" x14ac:dyDescent="0.25">
      <c r="A39" t="s">
        <v>805</v>
      </c>
      <c r="B39" s="133">
        <v>42802</v>
      </c>
      <c r="C39" t="s">
        <v>806</v>
      </c>
      <c r="D39">
        <v>464</v>
      </c>
      <c r="E39" t="s">
        <v>807</v>
      </c>
      <c r="F39" t="s">
        <v>847</v>
      </c>
      <c r="H39" s="132"/>
      <c r="I39" t="s">
        <v>1074</v>
      </c>
      <c r="J39" s="132"/>
    </row>
    <row r="40" spans="1:10" x14ac:dyDescent="0.25">
      <c r="A40" t="s">
        <v>805</v>
      </c>
      <c r="B40" s="133">
        <v>42802</v>
      </c>
      <c r="C40" t="s">
        <v>806</v>
      </c>
      <c r="D40">
        <v>-70.97</v>
      </c>
      <c r="E40" t="s">
        <v>837</v>
      </c>
      <c r="F40" t="s">
        <v>848</v>
      </c>
      <c r="H40" s="132"/>
      <c r="I40" t="s">
        <v>1074</v>
      </c>
      <c r="J40" s="132"/>
    </row>
    <row r="41" spans="1:10" x14ac:dyDescent="0.25">
      <c r="A41" t="s">
        <v>805</v>
      </c>
      <c r="B41" s="133">
        <v>42803</v>
      </c>
      <c r="C41" t="s">
        <v>806</v>
      </c>
      <c r="D41">
        <v>-2.2799999999999998</v>
      </c>
      <c r="E41" t="s">
        <v>837</v>
      </c>
      <c r="F41" t="s">
        <v>849</v>
      </c>
      <c r="H41" s="132"/>
      <c r="I41" t="s">
        <v>1074</v>
      </c>
      <c r="J41" s="132"/>
    </row>
    <row r="42" spans="1:10" x14ac:dyDescent="0.25">
      <c r="A42" t="s">
        <v>805</v>
      </c>
      <c r="B42" s="133">
        <v>42803</v>
      </c>
      <c r="C42" t="s">
        <v>806</v>
      </c>
      <c r="D42">
        <v>-2.2000000000000002</v>
      </c>
      <c r="E42" t="s">
        <v>837</v>
      </c>
      <c r="F42" t="s">
        <v>850</v>
      </c>
      <c r="H42" s="132"/>
      <c r="I42" t="s">
        <v>1074</v>
      </c>
      <c r="J42" s="132"/>
    </row>
    <row r="43" spans="1:10" hidden="1" x14ac:dyDescent="0.25">
      <c r="A43" t="s">
        <v>805</v>
      </c>
      <c r="B43" s="133">
        <v>42803</v>
      </c>
      <c r="C43" t="s">
        <v>806</v>
      </c>
      <c r="D43">
        <v>-17.899999999999999</v>
      </c>
      <c r="E43" t="s">
        <v>818</v>
      </c>
      <c r="F43" t="s">
        <v>851</v>
      </c>
      <c r="H43" s="132"/>
      <c r="I43" t="s">
        <v>1075</v>
      </c>
      <c r="J43" s="132"/>
    </row>
    <row r="44" spans="1:10" hidden="1" x14ac:dyDescent="0.25">
      <c r="A44" t="s">
        <v>805</v>
      </c>
      <c r="B44" s="133">
        <v>42804</v>
      </c>
      <c r="C44" t="s">
        <v>806</v>
      </c>
      <c r="D44">
        <v>-200</v>
      </c>
      <c r="E44" t="s">
        <v>852</v>
      </c>
      <c r="F44" t="s">
        <v>853</v>
      </c>
      <c r="H44" s="132"/>
      <c r="I44" t="s">
        <v>1074</v>
      </c>
      <c r="J44" s="132"/>
    </row>
    <row r="45" spans="1:10" x14ac:dyDescent="0.25">
      <c r="A45" t="s">
        <v>805</v>
      </c>
      <c r="B45" s="133">
        <v>42804</v>
      </c>
      <c r="C45" t="s">
        <v>806</v>
      </c>
      <c r="D45">
        <v>-500</v>
      </c>
      <c r="E45" t="s">
        <v>837</v>
      </c>
      <c r="F45" t="s">
        <v>854</v>
      </c>
      <c r="H45" s="132"/>
      <c r="I45" t="s">
        <v>1074</v>
      </c>
      <c r="J45" s="132"/>
    </row>
    <row r="46" spans="1:10" x14ac:dyDescent="0.25">
      <c r="A46" t="s">
        <v>805</v>
      </c>
      <c r="B46" s="133">
        <v>42804</v>
      </c>
      <c r="C46" t="s">
        <v>806</v>
      </c>
      <c r="D46">
        <v>-52</v>
      </c>
      <c r="E46" t="s">
        <v>837</v>
      </c>
      <c r="F46" t="s">
        <v>855</v>
      </c>
      <c r="H46" s="132"/>
      <c r="I46" t="s">
        <v>1074</v>
      </c>
      <c r="J46" s="132"/>
    </row>
    <row r="47" spans="1:10" hidden="1" x14ac:dyDescent="0.25">
      <c r="A47" t="s">
        <v>805</v>
      </c>
      <c r="B47" s="133">
        <v>42804</v>
      </c>
      <c r="C47" t="s">
        <v>806</v>
      </c>
      <c r="D47">
        <v>-61.95</v>
      </c>
      <c r="E47" t="s">
        <v>818</v>
      </c>
      <c r="F47" t="s">
        <v>856</v>
      </c>
      <c r="H47" s="132"/>
      <c r="I47" t="s">
        <v>1075</v>
      </c>
      <c r="J47" s="132"/>
    </row>
    <row r="48" spans="1:10" x14ac:dyDescent="0.25">
      <c r="A48" t="s">
        <v>805</v>
      </c>
      <c r="B48" s="133">
        <v>42807</v>
      </c>
      <c r="C48" t="s">
        <v>806</v>
      </c>
      <c r="D48">
        <v>-7.7</v>
      </c>
      <c r="E48" t="s">
        <v>837</v>
      </c>
      <c r="F48" t="s">
        <v>857</v>
      </c>
      <c r="H48" s="140"/>
      <c r="I48" t="s">
        <v>1074</v>
      </c>
      <c r="J48" s="132"/>
    </row>
    <row r="49" spans="1:10" x14ac:dyDescent="0.25">
      <c r="A49" t="s">
        <v>805</v>
      </c>
      <c r="B49" s="133">
        <v>42807</v>
      </c>
      <c r="C49" t="s">
        <v>806</v>
      </c>
      <c r="D49">
        <v>-5.57</v>
      </c>
      <c r="E49" t="s">
        <v>837</v>
      </c>
      <c r="F49" t="s">
        <v>858</v>
      </c>
      <c r="H49" s="132"/>
      <c r="I49" t="s">
        <v>1074</v>
      </c>
      <c r="J49" s="132"/>
    </row>
    <row r="50" spans="1:10" x14ac:dyDescent="0.25">
      <c r="A50" t="s">
        <v>805</v>
      </c>
      <c r="B50" s="133">
        <v>42807</v>
      </c>
      <c r="C50" t="s">
        <v>806</v>
      </c>
      <c r="D50">
        <v>-226.12</v>
      </c>
      <c r="E50" t="s">
        <v>837</v>
      </c>
      <c r="F50" t="s">
        <v>859</v>
      </c>
      <c r="H50" s="132"/>
      <c r="I50" t="s">
        <v>1074</v>
      </c>
      <c r="J50" s="132"/>
    </row>
    <row r="51" spans="1:10" x14ac:dyDescent="0.25">
      <c r="A51" t="s">
        <v>805</v>
      </c>
      <c r="B51" s="133">
        <v>42807</v>
      </c>
      <c r="C51" t="s">
        <v>806</v>
      </c>
      <c r="D51">
        <v>-222.12</v>
      </c>
      <c r="E51" t="s">
        <v>837</v>
      </c>
      <c r="F51" t="s">
        <v>860</v>
      </c>
      <c r="H51" s="132"/>
      <c r="I51" t="s">
        <v>1074</v>
      </c>
      <c r="J51" s="132"/>
    </row>
    <row r="52" spans="1:10" hidden="1" x14ac:dyDescent="0.25">
      <c r="A52" t="s">
        <v>805</v>
      </c>
      <c r="B52" s="133">
        <v>42807</v>
      </c>
      <c r="C52" t="s">
        <v>806</v>
      </c>
      <c r="D52">
        <v>-126.04</v>
      </c>
      <c r="E52" t="s">
        <v>818</v>
      </c>
      <c r="F52" t="s">
        <v>861</v>
      </c>
      <c r="H52" s="132"/>
      <c r="I52" t="s">
        <v>1075</v>
      </c>
      <c r="J52" s="132"/>
    </row>
    <row r="53" spans="1:10" hidden="1" x14ac:dyDescent="0.25">
      <c r="A53" t="s">
        <v>805</v>
      </c>
      <c r="B53" s="133">
        <v>42808</v>
      </c>
      <c r="C53" t="s">
        <v>806</v>
      </c>
      <c r="D53">
        <v>75.2</v>
      </c>
      <c r="E53" t="s">
        <v>807</v>
      </c>
      <c r="F53" t="s">
        <v>862</v>
      </c>
      <c r="H53" s="132"/>
      <c r="I53" t="s">
        <v>1074</v>
      </c>
      <c r="J53" s="132"/>
    </row>
    <row r="54" spans="1:10" hidden="1" x14ac:dyDescent="0.25">
      <c r="A54" t="s">
        <v>805</v>
      </c>
      <c r="B54" s="133">
        <v>42809</v>
      </c>
      <c r="C54" t="s">
        <v>806</v>
      </c>
      <c r="D54">
        <v>324.8</v>
      </c>
      <c r="E54" t="s">
        <v>807</v>
      </c>
      <c r="F54" t="s">
        <v>863</v>
      </c>
      <c r="H54" s="132"/>
      <c r="I54" t="s">
        <v>1074</v>
      </c>
      <c r="J54" s="132"/>
    </row>
    <row r="55" spans="1:10" hidden="1" x14ac:dyDescent="0.25">
      <c r="A55" t="s">
        <v>805</v>
      </c>
      <c r="B55" s="133">
        <v>42809</v>
      </c>
      <c r="C55" t="s">
        <v>806</v>
      </c>
      <c r="D55">
        <v>-197.26</v>
      </c>
      <c r="E55" t="s">
        <v>818</v>
      </c>
      <c r="F55" t="s">
        <v>864</v>
      </c>
      <c r="H55" s="132"/>
      <c r="I55" t="s">
        <v>1075</v>
      </c>
      <c r="J55" s="132"/>
    </row>
    <row r="56" spans="1:10" hidden="1" x14ac:dyDescent="0.25">
      <c r="A56" t="s">
        <v>805</v>
      </c>
      <c r="B56" s="133">
        <v>42809</v>
      </c>
      <c r="C56" t="s">
        <v>806</v>
      </c>
      <c r="D56">
        <v>-165.91</v>
      </c>
      <c r="E56" t="s">
        <v>818</v>
      </c>
      <c r="F56" t="s">
        <v>865</v>
      </c>
      <c r="H56" s="132"/>
      <c r="I56" t="s">
        <v>1075</v>
      </c>
      <c r="J56" s="132"/>
    </row>
    <row r="57" spans="1:10" hidden="1" x14ac:dyDescent="0.25">
      <c r="A57" t="s">
        <v>805</v>
      </c>
      <c r="B57" s="133">
        <v>42810</v>
      </c>
      <c r="C57" t="s">
        <v>806</v>
      </c>
      <c r="D57">
        <v>2500</v>
      </c>
      <c r="E57" t="s">
        <v>807</v>
      </c>
      <c r="F57" t="s">
        <v>866</v>
      </c>
      <c r="H57" s="132"/>
      <c r="I57" t="s">
        <v>1074</v>
      </c>
      <c r="J57" s="132"/>
    </row>
    <row r="58" spans="1:10" hidden="1" x14ac:dyDescent="0.25">
      <c r="A58" t="s">
        <v>805</v>
      </c>
      <c r="B58" s="133">
        <v>42810</v>
      </c>
      <c r="C58" t="s">
        <v>806</v>
      </c>
      <c r="D58">
        <v>603.20000000000005</v>
      </c>
      <c r="E58" t="s">
        <v>807</v>
      </c>
      <c r="F58" t="s">
        <v>867</v>
      </c>
      <c r="H58" s="132"/>
      <c r="I58" t="s">
        <v>1074</v>
      </c>
      <c r="J58" s="132"/>
    </row>
    <row r="59" spans="1:10" hidden="1" x14ac:dyDescent="0.25">
      <c r="A59" t="s">
        <v>805</v>
      </c>
      <c r="B59" s="133">
        <v>42810</v>
      </c>
      <c r="C59" t="s">
        <v>806</v>
      </c>
      <c r="D59">
        <v>442.73</v>
      </c>
      <c r="E59" t="s">
        <v>807</v>
      </c>
      <c r="F59" t="s">
        <v>868</v>
      </c>
      <c r="H59" s="132"/>
      <c r="I59" t="s">
        <v>1074</v>
      </c>
      <c r="J59" s="132"/>
    </row>
    <row r="60" spans="1:10" hidden="1" x14ac:dyDescent="0.25">
      <c r="A60" t="s">
        <v>805</v>
      </c>
      <c r="B60" s="133">
        <v>42810</v>
      </c>
      <c r="C60" t="s">
        <v>806</v>
      </c>
      <c r="D60">
        <v>432.56</v>
      </c>
      <c r="E60" t="s">
        <v>807</v>
      </c>
      <c r="F60" t="s">
        <v>869</v>
      </c>
      <c r="H60" s="132"/>
      <c r="I60" t="s">
        <v>1074</v>
      </c>
      <c r="J60" s="132"/>
    </row>
    <row r="61" spans="1:10" hidden="1" x14ac:dyDescent="0.25">
      <c r="A61" t="s">
        <v>805</v>
      </c>
      <c r="B61" s="133">
        <v>42810</v>
      </c>
      <c r="C61" t="s">
        <v>806</v>
      </c>
      <c r="D61">
        <v>428.3</v>
      </c>
      <c r="E61" t="s">
        <v>807</v>
      </c>
      <c r="F61" t="s">
        <v>870</v>
      </c>
      <c r="H61" s="132"/>
      <c r="I61" t="s">
        <v>1074</v>
      </c>
      <c r="J61" s="132"/>
    </row>
    <row r="62" spans="1:10" hidden="1" x14ac:dyDescent="0.25">
      <c r="A62" t="s">
        <v>805</v>
      </c>
      <c r="B62" s="133">
        <v>42810</v>
      </c>
      <c r="C62" t="s">
        <v>806</v>
      </c>
      <c r="D62">
        <v>428.3</v>
      </c>
      <c r="E62" t="s">
        <v>807</v>
      </c>
      <c r="F62" t="s">
        <v>871</v>
      </c>
      <c r="H62" s="132"/>
      <c r="I62" t="s">
        <v>1074</v>
      </c>
      <c r="J62" s="132"/>
    </row>
    <row r="63" spans="1:10" hidden="1" x14ac:dyDescent="0.25">
      <c r="A63" t="s">
        <v>805</v>
      </c>
      <c r="B63" s="133">
        <v>42810</v>
      </c>
      <c r="C63" t="s">
        <v>806</v>
      </c>
      <c r="D63">
        <v>428.29</v>
      </c>
      <c r="E63" t="s">
        <v>807</v>
      </c>
      <c r="F63" t="s">
        <v>872</v>
      </c>
      <c r="H63" s="132"/>
      <c r="I63" t="s">
        <v>1074</v>
      </c>
      <c r="J63" s="132"/>
    </row>
    <row r="64" spans="1:10" hidden="1" x14ac:dyDescent="0.25">
      <c r="A64" t="s">
        <v>805</v>
      </c>
      <c r="B64" s="133">
        <v>42810</v>
      </c>
      <c r="C64" t="s">
        <v>806</v>
      </c>
      <c r="D64">
        <v>393.1</v>
      </c>
      <c r="E64" t="s">
        <v>807</v>
      </c>
      <c r="F64" t="s">
        <v>873</v>
      </c>
      <c r="H64" s="132"/>
      <c r="I64" t="s">
        <v>1074</v>
      </c>
      <c r="J64" s="132"/>
    </row>
    <row r="65" spans="1:10" hidden="1" x14ac:dyDescent="0.25">
      <c r="A65" t="s">
        <v>805</v>
      </c>
      <c r="B65" s="133">
        <v>42810</v>
      </c>
      <c r="C65" t="s">
        <v>806</v>
      </c>
      <c r="D65">
        <v>385.49</v>
      </c>
      <c r="E65" t="s">
        <v>807</v>
      </c>
      <c r="F65" t="s">
        <v>874</v>
      </c>
      <c r="H65" s="132"/>
      <c r="I65" t="s">
        <v>1074</v>
      </c>
      <c r="J65" s="132"/>
    </row>
    <row r="66" spans="1:10" hidden="1" x14ac:dyDescent="0.25">
      <c r="A66" t="s">
        <v>805</v>
      </c>
      <c r="B66" s="133">
        <v>42810</v>
      </c>
      <c r="C66" t="s">
        <v>806</v>
      </c>
      <c r="D66">
        <v>378.3</v>
      </c>
      <c r="E66" t="s">
        <v>807</v>
      </c>
      <c r="F66" t="s">
        <v>875</v>
      </c>
      <c r="H66" s="132"/>
      <c r="I66" t="s">
        <v>1074</v>
      </c>
      <c r="J66" s="132"/>
    </row>
    <row r="67" spans="1:10" hidden="1" x14ac:dyDescent="0.25">
      <c r="A67" t="s">
        <v>805</v>
      </c>
      <c r="B67" s="133">
        <v>42810</v>
      </c>
      <c r="C67" t="s">
        <v>806</v>
      </c>
      <c r="D67">
        <v>348.48</v>
      </c>
      <c r="E67" t="s">
        <v>807</v>
      </c>
      <c r="F67" t="s">
        <v>876</v>
      </c>
      <c r="H67" s="132"/>
      <c r="I67" t="s">
        <v>1074</v>
      </c>
      <c r="J67" s="132"/>
    </row>
    <row r="68" spans="1:10" hidden="1" x14ac:dyDescent="0.25">
      <c r="A68" t="s">
        <v>805</v>
      </c>
      <c r="B68" s="133">
        <v>42810</v>
      </c>
      <c r="C68" t="s">
        <v>806</v>
      </c>
      <c r="D68">
        <v>338.8</v>
      </c>
      <c r="E68" t="s">
        <v>807</v>
      </c>
      <c r="F68" t="s">
        <v>862</v>
      </c>
      <c r="H68" s="132"/>
      <c r="I68" t="s">
        <v>1074</v>
      </c>
      <c r="J68" s="132"/>
    </row>
    <row r="69" spans="1:10" hidden="1" x14ac:dyDescent="0.25">
      <c r="A69" t="s">
        <v>805</v>
      </c>
      <c r="B69" s="133">
        <v>42810</v>
      </c>
      <c r="C69" t="s">
        <v>806</v>
      </c>
      <c r="D69">
        <v>280.68</v>
      </c>
      <c r="E69" t="s">
        <v>807</v>
      </c>
      <c r="F69" t="s">
        <v>844</v>
      </c>
      <c r="H69" s="132"/>
      <c r="I69" t="s">
        <v>1074</v>
      </c>
      <c r="J69" s="132"/>
    </row>
    <row r="70" spans="1:10" hidden="1" x14ac:dyDescent="0.25">
      <c r="A70" t="s">
        <v>805</v>
      </c>
      <c r="B70" s="133">
        <v>42810</v>
      </c>
      <c r="C70" t="s">
        <v>806</v>
      </c>
      <c r="D70">
        <v>179.01</v>
      </c>
      <c r="E70" t="s">
        <v>807</v>
      </c>
      <c r="F70" t="s">
        <v>877</v>
      </c>
      <c r="H70" s="132"/>
      <c r="I70" t="s">
        <v>1074</v>
      </c>
      <c r="J70" s="132"/>
    </row>
    <row r="71" spans="1:10" hidden="1" x14ac:dyDescent="0.25">
      <c r="A71" t="s">
        <v>805</v>
      </c>
      <c r="B71" s="133">
        <v>42810</v>
      </c>
      <c r="C71" t="s">
        <v>806</v>
      </c>
      <c r="D71">
        <v>179</v>
      </c>
      <c r="E71" t="s">
        <v>807</v>
      </c>
      <c r="F71" t="s">
        <v>808</v>
      </c>
      <c r="H71" s="132"/>
      <c r="I71" t="s">
        <v>1074</v>
      </c>
      <c r="J71" s="132"/>
    </row>
    <row r="72" spans="1:10" hidden="1" x14ac:dyDescent="0.25">
      <c r="A72" t="s">
        <v>805</v>
      </c>
      <c r="B72" s="133">
        <v>42810</v>
      </c>
      <c r="C72" t="s">
        <v>806</v>
      </c>
      <c r="D72">
        <v>179</v>
      </c>
      <c r="E72" t="s">
        <v>807</v>
      </c>
      <c r="F72" t="s">
        <v>809</v>
      </c>
      <c r="H72" s="132"/>
      <c r="I72" t="s">
        <v>1074</v>
      </c>
      <c r="J72" s="132"/>
    </row>
    <row r="73" spans="1:10" hidden="1" x14ac:dyDescent="0.25">
      <c r="A73" t="s">
        <v>805</v>
      </c>
      <c r="B73" s="133">
        <v>42810</v>
      </c>
      <c r="C73" t="s">
        <v>806</v>
      </c>
      <c r="D73">
        <v>179</v>
      </c>
      <c r="E73" t="s">
        <v>807</v>
      </c>
      <c r="F73" t="s">
        <v>878</v>
      </c>
      <c r="H73" s="132"/>
      <c r="I73" t="s">
        <v>1074</v>
      </c>
      <c r="J73" s="132"/>
    </row>
    <row r="74" spans="1:10" hidden="1" x14ac:dyDescent="0.25">
      <c r="A74" t="s">
        <v>805</v>
      </c>
      <c r="B74" s="133">
        <v>42810</v>
      </c>
      <c r="C74" t="s">
        <v>806</v>
      </c>
      <c r="D74">
        <v>104</v>
      </c>
      <c r="E74" t="s">
        <v>807</v>
      </c>
      <c r="F74" t="s">
        <v>879</v>
      </c>
      <c r="H74" s="132"/>
      <c r="I74" t="s">
        <v>1074</v>
      </c>
      <c r="J74" s="132"/>
    </row>
    <row r="75" spans="1:10" hidden="1" x14ac:dyDescent="0.25">
      <c r="A75" t="s">
        <v>805</v>
      </c>
      <c r="B75" s="133">
        <v>42810</v>
      </c>
      <c r="C75" t="s">
        <v>806</v>
      </c>
      <c r="D75">
        <v>-5800</v>
      </c>
      <c r="E75" t="s">
        <v>880</v>
      </c>
      <c r="F75" t="s">
        <v>881</v>
      </c>
      <c r="H75" s="132"/>
      <c r="I75" t="s">
        <v>1074</v>
      </c>
      <c r="J75" s="132"/>
    </row>
    <row r="76" spans="1:10" x14ac:dyDescent="0.25">
      <c r="A76" t="s">
        <v>805</v>
      </c>
      <c r="B76" s="133">
        <v>42810</v>
      </c>
      <c r="C76" t="s">
        <v>806</v>
      </c>
      <c r="D76">
        <v>-62.71</v>
      </c>
      <c r="E76" t="s">
        <v>837</v>
      </c>
      <c r="F76" t="s">
        <v>882</v>
      </c>
      <c r="H76" s="132"/>
      <c r="I76" t="s">
        <v>1074</v>
      </c>
      <c r="J76" s="132"/>
    </row>
    <row r="77" spans="1:10" hidden="1" x14ac:dyDescent="0.25">
      <c r="A77" t="s">
        <v>805</v>
      </c>
      <c r="B77" s="133">
        <v>42810</v>
      </c>
      <c r="C77" t="s">
        <v>806</v>
      </c>
      <c r="D77">
        <v>-13.17</v>
      </c>
      <c r="E77" t="s">
        <v>818</v>
      </c>
      <c r="F77" t="s">
        <v>883</v>
      </c>
      <c r="H77" s="132"/>
      <c r="I77" t="s">
        <v>1075</v>
      </c>
      <c r="J77" s="132"/>
    </row>
    <row r="78" spans="1:10" hidden="1" x14ac:dyDescent="0.25">
      <c r="A78" t="s">
        <v>805</v>
      </c>
      <c r="B78" s="133">
        <v>42810</v>
      </c>
      <c r="C78" t="s">
        <v>806</v>
      </c>
      <c r="D78">
        <v>-163.35</v>
      </c>
      <c r="E78" t="s">
        <v>818</v>
      </c>
      <c r="F78" t="s">
        <v>884</v>
      </c>
      <c r="H78" s="132"/>
      <c r="I78" t="s">
        <v>1075</v>
      </c>
      <c r="J78" s="132"/>
    </row>
    <row r="79" spans="1:10" hidden="1" x14ac:dyDescent="0.25">
      <c r="A79" t="s">
        <v>805</v>
      </c>
      <c r="B79" s="133">
        <v>42811</v>
      </c>
      <c r="C79" t="s">
        <v>806</v>
      </c>
      <c r="D79">
        <v>510.4</v>
      </c>
      <c r="E79" t="s">
        <v>807</v>
      </c>
      <c r="F79" t="s">
        <v>885</v>
      </c>
      <c r="H79" s="132"/>
      <c r="I79" t="s">
        <v>1074</v>
      </c>
      <c r="J79" s="132"/>
    </row>
    <row r="80" spans="1:10" hidden="1" x14ac:dyDescent="0.25">
      <c r="A80" t="s">
        <v>805</v>
      </c>
      <c r="B80" s="133">
        <v>42811</v>
      </c>
      <c r="C80" t="s">
        <v>806</v>
      </c>
      <c r="D80">
        <v>428.29</v>
      </c>
      <c r="E80" t="s">
        <v>807</v>
      </c>
      <c r="F80" t="s">
        <v>886</v>
      </c>
      <c r="H80" s="132"/>
      <c r="I80" t="s">
        <v>1074</v>
      </c>
      <c r="J80" s="132"/>
    </row>
    <row r="81" spans="1:10" hidden="1" x14ac:dyDescent="0.25">
      <c r="A81" t="s">
        <v>805</v>
      </c>
      <c r="B81" s="133">
        <v>42811</v>
      </c>
      <c r="C81" t="s">
        <v>806</v>
      </c>
      <c r="D81">
        <v>417.98</v>
      </c>
      <c r="E81" t="s">
        <v>807</v>
      </c>
      <c r="F81" t="s">
        <v>887</v>
      </c>
      <c r="H81" s="132"/>
      <c r="I81" t="s">
        <v>1074</v>
      </c>
      <c r="J81" s="132"/>
    </row>
    <row r="82" spans="1:10" hidden="1" x14ac:dyDescent="0.25">
      <c r="A82" t="s">
        <v>805</v>
      </c>
      <c r="B82" s="133">
        <v>42811</v>
      </c>
      <c r="C82" t="s">
        <v>806</v>
      </c>
      <c r="D82">
        <v>390.7</v>
      </c>
      <c r="E82" t="s">
        <v>807</v>
      </c>
      <c r="F82" t="s">
        <v>888</v>
      </c>
      <c r="H82" s="132"/>
      <c r="I82" t="s">
        <v>1074</v>
      </c>
      <c r="J82" s="132"/>
    </row>
    <row r="83" spans="1:10" hidden="1" x14ac:dyDescent="0.25">
      <c r="A83" t="s">
        <v>805</v>
      </c>
      <c r="B83" s="133">
        <v>42814</v>
      </c>
      <c r="C83" t="s">
        <v>806</v>
      </c>
      <c r="D83">
        <v>-30</v>
      </c>
      <c r="E83" t="s">
        <v>852</v>
      </c>
      <c r="F83" t="s">
        <v>889</v>
      </c>
      <c r="H83" s="140"/>
      <c r="I83" t="s">
        <v>1074</v>
      </c>
      <c r="J83" s="132"/>
    </row>
    <row r="84" spans="1:10" x14ac:dyDescent="0.25">
      <c r="A84" t="s">
        <v>805</v>
      </c>
      <c r="B84" s="133">
        <v>42814</v>
      </c>
      <c r="C84" t="s">
        <v>806</v>
      </c>
      <c r="D84">
        <v>-419.55</v>
      </c>
      <c r="E84" t="s">
        <v>837</v>
      </c>
      <c r="F84" t="s">
        <v>890</v>
      </c>
      <c r="H84" s="132"/>
      <c r="I84" t="s">
        <v>1074</v>
      </c>
      <c r="J84" s="132"/>
    </row>
    <row r="85" spans="1:10" x14ac:dyDescent="0.25">
      <c r="A85" t="s">
        <v>805</v>
      </c>
      <c r="B85" s="133">
        <v>42814</v>
      </c>
      <c r="C85" t="s">
        <v>806</v>
      </c>
      <c r="D85">
        <v>-35.92</v>
      </c>
      <c r="E85" t="s">
        <v>837</v>
      </c>
      <c r="F85" t="s">
        <v>891</v>
      </c>
      <c r="H85" s="132"/>
      <c r="I85" t="s">
        <v>1074</v>
      </c>
      <c r="J85" s="132"/>
    </row>
    <row r="86" spans="1:10" x14ac:dyDescent="0.25">
      <c r="A86" t="s">
        <v>805</v>
      </c>
      <c r="B86" s="133">
        <v>42814</v>
      </c>
      <c r="C86" t="s">
        <v>806</v>
      </c>
      <c r="D86">
        <v>-21.5</v>
      </c>
      <c r="E86" t="s">
        <v>837</v>
      </c>
      <c r="F86" t="s">
        <v>892</v>
      </c>
      <c r="H86" s="132"/>
      <c r="I86" t="s">
        <v>1074</v>
      </c>
      <c r="J86" s="132"/>
    </row>
    <row r="87" spans="1:10" hidden="1" x14ac:dyDescent="0.25">
      <c r="A87" t="s">
        <v>805</v>
      </c>
      <c r="B87" s="133">
        <v>42814</v>
      </c>
      <c r="C87" t="s">
        <v>806</v>
      </c>
      <c r="D87">
        <v>-130.22999999999999</v>
      </c>
      <c r="E87" t="s">
        <v>818</v>
      </c>
      <c r="F87" t="s">
        <v>893</v>
      </c>
      <c r="H87" s="132"/>
      <c r="I87" t="s">
        <v>1075</v>
      </c>
      <c r="J87" s="132"/>
    </row>
    <row r="88" spans="1:10" hidden="1" x14ac:dyDescent="0.25">
      <c r="A88" t="s">
        <v>805</v>
      </c>
      <c r="B88" s="133">
        <v>42815</v>
      </c>
      <c r="C88" t="s">
        <v>806</v>
      </c>
      <c r="D88">
        <v>247.15</v>
      </c>
      <c r="E88" t="s">
        <v>807</v>
      </c>
      <c r="F88" t="s">
        <v>894</v>
      </c>
      <c r="H88" s="132"/>
      <c r="I88" t="s">
        <v>1074</v>
      </c>
      <c r="J88" s="132"/>
    </row>
    <row r="89" spans="1:10" hidden="1" x14ac:dyDescent="0.25">
      <c r="A89" t="s">
        <v>805</v>
      </c>
      <c r="B89" s="133">
        <v>42815</v>
      </c>
      <c r="C89" t="s">
        <v>806</v>
      </c>
      <c r="D89">
        <v>-150</v>
      </c>
      <c r="E89" t="s">
        <v>880</v>
      </c>
      <c r="F89" t="s">
        <v>895</v>
      </c>
      <c r="H89" s="132"/>
      <c r="I89" t="s">
        <v>1074</v>
      </c>
      <c r="J89" s="132"/>
    </row>
    <row r="90" spans="1:10" hidden="1" x14ac:dyDescent="0.25">
      <c r="A90" t="s">
        <v>805</v>
      </c>
      <c r="B90" s="133">
        <v>42815</v>
      </c>
      <c r="C90" t="s">
        <v>806</v>
      </c>
      <c r="D90">
        <v>-2508.91</v>
      </c>
      <c r="E90" t="s">
        <v>880</v>
      </c>
      <c r="F90" t="s">
        <v>896</v>
      </c>
      <c r="H90" s="132"/>
      <c r="I90" t="s">
        <v>1074</v>
      </c>
      <c r="J90" s="132"/>
    </row>
    <row r="91" spans="1:10" hidden="1" x14ac:dyDescent="0.25">
      <c r="A91" t="s">
        <v>805</v>
      </c>
      <c r="B91" s="133">
        <v>42815</v>
      </c>
      <c r="C91" t="s">
        <v>806</v>
      </c>
      <c r="D91">
        <v>-332.85</v>
      </c>
      <c r="E91" t="s">
        <v>880</v>
      </c>
      <c r="F91" t="s">
        <v>897</v>
      </c>
      <c r="H91" s="132"/>
      <c r="I91" t="s">
        <v>1074</v>
      </c>
      <c r="J91" s="132"/>
    </row>
    <row r="92" spans="1:10" x14ac:dyDescent="0.25">
      <c r="A92" t="s">
        <v>805</v>
      </c>
      <c r="B92" s="133">
        <v>42815</v>
      </c>
      <c r="C92" t="s">
        <v>806</v>
      </c>
      <c r="D92">
        <v>-176.52</v>
      </c>
      <c r="E92" t="s">
        <v>837</v>
      </c>
      <c r="F92" t="s">
        <v>898</v>
      </c>
      <c r="H92" s="132"/>
      <c r="I92" t="s">
        <v>1074</v>
      </c>
      <c r="J92" s="132"/>
    </row>
    <row r="93" spans="1:10" hidden="1" x14ac:dyDescent="0.25">
      <c r="A93" t="s">
        <v>805</v>
      </c>
      <c r="B93" s="133">
        <v>42816</v>
      </c>
      <c r="C93" t="s">
        <v>806</v>
      </c>
      <c r="D93">
        <v>249.29</v>
      </c>
      <c r="E93" t="s">
        <v>807</v>
      </c>
      <c r="F93" t="s">
        <v>877</v>
      </c>
      <c r="H93" s="132"/>
      <c r="I93" t="s">
        <v>1074</v>
      </c>
      <c r="J93" s="132"/>
    </row>
    <row r="94" spans="1:10" x14ac:dyDescent="0.25">
      <c r="A94" t="s">
        <v>805</v>
      </c>
      <c r="B94" s="133">
        <v>42816</v>
      </c>
      <c r="C94" t="s">
        <v>806</v>
      </c>
      <c r="D94">
        <v>-77.7</v>
      </c>
      <c r="E94" t="s">
        <v>837</v>
      </c>
      <c r="F94" t="s">
        <v>899</v>
      </c>
      <c r="H94" s="132"/>
      <c r="I94" t="s">
        <v>1074</v>
      </c>
      <c r="J94" s="132"/>
    </row>
    <row r="95" spans="1:10" hidden="1" x14ac:dyDescent="0.25">
      <c r="A95" t="s">
        <v>805</v>
      </c>
      <c r="B95" s="133">
        <v>42816</v>
      </c>
      <c r="C95" t="s">
        <v>806</v>
      </c>
      <c r="D95">
        <v>-165.12</v>
      </c>
      <c r="E95" t="s">
        <v>818</v>
      </c>
      <c r="F95" t="s">
        <v>900</v>
      </c>
      <c r="H95" s="132"/>
      <c r="I95" t="s">
        <v>1075</v>
      </c>
      <c r="J95" s="132"/>
    </row>
    <row r="96" spans="1:10" x14ac:dyDescent="0.25">
      <c r="A96" t="s">
        <v>805</v>
      </c>
      <c r="B96" s="133">
        <v>42818</v>
      </c>
      <c r="C96" t="s">
        <v>806</v>
      </c>
      <c r="D96">
        <v>-55</v>
      </c>
      <c r="E96" t="s">
        <v>837</v>
      </c>
      <c r="F96" t="s">
        <v>901</v>
      </c>
      <c r="H96" s="132"/>
      <c r="I96" t="s">
        <v>1074</v>
      </c>
      <c r="J96" s="132"/>
    </row>
    <row r="97" spans="1:10" x14ac:dyDescent="0.25">
      <c r="A97" t="s">
        <v>805</v>
      </c>
      <c r="B97" s="133">
        <v>42818</v>
      </c>
      <c r="C97" t="s">
        <v>806</v>
      </c>
      <c r="D97">
        <v>-45.42</v>
      </c>
      <c r="E97" t="s">
        <v>837</v>
      </c>
      <c r="F97" t="s">
        <v>902</v>
      </c>
      <c r="H97" s="132"/>
      <c r="I97" t="s">
        <v>1074</v>
      </c>
      <c r="J97" s="132"/>
    </row>
    <row r="98" spans="1:10" x14ac:dyDescent="0.25">
      <c r="A98" t="s">
        <v>805</v>
      </c>
      <c r="B98" s="133">
        <v>42818</v>
      </c>
      <c r="C98" t="s">
        <v>806</v>
      </c>
      <c r="D98">
        <v>-17.739999999999998</v>
      </c>
      <c r="E98" t="s">
        <v>837</v>
      </c>
      <c r="F98" t="s">
        <v>903</v>
      </c>
      <c r="H98" s="132"/>
      <c r="I98" t="s">
        <v>1074</v>
      </c>
      <c r="J98" s="132"/>
    </row>
    <row r="99" spans="1:10" x14ac:dyDescent="0.25">
      <c r="A99" t="s">
        <v>805</v>
      </c>
      <c r="B99" s="133">
        <v>42818</v>
      </c>
      <c r="C99" t="s">
        <v>806</v>
      </c>
      <c r="D99">
        <v>-3.63</v>
      </c>
      <c r="E99" t="s">
        <v>837</v>
      </c>
      <c r="F99" t="s">
        <v>903</v>
      </c>
      <c r="H99" s="132"/>
      <c r="I99" t="s">
        <v>1074</v>
      </c>
      <c r="J99" s="132"/>
    </row>
    <row r="100" spans="1:10" hidden="1" x14ac:dyDescent="0.25">
      <c r="A100" t="s">
        <v>805</v>
      </c>
      <c r="B100" s="133">
        <v>42821</v>
      </c>
      <c r="C100" t="s">
        <v>806</v>
      </c>
      <c r="D100">
        <v>842.09</v>
      </c>
      <c r="E100" t="s">
        <v>807</v>
      </c>
      <c r="F100" t="s">
        <v>904</v>
      </c>
      <c r="H100" s="132"/>
      <c r="I100" t="s">
        <v>1074</v>
      </c>
      <c r="J100" s="132"/>
    </row>
    <row r="101" spans="1:10" hidden="1" x14ac:dyDescent="0.25">
      <c r="A101" t="s">
        <v>805</v>
      </c>
      <c r="B101" s="133">
        <v>42821</v>
      </c>
      <c r="C101" t="s">
        <v>806</v>
      </c>
      <c r="D101">
        <v>44</v>
      </c>
      <c r="E101" t="s">
        <v>807</v>
      </c>
      <c r="F101" t="s">
        <v>905</v>
      </c>
      <c r="H101" s="132"/>
      <c r="I101" t="s">
        <v>1074</v>
      </c>
      <c r="J101" s="132"/>
    </row>
    <row r="102" spans="1:10" x14ac:dyDescent="0.25">
      <c r="A102" t="s">
        <v>805</v>
      </c>
      <c r="B102" s="133">
        <v>42821</v>
      </c>
      <c r="C102" t="s">
        <v>806</v>
      </c>
      <c r="D102">
        <v>-11.6</v>
      </c>
      <c r="E102" t="s">
        <v>837</v>
      </c>
      <c r="F102" t="s">
        <v>906</v>
      </c>
      <c r="H102" s="140"/>
      <c r="I102" t="s">
        <v>1074</v>
      </c>
      <c r="J102" s="132"/>
    </row>
    <row r="103" spans="1:10" x14ac:dyDescent="0.25">
      <c r="A103" t="s">
        <v>805</v>
      </c>
      <c r="B103" s="133">
        <v>42821</v>
      </c>
      <c r="C103" t="s">
        <v>806</v>
      </c>
      <c r="D103">
        <v>-5.8</v>
      </c>
      <c r="E103" t="s">
        <v>837</v>
      </c>
      <c r="F103" t="s">
        <v>907</v>
      </c>
      <c r="H103" s="132"/>
      <c r="I103" t="s">
        <v>1074</v>
      </c>
      <c r="J103" s="132"/>
    </row>
    <row r="104" spans="1:10" hidden="1" x14ac:dyDescent="0.25">
      <c r="A104" t="s">
        <v>805</v>
      </c>
      <c r="B104" s="133">
        <v>42821</v>
      </c>
      <c r="C104" t="s">
        <v>806</v>
      </c>
      <c r="D104">
        <v>-80</v>
      </c>
      <c r="E104" t="s">
        <v>852</v>
      </c>
      <c r="F104" t="s">
        <v>908</v>
      </c>
      <c r="H104" s="132"/>
      <c r="I104" t="s">
        <v>1074</v>
      </c>
      <c r="J104" s="132"/>
    </row>
    <row r="105" spans="1:10" x14ac:dyDescent="0.25">
      <c r="A105" t="s">
        <v>805</v>
      </c>
      <c r="B105" s="133">
        <v>42821</v>
      </c>
      <c r="C105" t="s">
        <v>806</v>
      </c>
      <c r="D105">
        <v>-64.95</v>
      </c>
      <c r="E105" t="s">
        <v>837</v>
      </c>
      <c r="F105" t="s">
        <v>909</v>
      </c>
      <c r="H105" s="132"/>
      <c r="I105" t="s">
        <v>1074</v>
      </c>
      <c r="J105" s="132"/>
    </row>
    <row r="106" spans="1:10" x14ac:dyDescent="0.25">
      <c r="A106" t="s">
        <v>805</v>
      </c>
      <c r="B106" s="133">
        <v>42821</v>
      </c>
      <c r="C106" t="s">
        <v>806</v>
      </c>
      <c r="D106">
        <v>-38.75</v>
      </c>
      <c r="E106" t="s">
        <v>837</v>
      </c>
      <c r="F106" t="s">
        <v>910</v>
      </c>
      <c r="H106" s="132"/>
      <c r="I106" t="s">
        <v>1074</v>
      </c>
      <c r="J106" s="132"/>
    </row>
    <row r="107" spans="1:10" hidden="1" x14ac:dyDescent="0.25">
      <c r="A107" t="s">
        <v>805</v>
      </c>
      <c r="B107" s="133">
        <v>42821</v>
      </c>
      <c r="C107" t="s">
        <v>806</v>
      </c>
      <c r="D107">
        <v>-519.5</v>
      </c>
      <c r="E107" t="s">
        <v>810</v>
      </c>
      <c r="F107" t="s">
        <v>911</v>
      </c>
      <c r="H107" s="132"/>
      <c r="I107" t="s">
        <v>1074</v>
      </c>
      <c r="J107" s="132"/>
    </row>
    <row r="108" spans="1:10" hidden="1" x14ac:dyDescent="0.25">
      <c r="A108" t="s">
        <v>805</v>
      </c>
      <c r="B108" s="133">
        <v>42822</v>
      </c>
      <c r="C108" t="s">
        <v>806</v>
      </c>
      <c r="D108">
        <v>538.24</v>
      </c>
      <c r="E108" t="s">
        <v>807</v>
      </c>
      <c r="F108" t="s">
        <v>912</v>
      </c>
      <c r="H108" s="132"/>
      <c r="I108" t="s">
        <v>1074</v>
      </c>
      <c r="J108" s="132"/>
    </row>
    <row r="109" spans="1:10" hidden="1" x14ac:dyDescent="0.25">
      <c r="A109" t="s">
        <v>805</v>
      </c>
      <c r="B109" s="133">
        <v>42822</v>
      </c>
      <c r="C109" t="s">
        <v>806</v>
      </c>
      <c r="D109">
        <v>249.3</v>
      </c>
      <c r="E109" t="s">
        <v>807</v>
      </c>
      <c r="F109" t="s">
        <v>879</v>
      </c>
      <c r="H109" s="132"/>
      <c r="I109" t="s">
        <v>1074</v>
      </c>
      <c r="J109" s="132"/>
    </row>
    <row r="110" spans="1:10" hidden="1" x14ac:dyDescent="0.25">
      <c r="A110" t="s">
        <v>805</v>
      </c>
      <c r="B110" s="133">
        <v>42823</v>
      </c>
      <c r="C110" t="s">
        <v>806</v>
      </c>
      <c r="D110">
        <v>464</v>
      </c>
      <c r="E110" t="s">
        <v>807</v>
      </c>
      <c r="F110" t="s">
        <v>823</v>
      </c>
      <c r="H110" s="132"/>
      <c r="I110" t="s">
        <v>1074</v>
      </c>
      <c r="J110" s="132"/>
    </row>
    <row r="111" spans="1:10" hidden="1" x14ac:dyDescent="0.25">
      <c r="A111" t="s">
        <v>805</v>
      </c>
      <c r="B111" s="133">
        <v>42823</v>
      </c>
      <c r="C111" t="s">
        <v>806</v>
      </c>
      <c r="D111">
        <v>315.52</v>
      </c>
      <c r="E111" t="s">
        <v>807</v>
      </c>
      <c r="F111" t="s">
        <v>905</v>
      </c>
      <c r="I111" t="s">
        <v>1074</v>
      </c>
    </row>
    <row r="112" spans="1:10" hidden="1" x14ac:dyDescent="0.25">
      <c r="A112" t="s">
        <v>805</v>
      </c>
      <c r="B112" s="133">
        <v>42823</v>
      </c>
      <c r="C112" t="s">
        <v>806</v>
      </c>
      <c r="D112">
        <v>249.3</v>
      </c>
      <c r="E112" t="s">
        <v>807</v>
      </c>
      <c r="F112" t="s">
        <v>809</v>
      </c>
      <c r="I112" t="s">
        <v>1074</v>
      </c>
    </row>
    <row r="113" spans="1:9" hidden="1" x14ac:dyDescent="0.25">
      <c r="A113" t="s">
        <v>805</v>
      </c>
      <c r="B113" s="133">
        <v>42823</v>
      </c>
      <c r="C113" t="s">
        <v>806</v>
      </c>
      <c r="D113">
        <v>249.3</v>
      </c>
      <c r="E113" t="s">
        <v>807</v>
      </c>
      <c r="F113" t="s">
        <v>808</v>
      </c>
      <c r="I113" t="s">
        <v>1074</v>
      </c>
    </row>
    <row r="114" spans="1:9" hidden="1" x14ac:dyDescent="0.25">
      <c r="A114" t="s">
        <v>805</v>
      </c>
      <c r="B114" s="133">
        <v>42823</v>
      </c>
      <c r="C114" t="s">
        <v>806</v>
      </c>
      <c r="D114">
        <v>-116</v>
      </c>
      <c r="E114" t="s">
        <v>818</v>
      </c>
      <c r="F114" t="s">
        <v>913</v>
      </c>
      <c r="I114" t="s">
        <v>1075</v>
      </c>
    </row>
    <row r="115" spans="1:9" hidden="1" x14ac:dyDescent="0.25">
      <c r="A115" t="s">
        <v>805</v>
      </c>
      <c r="B115" s="133">
        <v>42824</v>
      </c>
      <c r="C115" t="s">
        <v>806</v>
      </c>
      <c r="D115">
        <v>139.19999999999999</v>
      </c>
      <c r="E115" t="s">
        <v>807</v>
      </c>
      <c r="F115" t="s">
        <v>887</v>
      </c>
      <c r="I115" t="s">
        <v>1074</v>
      </c>
    </row>
    <row r="116" spans="1:9" hidden="1" x14ac:dyDescent="0.25">
      <c r="A116" t="s">
        <v>805</v>
      </c>
      <c r="B116" s="133">
        <v>42825</v>
      </c>
      <c r="C116" t="s">
        <v>806</v>
      </c>
      <c r="D116">
        <v>7.34</v>
      </c>
      <c r="E116" t="s">
        <v>914</v>
      </c>
      <c r="F116" t="s">
        <v>915</v>
      </c>
      <c r="I116" t="s">
        <v>1074</v>
      </c>
    </row>
    <row r="117" spans="1:9" x14ac:dyDescent="0.25">
      <c r="A117" t="s">
        <v>805</v>
      </c>
      <c r="B117" s="133">
        <v>42825</v>
      </c>
      <c r="C117" t="s">
        <v>806</v>
      </c>
      <c r="D117">
        <v>-195.38</v>
      </c>
      <c r="E117" t="s">
        <v>837</v>
      </c>
      <c r="F117" t="s">
        <v>916</v>
      </c>
      <c r="I117" t="s">
        <v>1074</v>
      </c>
    </row>
    <row r="118" spans="1:9" hidden="1" x14ac:dyDescent="0.25">
      <c r="A118" t="s">
        <v>805</v>
      </c>
      <c r="B118" s="133">
        <v>42825</v>
      </c>
      <c r="C118" t="s">
        <v>806</v>
      </c>
      <c r="D118">
        <v>-171.13</v>
      </c>
      <c r="E118" t="s">
        <v>818</v>
      </c>
      <c r="F118" t="s">
        <v>917</v>
      </c>
      <c r="I118" t="s">
        <v>1075</v>
      </c>
    </row>
    <row r="119" spans="1:9" hidden="1" x14ac:dyDescent="0.25">
      <c r="A119" t="s">
        <v>805</v>
      </c>
      <c r="B119" s="133">
        <v>42825</v>
      </c>
      <c r="C119" t="s">
        <v>806</v>
      </c>
      <c r="D119">
        <v>-177.73</v>
      </c>
      <c r="E119" t="s">
        <v>818</v>
      </c>
      <c r="F119" t="s">
        <v>918</v>
      </c>
      <c r="I119" t="s">
        <v>1075</v>
      </c>
    </row>
    <row r="120" spans="1:9" hidden="1" x14ac:dyDescent="0.25">
      <c r="A120" t="s">
        <v>805</v>
      </c>
      <c r="B120" s="133">
        <v>42825</v>
      </c>
      <c r="C120" t="s">
        <v>806</v>
      </c>
      <c r="D120">
        <v>-177.73</v>
      </c>
      <c r="E120" t="s">
        <v>818</v>
      </c>
      <c r="F120" t="s">
        <v>919</v>
      </c>
      <c r="I120" t="s">
        <v>1075</v>
      </c>
    </row>
    <row r="121" spans="1:9" hidden="1" x14ac:dyDescent="0.25">
      <c r="A121" t="s">
        <v>805</v>
      </c>
      <c r="B121" s="133">
        <v>42825</v>
      </c>
      <c r="C121" t="s">
        <v>806</v>
      </c>
      <c r="D121">
        <v>-177.73</v>
      </c>
      <c r="E121" t="s">
        <v>818</v>
      </c>
      <c r="F121" t="s">
        <v>920</v>
      </c>
      <c r="I121" t="s">
        <v>1075</v>
      </c>
    </row>
    <row r="122" spans="1:9" hidden="1" x14ac:dyDescent="0.25">
      <c r="A122" t="s">
        <v>805</v>
      </c>
      <c r="B122" s="133">
        <v>42825</v>
      </c>
      <c r="C122" t="s">
        <v>806</v>
      </c>
      <c r="D122">
        <v>-59.69</v>
      </c>
      <c r="E122" t="s">
        <v>818</v>
      </c>
      <c r="F122" t="s">
        <v>921</v>
      </c>
      <c r="I122" t="s">
        <v>1074</v>
      </c>
    </row>
    <row r="123" spans="1:9" x14ac:dyDescent="0.25">
      <c r="B123" s="101"/>
      <c r="H123" s="56"/>
    </row>
  </sheetData>
  <autoFilter ref="A1:I122" xr:uid="{00000000-0009-0000-0000-000004000000}">
    <filterColumn colId="4">
      <filters>
        <filter val="PAYMEN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75"/>
  <sheetViews>
    <sheetView zoomScale="85" zoomScaleNormal="85" workbookViewId="0">
      <selection activeCell="I1" sqref="A1:I1"/>
    </sheetView>
  </sheetViews>
  <sheetFormatPr defaultRowHeight="13.2" x14ac:dyDescent="0.25"/>
  <cols>
    <col min="2" max="2" width="10.10937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11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1" x14ac:dyDescent="0.25">
      <c r="A2" t="s">
        <v>805</v>
      </c>
      <c r="B2" s="133">
        <v>42795</v>
      </c>
      <c r="C2" t="s">
        <v>922</v>
      </c>
      <c r="D2">
        <v>2609.16</v>
      </c>
      <c r="E2" t="s">
        <v>923</v>
      </c>
      <c r="F2" t="s">
        <v>924</v>
      </c>
      <c r="H2" s="132"/>
      <c r="I2" t="s">
        <v>1074</v>
      </c>
      <c r="J2" s="132"/>
      <c r="K2" s="132"/>
    </row>
    <row r="3" spans="1:11" x14ac:dyDescent="0.25">
      <c r="A3" t="s">
        <v>805</v>
      </c>
      <c r="B3" s="133">
        <v>42795</v>
      </c>
      <c r="C3" t="s">
        <v>922</v>
      </c>
      <c r="D3">
        <v>360.4</v>
      </c>
      <c r="E3" t="s">
        <v>807</v>
      </c>
      <c r="F3" t="s">
        <v>925</v>
      </c>
      <c r="H3" s="132"/>
      <c r="I3" t="s">
        <v>1074</v>
      </c>
      <c r="J3" s="132"/>
      <c r="K3" s="132"/>
    </row>
    <row r="4" spans="1:11" x14ac:dyDescent="0.25">
      <c r="A4" t="s">
        <v>805</v>
      </c>
      <c r="B4" s="133">
        <v>42795</v>
      </c>
      <c r="C4" t="s">
        <v>922</v>
      </c>
      <c r="D4">
        <v>35.26</v>
      </c>
      <c r="E4" t="s">
        <v>807</v>
      </c>
      <c r="F4" t="s">
        <v>926</v>
      </c>
      <c r="H4" s="132"/>
      <c r="I4" t="s">
        <v>1074</v>
      </c>
      <c r="J4" s="132"/>
      <c r="K4" s="132"/>
    </row>
    <row r="5" spans="1:11" x14ac:dyDescent="0.25">
      <c r="A5" t="s">
        <v>805</v>
      </c>
      <c r="B5" s="133">
        <v>42795</v>
      </c>
      <c r="C5" t="s">
        <v>922</v>
      </c>
      <c r="D5">
        <v>-232.5</v>
      </c>
      <c r="E5" t="s">
        <v>810</v>
      </c>
      <c r="F5" t="s">
        <v>927</v>
      </c>
      <c r="H5" s="132"/>
      <c r="I5" t="s">
        <v>1074</v>
      </c>
      <c r="J5" s="132"/>
      <c r="K5" s="132"/>
    </row>
    <row r="6" spans="1:11" x14ac:dyDescent="0.25">
      <c r="A6" t="s">
        <v>805</v>
      </c>
      <c r="B6" s="133">
        <v>42795</v>
      </c>
      <c r="C6" t="s">
        <v>922</v>
      </c>
      <c r="D6">
        <v>-160</v>
      </c>
      <c r="E6" t="s">
        <v>810</v>
      </c>
      <c r="F6" t="s">
        <v>928</v>
      </c>
      <c r="H6" s="132"/>
      <c r="I6" t="s">
        <v>1074</v>
      </c>
      <c r="J6" s="132"/>
      <c r="K6" s="132"/>
    </row>
    <row r="7" spans="1:11" x14ac:dyDescent="0.25">
      <c r="A7" t="s">
        <v>805</v>
      </c>
      <c r="B7" s="133">
        <v>42795</v>
      </c>
      <c r="C7" t="s">
        <v>922</v>
      </c>
      <c r="D7">
        <v>-157.5</v>
      </c>
      <c r="E7" t="s">
        <v>810</v>
      </c>
      <c r="F7" t="s">
        <v>929</v>
      </c>
      <c r="H7" s="132"/>
      <c r="I7" t="s">
        <v>1074</v>
      </c>
      <c r="J7" s="132"/>
      <c r="K7" s="132"/>
    </row>
    <row r="8" spans="1:11" x14ac:dyDescent="0.25">
      <c r="A8" t="s">
        <v>805</v>
      </c>
      <c r="B8" s="133">
        <v>42795</v>
      </c>
      <c r="C8" t="s">
        <v>922</v>
      </c>
      <c r="D8">
        <v>-50</v>
      </c>
      <c r="E8" t="s">
        <v>810</v>
      </c>
      <c r="F8" t="s">
        <v>930</v>
      </c>
      <c r="H8" s="132"/>
      <c r="I8" t="s">
        <v>1074</v>
      </c>
      <c r="J8" s="132"/>
      <c r="K8" s="132"/>
    </row>
    <row r="9" spans="1:11" x14ac:dyDescent="0.25">
      <c r="A9" t="s">
        <v>805</v>
      </c>
      <c r="B9" s="133">
        <v>42795</v>
      </c>
      <c r="C9" t="s">
        <v>922</v>
      </c>
      <c r="D9">
        <v>-50</v>
      </c>
      <c r="E9" t="s">
        <v>810</v>
      </c>
      <c r="F9" t="s">
        <v>817</v>
      </c>
      <c r="H9" s="132"/>
      <c r="I9" t="s">
        <v>1074</v>
      </c>
      <c r="J9" s="132"/>
      <c r="K9" s="132"/>
    </row>
    <row r="10" spans="1:11" x14ac:dyDescent="0.25">
      <c r="A10" t="s">
        <v>805</v>
      </c>
      <c r="B10" s="133">
        <v>42795</v>
      </c>
      <c r="C10" t="s">
        <v>922</v>
      </c>
      <c r="D10">
        <v>-496.98</v>
      </c>
      <c r="E10" t="s">
        <v>818</v>
      </c>
      <c r="F10" t="s">
        <v>931</v>
      </c>
      <c r="H10" s="132"/>
      <c r="I10" t="s">
        <v>1075</v>
      </c>
      <c r="J10" s="132"/>
      <c r="K10" s="132"/>
    </row>
    <row r="11" spans="1:11" x14ac:dyDescent="0.25">
      <c r="A11" t="s">
        <v>805</v>
      </c>
      <c r="B11" s="133">
        <v>42795</v>
      </c>
      <c r="C11" t="s">
        <v>922</v>
      </c>
      <c r="D11">
        <v>-165.45</v>
      </c>
      <c r="E11" t="s">
        <v>818</v>
      </c>
      <c r="F11" t="s">
        <v>932</v>
      </c>
      <c r="H11" s="132"/>
      <c r="I11" t="s">
        <v>1075</v>
      </c>
      <c r="J11" s="132"/>
      <c r="K11" s="132"/>
    </row>
    <row r="12" spans="1:11" x14ac:dyDescent="0.25">
      <c r="A12" t="s">
        <v>805</v>
      </c>
      <c r="B12" s="133">
        <v>42795</v>
      </c>
      <c r="C12" t="s">
        <v>922</v>
      </c>
      <c r="D12">
        <v>-195.72</v>
      </c>
      <c r="E12" t="s">
        <v>818</v>
      </c>
      <c r="F12" t="s">
        <v>933</v>
      </c>
      <c r="H12" s="132"/>
      <c r="I12" t="s">
        <v>1075</v>
      </c>
      <c r="J12" s="132"/>
      <c r="K12" s="132"/>
    </row>
    <row r="13" spans="1:11" x14ac:dyDescent="0.25">
      <c r="A13" t="s">
        <v>805</v>
      </c>
      <c r="B13" s="133">
        <v>42795</v>
      </c>
      <c r="C13" t="s">
        <v>922</v>
      </c>
      <c r="D13">
        <v>-197.32</v>
      </c>
      <c r="E13" t="s">
        <v>818</v>
      </c>
      <c r="F13" t="s">
        <v>934</v>
      </c>
      <c r="H13" s="132"/>
      <c r="I13" t="s">
        <v>1075</v>
      </c>
      <c r="J13" s="132"/>
      <c r="K13" s="132"/>
    </row>
    <row r="14" spans="1:11" x14ac:dyDescent="0.25">
      <c r="A14" t="s">
        <v>805</v>
      </c>
      <c r="B14" s="133">
        <v>42795</v>
      </c>
      <c r="C14" t="s">
        <v>922</v>
      </c>
      <c r="D14">
        <v>-311.08</v>
      </c>
      <c r="E14" t="s">
        <v>818</v>
      </c>
      <c r="F14" t="s">
        <v>935</v>
      </c>
      <c r="H14" s="132"/>
      <c r="I14" t="s">
        <v>1074</v>
      </c>
      <c r="J14" s="132"/>
      <c r="K14" s="132"/>
    </row>
    <row r="15" spans="1:11" x14ac:dyDescent="0.25">
      <c r="A15" t="s">
        <v>805</v>
      </c>
      <c r="B15" s="133">
        <v>42795</v>
      </c>
      <c r="C15" t="s">
        <v>922</v>
      </c>
      <c r="D15">
        <v>-1301.26</v>
      </c>
      <c r="E15" t="s">
        <v>818</v>
      </c>
      <c r="F15" t="s">
        <v>936</v>
      </c>
      <c r="H15" s="132"/>
      <c r="I15" t="s">
        <v>1074</v>
      </c>
      <c r="J15" s="132"/>
      <c r="K15" s="132"/>
    </row>
    <row r="16" spans="1:11" x14ac:dyDescent="0.25">
      <c r="A16" t="s">
        <v>805</v>
      </c>
      <c r="B16" s="133">
        <v>42795</v>
      </c>
      <c r="C16" t="s">
        <v>922</v>
      </c>
      <c r="D16">
        <v>-1132.6300000000001</v>
      </c>
      <c r="E16" t="s">
        <v>818</v>
      </c>
      <c r="F16" t="s">
        <v>937</v>
      </c>
      <c r="H16" s="132"/>
      <c r="I16" t="s">
        <v>1074</v>
      </c>
      <c r="J16" s="132"/>
      <c r="K16" s="132"/>
    </row>
    <row r="17" spans="1:11" x14ac:dyDescent="0.25">
      <c r="A17" t="s">
        <v>805</v>
      </c>
      <c r="B17" s="133">
        <v>42795</v>
      </c>
      <c r="C17" t="s">
        <v>922</v>
      </c>
      <c r="D17">
        <v>-348.23</v>
      </c>
      <c r="E17" t="s">
        <v>818</v>
      </c>
      <c r="F17" t="s">
        <v>938</v>
      </c>
      <c r="H17" s="132"/>
      <c r="I17" t="s">
        <v>1075</v>
      </c>
      <c r="J17" s="132"/>
      <c r="K17" s="132"/>
    </row>
    <row r="18" spans="1:11" x14ac:dyDescent="0.25">
      <c r="A18" t="s">
        <v>805</v>
      </c>
      <c r="B18" s="133">
        <v>42795</v>
      </c>
      <c r="C18" t="s">
        <v>922</v>
      </c>
      <c r="D18">
        <v>-356.87</v>
      </c>
      <c r="E18" t="s">
        <v>818</v>
      </c>
      <c r="F18" t="s">
        <v>939</v>
      </c>
      <c r="H18" s="132"/>
      <c r="I18" t="s">
        <v>1075</v>
      </c>
      <c r="J18" s="132"/>
      <c r="K18" s="132"/>
    </row>
    <row r="19" spans="1:11" x14ac:dyDescent="0.25">
      <c r="A19" t="s">
        <v>805</v>
      </c>
      <c r="B19" s="133">
        <v>42796</v>
      </c>
      <c r="C19" t="s">
        <v>922</v>
      </c>
      <c r="D19">
        <v>482.56</v>
      </c>
      <c r="E19" t="s">
        <v>807</v>
      </c>
      <c r="F19" t="s">
        <v>940</v>
      </c>
      <c r="H19" s="132"/>
      <c r="I19" t="s">
        <v>1074</v>
      </c>
      <c r="J19" s="132"/>
      <c r="K19" s="132"/>
    </row>
    <row r="20" spans="1:11" x14ac:dyDescent="0.25">
      <c r="A20" t="s">
        <v>805</v>
      </c>
      <c r="B20" s="133">
        <v>42796</v>
      </c>
      <c r="C20" t="s">
        <v>922</v>
      </c>
      <c r="D20">
        <v>-37.950000000000003</v>
      </c>
      <c r="E20" t="s">
        <v>818</v>
      </c>
      <c r="F20" t="s">
        <v>941</v>
      </c>
      <c r="H20" s="132"/>
      <c r="I20" t="s">
        <v>1074</v>
      </c>
      <c r="J20" s="132"/>
      <c r="K20" s="132"/>
    </row>
    <row r="21" spans="1:11" x14ac:dyDescent="0.25">
      <c r="A21" t="s">
        <v>805</v>
      </c>
      <c r="B21" s="133">
        <v>42797</v>
      </c>
      <c r="C21" t="s">
        <v>922</v>
      </c>
      <c r="D21">
        <v>185.6</v>
      </c>
      <c r="E21" t="s">
        <v>807</v>
      </c>
      <c r="F21" t="s">
        <v>942</v>
      </c>
      <c r="H21" s="132"/>
      <c r="I21" t="s">
        <v>1074</v>
      </c>
      <c r="J21" s="132"/>
      <c r="K21" s="132"/>
    </row>
    <row r="22" spans="1:11" x14ac:dyDescent="0.25">
      <c r="A22" t="s">
        <v>805</v>
      </c>
      <c r="B22" s="133">
        <v>42797</v>
      </c>
      <c r="C22" t="s">
        <v>922</v>
      </c>
      <c r="D22">
        <v>-203.37</v>
      </c>
      <c r="E22" t="s">
        <v>818</v>
      </c>
      <c r="F22" t="s">
        <v>943</v>
      </c>
      <c r="H22" s="132"/>
      <c r="I22" t="s">
        <v>1075</v>
      </c>
      <c r="J22" s="132"/>
      <c r="K22" s="132"/>
    </row>
    <row r="23" spans="1:11" x14ac:dyDescent="0.25">
      <c r="A23" t="s">
        <v>805</v>
      </c>
      <c r="B23" s="133">
        <v>42800</v>
      </c>
      <c r="C23" t="s">
        <v>922</v>
      </c>
      <c r="D23">
        <v>-75</v>
      </c>
      <c r="E23" t="s">
        <v>810</v>
      </c>
      <c r="F23" t="s">
        <v>944</v>
      </c>
      <c r="H23" s="132"/>
      <c r="I23" t="s">
        <v>1074</v>
      </c>
      <c r="J23" s="132"/>
      <c r="K23" s="132"/>
    </row>
    <row r="24" spans="1:11" x14ac:dyDescent="0.25">
      <c r="A24" t="s">
        <v>805</v>
      </c>
      <c r="B24" s="133">
        <v>42800</v>
      </c>
      <c r="C24" t="s">
        <v>922</v>
      </c>
      <c r="D24">
        <v>-75</v>
      </c>
      <c r="E24" t="s">
        <v>818</v>
      </c>
      <c r="F24" t="s">
        <v>945</v>
      </c>
      <c r="H24" s="132"/>
      <c r="I24" t="s">
        <v>1074</v>
      </c>
      <c r="J24" s="132"/>
      <c r="K24" s="132"/>
    </row>
    <row r="25" spans="1:11" x14ac:dyDescent="0.25">
      <c r="A25" t="s">
        <v>805</v>
      </c>
      <c r="B25" s="133">
        <v>42802</v>
      </c>
      <c r="C25" t="s">
        <v>922</v>
      </c>
      <c r="D25">
        <v>154.27000000000001</v>
      </c>
      <c r="E25" t="s">
        <v>807</v>
      </c>
      <c r="F25" t="s">
        <v>946</v>
      </c>
      <c r="H25" s="132"/>
      <c r="I25" t="s">
        <v>1074</v>
      </c>
      <c r="J25" s="132"/>
      <c r="K25" s="132"/>
    </row>
    <row r="26" spans="1:11" x14ac:dyDescent="0.25">
      <c r="A26" t="s">
        <v>805</v>
      </c>
      <c r="B26" s="133">
        <v>42802</v>
      </c>
      <c r="C26" t="s">
        <v>922</v>
      </c>
      <c r="D26">
        <v>-196.17</v>
      </c>
      <c r="E26" t="s">
        <v>818</v>
      </c>
      <c r="F26" t="s">
        <v>947</v>
      </c>
      <c r="H26" s="132"/>
      <c r="I26" t="s">
        <v>1075</v>
      </c>
      <c r="J26" s="132"/>
      <c r="K26" s="132"/>
    </row>
    <row r="27" spans="1:11" x14ac:dyDescent="0.25">
      <c r="A27" t="s">
        <v>805</v>
      </c>
      <c r="B27" s="133">
        <v>42804</v>
      </c>
      <c r="C27" t="s">
        <v>922</v>
      </c>
      <c r="D27">
        <v>118.2</v>
      </c>
      <c r="E27" t="s">
        <v>807</v>
      </c>
      <c r="F27" t="s">
        <v>948</v>
      </c>
      <c r="H27" s="132"/>
      <c r="I27" t="s">
        <v>1074</v>
      </c>
      <c r="J27" s="132"/>
      <c r="K27" s="132"/>
    </row>
    <row r="28" spans="1:11" x14ac:dyDescent="0.25">
      <c r="A28" t="s">
        <v>805</v>
      </c>
      <c r="B28" s="133">
        <v>42807</v>
      </c>
      <c r="C28" t="s">
        <v>922</v>
      </c>
      <c r="D28">
        <v>38.36</v>
      </c>
      <c r="E28" t="s">
        <v>807</v>
      </c>
      <c r="F28" t="s">
        <v>949</v>
      </c>
      <c r="H28" s="132"/>
      <c r="I28" t="s">
        <v>1074</v>
      </c>
      <c r="J28" s="132"/>
      <c r="K28" s="132"/>
    </row>
    <row r="29" spans="1:11" x14ac:dyDescent="0.25">
      <c r="A29" t="s">
        <v>805</v>
      </c>
      <c r="B29" s="133">
        <v>42807</v>
      </c>
      <c r="C29" t="s">
        <v>922</v>
      </c>
      <c r="D29">
        <v>-37.68</v>
      </c>
      <c r="E29" t="s">
        <v>818</v>
      </c>
      <c r="F29" t="s">
        <v>950</v>
      </c>
      <c r="H29" s="132"/>
      <c r="I29" t="s">
        <v>1074</v>
      </c>
      <c r="J29" s="132"/>
      <c r="K29" s="132"/>
    </row>
    <row r="30" spans="1:11" x14ac:dyDescent="0.25">
      <c r="A30" t="s">
        <v>805</v>
      </c>
      <c r="B30" s="133">
        <v>42807</v>
      </c>
      <c r="C30" t="s">
        <v>922</v>
      </c>
      <c r="D30">
        <v>-81.459999999999994</v>
      </c>
      <c r="E30" t="s">
        <v>818</v>
      </c>
      <c r="F30" t="s">
        <v>951</v>
      </c>
      <c r="H30" s="132"/>
      <c r="I30" t="s">
        <v>1074</v>
      </c>
      <c r="J30" s="132"/>
      <c r="K30" s="132"/>
    </row>
    <row r="31" spans="1:11" x14ac:dyDescent="0.25">
      <c r="A31" t="s">
        <v>805</v>
      </c>
      <c r="B31" s="133">
        <v>42808</v>
      </c>
      <c r="C31" t="s">
        <v>922</v>
      </c>
      <c r="D31">
        <v>-51.49</v>
      </c>
      <c r="E31" t="s">
        <v>818</v>
      </c>
      <c r="F31" t="s">
        <v>952</v>
      </c>
      <c r="H31" s="132"/>
      <c r="I31" t="s">
        <v>1074</v>
      </c>
      <c r="J31" s="132"/>
      <c r="K31" s="132"/>
    </row>
    <row r="32" spans="1:11" x14ac:dyDescent="0.25">
      <c r="A32" t="s">
        <v>805</v>
      </c>
      <c r="B32" s="133">
        <v>42809</v>
      </c>
      <c r="C32" t="s">
        <v>922</v>
      </c>
      <c r="D32">
        <v>-165.41</v>
      </c>
      <c r="E32" t="s">
        <v>818</v>
      </c>
      <c r="F32" t="s">
        <v>953</v>
      </c>
      <c r="H32" s="132"/>
      <c r="I32" t="s">
        <v>1075</v>
      </c>
      <c r="J32" s="132"/>
      <c r="K32" s="132"/>
    </row>
    <row r="33" spans="1:11" x14ac:dyDescent="0.25">
      <c r="A33" t="s">
        <v>805</v>
      </c>
      <c r="B33" s="133">
        <v>42809</v>
      </c>
      <c r="C33" t="s">
        <v>922</v>
      </c>
      <c r="D33">
        <v>-171.18</v>
      </c>
      <c r="E33" t="s">
        <v>818</v>
      </c>
      <c r="F33" t="s">
        <v>954</v>
      </c>
      <c r="H33" s="132"/>
      <c r="I33" t="s">
        <v>1075</v>
      </c>
      <c r="J33" s="132"/>
      <c r="K33" s="132"/>
    </row>
    <row r="34" spans="1:11" x14ac:dyDescent="0.25">
      <c r="A34" t="s">
        <v>805</v>
      </c>
      <c r="B34" s="133">
        <v>42809</v>
      </c>
      <c r="C34" t="s">
        <v>922</v>
      </c>
      <c r="D34">
        <v>-171.18</v>
      </c>
      <c r="E34" t="s">
        <v>818</v>
      </c>
      <c r="F34" t="s">
        <v>955</v>
      </c>
      <c r="H34" s="132"/>
      <c r="I34" t="s">
        <v>1075</v>
      </c>
      <c r="J34" s="132"/>
      <c r="K34" s="132"/>
    </row>
    <row r="35" spans="1:11" x14ac:dyDescent="0.25">
      <c r="A35" t="s">
        <v>805</v>
      </c>
      <c r="B35" s="133">
        <v>42809</v>
      </c>
      <c r="C35" t="s">
        <v>922</v>
      </c>
      <c r="D35">
        <v>-165.45</v>
      </c>
      <c r="E35" t="s">
        <v>818</v>
      </c>
      <c r="F35" t="s">
        <v>956</v>
      </c>
      <c r="H35" s="132"/>
      <c r="I35" t="s">
        <v>1075</v>
      </c>
      <c r="J35" s="132"/>
      <c r="K35" s="132"/>
    </row>
    <row r="36" spans="1:11" x14ac:dyDescent="0.25">
      <c r="A36" t="s">
        <v>805</v>
      </c>
      <c r="B36" s="133">
        <v>42809</v>
      </c>
      <c r="C36" t="s">
        <v>922</v>
      </c>
      <c r="D36">
        <v>-165.41</v>
      </c>
      <c r="E36" t="s">
        <v>818</v>
      </c>
      <c r="F36" t="s">
        <v>957</v>
      </c>
      <c r="H36" s="132"/>
      <c r="I36" t="s">
        <v>1075</v>
      </c>
      <c r="J36" s="132"/>
      <c r="K36" s="132"/>
    </row>
    <row r="37" spans="1:11" x14ac:dyDescent="0.25">
      <c r="A37" t="s">
        <v>805</v>
      </c>
      <c r="B37" s="133">
        <v>42809</v>
      </c>
      <c r="C37" t="s">
        <v>922</v>
      </c>
      <c r="D37">
        <v>-165.47</v>
      </c>
      <c r="E37" t="s">
        <v>818</v>
      </c>
      <c r="F37" t="s">
        <v>958</v>
      </c>
      <c r="H37" s="132"/>
      <c r="I37" t="s">
        <v>1075</v>
      </c>
      <c r="J37" s="132"/>
      <c r="K37" s="132"/>
    </row>
    <row r="38" spans="1:11" x14ac:dyDescent="0.25">
      <c r="A38" t="s">
        <v>805</v>
      </c>
      <c r="B38" s="133">
        <v>42809</v>
      </c>
      <c r="C38" t="s">
        <v>922</v>
      </c>
      <c r="D38">
        <v>-165.44</v>
      </c>
      <c r="E38" t="s">
        <v>818</v>
      </c>
      <c r="F38" t="s">
        <v>959</v>
      </c>
      <c r="H38" s="132"/>
      <c r="I38" t="s">
        <v>1075</v>
      </c>
      <c r="J38" s="132"/>
      <c r="K38" s="132"/>
    </row>
    <row r="39" spans="1:11" x14ac:dyDescent="0.25">
      <c r="A39" t="s">
        <v>805</v>
      </c>
      <c r="B39" s="133">
        <v>42809</v>
      </c>
      <c r="C39" t="s">
        <v>922</v>
      </c>
      <c r="D39">
        <v>-165.91</v>
      </c>
      <c r="E39" t="s">
        <v>818</v>
      </c>
      <c r="F39" t="s">
        <v>960</v>
      </c>
      <c r="H39" s="132"/>
      <c r="I39" t="s">
        <v>1075</v>
      </c>
      <c r="J39" s="132"/>
      <c r="K39" s="132"/>
    </row>
    <row r="40" spans="1:11" x14ac:dyDescent="0.25">
      <c r="A40" t="s">
        <v>805</v>
      </c>
      <c r="B40" s="133">
        <v>42810</v>
      </c>
      <c r="C40" t="s">
        <v>922</v>
      </c>
      <c r="D40">
        <v>538.24</v>
      </c>
      <c r="E40" t="s">
        <v>807</v>
      </c>
      <c r="F40" t="s">
        <v>961</v>
      </c>
      <c r="H40" s="132"/>
      <c r="I40" t="s">
        <v>1074</v>
      </c>
      <c r="J40" s="132"/>
      <c r="K40" s="132"/>
    </row>
    <row r="41" spans="1:11" x14ac:dyDescent="0.25">
      <c r="A41" t="s">
        <v>805</v>
      </c>
      <c r="B41" s="133">
        <v>42810</v>
      </c>
      <c r="C41" t="s">
        <v>922</v>
      </c>
      <c r="D41">
        <v>428.3</v>
      </c>
      <c r="E41" t="s">
        <v>807</v>
      </c>
      <c r="F41" t="s">
        <v>962</v>
      </c>
      <c r="H41" s="132"/>
      <c r="I41" t="s">
        <v>1074</v>
      </c>
      <c r="J41" s="132"/>
      <c r="K41" s="132"/>
    </row>
    <row r="42" spans="1:11" x14ac:dyDescent="0.25">
      <c r="A42" t="s">
        <v>805</v>
      </c>
      <c r="B42" s="133">
        <v>42810</v>
      </c>
      <c r="C42" t="s">
        <v>922</v>
      </c>
      <c r="D42">
        <v>412.48</v>
      </c>
      <c r="E42" t="s">
        <v>807</v>
      </c>
      <c r="F42" t="s">
        <v>963</v>
      </c>
      <c r="H42" s="132"/>
      <c r="I42" t="s">
        <v>1074</v>
      </c>
      <c r="J42" s="132"/>
      <c r="K42" s="132"/>
    </row>
    <row r="43" spans="1:11" x14ac:dyDescent="0.25">
      <c r="A43" t="s">
        <v>805</v>
      </c>
      <c r="B43" s="133">
        <v>42810</v>
      </c>
      <c r="C43" t="s">
        <v>922</v>
      </c>
      <c r="D43">
        <v>378.29</v>
      </c>
      <c r="E43" t="s">
        <v>807</v>
      </c>
      <c r="F43" t="s">
        <v>926</v>
      </c>
      <c r="H43" s="132"/>
      <c r="I43" t="s">
        <v>1074</v>
      </c>
      <c r="J43" s="132"/>
      <c r="K43" s="132"/>
    </row>
    <row r="44" spans="1:11" x14ac:dyDescent="0.25">
      <c r="A44" t="s">
        <v>805</v>
      </c>
      <c r="B44" s="133">
        <v>42810</v>
      </c>
      <c r="C44" t="s">
        <v>922</v>
      </c>
      <c r="D44">
        <v>350.44</v>
      </c>
      <c r="E44" t="s">
        <v>807</v>
      </c>
      <c r="F44" t="s">
        <v>948</v>
      </c>
      <c r="H44" s="132"/>
      <c r="I44" t="s">
        <v>1074</v>
      </c>
      <c r="J44" s="132"/>
      <c r="K44" s="132"/>
    </row>
    <row r="45" spans="1:11" x14ac:dyDescent="0.25">
      <c r="A45" t="s">
        <v>805</v>
      </c>
      <c r="B45" s="133">
        <v>42810</v>
      </c>
      <c r="C45" t="s">
        <v>922</v>
      </c>
      <c r="D45">
        <v>345.3</v>
      </c>
      <c r="E45" t="s">
        <v>807</v>
      </c>
      <c r="F45" t="s">
        <v>964</v>
      </c>
      <c r="H45" s="132"/>
      <c r="I45" t="s">
        <v>1074</v>
      </c>
      <c r="J45" s="132"/>
      <c r="K45" s="132"/>
    </row>
    <row r="46" spans="1:11" x14ac:dyDescent="0.25">
      <c r="A46" t="s">
        <v>805</v>
      </c>
      <c r="B46" s="133">
        <v>42810</v>
      </c>
      <c r="C46" t="s">
        <v>922</v>
      </c>
      <c r="D46">
        <v>314.35000000000002</v>
      </c>
      <c r="E46" t="s">
        <v>807</v>
      </c>
      <c r="F46" t="s">
        <v>946</v>
      </c>
      <c r="H46" s="132"/>
      <c r="I46" t="s">
        <v>1074</v>
      </c>
      <c r="J46" s="132"/>
      <c r="K46" s="132"/>
    </row>
    <row r="47" spans="1:11" x14ac:dyDescent="0.25">
      <c r="A47" t="s">
        <v>805</v>
      </c>
      <c r="B47" s="133">
        <v>42810</v>
      </c>
      <c r="C47" t="s">
        <v>922</v>
      </c>
      <c r="D47">
        <v>250.64</v>
      </c>
      <c r="E47" t="s">
        <v>807</v>
      </c>
      <c r="F47" t="s">
        <v>949</v>
      </c>
      <c r="H47" s="132"/>
      <c r="I47" t="s">
        <v>1074</v>
      </c>
      <c r="J47" s="132"/>
      <c r="K47" s="132"/>
    </row>
    <row r="48" spans="1:11" x14ac:dyDescent="0.25">
      <c r="A48" t="s">
        <v>805</v>
      </c>
      <c r="B48" s="133">
        <v>42810</v>
      </c>
      <c r="C48" t="s">
        <v>922</v>
      </c>
      <c r="D48">
        <v>178.99</v>
      </c>
      <c r="E48" t="s">
        <v>807</v>
      </c>
      <c r="F48" t="s">
        <v>965</v>
      </c>
      <c r="H48" s="132"/>
      <c r="I48" t="s">
        <v>1074</v>
      </c>
      <c r="J48" s="132"/>
      <c r="K48" s="132"/>
    </row>
    <row r="49" spans="1:11" x14ac:dyDescent="0.25">
      <c r="A49" t="s">
        <v>805</v>
      </c>
      <c r="B49" s="133">
        <v>42810</v>
      </c>
      <c r="C49" t="s">
        <v>922</v>
      </c>
      <c r="D49">
        <v>174.54</v>
      </c>
      <c r="E49" t="s">
        <v>807</v>
      </c>
      <c r="F49" t="s">
        <v>966</v>
      </c>
      <c r="H49" s="132"/>
      <c r="I49" t="s">
        <v>1074</v>
      </c>
      <c r="J49" s="132"/>
      <c r="K49" s="132"/>
    </row>
    <row r="50" spans="1:11" x14ac:dyDescent="0.25">
      <c r="A50" t="s">
        <v>805</v>
      </c>
      <c r="B50" s="133">
        <v>42810</v>
      </c>
      <c r="C50" t="s">
        <v>922</v>
      </c>
      <c r="D50">
        <v>108.24</v>
      </c>
      <c r="E50" t="s">
        <v>807</v>
      </c>
      <c r="F50" t="s">
        <v>925</v>
      </c>
      <c r="H50" s="132"/>
      <c r="I50" t="s">
        <v>1074</v>
      </c>
      <c r="J50" s="132"/>
      <c r="K50" s="132"/>
    </row>
    <row r="51" spans="1:11" x14ac:dyDescent="0.25">
      <c r="A51" t="s">
        <v>805</v>
      </c>
      <c r="B51" s="133">
        <v>42810</v>
      </c>
      <c r="C51" t="s">
        <v>922</v>
      </c>
      <c r="D51">
        <v>-600</v>
      </c>
      <c r="E51" t="s">
        <v>880</v>
      </c>
      <c r="F51" t="s">
        <v>967</v>
      </c>
      <c r="H51" s="132"/>
      <c r="I51" t="s">
        <v>1074</v>
      </c>
      <c r="J51" s="132"/>
      <c r="K51" s="132"/>
    </row>
    <row r="52" spans="1:11" x14ac:dyDescent="0.25">
      <c r="A52" t="s">
        <v>805</v>
      </c>
      <c r="B52" s="133">
        <v>42811</v>
      </c>
      <c r="C52" t="s">
        <v>922</v>
      </c>
      <c r="D52">
        <v>45.03</v>
      </c>
      <c r="E52" t="s">
        <v>807</v>
      </c>
      <c r="F52" t="s">
        <v>968</v>
      </c>
      <c r="H52" s="132"/>
      <c r="I52" t="s">
        <v>1074</v>
      </c>
      <c r="J52" s="132"/>
      <c r="K52" s="132"/>
    </row>
    <row r="53" spans="1:11" x14ac:dyDescent="0.25">
      <c r="A53" t="s">
        <v>805</v>
      </c>
      <c r="B53" s="133">
        <v>42815</v>
      </c>
      <c r="C53" t="s">
        <v>922</v>
      </c>
      <c r="D53">
        <v>2508.91</v>
      </c>
      <c r="E53" t="s">
        <v>880</v>
      </c>
      <c r="F53" t="s">
        <v>969</v>
      </c>
      <c r="H53" s="132"/>
      <c r="I53" t="s">
        <v>1074</v>
      </c>
      <c r="J53" s="132"/>
      <c r="K53" s="132"/>
    </row>
    <row r="54" spans="1:11" x14ac:dyDescent="0.25">
      <c r="A54" t="s">
        <v>805</v>
      </c>
      <c r="B54" s="133">
        <v>42815</v>
      </c>
      <c r="C54" t="s">
        <v>922</v>
      </c>
      <c r="D54">
        <v>332.85</v>
      </c>
      <c r="E54" t="s">
        <v>880</v>
      </c>
      <c r="F54" t="s">
        <v>970</v>
      </c>
      <c r="H54" s="132"/>
      <c r="I54" t="s">
        <v>1074</v>
      </c>
      <c r="J54" s="132"/>
      <c r="K54" s="132"/>
    </row>
    <row r="55" spans="1:11" x14ac:dyDescent="0.25">
      <c r="A55" t="s">
        <v>805</v>
      </c>
      <c r="B55" s="133">
        <v>42816</v>
      </c>
      <c r="C55" t="s">
        <v>922</v>
      </c>
      <c r="D55">
        <v>273.36</v>
      </c>
      <c r="E55" t="s">
        <v>807</v>
      </c>
      <c r="F55" t="s">
        <v>971</v>
      </c>
      <c r="H55" s="132"/>
      <c r="I55" t="s">
        <v>1074</v>
      </c>
      <c r="J55" s="132"/>
      <c r="K55" s="132"/>
    </row>
    <row r="56" spans="1:11" x14ac:dyDescent="0.25">
      <c r="A56" t="s">
        <v>805</v>
      </c>
      <c r="B56" s="133">
        <v>42816</v>
      </c>
      <c r="C56" t="s">
        <v>922</v>
      </c>
      <c r="D56">
        <v>158.29</v>
      </c>
      <c r="E56" t="s">
        <v>807</v>
      </c>
      <c r="F56" t="s">
        <v>972</v>
      </c>
      <c r="H56" s="132"/>
      <c r="I56" t="s">
        <v>1074</v>
      </c>
      <c r="J56" s="132"/>
      <c r="K56" s="132"/>
    </row>
    <row r="57" spans="1:11" x14ac:dyDescent="0.25">
      <c r="A57" t="s">
        <v>805</v>
      </c>
      <c r="B57" s="133">
        <v>42816</v>
      </c>
      <c r="C57" t="s">
        <v>922</v>
      </c>
      <c r="D57">
        <v>-50</v>
      </c>
      <c r="E57" t="s">
        <v>818</v>
      </c>
      <c r="F57" t="s">
        <v>973</v>
      </c>
      <c r="H57" s="132"/>
      <c r="I57" t="s">
        <v>1074</v>
      </c>
      <c r="J57" s="132"/>
      <c r="K57" s="132"/>
    </row>
    <row r="58" spans="1:11" x14ac:dyDescent="0.25">
      <c r="A58" t="s">
        <v>805</v>
      </c>
      <c r="B58" s="133">
        <v>42817</v>
      </c>
      <c r="C58" t="s">
        <v>922</v>
      </c>
      <c r="D58">
        <v>249.31</v>
      </c>
      <c r="E58" t="s">
        <v>807</v>
      </c>
      <c r="F58" t="s">
        <v>965</v>
      </c>
      <c r="H58" s="132"/>
      <c r="I58" t="s">
        <v>1074</v>
      </c>
      <c r="J58" s="132"/>
      <c r="K58" s="132"/>
    </row>
    <row r="59" spans="1:11" x14ac:dyDescent="0.25">
      <c r="A59" t="s">
        <v>805</v>
      </c>
      <c r="B59" s="133">
        <v>42821</v>
      </c>
      <c r="C59" t="s">
        <v>922</v>
      </c>
      <c r="D59">
        <v>245.22</v>
      </c>
      <c r="E59" t="s">
        <v>807</v>
      </c>
      <c r="F59" t="s">
        <v>966</v>
      </c>
      <c r="H59" s="132"/>
      <c r="I59" t="s">
        <v>1074</v>
      </c>
      <c r="J59" s="132"/>
      <c r="K59" s="132"/>
    </row>
    <row r="60" spans="1:11" x14ac:dyDescent="0.25">
      <c r="A60" t="s">
        <v>805</v>
      </c>
      <c r="B60" s="133">
        <v>42821</v>
      </c>
      <c r="C60" t="s">
        <v>922</v>
      </c>
      <c r="D60">
        <v>185.6</v>
      </c>
      <c r="E60" t="s">
        <v>807</v>
      </c>
      <c r="F60" t="s">
        <v>942</v>
      </c>
      <c r="H60" s="132"/>
      <c r="I60" t="s">
        <v>1074</v>
      </c>
      <c r="J60" s="132"/>
      <c r="K60" s="132"/>
    </row>
    <row r="61" spans="1:11" x14ac:dyDescent="0.25">
      <c r="A61" t="s">
        <v>805</v>
      </c>
      <c r="B61" s="133">
        <v>42821</v>
      </c>
      <c r="C61" t="s">
        <v>922</v>
      </c>
      <c r="D61">
        <v>41.76</v>
      </c>
      <c r="E61" t="s">
        <v>807</v>
      </c>
      <c r="F61" t="s">
        <v>961</v>
      </c>
      <c r="H61" s="132"/>
      <c r="I61" t="s">
        <v>1074</v>
      </c>
      <c r="J61" s="132"/>
      <c r="K61" s="132"/>
    </row>
    <row r="62" spans="1:11" x14ac:dyDescent="0.25">
      <c r="A62" t="s">
        <v>805</v>
      </c>
      <c r="B62" s="133">
        <v>42821</v>
      </c>
      <c r="C62" t="s">
        <v>922</v>
      </c>
      <c r="D62">
        <v>-500</v>
      </c>
      <c r="E62" t="s">
        <v>880</v>
      </c>
      <c r="F62" t="s">
        <v>967</v>
      </c>
      <c r="H62" s="132"/>
      <c r="I62" t="s">
        <v>1074</v>
      </c>
      <c r="J62" s="132"/>
      <c r="K62" s="132"/>
    </row>
    <row r="63" spans="1:11" x14ac:dyDescent="0.25">
      <c r="A63" t="s">
        <v>805</v>
      </c>
      <c r="B63" s="133">
        <v>42821</v>
      </c>
      <c r="C63" t="s">
        <v>922</v>
      </c>
      <c r="D63">
        <v>-1200</v>
      </c>
      <c r="E63" t="s">
        <v>810</v>
      </c>
      <c r="F63" t="s">
        <v>974</v>
      </c>
      <c r="I63" t="s">
        <v>1074</v>
      </c>
    </row>
    <row r="64" spans="1:11" x14ac:dyDescent="0.25">
      <c r="A64" t="s">
        <v>805</v>
      </c>
      <c r="B64" s="133">
        <v>42822</v>
      </c>
      <c r="C64" t="s">
        <v>922</v>
      </c>
      <c r="D64">
        <v>-33</v>
      </c>
      <c r="E64" t="s">
        <v>818</v>
      </c>
      <c r="F64" t="s">
        <v>975</v>
      </c>
      <c r="I64" t="s">
        <v>1074</v>
      </c>
    </row>
    <row r="65" spans="1:9" x14ac:dyDescent="0.25">
      <c r="A65" t="s">
        <v>805</v>
      </c>
      <c r="B65" s="133">
        <v>42823</v>
      </c>
      <c r="C65" t="s">
        <v>922</v>
      </c>
      <c r="D65">
        <v>324.32</v>
      </c>
      <c r="E65" t="s">
        <v>807</v>
      </c>
      <c r="F65" t="s">
        <v>925</v>
      </c>
      <c r="I65" t="s">
        <v>1074</v>
      </c>
    </row>
    <row r="66" spans="1:9" x14ac:dyDescent="0.25">
      <c r="B66" s="101"/>
    </row>
    <row r="67" spans="1:9" x14ac:dyDescent="0.25">
      <c r="B67" s="101"/>
    </row>
    <row r="68" spans="1:9" x14ac:dyDescent="0.25">
      <c r="B68" s="101"/>
    </row>
    <row r="69" spans="1:9" x14ac:dyDescent="0.25">
      <c r="B69" s="101"/>
    </row>
    <row r="70" spans="1:9" x14ac:dyDescent="0.25">
      <c r="B70" s="101"/>
    </row>
    <row r="71" spans="1:9" x14ac:dyDescent="0.25">
      <c r="B71" s="101"/>
    </row>
    <row r="72" spans="1:9" x14ac:dyDescent="0.25">
      <c r="B72" s="101"/>
    </row>
    <row r="73" spans="1:9" x14ac:dyDescent="0.25">
      <c r="B73" s="101"/>
    </row>
    <row r="74" spans="1:9" x14ac:dyDescent="0.25">
      <c r="B74" s="101"/>
    </row>
    <row r="75" spans="1:9" x14ac:dyDescent="0.25">
      <c r="B75" s="101"/>
    </row>
  </sheetData>
  <autoFilter ref="A1:I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13"/>
  <sheetViews>
    <sheetView topLeftCell="A12" zoomScale="85" zoomScaleNormal="85" workbookViewId="0">
      <selection activeCell="F53" sqref="F53"/>
    </sheetView>
  </sheetViews>
  <sheetFormatPr defaultRowHeight="13.2" x14ac:dyDescent="0.25"/>
  <cols>
    <col min="2" max="2" width="10.109375" bestFit="1" customWidth="1"/>
    <col min="3" max="3" width="17.3320312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10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0" x14ac:dyDescent="0.25">
      <c r="A2" t="s">
        <v>805</v>
      </c>
      <c r="B2" s="133">
        <v>42795</v>
      </c>
      <c r="C2" t="s">
        <v>976</v>
      </c>
      <c r="D2">
        <v>-20.49</v>
      </c>
      <c r="E2" t="s">
        <v>837</v>
      </c>
      <c r="F2" t="s">
        <v>977</v>
      </c>
      <c r="H2" s="132"/>
      <c r="I2" s="132"/>
      <c r="J2" s="132"/>
    </row>
    <row r="3" spans="1:10" x14ac:dyDescent="0.25">
      <c r="A3" t="s">
        <v>805</v>
      </c>
      <c r="B3" s="133">
        <v>42795</v>
      </c>
      <c r="C3" t="s">
        <v>976</v>
      </c>
      <c r="D3">
        <v>-17.75</v>
      </c>
      <c r="E3" t="s">
        <v>837</v>
      </c>
      <c r="F3" t="s">
        <v>978</v>
      </c>
      <c r="H3" s="132"/>
      <c r="I3" s="132"/>
      <c r="J3" s="132"/>
    </row>
    <row r="4" spans="1:10" x14ac:dyDescent="0.25">
      <c r="A4" t="s">
        <v>805</v>
      </c>
      <c r="B4" s="133">
        <v>42795</v>
      </c>
      <c r="C4" t="s">
        <v>976</v>
      </c>
      <c r="D4">
        <v>-5.4</v>
      </c>
      <c r="E4" t="s">
        <v>837</v>
      </c>
      <c r="F4" t="s">
        <v>979</v>
      </c>
      <c r="H4" s="132"/>
      <c r="I4" s="132"/>
      <c r="J4" s="132"/>
    </row>
    <row r="5" spans="1:10" x14ac:dyDescent="0.25">
      <c r="A5" t="s">
        <v>805</v>
      </c>
      <c r="B5" s="133">
        <v>42795</v>
      </c>
      <c r="C5" t="s">
        <v>976</v>
      </c>
      <c r="D5">
        <v>-2.5</v>
      </c>
      <c r="E5" t="s">
        <v>837</v>
      </c>
      <c r="F5" t="s">
        <v>980</v>
      </c>
      <c r="H5" s="132"/>
      <c r="I5" s="132"/>
      <c r="J5" s="132"/>
    </row>
    <row r="6" spans="1:10" x14ac:dyDescent="0.25">
      <c r="A6" t="s">
        <v>805</v>
      </c>
      <c r="B6" s="133">
        <v>42795</v>
      </c>
      <c r="C6" t="s">
        <v>976</v>
      </c>
      <c r="D6">
        <v>-2</v>
      </c>
      <c r="E6" t="s">
        <v>837</v>
      </c>
      <c r="F6" t="s">
        <v>981</v>
      </c>
      <c r="H6" s="132"/>
      <c r="I6" s="132"/>
      <c r="J6" s="132"/>
    </row>
    <row r="7" spans="1:10" x14ac:dyDescent="0.25">
      <c r="A7" t="s">
        <v>805</v>
      </c>
      <c r="B7" s="133">
        <v>42795</v>
      </c>
      <c r="C7" t="s">
        <v>976</v>
      </c>
      <c r="D7">
        <v>-2</v>
      </c>
      <c r="E7" t="s">
        <v>837</v>
      </c>
      <c r="F7" t="s">
        <v>977</v>
      </c>
      <c r="H7" s="132"/>
      <c r="I7" s="132"/>
      <c r="J7" s="132"/>
    </row>
    <row r="8" spans="1:10" x14ac:dyDescent="0.25">
      <c r="A8" t="s">
        <v>805</v>
      </c>
      <c r="B8" s="133">
        <v>42795</v>
      </c>
      <c r="C8" t="s">
        <v>976</v>
      </c>
      <c r="D8">
        <v>-35.4</v>
      </c>
      <c r="E8" t="s">
        <v>837</v>
      </c>
      <c r="F8" t="s">
        <v>982</v>
      </c>
      <c r="H8" s="132"/>
      <c r="I8" s="132"/>
      <c r="J8" s="132"/>
    </row>
    <row r="9" spans="1:10" x14ac:dyDescent="0.25">
      <c r="A9" t="s">
        <v>805</v>
      </c>
      <c r="B9" s="133">
        <v>42795</v>
      </c>
      <c r="C9" t="s">
        <v>976</v>
      </c>
      <c r="D9">
        <v>-10.199999999999999</v>
      </c>
      <c r="E9" t="s">
        <v>818</v>
      </c>
      <c r="F9" t="s">
        <v>983</v>
      </c>
      <c r="H9" s="132"/>
      <c r="I9" s="132"/>
      <c r="J9" s="132"/>
    </row>
    <row r="10" spans="1:10" x14ac:dyDescent="0.25">
      <c r="A10" t="s">
        <v>805</v>
      </c>
      <c r="B10" s="133">
        <v>42796</v>
      </c>
      <c r="C10" t="s">
        <v>976</v>
      </c>
      <c r="D10">
        <v>-19</v>
      </c>
      <c r="E10" t="s">
        <v>837</v>
      </c>
      <c r="F10" t="s">
        <v>984</v>
      </c>
      <c r="H10" s="132"/>
      <c r="I10" s="132"/>
      <c r="J10" s="132"/>
    </row>
    <row r="11" spans="1:10" x14ac:dyDescent="0.25">
      <c r="A11" t="s">
        <v>805</v>
      </c>
      <c r="B11" s="133">
        <v>42796</v>
      </c>
      <c r="C11" t="s">
        <v>976</v>
      </c>
      <c r="D11">
        <v>-3</v>
      </c>
      <c r="E11" t="s">
        <v>837</v>
      </c>
      <c r="F11" t="s">
        <v>985</v>
      </c>
      <c r="H11" s="132"/>
      <c r="I11" s="132"/>
      <c r="J11" s="132"/>
    </row>
    <row r="12" spans="1:10" x14ac:dyDescent="0.25">
      <c r="A12" t="s">
        <v>805</v>
      </c>
      <c r="B12" s="133">
        <v>42796</v>
      </c>
      <c r="C12" t="s">
        <v>976</v>
      </c>
      <c r="D12">
        <v>-52.19</v>
      </c>
      <c r="E12" t="s">
        <v>837</v>
      </c>
      <c r="F12" t="s">
        <v>986</v>
      </c>
      <c r="H12" s="132"/>
      <c r="I12" s="132"/>
      <c r="J12" s="132"/>
    </row>
    <row r="13" spans="1:10" x14ac:dyDescent="0.25">
      <c r="A13" t="s">
        <v>805</v>
      </c>
      <c r="B13" s="133">
        <v>42797</v>
      </c>
      <c r="C13" t="s">
        <v>976</v>
      </c>
      <c r="D13">
        <v>-19.55</v>
      </c>
      <c r="E13" t="s">
        <v>837</v>
      </c>
      <c r="F13" t="s">
        <v>987</v>
      </c>
      <c r="H13" s="132"/>
      <c r="I13" s="132"/>
      <c r="J13" s="132"/>
    </row>
    <row r="14" spans="1:10" x14ac:dyDescent="0.25">
      <c r="A14" t="s">
        <v>805</v>
      </c>
      <c r="B14" s="133">
        <v>42797</v>
      </c>
      <c r="C14" t="s">
        <v>976</v>
      </c>
      <c r="D14">
        <v>-18</v>
      </c>
      <c r="E14" t="s">
        <v>837</v>
      </c>
      <c r="F14" t="s">
        <v>988</v>
      </c>
      <c r="H14" s="132"/>
      <c r="I14" s="132"/>
      <c r="J14" s="132"/>
    </row>
    <row r="15" spans="1:10" x14ac:dyDescent="0.25">
      <c r="A15" t="s">
        <v>805</v>
      </c>
      <c r="B15" s="133">
        <v>42797</v>
      </c>
      <c r="C15" t="s">
        <v>976</v>
      </c>
      <c r="D15">
        <v>-14.4</v>
      </c>
      <c r="E15" t="s">
        <v>837</v>
      </c>
      <c r="F15" t="s">
        <v>988</v>
      </c>
      <c r="H15" s="132"/>
      <c r="I15" s="132"/>
      <c r="J15" s="132"/>
    </row>
    <row r="16" spans="1:10" x14ac:dyDescent="0.25">
      <c r="A16" t="s">
        <v>805</v>
      </c>
      <c r="B16" s="133">
        <v>42797</v>
      </c>
      <c r="C16" t="s">
        <v>976</v>
      </c>
      <c r="D16">
        <v>-8.5</v>
      </c>
      <c r="E16" t="s">
        <v>837</v>
      </c>
      <c r="F16" t="s">
        <v>988</v>
      </c>
      <c r="H16" s="132"/>
      <c r="I16" s="132"/>
      <c r="J16" s="132"/>
    </row>
    <row r="17" spans="1:10" x14ac:dyDescent="0.25">
      <c r="A17" t="s">
        <v>805</v>
      </c>
      <c r="B17" s="133">
        <v>42800</v>
      </c>
      <c r="C17" t="s">
        <v>976</v>
      </c>
      <c r="D17">
        <v>-29.96</v>
      </c>
      <c r="E17" t="s">
        <v>837</v>
      </c>
      <c r="F17" t="s">
        <v>989</v>
      </c>
      <c r="H17" s="132"/>
      <c r="I17" s="132"/>
      <c r="J17" s="132"/>
    </row>
    <row r="18" spans="1:10" x14ac:dyDescent="0.25">
      <c r="A18" t="s">
        <v>805</v>
      </c>
      <c r="B18" s="133">
        <v>42800</v>
      </c>
      <c r="C18" t="s">
        <v>976</v>
      </c>
      <c r="D18">
        <v>-10.58</v>
      </c>
      <c r="E18" t="s">
        <v>837</v>
      </c>
      <c r="F18" t="s">
        <v>990</v>
      </c>
      <c r="H18" s="132"/>
      <c r="I18" s="132"/>
      <c r="J18" s="132"/>
    </row>
    <row r="19" spans="1:10" x14ac:dyDescent="0.25">
      <c r="A19" t="s">
        <v>805</v>
      </c>
      <c r="B19" s="133">
        <v>42800</v>
      </c>
      <c r="C19" t="s">
        <v>976</v>
      </c>
      <c r="D19">
        <v>-48.3</v>
      </c>
      <c r="E19" t="s">
        <v>837</v>
      </c>
      <c r="F19" t="s">
        <v>991</v>
      </c>
      <c r="H19" s="132"/>
      <c r="I19" s="132"/>
      <c r="J19" s="132"/>
    </row>
    <row r="20" spans="1:10" x14ac:dyDescent="0.25">
      <c r="A20" t="s">
        <v>805</v>
      </c>
      <c r="B20" s="133">
        <v>42800</v>
      </c>
      <c r="C20" t="s">
        <v>976</v>
      </c>
      <c r="D20">
        <v>-32.450000000000003</v>
      </c>
      <c r="E20" t="s">
        <v>837</v>
      </c>
      <c r="F20" t="s">
        <v>992</v>
      </c>
      <c r="H20" s="132"/>
      <c r="I20" s="132"/>
      <c r="J20" s="132"/>
    </row>
    <row r="21" spans="1:10" x14ac:dyDescent="0.25">
      <c r="A21" t="s">
        <v>805</v>
      </c>
      <c r="B21" s="133">
        <v>42800</v>
      </c>
      <c r="C21" t="s">
        <v>976</v>
      </c>
      <c r="D21">
        <v>-12</v>
      </c>
      <c r="E21" t="s">
        <v>837</v>
      </c>
      <c r="F21" t="s">
        <v>993</v>
      </c>
      <c r="H21" s="132"/>
      <c r="I21" s="132"/>
      <c r="J21" s="132"/>
    </row>
    <row r="22" spans="1:10" x14ac:dyDescent="0.25">
      <c r="A22" t="s">
        <v>805</v>
      </c>
      <c r="B22" s="133">
        <v>42801</v>
      </c>
      <c r="C22" t="s">
        <v>976</v>
      </c>
      <c r="D22">
        <v>-6.05</v>
      </c>
      <c r="E22" t="s">
        <v>837</v>
      </c>
      <c r="F22" t="s">
        <v>994</v>
      </c>
      <c r="H22" s="132"/>
      <c r="I22" s="132"/>
      <c r="J22" s="132"/>
    </row>
    <row r="23" spans="1:10" x14ac:dyDescent="0.25">
      <c r="A23" t="s">
        <v>805</v>
      </c>
      <c r="B23" s="133">
        <v>42801</v>
      </c>
      <c r="C23" t="s">
        <v>976</v>
      </c>
      <c r="D23">
        <v>-2</v>
      </c>
      <c r="E23" t="s">
        <v>837</v>
      </c>
      <c r="F23" t="s">
        <v>995</v>
      </c>
      <c r="H23" s="132"/>
      <c r="I23" s="132"/>
      <c r="J23" s="132"/>
    </row>
    <row r="24" spans="1:10" x14ac:dyDescent="0.25">
      <c r="A24" t="s">
        <v>805</v>
      </c>
      <c r="B24" s="133">
        <v>42801</v>
      </c>
      <c r="C24" t="s">
        <v>976</v>
      </c>
      <c r="D24">
        <v>-37.44</v>
      </c>
      <c r="E24" t="s">
        <v>837</v>
      </c>
      <c r="F24" t="s">
        <v>996</v>
      </c>
      <c r="H24" s="132"/>
      <c r="I24" s="132"/>
      <c r="J24" s="132"/>
    </row>
    <row r="25" spans="1:10" x14ac:dyDescent="0.25">
      <c r="A25" t="s">
        <v>805</v>
      </c>
      <c r="B25" s="133">
        <v>42801</v>
      </c>
      <c r="C25" t="s">
        <v>976</v>
      </c>
      <c r="D25">
        <v>-5.6</v>
      </c>
      <c r="E25" t="s">
        <v>837</v>
      </c>
      <c r="F25" t="s">
        <v>997</v>
      </c>
      <c r="H25" s="132"/>
      <c r="I25" s="132"/>
      <c r="J25" s="132"/>
    </row>
    <row r="26" spans="1:10" x14ac:dyDescent="0.25">
      <c r="A26" t="s">
        <v>805</v>
      </c>
      <c r="B26" s="133">
        <v>42801</v>
      </c>
      <c r="C26" t="s">
        <v>976</v>
      </c>
      <c r="D26">
        <v>-2.2000000000000002</v>
      </c>
      <c r="E26" t="s">
        <v>837</v>
      </c>
      <c r="F26" t="s">
        <v>998</v>
      </c>
      <c r="H26" s="132"/>
      <c r="I26" s="132"/>
      <c r="J26" s="132"/>
    </row>
    <row r="27" spans="1:10" x14ac:dyDescent="0.25">
      <c r="A27" t="s">
        <v>805</v>
      </c>
      <c r="B27" s="133">
        <v>42802</v>
      </c>
      <c r="C27" t="s">
        <v>976</v>
      </c>
      <c r="D27">
        <v>-15.19</v>
      </c>
      <c r="E27" t="s">
        <v>837</v>
      </c>
      <c r="F27" t="s">
        <v>999</v>
      </c>
      <c r="H27" s="132"/>
      <c r="I27" s="132"/>
      <c r="J27" s="132"/>
    </row>
    <row r="28" spans="1:10" x14ac:dyDescent="0.25">
      <c r="A28" t="s">
        <v>805</v>
      </c>
      <c r="B28" s="133">
        <v>42802</v>
      </c>
      <c r="C28" t="s">
        <v>976</v>
      </c>
      <c r="D28">
        <v>-13.48</v>
      </c>
      <c r="E28" t="s">
        <v>837</v>
      </c>
      <c r="F28" t="s">
        <v>1000</v>
      </c>
      <c r="H28" s="132"/>
      <c r="I28" s="132"/>
      <c r="J28" s="132"/>
    </row>
    <row r="29" spans="1:10" x14ac:dyDescent="0.25">
      <c r="A29" t="s">
        <v>805</v>
      </c>
      <c r="B29" s="133">
        <v>42802</v>
      </c>
      <c r="C29" t="s">
        <v>976</v>
      </c>
      <c r="D29">
        <v>-12.76</v>
      </c>
      <c r="E29" t="s">
        <v>837</v>
      </c>
      <c r="F29" t="s">
        <v>1001</v>
      </c>
      <c r="H29" s="132"/>
      <c r="I29" s="132"/>
      <c r="J29" s="132"/>
    </row>
    <row r="30" spans="1:10" x14ac:dyDescent="0.25">
      <c r="A30" t="s">
        <v>805</v>
      </c>
      <c r="B30" s="133">
        <v>42802</v>
      </c>
      <c r="C30" t="s">
        <v>976</v>
      </c>
      <c r="D30">
        <v>-4</v>
      </c>
      <c r="E30" t="s">
        <v>837</v>
      </c>
      <c r="F30" t="s">
        <v>1002</v>
      </c>
      <c r="H30" s="132"/>
      <c r="I30" s="132"/>
      <c r="J30" s="132"/>
    </row>
    <row r="31" spans="1:10" x14ac:dyDescent="0.25">
      <c r="A31" t="s">
        <v>805</v>
      </c>
      <c r="B31" s="133">
        <v>42802</v>
      </c>
      <c r="C31" t="s">
        <v>976</v>
      </c>
      <c r="D31">
        <v>-3.6</v>
      </c>
      <c r="E31" t="s">
        <v>837</v>
      </c>
      <c r="F31" t="s">
        <v>1003</v>
      </c>
      <c r="H31" s="132"/>
      <c r="I31" s="132"/>
      <c r="J31" s="132"/>
    </row>
    <row r="32" spans="1:10" x14ac:dyDescent="0.25">
      <c r="A32" t="s">
        <v>805</v>
      </c>
      <c r="B32" s="133">
        <v>42802</v>
      </c>
      <c r="C32" t="s">
        <v>976</v>
      </c>
      <c r="D32">
        <v>-36.76</v>
      </c>
      <c r="E32" t="s">
        <v>837</v>
      </c>
      <c r="F32" t="s">
        <v>1004</v>
      </c>
      <c r="H32" s="132"/>
      <c r="I32" s="132"/>
      <c r="J32" s="132"/>
    </row>
    <row r="33" spans="1:10" x14ac:dyDescent="0.25">
      <c r="A33" t="s">
        <v>805</v>
      </c>
      <c r="B33" s="133">
        <v>42802</v>
      </c>
      <c r="C33" t="s">
        <v>976</v>
      </c>
      <c r="D33">
        <v>-29.12</v>
      </c>
      <c r="E33" t="s">
        <v>837</v>
      </c>
      <c r="F33" t="s">
        <v>1005</v>
      </c>
      <c r="H33" s="132"/>
      <c r="I33" s="132"/>
      <c r="J33" s="132"/>
    </row>
    <row r="34" spans="1:10" x14ac:dyDescent="0.25">
      <c r="A34" t="s">
        <v>805</v>
      </c>
      <c r="B34" s="133">
        <v>42803</v>
      </c>
      <c r="C34" t="s">
        <v>976</v>
      </c>
      <c r="D34">
        <v>-5.34</v>
      </c>
      <c r="E34" t="s">
        <v>837</v>
      </c>
      <c r="F34" t="s">
        <v>1006</v>
      </c>
      <c r="H34" s="132"/>
      <c r="I34" s="132"/>
      <c r="J34" s="132"/>
    </row>
    <row r="35" spans="1:10" x14ac:dyDescent="0.25">
      <c r="A35" t="s">
        <v>805</v>
      </c>
      <c r="B35" s="133">
        <v>42803</v>
      </c>
      <c r="C35" t="s">
        <v>976</v>
      </c>
      <c r="D35">
        <v>-2.99</v>
      </c>
      <c r="E35" t="s">
        <v>837</v>
      </c>
      <c r="F35" t="s">
        <v>1007</v>
      </c>
      <c r="H35" s="132"/>
      <c r="I35" s="132"/>
      <c r="J35" s="132"/>
    </row>
    <row r="36" spans="1:10" x14ac:dyDescent="0.25">
      <c r="A36" t="s">
        <v>805</v>
      </c>
      <c r="B36" s="133">
        <v>42804</v>
      </c>
      <c r="C36" t="s">
        <v>976</v>
      </c>
      <c r="D36">
        <v>-26.94</v>
      </c>
      <c r="E36" t="s">
        <v>837</v>
      </c>
      <c r="F36" t="s">
        <v>1008</v>
      </c>
      <c r="H36" s="132"/>
      <c r="I36" s="132"/>
      <c r="J36" s="132"/>
    </row>
    <row r="37" spans="1:10" x14ac:dyDescent="0.25">
      <c r="A37" t="s">
        <v>805</v>
      </c>
      <c r="B37" s="133">
        <v>42804</v>
      </c>
      <c r="C37" t="s">
        <v>976</v>
      </c>
      <c r="D37">
        <v>-15.25</v>
      </c>
      <c r="E37" t="s">
        <v>837</v>
      </c>
      <c r="F37" t="s">
        <v>1009</v>
      </c>
      <c r="H37" s="132"/>
      <c r="I37" s="132"/>
      <c r="J37" s="132"/>
    </row>
    <row r="38" spans="1:10" x14ac:dyDescent="0.25">
      <c r="A38" t="s">
        <v>805</v>
      </c>
      <c r="B38" s="133">
        <v>42804</v>
      </c>
      <c r="C38" t="s">
        <v>976</v>
      </c>
      <c r="D38">
        <v>-13.47</v>
      </c>
      <c r="E38" t="s">
        <v>837</v>
      </c>
      <c r="F38" t="s">
        <v>1010</v>
      </c>
      <c r="H38" s="132"/>
      <c r="I38" s="132"/>
      <c r="J38" s="132"/>
    </row>
    <row r="39" spans="1:10" x14ac:dyDescent="0.25">
      <c r="A39" t="s">
        <v>805</v>
      </c>
      <c r="B39" s="133">
        <v>42804</v>
      </c>
      <c r="C39" t="s">
        <v>976</v>
      </c>
      <c r="D39">
        <v>-4.03</v>
      </c>
      <c r="E39" t="s">
        <v>837</v>
      </c>
      <c r="F39" t="s">
        <v>1011</v>
      </c>
      <c r="H39" s="132"/>
      <c r="I39" s="132"/>
      <c r="J39" s="132"/>
    </row>
    <row r="40" spans="1:10" x14ac:dyDescent="0.25">
      <c r="A40" t="s">
        <v>805</v>
      </c>
      <c r="B40" s="133">
        <v>42804</v>
      </c>
      <c r="C40" t="s">
        <v>976</v>
      </c>
      <c r="D40">
        <v>-40</v>
      </c>
      <c r="E40" t="s">
        <v>852</v>
      </c>
      <c r="F40" t="s">
        <v>1012</v>
      </c>
      <c r="H40" s="132"/>
      <c r="I40" s="132"/>
      <c r="J40" s="132"/>
    </row>
    <row r="41" spans="1:10" x14ac:dyDescent="0.25">
      <c r="A41" t="s">
        <v>805</v>
      </c>
      <c r="B41" s="133">
        <v>42804</v>
      </c>
      <c r="C41" t="s">
        <v>976</v>
      </c>
      <c r="D41">
        <v>-56.18</v>
      </c>
      <c r="E41" t="s">
        <v>837</v>
      </c>
      <c r="F41" t="s">
        <v>1013</v>
      </c>
      <c r="H41" s="132"/>
      <c r="I41" s="132"/>
      <c r="J41" s="132"/>
    </row>
    <row r="42" spans="1:10" x14ac:dyDescent="0.25">
      <c r="A42" t="s">
        <v>805</v>
      </c>
      <c r="B42" s="133">
        <v>42807</v>
      </c>
      <c r="C42" t="s">
        <v>976</v>
      </c>
      <c r="D42">
        <v>-28.43</v>
      </c>
      <c r="E42" t="s">
        <v>837</v>
      </c>
      <c r="F42" t="s">
        <v>1014</v>
      </c>
      <c r="H42" s="132"/>
      <c r="I42" s="132"/>
      <c r="J42" s="132"/>
    </row>
    <row r="43" spans="1:10" x14ac:dyDescent="0.25">
      <c r="A43" t="s">
        <v>805</v>
      </c>
      <c r="B43" s="133">
        <v>42807</v>
      </c>
      <c r="C43" t="s">
        <v>976</v>
      </c>
      <c r="D43">
        <v>-12.7</v>
      </c>
      <c r="E43" t="s">
        <v>837</v>
      </c>
      <c r="F43" t="s">
        <v>1015</v>
      </c>
      <c r="H43" s="132"/>
      <c r="I43" s="132"/>
      <c r="J43" s="132"/>
    </row>
    <row r="44" spans="1:10" x14ac:dyDescent="0.25">
      <c r="A44" t="s">
        <v>805</v>
      </c>
      <c r="B44" s="133">
        <v>42807</v>
      </c>
      <c r="C44" t="s">
        <v>976</v>
      </c>
      <c r="D44">
        <v>-7.34</v>
      </c>
      <c r="E44" t="s">
        <v>837</v>
      </c>
      <c r="F44" t="s">
        <v>1016</v>
      </c>
      <c r="H44" s="132"/>
      <c r="I44" s="132"/>
      <c r="J44" s="132"/>
    </row>
    <row r="45" spans="1:10" x14ac:dyDescent="0.25">
      <c r="A45" t="s">
        <v>805</v>
      </c>
      <c r="B45" s="133">
        <v>42807</v>
      </c>
      <c r="C45" t="s">
        <v>976</v>
      </c>
      <c r="D45">
        <v>-4.18</v>
      </c>
      <c r="E45" t="s">
        <v>837</v>
      </c>
      <c r="F45" t="s">
        <v>1017</v>
      </c>
      <c r="H45" s="132"/>
      <c r="I45" s="132"/>
      <c r="J45" s="132"/>
    </row>
    <row r="46" spans="1:10" x14ac:dyDescent="0.25">
      <c r="A46" t="s">
        <v>805</v>
      </c>
      <c r="B46" s="133">
        <v>42807</v>
      </c>
      <c r="C46" t="s">
        <v>976</v>
      </c>
      <c r="D46">
        <v>-0.79</v>
      </c>
      <c r="E46" t="s">
        <v>837</v>
      </c>
      <c r="F46" t="s">
        <v>1018</v>
      </c>
      <c r="H46" s="132"/>
      <c r="I46" s="132"/>
      <c r="J46" s="132"/>
    </row>
    <row r="47" spans="1:10" x14ac:dyDescent="0.25">
      <c r="A47" t="s">
        <v>805</v>
      </c>
      <c r="B47" s="133">
        <v>42808</v>
      </c>
      <c r="C47" t="s">
        <v>976</v>
      </c>
      <c r="D47">
        <v>-124.99</v>
      </c>
      <c r="E47" t="s">
        <v>837</v>
      </c>
      <c r="F47" t="s">
        <v>1019</v>
      </c>
      <c r="H47" s="132"/>
      <c r="I47" s="132"/>
      <c r="J47" s="132"/>
    </row>
    <row r="48" spans="1:10" x14ac:dyDescent="0.25">
      <c r="A48" t="s">
        <v>805</v>
      </c>
      <c r="B48" s="133">
        <v>42809</v>
      </c>
      <c r="C48" t="s">
        <v>976</v>
      </c>
      <c r="D48">
        <v>-21.48</v>
      </c>
      <c r="E48" t="s">
        <v>837</v>
      </c>
      <c r="F48" t="s">
        <v>1020</v>
      </c>
      <c r="H48" s="132"/>
      <c r="I48" s="132"/>
      <c r="J48" s="132"/>
    </row>
    <row r="49" spans="1:10" x14ac:dyDescent="0.25">
      <c r="A49" t="s">
        <v>805</v>
      </c>
      <c r="B49" s="133">
        <v>42809</v>
      </c>
      <c r="C49" t="s">
        <v>976</v>
      </c>
      <c r="D49">
        <v>-20.5</v>
      </c>
      <c r="E49" t="s">
        <v>837</v>
      </c>
      <c r="F49" t="s">
        <v>1021</v>
      </c>
      <c r="H49" s="132"/>
      <c r="I49" s="132"/>
      <c r="J49" s="132"/>
    </row>
    <row r="50" spans="1:10" x14ac:dyDescent="0.25">
      <c r="A50" t="s">
        <v>805</v>
      </c>
      <c r="B50" s="133">
        <v>42809</v>
      </c>
      <c r="C50" t="s">
        <v>976</v>
      </c>
      <c r="D50">
        <v>-16.2</v>
      </c>
      <c r="E50" t="s">
        <v>837</v>
      </c>
      <c r="F50" t="s">
        <v>1022</v>
      </c>
      <c r="H50" s="132"/>
      <c r="I50" s="132"/>
      <c r="J50" s="132"/>
    </row>
    <row r="51" spans="1:10" x14ac:dyDescent="0.25">
      <c r="A51" t="s">
        <v>805</v>
      </c>
      <c r="B51" s="133">
        <v>42809</v>
      </c>
      <c r="C51" t="s">
        <v>976</v>
      </c>
      <c r="D51">
        <v>-3.79</v>
      </c>
      <c r="E51" t="s">
        <v>837</v>
      </c>
      <c r="F51" t="s">
        <v>1023</v>
      </c>
      <c r="H51" s="132"/>
      <c r="I51" s="132"/>
      <c r="J51" s="132"/>
    </row>
    <row r="52" spans="1:10" x14ac:dyDescent="0.25">
      <c r="A52" t="s">
        <v>805</v>
      </c>
      <c r="B52" s="133">
        <v>42809</v>
      </c>
      <c r="C52" t="s">
        <v>976</v>
      </c>
      <c r="D52">
        <v>-3.7</v>
      </c>
      <c r="E52" t="s">
        <v>837</v>
      </c>
      <c r="F52" t="s">
        <v>1024</v>
      </c>
      <c r="H52" s="132"/>
      <c r="I52" s="132"/>
      <c r="J52" s="132"/>
    </row>
    <row r="53" spans="1:10" x14ac:dyDescent="0.25">
      <c r="A53" t="s">
        <v>805</v>
      </c>
      <c r="B53" s="133">
        <v>42809</v>
      </c>
      <c r="C53" t="s">
        <v>976</v>
      </c>
      <c r="D53">
        <v>-2.8</v>
      </c>
      <c r="E53" t="s">
        <v>837</v>
      </c>
      <c r="F53" t="s">
        <v>1023</v>
      </c>
      <c r="H53" s="132"/>
      <c r="I53" s="132"/>
      <c r="J53" s="132"/>
    </row>
    <row r="54" spans="1:10" x14ac:dyDescent="0.25">
      <c r="A54" t="s">
        <v>805</v>
      </c>
      <c r="B54" s="133">
        <v>42809</v>
      </c>
      <c r="C54" t="s">
        <v>976</v>
      </c>
      <c r="D54">
        <v>-45.97</v>
      </c>
      <c r="E54" t="s">
        <v>837</v>
      </c>
      <c r="F54" t="s">
        <v>1025</v>
      </c>
      <c r="H54" s="132"/>
      <c r="I54" s="132"/>
      <c r="J54" s="132"/>
    </row>
    <row r="55" spans="1:10" x14ac:dyDescent="0.25">
      <c r="A55" t="s">
        <v>805</v>
      </c>
      <c r="B55" s="133">
        <v>42809</v>
      </c>
      <c r="C55" t="s">
        <v>976</v>
      </c>
      <c r="D55">
        <v>-5</v>
      </c>
      <c r="E55" t="s">
        <v>837</v>
      </c>
      <c r="F55" t="s">
        <v>1026</v>
      </c>
      <c r="H55" s="132"/>
      <c r="I55" s="132"/>
      <c r="J55" s="132"/>
    </row>
    <row r="56" spans="1:10" x14ac:dyDescent="0.25">
      <c r="A56" t="s">
        <v>805</v>
      </c>
      <c r="B56" s="133">
        <v>42810</v>
      </c>
      <c r="C56" t="s">
        <v>976</v>
      </c>
      <c r="D56">
        <v>600</v>
      </c>
      <c r="E56" t="s">
        <v>880</v>
      </c>
      <c r="F56" t="s">
        <v>1027</v>
      </c>
      <c r="H56" s="132"/>
      <c r="I56" s="132"/>
      <c r="J56" s="132"/>
    </row>
    <row r="57" spans="1:10" x14ac:dyDescent="0.25">
      <c r="A57" t="s">
        <v>805</v>
      </c>
      <c r="B57" s="133">
        <v>42810</v>
      </c>
      <c r="C57" t="s">
        <v>976</v>
      </c>
      <c r="D57">
        <v>-61.5</v>
      </c>
      <c r="E57" t="s">
        <v>818</v>
      </c>
      <c r="F57" t="s">
        <v>1028</v>
      </c>
      <c r="H57" s="132"/>
      <c r="I57" s="132"/>
      <c r="J57" s="132"/>
    </row>
    <row r="58" spans="1:10" x14ac:dyDescent="0.25">
      <c r="A58" t="s">
        <v>805</v>
      </c>
      <c r="B58" s="133">
        <v>42811</v>
      </c>
      <c r="C58" t="s">
        <v>976</v>
      </c>
      <c r="D58">
        <v>-27.7</v>
      </c>
      <c r="E58" t="s">
        <v>837</v>
      </c>
      <c r="F58" t="s">
        <v>1029</v>
      </c>
      <c r="H58" s="132"/>
      <c r="I58" s="132"/>
      <c r="J58" s="132"/>
    </row>
    <row r="59" spans="1:10" x14ac:dyDescent="0.25">
      <c r="A59" t="s">
        <v>805</v>
      </c>
      <c r="B59" s="133">
        <v>42811</v>
      </c>
      <c r="C59" t="s">
        <v>976</v>
      </c>
      <c r="D59">
        <v>-26.03</v>
      </c>
      <c r="E59" t="s">
        <v>837</v>
      </c>
      <c r="F59" t="s">
        <v>1030</v>
      </c>
      <c r="H59" s="132"/>
      <c r="I59" s="132"/>
      <c r="J59" s="132"/>
    </row>
    <row r="60" spans="1:10" x14ac:dyDescent="0.25">
      <c r="A60" t="s">
        <v>805</v>
      </c>
      <c r="B60" s="133">
        <v>42811</v>
      </c>
      <c r="C60" t="s">
        <v>976</v>
      </c>
      <c r="D60">
        <v>-4.88</v>
      </c>
      <c r="E60" t="s">
        <v>837</v>
      </c>
      <c r="F60" t="s">
        <v>1031</v>
      </c>
      <c r="H60" s="132"/>
      <c r="I60" s="132"/>
      <c r="J60" s="132"/>
    </row>
    <row r="61" spans="1:10" x14ac:dyDescent="0.25">
      <c r="A61" t="s">
        <v>805</v>
      </c>
      <c r="B61" s="133">
        <v>42811</v>
      </c>
      <c r="C61" t="s">
        <v>976</v>
      </c>
      <c r="D61">
        <v>-2</v>
      </c>
      <c r="E61" t="s">
        <v>837</v>
      </c>
      <c r="F61" t="s">
        <v>1032</v>
      </c>
      <c r="H61" s="132"/>
      <c r="I61" s="132"/>
      <c r="J61" s="132"/>
    </row>
    <row r="62" spans="1:10" x14ac:dyDescent="0.25">
      <c r="A62" t="s">
        <v>805</v>
      </c>
      <c r="B62" s="133">
        <v>42811</v>
      </c>
      <c r="C62" t="s">
        <v>976</v>
      </c>
      <c r="D62">
        <v>-498.53</v>
      </c>
      <c r="E62" t="s">
        <v>837</v>
      </c>
      <c r="F62" t="s">
        <v>1033</v>
      </c>
      <c r="H62" s="132"/>
      <c r="I62" s="132"/>
      <c r="J62" s="132"/>
    </row>
    <row r="63" spans="1:10" x14ac:dyDescent="0.25">
      <c r="A63" t="s">
        <v>805</v>
      </c>
      <c r="B63" s="133">
        <v>42811</v>
      </c>
      <c r="C63" t="s">
        <v>976</v>
      </c>
      <c r="D63">
        <v>-62</v>
      </c>
      <c r="E63" t="s">
        <v>837</v>
      </c>
      <c r="F63" t="s">
        <v>1034</v>
      </c>
      <c r="H63" s="132"/>
      <c r="I63" s="132"/>
      <c r="J63" s="132"/>
    </row>
    <row r="64" spans="1:10" x14ac:dyDescent="0.25">
      <c r="A64" t="s">
        <v>805</v>
      </c>
      <c r="B64" s="133">
        <v>42811</v>
      </c>
      <c r="C64" t="s">
        <v>976</v>
      </c>
      <c r="D64">
        <v>-36.049999999999997</v>
      </c>
      <c r="E64" t="s">
        <v>837</v>
      </c>
      <c r="F64" t="s">
        <v>1034</v>
      </c>
      <c r="H64" s="132"/>
      <c r="I64" s="132"/>
      <c r="J64" s="132"/>
    </row>
    <row r="65" spans="1:10" x14ac:dyDescent="0.25">
      <c r="A65" t="s">
        <v>805</v>
      </c>
      <c r="B65" s="133">
        <v>42814</v>
      </c>
      <c r="C65" t="s">
        <v>976</v>
      </c>
      <c r="D65">
        <v>68.98</v>
      </c>
      <c r="E65" t="s">
        <v>914</v>
      </c>
      <c r="F65" t="s">
        <v>1035</v>
      </c>
      <c r="H65" s="132"/>
      <c r="I65" s="132"/>
      <c r="J65" s="132"/>
    </row>
    <row r="66" spans="1:10" x14ac:dyDescent="0.25">
      <c r="A66" t="s">
        <v>805</v>
      </c>
      <c r="B66" s="133">
        <v>42814</v>
      </c>
      <c r="C66" t="s">
        <v>976</v>
      </c>
      <c r="D66">
        <v>-49.26</v>
      </c>
      <c r="E66" t="s">
        <v>837</v>
      </c>
      <c r="F66" t="s">
        <v>1036</v>
      </c>
      <c r="H66" s="132"/>
      <c r="I66" s="132"/>
      <c r="J66" s="132"/>
    </row>
    <row r="67" spans="1:10" x14ac:dyDescent="0.25">
      <c r="A67" t="s">
        <v>805</v>
      </c>
      <c r="B67" s="133">
        <v>42814</v>
      </c>
      <c r="C67" t="s">
        <v>976</v>
      </c>
      <c r="D67">
        <v>-41.08</v>
      </c>
      <c r="E67" t="s">
        <v>837</v>
      </c>
      <c r="F67" t="s">
        <v>1037</v>
      </c>
      <c r="H67" s="132"/>
      <c r="I67" s="132"/>
      <c r="J67" s="132"/>
    </row>
    <row r="68" spans="1:10" x14ac:dyDescent="0.25">
      <c r="A68" t="s">
        <v>805</v>
      </c>
      <c r="B68" s="133">
        <v>42814</v>
      </c>
      <c r="C68" t="s">
        <v>976</v>
      </c>
      <c r="D68">
        <v>-0.99</v>
      </c>
      <c r="E68" t="s">
        <v>837</v>
      </c>
      <c r="F68" t="s">
        <v>1018</v>
      </c>
      <c r="H68" s="132"/>
      <c r="I68" s="132"/>
      <c r="J68" s="132"/>
    </row>
    <row r="69" spans="1:10" x14ac:dyDescent="0.25">
      <c r="A69" t="s">
        <v>805</v>
      </c>
      <c r="B69" s="133">
        <v>42815</v>
      </c>
      <c r="C69" t="s">
        <v>976</v>
      </c>
      <c r="D69">
        <v>-23.03</v>
      </c>
      <c r="E69" t="s">
        <v>837</v>
      </c>
      <c r="F69" t="s">
        <v>1038</v>
      </c>
      <c r="H69" s="132"/>
      <c r="I69" s="132"/>
      <c r="J69" s="132"/>
    </row>
    <row r="70" spans="1:10" x14ac:dyDescent="0.25">
      <c r="A70" t="s">
        <v>805</v>
      </c>
      <c r="B70" s="133">
        <v>42816</v>
      </c>
      <c r="C70" t="s">
        <v>976</v>
      </c>
      <c r="D70">
        <v>-21.34</v>
      </c>
      <c r="E70" t="s">
        <v>837</v>
      </c>
      <c r="F70" t="s">
        <v>1039</v>
      </c>
      <c r="H70" s="132"/>
      <c r="I70" s="132"/>
      <c r="J70" s="132"/>
    </row>
    <row r="71" spans="1:10" x14ac:dyDescent="0.25">
      <c r="A71" t="s">
        <v>805</v>
      </c>
      <c r="B71" s="133">
        <v>42816</v>
      </c>
      <c r="C71" t="s">
        <v>976</v>
      </c>
      <c r="D71">
        <v>-32.83</v>
      </c>
      <c r="E71" t="s">
        <v>837</v>
      </c>
      <c r="F71" t="s">
        <v>1040</v>
      </c>
      <c r="H71" s="132"/>
      <c r="I71" s="132"/>
      <c r="J71" s="132"/>
    </row>
    <row r="72" spans="1:10" x14ac:dyDescent="0.25">
      <c r="A72" t="s">
        <v>805</v>
      </c>
      <c r="B72" s="133">
        <v>42817</v>
      </c>
      <c r="C72" t="s">
        <v>976</v>
      </c>
      <c r="D72">
        <v>-25.5</v>
      </c>
      <c r="E72" t="s">
        <v>837</v>
      </c>
      <c r="F72" t="s">
        <v>1041</v>
      </c>
      <c r="H72" s="132"/>
      <c r="I72" s="132"/>
      <c r="J72" s="132"/>
    </row>
    <row r="73" spans="1:10" x14ac:dyDescent="0.25">
      <c r="A73" t="s">
        <v>805</v>
      </c>
      <c r="B73" s="133">
        <v>42817</v>
      </c>
      <c r="C73" t="s">
        <v>976</v>
      </c>
      <c r="D73">
        <v>-12</v>
      </c>
      <c r="E73" t="s">
        <v>837</v>
      </c>
      <c r="F73" t="s">
        <v>1042</v>
      </c>
      <c r="H73" s="132"/>
      <c r="I73" s="132"/>
      <c r="J73" s="132"/>
    </row>
    <row r="74" spans="1:10" x14ac:dyDescent="0.25">
      <c r="A74" t="s">
        <v>805</v>
      </c>
      <c r="B74" s="133">
        <v>42817</v>
      </c>
      <c r="C74" t="s">
        <v>976</v>
      </c>
      <c r="D74">
        <v>-4.9800000000000004</v>
      </c>
      <c r="E74" t="s">
        <v>837</v>
      </c>
      <c r="F74" t="s">
        <v>1043</v>
      </c>
      <c r="H74" s="132"/>
      <c r="I74" s="140"/>
      <c r="J74" s="132"/>
    </row>
    <row r="75" spans="1:10" x14ac:dyDescent="0.25">
      <c r="A75" t="s">
        <v>805</v>
      </c>
      <c r="B75" s="133">
        <v>42817</v>
      </c>
      <c r="C75" t="s">
        <v>976</v>
      </c>
      <c r="D75">
        <v>-1.1000000000000001</v>
      </c>
      <c r="E75" t="s">
        <v>837</v>
      </c>
      <c r="F75" t="s">
        <v>1043</v>
      </c>
      <c r="H75" s="132"/>
      <c r="I75" s="132"/>
      <c r="J75" s="132"/>
    </row>
    <row r="76" spans="1:10" x14ac:dyDescent="0.25">
      <c r="A76" t="s">
        <v>805</v>
      </c>
      <c r="B76" s="133">
        <v>42817</v>
      </c>
      <c r="C76" t="s">
        <v>976</v>
      </c>
      <c r="D76">
        <v>-30.25</v>
      </c>
      <c r="E76" t="s">
        <v>837</v>
      </c>
      <c r="F76" t="s">
        <v>1044</v>
      </c>
      <c r="H76" s="132"/>
      <c r="I76" s="132"/>
      <c r="J76" s="132"/>
    </row>
    <row r="77" spans="1:10" x14ac:dyDescent="0.25">
      <c r="A77" t="s">
        <v>805</v>
      </c>
      <c r="B77" s="133">
        <v>42817</v>
      </c>
      <c r="C77" t="s">
        <v>976</v>
      </c>
      <c r="D77">
        <v>-9.9499999999999993</v>
      </c>
      <c r="E77" t="s">
        <v>837</v>
      </c>
      <c r="F77" t="s">
        <v>1045</v>
      </c>
      <c r="H77" s="132"/>
      <c r="I77" s="132"/>
      <c r="J77" s="132"/>
    </row>
    <row r="78" spans="1:10" x14ac:dyDescent="0.25">
      <c r="A78" t="s">
        <v>805</v>
      </c>
      <c r="B78" s="133">
        <v>42818</v>
      </c>
      <c r="C78" t="s">
        <v>976</v>
      </c>
      <c r="D78">
        <v>-27.02</v>
      </c>
      <c r="E78" t="s">
        <v>837</v>
      </c>
      <c r="F78" t="s">
        <v>1046</v>
      </c>
      <c r="H78" s="132"/>
      <c r="I78" s="132"/>
      <c r="J78" s="132"/>
    </row>
    <row r="79" spans="1:10" x14ac:dyDescent="0.25">
      <c r="A79" t="s">
        <v>805</v>
      </c>
      <c r="B79" s="133">
        <v>42818</v>
      </c>
      <c r="C79" t="s">
        <v>976</v>
      </c>
      <c r="D79">
        <v>-17.940000000000001</v>
      </c>
      <c r="E79" t="s">
        <v>837</v>
      </c>
      <c r="F79" t="s">
        <v>1047</v>
      </c>
      <c r="H79" s="132"/>
      <c r="I79" s="132"/>
      <c r="J79" s="132"/>
    </row>
    <row r="80" spans="1:10" x14ac:dyDescent="0.25">
      <c r="A80" t="s">
        <v>805</v>
      </c>
      <c r="B80" s="133">
        <v>42818</v>
      </c>
      <c r="C80" t="s">
        <v>976</v>
      </c>
      <c r="D80">
        <v>-12.61</v>
      </c>
      <c r="E80" t="s">
        <v>837</v>
      </c>
      <c r="F80" t="s">
        <v>1047</v>
      </c>
      <c r="H80" s="132"/>
      <c r="I80" s="132"/>
      <c r="J80" s="132"/>
    </row>
    <row r="81" spans="1:10" x14ac:dyDescent="0.25">
      <c r="A81" t="s">
        <v>805</v>
      </c>
      <c r="B81" s="133">
        <v>42821</v>
      </c>
      <c r="C81" t="s">
        <v>976</v>
      </c>
      <c r="D81">
        <v>500</v>
      </c>
      <c r="E81" t="s">
        <v>880</v>
      </c>
      <c r="F81" t="s">
        <v>1027</v>
      </c>
      <c r="H81" s="132"/>
      <c r="I81" s="132"/>
      <c r="J81" s="132"/>
    </row>
    <row r="82" spans="1:10" x14ac:dyDescent="0.25">
      <c r="A82" t="s">
        <v>805</v>
      </c>
      <c r="B82" s="133">
        <v>42821</v>
      </c>
      <c r="C82" t="s">
        <v>976</v>
      </c>
      <c r="D82">
        <v>1200</v>
      </c>
      <c r="E82" t="s">
        <v>923</v>
      </c>
      <c r="F82" t="s">
        <v>1048</v>
      </c>
      <c r="H82" s="132"/>
      <c r="I82" s="132"/>
      <c r="J82" s="132"/>
    </row>
    <row r="83" spans="1:10" x14ac:dyDescent="0.25">
      <c r="A83" t="s">
        <v>805</v>
      </c>
      <c r="B83" s="133">
        <v>42821</v>
      </c>
      <c r="C83" t="s">
        <v>976</v>
      </c>
      <c r="D83">
        <v>-17.149999999999999</v>
      </c>
      <c r="E83" t="s">
        <v>837</v>
      </c>
      <c r="F83" t="s">
        <v>1049</v>
      </c>
      <c r="H83" s="132"/>
      <c r="I83" s="132"/>
      <c r="J83" s="132"/>
    </row>
    <row r="84" spans="1:10" x14ac:dyDescent="0.25">
      <c r="A84" t="s">
        <v>805</v>
      </c>
      <c r="B84" s="133">
        <v>42821</v>
      </c>
      <c r="C84" t="s">
        <v>976</v>
      </c>
      <c r="D84">
        <v>-14.26</v>
      </c>
      <c r="E84" t="s">
        <v>837</v>
      </c>
      <c r="F84" t="s">
        <v>1050</v>
      </c>
      <c r="H84" s="132"/>
      <c r="I84" s="132"/>
      <c r="J84" s="132"/>
    </row>
    <row r="85" spans="1:10" x14ac:dyDescent="0.25">
      <c r="A85" t="s">
        <v>805</v>
      </c>
      <c r="B85" s="133">
        <v>42821</v>
      </c>
      <c r="C85" t="s">
        <v>976</v>
      </c>
      <c r="D85">
        <v>-13.34</v>
      </c>
      <c r="E85" t="s">
        <v>837</v>
      </c>
      <c r="F85" t="s">
        <v>1051</v>
      </c>
      <c r="H85" s="132"/>
      <c r="I85" s="132"/>
      <c r="J85" s="132"/>
    </row>
    <row r="86" spans="1:10" x14ac:dyDescent="0.25">
      <c r="A86" t="s">
        <v>805</v>
      </c>
      <c r="B86" s="133">
        <v>42821</v>
      </c>
      <c r="C86" t="s">
        <v>976</v>
      </c>
      <c r="D86">
        <v>-13.24</v>
      </c>
      <c r="E86" t="s">
        <v>837</v>
      </c>
      <c r="F86" t="s">
        <v>1052</v>
      </c>
      <c r="H86" s="132"/>
      <c r="I86" s="132"/>
      <c r="J86" s="132"/>
    </row>
    <row r="87" spans="1:10" x14ac:dyDescent="0.25">
      <c r="A87" t="s">
        <v>805</v>
      </c>
      <c r="B87" s="133">
        <v>42821</v>
      </c>
      <c r="C87" t="s">
        <v>976</v>
      </c>
      <c r="D87">
        <v>-9.0299999999999994</v>
      </c>
      <c r="E87" t="s">
        <v>837</v>
      </c>
      <c r="F87" t="s">
        <v>1053</v>
      </c>
      <c r="H87" s="132"/>
      <c r="I87" s="132"/>
      <c r="J87" s="132"/>
    </row>
    <row r="88" spans="1:10" x14ac:dyDescent="0.25">
      <c r="A88" t="s">
        <v>805</v>
      </c>
      <c r="B88" s="133">
        <v>42821</v>
      </c>
      <c r="C88" t="s">
        <v>976</v>
      </c>
      <c r="D88">
        <v>-7.92</v>
      </c>
      <c r="E88" t="s">
        <v>837</v>
      </c>
      <c r="F88" t="s">
        <v>1054</v>
      </c>
      <c r="H88" s="132"/>
      <c r="I88" s="132"/>
      <c r="J88" s="132"/>
    </row>
    <row r="89" spans="1:10" x14ac:dyDescent="0.25">
      <c r="A89" t="s">
        <v>805</v>
      </c>
      <c r="B89" s="133">
        <v>42821</v>
      </c>
      <c r="C89" t="s">
        <v>976</v>
      </c>
      <c r="D89">
        <v>-3.25</v>
      </c>
      <c r="E89" t="s">
        <v>837</v>
      </c>
      <c r="F89" t="s">
        <v>1051</v>
      </c>
      <c r="H89" s="132"/>
      <c r="I89" s="132"/>
      <c r="J89" s="132"/>
    </row>
    <row r="90" spans="1:10" x14ac:dyDescent="0.25">
      <c r="A90" t="s">
        <v>805</v>
      </c>
      <c r="B90" s="133">
        <v>42821</v>
      </c>
      <c r="C90" t="s">
        <v>976</v>
      </c>
      <c r="D90">
        <v>-2</v>
      </c>
      <c r="E90" t="s">
        <v>837</v>
      </c>
      <c r="F90" t="s">
        <v>1049</v>
      </c>
      <c r="H90" s="132"/>
      <c r="I90" s="132"/>
      <c r="J90" s="132"/>
    </row>
    <row r="91" spans="1:10" x14ac:dyDescent="0.25">
      <c r="A91" t="s">
        <v>805</v>
      </c>
      <c r="B91" s="133">
        <v>42821</v>
      </c>
      <c r="C91" t="s">
        <v>976</v>
      </c>
      <c r="D91">
        <v>-2</v>
      </c>
      <c r="E91" t="s">
        <v>837</v>
      </c>
      <c r="F91" t="s">
        <v>1053</v>
      </c>
      <c r="H91" s="132"/>
      <c r="I91" s="132"/>
      <c r="J91" s="132"/>
    </row>
    <row r="92" spans="1:10" x14ac:dyDescent="0.25">
      <c r="A92" t="s">
        <v>805</v>
      </c>
      <c r="B92" s="133">
        <v>42821</v>
      </c>
      <c r="C92" t="s">
        <v>976</v>
      </c>
      <c r="D92">
        <v>-48</v>
      </c>
      <c r="E92" t="s">
        <v>837</v>
      </c>
      <c r="F92" t="s">
        <v>1055</v>
      </c>
      <c r="H92" s="132"/>
      <c r="I92" s="132"/>
      <c r="J92" s="132"/>
    </row>
    <row r="93" spans="1:10" x14ac:dyDescent="0.25">
      <c r="A93" t="s">
        <v>805</v>
      </c>
      <c r="B93" s="133">
        <v>42821</v>
      </c>
      <c r="C93" t="s">
        <v>976</v>
      </c>
      <c r="D93">
        <v>-37.75</v>
      </c>
      <c r="E93" t="s">
        <v>837</v>
      </c>
      <c r="F93" t="s">
        <v>1056</v>
      </c>
      <c r="H93" s="132"/>
      <c r="I93" s="132"/>
      <c r="J93" s="132"/>
    </row>
    <row r="94" spans="1:10" x14ac:dyDescent="0.25">
      <c r="A94" t="s">
        <v>805</v>
      </c>
      <c r="B94" s="133">
        <v>42821</v>
      </c>
      <c r="C94" t="s">
        <v>976</v>
      </c>
      <c r="D94">
        <v>-33.35</v>
      </c>
      <c r="E94" t="s">
        <v>837</v>
      </c>
      <c r="F94" t="s">
        <v>1057</v>
      </c>
      <c r="H94" s="132"/>
      <c r="I94" s="132"/>
      <c r="J94" s="132"/>
    </row>
    <row r="95" spans="1:10" x14ac:dyDescent="0.25">
      <c r="A95" t="s">
        <v>805</v>
      </c>
      <c r="B95" s="133">
        <v>42823</v>
      </c>
      <c r="C95" t="s">
        <v>976</v>
      </c>
      <c r="D95">
        <v>-20</v>
      </c>
      <c r="E95" t="s">
        <v>852</v>
      </c>
      <c r="F95" t="s">
        <v>1012</v>
      </c>
      <c r="H95" s="132"/>
      <c r="I95" s="132"/>
      <c r="J95" s="132"/>
    </row>
    <row r="96" spans="1:10" x14ac:dyDescent="0.25">
      <c r="A96" t="s">
        <v>805</v>
      </c>
      <c r="B96" s="133">
        <v>42823</v>
      </c>
      <c r="C96" t="s">
        <v>976</v>
      </c>
      <c r="D96">
        <v>-9</v>
      </c>
      <c r="E96" t="s">
        <v>818</v>
      </c>
      <c r="F96" t="s">
        <v>1058</v>
      </c>
      <c r="H96" s="132"/>
      <c r="I96" s="132"/>
      <c r="J96" s="132"/>
    </row>
    <row r="97" spans="1:10" x14ac:dyDescent="0.25">
      <c r="A97" t="s">
        <v>805</v>
      </c>
      <c r="B97" s="133">
        <v>42824</v>
      </c>
      <c r="C97" t="s">
        <v>976</v>
      </c>
      <c r="D97">
        <v>-18.989999999999998</v>
      </c>
      <c r="E97" t="s">
        <v>837</v>
      </c>
      <c r="F97" t="s">
        <v>1059</v>
      </c>
      <c r="H97" s="132"/>
      <c r="I97" s="132"/>
      <c r="J97" s="132"/>
    </row>
    <row r="98" spans="1:10" x14ac:dyDescent="0.25">
      <c r="A98" t="s">
        <v>805</v>
      </c>
      <c r="B98" s="133">
        <v>42824</v>
      </c>
      <c r="C98" t="s">
        <v>976</v>
      </c>
      <c r="D98">
        <v>-3.59</v>
      </c>
      <c r="E98" t="s">
        <v>837</v>
      </c>
      <c r="F98" t="s">
        <v>1060</v>
      </c>
      <c r="H98" s="132"/>
      <c r="I98" s="132"/>
      <c r="J98" s="132"/>
    </row>
    <row r="99" spans="1:10" x14ac:dyDescent="0.25">
      <c r="A99" t="s">
        <v>805</v>
      </c>
      <c r="B99" s="133">
        <v>42824</v>
      </c>
      <c r="C99" t="s">
        <v>976</v>
      </c>
      <c r="D99">
        <v>-2.99</v>
      </c>
      <c r="E99" t="s">
        <v>837</v>
      </c>
      <c r="F99" t="s">
        <v>1061</v>
      </c>
      <c r="H99" s="132"/>
      <c r="I99" s="132"/>
      <c r="J99" s="132"/>
    </row>
    <row r="100" spans="1:10" x14ac:dyDescent="0.25">
      <c r="A100" t="s">
        <v>805</v>
      </c>
      <c r="B100" s="133">
        <v>42824</v>
      </c>
      <c r="C100" t="s">
        <v>976</v>
      </c>
      <c r="D100">
        <v>-47.98</v>
      </c>
      <c r="E100" t="s">
        <v>837</v>
      </c>
      <c r="F100" t="s">
        <v>1062</v>
      </c>
      <c r="H100" s="132"/>
      <c r="I100" s="140"/>
      <c r="J100" s="132"/>
    </row>
    <row r="101" spans="1:10" x14ac:dyDescent="0.25">
      <c r="A101" t="s">
        <v>805</v>
      </c>
      <c r="B101" s="133">
        <v>42824</v>
      </c>
      <c r="C101" t="s">
        <v>976</v>
      </c>
      <c r="D101">
        <v>-34</v>
      </c>
      <c r="E101" t="s">
        <v>837</v>
      </c>
      <c r="F101" t="s">
        <v>1063</v>
      </c>
      <c r="H101" s="132"/>
      <c r="I101" s="132"/>
      <c r="J101" s="132"/>
    </row>
    <row r="102" spans="1:10" x14ac:dyDescent="0.25">
      <c r="A102" t="s">
        <v>805</v>
      </c>
      <c r="B102" s="133">
        <v>42824</v>
      </c>
      <c r="C102" t="s">
        <v>976</v>
      </c>
      <c r="D102">
        <v>-30.68</v>
      </c>
      <c r="E102" t="s">
        <v>837</v>
      </c>
      <c r="F102" t="s">
        <v>1064</v>
      </c>
      <c r="H102" s="132"/>
      <c r="I102" s="132"/>
      <c r="J102" s="132"/>
    </row>
    <row r="103" spans="1:10" x14ac:dyDescent="0.25">
      <c r="A103" t="s">
        <v>805</v>
      </c>
      <c r="B103" s="133">
        <v>42825</v>
      </c>
      <c r="C103" t="s">
        <v>976</v>
      </c>
      <c r="D103">
        <v>-28.1</v>
      </c>
      <c r="E103" t="s">
        <v>837</v>
      </c>
      <c r="F103" t="s">
        <v>1065</v>
      </c>
      <c r="H103" s="132"/>
      <c r="I103" s="132"/>
      <c r="J103" s="132"/>
    </row>
    <row r="104" spans="1:10" x14ac:dyDescent="0.25">
      <c r="A104" t="s">
        <v>805</v>
      </c>
      <c r="B104" s="133">
        <v>42825</v>
      </c>
      <c r="C104" t="s">
        <v>976</v>
      </c>
      <c r="D104">
        <v>-22.98</v>
      </c>
      <c r="E104" t="s">
        <v>837</v>
      </c>
      <c r="F104" t="s">
        <v>1066</v>
      </c>
      <c r="H104" s="132"/>
      <c r="I104" s="132"/>
      <c r="J104" s="132"/>
    </row>
    <row r="105" spans="1:10" x14ac:dyDescent="0.25">
      <c r="A105" t="s">
        <v>805</v>
      </c>
      <c r="B105" s="133">
        <v>42825</v>
      </c>
      <c r="C105" t="s">
        <v>976</v>
      </c>
      <c r="D105">
        <v>-16.2</v>
      </c>
      <c r="E105" t="s">
        <v>837</v>
      </c>
      <c r="F105" t="s">
        <v>1067</v>
      </c>
      <c r="H105" s="132"/>
      <c r="I105" s="132"/>
      <c r="J105" s="132"/>
    </row>
    <row r="106" spans="1:10" x14ac:dyDescent="0.25">
      <c r="A106" t="s">
        <v>805</v>
      </c>
      <c r="B106" s="133">
        <v>42825</v>
      </c>
      <c r="C106" t="s">
        <v>976</v>
      </c>
      <c r="D106">
        <v>-9.52</v>
      </c>
      <c r="E106" t="s">
        <v>837</v>
      </c>
      <c r="F106" t="s">
        <v>1068</v>
      </c>
      <c r="H106" s="132"/>
      <c r="I106" s="132"/>
      <c r="J106" s="132"/>
    </row>
    <row r="107" spans="1:10" x14ac:dyDescent="0.25">
      <c r="A107" t="s">
        <v>805</v>
      </c>
      <c r="B107" s="133">
        <v>42825</v>
      </c>
      <c r="C107" t="s">
        <v>976</v>
      </c>
      <c r="D107">
        <v>-7.04</v>
      </c>
      <c r="E107" t="s">
        <v>837</v>
      </c>
      <c r="F107" t="s">
        <v>1069</v>
      </c>
      <c r="H107" s="132"/>
      <c r="I107" s="132"/>
      <c r="J107" s="132"/>
    </row>
    <row r="108" spans="1:10" x14ac:dyDescent="0.25">
      <c r="A108" t="s">
        <v>805</v>
      </c>
      <c r="B108" s="133">
        <v>42825</v>
      </c>
      <c r="C108" t="s">
        <v>976</v>
      </c>
      <c r="D108">
        <v>-6.5</v>
      </c>
      <c r="E108" t="s">
        <v>837</v>
      </c>
      <c r="F108" t="s">
        <v>1069</v>
      </c>
      <c r="H108" s="132"/>
      <c r="I108" s="132"/>
      <c r="J108" s="132"/>
    </row>
    <row r="109" spans="1:10" x14ac:dyDescent="0.25">
      <c r="A109" t="s">
        <v>805</v>
      </c>
      <c r="B109" s="133">
        <v>42825</v>
      </c>
      <c r="C109" t="s">
        <v>976</v>
      </c>
      <c r="D109">
        <v>-3.74</v>
      </c>
      <c r="E109" t="s">
        <v>837</v>
      </c>
      <c r="F109" t="s">
        <v>1070</v>
      </c>
      <c r="H109" s="132"/>
      <c r="I109" s="132"/>
      <c r="J109" s="132"/>
    </row>
    <row r="110" spans="1:10" x14ac:dyDescent="0.25">
      <c r="A110" t="s">
        <v>805</v>
      </c>
      <c r="B110" s="133">
        <v>42825</v>
      </c>
      <c r="C110" t="s">
        <v>976</v>
      </c>
      <c r="D110">
        <v>-2.48</v>
      </c>
      <c r="E110" t="s">
        <v>837</v>
      </c>
      <c r="F110" t="s">
        <v>1071</v>
      </c>
      <c r="H110" s="132"/>
      <c r="I110" s="132"/>
      <c r="J110" s="132"/>
    </row>
    <row r="111" spans="1:10" x14ac:dyDescent="0.25">
      <c r="A111" t="s">
        <v>805</v>
      </c>
      <c r="B111" s="133">
        <v>42825</v>
      </c>
      <c r="C111" t="s">
        <v>976</v>
      </c>
      <c r="D111">
        <v>-2.2000000000000002</v>
      </c>
      <c r="E111" t="s">
        <v>837</v>
      </c>
      <c r="F111" t="s">
        <v>1067</v>
      </c>
      <c r="H111" s="132"/>
      <c r="I111" s="132"/>
      <c r="J111" s="132"/>
    </row>
    <row r="112" spans="1:10" x14ac:dyDescent="0.25">
      <c r="A112" t="s">
        <v>805</v>
      </c>
      <c r="B112" s="133">
        <v>42825</v>
      </c>
      <c r="C112" t="s">
        <v>976</v>
      </c>
      <c r="D112">
        <v>-39.83</v>
      </c>
      <c r="E112" t="s">
        <v>837</v>
      </c>
      <c r="F112" t="s">
        <v>1072</v>
      </c>
      <c r="H112" s="132"/>
      <c r="I112" s="132"/>
      <c r="J112" s="132"/>
    </row>
    <row r="113" spans="1:6" x14ac:dyDescent="0.25">
      <c r="A113" t="s">
        <v>805</v>
      </c>
      <c r="B113" s="133">
        <v>42825</v>
      </c>
      <c r="C113" t="s">
        <v>976</v>
      </c>
      <c r="D113">
        <v>-34</v>
      </c>
      <c r="E113" t="s">
        <v>837</v>
      </c>
      <c r="F113" t="s">
        <v>1073</v>
      </c>
    </row>
  </sheetData>
  <autoFilter ref="A1:I113" xr:uid="{00000000-0009-0000-0000-000006000000}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I291"/>
  <sheetViews>
    <sheetView zoomScale="85" zoomScaleNormal="85" workbookViewId="0">
      <selection activeCell="K98" sqref="K98"/>
    </sheetView>
  </sheetViews>
  <sheetFormatPr defaultRowHeight="13.2" x14ac:dyDescent="0.25"/>
  <cols>
    <col min="1" max="1" width="12.33203125" bestFit="1" customWidth="1"/>
    <col min="2" max="2" width="9.88671875" bestFit="1" customWidth="1"/>
    <col min="3" max="3" width="15.44140625" bestFit="1" customWidth="1"/>
    <col min="4" max="4" width="114.6640625" bestFit="1" customWidth="1"/>
    <col min="6" max="6" width="16.5546875" bestFit="1" customWidth="1"/>
    <col min="7" max="7" width="12.33203125" bestFit="1" customWidth="1"/>
    <col min="8" max="8" width="12.88671875" bestFit="1" customWidth="1"/>
  </cols>
  <sheetData>
    <row r="1" spans="1:9" x14ac:dyDescent="0.25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9" x14ac:dyDescent="0.25">
      <c r="A2" t="s">
        <v>469</v>
      </c>
      <c r="B2">
        <v>376356</v>
      </c>
      <c r="C2" s="80">
        <v>42795.540648148148</v>
      </c>
      <c r="D2" t="s">
        <v>607</v>
      </c>
      <c r="E2" t="s">
        <v>608</v>
      </c>
      <c r="F2" t="s">
        <v>609</v>
      </c>
      <c r="G2">
        <v>50</v>
      </c>
      <c r="H2">
        <v>0</v>
      </c>
      <c r="I2" t="s">
        <v>1076</v>
      </c>
    </row>
    <row r="3" spans="1:9" x14ac:dyDescent="0.25">
      <c r="A3" t="s">
        <v>469</v>
      </c>
      <c r="B3">
        <v>376778</v>
      </c>
      <c r="C3" s="80">
        <v>42796.479733796295</v>
      </c>
      <c r="D3" t="s">
        <v>610</v>
      </c>
      <c r="E3" t="s">
        <v>608</v>
      </c>
      <c r="F3">
        <v>6493</v>
      </c>
      <c r="G3">
        <v>25</v>
      </c>
      <c r="H3">
        <v>0</v>
      </c>
      <c r="I3" t="s">
        <v>1076</v>
      </c>
    </row>
    <row r="4" spans="1:9" hidden="1" x14ac:dyDescent="0.25">
      <c r="A4" t="s">
        <v>469</v>
      </c>
      <c r="B4">
        <v>380918</v>
      </c>
      <c r="C4" s="80">
        <v>42808.681458333333</v>
      </c>
      <c r="D4" t="s">
        <v>611</v>
      </c>
      <c r="F4">
        <v>0</v>
      </c>
      <c r="G4">
        <v>0</v>
      </c>
      <c r="H4">
        <v>192.88</v>
      </c>
      <c r="I4" t="s">
        <v>1077</v>
      </c>
    </row>
    <row r="5" spans="1:9" hidden="1" x14ac:dyDescent="0.25">
      <c r="A5" t="s">
        <v>469</v>
      </c>
      <c r="B5">
        <v>380918</v>
      </c>
      <c r="C5" s="80">
        <v>42808.681458333333</v>
      </c>
      <c r="D5" t="s">
        <v>612</v>
      </c>
      <c r="E5" t="s">
        <v>613</v>
      </c>
      <c r="F5">
        <v>115591</v>
      </c>
      <c r="G5">
        <v>13.88</v>
      </c>
      <c r="H5">
        <v>0</v>
      </c>
      <c r="I5" t="s">
        <v>1078</v>
      </c>
    </row>
    <row r="6" spans="1:9" hidden="1" x14ac:dyDescent="0.25">
      <c r="A6" t="s">
        <v>469</v>
      </c>
      <c r="B6">
        <v>380982</v>
      </c>
      <c r="C6" s="80">
        <v>42808.685150462959</v>
      </c>
      <c r="D6" t="s">
        <v>614</v>
      </c>
      <c r="E6" t="s">
        <v>615</v>
      </c>
      <c r="F6">
        <v>100031</v>
      </c>
      <c r="G6">
        <v>104</v>
      </c>
      <c r="H6">
        <v>0</v>
      </c>
      <c r="I6" t="s">
        <v>1079</v>
      </c>
    </row>
    <row r="7" spans="1:9" hidden="1" x14ac:dyDescent="0.25">
      <c r="A7" t="s">
        <v>469</v>
      </c>
      <c r="B7">
        <v>383152</v>
      </c>
      <c r="C7" s="80">
        <v>42818.567858796298</v>
      </c>
      <c r="D7" t="s">
        <v>616</v>
      </c>
      <c r="F7">
        <v>0</v>
      </c>
      <c r="G7">
        <v>0</v>
      </c>
      <c r="H7">
        <v>268.64</v>
      </c>
      <c r="I7" t="s">
        <v>1077</v>
      </c>
    </row>
    <row r="8" spans="1:9" hidden="1" x14ac:dyDescent="0.25">
      <c r="A8" t="s">
        <v>469</v>
      </c>
      <c r="B8">
        <v>383152</v>
      </c>
      <c r="C8" s="80">
        <v>42818.567858796298</v>
      </c>
      <c r="D8" t="s">
        <v>612</v>
      </c>
      <c r="E8" t="s">
        <v>613</v>
      </c>
      <c r="F8">
        <v>116373</v>
      </c>
      <c r="G8">
        <v>19.34</v>
      </c>
      <c r="H8">
        <v>0</v>
      </c>
      <c r="I8" t="s">
        <v>1078</v>
      </c>
    </row>
    <row r="9" spans="1:9" hidden="1" x14ac:dyDescent="0.25">
      <c r="A9" t="s">
        <v>469</v>
      </c>
      <c r="B9">
        <v>383164</v>
      </c>
      <c r="C9" s="80">
        <v>42818.570462962962</v>
      </c>
      <c r="D9" t="s">
        <v>614</v>
      </c>
      <c r="E9" t="s">
        <v>615</v>
      </c>
      <c r="F9">
        <v>100635</v>
      </c>
      <c r="G9">
        <v>249.3</v>
      </c>
      <c r="H9">
        <v>0</v>
      </c>
      <c r="I9" t="s">
        <v>1079</v>
      </c>
    </row>
    <row r="10" spans="1:9" x14ac:dyDescent="0.25">
      <c r="A10" t="s">
        <v>470</v>
      </c>
      <c r="B10">
        <v>376357</v>
      </c>
      <c r="C10" s="80">
        <v>42795.541006944448</v>
      </c>
      <c r="D10" t="s">
        <v>617</v>
      </c>
      <c r="E10" t="s">
        <v>608</v>
      </c>
      <c r="F10" t="s">
        <v>618</v>
      </c>
      <c r="G10">
        <v>50</v>
      </c>
      <c r="H10">
        <v>0</v>
      </c>
      <c r="I10" t="s">
        <v>1076</v>
      </c>
    </row>
    <row r="11" spans="1:9" hidden="1" x14ac:dyDescent="0.25">
      <c r="A11" t="s">
        <v>470</v>
      </c>
      <c r="B11">
        <v>381233</v>
      </c>
      <c r="C11" s="80">
        <v>42809.575856481482</v>
      </c>
      <c r="D11" t="s">
        <v>619</v>
      </c>
      <c r="F11">
        <v>0</v>
      </c>
      <c r="G11">
        <v>0</v>
      </c>
      <c r="H11">
        <v>143.91</v>
      </c>
      <c r="I11" t="s">
        <v>1077</v>
      </c>
    </row>
    <row r="12" spans="1:9" hidden="1" x14ac:dyDescent="0.25">
      <c r="A12" t="s">
        <v>470</v>
      </c>
      <c r="B12">
        <v>381233</v>
      </c>
      <c r="C12" s="80">
        <v>42809.575856481482</v>
      </c>
      <c r="D12" t="s">
        <v>620</v>
      </c>
      <c r="E12" t="s">
        <v>613</v>
      </c>
      <c r="F12">
        <v>115736</v>
      </c>
      <c r="G12">
        <v>10.36</v>
      </c>
      <c r="H12">
        <v>0</v>
      </c>
      <c r="I12" t="s">
        <v>1078</v>
      </c>
    </row>
    <row r="13" spans="1:9" hidden="1" x14ac:dyDescent="0.25">
      <c r="A13" t="s">
        <v>470</v>
      </c>
      <c r="B13">
        <v>381233</v>
      </c>
      <c r="C13" s="80">
        <v>42809.575856481482</v>
      </c>
      <c r="D13" t="s">
        <v>621</v>
      </c>
      <c r="F13">
        <v>0</v>
      </c>
      <c r="G13">
        <v>0</v>
      </c>
      <c r="H13">
        <v>360.37</v>
      </c>
      <c r="I13" t="s">
        <v>1077</v>
      </c>
    </row>
    <row r="14" spans="1:9" hidden="1" x14ac:dyDescent="0.25">
      <c r="A14" t="s">
        <v>470</v>
      </c>
      <c r="B14">
        <v>381233</v>
      </c>
      <c r="C14" s="80">
        <v>42809.575856481482</v>
      </c>
      <c r="D14" t="s">
        <v>620</v>
      </c>
      <c r="E14" t="s">
        <v>613</v>
      </c>
      <c r="F14">
        <v>115736</v>
      </c>
      <c r="G14">
        <v>25.94</v>
      </c>
      <c r="H14">
        <v>0</v>
      </c>
      <c r="I14" t="s">
        <v>1078</v>
      </c>
    </row>
    <row r="15" spans="1:9" hidden="1" x14ac:dyDescent="0.25">
      <c r="A15" t="s">
        <v>470</v>
      </c>
      <c r="B15">
        <v>381236</v>
      </c>
      <c r="C15" s="80">
        <v>42809.579386574071</v>
      </c>
      <c r="D15" t="s">
        <v>622</v>
      </c>
      <c r="E15" t="s">
        <v>615</v>
      </c>
      <c r="F15">
        <v>100160</v>
      </c>
      <c r="G15">
        <v>417.98</v>
      </c>
      <c r="H15">
        <v>0</v>
      </c>
      <c r="I15" t="s">
        <v>1079</v>
      </c>
    </row>
    <row r="16" spans="1:9" hidden="1" x14ac:dyDescent="0.25">
      <c r="A16" t="s">
        <v>470</v>
      </c>
      <c r="B16">
        <v>384123</v>
      </c>
      <c r="C16" s="80">
        <v>42822.640289351853</v>
      </c>
      <c r="D16" t="s">
        <v>621</v>
      </c>
      <c r="F16">
        <v>0</v>
      </c>
      <c r="G16">
        <v>0</v>
      </c>
      <c r="H16">
        <v>139.63</v>
      </c>
      <c r="I16" t="s">
        <v>1077</v>
      </c>
    </row>
    <row r="17" spans="1:9" hidden="1" x14ac:dyDescent="0.25">
      <c r="A17" t="s">
        <v>470</v>
      </c>
      <c r="B17">
        <v>384123</v>
      </c>
      <c r="C17" s="80">
        <v>42822.640289351853</v>
      </c>
      <c r="D17" t="s">
        <v>620</v>
      </c>
      <c r="E17" t="s">
        <v>613</v>
      </c>
      <c r="F17">
        <v>116681</v>
      </c>
      <c r="G17">
        <v>10.06</v>
      </c>
      <c r="H17">
        <v>0</v>
      </c>
      <c r="I17" t="s">
        <v>1078</v>
      </c>
    </row>
    <row r="18" spans="1:9" hidden="1" x14ac:dyDescent="0.25">
      <c r="A18" t="s">
        <v>470</v>
      </c>
      <c r="B18">
        <v>384123</v>
      </c>
      <c r="C18" s="80">
        <v>42822.640289351853</v>
      </c>
      <c r="D18" t="s">
        <v>623</v>
      </c>
      <c r="F18">
        <v>0</v>
      </c>
      <c r="G18">
        <v>0</v>
      </c>
      <c r="H18">
        <v>10.37</v>
      </c>
      <c r="I18" t="s">
        <v>1077</v>
      </c>
    </row>
    <row r="19" spans="1:9" hidden="1" x14ac:dyDescent="0.25">
      <c r="A19" t="s">
        <v>470</v>
      </c>
      <c r="B19">
        <v>384123</v>
      </c>
      <c r="C19" s="80">
        <v>42822.640289351853</v>
      </c>
      <c r="D19" t="s">
        <v>620</v>
      </c>
      <c r="E19" t="s">
        <v>613</v>
      </c>
      <c r="F19">
        <v>116681</v>
      </c>
      <c r="G19">
        <v>0.74</v>
      </c>
      <c r="H19">
        <v>0</v>
      </c>
      <c r="I19" t="s">
        <v>1078</v>
      </c>
    </row>
    <row r="20" spans="1:9" hidden="1" x14ac:dyDescent="0.25">
      <c r="A20" t="s">
        <v>470</v>
      </c>
      <c r="B20">
        <v>384140</v>
      </c>
      <c r="C20" s="80">
        <v>42822.645925925928</v>
      </c>
      <c r="D20" t="s">
        <v>622</v>
      </c>
      <c r="E20" t="s">
        <v>615</v>
      </c>
      <c r="F20">
        <v>100875</v>
      </c>
      <c r="G20">
        <v>139.19999999999999</v>
      </c>
      <c r="H20">
        <v>0</v>
      </c>
      <c r="I20" t="s">
        <v>1079</v>
      </c>
    </row>
    <row r="21" spans="1:9" hidden="1" x14ac:dyDescent="0.25">
      <c r="A21" t="s">
        <v>471</v>
      </c>
      <c r="B21">
        <v>377388</v>
      </c>
      <c r="C21" s="80">
        <v>42797.56046296296</v>
      </c>
      <c r="D21" t="s">
        <v>624</v>
      </c>
      <c r="F21">
        <v>0</v>
      </c>
      <c r="G21">
        <v>0</v>
      </c>
      <c r="H21">
        <v>297.54000000000002</v>
      </c>
      <c r="I21" t="s">
        <v>1077</v>
      </c>
    </row>
    <row r="22" spans="1:9" hidden="1" x14ac:dyDescent="0.25">
      <c r="A22" t="s">
        <v>471</v>
      </c>
      <c r="B22">
        <v>377388</v>
      </c>
      <c r="C22" s="80">
        <v>42797.56046296296</v>
      </c>
      <c r="D22" t="s">
        <v>625</v>
      </c>
      <c r="E22" t="s">
        <v>613</v>
      </c>
      <c r="F22">
        <v>114389</v>
      </c>
      <c r="G22">
        <v>21.42</v>
      </c>
      <c r="H22">
        <v>0</v>
      </c>
      <c r="I22" t="s">
        <v>1078</v>
      </c>
    </row>
    <row r="23" spans="1:9" hidden="1" x14ac:dyDescent="0.25">
      <c r="A23" t="s">
        <v>471</v>
      </c>
      <c r="B23">
        <v>377671</v>
      </c>
      <c r="C23" s="80">
        <v>42797.637662037036</v>
      </c>
      <c r="D23" t="s">
        <v>626</v>
      </c>
      <c r="E23" t="s">
        <v>615</v>
      </c>
      <c r="F23">
        <v>98760</v>
      </c>
      <c r="G23">
        <v>186.12</v>
      </c>
      <c r="H23">
        <v>0</v>
      </c>
      <c r="I23" t="s">
        <v>1079</v>
      </c>
    </row>
    <row r="24" spans="1:9" hidden="1" x14ac:dyDescent="0.25">
      <c r="A24" t="s">
        <v>471</v>
      </c>
      <c r="B24">
        <v>380940</v>
      </c>
      <c r="C24" s="80">
        <v>42808.681458333333</v>
      </c>
      <c r="D24" t="s">
        <v>624</v>
      </c>
      <c r="F24">
        <v>0</v>
      </c>
      <c r="G24">
        <v>0</v>
      </c>
      <c r="H24">
        <v>302.45999999999998</v>
      </c>
      <c r="I24" t="s">
        <v>1077</v>
      </c>
    </row>
    <row r="25" spans="1:9" hidden="1" x14ac:dyDescent="0.25">
      <c r="A25" t="s">
        <v>471</v>
      </c>
      <c r="B25">
        <v>380940</v>
      </c>
      <c r="C25" s="80">
        <v>42808.681458333333</v>
      </c>
      <c r="D25" t="s">
        <v>625</v>
      </c>
      <c r="E25" t="s">
        <v>613</v>
      </c>
      <c r="F25">
        <v>115613</v>
      </c>
      <c r="G25">
        <v>21.78</v>
      </c>
      <c r="H25">
        <v>0</v>
      </c>
      <c r="I25" t="s">
        <v>1078</v>
      </c>
    </row>
    <row r="26" spans="1:9" hidden="1" x14ac:dyDescent="0.25">
      <c r="A26" t="s">
        <v>471</v>
      </c>
      <c r="B26">
        <v>380982</v>
      </c>
      <c r="C26" s="80">
        <v>42808.685150462959</v>
      </c>
      <c r="D26" t="s">
        <v>626</v>
      </c>
      <c r="E26" t="s">
        <v>615</v>
      </c>
      <c r="F26">
        <v>100053</v>
      </c>
      <c r="G26">
        <v>280.68</v>
      </c>
      <c r="H26">
        <v>0</v>
      </c>
      <c r="I26" t="s">
        <v>1079</v>
      </c>
    </row>
    <row r="27" spans="1:9" hidden="1" x14ac:dyDescent="0.25">
      <c r="A27" t="s">
        <v>472</v>
      </c>
      <c r="B27">
        <v>380942</v>
      </c>
      <c r="C27" s="80">
        <v>42808.681458333333</v>
      </c>
      <c r="D27" t="s">
        <v>627</v>
      </c>
      <c r="F27">
        <v>0</v>
      </c>
      <c r="G27">
        <v>0</v>
      </c>
      <c r="H27">
        <v>192.88</v>
      </c>
      <c r="I27" t="s">
        <v>1077</v>
      </c>
    </row>
    <row r="28" spans="1:9" hidden="1" x14ac:dyDescent="0.25">
      <c r="A28" t="s">
        <v>472</v>
      </c>
      <c r="B28">
        <v>380942</v>
      </c>
      <c r="C28" s="80">
        <v>42808.681458333333</v>
      </c>
      <c r="D28" t="s">
        <v>628</v>
      </c>
      <c r="E28" t="s">
        <v>613</v>
      </c>
      <c r="F28">
        <v>115615</v>
      </c>
      <c r="G28">
        <v>13.88</v>
      </c>
      <c r="H28">
        <v>0</v>
      </c>
      <c r="I28" t="s">
        <v>1078</v>
      </c>
    </row>
    <row r="29" spans="1:9" hidden="1" x14ac:dyDescent="0.25">
      <c r="A29" t="s">
        <v>472</v>
      </c>
      <c r="B29">
        <v>380982</v>
      </c>
      <c r="C29" s="80">
        <v>42808.685150462959</v>
      </c>
      <c r="D29" t="s">
        <v>629</v>
      </c>
      <c r="E29" t="s">
        <v>615</v>
      </c>
      <c r="F29">
        <v>100055</v>
      </c>
      <c r="G29">
        <v>179</v>
      </c>
      <c r="H29">
        <v>0</v>
      </c>
      <c r="I29" t="s">
        <v>1079</v>
      </c>
    </row>
    <row r="30" spans="1:9" hidden="1" x14ac:dyDescent="0.25">
      <c r="A30" t="s">
        <v>472</v>
      </c>
      <c r="B30">
        <v>383508</v>
      </c>
      <c r="C30" s="80">
        <v>42821.636238425926</v>
      </c>
      <c r="D30" t="s">
        <v>630</v>
      </c>
      <c r="F30">
        <v>0</v>
      </c>
      <c r="G30">
        <v>0</v>
      </c>
      <c r="H30">
        <v>268.64</v>
      </c>
      <c r="I30" t="s">
        <v>1077</v>
      </c>
    </row>
    <row r="31" spans="1:9" hidden="1" x14ac:dyDescent="0.25">
      <c r="A31" t="s">
        <v>472</v>
      </c>
      <c r="B31">
        <v>383508</v>
      </c>
      <c r="C31" s="80">
        <v>42821.636238425926</v>
      </c>
      <c r="D31" t="s">
        <v>628</v>
      </c>
      <c r="E31" t="s">
        <v>613</v>
      </c>
      <c r="F31">
        <v>116495</v>
      </c>
      <c r="G31">
        <v>19.34</v>
      </c>
      <c r="H31">
        <v>0</v>
      </c>
      <c r="I31" t="s">
        <v>1078</v>
      </c>
    </row>
    <row r="32" spans="1:9" hidden="1" x14ac:dyDescent="0.25">
      <c r="A32" t="s">
        <v>472</v>
      </c>
      <c r="B32">
        <v>383513</v>
      </c>
      <c r="C32" s="80">
        <v>42821.637465277781</v>
      </c>
      <c r="D32" t="s">
        <v>629</v>
      </c>
      <c r="E32" t="s">
        <v>615</v>
      </c>
      <c r="F32">
        <v>100708</v>
      </c>
      <c r="G32">
        <v>249.3</v>
      </c>
      <c r="H32">
        <v>0</v>
      </c>
      <c r="I32" t="s">
        <v>1079</v>
      </c>
    </row>
    <row r="33" spans="1:9" hidden="1" x14ac:dyDescent="0.25">
      <c r="A33" t="s">
        <v>473</v>
      </c>
      <c r="B33">
        <v>380917</v>
      </c>
      <c r="C33" s="80">
        <v>42808.681458333333</v>
      </c>
      <c r="D33" t="s">
        <v>631</v>
      </c>
      <c r="F33">
        <v>0</v>
      </c>
      <c r="G33">
        <v>0</v>
      </c>
      <c r="H33">
        <v>344.44</v>
      </c>
      <c r="I33" t="s">
        <v>1077</v>
      </c>
    </row>
    <row r="34" spans="1:9" hidden="1" x14ac:dyDescent="0.25">
      <c r="A34" t="s">
        <v>473</v>
      </c>
      <c r="B34">
        <v>380917</v>
      </c>
      <c r="C34" s="80">
        <v>42808.681458333333</v>
      </c>
      <c r="D34" t="s">
        <v>632</v>
      </c>
      <c r="E34" t="s">
        <v>613</v>
      </c>
      <c r="F34">
        <v>115590</v>
      </c>
      <c r="G34">
        <v>24.8</v>
      </c>
      <c r="H34">
        <v>0</v>
      </c>
      <c r="I34" t="s">
        <v>1078</v>
      </c>
    </row>
    <row r="35" spans="1:9" hidden="1" x14ac:dyDescent="0.25">
      <c r="A35" t="s">
        <v>473</v>
      </c>
      <c r="B35">
        <v>380917</v>
      </c>
      <c r="C35" s="80">
        <v>42808.681458333333</v>
      </c>
      <c r="D35" t="s">
        <v>633</v>
      </c>
      <c r="F35">
        <v>0</v>
      </c>
      <c r="G35">
        <v>0</v>
      </c>
      <c r="H35">
        <v>121.68</v>
      </c>
      <c r="I35" t="s">
        <v>1077</v>
      </c>
    </row>
    <row r="36" spans="1:9" hidden="1" x14ac:dyDescent="0.25">
      <c r="A36" t="s">
        <v>473</v>
      </c>
      <c r="B36">
        <v>380917</v>
      </c>
      <c r="C36" s="80">
        <v>42808.681458333333</v>
      </c>
      <c r="D36" t="s">
        <v>632</v>
      </c>
      <c r="E36" t="s">
        <v>613</v>
      </c>
      <c r="F36">
        <v>115590</v>
      </c>
      <c r="G36">
        <v>8.76</v>
      </c>
      <c r="H36">
        <v>0</v>
      </c>
      <c r="I36" t="s">
        <v>1078</v>
      </c>
    </row>
    <row r="37" spans="1:9" hidden="1" x14ac:dyDescent="0.25">
      <c r="A37" t="s">
        <v>473</v>
      </c>
      <c r="B37">
        <v>380982</v>
      </c>
      <c r="C37" s="80">
        <v>42808.685150462959</v>
      </c>
      <c r="D37" t="s">
        <v>634</v>
      </c>
      <c r="E37" t="s">
        <v>615</v>
      </c>
      <c r="F37">
        <v>100030</v>
      </c>
      <c r="G37">
        <v>432.56</v>
      </c>
      <c r="H37">
        <v>0</v>
      </c>
      <c r="I37" t="s">
        <v>1079</v>
      </c>
    </row>
    <row r="38" spans="1:9" hidden="1" x14ac:dyDescent="0.25">
      <c r="A38" t="s">
        <v>474</v>
      </c>
      <c r="B38">
        <v>380930</v>
      </c>
      <c r="C38" s="80">
        <v>42808.681458333333</v>
      </c>
      <c r="D38" t="s">
        <v>635</v>
      </c>
      <c r="F38">
        <v>0</v>
      </c>
      <c r="G38">
        <v>0</v>
      </c>
      <c r="H38">
        <v>268.64</v>
      </c>
      <c r="I38" t="s">
        <v>1077</v>
      </c>
    </row>
    <row r="39" spans="1:9" hidden="1" x14ac:dyDescent="0.25">
      <c r="A39" t="s">
        <v>474</v>
      </c>
      <c r="B39">
        <v>380930</v>
      </c>
      <c r="C39" s="80">
        <v>42808.681458333333</v>
      </c>
      <c r="D39" t="s">
        <v>636</v>
      </c>
      <c r="E39" t="s">
        <v>613</v>
      </c>
      <c r="F39">
        <v>115603</v>
      </c>
      <c r="G39">
        <v>19.34</v>
      </c>
      <c r="H39">
        <v>0</v>
      </c>
      <c r="I39" t="s">
        <v>1078</v>
      </c>
    </row>
    <row r="40" spans="1:9" hidden="1" x14ac:dyDescent="0.25">
      <c r="A40" t="s">
        <v>474</v>
      </c>
      <c r="B40">
        <v>380930</v>
      </c>
      <c r="C40" s="80">
        <v>42808.681458333333</v>
      </c>
      <c r="D40" t="s">
        <v>637</v>
      </c>
      <c r="F40">
        <v>0</v>
      </c>
      <c r="G40">
        <v>0</v>
      </c>
      <c r="H40">
        <v>192.88</v>
      </c>
      <c r="I40" t="s">
        <v>1077</v>
      </c>
    </row>
    <row r="41" spans="1:9" hidden="1" x14ac:dyDescent="0.25">
      <c r="A41" t="s">
        <v>474</v>
      </c>
      <c r="B41">
        <v>380930</v>
      </c>
      <c r="C41" s="80">
        <v>42808.681458333333</v>
      </c>
      <c r="D41" t="s">
        <v>636</v>
      </c>
      <c r="E41" t="s">
        <v>613</v>
      </c>
      <c r="F41">
        <v>115603</v>
      </c>
      <c r="G41">
        <v>13.88</v>
      </c>
      <c r="H41">
        <v>0</v>
      </c>
      <c r="I41" t="s">
        <v>1078</v>
      </c>
    </row>
    <row r="42" spans="1:9" hidden="1" x14ac:dyDescent="0.25">
      <c r="A42" t="s">
        <v>474</v>
      </c>
      <c r="B42">
        <v>380982</v>
      </c>
      <c r="C42" s="80">
        <v>42808.685150462959</v>
      </c>
      <c r="D42" t="s">
        <v>638</v>
      </c>
      <c r="E42" t="s">
        <v>615</v>
      </c>
      <c r="F42">
        <v>100043</v>
      </c>
      <c r="G42">
        <v>428.3</v>
      </c>
      <c r="H42">
        <v>0</v>
      </c>
      <c r="I42" t="s">
        <v>1079</v>
      </c>
    </row>
    <row r="43" spans="1:9" hidden="1" x14ac:dyDescent="0.25">
      <c r="A43" t="s">
        <v>512</v>
      </c>
      <c r="B43">
        <v>376673</v>
      </c>
      <c r="C43" s="80">
        <v>42795.62400462963</v>
      </c>
      <c r="D43" t="s">
        <v>639</v>
      </c>
      <c r="F43">
        <v>0</v>
      </c>
      <c r="G43">
        <v>0</v>
      </c>
      <c r="H43">
        <v>500</v>
      </c>
      <c r="I43" t="s">
        <v>1077</v>
      </c>
    </row>
    <row r="44" spans="1:9" hidden="1" x14ac:dyDescent="0.25">
      <c r="A44" t="s">
        <v>512</v>
      </c>
      <c r="B44">
        <v>376673</v>
      </c>
      <c r="C44" s="80">
        <v>42795.62400462963</v>
      </c>
      <c r="D44" t="s">
        <v>640</v>
      </c>
      <c r="E44" t="s">
        <v>613</v>
      </c>
      <c r="F44">
        <v>114267</v>
      </c>
      <c r="G44">
        <v>36</v>
      </c>
      <c r="H44">
        <v>0</v>
      </c>
      <c r="I44" t="s">
        <v>1078</v>
      </c>
    </row>
    <row r="45" spans="1:9" hidden="1" x14ac:dyDescent="0.25">
      <c r="A45" t="s">
        <v>512</v>
      </c>
      <c r="B45">
        <v>376673</v>
      </c>
      <c r="C45" s="80">
        <v>42795.62400462963</v>
      </c>
      <c r="D45" t="s">
        <v>641</v>
      </c>
      <c r="F45">
        <v>0</v>
      </c>
      <c r="G45">
        <v>0</v>
      </c>
      <c r="H45">
        <v>162.06</v>
      </c>
      <c r="I45" t="s">
        <v>1077</v>
      </c>
    </row>
    <row r="46" spans="1:9" hidden="1" x14ac:dyDescent="0.25">
      <c r="A46" t="s">
        <v>512</v>
      </c>
      <c r="B46">
        <v>376673</v>
      </c>
      <c r="C46" s="80">
        <v>42795.62400462963</v>
      </c>
      <c r="D46" t="s">
        <v>640</v>
      </c>
      <c r="E46" t="s">
        <v>613</v>
      </c>
      <c r="F46">
        <v>114267</v>
      </c>
      <c r="G46">
        <v>11.66</v>
      </c>
      <c r="H46">
        <v>0</v>
      </c>
      <c r="I46" t="s">
        <v>1078</v>
      </c>
    </row>
    <row r="47" spans="1:9" hidden="1" x14ac:dyDescent="0.25">
      <c r="A47" t="s">
        <v>512</v>
      </c>
      <c r="B47">
        <v>376690</v>
      </c>
      <c r="C47" s="80">
        <v>42795.62767361111</v>
      </c>
      <c r="D47" t="s">
        <v>642</v>
      </c>
      <c r="E47" t="s">
        <v>615</v>
      </c>
      <c r="F47">
        <v>98706</v>
      </c>
      <c r="G47">
        <v>614.4</v>
      </c>
      <c r="H47">
        <v>0</v>
      </c>
      <c r="I47" t="s">
        <v>1079</v>
      </c>
    </row>
    <row r="48" spans="1:9" hidden="1" x14ac:dyDescent="0.25">
      <c r="A48" t="s">
        <v>512</v>
      </c>
      <c r="B48">
        <v>383507</v>
      </c>
      <c r="C48" s="80">
        <v>42821.636238425926</v>
      </c>
      <c r="D48" t="s">
        <v>643</v>
      </c>
      <c r="F48">
        <v>0</v>
      </c>
      <c r="G48">
        <v>0</v>
      </c>
      <c r="H48">
        <v>500</v>
      </c>
      <c r="I48" t="s">
        <v>1077</v>
      </c>
    </row>
    <row r="49" spans="1:9" hidden="1" x14ac:dyDescent="0.25">
      <c r="A49" t="s">
        <v>512</v>
      </c>
      <c r="B49">
        <v>383507</v>
      </c>
      <c r="C49" s="80">
        <v>42821.636238425926</v>
      </c>
      <c r="D49" t="s">
        <v>640</v>
      </c>
      <c r="E49" t="s">
        <v>613</v>
      </c>
      <c r="F49">
        <v>116494</v>
      </c>
      <c r="G49">
        <v>36</v>
      </c>
      <c r="H49">
        <v>0</v>
      </c>
      <c r="I49" t="s">
        <v>1078</v>
      </c>
    </row>
    <row r="50" spans="1:9" hidden="1" x14ac:dyDescent="0.25">
      <c r="A50" t="s">
        <v>512</v>
      </c>
      <c r="B50">
        <v>383513</v>
      </c>
      <c r="C50" s="80">
        <v>42821.637465277781</v>
      </c>
      <c r="D50" t="s">
        <v>642</v>
      </c>
      <c r="E50" t="s">
        <v>615</v>
      </c>
      <c r="F50">
        <v>100707</v>
      </c>
      <c r="G50">
        <v>464</v>
      </c>
      <c r="H50">
        <v>0</v>
      </c>
      <c r="I50" t="s">
        <v>1079</v>
      </c>
    </row>
    <row r="51" spans="1:9" x14ac:dyDescent="0.25">
      <c r="A51" t="s">
        <v>475</v>
      </c>
      <c r="B51">
        <v>376355</v>
      </c>
      <c r="C51" s="80">
        <v>42795.54011574074</v>
      </c>
      <c r="D51" t="s">
        <v>644</v>
      </c>
      <c r="E51" t="s">
        <v>608</v>
      </c>
      <c r="F51" t="s">
        <v>645</v>
      </c>
      <c r="G51">
        <v>50</v>
      </c>
      <c r="H51">
        <v>0</v>
      </c>
      <c r="I51" t="s">
        <v>1076</v>
      </c>
    </row>
    <row r="52" spans="1:9" hidden="1" x14ac:dyDescent="0.25">
      <c r="A52" t="s">
        <v>475</v>
      </c>
      <c r="B52">
        <v>377993</v>
      </c>
      <c r="C52" s="80">
        <v>42800.621296296296</v>
      </c>
      <c r="D52" t="s">
        <v>646</v>
      </c>
      <c r="F52">
        <v>0</v>
      </c>
      <c r="G52">
        <v>0</v>
      </c>
      <c r="H52">
        <v>566.79</v>
      </c>
      <c r="I52" t="s">
        <v>1077</v>
      </c>
    </row>
    <row r="53" spans="1:9" hidden="1" x14ac:dyDescent="0.25">
      <c r="A53" t="s">
        <v>475</v>
      </c>
      <c r="B53">
        <v>377993</v>
      </c>
      <c r="C53" s="80">
        <v>42800.621296296296</v>
      </c>
      <c r="D53" t="s">
        <v>647</v>
      </c>
      <c r="E53" t="s">
        <v>613</v>
      </c>
      <c r="F53">
        <v>114764</v>
      </c>
      <c r="G53">
        <v>40.81</v>
      </c>
      <c r="H53">
        <v>0</v>
      </c>
      <c r="I53" t="s">
        <v>1078</v>
      </c>
    </row>
    <row r="54" spans="1:9" hidden="1" x14ac:dyDescent="0.25">
      <c r="A54" t="s">
        <v>475</v>
      </c>
      <c r="B54">
        <v>378006</v>
      </c>
      <c r="C54" s="80">
        <v>42800.623819444445</v>
      </c>
      <c r="D54" t="s">
        <v>648</v>
      </c>
      <c r="E54" t="s">
        <v>615</v>
      </c>
      <c r="F54">
        <v>99114</v>
      </c>
      <c r="G54">
        <v>475.98</v>
      </c>
      <c r="H54">
        <v>0</v>
      </c>
      <c r="I54" t="s">
        <v>1079</v>
      </c>
    </row>
    <row r="55" spans="1:9" hidden="1" x14ac:dyDescent="0.25">
      <c r="A55" t="s">
        <v>476</v>
      </c>
      <c r="B55">
        <v>381232</v>
      </c>
      <c r="C55" s="80">
        <v>42809.575856481482</v>
      </c>
      <c r="D55" t="s">
        <v>649</v>
      </c>
      <c r="F55">
        <v>0</v>
      </c>
      <c r="G55">
        <v>0</v>
      </c>
      <c r="H55">
        <v>197.7</v>
      </c>
      <c r="I55" t="s">
        <v>1077</v>
      </c>
    </row>
    <row r="56" spans="1:9" hidden="1" x14ac:dyDescent="0.25">
      <c r="A56" t="s">
        <v>476</v>
      </c>
      <c r="B56">
        <v>381232</v>
      </c>
      <c r="C56" s="80">
        <v>42809.575856481482</v>
      </c>
      <c r="D56" t="s">
        <v>650</v>
      </c>
      <c r="E56" t="s">
        <v>613</v>
      </c>
      <c r="F56">
        <v>115735</v>
      </c>
      <c r="G56">
        <v>14.23</v>
      </c>
      <c r="H56">
        <v>0</v>
      </c>
      <c r="I56" t="s">
        <v>1078</v>
      </c>
    </row>
    <row r="57" spans="1:9" hidden="1" x14ac:dyDescent="0.25">
      <c r="A57" t="s">
        <v>476</v>
      </c>
      <c r="B57">
        <v>381232</v>
      </c>
      <c r="C57" s="80">
        <v>42809.575856481482</v>
      </c>
      <c r="D57" t="s">
        <v>651</v>
      </c>
      <c r="F57">
        <v>0</v>
      </c>
      <c r="G57">
        <v>0</v>
      </c>
      <c r="H57">
        <v>263.82</v>
      </c>
      <c r="I57" t="s">
        <v>1077</v>
      </c>
    </row>
    <row r="58" spans="1:9" hidden="1" x14ac:dyDescent="0.25">
      <c r="A58" t="s">
        <v>476</v>
      </c>
      <c r="B58">
        <v>381232</v>
      </c>
      <c r="C58" s="80">
        <v>42809.575856481482</v>
      </c>
      <c r="D58" t="s">
        <v>650</v>
      </c>
      <c r="E58" t="s">
        <v>613</v>
      </c>
      <c r="F58">
        <v>115735</v>
      </c>
      <c r="G58">
        <v>19</v>
      </c>
      <c r="H58">
        <v>0</v>
      </c>
      <c r="I58" t="s">
        <v>1078</v>
      </c>
    </row>
    <row r="59" spans="1:9" hidden="1" x14ac:dyDescent="0.25">
      <c r="A59" t="s">
        <v>476</v>
      </c>
      <c r="B59">
        <v>381236</v>
      </c>
      <c r="C59" s="80">
        <v>42809.579386574071</v>
      </c>
      <c r="D59" t="s">
        <v>652</v>
      </c>
      <c r="E59" t="s">
        <v>615</v>
      </c>
      <c r="F59">
        <v>100159</v>
      </c>
      <c r="G59">
        <v>428.29</v>
      </c>
      <c r="H59">
        <v>0</v>
      </c>
      <c r="I59" t="s">
        <v>1079</v>
      </c>
    </row>
    <row r="60" spans="1:9" x14ac:dyDescent="0.25">
      <c r="A60" t="s">
        <v>476</v>
      </c>
      <c r="B60">
        <v>383429</v>
      </c>
      <c r="C60" s="80">
        <v>42821.548356481479</v>
      </c>
      <c r="D60" t="s">
        <v>653</v>
      </c>
      <c r="E60" t="s">
        <v>608</v>
      </c>
      <c r="F60">
        <v>4017</v>
      </c>
      <c r="G60">
        <v>55</v>
      </c>
      <c r="H60">
        <v>0</v>
      </c>
      <c r="I60" t="s">
        <v>1076</v>
      </c>
    </row>
    <row r="61" spans="1:9" x14ac:dyDescent="0.25">
      <c r="A61" t="s">
        <v>477</v>
      </c>
      <c r="B61">
        <v>376750</v>
      </c>
      <c r="C61" s="80">
        <v>42796.405416666668</v>
      </c>
      <c r="D61" t="s">
        <v>654</v>
      </c>
      <c r="E61" t="s">
        <v>608</v>
      </c>
      <c r="F61">
        <v>1015</v>
      </c>
      <c r="G61">
        <v>175</v>
      </c>
      <c r="H61">
        <v>0</v>
      </c>
      <c r="I61" t="s">
        <v>1076</v>
      </c>
    </row>
    <row r="62" spans="1:9" hidden="1" x14ac:dyDescent="0.25">
      <c r="A62" t="s">
        <v>477</v>
      </c>
      <c r="B62">
        <v>379049</v>
      </c>
      <c r="C62" s="80">
        <v>42803.626076388886</v>
      </c>
      <c r="D62" t="s">
        <v>655</v>
      </c>
      <c r="F62">
        <v>0</v>
      </c>
      <c r="G62">
        <v>0</v>
      </c>
      <c r="H62">
        <v>229.92</v>
      </c>
      <c r="I62" t="s">
        <v>1077</v>
      </c>
    </row>
    <row r="63" spans="1:9" hidden="1" x14ac:dyDescent="0.25">
      <c r="A63" t="s">
        <v>477</v>
      </c>
      <c r="B63">
        <v>379049</v>
      </c>
      <c r="C63" s="80">
        <v>42803.626076388886</v>
      </c>
      <c r="D63" t="s">
        <v>656</v>
      </c>
      <c r="E63" t="s">
        <v>613</v>
      </c>
      <c r="F63">
        <v>115083</v>
      </c>
      <c r="G63">
        <v>16.559999999999999</v>
      </c>
      <c r="H63">
        <v>0</v>
      </c>
      <c r="I63" t="s">
        <v>1078</v>
      </c>
    </row>
    <row r="64" spans="1:9" hidden="1" x14ac:dyDescent="0.25">
      <c r="A64" t="s">
        <v>477</v>
      </c>
      <c r="B64">
        <v>379057</v>
      </c>
      <c r="C64" s="80">
        <v>42803.627326388887</v>
      </c>
      <c r="D64" t="s">
        <v>657</v>
      </c>
      <c r="E64" t="s">
        <v>615</v>
      </c>
      <c r="F64">
        <v>99390</v>
      </c>
      <c r="G64">
        <v>38.36</v>
      </c>
      <c r="H64">
        <v>0</v>
      </c>
      <c r="I64" t="s">
        <v>1079</v>
      </c>
    </row>
    <row r="65" spans="1:9" hidden="1" x14ac:dyDescent="0.25">
      <c r="A65" t="s">
        <v>477</v>
      </c>
      <c r="B65">
        <v>380937</v>
      </c>
      <c r="C65" s="80">
        <v>42808.681458333333</v>
      </c>
      <c r="D65" t="s">
        <v>655</v>
      </c>
      <c r="F65">
        <v>0</v>
      </c>
      <c r="G65">
        <v>0</v>
      </c>
      <c r="H65">
        <v>270.08</v>
      </c>
      <c r="I65" t="s">
        <v>1077</v>
      </c>
    </row>
    <row r="66" spans="1:9" hidden="1" x14ac:dyDescent="0.25">
      <c r="A66" t="s">
        <v>477</v>
      </c>
      <c r="B66">
        <v>380937</v>
      </c>
      <c r="C66" s="80">
        <v>42808.681458333333</v>
      </c>
      <c r="D66" t="s">
        <v>656</v>
      </c>
      <c r="E66" t="s">
        <v>613</v>
      </c>
      <c r="F66">
        <v>115610</v>
      </c>
      <c r="G66">
        <v>19.440000000000001</v>
      </c>
      <c r="H66">
        <v>0</v>
      </c>
      <c r="I66" t="s">
        <v>1078</v>
      </c>
    </row>
    <row r="67" spans="1:9" hidden="1" x14ac:dyDescent="0.25">
      <c r="A67" t="s">
        <v>477</v>
      </c>
      <c r="B67">
        <v>380982</v>
      </c>
      <c r="C67" s="80">
        <v>42808.685150462959</v>
      </c>
      <c r="D67" t="s">
        <v>657</v>
      </c>
      <c r="E67" t="s">
        <v>615</v>
      </c>
      <c r="F67">
        <v>100050</v>
      </c>
      <c r="G67">
        <v>250.64</v>
      </c>
      <c r="H67">
        <v>0</v>
      </c>
      <c r="I67" t="s">
        <v>1079</v>
      </c>
    </row>
    <row r="68" spans="1:9" x14ac:dyDescent="0.25">
      <c r="A68" t="s">
        <v>478</v>
      </c>
      <c r="B68">
        <v>377904</v>
      </c>
      <c r="C68" s="80">
        <v>42800.565057870372</v>
      </c>
      <c r="D68" t="s">
        <v>658</v>
      </c>
      <c r="E68" t="s">
        <v>608</v>
      </c>
      <c r="F68">
        <v>7310267013</v>
      </c>
      <c r="G68">
        <v>41.87</v>
      </c>
      <c r="H68">
        <v>0</v>
      </c>
      <c r="I68" t="s">
        <v>1076</v>
      </c>
    </row>
    <row r="69" spans="1:9" hidden="1" x14ac:dyDescent="0.25">
      <c r="A69" t="s">
        <v>478</v>
      </c>
      <c r="B69">
        <v>381231</v>
      </c>
      <c r="C69" s="80">
        <v>42809.575856481482</v>
      </c>
      <c r="D69" t="s">
        <v>659</v>
      </c>
      <c r="F69">
        <v>0</v>
      </c>
      <c r="G69">
        <v>0</v>
      </c>
      <c r="H69">
        <v>465.9</v>
      </c>
      <c r="I69" t="s">
        <v>1077</v>
      </c>
    </row>
    <row r="70" spans="1:9" hidden="1" x14ac:dyDescent="0.25">
      <c r="A70" t="s">
        <v>478</v>
      </c>
      <c r="B70">
        <v>381231</v>
      </c>
      <c r="C70" s="80">
        <v>42809.575856481482</v>
      </c>
      <c r="D70" t="s">
        <v>660</v>
      </c>
      <c r="E70" t="s">
        <v>613</v>
      </c>
      <c r="F70">
        <v>115734</v>
      </c>
      <c r="G70">
        <v>33.54</v>
      </c>
      <c r="H70">
        <v>0</v>
      </c>
      <c r="I70" t="s">
        <v>1078</v>
      </c>
    </row>
    <row r="71" spans="1:9" hidden="1" x14ac:dyDescent="0.25">
      <c r="A71" t="s">
        <v>478</v>
      </c>
      <c r="B71">
        <v>381231</v>
      </c>
      <c r="C71" s="80">
        <v>42809.575856481482</v>
      </c>
      <c r="D71" t="s">
        <v>661</v>
      </c>
      <c r="F71">
        <v>0</v>
      </c>
      <c r="G71">
        <v>0</v>
      </c>
      <c r="H71">
        <v>0.22</v>
      </c>
      <c r="I71" t="s">
        <v>1077</v>
      </c>
    </row>
    <row r="72" spans="1:9" hidden="1" x14ac:dyDescent="0.25">
      <c r="A72" t="s">
        <v>478</v>
      </c>
      <c r="B72">
        <v>381231</v>
      </c>
      <c r="C72" s="80">
        <v>42809.575856481482</v>
      </c>
      <c r="D72" t="s">
        <v>660</v>
      </c>
      <c r="E72" t="s">
        <v>613</v>
      </c>
      <c r="F72">
        <v>115734</v>
      </c>
      <c r="G72">
        <v>0.01</v>
      </c>
      <c r="H72">
        <v>0</v>
      </c>
      <c r="I72" t="s">
        <v>1078</v>
      </c>
    </row>
    <row r="73" spans="1:9" hidden="1" x14ac:dyDescent="0.25">
      <c r="A73" t="s">
        <v>478</v>
      </c>
      <c r="B73">
        <v>381236</v>
      </c>
      <c r="C73" s="80">
        <v>42809.579386574071</v>
      </c>
      <c r="D73" t="s">
        <v>662</v>
      </c>
      <c r="E73" t="s">
        <v>615</v>
      </c>
      <c r="F73">
        <v>100158</v>
      </c>
      <c r="G73">
        <v>390.7</v>
      </c>
      <c r="H73">
        <v>0</v>
      </c>
      <c r="I73" t="s">
        <v>1079</v>
      </c>
    </row>
    <row r="74" spans="1:9" hidden="1" x14ac:dyDescent="0.25">
      <c r="A74" t="s">
        <v>479</v>
      </c>
      <c r="B74">
        <v>380936</v>
      </c>
      <c r="C74" s="80">
        <v>42808.681458333333</v>
      </c>
      <c r="D74" t="s">
        <v>663</v>
      </c>
      <c r="F74">
        <v>0</v>
      </c>
      <c r="G74">
        <v>0</v>
      </c>
      <c r="H74">
        <v>242.79</v>
      </c>
      <c r="I74" t="s">
        <v>1077</v>
      </c>
    </row>
    <row r="75" spans="1:9" hidden="1" x14ac:dyDescent="0.25">
      <c r="A75" t="s">
        <v>479</v>
      </c>
      <c r="B75">
        <v>380936</v>
      </c>
      <c r="C75" s="80">
        <v>42808.681458333333</v>
      </c>
      <c r="D75" t="s">
        <v>664</v>
      </c>
      <c r="E75" t="s">
        <v>613</v>
      </c>
      <c r="F75">
        <v>115609</v>
      </c>
      <c r="G75">
        <v>17.48</v>
      </c>
      <c r="H75">
        <v>0</v>
      </c>
      <c r="I75" t="s">
        <v>1078</v>
      </c>
    </row>
    <row r="76" spans="1:9" hidden="1" x14ac:dyDescent="0.25">
      <c r="A76" t="s">
        <v>479</v>
      </c>
      <c r="B76">
        <v>380936</v>
      </c>
      <c r="C76" s="80">
        <v>42808.681458333333</v>
      </c>
      <c r="D76" t="s">
        <v>665</v>
      </c>
      <c r="F76">
        <v>0</v>
      </c>
      <c r="G76">
        <v>0</v>
      </c>
      <c r="H76">
        <v>172.61</v>
      </c>
      <c r="I76" t="s">
        <v>1077</v>
      </c>
    </row>
    <row r="77" spans="1:9" hidden="1" x14ac:dyDescent="0.25">
      <c r="A77" t="s">
        <v>479</v>
      </c>
      <c r="B77">
        <v>380936</v>
      </c>
      <c r="C77" s="80">
        <v>42808.681458333333</v>
      </c>
      <c r="D77" t="s">
        <v>664</v>
      </c>
      <c r="E77" t="s">
        <v>613</v>
      </c>
      <c r="F77">
        <v>115609</v>
      </c>
      <c r="G77">
        <v>12.43</v>
      </c>
      <c r="H77">
        <v>0</v>
      </c>
      <c r="I77" t="s">
        <v>1078</v>
      </c>
    </row>
    <row r="78" spans="1:9" hidden="1" x14ac:dyDescent="0.25">
      <c r="A78" t="s">
        <v>479</v>
      </c>
      <c r="B78">
        <v>380982</v>
      </c>
      <c r="C78" s="80">
        <v>42808.685150462959</v>
      </c>
      <c r="D78" t="s">
        <v>666</v>
      </c>
      <c r="E78" t="s">
        <v>615</v>
      </c>
      <c r="F78">
        <v>100049</v>
      </c>
      <c r="G78">
        <v>385.49</v>
      </c>
      <c r="H78">
        <v>0</v>
      </c>
      <c r="I78" t="s">
        <v>1079</v>
      </c>
    </row>
    <row r="79" spans="1:9" x14ac:dyDescent="0.25">
      <c r="A79" t="s">
        <v>480</v>
      </c>
      <c r="B79">
        <v>380260</v>
      </c>
      <c r="C79" s="80">
        <v>42808.407430555555</v>
      </c>
      <c r="D79" t="s">
        <v>667</v>
      </c>
      <c r="E79" t="s">
        <v>608</v>
      </c>
      <c r="F79">
        <v>11737</v>
      </c>
      <c r="G79">
        <v>91.2</v>
      </c>
      <c r="H79">
        <v>0</v>
      </c>
      <c r="I79" t="s">
        <v>1076</v>
      </c>
    </row>
    <row r="80" spans="1:9" hidden="1" x14ac:dyDescent="0.25">
      <c r="A80" t="s">
        <v>480</v>
      </c>
      <c r="B80">
        <v>381712</v>
      </c>
      <c r="C80" s="80">
        <v>42811.536273148151</v>
      </c>
      <c r="D80" t="s">
        <v>668</v>
      </c>
      <c r="F80">
        <v>0</v>
      </c>
      <c r="G80">
        <v>0</v>
      </c>
      <c r="H80">
        <v>62.4</v>
      </c>
      <c r="I80" t="s">
        <v>1077</v>
      </c>
    </row>
    <row r="81" spans="1:9" hidden="1" x14ac:dyDescent="0.25">
      <c r="A81" t="s">
        <v>480</v>
      </c>
      <c r="B81">
        <v>381712</v>
      </c>
      <c r="C81" s="80">
        <v>42811.536273148151</v>
      </c>
      <c r="D81" t="s">
        <v>669</v>
      </c>
      <c r="E81" t="s">
        <v>613</v>
      </c>
      <c r="F81">
        <v>115890</v>
      </c>
      <c r="G81">
        <v>4.49</v>
      </c>
      <c r="H81">
        <v>0</v>
      </c>
      <c r="I81" t="s">
        <v>1078</v>
      </c>
    </row>
    <row r="82" spans="1:9" hidden="1" x14ac:dyDescent="0.25">
      <c r="A82" t="s">
        <v>480</v>
      </c>
      <c r="B82">
        <v>381712</v>
      </c>
      <c r="C82" s="80">
        <v>42811.536273148151</v>
      </c>
      <c r="D82" t="s">
        <v>670</v>
      </c>
      <c r="F82">
        <v>0</v>
      </c>
      <c r="G82">
        <v>0</v>
      </c>
      <c r="H82">
        <v>302.2</v>
      </c>
      <c r="I82" t="s">
        <v>1077</v>
      </c>
    </row>
    <row r="83" spans="1:9" hidden="1" x14ac:dyDescent="0.25">
      <c r="A83" t="s">
        <v>480</v>
      </c>
      <c r="B83">
        <v>381712</v>
      </c>
      <c r="C83" s="80">
        <v>42811.536273148151</v>
      </c>
      <c r="D83" t="s">
        <v>669</v>
      </c>
      <c r="E83" t="s">
        <v>613</v>
      </c>
      <c r="F83">
        <v>115890</v>
      </c>
      <c r="G83">
        <v>21.76</v>
      </c>
      <c r="H83">
        <v>0</v>
      </c>
      <c r="I83" t="s">
        <v>1078</v>
      </c>
    </row>
    <row r="84" spans="1:9" hidden="1" x14ac:dyDescent="0.25">
      <c r="A84" t="s">
        <v>480</v>
      </c>
      <c r="B84">
        <v>381719</v>
      </c>
      <c r="C84" s="80">
        <v>42811.537638888891</v>
      </c>
      <c r="D84" t="s">
        <v>671</v>
      </c>
      <c r="E84" t="s">
        <v>615</v>
      </c>
      <c r="F84">
        <v>100286</v>
      </c>
      <c r="G84">
        <v>247.15</v>
      </c>
      <c r="H84">
        <v>0</v>
      </c>
      <c r="I84" t="s">
        <v>1079</v>
      </c>
    </row>
    <row r="85" spans="1:9" hidden="1" x14ac:dyDescent="0.25">
      <c r="A85" t="s">
        <v>481</v>
      </c>
      <c r="B85">
        <v>379903</v>
      </c>
      <c r="C85" s="80">
        <v>42807.6169212963</v>
      </c>
      <c r="D85" t="s">
        <v>672</v>
      </c>
      <c r="F85">
        <v>0</v>
      </c>
      <c r="G85">
        <v>0</v>
      </c>
      <c r="H85">
        <v>350</v>
      </c>
      <c r="I85" t="s">
        <v>1077</v>
      </c>
    </row>
    <row r="86" spans="1:9" hidden="1" x14ac:dyDescent="0.25">
      <c r="A86" t="s">
        <v>481</v>
      </c>
      <c r="B86">
        <v>379903</v>
      </c>
      <c r="C86" s="80">
        <v>42807.6169212963</v>
      </c>
      <c r="D86" t="s">
        <v>673</v>
      </c>
      <c r="E86" t="s">
        <v>613</v>
      </c>
      <c r="F86">
        <v>115355</v>
      </c>
      <c r="G86">
        <v>25.2</v>
      </c>
      <c r="H86">
        <v>0</v>
      </c>
      <c r="I86" t="s">
        <v>1078</v>
      </c>
    </row>
    <row r="87" spans="1:9" hidden="1" x14ac:dyDescent="0.25">
      <c r="A87" t="s">
        <v>481</v>
      </c>
      <c r="B87">
        <v>379904</v>
      </c>
      <c r="C87" s="80">
        <v>42807.618564814817</v>
      </c>
      <c r="D87" t="s">
        <v>674</v>
      </c>
      <c r="E87" t="s">
        <v>615</v>
      </c>
      <c r="F87">
        <v>99702</v>
      </c>
      <c r="G87">
        <v>324.8</v>
      </c>
      <c r="H87">
        <v>0</v>
      </c>
      <c r="I87" t="s">
        <v>1079</v>
      </c>
    </row>
    <row r="88" spans="1:9" hidden="1" x14ac:dyDescent="0.25">
      <c r="A88" t="s">
        <v>482</v>
      </c>
      <c r="B88">
        <v>377377</v>
      </c>
      <c r="C88" s="80">
        <v>42797.56046296296</v>
      </c>
      <c r="D88" t="s">
        <v>675</v>
      </c>
      <c r="F88">
        <v>0</v>
      </c>
      <c r="G88">
        <v>0</v>
      </c>
      <c r="H88">
        <v>520</v>
      </c>
      <c r="I88" t="s">
        <v>1077</v>
      </c>
    </row>
    <row r="89" spans="1:9" hidden="1" x14ac:dyDescent="0.25">
      <c r="A89" t="s">
        <v>482</v>
      </c>
      <c r="B89">
        <v>377377</v>
      </c>
      <c r="C89" s="80">
        <v>42797.56046296296</v>
      </c>
      <c r="D89" t="s">
        <v>676</v>
      </c>
      <c r="E89" t="s">
        <v>613</v>
      </c>
      <c r="F89">
        <v>114378</v>
      </c>
      <c r="G89">
        <v>37.44</v>
      </c>
      <c r="H89">
        <v>0</v>
      </c>
      <c r="I89" t="s">
        <v>1078</v>
      </c>
    </row>
    <row r="90" spans="1:9" hidden="1" x14ac:dyDescent="0.25">
      <c r="A90" t="s">
        <v>482</v>
      </c>
      <c r="B90">
        <v>377671</v>
      </c>
      <c r="C90" s="80">
        <v>42797.637662037036</v>
      </c>
      <c r="D90" t="s">
        <v>677</v>
      </c>
      <c r="E90" t="s">
        <v>615</v>
      </c>
      <c r="F90">
        <v>98749</v>
      </c>
      <c r="G90">
        <v>482.56</v>
      </c>
      <c r="H90">
        <v>0</v>
      </c>
      <c r="I90" t="s">
        <v>1079</v>
      </c>
    </row>
    <row r="91" spans="1:9" x14ac:dyDescent="0.25">
      <c r="A91" t="s">
        <v>482</v>
      </c>
      <c r="B91">
        <v>378587</v>
      </c>
      <c r="C91" s="80">
        <v>42802.451527777775</v>
      </c>
      <c r="D91" t="s">
        <v>678</v>
      </c>
      <c r="E91" t="s">
        <v>608</v>
      </c>
      <c r="F91" t="s">
        <v>679</v>
      </c>
      <c r="G91">
        <v>60</v>
      </c>
      <c r="H91">
        <v>0</v>
      </c>
      <c r="I91" t="s">
        <v>1076</v>
      </c>
    </row>
    <row r="92" spans="1:9" hidden="1" x14ac:dyDescent="0.25">
      <c r="A92" t="s">
        <v>483</v>
      </c>
      <c r="B92">
        <v>380874</v>
      </c>
      <c r="C92" s="80">
        <v>42808.681458333333</v>
      </c>
      <c r="D92" t="s">
        <v>680</v>
      </c>
      <c r="F92">
        <v>0</v>
      </c>
      <c r="G92">
        <v>0</v>
      </c>
      <c r="H92">
        <v>580</v>
      </c>
      <c r="I92" t="s">
        <v>1077</v>
      </c>
    </row>
    <row r="93" spans="1:9" hidden="1" x14ac:dyDescent="0.25">
      <c r="A93" t="s">
        <v>483</v>
      </c>
      <c r="B93">
        <v>380874</v>
      </c>
      <c r="C93" s="80">
        <v>42808.681458333333</v>
      </c>
      <c r="D93" t="s">
        <v>681</v>
      </c>
      <c r="E93" t="s">
        <v>613</v>
      </c>
      <c r="F93">
        <v>115548</v>
      </c>
      <c r="G93">
        <v>41.76</v>
      </c>
      <c r="H93">
        <v>0</v>
      </c>
      <c r="I93" t="s">
        <v>1078</v>
      </c>
    </row>
    <row r="94" spans="1:9" hidden="1" x14ac:dyDescent="0.25">
      <c r="A94" t="s">
        <v>483</v>
      </c>
      <c r="B94">
        <v>380982</v>
      </c>
      <c r="C94" s="80">
        <v>42808.685150462959</v>
      </c>
      <c r="D94" t="s">
        <v>682</v>
      </c>
      <c r="E94" t="s">
        <v>615</v>
      </c>
      <c r="F94">
        <v>99988</v>
      </c>
      <c r="G94">
        <v>538.24</v>
      </c>
      <c r="H94">
        <v>0</v>
      </c>
      <c r="I94" t="s">
        <v>1079</v>
      </c>
    </row>
    <row r="95" spans="1:9" hidden="1" x14ac:dyDescent="0.25">
      <c r="A95" t="s">
        <v>483</v>
      </c>
      <c r="B95">
        <v>382915</v>
      </c>
      <c r="C95" s="80">
        <v>42817.641261574077</v>
      </c>
      <c r="D95" t="s">
        <v>680</v>
      </c>
      <c r="F95">
        <v>0</v>
      </c>
      <c r="G95">
        <v>0</v>
      </c>
      <c r="H95">
        <v>45</v>
      </c>
      <c r="I95" t="s">
        <v>1077</v>
      </c>
    </row>
    <row r="96" spans="1:9" hidden="1" x14ac:dyDescent="0.25">
      <c r="A96" t="s">
        <v>483</v>
      </c>
      <c r="B96">
        <v>382915</v>
      </c>
      <c r="C96" s="80">
        <v>42817.641261574077</v>
      </c>
      <c r="D96" t="s">
        <v>681</v>
      </c>
      <c r="E96" t="s">
        <v>613</v>
      </c>
      <c r="F96">
        <v>116274</v>
      </c>
      <c r="G96">
        <v>3.24</v>
      </c>
      <c r="H96">
        <v>0</v>
      </c>
      <c r="I96" t="s">
        <v>1078</v>
      </c>
    </row>
    <row r="97" spans="1:9" hidden="1" x14ac:dyDescent="0.25">
      <c r="A97" t="s">
        <v>483</v>
      </c>
      <c r="B97">
        <v>382963</v>
      </c>
      <c r="C97" s="80">
        <v>42817.643576388888</v>
      </c>
      <c r="D97" t="s">
        <v>682</v>
      </c>
      <c r="E97" t="s">
        <v>615</v>
      </c>
      <c r="F97">
        <v>100548</v>
      </c>
      <c r="G97">
        <v>41.76</v>
      </c>
      <c r="H97">
        <v>0</v>
      </c>
      <c r="I97" t="s">
        <v>1079</v>
      </c>
    </row>
    <row r="98" spans="1:9" x14ac:dyDescent="0.25">
      <c r="A98" s="62" t="s">
        <v>484</v>
      </c>
      <c r="B98" s="62">
        <v>377831</v>
      </c>
      <c r="C98" s="143">
        <v>42800.412233796298</v>
      </c>
      <c r="D98" s="62" t="s">
        <v>683</v>
      </c>
      <c r="E98" s="62" t="s">
        <v>608</v>
      </c>
      <c r="F98" s="62">
        <v>903373</v>
      </c>
      <c r="G98" s="62">
        <v>36</v>
      </c>
      <c r="H98">
        <v>0</v>
      </c>
      <c r="I98" t="s">
        <v>1076</v>
      </c>
    </row>
    <row r="99" spans="1:9" hidden="1" x14ac:dyDescent="0.25">
      <c r="A99" t="s">
        <v>484</v>
      </c>
      <c r="B99">
        <v>380879</v>
      </c>
      <c r="C99" s="80">
        <v>42808.681458333333</v>
      </c>
      <c r="D99" t="s">
        <v>684</v>
      </c>
      <c r="F99">
        <v>0</v>
      </c>
      <c r="G99">
        <v>0</v>
      </c>
      <c r="H99">
        <v>660</v>
      </c>
      <c r="I99" t="s">
        <v>1077</v>
      </c>
    </row>
    <row r="100" spans="1:9" hidden="1" x14ac:dyDescent="0.25">
      <c r="A100" t="s">
        <v>484</v>
      </c>
      <c r="B100">
        <v>380879</v>
      </c>
      <c r="C100" s="80">
        <v>42808.681458333333</v>
      </c>
      <c r="D100" t="s">
        <v>685</v>
      </c>
      <c r="E100" t="s">
        <v>613</v>
      </c>
      <c r="F100">
        <v>115553</v>
      </c>
      <c r="G100">
        <v>47.52</v>
      </c>
      <c r="H100">
        <v>0</v>
      </c>
      <c r="I100" t="s">
        <v>1078</v>
      </c>
    </row>
    <row r="101" spans="1:9" hidden="1" x14ac:dyDescent="0.25">
      <c r="A101" t="s">
        <v>484</v>
      </c>
      <c r="B101">
        <v>380982</v>
      </c>
      <c r="C101" s="80">
        <v>42808.685150462959</v>
      </c>
      <c r="D101" t="s">
        <v>686</v>
      </c>
      <c r="E101" t="s">
        <v>615</v>
      </c>
      <c r="F101">
        <v>99993</v>
      </c>
      <c r="G101">
        <v>348.48</v>
      </c>
      <c r="H101">
        <v>0</v>
      </c>
      <c r="I101" t="s">
        <v>1079</v>
      </c>
    </row>
    <row r="102" spans="1:9" x14ac:dyDescent="0.25">
      <c r="A102" t="s">
        <v>484</v>
      </c>
      <c r="B102">
        <v>383914</v>
      </c>
      <c r="C102" s="80">
        <v>42822.574942129628</v>
      </c>
      <c r="D102" t="s">
        <v>687</v>
      </c>
      <c r="E102" t="s">
        <v>608</v>
      </c>
      <c r="F102">
        <v>11758</v>
      </c>
      <c r="G102">
        <v>64.8</v>
      </c>
      <c r="H102">
        <v>0</v>
      </c>
      <c r="I102" t="s">
        <v>1076</v>
      </c>
    </row>
    <row r="103" spans="1:9" x14ac:dyDescent="0.25">
      <c r="A103" t="s">
        <v>484</v>
      </c>
      <c r="B103">
        <v>384652</v>
      </c>
      <c r="C103" s="80">
        <v>42824.421064814815</v>
      </c>
      <c r="D103" t="s">
        <v>688</v>
      </c>
      <c r="E103" t="s">
        <v>608</v>
      </c>
      <c r="F103">
        <v>1009</v>
      </c>
      <c r="G103">
        <v>285</v>
      </c>
      <c r="H103">
        <v>0</v>
      </c>
      <c r="I103" t="s">
        <v>1076</v>
      </c>
    </row>
    <row r="104" spans="1:9" hidden="1" x14ac:dyDescent="0.25">
      <c r="A104" t="s">
        <v>485</v>
      </c>
      <c r="B104">
        <v>380880</v>
      </c>
      <c r="C104" s="80">
        <v>42808.681458333333</v>
      </c>
      <c r="D104" t="s">
        <v>689</v>
      </c>
      <c r="F104">
        <v>0</v>
      </c>
      <c r="G104">
        <v>0</v>
      </c>
      <c r="H104">
        <v>660</v>
      </c>
      <c r="I104" t="s">
        <v>1077</v>
      </c>
    </row>
    <row r="105" spans="1:9" hidden="1" x14ac:dyDescent="0.25">
      <c r="A105" t="s">
        <v>485</v>
      </c>
      <c r="B105">
        <v>380880</v>
      </c>
      <c r="C105" s="80">
        <v>42808.681458333333</v>
      </c>
      <c r="D105" t="s">
        <v>690</v>
      </c>
      <c r="E105" t="s">
        <v>613</v>
      </c>
      <c r="F105">
        <v>115554</v>
      </c>
      <c r="G105">
        <v>47.52</v>
      </c>
      <c r="H105">
        <v>0</v>
      </c>
      <c r="I105" t="s">
        <v>1078</v>
      </c>
    </row>
    <row r="106" spans="1:9" hidden="1" x14ac:dyDescent="0.25">
      <c r="A106" t="s">
        <v>485</v>
      </c>
      <c r="B106">
        <v>380982</v>
      </c>
      <c r="C106" s="80">
        <v>42808.685150462959</v>
      </c>
      <c r="D106" t="s">
        <v>691</v>
      </c>
      <c r="E106" t="s">
        <v>615</v>
      </c>
      <c r="F106">
        <v>99994</v>
      </c>
      <c r="G106">
        <v>412.48</v>
      </c>
      <c r="H106">
        <v>0</v>
      </c>
      <c r="I106" t="s">
        <v>1079</v>
      </c>
    </row>
    <row r="107" spans="1:9" hidden="1" x14ac:dyDescent="0.25">
      <c r="A107" t="s">
        <v>486</v>
      </c>
      <c r="B107">
        <v>380944</v>
      </c>
      <c r="C107" s="80">
        <v>42808.681458333333</v>
      </c>
      <c r="D107" t="s">
        <v>692</v>
      </c>
      <c r="F107">
        <v>0</v>
      </c>
      <c r="G107">
        <v>0</v>
      </c>
      <c r="H107">
        <v>477.07</v>
      </c>
      <c r="I107" t="s">
        <v>1077</v>
      </c>
    </row>
    <row r="108" spans="1:9" hidden="1" x14ac:dyDescent="0.25">
      <c r="A108" t="s">
        <v>486</v>
      </c>
      <c r="B108">
        <v>380944</v>
      </c>
      <c r="C108" s="80">
        <v>42808.681458333333</v>
      </c>
      <c r="D108" t="s">
        <v>693</v>
      </c>
      <c r="E108" t="s">
        <v>613</v>
      </c>
      <c r="F108">
        <v>115617</v>
      </c>
      <c r="G108">
        <v>34.340000000000003</v>
      </c>
      <c r="H108">
        <v>0</v>
      </c>
      <c r="I108" t="s">
        <v>1078</v>
      </c>
    </row>
    <row r="109" spans="1:9" hidden="1" x14ac:dyDescent="0.25">
      <c r="A109" t="s">
        <v>486</v>
      </c>
      <c r="B109">
        <v>380982</v>
      </c>
      <c r="C109" s="80">
        <v>42808.685150462959</v>
      </c>
      <c r="D109" t="s">
        <v>694</v>
      </c>
      <c r="E109" t="s">
        <v>615</v>
      </c>
      <c r="F109">
        <v>100057</v>
      </c>
      <c r="G109">
        <v>442.73</v>
      </c>
      <c r="H109">
        <v>0</v>
      </c>
      <c r="I109" t="s">
        <v>1079</v>
      </c>
    </row>
    <row r="110" spans="1:9" x14ac:dyDescent="0.25">
      <c r="A110" t="s">
        <v>487</v>
      </c>
      <c r="B110">
        <v>376352</v>
      </c>
      <c r="C110" s="80">
        <v>42795.537824074076</v>
      </c>
      <c r="D110" t="s">
        <v>695</v>
      </c>
      <c r="E110" t="s">
        <v>608</v>
      </c>
      <c r="F110" t="s">
        <v>696</v>
      </c>
      <c r="G110">
        <v>50</v>
      </c>
      <c r="H110">
        <v>0</v>
      </c>
      <c r="I110" t="s">
        <v>1076</v>
      </c>
    </row>
    <row r="111" spans="1:9" hidden="1" x14ac:dyDescent="0.25">
      <c r="A111" t="s">
        <v>487</v>
      </c>
      <c r="B111">
        <v>379301</v>
      </c>
      <c r="C111" s="80">
        <v>42804.528622685182</v>
      </c>
      <c r="D111" t="s">
        <v>697</v>
      </c>
      <c r="F111">
        <v>0</v>
      </c>
      <c r="G111">
        <v>0</v>
      </c>
      <c r="H111">
        <v>134.91999999999999</v>
      </c>
      <c r="I111" t="s">
        <v>1077</v>
      </c>
    </row>
    <row r="112" spans="1:9" hidden="1" x14ac:dyDescent="0.25">
      <c r="A112" t="s">
        <v>487</v>
      </c>
      <c r="B112">
        <v>379301</v>
      </c>
      <c r="C112" s="80">
        <v>42804.528622685182</v>
      </c>
      <c r="D112" t="s">
        <v>698</v>
      </c>
      <c r="E112" t="s">
        <v>613</v>
      </c>
      <c r="F112">
        <v>115168</v>
      </c>
      <c r="G112">
        <v>9.7200000000000006</v>
      </c>
      <c r="H112">
        <v>0</v>
      </c>
      <c r="I112" t="s">
        <v>1078</v>
      </c>
    </row>
    <row r="113" spans="1:9" hidden="1" x14ac:dyDescent="0.25">
      <c r="A113" t="s">
        <v>487</v>
      </c>
      <c r="B113">
        <v>379351</v>
      </c>
      <c r="C113" s="80">
        <v>42804.698738425926</v>
      </c>
      <c r="D113" t="s">
        <v>699</v>
      </c>
      <c r="E113" t="s">
        <v>615</v>
      </c>
      <c r="F113">
        <v>99454</v>
      </c>
      <c r="G113">
        <v>75.2</v>
      </c>
      <c r="H113">
        <v>0</v>
      </c>
      <c r="I113" t="s">
        <v>1079</v>
      </c>
    </row>
    <row r="114" spans="1:9" hidden="1" x14ac:dyDescent="0.25">
      <c r="A114" t="s">
        <v>487</v>
      </c>
      <c r="B114">
        <v>380947</v>
      </c>
      <c r="C114" s="80">
        <v>42808.681458333333</v>
      </c>
      <c r="D114" t="s">
        <v>697</v>
      </c>
      <c r="F114">
        <v>0</v>
      </c>
      <c r="G114">
        <v>0</v>
      </c>
      <c r="H114">
        <v>365.08</v>
      </c>
      <c r="I114" t="s">
        <v>1077</v>
      </c>
    </row>
    <row r="115" spans="1:9" hidden="1" x14ac:dyDescent="0.25">
      <c r="A115" t="s">
        <v>487</v>
      </c>
      <c r="B115">
        <v>380947</v>
      </c>
      <c r="C115" s="80">
        <v>42808.681458333333</v>
      </c>
      <c r="D115" t="s">
        <v>698</v>
      </c>
      <c r="E115" t="s">
        <v>613</v>
      </c>
      <c r="F115">
        <v>115620</v>
      </c>
      <c r="G115">
        <v>26.28</v>
      </c>
      <c r="H115">
        <v>0</v>
      </c>
      <c r="I115" t="s">
        <v>1078</v>
      </c>
    </row>
    <row r="116" spans="1:9" hidden="1" x14ac:dyDescent="0.25">
      <c r="A116" t="s">
        <v>487</v>
      </c>
      <c r="B116">
        <v>380982</v>
      </c>
      <c r="C116" s="80">
        <v>42808.685150462959</v>
      </c>
      <c r="D116" t="s">
        <v>699</v>
      </c>
      <c r="E116" t="s">
        <v>615</v>
      </c>
      <c r="F116">
        <v>100060</v>
      </c>
      <c r="G116">
        <v>338.8</v>
      </c>
      <c r="H116">
        <v>0</v>
      </c>
      <c r="I116" t="s">
        <v>1079</v>
      </c>
    </row>
    <row r="117" spans="1:9" hidden="1" x14ac:dyDescent="0.25">
      <c r="A117" t="s">
        <v>488</v>
      </c>
      <c r="B117">
        <v>378005</v>
      </c>
      <c r="C117" s="80">
        <v>42800.621296296296</v>
      </c>
      <c r="D117" t="s">
        <v>700</v>
      </c>
      <c r="F117">
        <v>0</v>
      </c>
      <c r="G117">
        <v>0</v>
      </c>
      <c r="H117">
        <v>166.25</v>
      </c>
      <c r="I117" t="s">
        <v>1077</v>
      </c>
    </row>
    <row r="118" spans="1:9" hidden="1" x14ac:dyDescent="0.25">
      <c r="A118" t="s">
        <v>488</v>
      </c>
      <c r="B118">
        <v>378005</v>
      </c>
      <c r="C118" s="80">
        <v>42800.621296296296</v>
      </c>
      <c r="D118" t="s">
        <v>701</v>
      </c>
      <c r="E118" t="s">
        <v>613</v>
      </c>
      <c r="F118">
        <v>114775</v>
      </c>
      <c r="G118">
        <v>11.98</v>
      </c>
      <c r="H118">
        <v>0</v>
      </c>
      <c r="I118" t="s">
        <v>1078</v>
      </c>
    </row>
    <row r="119" spans="1:9" hidden="1" x14ac:dyDescent="0.25">
      <c r="A119" t="s">
        <v>488</v>
      </c>
      <c r="B119">
        <v>378006</v>
      </c>
      <c r="C119" s="80">
        <v>42800.623819444445</v>
      </c>
      <c r="D119" t="s">
        <v>702</v>
      </c>
      <c r="E119" t="s">
        <v>615</v>
      </c>
      <c r="F119">
        <v>99126</v>
      </c>
      <c r="G119">
        <v>154.27000000000001</v>
      </c>
      <c r="H119">
        <v>0</v>
      </c>
      <c r="I119" t="s">
        <v>1079</v>
      </c>
    </row>
    <row r="120" spans="1:9" hidden="1" x14ac:dyDescent="0.25">
      <c r="A120" t="s">
        <v>488</v>
      </c>
      <c r="B120">
        <v>380950</v>
      </c>
      <c r="C120" s="80">
        <v>42808.681458333333</v>
      </c>
      <c r="D120" t="s">
        <v>700</v>
      </c>
      <c r="F120">
        <v>0</v>
      </c>
      <c r="G120">
        <v>0</v>
      </c>
      <c r="H120">
        <v>338.75</v>
      </c>
      <c r="I120" t="s">
        <v>1077</v>
      </c>
    </row>
    <row r="121" spans="1:9" hidden="1" x14ac:dyDescent="0.25">
      <c r="A121" t="s">
        <v>488</v>
      </c>
      <c r="B121">
        <v>380950</v>
      </c>
      <c r="C121" s="80">
        <v>42808.681458333333</v>
      </c>
      <c r="D121" t="s">
        <v>701</v>
      </c>
      <c r="E121" t="s">
        <v>613</v>
      </c>
      <c r="F121">
        <v>115623</v>
      </c>
      <c r="G121">
        <v>24.4</v>
      </c>
      <c r="H121">
        <v>0</v>
      </c>
      <c r="I121" t="s">
        <v>1078</v>
      </c>
    </row>
    <row r="122" spans="1:9" hidden="1" x14ac:dyDescent="0.25">
      <c r="A122" t="s">
        <v>488</v>
      </c>
      <c r="B122">
        <v>380982</v>
      </c>
      <c r="C122" s="80">
        <v>42808.685150462959</v>
      </c>
      <c r="D122" t="s">
        <v>702</v>
      </c>
      <c r="E122" t="s">
        <v>615</v>
      </c>
      <c r="F122">
        <v>100063</v>
      </c>
      <c r="G122">
        <v>314.35000000000002</v>
      </c>
      <c r="H122">
        <v>0</v>
      </c>
      <c r="I122" t="s">
        <v>1079</v>
      </c>
    </row>
    <row r="123" spans="1:9" hidden="1" x14ac:dyDescent="0.25">
      <c r="A123" t="s">
        <v>489</v>
      </c>
      <c r="B123">
        <v>380951</v>
      </c>
      <c r="C123" s="80">
        <v>42808.681458333333</v>
      </c>
      <c r="D123" t="s">
        <v>703</v>
      </c>
      <c r="F123">
        <v>0</v>
      </c>
      <c r="G123">
        <v>0</v>
      </c>
      <c r="H123">
        <v>116.64</v>
      </c>
      <c r="I123" t="s">
        <v>1077</v>
      </c>
    </row>
    <row r="124" spans="1:9" hidden="1" x14ac:dyDescent="0.25">
      <c r="A124" t="s">
        <v>489</v>
      </c>
      <c r="B124">
        <v>380951</v>
      </c>
      <c r="C124" s="80">
        <v>42808.681458333333</v>
      </c>
      <c r="D124" t="s">
        <v>704</v>
      </c>
      <c r="E124" t="s">
        <v>613</v>
      </c>
      <c r="F124">
        <v>115624</v>
      </c>
      <c r="G124">
        <v>8.4</v>
      </c>
      <c r="H124">
        <v>0</v>
      </c>
      <c r="I124" t="s">
        <v>1078</v>
      </c>
    </row>
    <row r="125" spans="1:9" hidden="1" x14ac:dyDescent="0.25">
      <c r="A125" t="s">
        <v>489</v>
      </c>
      <c r="B125">
        <v>380982</v>
      </c>
      <c r="C125" s="80">
        <v>42808.685150462959</v>
      </c>
      <c r="D125" t="s">
        <v>705</v>
      </c>
      <c r="E125" t="s">
        <v>615</v>
      </c>
      <c r="F125">
        <v>100064</v>
      </c>
      <c r="G125">
        <v>108.24</v>
      </c>
      <c r="H125">
        <v>0</v>
      </c>
      <c r="I125" t="s">
        <v>1079</v>
      </c>
    </row>
    <row r="126" spans="1:9" hidden="1" x14ac:dyDescent="0.25">
      <c r="A126" t="s">
        <v>489</v>
      </c>
      <c r="B126">
        <v>383509</v>
      </c>
      <c r="C126" s="80">
        <v>42821.636238425926</v>
      </c>
      <c r="D126" t="s">
        <v>706</v>
      </c>
      <c r="F126">
        <v>0</v>
      </c>
      <c r="G126">
        <v>0</v>
      </c>
      <c r="H126">
        <v>349.48</v>
      </c>
      <c r="I126" t="s">
        <v>1077</v>
      </c>
    </row>
    <row r="127" spans="1:9" hidden="1" x14ac:dyDescent="0.25">
      <c r="A127" t="s">
        <v>489</v>
      </c>
      <c r="B127">
        <v>383509</v>
      </c>
      <c r="C127" s="80">
        <v>42821.636238425926</v>
      </c>
      <c r="D127" t="s">
        <v>704</v>
      </c>
      <c r="E127" t="s">
        <v>613</v>
      </c>
      <c r="F127">
        <v>116496</v>
      </c>
      <c r="G127">
        <v>25.16</v>
      </c>
      <c r="H127">
        <v>0</v>
      </c>
      <c r="I127" t="s">
        <v>1078</v>
      </c>
    </row>
    <row r="128" spans="1:9" hidden="1" x14ac:dyDescent="0.25">
      <c r="A128" t="s">
        <v>489</v>
      </c>
      <c r="B128">
        <v>383513</v>
      </c>
      <c r="C128" s="80">
        <v>42821.637465277781</v>
      </c>
      <c r="D128" t="s">
        <v>705</v>
      </c>
      <c r="E128" t="s">
        <v>615</v>
      </c>
      <c r="F128">
        <v>100709</v>
      </c>
      <c r="G128">
        <v>324.32</v>
      </c>
      <c r="H128">
        <v>0</v>
      </c>
      <c r="I128" t="s">
        <v>1079</v>
      </c>
    </row>
    <row r="129" spans="1:9" x14ac:dyDescent="0.25">
      <c r="A129" t="s">
        <v>490</v>
      </c>
      <c r="B129">
        <v>376353</v>
      </c>
      <c r="C129" s="80">
        <v>42795.538240740738</v>
      </c>
      <c r="D129" t="s">
        <v>707</v>
      </c>
      <c r="E129" t="s">
        <v>608</v>
      </c>
      <c r="F129" t="s">
        <v>708</v>
      </c>
      <c r="G129">
        <v>50</v>
      </c>
      <c r="H129">
        <v>0</v>
      </c>
      <c r="I129" t="s">
        <v>1076</v>
      </c>
    </row>
    <row r="130" spans="1:9" hidden="1" x14ac:dyDescent="0.25">
      <c r="A130" t="s">
        <v>490</v>
      </c>
      <c r="B130">
        <v>380926</v>
      </c>
      <c r="C130" s="80">
        <v>42808.681458333333</v>
      </c>
      <c r="D130" t="s">
        <v>709</v>
      </c>
      <c r="F130">
        <v>0</v>
      </c>
      <c r="G130">
        <v>0</v>
      </c>
      <c r="H130">
        <v>477.48</v>
      </c>
      <c r="I130" t="s">
        <v>1077</v>
      </c>
    </row>
    <row r="131" spans="1:9" hidden="1" x14ac:dyDescent="0.25">
      <c r="A131" t="s">
        <v>490</v>
      </c>
      <c r="B131">
        <v>380926</v>
      </c>
      <c r="C131" s="80">
        <v>42808.681458333333</v>
      </c>
      <c r="D131" t="s">
        <v>710</v>
      </c>
      <c r="E131" t="s">
        <v>613</v>
      </c>
      <c r="F131">
        <v>115599</v>
      </c>
      <c r="G131">
        <v>34.380000000000003</v>
      </c>
      <c r="H131">
        <v>0</v>
      </c>
      <c r="I131" t="s">
        <v>1078</v>
      </c>
    </row>
    <row r="132" spans="1:9" hidden="1" x14ac:dyDescent="0.25">
      <c r="A132" t="s">
        <v>490</v>
      </c>
      <c r="B132">
        <v>380982</v>
      </c>
      <c r="C132" s="80">
        <v>42808.685150462959</v>
      </c>
      <c r="D132" t="s">
        <v>711</v>
      </c>
      <c r="E132" t="s">
        <v>615</v>
      </c>
      <c r="F132">
        <v>100039</v>
      </c>
      <c r="G132">
        <v>393.1</v>
      </c>
      <c r="H132">
        <v>0</v>
      </c>
      <c r="I132" t="s">
        <v>1079</v>
      </c>
    </row>
    <row r="133" spans="1:9" hidden="1" x14ac:dyDescent="0.25">
      <c r="A133" t="s">
        <v>491</v>
      </c>
      <c r="B133">
        <v>380927</v>
      </c>
      <c r="C133" s="80">
        <v>42808.681458333333</v>
      </c>
      <c r="D133" t="s">
        <v>712</v>
      </c>
      <c r="F133">
        <v>0</v>
      </c>
      <c r="G133">
        <v>0</v>
      </c>
      <c r="H133">
        <v>192.88</v>
      </c>
      <c r="I133" t="s">
        <v>1077</v>
      </c>
    </row>
    <row r="134" spans="1:9" hidden="1" x14ac:dyDescent="0.25">
      <c r="A134" t="s">
        <v>491</v>
      </c>
      <c r="B134">
        <v>380927</v>
      </c>
      <c r="C134" s="80">
        <v>42808.681458333333</v>
      </c>
      <c r="D134" t="s">
        <v>713</v>
      </c>
      <c r="E134" t="s">
        <v>613</v>
      </c>
      <c r="F134">
        <v>115600</v>
      </c>
      <c r="G134">
        <v>13.88</v>
      </c>
      <c r="H134">
        <v>0</v>
      </c>
      <c r="I134" t="s">
        <v>1078</v>
      </c>
    </row>
    <row r="135" spans="1:9" hidden="1" x14ac:dyDescent="0.25">
      <c r="A135" t="s">
        <v>491</v>
      </c>
      <c r="B135">
        <v>380982</v>
      </c>
      <c r="C135" s="80">
        <v>42808.685150462959</v>
      </c>
      <c r="D135" t="s">
        <v>714</v>
      </c>
      <c r="E135" t="s">
        <v>615</v>
      </c>
      <c r="F135">
        <v>100040</v>
      </c>
      <c r="G135">
        <v>179</v>
      </c>
      <c r="H135">
        <v>0</v>
      </c>
      <c r="I135" t="s">
        <v>1079</v>
      </c>
    </row>
    <row r="136" spans="1:9" hidden="1" x14ac:dyDescent="0.25">
      <c r="A136" t="s">
        <v>491</v>
      </c>
      <c r="B136">
        <v>383504</v>
      </c>
      <c r="C136" s="80">
        <v>42821.636238425926</v>
      </c>
      <c r="D136" t="s">
        <v>715</v>
      </c>
      <c r="F136">
        <v>0</v>
      </c>
      <c r="G136">
        <v>0</v>
      </c>
      <c r="H136">
        <v>268.64</v>
      </c>
      <c r="I136" t="s">
        <v>1077</v>
      </c>
    </row>
    <row r="137" spans="1:9" hidden="1" x14ac:dyDescent="0.25">
      <c r="A137" t="s">
        <v>491</v>
      </c>
      <c r="B137">
        <v>383504</v>
      </c>
      <c r="C137" s="80">
        <v>42821.636238425926</v>
      </c>
      <c r="D137" t="s">
        <v>713</v>
      </c>
      <c r="E137" t="s">
        <v>613</v>
      </c>
      <c r="F137">
        <v>116491</v>
      </c>
      <c r="G137">
        <v>19.34</v>
      </c>
      <c r="H137">
        <v>0</v>
      </c>
      <c r="I137" t="s">
        <v>1078</v>
      </c>
    </row>
    <row r="138" spans="1:9" hidden="1" x14ac:dyDescent="0.25">
      <c r="A138" t="s">
        <v>491</v>
      </c>
      <c r="B138">
        <v>383513</v>
      </c>
      <c r="C138" s="80">
        <v>42821.637465277781</v>
      </c>
      <c r="D138" t="s">
        <v>714</v>
      </c>
      <c r="E138" t="s">
        <v>615</v>
      </c>
      <c r="F138">
        <v>100704</v>
      </c>
      <c r="G138">
        <v>249.3</v>
      </c>
      <c r="H138">
        <v>0</v>
      </c>
      <c r="I138" t="s">
        <v>1079</v>
      </c>
    </row>
    <row r="139" spans="1:9" hidden="1" x14ac:dyDescent="0.25">
      <c r="A139" t="s">
        <v>492</v>
      </c>
      <c r="B139">
        <v>381229</v>
      </c>
      <c r="C139" s="80">
        <v>42809.575856481482</v>
      </c>
      <c r="D139" t="s">
        <v>716</v>
      </c>
      <c r="F139">
        <v>0</v>
      </c>
      <c r="G139">
        <v>0</v>
      </c>
      <c r="H139">
        <v>450</v>
      </c>
      <c r="I139" t="s">
        <v>1077</v>
      </c>
    </row>
    <row r="140" spans="1:9" hidden="1" x14ac:dyDescent="0.25">
      <c r="A140" t="s">
        <v>492</v>
      </c>
      <c r="B140">
        <v>381229</v>
      </c>
      <c r="C140" s="80">
        <v>42809.575856481482</v>
      </c>
      <c r="D140" t="s">
        <v>717</v>
      </c>
      <c r="E140" t="s">
        <v>613</v>
      </c>
      <c r="F140">
        <v>115732</v>
      </c>
      <c r="G140">
        <v>32.4</v>
      </c>
      <c r="H140">
        <v>0</v>
      </c>
      <c r="I140" t="s">
        <v>1078</v>
      </c>
    </row>
    <row r="141" spans="1:9" hidden="1" x14ac:dyDescent="0.25">
      <c r="A141" t="s">
        <v>492</v>
      </c>
      <c r="B141">
        <v>381229</v>
      </c>
      <c r="C141" s="80">
        <v>42809.575856481482</v>
      </c>
      <c r="D141" t="s">
        <v>718</v>
      </c>
      <c r="F141">
        <v>0</v>
      </c>
      <c r="G141">
        <v>0</v>
      </c>
      <c r="H141">
        <v>100</v>
      </c>
      <c r="I141" t="s">
        <v>1077</v>
      </c>
    </row>
    <row r="142" spans="1:9" hidden="1" x14ac:dyDescent="0.25">
      <c r="A142" t="s">
        <v>492</v>
      </c>
      <c r="B142">
        <v>381229</v>
      </c>
      <c r="C142" s="80">
        <v>42809.575856481482</v>
      </c>
      <c r="D142" t="s">
        <v>717</v>
      </c>
      <c r="E142" t="s">
        <v>613</v>
      </c>
      <c r="F142">
        <v>115732</v>
      </c>
      <c r="G142">
        <v>7.2</v>
      </c>
      <c r="H142">
        <v>0</v>
      </c>
      <c r="I142" t="s">
        <v>1078</v>
      </c>
    </row>
    <row r="143" spans="1:9" hidden="1" x14ac:dyDescent="0.25">
      <c r="A143" t="s">
        <v>492</v>
      </c>
      <c r="B143">
        <v>381236</v>
      </c>
      <c r="C143" s="80">
        <v>42809.579386574071</v>
      </c>
      <c r="D143" t="s">
        <v>719</v>
      </c>
      <c r="E143" t="s">
        <v>615</v>
      </c>
      <c r="F143">
        <v>100156</v>
      </c>
      <c r="G143">
        <v>510.4</v>
      </c>
      <c r="H143">
        <v>0</v>
      </c>
      <c r="I143" t="s">
        <v>1079</v>
      </c>
    </row>
    <row r="144" spans="1:9" x14ac:dyDescent="0.25">
      <c r="A144" t="s">
        <v>493</v>
      </c>
      <c r="B144">
        <v>378270</v>
      </c>
      <c r="C144" s="80">
        <v>42801.506736111114</v>
      </c>
      <c r="D144" t="s">
        <v>720</v>
      </c>
      <c r="E144" t="s">
        <v>608</v>
      </c>
      <c r="F144">
        <v>11698</v>
      </c>
      <c r="G144">
        <v>60</v>
      </c>
      <c r="H144">
        <v>0</v>
      </c>
      <c r="I144" t="s">
        <v>1076</v>
      </c>
    </row>
    <row r="145" spans="1:9" hidden="1" x14ac:dyDescent="0.25">
      <c r="A145" t="s">
        <v>493</v>
      </c>
      <c r="B145">
        <v>382956</v>
      </c>
      <c r="C145" s="80">
        <v>42817.641261574077</v>
      </c>
      <c r="D145" t="s">
        <v>721</v>
      </c>
      <c r="F145">
        <v>0</v>
      </c>
      <c r="G145">
        <v>0</v>
      </c>
      <c r="H145">
        <v>260</v>
      </c>
      <c r="I145" t="s">
        <v>1077</v>
      </c>
    </row>
    <row r="146" spans="1:9" hidden="1" x14ac:dyDescent="0.25">
      <c r="A146" t="s">
        <v>493</v>
      </c>
      <c r="B146">
        <v>382956</v>
      </c>
      <c r="C146" s="80">
        <v>42817.641261574077</v>
      </c>
      <c r="D146" t="s">
        <v>722</v>
      </c>
      <c r="E146" t="s">
        <v>613</v>
      </c>
      <c r="F146">
        <v>116310</v>
      </c>
      <c r="G146">
        <v>18.72</v>
      </c>
      <c r="H146">
        <v>0</v>
      </c>
      <c r="I146" t="s">
        <v>1078</v>
      </c>
    </row>
    <row r="147" spans="1:9" hidden="1" x14ac:dyDescent="0.25">
      <c r="A147" t="s">
        <v>493</v>
      </c>
      <c r="B147">
        <v>382963</v>
      </c>
      <c r="C147" s="80">
        <v>42817.643576388888</v>
      </c>
      <c r="D147" t="s">
        <v>723</v>
      </c>
      <c r="E147" t="s">
        <v>615</v>
      </c>
      <c r="F147">
        <v>100589</v>
      </c>
      <c r="G147">
        <v>44</v>
      </c>
      <c r="H147">
        <v>0</v>
      </c>
      <c r="I147" t="s">
        <v>1079</v>
      </c>
    </row>
    <row r="148" spans="1:9" hidden="1" x14ac:dyDescent="0.25">
      <c r="A148" t="s">
        <v>493</v>
      </c>
      <c r="B148">
        <v>383506</v>
      </c>
      <c r="C148" s="80">
        <v>42821.636238425926</v>
      </c>
      <c r="D148" t="s">
        <v>721</v>
      </c>
      <c r="F148">
        <v>0</v>
      </c>
      <c r="G148">
        <v>0</v>
      </c>
      <c r="H148">
        <v>340</v>
      </c>
      <c r="I148" t="s">
        <v>1077</v>
      </c>
    </row>
    <row r="149" spans="1:9" hidden="1" x14ac:dyDescent="0.25">
      <c r="A149" t="s">
        <v>493</v>
      </c>
      <c r="B149">
        <v>383506</v>
      </c>
      <c r="C149" s="80">
        <v>42821.636238425926</v>
      </c>
      <c r="D149" t="s">
        <v>722</v>
      </c>
      <c r="E149" t="s">
        <v>613</v>
      </c>
      <c r="F149">
        <v>116493</v>
      </c>
      <c r="G149">
        <v>24.48</v>
      </c>
      <c r="H149">
        <v>0</v>
      </c>
      <c r="I149" t="s">
        <v>1078</v>
      </c>
    </row>
    <row r="150" spans="1:9" hidden="1" x14ac:dyDescent="0.25">
      <c r="A150" t="s">
        <v>493</v>
      </c>
      <c r="B150">
        <v>383513</v>
      </c>
      <c r="C150" s="80">
        <v>42821.637465277781</v>
      </c>
      <c r="D150" t="s">
        <v>723</v>
      </c>
      <c r="E150" t="s">
        <v>615</v>
      </c>
      <c r="F150">
        <v>100706</v>
      </c>
      <c r="G150">
        <v>315.52</v>
      </c>
      <c r="H150">
        <v>0</v>
      </c>
      <c r="I150" t="s">
        <v>1079</v>
      </c>
    </row>
    <row r="151" spans="1:9" x14ac:dyDescent="0.25">
      <c r="A151" t="s">
        <v>494</v>
      </c>
      <c r="B151">
        <v>376358</v>
      </c>
      <c r="C151" s="80">
        <v>42795.541458333333</v>
      </c>
      <c r="D151" t="s">
        <v>724</v>
      </c>
      <c r="E151" t="s">
        <v>608</v>
      </c>
      <c r="F151" t="s">
        <v>725</v>
      </c>
      <c r="G151">
        <v>50</v>
      </c>
      <c r="H151">
        <v>0</v>
      </c>
      <c r="I151" t="s">
        <v>1076</v>
      </c>
    </row>
    <row r="152" spans="1:9" hidden="1" x14ac:dyDescent="0.25">
      <c r="A152" t="s">
        <v>494</v>
      </c>
      <c r="B152">
        <v>384863</v>
      </c>
      <c r="C152" s="80">
        <v>42824.588113425925</v>
      </c>
      <c r="D152" t="s">
        <v>726</v>
      </c>
      <c r="F152">
        <v>0</v>
      </c>
      <c r="G152">
        <v>0</v>
      </c>
      <c r="H152">
        <v>520</v>
      </c>
      <c r="I152" t="s">
        <v>1077</v>
      </c>
    </row>
    <row r="153" spans="1:9" hidden="1" x14ac:dyDescent="0.25">
      <c r="A153" t="s">
        <v>494</v>
      </c>
      <c r="B153">
        <v>384863</v>
      </c>
      <c r="C153" s="80">
        <v>42824.588113425925</v>
      </c>
      <c r="D153" t="s">
        <v>727</v>
      </c>
      <c r="E153" t="s">
        <v>613</v>
      </c>
      <c r="F153">
        <v>116935</v>
      </c>
      <c r="G153">
        <v>37.44</v>
      </c>
      <c r="H153">
        <v>0</v>
      </c>
      <c r="I153" t="s">
        <v>1078</v>
      </c>
    </row>
    <row r="154" spans="1:9" hidden="1" x14ac:dyDescent="0.25">
      <c r="A154" t="s">
        <v>494</v>
      </c>
      <c r="B154">
        <v>384877</v>
      </c>
      <c r="C154" s="80">
        <v>42824.592777777776</v>
      </c>
      <c r="D154" t="s">
        <v>728</v>
      </c>
      <c r="E154" t="s">
        <v>615</v>
      </c>
      <c r="F154">
        <v>101090</v>
      </c>
      <c r="G154">
        <v>432.56</v>
      </c>
      <c r="H154">
        <v>0</v>
      </c>
      <c r="I154" t="s">
        <v>1079</v>
      </c>
    </row>
    <row r="155" spans="1:9" hidden="1" x14ac:dyDescent="0.25">
      <c r="A155" t="s">
        <v>495</v>
      </c>
      <c r="B155">
        <v>380933</v>
      </c>
      <c r="C155" s="80">
        <v>42808.681458333333</v>
      </c>
      <c r="D155" t="s">
        <v>729</v>
      </c>
      <c r="F155">
        <v>0</v>
      </c>
      <c r="G155">
        <v>0</v>
      </c>
      <c r="H155">
        <v>372.08</v>
      </c>
      <c r="I155" t="s">
        <v>1077</v>
      </c>
    </row>
    <row r="156" spans="1:9" hidden="1" x14ac:dyDescent="0.25">
      <c r="A156" t="s">
        <v>495</v>
      </c>
      <c r="B156">
        <v>380933</v>
      </c>
      <c r="C156" s="80">
        <v>42808.681458333333</v>
      </c>
      <c r="D156" t="s">
        <v>730</v>
      </c>
      <c r="E156" t="s">
        <v>613</v>
      </c>
      <c r="F156">
        <v>115606</v>
      </c>
      <c r="G156">
        <v>26.78</v>
      </c>
      <c r="H156">
        <v>0</v>
      </c>
      <c r="I156" t="s">
        <v>1078</v>
      </c>
    </row>
    <row r="157" spans="1:9" hidden="1" x14ac:dyDescent="0.25">
      <c r="A157" t="s">
        <v>495</v>
      </c>
      <c r="B157">
        <v>380982</v>
      </c>
      <c r="C157" s="80">
        <v>42808.685150462959</v>
      </c>
      <c r="D157" t="s">
        <v>731</v>
      </c>
      <c r="E157" t="s">
        <v>615</v>
      </c>
      <c r="F157">
        <v>100046</v>
      </c>
      <c r="G157">
        <v>345.3</v>
      </c>
      <c r="H157">
        <v>0</v>
      </c>
      <c r="I157" t="s">
        <v>1079</v>
      </c>
    </row>
    <row r="158" spans="1:9" hidden="1" x14ac:dyDescent="0.25">
      <c r="A158" t="s">
        <v>495</v>
      </c>
      <c r="B158">
        <v>384864</v>
      </c>
      <c r="C158" s="80">
        <v>42824.588113425925</v>
      </c>
      <c r="D158" t="s">
        <v>732</v>
      </c>
      <c r="F158">
        <v>0</v>
      </c>
      <c r="G158">
        <v>0</v>
      </c>
      <c r="H158">
        <v>70.87</v>
      </c>
      <c r="I158" t="s">
        <v>1077</v>
      </c>
    </row>
    <row r="159" spans="1:9" hidden="1" x14ac:dyDescent="0.25">
      <c r="A159" t="s">
        <v>495</v>
      </c>
      <c r="B159">
        <v>384864</v>
      </c>
      <c r="C159" s="80">
        <v>42824.588113425925</v>
      </c>
      <c r="D159" t="s">
        <v>730</v>
      </c>
      <c r="E159" t="s">
        <v>613</v>
      </c>
      <c r="F159">
        <v>116936</v>
      </c>
      <c r="G159">
        <v>5.0999999999999996</v>
      </c>
      <c r="H159">
        <v>0</v>
      </c>
      <c r="I159" t="s">
        <v>1078</v>
      </c>
    </row>
    <row r="160" spans="1:9" hidden="1" x14ac:dyDescent="0.25">
      <c r="A160" t="s">
        <v>495</v>
      </c>
      <c r="B160">
        <v>384864</v>
      </c>
      <c r="C160" s="80">
        <v>42824.588113425925</v>
      </c>
      <c r="D160" t="s">
        <v>729</v>
      </c>
      <c r="F160">
        <v>0</v>
      </c>
      <c r="G160">
        <v>0</v>
      </c>
      <c r="H160">
        <v>49.13</v>
      </c>
      <c r="I160" t="s">
        <v>1077</v>
      </c>
    </row>
    <row r="161" spans="1:9" hidden="1" x14ac:dyDescent="0.25">
      <c r="A161" t="s">
        <v>495</v>
      </c>
      <c r="B161">
        <v>384864</v>
      </c>
      <c r="C161" s="80">
        <v>42824.588113425925</v>
      </c>
      <c r="D161" t="s">
        <v>730</v>
      </c>
      <c r="E161" t="s">
        <v>613</v>
      </c>
      <c r="F161">
        <v>116936</v>
      </c>
      <c r="G161">
        <v>3.54</v>
      </c>
      <c r="H161">
        <v>0</v>
      </c>
      <c r="I161" t="s">
        <v>1078</v>
      </c>
    </row>
    <row r="162" spans="1:9" hidden="1" x14ac:dyDescent="0.25">
      <c r="A162" t="s">
        <v>495</v>
      </c>
      <c r="B162">
        <v>384877</v>
      </c>
      <c r="C162" s="80">
        <v>42824.592777777776</v>
      </c>
      <c r="D162" t="s">
        <v>731</v>
      </c>
      <c r="E162" t="s">
        <v>615</v>
      </c>
      <c r="F162">
        <v>101091</v>
      </c>
      <c r="G162">
        <v>111.36</v>
      </c>
      <c r="H162">
        <v>0</v>
      </c>
      <c r="I162" t="s">
        <v>1079</v>
      </c>
    </row>
    <row r="163" spans="1:9" hidden="1" x14ac:dyDescent="0.25">
      <c r="A163" t="s">
        <v>513</v>
      </c>
      <c r="B163">
        <v>376672</v>
      </c>
      <c r="C163" s="80">
        <v>42795.62400462963</v>
      </c>
      <c r="D163" t="s">
        <v>733</v>
      </c>
      <c r="F163">
        <v>0</v>
      </c>
      <c r="G163">
        <v>0</v>
      </c>
      <c r="H163">
        <v>200</v>
      </c>
      <c r="I163" t="s">
        <v>1077</v>
      </c>
    </row>
    <row r="164" spans="1:9" hidden="1" x14ac:dyDescent="0.25">
      <c r="A164" t="s">
        <v>513</v>
      </c>
      <c r="B164">
        <v>376672</v>
      </c>
      <c r="C164" s="80">
        <v>42795.62400462963</v>
      </c>
      <c r="D164" t="s">
        <v>734</v>
      </c>
      <c r="E164" t="s">
        <v>613</v>
      </c>
      <c r="F164">
        <v>114266</v>
      </c>
      <c r="G164">
        <v>14.4</v>
      </c>
      <c r="H164">
        <v>0</v>
      </c>
      <c r="I164" t="s">
        <v>1078</v>
      </c>
    </row>
    <row r="165" spans="1:9" hidden="1" x14ac:dyDescent="0.25">
      <c r="A165" t="s">
        <v>513</v>
      </c>
      <c r="B165">
        <v>376690</v>
      </c>
      <c r="C165" s="80">
        <v>42795.62767361111</v>
      </c>
      <c r="D165" t="s">
        <v>735</v>
      </c>
      <c r="E165" t="s">
        <v>615</v>
      </c>
      <c r="F165">
        <v>98705</v>
      </c>
      <c r="G165">
        <v>185.6</v>
      </c>
      <c r="H165">
        <v>0</v>
      </c>
      <c r="I165" t="s">
        <v>1079</v>
      </c>
    </row>
    <row r="166" spans="1:9" hidden="1" x14ac:dyDescent="0.25">
      <c r="A166" t="s">
        <v>513</v>
      </c>
      <c r="B166">
        <v>382957</v>
      </c>
      <c r="C166" s="80">
        <v>42817.641261574077</v>
      </c>
      <c r="D166" t="s">
        <v>736</v>
      </c>
      <c r="F166">
        <v>0</v>
      </c>
      <c r="G166">
        <v>0</v>
      </c>
      <c r="H166">
        <v>100</v>
      </c>
      <c r="I166" t="s">
        <v>1077</v>
      </c>
    </row>
    <row r="167" spans="1:9" hidden="1" x14ac:dyDescent="0.25">
      <c r="A167" t="s">
        <v>513</v>
      </c>
      <c r="B167">
        <v>382957</v>
      </c>
      <c r="C167" s="80">
        <v>42817.641261574077</v>
      </c>
      <c r="D167" t="s">
        <v>734</v>
      </c>
      <c r="E167" t="s">
        <v>613</v>
      </c>
      <c r="F167">
        <v>116311</v>
      </c>
      <c r="G167">
        <v>7.2</v>
      </c>
      <c r="H167">
        <v>0</v>
      </c>
      <c r="I167" t="s">
        <v>1078</v>
      </c>
    </row>
    <row r="168" spans="1:9" hidden="1" x14ac:dyDescent="0.25">
      <c r="A168" t="s">
        <v>513</v>
      </c>
      <c r="B168">
        <v>382957</v>
      </c>
      <c r="C168" s="80">
        <v>42817.641261574077</v>
      </c>
      <c r="D168" t="s">
        <v>733</v>
      </c>
      <c r="F168">
        <v>0</v>
      </c>
      <c r="G168">
        <v>0</v>
      </c>
      <c r="H168">
        <v>100</v>
      </c>
      <c r="I168" t="s">
        <v>1077</v>
      </c>
    </row>
    <row r="169" spans="1:9" hidden="1" x14ac:dyDescent="0.25">
      <c r="A169" t="s">
        <v>513</v>
      </c>
      <c r="B169">
        <v>382957</v>
      </c>
      <c r="C169" s="80">
        <v>42817.641261574077</v>
      </c>
      <c r="D169" t="s">
        <v>734</v>
      </c>
      <c r="E169" t="s">
        <v>613</v>
      </c>
      <c r="F169">
        <v>116311</v>
      </c>
      <c r="G169">
        <v>7.2</v>
      </c>
      <c r="H169">
        <v>0</v>
      </c>
      <c r="I169" t="s">
        <v>1078</v>
      </c>
    </row>
    <row r="170" spans="1:9" hidden="1" x14ac:dyDescent="0.25">
      <c r="A170" t="s">
        <v>513</v>
      </c>
      <c r="B170">
        <v>382963</v>
      </c>
      <c r="C170" s="80">
        <v>42817.643576388888</v>
      </c>
      <c r="D170" t="s">
        <v>735</v>
      </c>
      <c r="E170" t="s">
        <v>615</v>
      </c>
      <c r="F170">
        <v>100590</v>
      </c>
      <c r="G170">
        <v>185.6</v>
      </c>
      <c r="H170">
        <v>0</v>
      </c>
      <c r="I170" t="s">
        <v>1079</v>
      </c>
    </row>
    <row r="171" spans="1:9" hidden="1" x14ac:dyDescent="0.25">
      <c r="A171" t="s">
        <v>496</v>
      </c>
      <c r="B171">
        <v>378741</v>
      </c>
      <c r="C171" s="80">
        <v>42802.57298611111</v>
      </c>
      <c r="D171" t="s">
        <v>737</v>
      </c>
      <c r="F171">
        <v>0</v>
      </c>
      <c r="G171">
        <v>0</v>
      </c>
      <c r="H171">
        <v>127.37</v>
      </c>
      <c r="I171" t="s">
        <v>1077</v>
      </c>
    </row>
    <row r="172" spans="1:9" hidden="1" x14ac:dyDescent="0.25">
      <c r="A172" t="s">
        <v>496</v>
      </c>
      <c r="B172">
        <v>378741</v>
      </c>
      <c r="C172" s="80">
        <v>42802.57298611111</v>
      </c>
      <c r="D172" t="s">
        <v>738</v>
      </c>
      <c r="E172" t="s">
        <v>613</v>
      </c>
      <c r="F172">
        <v>114989</v>
      </c>
      <c r="G172">
        <v>9.17</v>
      </c>
      <c r="H172">
        <v>0</v>
      </c>
      <c r="I172" t="s">
        <v>1078</v>
      </c>
    </row>
    <row r="173" spans="1:9" hidden="1" x14ac:dyDescent="0.25">
      <c r="A173" t="s">
        <v>496</v>
      </c>
      <c r="B173">
        <v>378750</v>
      </c>
      <c r="C173" s="80">
        <v>42802.576215277775</v>
      </c>
      <c r="D173" t="s">
        <v>739</v>
      </c>
      <c r="E173" t="s">
        <v>615</v>
      </c>
      <c r="F173">
        <v>99322</v>
      </c>
      <c r="G173">
        <v>118.2</v>
      </c>
      <c r="H173">
        <v>0</v>
      </c>
      <c r="I173" t="s">
        <v>1079</v>
      </c>
    </row>
    <row r="174" spans="1:9" hidden="1" x14ac:dyDescent="0.25">
      <c r="A174" t="s">
        <v>496</v>
      </c>
      <c r="B174">
        <v>380934</v>
      </c>
      <c r="C174" s="80">
        <v>42808.681458333333</v>
      </c>
      <c r="D174" t="s">
        <v>737</v>
      </c>
      <c r="F174">
        <v>0</v>
      </c>
      <c r="G174">
        <v>0</v>
      </c>
      <c r="H174">
        <v>377.63</v>
      </c>
      <c r="I174" t="s">
        <v>1077</v>
      </c>
    </row>
    <row r="175" spans="1:9" hidden="1" x14ac:dyDescent="0.25">
      <c r="A175" t="s">
        <v>496</v>
      </c>
      <c r="B175">
        <v>380934</v>
      </c>
      <c r="C175" s="80">
        <v>42808.681458333333</v>
      </c>
      <c r="D175" t="s">
        <v>738</v>
      </c>
      <c r="E175" t="s">
        <v>613</v>
      </c>
      <c r="F175">
        <v>115607</v>
      </c>
      <c r="G175">
        <v>27.19</v>
      </c>
      <c r="H175">
        <v>0</v>
      </c>
      <c r="I175" t="s">
        <v>1078</v>
      </c>
    </row>
    <row r="176" spans="1:9" hidden="1" x14ac:dyDescent="0.25">
      <c r="A176" t="s">
        <v>496</v>
      </c>
      <c r="B176">
        <v>380982</v>
      </c>
      <c r="C176" s="80">
        <v>42808.685150462959</v>
      </c>
      <c r="D176" t="s">
        <v>739</v>
      </c>
      <c r="E176" t="s">
        <v>615</v>
      </c>
      <c r="F176">
        <v>100047</v>
      </c>
      <c r="G176">
        <v>350.44</v>
      </c>
      <c r="H176">
        <v>0</v>
      </c>
      <c r="I176" t="s">
        <v>1079</v>
      </c>
    </row>
    <row r="177" spans="1:9" hidden="1" x14ac:dyDescent="0.25">
      <c r="A177" t="s">
        <v>497</v>
      </c>
      <c r="B177">
        <v>380943</v>
      </c>
      <c r="C177" s="80">
        <v>42808.681458333333</v>
      </c>
      <c r="D177" t="s">
        <v>740</v>
      </c>
      <c r="F177">
        <v>0</v>
      </c>
      <c r="G177">
        <v>0</v>
      </c>
      <c r="H177">
        <v>188.08</v>
      </c>
      <c r="I177" t="s">
        <v>1077</v>
      </c>
    </row>
    <row r="178" spans="1:9" hidden="1" x14ac:dyDescent="0.25">
      <c r="A178" t="s">
        <v>497</v>
      </c>
      <c r="B178">
        <v>380943</v>
      </c>
      <c r="C178" s="80">
        <v>42808.681458333333</v>
      </c>
      <c r="D178" t="s">
        <v>741</v>
      </c>
      <c r="E178" t="s">
        <v>613</v>
      </c>
      <c r="F178">
        <v>115616</v>
      </c>
      <c r="G178">
        <v>13.54</v>
      </c>
      <c r="H178">
        <v>0</v>
      </c>
      <c r="I178" t="s">
        <v>1078</v>
      </c>
    </row>
    <row r="179" spans="1:9" hidden="1" x14ac:dyDescent="0.25">
      <c r="A179" t="s">
        <v>497</v>
      </c>
      <c r="B179">
        <v>380982</v>
      </c>
      <c r="C179" s="80">
        <v>42808.685150462959</v>
      </c>
      <c r="D179" t="s">
        <v>742</v>
      </c>
      <c r="E179" t="s">
        <v>615</v>
      </c>
      <c r="F179">
        <v>100056</v>
      </c>
      <c r="G179">
        <v>174.54</v>
      </c>
      <c r="H179">
        <v>0</v>
      </c>
      <c r="I179" t="s">
        <v>1079</v>
      </c>
    </row>
    <row r="180" spans="1:9" hidden="1" x14ac:dyDescent="0.25">
      <c r="A180" t="s">
        <v>497</v>
      </c>
      <c r="B180">
        <v>382958</v>
      </c>
      <c r="C180" s="80">
        <v>42817.641261574077</v>
      </c>
      <c r="D180" t="s">
        <v>743</v>
      </c>
      <c r="F180">
        <v>0</v>
      </c>
      <c r="G180">
        <v>0</v>
      </c>
      <c r="H180">
        <v>264.24</v>
      </c>
      <c r="I180" t="s">
        <v>1077</v>
      </c>
    </row>
    <row r="181" spans="1:9" hidden="1" x14ac:dyDescent="0.25">
      <c r="A181" t="s">
        <v>497</v>
      </c>
      <c r="B181">
        <v>382958</v>
      </c>
      <c r="C181" s="80">
        <v>42817.641261574077</v>
      </c>
      <c r="D181" t="s">
        <v>741</v>
      </c>
      <c r="E181" t="s">
        <v>613</v>
      </c>
      <c r="F181">
        <v>116312</v>
      </c>
      <c r="G181">
        <v>19.02</v>
      </c>
      <c r="H181">
        <v>0</v>
      </c>
      <c r="I181" t="s">
        <v>1078</v>
      </c>
    </row>
    <row r="182" spans="1:9" hidden="1" x14ac:dyDescent="0.25">
      <c r="A182" t="s">
        <v>497</v>
      </c>
      <c r="B182">
        <v>382963</v>
      </c>
      <c r="C182" s="80">
        <v>42817.643576388888</v>
      </c>
      <c r="D182" t="s">
        <v>742</v>
      </c>
      <c r="E182" t="s">
        <v>615</v>
      </c>
      <c r="F182">
        <v>100591</v>
      </c>
      <c r="G182">
        <v>245.22</v>
      </c>
      <c r="H182">
        <v>0</v>
      </c>
      <c r="I182" t="s">
        <v>1079</v>
      </c>
    </row>
    <row r="183" spans="1:9" x14ac:dyDescent="0.25">
      <c r="A183" t="s">
        <v>498</v>
      </c>
      <c r="B183">
        <v>376354</v>
      </c>
      <c r="C183" s="80">
        <v>42795.539710648147</v>
      </c>
      <c r="D183" t="s">
        <v>744</v>
      </c>
      <c r="E183" t="s">
        <v>608</v>
      </c>
      <c r="F183" t="s">
        <v>745</v>
      </c>
      <c r="G183">
        <v>50</v>
      </c>
      <c r="H183">
        <v>0</v>
      </c>
      <c r="I183" t="s">
        <v>1076</v>
      </c>
    </row>
    <row r="184" spans="1:9" hidden="1" x14ac:dyDescent="0.25">
      <c r="A184" t="s">
        <v>498</v>
      </c>
      <c r="B184">
        <v>380948</v>
      </c>
      <c r="C184" s="80">
        <v>42808.681458333333</v>
      </c>
      <c r="D184" t="s">
        <v>746</v>
      </c>
      <c r="F184">
        <v>0</v>
      </c>
      <c r="G184">
        <v>0</v>
      </c>
      <c r="H184">
        <v>268.62</v>
      </c>
      <c r="I184" t="s">
        <v>1077</v>
      </c>
    </row>
    <row r="185" spans="1:9" hidden="1" x14ac:dyDescent="0.25">
      <c r="A185" t="s">
        <v>498</v>
      </c>
      <c r="B185">
        <v>380948</v>
      </c>
      <c r="C185" s="80">
        <v>42808.681458333333</v>
      </c>
      <c r="D185" t="s">
        <v>747</v>
      </c>
      <c r="E185" t="s">
        <v>613</v>
      </c>
      <c r="F185">
        <v>115621</v>
      </c>
      <c r="G185">
        <v>19.34</v>
      </c>
      <c r="H185">
        <v>0</v>
      </c>
      <c r="I185" t="s">
        <v>1078</v>
      </c>
    </row>
    <row r="186" spans="1:9" hidden="1" x14ac:dyDescent="0.25">
      <c r="A186" t="s">
        <v>498</v>
      </c>
      <c r="B186">
        <v>380948</v>
      </c>
      <c r="C186" s="80">
        <v>42808.681458333333</v>
      </c>
      <c r="D186" t="s">
        <v>748</v>
      </c>
      <c r="F186">
        <v>0</v>
      </c>
      <c r="G186">
        <v>0</v>
      </c>
      <c r="H186">
        <v>192.9</v>
      </c>
      <c r="I186" t="s">
        <v>1077</v>
      </c>
    </row>
    <row r="187" spans="1:9" hidden="1" x14ac:dyDescent="0.25">
      <c r="A187" t="s">
        <v>498</v>
      </c>
      <c r="B187">
        <v>380948</v>
      </c>
      <c r="C187" s="80">
        <v>42808.681458333333</v>
      </c>
      <c r="D187" t="s">
        <v>747</v>
      </c>
      <c r="E187" t="s">
        <v>613</v>
      </c>
      <c r="F187">
        <v>115621</v>
      </c>
      <c r="G187">
        <v>13.88</v>
      </c>
      <c r="H187">
        <v>0</v>
      </c>
      <c r="I187" t="s">
        <v>1078</v>
      </c>
    </row>
    <row r="188" spans="1:9" hidden="1" x14ac:dyDescent="0.25">
      <c r="A188" t="s">
        <v>498</v>
      </c>
      <c r="B188">
        <v>380982</v>
      </c>
      <c r="C188" s="80">
        <v>42808.685150462959</v>
      </c>
      <c r="D188" t="s">
        <v>749</v>
      </c>
      <c r="E188" t="s">
        <v>615</v>
      </c>
      <c r="F188">
        <v>100061</v>
      </c>
      <c r="G188">
        <v>378.3</v>
      </c>
      <c r="H188">
        <v>0</v>
      </c>
      <c r="I188" t="s">
        <v>1079</v>
      </c>
    </row>
    <row r="189" spans="1:9" hidden="1" x14ac:dyDescent="0.25">
      <c r="A189" t="s">
        <v>499</v>
      </c>
      <c r="B189">
        <v>380921</v>
      </c>
      <c r="C189" s="80">
        <v>42808.681458333333</v>
      </c>
      <c r="D189" t="s">
        <v>750</v>
      </c>
      <c r="F189">
        <v>0</v>
      </c>
      <c r="G189">
        <v>0</v>
      </c>
      <c r="H189">
        <v>192.89</v>
      </c>
      <c r="I189" t="s">
        <v>1077</v>
      </c>
    </row>
    <row r="190" spans="1:9" hidden="1" x14ac:dyDescent="0.25">
      <c r="A190" t="s">
        <v>499</v>
      </c>
      <c r="B190">
        <v>380921</v>
      </c>
      <c r="C190" s="80">
        <v>42808.681458333333</v>
      </c>
      <c r="D190" t="s">
        <v>751</v>
      </c>
      <c r="E190" t="s">
        <v>613</v>
      </c>
      <c r="F190">
        <v>115594</v>
      </c>
      <c r="G190">
        <v>13.88</v>
      </c>
      <c r="H190">
        <v>0</v>
      </c>
      <c r="I190" t="s">
        <v>1078</v>
      </c>
    </row>
    <row r="191" spans="1:9" hidden="1" x14ac:dyDescent="0.25">
      <c r="A191" t="s">
        <v>499</v>
      </c>
      <c r="B191">
        <v>380982</v>
      </c>
      <c r="C191" s="80">
        <v>42808.685150462959</v>
      </c>
      <c r="D191" t="s">
        <v>752</v>
      </c>
      <c r="E191" t="s">
        <v>615</v>
      </c>
      <c r="F191">
        <v>100034</v>
      </c>
      <c r="G191">
        <v>179.01</v>
      </c>
      <c r="H191">
        <v>0</v>
      </c>
      <c r="I191" t="s">
        <v>1079</v>
      </c>
    </row>
    <row r="192" spans="1:9" hidden="1" x14ac:dyDescent="0.25">
      <c r="A192" t="s">
        <v>499</v>
      </c>
      <c r="B192">
        <v>381976</v>
      </c>
      <c r="C192" s="80">
        <v>42814.623495370368</v>
      </c>
      <c r="D192" t="s">
        <v>753</v>
      </c>
      <c r="F192">
        <v>0</v>
      </c>
      <c r="G192">
        <v>0</v>
      </c>
      <c r="H192">
        <v>268.63</v>
      </c>
      <c r="I192" t="s">
        <v>1077</v>
      </c>
    </row>
    <row r="193" spans="1:9" hidden="1" x14ac:dyDescent="0.25">
      <c r="A193" t="s">
        <v>499</v>
      </c>
      <c r="B193">
        <v>381976</v>
      </c>
      <c r="C193" s="80">
        <v>42814.623495370368</v>
      </c>
      <c r="D193" t="s">
        <v>751</v>
      </c>
      <c r="E193" t="s">
        <v>613</v>
      </c>
      <c r="F193">
        <v>115999</v>
      </c>
      <c r="G193">
        <v>19.34</v>
      </c>
      <c r="H193">
        <v>0</v>
      </c>
      <c r="I193" t="s">
        <v>1078</v>
      </c>
    </row>
    <row r="194" spans="1:9" hidden="1" x14ac:dyDescent="0.25">
      <c r="A194" t="s">
        <v>499</v>
      </c>
      <c r="B194">
        <v>381985</v>
      </c>
      <c r="C194" s="80">
        <v>42814.625208333331</v>
      </c>
      <c r="D194" t="s">
        <v>752</v>
      </c>
      <c r="E194" t="s">
        <v>615</v>
      </c>
      <c r="F194">
        <v>100346</v>
      </c>
      <c r="G194">
        <v>249.29</v>
      </c>
      <c r="H194">
        <v>0</v>
      </c>
      <c r="I194" t="s">
        <v>1079</v>
      </c>
    </row>
    <row r="195" spans="1:9" x14ac:dyDescent="0.25">
      <c r="A195" t="s">
        <v>500</v>
      </c>
      <c r="B195">
        <v>380663</v>
      </c>
      <c r="C195" s="80">
        <v>42808.633599537039</v>
      </c>
      <c r="D195" t="s">
        <v>754</v>
      </c>
      <c r="E195" t="s">
        <v>608</v>
      </c>
      <c r="F195">
        <v>8942</v>
      </c>
      <c r="G195">
        <v>270</v>
      </c>
      <c r="H195">
        <v>0</v>
      </c>
      <c r="I195" t="s">
        <v>1076</v>
      </c>
    </row>
    <row r="196" spans="1:9" hidden="1" x14ac:dyDescent="0.25">
      <c r="A196" t="s">
        <v>500</v>
      </c>
      <c r="B196">
        <v>381978</v>
      </c>
      <c r="C196" s="80">
        <v>42814.623495370368</v>
      </c>
      <c r="D196" t="s">
        <v>755</v>
      </c>
      <c r="F196">
        <v>0</v>
      </c>
      <c r="G196">
        <v>0</v>
      </c>
      <c r="H196">
        <v>307.12</v>
      </c>
      <c r="I196" t="s">
        <v>1077</v>
      </c>
    </row>
    <row r="197" spans="1:9" hidden="1" x14ac:dyDescent="0.25">
      <c r="A197" t="s">
        <v>500</v>
      </c>
      <c r="B197">
        <v>381978</v>
      </c>
      <c r="C197" s="80">
        <v>42814.623495370368</v>
      </c>
      <c r="D197" t="s">
        <v>756</v>
      </c>
      <c r="E197" t="s">
        <v>613</v>
      </c>
      <c r="F197">
        <v>116001</v>
      </c>
      <c r="G197">
        <v>22.12</v>
      </c>
      <c r="H197">
        <v>0</v>
      </c>
      <c r="I197" t="s">
        <v>1078</v>
      </c>
    </row>
    <row r="198" spans="1:9" hidden="1" x14ac:dyDescent="0.25">
      <c r="A198" t="s">
        <v>500</v>
      </c>
      <c r="B198">
        <v>381978</v>
      </c>
      <c r="C198" s="80">
        <v>42814.623495370368</v>
      </c>
      <c r="D198" t="s">
        <v>757</v>
      </c>
      <c r="F198">
        <v>0</v>
      </c>
      <c r="G198">
        <v>0</v>
      </c>
      <c r="H198">
        <v>154.4</v>
      </c>
      <c r="I198" t="s">
        <v>1077</v>
      </c>
    </row>
    <row r="199" spans="1:9" hidden="1" x14ac:dyDescent="0.25">
      <c r="A199" t="s">
        <v>500</v>
      </c>
      <c r="B199">
        <v>381978</v>
      </c>
      <c r="C199" s="80">
        <v>42814.623495370368</v>
      </c>
      <c r="D199" t="s">
        <v>756</v>
      </c>
      <c r="E199" t="s">
        <v>613</v>
      </c>
      <c r="F199">
        <v>116001</v>
      </c>
      <c r="G199">
        <v>11.11</v>
      </c>
      <c r="H199">
        <v>0</v>
      </c>
      <c r="I199" t="s">
        <v>1078</v>
      </c>
    </row>
    <row r="200" spans="1:9" hidden="1" x14ac:dyDescent="0.25">
      <c r="A200" t="s">
        <v>500</v>
      </c>
      <c r="B200">
        <v>381985</v>
      </c>
      <c r="C200" s="80">
        <v>42814.625208333331</v>
      </c>
      <c r="D200" t="s">
        <v>758</v>
      </c>
      <c r="E200" t="s">
        <v>615</v>
      </c>
      <c r="F200">
        <v>100348</v>
      </c>
      <c r="G200">
        <v>158.29</v>
      </c>
      <c r="H200">
        <v>0</v>
      </c>
      <c r="I200" t="s">
        <v>1079</v>
      </c>
    </row>
    <row r="201" spans="1:9" hidden="1" x14ac:dyDescent="0.25">
      <c r="A201" t="s">
        <v>501</v>
      </c>
      <c r="B201">
        <v>377996</v>
      </c>
      <c r="C201" s="80">
        <v>42800.621296296296</v>
      </c>
      <c r="D201" t="s">
        <v>759</v>
      </c>
      <c r="F201">
        <v>0</v>
      </c>
      <c r="G201">
        <v>0</v>
      </c>
      <c r="H201">
        <v>500</v>
      </c>
      <c r="I201" t="s">
        <v>1077</v>
      </c>
    </row>
    <row r="202" spans="1:9" hidden="1" x14ac:dyDescent="0.25">
      <c r="A202" t="s">
        <v>501</v>
      </c>
      <c r="B202">
        <v>377996</v>
      </c>
      <c r="C202" s="80">
        <v>42800.621296296296</v>
      </c>
      <c r="D202" t="s">
        <v>760</v>
      </c>
      <c r="E202" t="s">
        <v>613</v>
      </c>
      <c r="F202">
        <v>114767</v>
      </c>
      <c r="G202">
        <v>36</v>
      </c>
      <c r="H202">
        <v>0</v>
      </c>
      <c r="I202" t="s">
        <v>1078</v>
      </c>
    </row>
    <row r="203" spans="1:9" hidden="1" x14ac:dyDescent="0.25">
      <c r="A203" t="s">
        <v>501</v>
      </c>
      <c r="B203">
        <v>378006</v>
      </c>
      <c r="C203" s="80">
        <v>42800.623819444445</v>
      </c>
      <c r="D203" t="s">
        <v>761</v>
      </c>
      <c r="E203" t="s">
        <v>615</v>
      </c>
      <c r="F203">
        <v>99117</v>
      </c>
      <c r="G203">
        <v>464</v>
      </c>
      <c r="H203">
        <v>0</v>
      </c>
      <c r="I203" t="s">
        <v>1079</v>
      </c>
    </row>
    <row r="204" spans="1:9" x14ac:dyDescent="0.25">
      <c r="A204" t="s">
        <v>501</v>
      </c>
      <c r="B204">
        <v>383418</v>
      </c>
      <c r="C204" s="80">
        <v>42821.512164351851</v>
      </c>
      <c r="D204" t="s">
        <v>762</v>
      </c>
      <c r="E204" t="s">
        <v>608</v>
      </c>
      <c r="F204">
        <v>25</v>
      </c>
      <c r="G204">
        <v>40</v>
      </c>
      <c r="H204">
        <v>0</v>
      </c>
      <c r="I204" t="s">
        <v>1076</v>
      </c>
    </row>
    <row r="205" spans="1:9" x14ac:dyDescent="0.25">
      <c r="A205" t="s">
        <v>502</v>
      </c>
      <c r="B205">
        <v>376359</v>
      </c>
      <c r="C205" s="80">
        <v>42795.541921296295</v>
      </c>
      <c r="D205" t="s">
        <v>763</v>
      </c>
      <c r="E205" t="s">
        <v>608</v>
      </c>
      <c r="F205" t="s">
        <v>764</v>
      </c>
      <c r="G205">
        <v>50</v>
      </c>
      <c r="H205">
        <v>0</v>
      </c>
      <c r="I205" t="s">
        <v>1076</v>
      </c>
    </row>
    <row r="206" spans="1:9" hidden="1" x14ac:dyDescent="0.25">
      <c r="A206" t="s">
        <v>502</v>
      </c>
      <c r="B206">
        <v>380925</v>
      </c>
      <c r="C206" s="80">
        <v>42808.681458333333</v>
      </c>
      <c r="D206" t="s">
        <v>765</v>
      </c>
      <c r="F206">
        <v>0</v>
      </c>
      <c r="G206">
        <v>0</v>
      </c>
      <c r="H206">
        <v>461.52</v>
      </c>
      <c r="I206" t="s">
        <v>1077</v>
      </c>
    </row>
    <row r="207" spans="1:9" hidden="1" x14ac:dyDescent="0.25">
      <c r="A207" t="s">
        <v>502</v>
      </c>
      <c r="B207">
        <v>380925</v>
      </c>
      <c r="C207" s="80">
        <v>42808.681458333333</v>
      </c>
      <c r="D207" t="s">
        <v>766</v>
      </c>
      <c r="E207" t="s">
        <v>613</v>
      </c>
      <c r="F207">
        <v>115598</v>
      </c>
      <c r="G207">
        <v>33.229999999999997</v>
      </c>
      <c r="H207">
        <v>0</v>
      </c>
      <c r="I207" t="s">
        <v>1078</v>
      </c>
    </row>
    <row r="208" spans="1:9" hidden="1" x14ac:dyDescent="0.25">
      <c r="A208" t="s">
        <v>502</v>
      </c>
      <c r="B208">
        <v>380982</v>
      </c>
      <c r="C208" s="80">
        <v>42808.685150462959</v>
      </c>
      <c r="D208" t="s">
        <v>767</v>
      </c>
      <c r="E208" t="s">
        <v>615</v>
      </c>
      <c r="F208">
        <v>100038</v>
      </c>
      <c r="G208">
        <v>378.29</v>
      </c>
      <c r="H208">
        <v>0</v>
      </c>
      <c r="I208" t="s">
        <v>1079</v>
      </c>
    </row>
    <row r="209" spans="1:9" hidden="1" x14ac:dyDescent="0.25">
      <c r="A209" t="s">
        <v>503</v>
      </c>
      <c r="B209">
        <v>380916</v>
      </c>
      <c r="C209" s="80">
        <v>42808.681458333333</v>
      </c>
      <c r="D209" t="s">
        <v>768</v>
      </c>
      <c r="F209">
        <v>0</v>
      </c>
      <c r="G209">
        <v>0</v>
      </c>
      <c r="H209">
        <v>650</v>
      </c>
      <c r="I209" t="s">
        <v>1077</v>
      </c>
    </row>
    <row r="210" spans="1:9" hidden="1" x14ac:dyDescent="0.25">
      <c r="A210" t="s">
        <v>503</v>
      </c>
      <c r="B210">
        <v>380916</v>
      </c>
      <c r="C210" s="80">
        <v>42808.681458333333</v>
      </c>
      <c r="D210" t="s">
        <v>769</v>
      </c>
      <c r="E210" t="s">
        <v>613</v>
      </c>
      <c r="F210">
        <v>115589</v>
      </c>
      <c r="G210">
        <v>46.8</v>
      </c>
      <c r="H210">
        <v>0</v>
      </c>
      <c r="I210" t="s">
        <v>1078</v>
      </c>
    </row>
    <row r="211" spans="1:9" hidden="1" x14ac:dyDescent="0.25">
      <c r="A211" t="s">
        <v>503</v>
      </c>
      <c r="B211">
        <v>380982</v>
      </c>
      <c r="C211" s="80">
        <v>42808.685150462959</v>
      </c>
      <c r="D211" t="s">
        <v>770</v>
      </c>
      <c r="E211" t="s">
        <v>615</v>
      </c>
      <c r="F211">
        <v>100029</v>
      </c>
      <c r="G211">
        <v>603.20000000000005</v>
      </c>
      <c r="H211">
        <v>0</v>
      </c>
      <c r="I211" t="s">
        <v>1079</v>
      </c>
    </row>
    <row r="212" spans="1:9" x14ac:dyDescent="0.25">
      <c r="A212" t="s">
        <v>503</v>
      </c>
      <c r="B212">
        <v>384379</v>
      </c>
      <c r="C212" s="80">
        <v>42823.531238425923</v>
      </c>
      <c r="D212" t="s">
        <v>771</v>
      </c>
      <c r="E212" t="s">
        <v>608</v>
      </c>
      <c r="F212" t="s">
        <v>772</v>
      </c>
      <c r="G212">
        <v>60</v>
      </c>
      <c r="H212">
        <v>0</v>
      </c>
      <c r="I212" t="s">
        <v>1076</v>
      </c>
    </row>
    <row r="213" spans="1:9" hidden="1" x14ac:dyDescent="0.25">
      <c r="A213" t="s">
        <v>504</v>
      </c>
      <c r="B213">
        <v>380935</v>
      </c>
      <c r="C213" s="80">
        <v>42808.681458333333</v>
      </c>
      <c r="D213" t="s">
        <v>773</v>
      </c>
      <c r="F213">
        <v>0</v>
      </c>
      <c r="G213">
        <v>0</v>
      </c>
      <c r="H213">
        <v>192.87</v>
      </c>
      <c r="I213" t="s">
        <v>1077</v>
      </c>
    </row>
    <row r="214" spans="1:9" hidden="1" x14ac:dyDescent="0.25">
      <c r="A214" t="s">
        <v>504</v>
      </c>
      <c r="B214">
        <v>380935</v>
      </c>
      <c r="C214" s="80">
        <v>42808.681458333333</v>
      </c>
      <c r="D214" t="s">
        <v>774</v>
      </c>
      <c r="E214" t="s">
        <v>613</v>
      </c>
      <c r="F214">
        <v>115608</v>
      </c>
      <c r="G214">
        <v>13.88</v>
      </c>
      <c r="H214">
        <v>0</v>
      </c>
      <c r="I214" t="s">
        <v>1078</v>
      </c>
    </row>
    <row r="215" spans="1:9" hidden="1" x14ac:dyDescent="0.25">
      <c r="A215" t="s">
        <v>504</v>
      </c>
      <c r="B215">
        <v>380982</v>
      </c>
      <c r="C215" s="80">
        <v>42808.685150462959</v>
      </c>
      <c r="D215" t="s">
        <v>775</v>
      </c>
      <c r="E215" t="s">
        <v>615</v>
      </c>
      <c r="F215">
        <v>100048</v>
      </c>
      <c r="G215">
        <v>178.99</v>
      </c>
      <c r="H215">
        <v>0</v>
      </c>
      <c r="I215" t="s">
        <v>1079</v>
      </c>
    </row>
    <row r="216" spans="1:9" hidden="1" x14ac:dyDescent="0.25">
      <c r="A216" t="s">
        <v>504</v>
      </c>
      <c r="B216">
        <v>382410</v>
      </c>
      <c r="C216" s="80">
        <v>42815.629444444443</v>
      </c>
      <c r="D216" t="s">
        <v>776</v>
      </c>
      <c r="F216">
        <v>0</v>
      </c>
      <c r="G216">
        <v>0</v>
      </c>
      <c r="H216">
        <v>268.64999999999998</v>
      </c>
      <c r="I216" t="s">
        <v>1077</v>
      </c>
    </row>
    <row r="217" spans="1:9" hidden="1" x14ac:dyDescent="0.25">
      <c r="A217" t="s">
        <v>504</v>
      </c>
      <c r="B217">
        <v>382410</v>
      </c>
      <c r="C217" s="80">
        <v>42815.629444444443</v>
      </c>
      <c r="D217" t="s">
        <v>774</v>
      </c>
      <c r="E217" t="s">
        <v>613</v>
      </c>
      <c r="F217">
        <v>116144</v>
      </c>
      <c r="G217">
        <v>19.34</v>
      </c>
      <c r="H217">
        <v>0</v>
      </c>
      <c r="I217" t="s">
        <v>1078</v>
      </c>
    </row>
    <row r="218" spans="1:9" hidden="1" x14ac:dyDescent="0.25">
      <c r="A218" t="s">
        <v>504</v>
      </c>
      <c r="B218">
        <v>382419</v>
      </c>
      <c r="C218" s="80">
        <v>42815.632418981484</v>
      </c>
      <c r="D218" t="s">
        <v>775</v>
      </c>
      <c r="E218" t="s">
        <v>615</v>
      </c>
      <c r="F218">
        <v>100476</v>
      </c>
      <c r="G218">
        <v>249.31</v>
      </c>
      <c r="H218">
        <v>0</v>
      </c>
      <c r="I218" t="s">
        <v>1079</v>
      </c>
    </row>
    <row r="219" spans="1:9" hidden="1" x14ac:dyDescent="0.25">
      <c r="A219" t="s">
        <v>505</v>
      </c>
      <c r="B219">
        <v>380946</v>
      </c>
      <c r="C219" s="80">
        <v>42808.681458333333</v>
      </c>
      <c r="D219" t="s">
        <v>777</v>
      </c>
      <c r="F219">
        <v>0</v>
      </c>
      <c r="G219">
        <v>0</v>
      </c>
      <c r="H219">
        <v>34.880000000000003</v>
      </c>
      <c r="I219" t="s">
        <v>1077</v>
      </c>
    </row>
    <row r="220" spans="1:9" hidden="1" x14ac:dyDescent="0.25">
      <c r="A220" t="s">
        <v>505</v>
      </c>
      <c r="B220">
        <v>380946</v>
      </c>
      <c r="C220" s="80">
        <v>42808.681458333333</v>
      </c>
      <c r="D220" t="s">
        <v>778</v>
      </c>
      <c r="E220" t="s">
        <v>613</v>
      </c>
      <c r="F220">
        <v>115619</v>
      </c>
      <c r="G220">
        <v>2.5099999999999998</v>
      </c>
      <c r="H220">
        <v>0</v>
      </c>
      <c r="I220" t="s">
        <v>1078</v>
      </c>
    </row>
    <row r="221" spans="1:9" hidden="1" x14ac:dyDescent="0.25">
      <c r="A221" t="s">
        <v>505</v>
      </c>
      <c r="B221">
        <v>380946</v>
      </c>
      <c r="C221" s="80">
        <v>42808.681458333333</v>
      </c>
      <c r="D221" t="s">
        <v>779</v>
      </c>
      <c r="F221">
        <v>0</v>
      </c>
      <c r="G221">
        <v>0</v>
      </c>
      <c r="H221">
        <v>426.64</v>
      </c>
      <c r="I221" t="s">
        <v>1077</v>
      </c>
    </row>
    <row r="222" spans="1:9" hidden="1" x14ac:dyDescent="0.25">
      <c r="A222" t="s">
        <v>505</v>
      </c>
      <c r="B222">
        <v>380946</v>
      </c>
      <c r="C222" s="80">
        <v>42808.681458333333</v>
      </c>
      <c r="D222" t="s">
        <v>778</v>
      </c>
      <c r="E222" t="s">
        <v>613</v>
      </c>
      <c r="F222">
        <v>115619</v>
      </c>
      <c r="G222">
        <v>30.72</v>
      </c>
      <c r="H222">
        <v>0</v>
      </c>
      <c r="I222" t="s">
        <v>1078</v>
      </c>
    </row>
    <row r="223" spans="1:9" hidden="1" x14ac:dyDescent="0.25">
      <c r="A223" t="s">
        <v>505</v>
      </c>
      <c r="B223">
        <v>380982</v>
      </c>
      <c r="C223" s="80">
        <v>42808.685150462959</v>
      </c>
      <c r="D223" t="s">
        <v>780</v>
      </c>
      <c r="E223" t="s">
        <v>615</v>
      </c>
      <c r="F223">
        <v>100059</v>
      </c>
      <c r="G223">
        <v>428.29</v>
      </c>
      <c r="H223">
        <v>0</v>
      </c>
      <c r="I223" t="s">
        <v>1079</v>
      </c>
    </row>
    <row r="224" spans="1:9" hidden="1" x14ac:dyDescent="0.25">
      <c r="A224" t="s">
        <v>506</v>
      </c>
      <c r="B224">
        <v>380949</v>
      </c>
      <c r="C224" s="80">
        <v>42808.681458333333</v>
      </c>
      <c r="D224" t="s">
        <v>781</v>
      </c>
      <c r="F224">
        <v>0</v>
      </c>
      <c r="G224">
        <v>0</v>
      </c>
      <c r="H224">
        <v>192.88</v>
      </c>
      <c r="I224" t="s">
        <v>1077</v>
      </c>
    </row>
    <row r="225" spans="1:9" hidden="1" x14ac:dyDescent="0.25">
      <c r="A225" t="s">
        <v>506</v>
      </c>
      <c r="B225">
        <v>380949</v>
      </c>
      <c r="C225" s="80">
        <v>42808.681458333333</v>
      </c>
      <c r="D225" t="s">
        <v>782</v>
      </c>
      <c r="E225" t="s">
        <v>613</v>
      </c>
      <c r="F225">
        <v>115622</v>
      </c>
      <c r="G225">
        <v>13.88</v>
      </c>
      <c r="H225">
        <v>0</v>
      </c>
      <c r="I225" t="s">
        <v>1078</v>
      </c>
    </row>
    <row r="226" spans="1:9" hidden="1" x14ac:dyDescent="0.25">
      <c r="A226" t="s">
        <v>506</v>
      </c>
      <c r="B226">
        <v>380949</v>
      </c>
      <c r="C226" s="80">
        <v>42808.681458333333</v>
      </c>
      <c r="D226" t="s">
        <v>783</v>
      </c>
      <c r="F226">
        <v>0</v>
      </c>
      <c r="G226">
        <v>0</v>
      </c>
      <c r="H226">
        <v>268.64</v>
      </c>
      <c r="I226" t="s">
        <v>1077</v>
      </c>
    </row>
    <row r="227" spans="1:9" hidden="1" x14ac:dyDescent="0.25">
      <c r="A227" t="s">
        <v>506</v>
      </c>
      <c r="B227">
        <v>380949</v>
      </c>
      <c r="C227" s="80">
        <v>42808.681458333333</v>
      </c>
      <c r="D227" t="s">
        <v>782</v>
      </c>
      <c r="E227" t="s">
        <v>613</v>
      </c>
      <c r="F227">
        <v>115622</v>
      </c>
      <c r="G227">
        <v>19.34</v>
      </c>
      <c r="H227">
        <v>0</v>
      </c>
      <c r="I227" t="s">
        <v>1078</v>
      </c>
    </row>
    <row r="228" spans="1:9" hidden="1" x14ac:dyDescent="0.25">
      <c r="A228" t="s">
        <v>506</v>
      </c>
      <c r="B228">
        <v>380982</v>
      </c>
      <c r="C228" s="80">
        <v>42808.685150462959</v>
      </c>
      <c r="D228" t="s">
        <v>784</v>
      </c>
      <c r="E228" t="s">
        <v>615</v>
      </c>
      <c r="F228">
        <v>100062</v>
      </c>
      <c r="G228">
        <v>428.3</v>
      </c>
      <c r="H228">
        <v>0</v>
      </c>
      <c r="I228" t="s">
        <v>1079</v>
      </c>
    </row>
    <row r="229" spans="1:9" hidden="1" x14ac:dyDescent="0.25">
      <c r="A229" t="s">
        <v>507</v>
      </c>
      <c r="B229">
        <v>380922</v>
      </c>
      <c r="C229" s="80">
        <v>42808.681458333333</v>
      </c>
      <c r="D229" t="s">
        <v>785</v>
      </c>
      <c r="F229">
        <v>0</v>
      </c>
      <c r="G229">
        <v>0</v>
      </c>
      <c r="H229">
        <v>192.88</v>
      </c>
      <c r="I229" t="s">
        <v>1077</v>
      </c>
    </row>
    <row r="230" spans="1:9" hidden="1" x14ac:dyDescent="0.25">
      <c r="A230" t="s">
        <v>507</v>
      </c>
      <c r="B230">
        <v>380922</v>
      </c>
      <c r="C230" s="80">
        <v>42808.681458333333</v>
      </c>
      <c r="D230" t="s">
        <v>786</v>
      </c>
      <c r="E230" t="s">
        <v>613</v>
      </c>
      <c r="F230">
        <v>115595</v>
      </c>
      <c r="G230">
        <v>13.88</v>
      </c>
      <c r="H230">
        <v>0</v>
      </c>
      <c r="I230" t="s">
        <v>1078</v>
      </c>
    </row>
    <row r="231" spans="1:9" hidden="1" x14ac:dyDescent="0.25">
      <c r="A231" t="s">
        <v>507</v>
      </c>
      <c r="B231">
        <v>380982</v>
      </c>
      <c r="C231" s="80">
        <v>42808.685150462959</v>
      </c>
      <c r="D231" t="s">
        <v>787</v>
      </c>
      <c r="E231" t="s">
        <v>615</v>
      </c>
      <c r="F231">
        <v>100035</v>
      </c>
      <c r="G231">
        <v>179</v>
      </c>
      <c r="H231">
        <v>0</v>
      </c>
      <c r="I231" t="s">
        <v>1079</v>
      </c>
    </row>
    <row r="232" spans="1:9" x14ac:dyDescent="0.25">
      <c r="A232" t="s">
        <v>508</v>
      </c>
      <c r="B232">
        <v>376360</v>
      </c>
      <c r="C232" s="80">
        <v>42795.542557870373</v>
      </c>
      <c r="D232" t="s">
        <v>788</v>
      </c>
      <c r="E232" t="s">
        <v>608</v>
      </c>
      <c r="F232" t="s">
        <v>789</v>
      </c>
      <c r="G232">
        <v>50</v>
      </c>
      <c r="H232">
        <v>0</v>
      </c>
      <c r="I232" t="s">
        <v>1076</v>
      </c>
    </row>
    <row r="233" spans="1:9" hidden="1" x14ac:dyDescent="0.25">
      <c r="A233" t="s">
        <v>508</v>
      </c>
      <c r="B233">
        <v>381979</v>
      </c>
      <c r="C233" s="80">
        <v>42814.623495370368</v>
      </c>
      <c r="D233" t="s">
        <v>790</v>
      </c>
      <c r="F233">
        <v>0</v>
      </c>
      <c r="G233">
        <v>0</v>
      </c>
      <c r="H233">
        <v>349.48</v>
      </c>
      <c r="I233" t="s">
        <v>1077</v>
      </c>
    </row>
    <row r="234" spans="1:9" hidden="1" x14ac:dyDescent="0.25">
      <c r="A234" t="s">
        <v>508</v>
      </c>
      <c r="B234">
        <v>381979</v>
      </c>
      <c r="C234" s="80">
        <v>42814.623495370368</v>
      </c>
      <c r="D234" t="s">
        <v>791</v>
      </c>
      <c r="E234" t="s">
        <v>613</v>
      </c>
      <c r="F234">
        <v>116002</v>
      </c>
      <c r="G234">
        <v>25.16</v>
      </c>
      <c r="H234">
        <v>0</v>
      </c>
      <c r="I234" t="s">
        <v>1078</v>
      </c>
    </row>
    <row r="235" spans="1:9" hidden="1" x14ac:dyDescent="0.25">
      <c r="A235" t="s">
        <v>508</v>
      </c>
      <c r="B235">
        <v>381979</v>
      </c>
      <c r="C235" s="80">
        <v>42814.623495370368</v>
      </c>
      <c r="D235" t="s">
        <v>792</v>
      </c>
      <c r="F235">
        <v>0</v>
      </c>
      <c r="G235">
        <v>0</v>
      </c>
      <c r="H235">
        <v>116.64</v>
      </c>
      <c r="I235" t="s">
        <v>1077</v>
      </c>
    </row>
    <row r="236" spans="1:9" hidden="1" x14ac:dyDescent="0.25">
      <c r="A236" t="s">
        <v>508</v>
      </c>
      <c r="B236">
        <v>381979</v>
      </c>
      <c r="C236" s="80">
        <v>42814.623495370368</v>
      </c>
      <c r="D236" t="s">
        <v>791</v>
      </c>
      <c r="E236" t="s">
        <v>613</v>
      </c>
      <c r="F236">
        <v>116002</v>
      </c>
      <c r="G236">
        <v>8.4</v>
      </c>
      <c r="H236">
        <v>0</v>
      </c>
      <c r="I236" t="s">
        <v>1078</v>
      </c>
    </row>
    <row r="237" spans="1:9" hidden="1" x14ac:dyDescent="0.25">
      <c r="A237" t="s">
        <v>508</v>
      </c>
      <c r="B237">
        <v>381985</v>
      </c>
      <c r="C237" s="80">
        <v>42814.625208333331</v>
      </c>
      <c r="D237" t="s">
        <v>793</v>
      </c>
      <c r="E237" t="s">
        <v>615</v>
      </c>
      <c r="F237">
        <v>100349</v>
      </c>
      <c r="G237">
        <v>273.36</v>
      </c>
      <c r="H237">
        <v>0</v>
      </c>
      <c r="I237" t="s">
        <v>1079</v>
      </c>
    </row>
    <row r="238" spans="1:9" hidden="1" x14ac:dyDescent="0.25">
      <c r="A238" t="s">
        <v>509</v>
      </c>
      <c r="B238">
        <v>380923</v>
      </c>
      <c r="C238" s="80">
        <v>42808.681458333333</v>
      </c>
      <c r="D238" t="s">
        <v>794</v>
      </c>
      <c r="F238">
        <v>0</v>
      </c>
      <c r="G238">
        <v>0</v>
      </c>
      <c r="H238">
        <v>268.64</v>
      </c>
      <c r="I238" t="s">
        <v>1077</v>
      </c>
    </row>
    <row r="239" spans="1:9" hidden="1" x14ac:dyDescent="0.25">
      <c r="A239" t="s">
        <v>509</v>
      </c>
      <c r="B239">
        <v>380923</v>
      </c>
      <c r="C239" s="80">
        <v>42808.681458333333</v>
      </c>
      <c r="D239" t="s">
        <v>795</v>
      </c>
      <c r="E239" t="s">
        <v>613</v>
      </c>
      <c r="F239">
        <v>115596</v>
      </c>
      <c r="G239">
        <v>19.34</v>
      </c>
      <c r="H239">
        <v>0</v>
      </c>
      <c r="I239" t="s">
        <v>1078</v>
      </c>
    </row>
    <row r="240" spans="1:9" hidden="1" x14ac:dyDescent="0.25">
      <c r="A240" t="s">
        <v>509</v>
      </c>
      <c r="B240">
        <v>380923</v>
      </c>
      <c r="C240" s="80">
        <v>42808.681458333333</v>
      </c>
      <c r="D240" t="s">
        <v>796</v>
      </c>
      <c r="F240">
        <v>0</v>
      </c>
      <c r="G240">
        <v>0</v>
      </c>
      <c r="H240">
        <v>192.88</v>
      </c>
      <c r="I240" t="s">
        <v>1077</v>
      </c>
    </row>
    <row r="241" spans="1:9" hidden="1" x14ac:dyDescent="0.25">
      <c r="A241" t="s">
        <v>509</v>
      </c>
      <c r="B241">
        <v>380923</v>
      </c>
      <c r="C241" s="80">
        <v>42808.681458333333</v>
      </c>
      <c r="D241" t="s">
        <v>795</v>
      </c>
      <c r="E241" t="s">
        <v>613</v>
      </c>
      <c r="F241">
        <v>115596</v>
      </c>
      <c r="G241">
        <v>13.88</v>
      </c>
      <c r="H241">
        <v>0</v>
      </c>
      <c r="I241" t="s">
        <v>1078</v>
      </c>
    </row>
    <row r="242" spans="1:9" hidden="1" x14ac:dyDescent="0.25">
      <c r="A242" t="s">
        <v>509</v>
      </c>
      <c r="B242">
        <v>380982</v>
      </c>
      <c r="C242" s="80">
        <v>42808.685150462959</v>
      </c>
      <c r="D242" t="s">
        <v>797</v>
      </c>
      <c r="E242" t="s">
        <v>615</v>
      </c>
      <c r="F242">
        <v>100036</v>
      </c>
      <c r="G242">
        <v>428.3</v>
      </c>
      <c r="H242">
        <v>0</v>
      </c>
      <c r="I242" t="s">
        <v>1079</v>
      </c>
    </row>
    <row r="243" spans="1:9" x14ac:dyDescent="0.25">
      <c r="A243" t="s">
        <v>509</v>
      </c>
      <c r="B243">
        <v>384380</v>
      </c>
      <c r="C243" s="80">
        <v>42823.532349537039</v>
      </c>
      <c r="D243" t="s">
        <v>798</v>
      </c>
      <c r="E243" t="s">
        <v>608</v>
      </c>
      <c r="F243" t="s">
        <v>799</v>
      </c>
      <c r="G243">
        <v>60</v>
      </c>
      <c r="H243">
        <v>0</v>
      </c>
      <c r="I243" t="s">
        <v>1076</v>
      </c>
    </row>
    <row r="244" spans="1:9" x14ac:dyDescent="0.25">
      <c r="A244" t="s">
        <v>510</v>
      </c>
      <c r="B244">
        <v>376361</v>
      </c>
      <c r="C244" s="80">
        <v>42795.54315972222</v>
      </c>
      <c r="D244" t="s">
        <v>800</v>
      </c>
      <c r="E244" t="s">
        <v>608</v>
      </c>
      <c r="F244" t="s">
        <v>801</v>
      </c>
      <c r="G244">
        <v>50</v>
      </c>
      <c r="H244">
        <v>0</v>
      </c>
      <c r="I244" t="s">
        <v>1076</v>
      </c>
    </row>
    <row r="245" spans="1:9" hidden="1" x14ac:dyDescent="0.25">
      <c r="A245" t="s">
        <v>510</v>
      </c>
      <c r="B245">
        <v>381228</v>
      </c>
      <c r="C245" s="80">
        <v>42809.575856481482</v>
      </c>
      <c r="D245" t="s">
        <v>802</v>
      </c>
      <c r="F245">
        <v>0</v>
      </c>
      <c r="G245">
        <v>0</v>
      </c>
      <c r="H245">
        <v>102.4</v>
      </c>
      <c r="I245" t="s">
        <v>1077</v>
      </c>
    </row>
    <row r="246" spans="1:9" hidden="1" x14ac:dyDescent="0.25">
      <c r="A246" t="s">
        <v>510</v>
      </c>
      <c r="B246">
        <v>381228</v>
      </c>
      <c r="C246" s="80">
        <v>42809.575856481482</v>
      </c>
      <c r="D246" t="s">
        <v>803</v>
      </c>
      <c r="E246" t="s">
        <v>613</v>
      </c>
      <c r="F246">
        <v>115731</v>
      </c>
      <c r="G246">
        <v>7.37</v>
      </c>
      <c r="H246">
        <v>0</v>
      </c>
      <c r="I246" t="s">
        <v>1078</v>
      </c>
    </row>
    <row r="247" spans="1:9" hidden="1" x14ac:dyDescent="0.25">
      <c r="A247" t="s">
        <v>510</v>
      </c>
      <c r="B247">
        <v>381236</v>
      </c>
      <c r="C247" s="80">
        <v>42809.579386574071</v>
      </c>
      <c r="D247" t="s">
        <v>804</v>
      </c>
      <c r="E247" t="s">
        <v>615</v>
      </c>
      <c r="F247">
        <v>100155</v>
      </c>
      <c r="G247">
        <v>45.03</v>
      </c>
      <c r="H247">
        <v>0</v>
      </c>
      <c r="I247" t="s">
        <v>1079</v>
      </c>
    </row>
    <row r="248" spans="1:9" hidden="1" x14ac:dyDescent="0.25">
      <c r="C248" s="80"/>
    </row>
    <row r="249" spans="1:9" hidden="1" x14ac:dyDescent="0.25">
      <c r="C249" s="80"/>
    </row>
    <row r="250" spans="1:9" hidden="1" x14ac:dyDescent="0.25">
      <c r="C250" s="80"/>
    </row>
    <row r="251" spans="1:9" hidden="1" x14ac:dyDescent="0.25">
      <c r="C251" s="80"/>
    </row>
    <row r="252" spans="1:9" hidden="1" x14ac:dyDescent="0.25">
      <c r="C252" s="80"/>
    </row>
    <row r="253" spans="1:9" hidden="1" x14ac:dyDescent="0.25">
      <c r="C253" s="80"/>
    </row>
    <row r="254" spans="1:9" hidden="1" x14ac:dyDescent="0.25">
      <c r="C254" s="80"/>
    </row>
    <row r="255" spans="1:9" hidden="1" x14ac:dyDescent="0.25">
      <c r="C255" s="80"/>
    </row>
    <row r="256" spans="1:9" hidden="1" x14ac:dyDescent="0.25">
      <c r="C256" s="80"/>
    </row>
    <row r="257" spans="3:3" hidden="1" x14ac:dyDescent="0.25">
      <c r="C257" s="80"/>
    </row>
    <row r="258" spans="3:3" hidden="1" x14ac:dyDescent="0.25">
      <c r="C258" s="80"/>
    </row>
    <row r="259" spans="3:3" hidden="1" x14ac:dyDescent="0.25">
      <c r="C259" s="80"/>
    </row>
    <row r="260" spans="3:3" hidden="1" x14ac:dyDescent="0.25">
      <c r="C260" s="80"/>
    </row>
    <row r="261" spans="3:3" hidden="1" x14ac:dyDescent="0.25">
      <c r="C261" s="80"/>
    </row>
    <row r="262" spans="3:3" hidden="1" x14ac:dyDescent="0.25">
      <c r="C262" s="80"/>
    </row>
    <row r="263" spans="3:3" hidden="1" x14ac:dyDescent="0.25">
      <c r="C263" s="80"/>
    </row>
    <row r="264" spans="3:3" hidden="1" x14ac:dyDescent="0.25">
      <c r="C264" s="80"/>
    </row>
    <row r="265" spans="3:3" hidden="1" x14ac:dyDescent="0.25">
      <c r="C265" s="80"/>
    </row>
    <row r="266" spans="3:3" hidden="1" x14ac:dyDescent="0.25">
      <c r="C266" s="80"/>
    </row>
    <row r="267" spans="3:3" hidden="1" x14ac:dyDescent="0.25">
      <c r="C267" s="80"/>
    </row>
    <row r="268" spans="3:3" hidden="1" x14ac:dyDescent="0.25">
      <c r="C268" s="80"/>
    </row>
    <row r="269" spans="3:3" hidden="1" x14ac:dyDescent="0.25">
      <c r="C269" s="80"/>
    </row>
    <row r="270" spans="3:3" hidden="1" x14ac:dyDescent="0.25">
      <c r="C270" s="80"/>
    </row>
    <row r="271" spans="3:3" hidden="1" x14ac:dyDescent="0.25">
      <c r="C271" s="80"/>
    </row>
    <row r="272" spans="3:3" hidden="1" x14ac:dyDescent="0.25">
      <c r="C272" s="80"/>
    </row>
    <row r="273" spans="3:3" hidden="1" x14ac:dyDescent="0.25">
      <c r="C273" s="80"/>
    </row>
    <row r="274" spans="3:3" hidden="1" x14ac:dyDescent="0.25">
      <c r="C274" s="80"/>
    </row>
    <row r="275" spans="3:3" hidden="1" x14ac:dyDescent="0.25">
      <c r="C275" s="80"/>
    </row>
    <row r="276" spans="3:3" hidden="1" x14ac:dyDescent="0.25">
      <c r="C276" s="80"/>
    </row>
    <row r="277" spans="3:3" hidden="1" x14ac:dyDescent="0.25">
      <c r="C277" s="80"/>
    </row>
    <row r="278" spans="3:3" hidden="1" x14ac:dyDescent="0.25">
      <c r="C278" s="80"/>
    </row>
    <row r="279" spans="3:3" hidden="1" x14ac:dyDescent="0.25">
      <c r="C279" s="80"/>
    </row>
    <row r="280" spans="3:3" hidden="1" x14ac:dyDescent="0.25">
      <c r="C280" s="80"/>
    </row>
    <row r="281" spans="3:3" hidden="1" x14ac:dyDescent="0.25">
      <c r="C281" s="80"/>
    </row>
    <row r="282" spans="3:3" hidden="1" x14ac:dyDescent="0.25">
      <c r="C282" s="80"/>
    </row>
    <row r="283" spans="3:3" hidden="1" x14ac:dyDescent="0.25">
      <c r="C283" s="80"/>
    </row>
    <row r="284" spans="3:3" hidden="1" x14ac:dyDescent="0.25">
      <c r="C284" s="80"/>
    </row>
    <row r="285" spans="3:3" hidden="1" x14ac:dyDescent="0.25">
      <c r="C285" s="80"/>
    </row>
    <row r="286" spans="3:3" hidden="1" x14ac:dyDescent="0.25">
      <c r="C286" s="80"/>
    </row>
    <row r="287" spans="3:3" hidden="1" x14ac:dyDescent="0.25">
      <c r="C287" s="80"/>
    </row>
    <row r="288" spans="3:3" hidden="1" x14ac:dyDescent="0.25">
      <c r="C288" s="80"/>
    </row>
    <row r="289" spans="3:3" hidden="1" x14ac:dyDescent="0.25">
      <c r="C289" s="80"/>
    </row>
    <row r="290" spans="3:3" hidden="1" x14ac:dyDescent="0.25">
      <c r="C290" s="80"/>
    </row>
    <row r="291" spans="3:3" hidden="1" x14ac:dyDescent="0.25">
      <c r="C291" s="80"/>
    </row>
  </sheetData>
  <autoFilter ref="A1:H291" xr:uid="{00000000-0009-0000-0000-000007000000}">
    <filterColumn colId="4">
      <filters>
        <filter val="Supplie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G80"/>
  <sheetViews>
    <sheetView zoomScale="70" workbookViewId="0">
      <selection activeCell="E46" sqref="E46"/>
    </sheetView>
  </sheetViews>
  <sheetFormatPr defaultRowHeight="13.2" x14ac:dyDescent="0.25"/>
  <cols>
    <col min="1" max="1" width="11" bestFit="1" customWidth="1"/>
    <col min="2" max="2" width="39.33203125" bestFit="1" customWidth="1"/>
    <col min="3" max="3" width="24.33203125" bestFit="1" customWidth="1"/>
    <col min="4" max="4" width="24.33203125" customWidth="1"/>
    <col min="5" max="5" width="17" customWidth="1"/>
  </cols>
  <sheetData>
    <row r="1" spans="1:7" x14ac:dyDescent="0.25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511</v>
      </c>
      <c r="F1" s="1"/>
      <c r="G1" s="1"/>
    </row>
    <row r="2" spans="1:7" x14ac:dyDescent="0.25">
      <c r="A2" s="68">
        <v>2</v>
      </c>
      <c r="B2" s="69" t="s">
        <v>135</v>
      </c>
      <c r="C2" s="69" t="s">
        <v>95</v>
      </c>
      <c r="D2" s="69"/>
      <c r="G2" s="22"/>
    </row>
    <row r="3" spans="1:7" x14ac:dyDescent="0.25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5">
      <c r="A4" s="68">
        <v>14</v>
      </c>
      <c r="B4" s="69" t="s">
        <v>54</v>
      </c>
      <c r="C4" s="69" t="s">
        <v>95</v>
      </c>
      <c r="D4" s="68">
        <v>143.4</v>
      </c>
      <c r="E4" t="s">
        <v>470</v>
      </c>
    </row>
    <row r="5" spans="1:7" x14ac:dyDescent="0.25">
      <c r="A5" s="68">
        <v>3</v>
      </c>
      <c r="B5" s="69" t="s">
        <v>55</v>
      </c>
      <c r="C5" s="69" t="s">
        <v>95</v>
      </c>
      <c r="D5" s="68">
        <v>93.49</v>
      </c>
      <c r="E5" t="s">
        <v>471</v>
      </c>
    </row>
    <row r="6" spans="1:7" x14ac:dyDescent="0.25">
      <c r="A6" s="68">
        <v>4</v>
      </c>
      <c r="B6" s="69" t="s">
        <v>56</v>
      </c>
      <c r="C6" s="69" t="s">
        <v>95</v>
      </c>
      <c r="D6" s="68">
        <v>141.66</v>
      </c>
      <c r="E6" t="s">
        <v>472</v>
      </c>
    </row>
    <row r="7" spans="1:7" x14ac:dyDescent="0.25">
      <c r="A7" s="68">
        <v>7</v>
      </c>
      <c r="B7" s="69" t="s">
        <v>136</v>
      </c>
      <c r="C7" s="69" t="s">
        <v>95</v>
      </c>
      <c r="D7" s="69"/>
      <c r="E7" s="2"/>
    </row>
    <row r="8" spans="1:7" x14ac:dyDescent="0.25">
      <c r="A8" s="68">
        <v>5</v>
      </c>
      <c r="B8" s="69" t="s">
        <v>57</v>
      </c>
      <c r="C8" s="69" t="s">
        <v>95</v>
      </c>
      <c r="D8" s="68">
        <v>127.6</v>
      </c>
      <c r="E8" t="s">
        <v>473</v>
      </c>
    </row>
    <row r="9" spans="1:7" x14ac:dyDescent="0.25">
      <c r="A9" s="68">
        <v>6</v>
      </c>
      <c r="B9" s="69" t="s">
        <v>58</v>
      </c>
      <c r="C9" s="69" t="s">
        <v>95</v>
      </c>
      <c r="D9" s="68">
        <v>93.99</v>
      </c>
      <c r="E9" t="s">
        <v>474</v>
      </c>
    </row>
    <row r="10" spans="1:7" x14ac:dyDescent="0.25">
      <c r="A10" s="68">
        <v>8</v>
      </c>
      <c r="B10" s="69" t="s">
        <v>59</v>
      </c>
      <c r="C10" s="69" t="s">
        <v>95</v>
      </c>
      <c r="D10" s="68">
        <v>143.94</v>
      </c>
      <c r="E10" t="s">
        <v>512</v>
      </c>
    </row>
    <row r="11" spans="1:7" x14ac:dyDescent="0.25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5">
      <c r="A12" s="68">
        <v>73</v>
      </c>
      <c r="B12" s="69" t="s">
        <v>186</v>
      </c>
      <c r="C12" s="69" t="s">
        <v>95</v>
      </c>
      <c r="D12" s="68">
        <v>189.14</v>
      </c>
      <c r="E12" t="s">
        <v>475</v>
      </c>
    </row>
    <row r="13" spans="1:7" x14ac:dyDescent="0.25">
      <c r="A13" s="68">
        <v>74</v>
      </c>
      <c r="B13" s="69" t="s">
        <v>187</v>
      </c>
      <c r="C13" s="69" t="s">
        <v>95</v>
      </c>
      <c r="D13" s="68">
        <v>167.33</v>
      </c>
      <c r="E13" t="s">
        <v>476</v>
      </c>
    </row>
    <row r="14" spans="1:7" x14ac:dyDescent="0.25">
      <c r="A14" s="68">
        <v>75</v>
      </c>
      <c r="B14" s="69" t="s">
        <v>188</v>
      </c>
      <c r="C14" s="69" t="s">
        <v>95</v>
      </c>
      <c r="D14" s="68">
        <v>203.37</v>
      </c>
      <c r="E14" t="s">
        <v>477</v>
      </c>
    </row>
    <row r="15" spans="1:7" x14ac:dyDescent="0.25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5">
      <c r="A16" s="68">
        <v>9</v>
      </c>
      <c r="B16" s="69" t="s">
        <v>60</v>
      </c>
      <c r="C16" s="69" t="s">
        <v>95</v>
      </c>
      <c r="D16" s="68">
        <v>135.4</v>
      </c>
      <c r="E16" t="s">
        <v>478</v>
      </c>
    </row>
    <row r="17" spans="1:5" x14ac:dyDescent="0.25">
      <c r="A17" s="68">
        <v>10</v>
      </c>
      <c r="B17" s="69" t="s">
        <v>61</v>
      </c>
      <c r="C17" s="69" t="s">
        <v>95</v>
      </c>
      <c r="D17" s="68">
        <v>129.29</v>
      </c>
      <c r="E17" t="s">
        <v>479</v>
      </c>
    </row>
    <row r="18" spans="1:5" x14ac:dyDescent="0.25">
      <c r="A18" s="68">
        <v>11</v>
      </c>
      <c r="B18" s="69" t="s">
        <v>62</v>
      </c>
      <c r="C18" s="69" t="s">
        <v>95</v>
      </c>
      <c r="D18" s="68">
        <v>116</v>
      </c>
      <c r="E18" t="s">
        <v>480</v>
      </c>
    </row>
    <row r="19" spans="1:5" x14ac:dyDescent="0.25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5">
      <c r="A20" s="68">
        <v>17</v>
      </c>
      <c r="B20" s="69" t="s">
        <v>63</v>
      </c>
      <c r="C20" s="69" t="s">
        <v>95</v>
      </c>
      <c r="D20" s="68">
        <v>148.76</v>
      </c>
      <c r="E20" t="s">
        <v>481</v>
      </c>
    </row>
    <row r="21" spans="1:5" x14ac:dyDescent="0.25">
      <c r="A21" s="68">
        <v>44</v>
      </c>
      <c r="B21" s="69" t="s">
        <v>64</v>
      </c>
      <c r="C21" s="69" t="s">
        <v>95</v>
      </c>
      <c r="D21" s="68">
        <v>165.12</v>
      </c>
      <c r="E21" t="s">
        <v>482</v>
      </c>
    </row>
    <row r="22" spans="1:5" x14ac:dyDescent="0.25">
      <c r="A22" s="68">
        <v>16</v>
      </c>
      <c r="B22" s="69" t="s">
        <v>65</v>
      </c>
      <c r="C22" s="69" t="s">
        <v>95</v>
      </c>
      <c r="D22" s="68">
        <v>196.17</v>
      </c>
      <c r="E22" t="s">
        <v>483</v>
      </c>
    </row>
    <row r="23" spans="1:5" x14ac:dyDescent="0.25">
      <c r="A23" s="68">
        <v>18</v>
      </c>
      <c r="B23" s="69" t="s">
        <v>219</v>
      </c>
      <c r="C23" s="69" t="s">
        <v>95</v>
      </c>
      <c r="D23" s="69"/>
    </row>
    <row r="24" spans="1:5" x14ac:dyDescent="0.25">
      <c r="A24" s="68">
        <v>19</v>
      </c>
      <c r="B24" s="69" t="s">
        <v>99</v>
      </c>
      <c r="C24" s="69" t="s">
        <v>95</v>
      </c>
      <c r="D24" s="68">
        <v>163.35</v>
      </c>
      <c r="E24" t="s">
        <v>484</v>
      </c>
    </row>
    <row r="25" spans="1:5" x14ac:dyDescent="0.25">
      <c r="A25" s="68">
        <v>34</v>
      </c>
      <c r="B25" s="69" t="s">
        <v>102</v>
      </c>
      <c r="C25" s="69" t="s">
        <v>95</v>
      </c>
      <c r="D25" s="68">
        <v>496.98</v>
      </c>
      <c r="E25" t="s">
        <v>485</v>
      </c>
    </row>
    <row r="26" spans="1:5" x14ac:dyDescent="0.25">
      <c r="A26" s="68">
        <v>20</v>
      </c>
      <c r="B26" s="69" t="s">
        <v>140</v>
      </c>
      <c r="C26" s="69" t="s">
        <v>95</v>
      </c>
      <c r="D26" s="69"/>
    </row>
    <row r="27" spans="1:5" x14ac:dyDescent="0.25">
      <c r="A27" s="68">
        <v>20</v>
      </c>
      <c r="B27" s="69" t="s">
        <v>234</v>
      </c>
      <c r="C27" s="69" t="s">
        <v>197</v>
      </c>
      <c r="D27" s="69"/>
    </row>
    <row r="28" spans="1:5" x14ac:dyDescent="0.25">
      <c r="A28" s="68">
        <v>20</v>
      </c>
      <c r="B28" s="69" t="s">
        <v>139</v>
      </c>
      <c r="C28" s="69" t="s">
        <v>104</v>
      </c>
      <c r="D28" s="69"/>
    </row>
    <row r="29" spans="1:5" x14ac:dyDescent="0.25">
      <c r="A29" s="68">
        <v>31</v>
      </c>
      <c r="B29" s="69" t="s">
        <v>103</v>
      </c>
      <c r="C29" s="69" t="s">
        <v>95</v>
      </c>
      <c r="D29" s="68">
        <v>180.8</v>
      </c>
      <c r="E29" t="s">
        <v>486</v>
      </c>
    </row>
    <row r="30" spans="1:5" x14ac:dyDescent="0.25">
      <c r="A30" s="68">
        <v>30</v>
      </c>
      <c r="B30" s="69" t="s">
        <v>66</v>
      </c>
      <c r="C30" s="69" t="s">
        <v>95</v>
      </c>
      <c r="D30" s="68">
        <v>165.91</v>
      </c>
      <c r="E30" t="s">
        <v>487</v>
      </c>
    </row>
    <row r="31" spans="1:5" x14ac:dyDescent="0.25">
      <c r="A31" s="68">
        <v>33</v>
      </c>
      <c r="B31" s="69" t="s">
        <v>105</v>
      </c>
      <c r="C31" s="69" t="s">
        <v>95</v>
      </c>
      <c r="D31" s="68">
        <v>165.91</v>
      </c>
      <c r="E31" t="s">
        <v>488</v>
      </c>
    </row>
    <row r="32" spans="1:5" x14ac:dyDescent="0.25">
      <c r="A32" s="68">
        <v>32</v>
      </c>
      <c r="B32" s="69" t="s">
        <v>106</v>
      </c>
      <c r="C32" s="69" t="s">
        <v>95</v>
      </c>
      <c r="D32" s="68">
        <v>356.83</v>
      </c>
      <c r="E32" t="s">
        <v>489</v>
      </c>
    </row>
    <row r="33" spans="1:5" x14ac:dyDescent="0.25">
      <c r="A33" s="68">
        <v>26</v>
      </c>
      <c r="B33" s="69" t="s">
        <v>224</v>
      </c>
      <c r="C33" s="69" t="s">
        <v>95</v>
      </c>
      <c r="D33" s="68">
        <v>180.8</v>
      </c>
      <c r="E33" t="s">
        <v>490</v>
      </c>
    </row>
    <row r="34" spans="1:5" x14ac:dyDescent="0.25">
      <c r="A34" s="68">
        <v>22</v>
      </c>
      <c r="B34" s="69" t="s">
        <v>226</v>
      </c>
      <c r="C34" s="69" t="s">
        <v>95</v>
      </c>
      <c r="D34" s="68">
        <v>180.8</v>
      </c>
      <c r="E34" t="s">
        <v>491</v>
      </c>
    </row>
    <row r="35" spans="1:5" x14ac:dyDescent="0.25">
      <c r="A35" s="68">
        <v>21</v>
      </c>
      <c r="B35" s="69" t="s">
        <v>227</v>
      </c>
      <c r="C35" s="69" t="s">
        <v>95</v>
      </c>
      <c r="D35" s="68">
        <v>197.26</v>
      </c>
      <c r="E35" t="s">
        <v>492</v>
      </c>
    </row>
    <row r="36" spans="1:5" x14ac:dyDescent="0.25">
      <c r="A36" s="68">
        <v>25</v>
      </c>
      <c r="B36" s="69" t="s">
        <v>228</v>
      </c>
      <c r="C36" s="69" t="s">
        <v>95</v>
      </c>
      <c r="D36" s="68">
        <v>195.72</v>
      </c>
      <c r="E36" t="s">
        <v>493</v>
      </c>
    </row>
    <row r="37" spans="1:5" x14ac:dyDescent="0.25">
      <c r="A37" s="68">
        <v>28</v>
      </c>
      <c r="B37" s="69" t="s">
        <v>107</v>
      </c>
      <c r="C37" s="69" t="s">
        <v>95</v>
      </c>
      <c r="D37" s="68">
        <v>348.23</v>
      </c>
      <c r="E37" t="s">
        <v>494</v>
      </c>
    </row>
    <row r="38" spans="1:5" x14ac:dyDescent="0.25">
      <c r="A38" s="68">
        <v>23</v>
      </c>
      <c r="B38" s="69" t="s">
        <v>67</v>
      </c>
      <c r="C38" s="69" t="s">
        <v>95</v>
      </c>
      <c r="D38" s="68">
        <v>195.72</v>
      </c>
      <c r="E38" t="s">
        <v>495</v>
      </c>
    </row>
    <row r="39" spans="1:5" x14ac:dyDescent="0.25">
      <c r="A39" s="68">
        <v>27</v>
      </c>
      <c r="B39" s="69" t="s">
        <v>109</v>
      </c>
      <c r="C39" s="69" t="s">
        <v>95</v>
      </c>
      <c r="D39" s="68">
        <v>197.32</v>
      </c>
      <c r="E39" t="s">
        <v>513</v>
      </c>
    </row>
    <row r="40" spans="1:5" x14ac:dyDescent="0.25">
      <c r="A40" s="68">
        <v>24</v>
      </c>
      <c r="B40" s="69" t="s">
        <v>141</v>
      </c>
      <c r="C40" s="69"/>
      <c r="D40" s="69"/>
      <c r="E40" s="2"/>
    </row>
    <row r="41" spans="1:5" x14ac:dyDescent="0.25">
      <c r="A41" s="68">
        <v>29</v>
      </c>
      <c r="B41" s="69" t="s">
        <v>142</v>
      </c>
      <c r="C41" s="69"/>
      <c r="D41" s="69"/>
      <c r="E41" s="2"/>
    </row>
    <row r="42" spans="1:5" x14ac:dyDescent="0.25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5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5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5">
      <c r="A45" s="68">
        <v>46</v>
      </c>
      <c r="B45" s="69" t="s">
        <v>68</v>
      </c>
      <c r="C45" s="69" t="s">
        <v>95</v>
      </c>
      <c r="D45" s="68">
        <v>165.47</v>
      </c>
      <c r="E45" t="s">
        <v>496</v>
      </c>
    </row>
    <row r="46" spans="1:5" x14ac:dyDescent="0.25">
      <c r="A46" s="68">
        <v>52</v>
      </c>
      <c r="B46" s="69" t="s">
        <v>69</v>
      </c>
      <c r="C46" s="69" t="s">
        <v>95</v>
      </c>
      <c r="D46" s="68">
        <v>61.95</v>
      </c>
      <c r="E46" t="s">
        <v>514</v>
      </c>
    </row>
    <row r="47" spans="1:5" x14ac:dyDescent="0.25">
      <c r="A47" s="68">
        <v>47</v>
      </c>
      <c r="B47" s="69" t="s">
        <v>86</v>
      </c>
      <c r="C47" s="69" t="s">
        <v>95</v>
      </c>
      <c r="D47" s="68">
        <v>165.44</v>
      </c>
      <c r="E47" t="s">
        <v>497</v>
      </c>
    </row>
    <row r="48" spans="1:5" x14ac:dyDescent="0.25">
      <c r="A48" s="68">
        <v>48</v>
      </c>
      <c r="B48" s="69" t="s">
        <v>111</v>
      </c>
      <c r="C48" s="69" t="s">
        <v>95</v>
      </c>
      <c r="D48" s="68">
        <v>174.38</v>
      </c>
      <c r="E48" t="s">
        <v>498</v>
      </c>
    </row>
    <row r="49" spans="1:5" x14ac:dyDescent="0.25">
      <c r="A49" s="68">
        <v>49</v>
      </c>
      <c r="B49" s="69" t="s">
        <v>231</v>
      </c>
      <c r="C49" s="69" t="s">
        <v>95</v>
      </c>
      <c r="D49" s="68">
        <v>165.44</v>
      </c>
      <c r="E49" t="s">
        <v>500</v>
      </c>
    </row>
    <row r="50" spans="1:5" x14ac:dyDescent="0.25">
      <c r="A50" s="68">
        <v>53</v>
      </c>
      <c r="B50" s="69" t="s">
        <v>70</v>
      </c>
      <c r="C50" s="69" t="s">
        <v>95</v>
      </c>
      <c r="D50" s="68">
        <v>165.45</v>
      </c>
      <c r="E50" t="s">
        <v>499</v>
      </c>
    </row>
    <row r="51" spans="1:5" x14ac:dyDescent="0.25">
      <c r="A51" s="68">
        <v>54</v>
      </c>
      <c r="B51" s="69" t="s">
        <v>71</v>
      </c>
      <c r="C51" s="69" t="s">
        <v>95</v>
      </c>
      <c r="D51" s="68">
        <v>208.78</v>
      </c>
      <c r="E51" t="s">
        <v>501</v>
      </c>
    </row>
    <row r="52" spans="1:5" x14ac:dyDescent="0.25">
      <c r="A52" s="68">
        <v>55</v>
      </c>
      <c r="B52" s="69" t="s">
        <v>72</v>
      </c>
      <c r="C52" s="69" t="s">
        <v>95</v>
      </c>
      <c r="D52" s="68">
        <v>171.18</v>
      </c>
      <c r="E52" t="s">
        <v>502</v>
      </c>
    </row>
    <row r="53" spans="1:5" x14ac:dyDescent="0.25">
      <c r="A53" s="68">
        <v>45</v>
      </c>
      <c r="B53" s="69" t="s">
        <v>145</v>
      </c>
      <c r="C53" s="69"/>
      <c r="D53" s="69"/>
      <c r="E53" s="2"/>
    </row>
    <row r="54" spans="1:5" x14ac:dyDescent="0.25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5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5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5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5">
      <c r="A58" s="68">
        <v>66</v>
      </c>
      <c r="B58" s="69" t="s">
        <v>73</v>
      </c>
      <c r="C58" s="69" t="s">
        <v>95</v>
      </c>
      <c r="D58" s="68">
        <v>201.41</v>
      </c>
      <c r="E58" t="s">
        <v>503</v>
      </c>
    </row>
    <row r="59" spans="1:5" x14ac:dyDescent="0.25">
      <c r="A59" s="68">
        <v>67</v>
      </c>
      <c r="B59" s="69" t="s">
        <v>112</v>
      </c>
      <c r="C59" s="69" t="s">
        <v>95</v>
      </c>
      <c r="D59" s="68">
        <v>165.45</v>
      </c>
      <c r="E59" t="s">
        <v>504</v>
      </c>
    </row>
    <row r="60" spans="1:5" x14ac:dyDescent="0.25">
      <c r="A60" s="68">
        <v>63</v>
      </c>
      <c r="B60" s="69" t="s">
        <v>115</v>
      </c>
      <c r="C60" s="69" t="s">
        <v>95</v>
      </c>
      <c r="D60" s="68">
        <v>180.37</v>
      </c>
      <c r="E60" t="s">
        <v>505</v>
      </c>
    </row>
    <row r="61" spans="1:5" x14ac:dyDescent="0.25">
      <c r="A61" s="68">
        <v>68</v>
      </c>
      <c r="B61" s="69" t="s">
        <v>117</v>
      </c>
      <c r="C61" s="69" t="s">
        <v>95</v>
      </c>
      <c r="D61" s="68">
        <v>165.41</v>
      </c>
      <c r="E61" t="s">
        <v>506</v>
      </c>
    </row>
    <row r="62" spans="1:5" x14ac:dyDescent="0.25">
      <c r="A62" s="68">
        <v>64</v>
      </c>
      <c r="B62" s="69" t="s">
        <v>74</v>
      </c>
      <c r="C62" s="69" t="s">
        <v>95</v>
      </c>
      <c r="D62" s="68">
        <v>165.54</v>
      </c>
      <c r="E62" t="s">
        <v>507</v>
      </c>
    </row>
    <row r="63" spans="1:5" x14ac:dyDescent="0.25">
      <c r="A63" s="68">
        <v>71</v>
      </c>
      <c r="B63" s="69" t="s">
        <v>118</v>
      </c>
      <c r="C63" s="69" t="s">
        <v>95</v>
      </c>
      <c r="D63" s="68">
        <v>165.41</v>
      </c>
      <c r="E63" t="s">
        <v>508</v>
      </c>
    </row>
    <row r="64" spans="1:5" x14ac:dyDescent="0.25">
      <c r="A64" s="68">
        <v>70</v>
      </c>
      <c r="B64" s="69" t="s">
        <v>119</v>
      </c>
      <c r="C64" s="69" t="s">
        <v>95</v>
      </c>
      <c r="D64" s="68">
        <v>201.56</v>
      </c>
      <c r="E64" t="s">
        <v>509</v>
      </c>
    </row>
    <row r="65" spans="1:5" x14ac:dyDescent="0.25">
      <c r="A65" s="68">
        <v>65</v>
      </c>
      <c r="B65" s="69" t="s">
        <v>75</v>
      </c>
      <c r="C65" s="69" t="s">
        <v>95</v>
      </c>
      <c r="D65" s="68">
        <v>171.18</v>
      </c>
      <c r="E65" t="s">
        <v>510</v>
      </c>
    </row>
    <row r="66" spans="1:5" x14ac:dyDescent="0.25">
      <c r="A66" s="68">
        <v>62</v>
      </c>
      <c r="B66" s="69" t="s">
        <v>149</v>
      </c>
      <c r="C66" s="69"/>
      <c r="D66" s="69"/>
      <c r="E66" s="2"/>
    </row>
    <row r="67" spans="1:5" x14ac:dyDescent="0.25">
      <c r="A67" s="68">
        <v>36</v>
      </c>
      <c r="B67" s="69" t="s">
        <v>150</v>
      </c>
      <c r="C67" s="69"/>
      <c r="D67" s="69"/>
      <c r="E67" s="2"/>
    </row>
    <row r="68" spans="1:5" x14ac:dyDescent="0.25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5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5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5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5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5">
      <c r="A73" s="68">
        <v>35</v>
      </c>
      <c r="B73" s="69" t="s">
        <v>127</v>
      </c>
      <c r="C73" s="69"/>
      <c r="D73" s="69"/>
      <c r="E73" s="2"/>
    </row>
    <row r="74" spans="1:5" x14ac:dyDescent="0.25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5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5">
      <c r="A76" s="3"/>
      <c r="B76" s="2"/>
      <c r="C76" s="2"/>
      <c r="D76" s="2"/>
    </row>
    <row r="77" spans="1:5" x14ac:dyDescent="0.25">
      <c r="A77" s="3"/>
      <c r="B77" s="2"/>
      <c r="C77" s="2"/>
      <c r="D77" s="2"/>
    </row>
    <row r="78" spans="1:5" x14ac:dyDescent="0.25">
      <c r="A78" s="3"/>
      <c r="B78" s="2"/>
      <c r="C78" s="2"/>
      <c r="D78" s="2"/>
    </row>
    <row r="79" spans="1:5" x14ac:dyDescent="0.25">
      <c r="A79" s="3"/>
      <c r="B79" s="2"/>
      <c r="C79" s="2"/>
      <c r="D79" s="2"/>
    </row>
    <row r="80" spans="1:5" x14ac:dyDescent="0.2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137160</xdr:rowOff>
                  </from>
                  <to>
                    <xdr:col>6</xdr:col>
                    <xdr:colOff>289560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3.2" x14ac:dyDescent="0.25"/>
  <cols>
    <col min="1" max="1" width="11" style="25" bestFit="1" customWidth="1"/>
    <col min="2" max="2" width="32.6640625" bestFit="1" customWidth="1"/>
    <col min="3" max="3" width="9.5546875" style="25" bestFit="1" customWidth="1"/>
    <col min="4" max="4" width="22.5546875" bestFit="1" customWidth="1"/>
    <col min="5" max="6" width="10.33203125" bestFit="1" customWidth="1"/>
    <col min="7" max="7" width="6.5546875" style="5" bestFit="1" customWidth="1"/>
    <col min="8" max="8" width="11.5546875" bestFit="1" customWidth="1"/>
    <col min="9" max="9" width="19" customWidth="1"/>
    <col min="27" max="27" width="10.109375" bestFit="1" customWidth="1"/>
    <col min="28" max="28" width="40.109375" bestFit="1" customWidth="1"/>
  </cols>
  <sheetData>
    <row r="1" spans="1:29" x14ac:dyDescent="0.25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5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5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5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5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5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5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5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5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5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5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5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5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5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5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5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5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5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5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5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5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5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5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5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5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5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5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5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5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5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5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5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5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5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5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5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5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5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5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5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5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5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5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5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5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5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5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5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5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5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5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5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5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5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5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5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5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5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5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5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5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5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5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5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5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5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5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5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5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5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5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5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5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5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5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5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5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5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5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5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5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5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5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5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5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5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5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5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5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5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5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5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5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5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5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5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5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5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5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5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5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5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5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5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5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5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5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5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5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5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5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5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5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5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5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5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5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5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5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5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5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5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5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5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5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5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5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5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5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5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5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5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5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5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5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5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5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5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5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5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5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5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5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5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5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5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5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5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5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5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5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5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5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5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5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5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5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5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5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5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5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5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5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5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5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5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5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5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5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5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5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5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5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5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5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5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5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5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5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5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5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5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5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5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5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5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5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5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5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5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5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5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5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5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5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5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5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5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5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5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5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5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5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5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5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5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5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5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5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5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5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5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5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5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5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5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5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5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5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5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5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5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5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5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5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5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5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5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5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5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5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5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5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5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5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5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5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5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5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5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5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5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5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5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5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5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5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5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5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5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5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5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5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5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5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5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5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5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5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5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5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5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5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5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5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5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5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5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5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5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5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5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5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5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5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5">
      <c r="AB276" s="22" t="str">
        <f t="shared" si="5"/>
        <v/>
      </c>
    </row>
    <row r="277" spans="1:28" x14ac:dyDescent="0.25">
      <c r="AB277" s="22" t="str">
        <f t="shared" si="5"/>
        <v/>
      </c>
    </row>
    <row r="278" spans="1:28" x14ac:dyDescent="0.25">
      <c r="AB278" s="22" t="str">
        <f t="shared" si="5"/>
        <v/>
      </c>
    </row>
    <row r="279" spans="1:28" x14ac:dyDescent="0.25">
      <c r="AB279" s="22" t="str">
        <f t="shared" si="5"/>
        <v/>
      </c>
    </row>
    <row r="280" spans="1:28" x14ac:dyDescent="0.25">
      <c r="AB280" s="22" t="str">
        <f t="shared" si="5"/>
        <v/>
      </c>
    </row>
    <row r="281" spans="1:28" x14ac:dyDescent="0.25">
      <c r="AB281" s="22" t="str">
        <f t="shared" si="5"/>
        <v/>
      </c>
    </row>
    <row r="282" spans="1:28" x14ac:dyDescent="0.25">
      <c r="AB282" s="22" t="str">
        <f t="shared" si="5"/>
        <v/>
      </c>
    </row>
    <row r="283" spans="1:28" x14ac:dyDescent="0.25">
      <c r="AB283" s="22" t="str">
        <f t="shared" si="5"/>
        <v/>
      </c>
    </row>
    <row r="284" spans="1:28" x14ac:dyDescent="0.25">
      <c r="AB284" s="22" t="str">
        <f t="shared" si="5"/>
        <v/>
      </c>
    </row>
    <row r="285" spans="1:28" x14ac:dyDescent="0.25">
      <c r="AB285" s="22" t="str">
        <f t="shared" si="5"/>
        <v/>
      </c>
    </row>
    <row r="286" spans="1:28" x14ac:dyDescent="0.25">
      <c r="AB286" s="22" t="str">
        <f t="shared" si="5"/>
        <v/>
      </c>
    </row>
    <row r="287" spans="1:28" x14ac:dyDescent="0.25">
      <c r="AB287" s="22" t="str">
        <f t="shared" si="5"/>
        <v/>
      </c>
    </row>
    <row r="288" spans="1:28" x14ac:dyDescent="0.25">
      <c r="AB288" s="22" t="str">
        <f t="shared" si="5"/>
        <v/>
      </c>
    </row>
    <row r="289" spans="28:28" x14ac:dyDescent="0.25">
      <c r="AB289" s="22" t="str">
        <f t="shared" si="5"/>
        <v/>
      </c>
    </row>
    <row r="290" spans="28:28" x14ac:dyDescent="0.25">
      <c r="AB290" s="22" t="str">
        <f t="shared" si="5"/>
        <v/>
      </c>
    </row>
    <row r="291" spans="28:28" x14ac:dyDescent="0.25">
      <c r="AB291" s="22" t="str">
        <f t="shared" si="5"/>
        <v/>
      </c>
    </row>
    <row r="292" spans="28:28" x14ac:dyDescent="0.25">
      <c r="AB292" s="22" t="str">
        <f t="shared" si="5"/>
        <v/>
      </c>
    </row>
    <row r="293" spans="28:28" x14ac:dyDescent="0.25">
      <c r="AB293" s="22" t="str">
        <f t="shared" si="5"/>
        <v/>
      </c>
    </row>
    <row r="294" spans="28:28" x14ac:dyDescent="0.25">
      <c r="AB294" s="22" t="str">
        <f t="shared" si="5"/>
        <v/>
      </c>
    </row>
    <row r="295" spans="28:28" x14ac:dyDescent="0.25">
      <c r="AB295" s="22" t="str">
        <f t="shared" si="5"/>
        <v/>
      </c>
    </row>
    <row r="296" spans="28:28" x14ac:dyDescent="0.25">
      <c r="AB296" s="22" t="str">
        <f t="shared" si="5"/>
        <v/>
      </c>
    </row>
    <row r="297" spans="28:28" x14ac:dyDescent="0.25">
      <c r="AB297" s="22" t="str">
        <f t="shared" si="5"/>
        <v/>
      </c>
    </row>
    <row r="298" spans="28:28" x14ac:dyDescent="0.25">
      <c r="AB298" s="22" t="str">
        <f t="shared" si="5"/>
        <v/>
      </c>
    </row>
    <row r="299" spans="28:28" x14ac:dyDescent="0.25">
      <c r="AB299" s="22" t="str">
        <f t="shared" si="5"/>
        <v/>
      </c>
    </row>
    <row r="300" spans="28:28" x14ac:dyDescent="0.25">
      <c r="AB300" s="22" t="str">
        <f t="shared" si="5"/>
        <v/>
      </c>
    </row>
    <row r="301" spans="28:28" x14ac:dyDescent="0.25">
      <c r="AB301" s="22" t="str">
        <f t="shared" si="5"/>
        <v/>
      </c>
    </row>
    <row r="302" spans="28:28" x14ac:dyDescent="0.25">
      <c r="AB302" s="22" t="str">
        <f t="shared" si="5"/>
        <v/>
      </c>
    </row>
    <row r="303" spans="28:28" x14ac:dyDescent="0.25">
      <c r="AB303" s="22" t="str">
        <f t="shared" si="5"/>
        <v/>
      </c>
    </row>
    <row r="304" spans="28:28" x14ac:dyDescent="0.25">
      <c r="AB304" s="22" t="str">
        <f t="shared" si="5"/>
        <v/>
      </c>
    </row>
    <row r="305" spans="28:28" x14ac:dyDescent="0.25">
      <c r="AB305" s="22" t="str">
        <f t="shared" si="5"/>
        <v/>
      </c>
    </row>
    <row r="306" spans="28:28" x14ac:dyDescent="0.25">
      <c r="AB306" s="22" t="str">
        <f t="shared" si="5"/>
        <v/>
      </c>
    </row>
    <row r="307" spans="28:28" x14ac:dyDescent="0.25">
      <c r="AB307" s="22" t="str">
        <f t="shared" si="5"/>
        <v/>
      </c>
    </row>
    <row r="308" spans="28:28" x14ac:dyDescent="0.25">
      <c r="AB308" s="22" t="str">
        <f t="shared" si="5"/>
        <v/>
      </c>
    </row>
    <row r="309" spans="28:28" x14ac:dyDescent="0.25">
      <c r="AB309" s="22" t="str">
        <f t="shared" si="5"/>
        <v/>
      </c>
    </row>
    <row r="310" spans="28:28" x14ac:dyDescent="0.25">
      <c r="AB310" s="22" t="str">
        <f t="shared" si="5"/>
        <v/>
      </c>
    </row>
    <row r="311" spans="28:28" x14ac:dyDescent="0.25">
      <c r="AB311" s="22" t="str">
        <f t="shared" si="5"/>
        <v/>
      </c>
    </row>
    <row r="312" spans="28:28" x14ac:dyDescent="0.25">
      <c r="AB312" s="22" t="str">
        <f t="shared" si="5"/>
        <v/>
      </c>
    </row>
    <row r="313" spans="28:28" x14ac:dyDescent="0.25">
      <c r="AB313" s="22" t="str">
        <f t="shared" si="5"/>
        <v/>
      </c>
    </row>
    <row r="314" spans="28:28" x14ac:dyDescent="0.25">
      <c r="AB314" s="22" t="str">
        <f t="shared" si="5"/>
        <v/>
      </c>
    </row>
    <row r="315" spans="28:28" x14ac:dyDescent="0.25">
      <c r="AB315" s="22" t="str">
        <f t="shared" si="5"/>
        <v/>
      </c>
    </row>
    <row r="316" spans="28:28" x14ac:dyDescent="0.25">
      <c r="AB316" s="22" t="str">
        <f t="shared" si="5"/>
        <v/>
      </c>
    </row>
    <row r="317" spans="28:28" x14ac:dyDescent="0.25">
      <c r="AB317" s="22" t="str">
        <f t="shared" si="5"/>
        <v/>
      </c>
    </row>
    <row r="318" spans="28:28" x14ac:dyDescent="0.25">
      <c r="AB318" s="22" t="str">
        <f t="shared" si="5"/>
        <v/>
      </c>
    </row>
    <row r="319" spans="28:28" x14ac:dyDescent="0.25">
      <c r="AB319" s="22" t="str">
        <f t="shared" si="5"/>
        <v/>
      </c>
    </row>
    <row r="320" spans="28:28" x14ac:dyDescent="0.25">
      <c r="AB320" s="22" t="str">
        <f t="shared" si="5"/>
        <v/>
      </c>
    </row>
    <row r="321" spans="28:28" x14ac:dyDescent="0.25">
      <c r="AB321" s="22" t="str">
        <f t="shared" si="5"/>
        <v/>
      </c>
    </row>
    <row r="322" spans="28:28" x14ac:dyDescent="0.25">
      <c r="AB322" s="22" t="str">
        <f t="shared" si="5"/>
        <v/>
      </c>
    </row>
    <row r="323" spans="28:28" x14ac:dyDescent="0.25">
      <c r="AB323" s="22" t="str">
        <f t="shared" si="5"/>
        <v/>
      </c>
    </row>
    <row r="324" spans="28:28" x14ac:dyDescent="0.25">
      <c r="AB324" s="22" t="str">
        <f t="shared" si="5"/>
        <v/>
      </c>
    </row>
    <row r="325" spans="28:28" x14ac:dyDescent="0.25">
      <c r="AB325" s="22" t="str">
        <f t="shared" si="5"/>
        <v/>
      </c>
    </row>
    <row r="326" spans="28:28" x14ac:dyDescent="0.25">
      <c r="AB326" s="22" t="str">
        <f t="shared" si="5"/>
        <v/>
      </c>
    </row>
    <row r="327" spans="28:28" x14ac:dyDescent="0.25">
      <c r="AB327" s="22" t="str">
        <f t="shared" si="5"/>
        <v/>
      </c>
    </row>
    <row r="328" spans="28:28" x14ac:dyDescent="0.25">
      <c r="AB328" s="22" t="str">
        <f t="shared" si="5"/>
        <v/>
      </c>
    </row>
    <row r="329" spans="28:28" x14ac:dyDescent="0.25">
      <c r="AB329" s="22" t="str">
        <f t="shared" si="5"/>
        <v/>
      </c>
    </row>
    <row r="330" spans="28:28" x14ac:dyDescent="0.25">
      <c r="AB330" s="22" t="str">
        <f t="shared" si="5"/>
        <v/>
      </c>
    </row>
    <row r="331" spans="28:28" x14ac:dyDescent="0.25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5">
      <c r="AB332" s="22" t="str">
        <f t="shared" si="6"/>
        <v/>
      </c>
    </row>
    <row r="333" spans="28:28" x14ac:dyDescent="0.25">
      <c r="AB333" s="22" t="str">
        <f t="shared" si="6"/>
        <v/>
      </c>
    </row>
    <row r="334" spans="28:28" x14ac:dyDescent="0.25">
      <c r="AB334" s="22" t="str">
        <f t="shared" si="6"/>
        <v/>
      </c>
    </row>
    <row r="335" spans="28:28" x14ac:dyDescent="0.25">
      <c r="AB335" s="22" t="str">
        <f t="shared" si="6"/>
        <v/>
      </c>
    </row>
    <row r="336" spans="28:28" x14ac:dyDescent="0.25">
      <c r="AB336" s="22" t="str">
        <f t="shared" si="6"/>
        <v/>
      </c>
    </row>
    <row r="337" spans="28:28" x14ac:dyDescent="0.25">
      <c r="AB337" s="22" t="str">
        <f t="shared" si="6"/>
        <v/>
      </c>
    </row>
    <row r="338" spans="28:28" x14ac:dyDescent="0.25">
      <c r="AB338" s="22" t="str">
        <f t="shared" si="6"/>
        <v/>
      </c>
    </row>
    <row r="339" spans="28:28" x14ac:dyDescent="0.25">
      <c r="AB339" s="22" t="str">
        <f t="shared" si="6"/>
        <v/>
      </c>
    </row>
    <row r="340" spans="28:28" x14ac:dyDescent="0.25">
      <c r="AB340" s="22" t="str">
        <f t="shared" si="6"/>
        <v/>
      </c>
    </row>
    <row r="341" spans="28:28" x14ac:dyDescent="0.25">
      <c r="AB341" s="22" t="str">
        <f t="shared" si="6"/>
        <v/>
      </c>
    </row>
    <row r="342" spans="28:28" x14ac:dyDescent="0.25">
      <c r="AB342" s="22" t="str">
        <f t="shared" si="6"/>
        <v/>
      </c>
    </row>
    <row r="343" spans="28:28" x14ac:dyDescent="0.25">
      <c r="AB343" s="22" t="str">
        <f t="shared" si="6"/>
        <v/>
      </c>
    </row>
    <row r="344" spans="28:28" x14ac:dyDescent="0.25">
      <c r="AB344" s="22" t="str">
        <f t="shared" si="6"/>
        <v/>
      </c>
    </row>
    <row r="345" spans="28:28" x14ac:dyDescent="0.25">
      <c r="AB345" s="22" t="str">
        <f t="shared" si="6"/>
        <v/>
      </c>
    </row>
    <row r="346" spans="28:28" x14ac:dyDescent="0.25">
      <c r="AB346" s="22" t="str">
        <f t="shared" si="6"/>
        <v/>
      </c>
    </row>
    <row r="347" spans="28:28" x14ac:dyDescent="0.25">
      <c r="AB347" s="22" t="str">
        <f t="shared" si="6"/>
        <v/>
      </c>
    </row>
    <row r="348" spans="28:28" x14ac:dyDescent="0.25">
      <c r="AB348" s="22" t="str">
        <f t="shared" si="6"/>
        <v/>
      </c>
    </row>
    <row r="349" spans="28:28" x14ac:dyDescent="0.25">
      <c r="AB349" s="22" t="str">
        <f t="shared" si="6"/>
        <v/>
      </c>
    </row>
    <row r="350" spans="28:28" x14ac:dyDescent="0.25">
      <c r="AB350" s="22" t="str">
        <f t="shared" si="6"/>
        <v/>
      </c>
    </row>
    <row r="351" spans="28:28" x14ac:dyDescent="0.25">
      <c r="AB351" s="22" t="str">
        <f t="shared" si="6"/>
        <v/>
      </c>
    </row>
    <row r="352" spans="28:28" x14ac:dyDescent="0.25">
      <c r="AB352" s="22" t="str">
        <f t="shared" si="6"/>
        <v/>
      </c>
    </row>
    <row r="353" spans="28:28" x14ac:dyDescent="0.25">
      <c r="AB353" s="22" t="str">
        <f t="shared" si="6"/>
        <v/>
      </c>
    </row>
    <row r="354" spans="28:28" x14ac:dyDescent="0.25">
      <c r="AB354" s="22" t="str">
        <f t="shared" si="6"/>
        <v/>
      </c>
    </row>
    <row r="355" spans="28:28" x14ac:dyDescent="0.25">
      <c r="AB355" s="22" t="str">
        <f t="shared" si="6"/>
        <v/>
      </c>
    </row>
    <row r="356" spans="28:28" x14ac:dyDescent="0.25">
      <c r="AB356" s="22" t="str">
        <f t="shared" si="6"/>
        <v/>
      </c>
    </row>
    <row r="357" spans="28:28" x14ac:dyDescent="0.25">
      <c r="AB357" s="22" t="str">
        <f t="shared" si="6"/>
        <v/>
      </c>
    </row>
    <row r="358" spans="28:28" x14ac:dyDescent="0.25">
      <c r="AB358" s="22" t="str">
        <f t="shared" si="6"/>
        <v/>
      </c>
    </row>
    <row r="359" spans="28:28" x14ac:dyDescent="0.25">
      <c r="AB359" s="22" t="str">
        <f t="shared" si="6"/>
        <v/>
      </c>
    </row>
    <row r="360" spans="28:28" x14ac:dyDescent="0.25">
      <c r="AB360" s="22" t="str">
        <f t="shared" si="6"/>
        <v/>
      </c>
    </row>
    <row r="361" spans="28:28" x14ac:dyDescent="0.25">
      <c r="AB361" s="22" t="str">
        <f t="shared" si="6"/>
        <v/>
      </c>
    </row>
    <row r="362" spans="28:28" x14ac:dyDescent="0.25">
      <c r="AB362" s="22" t="str">
        <f t="shared" si="6"/>
        <v/>
      </c>
    </row>
    <row r="363" spans="28:28" x14ac:dyDescent="0.25">
      <c r="AB363" s="22" t="str">
        <f t="shared" si="6"/>
        <v/>
      </c>
    </row>
    <row r="364" spans="28:28" x14ac:dyDescent="0.25">
      <c r="AB364" s="22" t="str">
        <f t="shared" si="6"/>
        <v/>
      </c>
    </row>
    <row r="365" spans="28:28" x14ac:dyDescent="0.25">
      <c r="AB365" s="22" t="str">
        <f t="shared" si="6"/>
        <v/>
      </c>
    </row>
    <row r="366" spans="28:28" x14ac:dyDescent="0.25">
      <c r="AB366" s="22" t="str">
        <f t="shared" si="6"/>
        <v/>
      </c>
    </row>
    <row r="367" spans="28:28" x14ac:dyDescent="0.25">
      <c r="AB367" s="22" t="str">
        <f t="shared" si="6"/>
        <v/>
      </c>
    </row>
    <row r="368" spans="28:28" x14ac:dyDescent="0.25">
      <c r="AB368" s="22" t="str">
        <f t="shared" si="6"/>
        <v/>
      </c>
    </row>
    <row r="369" spans="28:28" x14ac:dyDescent="0.25">
      <c r="AB369" s="22" t="str">
        <f t="shared" si="6"/>
        <v/>
      </c>
    </row>
    <row r="370" spans="28:28" x14ac:dyDescent="0.25">
      <c r="AB370" s="22" t="str">
        <f t="shared" si="6"/>
        <v/>
      </c>
    </row>
    <row r="371" spans="28:28" x14ac:dyDescent="0.25">
      <c r="AB371" s="22" t="str">
        <f t="shared" si="6"/>
        <v/>
      </c>
    </row>
    <row r="372" spans="28:28" x14ac:dyDescent="0.25">
      <c r="AB372" s="22" t="str">
        <f t="shared" si="6"/>
        <v/>
      </c>
    </row>
    <row r="373" spans="28:28" x14ac:dyDescent="0.25">
      <c r="AB373" s="22" t="str">
        <f t="shared" si="6"/>
        <v/>
      </c>
    </row>
    <row r="374" spans="28:28" x14ac:dyDescent="0.25">
      <c r="AB374" s="22" t="str">
        <f t="shared" si="6"/>
        <v/>
      </c>
    </row>
    <row r="375" spans="28:28" x14ac:dyDescent="0.25">
      <c r="AB375" s="22" t="str">
        <f t="shared" si="6"/>
        <v/>
      </c>
    </row>
    <row r="376" spans="28:28" x14ac:dyDescent="0.25">
      <c r="AB376" s="22" t="str">
        <f t="shared" si="6"/>
        <v/>
      </c>
    </row>
    <row r="377" spans="28:28" x14ac:dyDescent="0.25">
      <c r="AB377" s="22" t="str">
        <f t="shared" si="6"/>
        <v/>
      </c>
    </row>
    <row r="378" spans="28:28" x14ac:dyDescent="0.25">
      <c r="AB378" s="22" t="str">
        <f t="shared" si="6"/>
        <v/>
      </c>
    </row>
    <row r="379" spans="28:28" x14ac:dyDescent="0.25">
      <c r="AB379" s="22" t="str">
        <f t="shared" si="6"/>
        <v/>
      </c>
    </row>
    <row r="380" spans="28:28" x14ac:dyDescent="0.25">
      <c r="AB380" s="22" t="str">
        <f t="shared" si="6"/>
        <v/>
      </c>
    </row>
    <row r="381" spans="28:28" x14ac:dyDescent="0.25">
      <c r="AB381" s="22" t="str">
        <f t="shared" si="6"/>
        <v/>
      </c>
    </row>
    <row r="382" spans="28:28" x14ac:dyDescent="0.25">
      <c r="AB382" s="22" t="str">
        <f t="shared" si="6"/>
        <v/>
      </c>
    </row>
    <row r="383" spans="28:28" x14ac:dyDescent="0.25">
      <c r="AB383" s="22" t="str">
        <f t="shared" si="6"/>
        <v/>
      </c>
    </row>
    <row r="384" spans="28:28" x14ac:dyDescent="0.25">
      <c r="AB384" s="22" t="str">
        <f t="shared" si="6"/>
        <v/>
      </c>
    </row>
    <row r="385" spans="28:28" x14ac:dyDescent="0.25">
      <c r="AB385" s="22" t="str">
        <f t="shared" si="6"/>
        <v/>
      </c>
    </row>
    <row r="386" spans="28:28" x14ac:dyDescent="0.25">
      <c r="AB386" s="22" t="str">
        <f t="shared" si="6"/>
        <v/>
      </c>
    </row>
    <row r="387" spans="28:28" x14ac:dyDescent="0.25">
      <c r="AB387" s="22" t="str">
        <f t="shared" si="6"/>
        <v/>
      </c>
    </row>
    <row r="388" spans="28:28" x14ac:dyDescent="0.25">
      <c r="AB388" s="22" t="str">
        <f t="shared" si="6"/>
        <v/>
      </c>
    </row>
    <row r="389" spans="28:28" x14ac:dyDescent="0.25">
      <c r="AB389" s="22" t="str">
        <f t="shared" si="6"/>
        <v/>
      </c>
    </row>
    <row r="390" spans="28:28" x14ac:dyDescent="0.25">
      <c r="AB390" s="22" t="str">
        <f t="shared" si="6"/>
        <v/>
      </c>
    </row>
    <row r="391" spans="28:28" x14ac:dyDescent="0.25">
      <c r="AB391" s="22" t="str">
        <f t="shared" si="6"/>
        <v/>
      </c>
    </row>
    <row r="392" spans="28:28" x14ac:dyDescent="0.25">
      <c r="AB392" s="22" t="str">
        <f t="shared" si="6"/>
        <v/>
      </c>
    </row>
    <row r="393" spans="28:28" x14ac:dyDescent="0.25">
      <c r="AB393" s="22" t="str">
        <f t="shared" si="6"/>
        <v/>
      </c>
    </row>
    <row r="394" spans="28:28" x14ac:dyDescent="0.25">
      <c r="AB394" s="22" t="str">
        <f t="shared" si="6"/>
        <v/>
      </c>
    </row>
    <row r="395" spans="28:28" x14ac:dyDescent="0.25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5">
      <c r="AB396" s="22" t="str">
        <f t="shared" si="7"/>
        <v/>
      </c>
    </row>
    <row r="397" spans="28:28" x14ac:dyDescent="0.25">
      <c r="AB397" s="22" t="str">
        <f t="shared" si="7"/>
        <v/>
      </c>
    </row>
    <row r="398" spans="28:28" x14ac:dyDescent="0.25">
      <c r="AB398" s="22" t="str">
        <f t="shared" si="7"/>
        <v/>
      </c>
    </row>
    <row r="399" spans="28:28" x14ac:dyDescent="0.25">
      <c r="AB399" s="22" t="str">
        <f t="shared" si="7"/>
        <v/>
      </c>
    </row>
    <row r="400" spans="28:28" x14ac:dyDescent="0.25">
      <c r="AB400" s="22" t="str">
        <f t="shared" si="7"/>
        <v/>
      </c>
    </row>
    <row r="401" spans="28:28" x14ac:dyDescent="0.25">
      <c r="AB401" s="22" t="str">
        <f t="shared" si="7"/>
        <v/>
      </c>
    </row>
    <row r="402" spans="28:28" x14ac:dyDescent="0.25">
      <c r="AB402" s="22" t="str">
        <f t="shared" si="7"/>
        <v/>
      </c>
    </row>
    <row r="403" spans="28:28" x14ac:dyDescent="0.25">
      <c r="AB403" s="22" t="str">
        <f t="shared" si="7"/>
        <v/>
      </c>
    </row>
    <row r="404" spans="28:28" x14ac:dyDescent="0.25">
      <c r="AB404" s="22" t="str">
        <f t="shared" si="7"/>
        <v/>
      </c>
    </row>
    <row r="405" spans="28:28" x14ac:dyDescent="0.25">
      <c r="AB405" s="22" t="str">
        <f t="shared" si="7"/>
        <v/>
      </c>
    </row>
    <row r="406" spans="28:28" x14ac:dyDescent="0.25">
      <c r="AB406" s="22" t="str">
        <f t="shared" si="7"/>
        <v/>
      </c>
    </row>
    <row r="407" spans="28:28" x14ac:dyDescent="0.25">
      <c r="AB407" s="22" t="str">
        <f t="shared" si="7"/>
        <v/>
      </c>
    </row>
    <row r="408" spans="28:28" x14ac:dyDescent="0.25">
      <c r="AB408" s="22" t="str">
        <f t="shared" si="7"/>
        <v/>
      </c>
    </row>
    <row r="409" spans="28:28" x14ac:dyDescent="0.25">
      <c r="AB409" s="22" t="str">
        <f t="shared" si="7"/>
        <v/>
      </c>
    </row>
    <row r="410" spans="28:28" x14ac:dyDescent="0.25">
      <c r="AB410" s="22" t="str">
        <f t="shared" si="7"/>
        <v/>
      </c>
    </row>
    <row r="411" spans="28:28" x14ac:dyDescent="0.25">
      <c r="AB411" s="22" t="str">
        <f t="shared" si="7"/>
        <v/>
      </c>
    </row>
    <row r="412" spans="28:28" x14ac:dyDescent="0.25">
      <c r="AB412" s="22" t="str">
        <f t="shared" si="7"/>
        <v/>
      </c>
    </row>
    <row r="413" spans="28:28" x14ac:dyDescent="0.25">
      <c r="AB413" s="22" t="str">
        <f t="shared" si="7"/>
        <v/>
      </c>
    </row>
    <row r="414" spans="28:28" x14ac:dyDescent="0.25">
      <c r="AB414" s="22" t="str">
        <f t="shared" si="7"/>
        <v/>
      </c>
    </row>
    <row r="415" spans="28:28" x14ac:dyDescent="0.25">
      <c r="AB415" s="22" t="str">
        <f t="shared" si="7"/>
        <v/>
      </c>
    </row>
    <row r="416" spans="28:28" x14ac:dyDescent="0.25">
      <c r="AB416" s="22" t="str">
        <f t="shared" si="7"/>
        <v/>
      </c>
    </row>
    <row r="417" spans="28:28" x14ac:dyDescent="0.25">
      <c r="AB417" s="22" t="str">
        <f t="shared" si="7"/>
        <v/>
      </c>
    </row>
    <row r="418" spans="28:28" x14ac:dyDescent="0.25">
      <c r="AB418" s="22" t="str">
        <f t="shared" si="7"/>
        <v/>
      </c>
    </row>
    <row r="419" spans="28:28" x14ac:dyDescent="0.25">
      <c r="AB419" s="22" t="str">
        <f t="shared" si="7"/>
        <v/>
      </c>
    </row>
    <row r="420" spans="28:28" x14ac:dyDescent="0.25">
      <c r="AB420" s="22" t="str">
        <f t="shared" si="7"/>
        <v/>
      </c>
    </row>
    <row r="421" spans="28:28" x14ac:dyDescent="0.25">
      <c r="AB421" s="22" t="str">
        <f t="shared" si="7"/>
        <v/>
      </c>
    </row>
    <row r="422" spans="28:28" x14ac:dyDescent="0.25">
      <c r="AB422" s="22" t="str">
        <f t="shared" si="7"/>
        <v/>
      </c>
    </row>
    <row r="423" spans="28:28" x14ac:dyDescent="0.25">
      <c r="AB423" s="22" t="str">
        <f t="shared" si="7"/>
        <v/>
      </c>
    </row>
    <row r="424" spans="28:28" x14ac:dyDescent="0.25">
      <c r="AB424" s="22" t="str">
        <f t="shared" si="7"/>
        <v/>
      </c>
    </row>
    <row r="425" spans="28:28" x14ac:dyDescent="0.25">
      <c r="AB425" s="22" t="str">
        <f t="shared" si="7"/>
        <v/>
      </c>
    </row>
    <row r="426" spans="28:28" x14ac:dyDescent="0.25">
      <c r="AB426" s="22" t="str">
        <f t="shared" si="7"/>
        <v/>
      </c>
    </row>
    <row r="427" spans="28:28" x14ac:dyDescent="0.25">
      <c r="AB427" s="22" t="str">
        <f t="shared" si="7"/>
        <v/>
      </c>
    </row>
    <row r="428" spans="28:28" x14ac:dyDescent="0.25">
      <c r="AB428" s="22" t="str">
        <f t="shared" si="7"/>
        <v/>
      </c>
    </row>
    <row r="429" spans="28:28" x14ac:dyDescent="0.25">
      <c r="AB429" s="22" t="str">
        <f t="shared" si="7"/>
        <v/>
      </c>
    </row>
    <row r="430" spans="28:28" x14ac:dyDescent="0.25">
      <c r="AB430" s="22" t="str">
        <f t="shared" si="7"/>
        <v/>
      </c>
    </row>
    <row r="431" spans="28:28" x14ac:dyDescent="0.25">
      <c r="AB431" s="22" t="str">
        <f t="shared" si="7"/>
        <v/>
      </c>
    </row>
    <row r="432" spans="28:28" x14ac:dyDescent="0.25">
      <c r="AB432" s="22" t="str">
        <f t="shared" si="7"/>
        <v/>
      </c>
    </row>
    <row r="433" spans="28:28" x14ac:dyDescent="0.25">
      <c r="AB433" s="22" t="str">
        <f t="shared" si="7"/>
        <v/>
      </c>
    </row>
    <row r="434" spans="28:28" x14ac:dyDescent="0.25">
      <c r="AB434" s="22" t="str">
        <f t="shared" si="7"/>
        <v/>
      </c>
    </row>
    <row r="435" spans="28:28" x14ac:dyDescent="0.25">
      <c r="AB435" s="22" t="str">
        <f t="shared" si="7"/>
        <v/>
      </c>
    </row>
    <row r="436" spans="28:28" x14ac:dyDescent="0.25">
      <c r="AB436" s="22" t="str">
        <f t="shared" si="7"/>
        <v/>
      </c>
    </row>
    <row r="437" spans="28:28" x14ac:dyDescent="0.25">
      <c r="AB437" s="22" t="str">
        <f t="shared" si="7"/>
        <v/>
      </c>
    </row>
    <row r="438" spans="28:28" x14ac:dyDescent="0.25">
      <c r="AB438" s="22" t="str">
        <f t="shared" si="7"/>
        <v/>
      </c>
    </row>
    <row r="439" spans="28:28" x14ac:dyDescent="0.25">
      <c r="AB439" s="22" t="str">
        <f t="shared" si="7"/>
        <v/>
      </c>
    </row>
    <row r="440" spans="28:28" x14ac:dyDescent="0.25">
      <c r="AB440" s="22" t="str">
        <f t="shared" si="7"/>
        <v/>
      </c>
    </row>
    <row r="441" spans="28:28" x14ac:dyDescent="0.25">
      <c r="AB441" s="22" t="str">
        <f t="shared" si="7"/>
        <v/>
      </c>
    </row>
    <row r="442" spans="28:28" x14ac:dyDescent="0.25">
      <c r="AB442" s="22" t="str">
        <f t="shared" si="7"/>
        <v/>
      </c>
    </row>
    <row r="443" spans="28:28" x14ac:dyDescent="0.25">
      <c r="AB443" s="22" t="str">
        <f t="shared" si="7"/>
        <v/>
      </c>
    </row>
    <row r="444" spans="28:28" x14ac:dyDescent="0.25">
      <c r="AB444" s="22" t="str">
        <f t="shared" si="7"/>
        <v/>
      </c>
    </row>
    <row r="445" spans="28:28" x14ac:dyDescent="0.25">
      <c r="AB445" s="22" t="str">
        <f t="shared" si="7"/>
        <v/>
      </c>
    </row>
    <row r="446" spans="28:28" x14ac:dyDescent="0.25">
      <c r="AB446" s="22" t="str">
        <f t="shared" si="7"/>
        <v/>
      </c>
    </row>
    <row r="447" spans="28:28" x14ac:dyDescent="0.25">
      <c r="AB447" s="22" t="str">
        <f t="shared" si="7"/>
        <v/>
      </c>
    </row>
    <row r="448" spans="28:28" x14ac:dyDescent="0.25">
      <c r="AB448" s="22" t="str">
        <f t="shared" si="7"/>
        <v/>
      </c>
    </row>
    <row r="449" spans="28:28" x14ac:dyDescent="0.25">
      <c r="AB449" s="22" t="str">
        <f t="shared" si="7"/>
        <v/>
      </c>
    </row>
    <row r="450" spans="28:28" x14ac:dyDescent="0.25">
      <c r="AB450" s="22" t="str">
        <f t="shared" si="7"/>
        <v/>
      </c>
    </row>
    <row r="451" spans="28:28" x14ac:dyDescent="0.25">
      <c r="AB451" s="22" t="str">
        <f t="shared" si="7"/>
        <v/>
      </c>
    </row>
    <row r="452" spans="28:28" x14ac:dyDescent="0.25">
      <c r="AB452" s="22" t="str">
        <f t="shared" si="7"/>
        <v/>
      </c>
    </row>
    <row r="453" spans="28:28" x14ac:dyDescent="0.25">
      <c r="AB453" s="22" t="str">
        <f t="shared" si="7"/>
        <v/>
      </c>
    </row>
    <row r="454" spans="28:28" x14ac:dyDescent="0.25">
      <c r="AB454" s="22" t="str">
        <f t="shared" si="7"/>
        <v/>
      </c>
    </row>
    <row r="455" spans="28:28" x14ac:dyDescent="0.25">
      <c r="AB455" s="22" t="str">
        <f t="shared" si="7"/>
        <v/>
      </c>
    </row>
    <row r="456" spans="28:28" x14ac:dyDescent="0.25">
      <c r="AB456" s="22" t="str">
        <f t="shared" si="7"/>
        <v/>
      </c>
    </row>
    <row r="457" spans="28:28" x14ac:dyDescent="0.25">
      <c r="AB457" s="22" t="str">
        <f t="shared" si="7"/>
        <v/>
      </c>
    </row>
    <row r="458" spans="28:28" x14ac:dyDescent="0.25">
      <c r="AB458" s="22" t="str">
        <f t="shared" si="7"/>
        <v/>
      </c>
    </row>
    <row r="459" spans="28:28" x14ac:dyDescent="0.25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5">
      <c r="AB460" s="22" t="str">
        <f t="shared" si="8"/>
        <v/>
      </c>
    </row>
    <row r="461" spans="28:28" x14ac:dyDescent="0.25">
      <c r="AB461" s="22" t="str">
        <f t="shared" si="8"/>
        <v/>
      </c>
    </row>
    <row r="462" spans="28:28" x14ac:dyDescent="0.25">
      <c r="AB462" s="22" t="str">
        <f t="shared" si="8"/>
        <v/>
      </c>
    </row>
    <row r="463" spans="28:28" x14ac:dyDescent="0.25">
      <c r="AB463" s="22" t="str">
        <f t="shared" si="8"/>
        <v/>
      </c>
    </row>
    <row r="464" spans="28:28" x14ac:dyDescent="0.25">
      <c r="AB464" s="22" t="str">
        <f t="shared" si="8"/>
        <v/>
      </c>
    </row>
    <row r="465" spans="28:28" x14ac:dyDescent="0.25">
      <c r="AB465" s="22" t="str">
        <f t="shared" si="8"/>
        <v/>
      </c>
    </row>
    <row r="466" spans="28:28" x14ac:dyDescent="0.25">
      <c r="AB466" s="22" t="str">
        <f t="shared" si="8"/>
        <v/>
      </c>
    </row>
    <row r="467" spans="28:28" x14ac:dyDescent="0.25">
      <c r="AB467" s="22" t="str">
        <f t="shared" si="8"/>
        <v/>
      </c>
    </row>
    <row r="468" spans="28:28" x14ac:dyDescent="0.25">
      <c r="AB468" s="22" t="str">
        <f t="shared" si="8"/>
        <v/>
      </c>
    </row>
    <row r="469" spans="28:28" x14ac:dyDescent="0.25">
      <c r="AB469" s="22" t="str">
        <f t="shared" si="8"/>
        <v/>
      </c>
    </row>
    <row r="470" spans="28:28" x14ac:dyDescent="0.25">
      <c r="AB470" s="22" t="str">
        <f t="shared" si="8"/>
        <v/>
      </c>
    </row>
    <row r="471" spans="28:28" x14ac:dyDescent="0.25">
      <c r="AB471" s="22" t="str">
        <f t="shared" si="8"/>
        <v/>
      </c>
    </row>
    <row r="472" spans="28:28" x14ac:dyDescent="0.25">
      <c r="AB472" s="22" t="str">
        <f t="shared" si="8"/>
        <v/>
      </c>
    </row>
    <row r="473" spans="28:28" x14ac:dyDescent="0.25">
      <c r="AB473" s="22" t="str">
        <f t="shared" si="8"/>
        <v/>
      </c>
    </row>
    <row r="474" spans="28:28" x14ac:dyDescent="0.25">
      <c r="AB474" s="22" t="str">
        <f t="shared" si="8"/>
        <v/>
      </c>
    </row>
    <row r="475" spans="28:28" x14ac:dyDescent="0.25">
      <c r="AB475" s="22" t="str">
        <f t="shared" si="8"/>
        <v/>
      </c>
    </row>
    <row r="476" spans="28:28" x14ac:dyDescent="0.25">
      <c r="AB476" s="22" t="str">
        <f t="shared" si="8"/>
        <v/>
      </c>
    </row>
    <row r="477" spans="28:28" x14ac:dyDescent="0.25">
      <c r="AB477" s="22" t="str">
        <f t="shared" si="8"/>
        <v/>
      </c>
    </row>
    <row r="478" spans="28:28" x14ac:dyDescent="0.25">
      <c r="AB478" s="22" t="str">
        <f t="shared" si="8"/>
        <v/>
      </c>
    </row>
    <row r="479" spans="28:28" x14ac:dyDescent="0.25">
      <c r="AB479" s="22" t="str">
        <f t="shared" si="8"/>
        <v/>
      </c>
    </row>
    <row r="480" spans="28:28" x14ac:dyDescent="0.25">
      <c r="AB480" s="22" t="str">
        <f t="shared" si="8"/>
        <v/>
      </c>
    </row>
    <row r="481" spans="28:28" x14ac:dyDescent="0.25">
      <c r="AB481" s="22" t="str">
        <f t="shared" si="8"/>
        <v/>
      </c>
    </row>
    <row r="482" spans="28:28" x14ac:dyDescent="0.25">
      <c r="AB482" s="22" t="str">
        <f t="shared" si="8"/>
        <v/>
      </c>
    </row>
    <row r="483" spans="28:28" x14ac:dyDescent="0.25">
      <c r="AB483" s="22" t="str">
        <f t="shared" si="8"/>
        <v/>
      </c>
    </row>
    <row r="484" spans="28:28" x14ac:dyDescent="0.25">
      <c r="AB484" s="22" t="str">
        <f t="shared" si="8"/>
        <v/>
      </c>
    </row>
    <row r="485" spans="28:28" x14ac:dyDescent="0.25">
      <c r="AB485" s="22" t="str">
        <f t="shared" si="8"/>
        <v/>
      </c>
    </row>
    <row r="486" spans="28:28" x14ac:dyDescent="0.25">
      <c r="AB486" s="22" t="str">
        <f t="shared" si="8"/>
        <v/>
      </c>
    </row>
    <row r="487" spans="28:28" x14ac:dyDescent="0.25">
      <c r="AB487" s="22" t="str">
        <f t="shared" si="8"/>
        <v/>
      </c>
    </row>
    <row r="488" spans="28:28" x14ac:dyDescent="0.25">
      <c r="AB488" s="22" t="str">
        <f t="shared" si="8"/>
        <v/>
      </c>
    </row>
    <row r="489" spans="28:28" x14ac:dyDescent="0.25">
      <c r="AB489" s="22" t="str">
        <f t="shared" si="8"/>
        <v/>
      </c>
    </row>
    <row r="490" spans="28:28" x14ac:dyDescent="0.25">
      <c r="AB490" s="22" t="str">
        <f t="shared" si="8"/>
        <v/>
      </c>
    </row>
    <row r="491" spans="28:28" x14ac:dyDescent="0.25">
      <c r="AB491" s="22" t="str">
        <f t="shared" si="8"/>
        <v/>
      </c>
    </row>
    <row r="492" spans="28:28" x14ac:dyDescent="0.25">
      <c r="AB492" s="22" t="str">
        <f t="shared" si="8"/>
        <v/>
      </c>
    </row>
    <row r="493" spans="28:28" x14ac:dyDescent="0.25">
      <c r="AB493" s="22" t="str">
        <f t="shared" si="8"/>
        <v/>
      </c>
    </row>
    <row r="494" spans="28:28" x14ac:dyDescent="0.25">
      <c r="AB494" s="22" t="str">
        <f t="shared" si="8"/>
        <v/>
      </c>
    </row>
    <row r="495" spans="28:28" x14ac:dyDescent="0.25">
      <c r="AB495" s="22" t="str">
        <f t="shared" si="8"/>
        <v/>
      </c>
    </row>
    <row r="496" spans="28:28" x14ac:dyDescent="0.25">
      <c r="AB496" s="22" t="str">
        <f t="shared" si="8"/>
        <v/>
      </c>
    </row>
    <row r="497" spans="28:28" x14ac:dyDescent="0.25">
      <c r="AB497" s="22" t="str">
        <f t="shared" si="8"/>
        <v/>
      </c>
    </row>
    <row r="498" spans="28:28" x14ac:dyDescent="0.25">
      <c r="AB498" s="22" t="str">
        <f t="shared" si="8"/>
        <v/>
      </c>
    </row>
    <row r="499" spans="28:28" x14ac:dyDescent="0.25">
      <c r="AB499" s="22" t="str">
        <f t="shared" si="8"/>
        <v/>
      </c>
    </row>
    <row r="500" spans="28:28" x14ac:dyDescent="0.25">
      <c r="AB500" s="22" t="str">
        <f t="shared" si="8"/>
        <v/>
      </c>
    </row>
    <row r="501" spans="28:28" x14ac:dyDescent="0.25">
      <c r="AB501" s="22" t="str">
        <f t="shared" si="8"/>
        <v/>
      </c>
    </row>
    <row r="502" spans="28:28" x14ac:dyDescent="0.25">
      <c r="AB502" s="22" t="str">
        <f t="shared" si="8"/>
        <v/>
      </c>
    </row>
    <row r="503" spans="28:28" x14ac:dyDescent="0.25">
      <c r="AB503" s="22" t="str">
        <f t="shared" si="8"/>
        <v/>
      </c>
    </row>
    <row r="504" spans="28:28" x14ac:dyDescent="0.25">
      <c r="AB504" s="22" t="str">
        <f t="shared" si="8"/>
        <v/>
      </c>
    </row>
    <row r="505" spans="28:28" x14ac:dyDescent="0.25">
      <c r="AB505" s="22" t="str">
        <f t="shared" si="8"/>
        <v/>
      </c>
    </row>
    <row r="506" spans="28:28" x14ac:dyDescent="0.25">
      <c r="AB506" s="22" t="str">
        <f t="shared" si="8"/>
        <v/>
      </c>
    </row>
    <row r="507" spans="28:28" x14ac:dyDescent="0.25">
      <c r="AB507" s="22" t="str">
        <f t="shared" si="8"/>
        <v/>
      </c>
    </row>
    <row r="508" spans="28:28" x14ac:dyDescent="0.25">
      <c r="AB508" s="22" t="str">
        <f t="shared" si="8"/>
        <v/>
      </c>
    </row>
    <row r="509" spans="28:28" x14ac:dyDescent="0.25">
      <c r="AB509" s="22" t="str">
        <f t="shared" si="8"/>
        <v/>
      </c>
    </row>
  </sheetData>
  <autoFilter ref="A1:L255" xr:uid="{00000000-0009-0000-0000-000009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7620</xdr:colOff>
                    <xdr:row>1</xdr:row>
                    <xdr:rowOff>7620</xdr:rowOff>
                  </from>
                  <to>
                    <xdr:col>16</xdr:col>
                    <xdr:colOff>83820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3.2" x14ac:dyDescent="0.25"/>
  <sheetData>
    <row r="1" spans="1:3" x14ac:dyDescent="0.25">
      <c r="C1" t="s">
        <v>34</v>
      </c>
    </row>
    <row r="2" spans="1:3" x14ac:dyDescent="0.25">
      <c r="A2" s="3">
        <v>28</v>
      </c>
      <c r="B2" s="3">
        <v>53</v>
      </c>
      <c r="C2" s="2" t="s">
        <v>239</v>
      </c>
    </row>
    <row r="3" spans="1:3" x14ac:dyDescent="0.25">
      <c r="A3" s="3">
        <v>28</v>
      </c>
      <c r="B3" s="3">
        <v>52</v>
      </c>
      <c r="C3" s="2" t="s">
        <v>240</v>
      </c>
    </row>
    <row r="4" spans="1:3" x14ac:dyDescent="0.25">
      <c r="A4" s="3">
        <v>28</v>
      </c>
      <c r="B4" s="3">
        <v>62</v>
      </c>
      <c r="C4" s="2" t="s">
        <v>196</v>
      </c>
    </row>
    <row r="5" spans="1:3" x14ac:dyDescent="0.25">
      <c r="A5" s="3">
        <v>28</v>
      </c>
      <c r="B5" s="3">
        <v>54</v>
      </c>
      <c r="C5" s="2" t="s">
        <v>241</v>
      </c>
    </row>
    <row r="6" spans="1:3" x14ac:dyDescent="0.25">
      <c r="A6" s="3">
        <v>28</v>
      </c>
      <c r="B6" s="3">
        <v>55</v>
      </c>
      <c r="C6" s="2" t="s">
        <v>242</v>
      </c>
    </row>
    <row r="7" spans="1:3" x14ac:dyDescent="0.25">
      <c r="A7" s="3">
        <v>30</v>
      </c>
      <c r="B7" s="3">
        <v>75</v>
      </c>
      <c r="C7" s="2" t="s">
        <v>243</v>
      </c>
    </row>
    <row r="8" spans="1:3" x14ac:dyDescent="0.25">
      <c r="A8" s="3">
        <v>30</v>
      </c>
      <c r="B8" s="3">
        <v>86</v>
      </c>
      <c r="C8" s="2" t="s">
        <v>244</v>
      </c>
    </row>
    <row r="9" spans="1:3" x14ac:dyDescent="0.25">
      <c r="A9" s="3">
        <v>30</v>
      </c>
      <c r="B9" s="3">
        <v>87</v>
      </c>
      <c r="C9" s="2" t="s">
        <v>245</v>
      </c>
    </row>
    <row r="10" spans="1:3" x14ac:dyDescent="0.25">
      <c r="A10" s="3">
        <v>30</v>
      </c>
      <c r="B10" s="3">
        <v>58</v>
      </c>
      <c r="C10" s="2" t="s">
        <v>246</v>
      </c>
    </row>
    <row r="11" spans="1:3" x14ac:dyDescent="0.25">
      <c r="A11" s="3">
        <v>3</v>
      </c>
      <c r="B11" s="3">
        <v>8</v>
      </c>
      <c r="C11" s="2" t="s">
        <v>76</v>
      </c>
    </row>
    <row r="12" spans="1:3" x14ac:dyDescent="0.25">
      <c r="A12" s="3">
        <v>3</v>
      </c>
      <c r="B12" s="3">
        <v>9</v>
      </c>
      <c r="C12" s="2" t="s">
        <v>77</v>
      </c>
    </row>
    <row r="13" spans="1:3" x14ac:dyDescent="0.25">
      <c r="A13" s="3">
        <v>3</v>
      </c>
      <c r="B13" s="3">
        <v>63</v>
      </c>
      <c r="C13" s="2" t="s">
        <v>78</v>
      </c>
    </row>
    <row r="14" spans="1:3" x14ac:dyDescent="0.25">
      <c r="A14" s="3">
        <v>3</v>
      </c>
      <c r="B14" s="3">
        <v>7</v>
      </c>
      <c r="C14" s="2" t="s">
        <v>79</v>
      </c>
    </row>
    <row r="15" spans="1:3" x14ac:dyDescent="0.25">
      <c r="A15" s="3">
        <v>3</v>
      </c>
      <c r="B15" s="3">
        <v>12</v>
      </c>
      <c r="C15" s="2" t="s">
        <v>80</v>
      </c>
    </row>
    <row r="16" spans="1:3" x14ac:dyDescent="0.25">
      <c r="A16" s="3">
        <v>3</v>
      </c>
      <c r="B16" s="3">
        <v>71</v>
      </c>
      <c r="C16" s="2" t="s">
        <v>81</v>
      </c>
    </row>
    <row r="17" spans="1:3" x14ac:dyDescent="0.25">
      <c r="A17" s="3">
        <v>3</v>
      </c>
      <c r="B17" s="3">
        <v>11</v>
      </c>
      <c r="C17" s="2" t="s">
        <v>82</v>
      </c>
    </row>
    <row r="18" spans="1:3" x14ac:dyDescent="0.25">
      <c r="A18" s="3">
        <v>4</v>
      </c>
      <c r="B18" s="3">
        <v>15</v>
      </c>
      <c r="C18" s="2" t="s">
        <v>247</v>
      </c>
    </row>
    <row r="19" spans="1:3" x14ac:dyDescent="0.25">
      <c r="A19" s="3">
        <v>4</v>
      </c>
      <c r="B19" s="3">
        <v>14</v>
      </c>
      <c r="C19" s="2" t="s">
        <v>248</v>
      </c>
    </row>
    <row r="20" spans="1:3" x14ac:dyDescent="0.25">
      <c r="A20" s="3">
        <v>4</v>
      </c>
      <c r="B20" s="3">
        <v>13</v>
      </c>
      <c r="C20" s="2" t="s">
        <v>249</v>
      </c>
    </row>
    <row r="21" spans="1:3" x14ac:dyDescent="0.25">
      <c r="A21" s="3">
        <v>31</v>
      </c>
      <c r="B21" s="3">
        <v>59</v>
      </c>
      <c r="C21" s="2" t="s">
        <v>83</v>
      </c>
    </row>
    <row r="22" spans="1:3" x14ac:dyDescent="0.25">
      <c r="A22" s="3">
        <v>31</v>
      </c>
      <c r="B22" s="3">
        <v>61</v>
      </c>
      <c r="C22" s="2" t="s">
        <v>84</v>
      </c>
    </row>
    <row r="23" spans="1:3" x14ac:dyDescent="0.25">
      <c r="A23" s="3">
        <v>31</v>
      </c>
      <c r="B23" s="3">
        <v>60</v>
      </c>
      <c r="C23" s="2" t="s">
        <v>85</v>
      </c>
    </row>
    <row r="24" spans="1:3" x14ac:dyDescent="0.25">
      <c r="A24" s="3">
        <v>34</v>
      </c>
      <c r="B24" s="3">
        <v>72</v>
      </c>
      <c r="C24" s="2" t="s">
        <v>376</v>
      </c>
    </row>
    <row r="25" spans="1:3" x14ac:dyDescent="0.25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3.2" x14ac:dyDescent="0.25"/>
  <sheetData>
    <row r="2" spans="1:1" x14ac:dyDescent="0.25">
      <c r="A2" t="s">
        <v>6</v>
      </c>
    </row>
    <row r="3" spans="1:1" x14ac:dyDescent="0.25">
      <c r="A3" t="s">
        <v>258</v>
      </c>
    </row>
    <row r="4" spans="1:1" x14ac:dyDescent="0.25">
      <c r="A4" t="s">
        <v>203</v>
      </c>
    </row>
    <row r="5" spans="1:1" x14ac:dyDescent="0.25">
      <c r="A5" t="s">
        <v>259</v>
      </c>
    </row>
    <row r="6" spans="1:1" x14ac:dyDescent="0.25">
      <c r="A6" t="s">
        <v>206</v>
      </c>
    </row>
    <row r="7" spans="1:1" x14ac:dyDescent="0.25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27</vt:i4>
      </vt:variant>
    </vt:vector>
  </HeadingPairs>
  <TitlesOfParts>
    <vt:vector size="39" baseType="lpstr">
      <vt:lpstr>Rent Statement</vt:lpstr>
      <vt:lpstr>Import</vt:lpstr>
      <vt:lpstr>Statistics (FIXED-1)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Mathew Tucker</cp:lastModifiedBy>
  <cp:lastPrinted>2007-06-05T09:51:23Z</cp:lastPrinted>
  <dcterms:created xsi:type="dcterms:W3CDTF">2007-01-07T18:12:56Z</dcterms:created>
  <dcterms:modified xsi:type="dcterms:W3CDTF">2018-07-18T14:23:21Z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