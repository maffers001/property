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Relationship Id="rId4" Target="docProps/custom.xml" Type="http://schemas.openxmlformats.org/officeDocument/2006/relationships/custom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564CA151-5A5B-428A-3C10-775976492406}" lastEdited="7" lowestEdited="7" rupBuild="22527"/>
  <workbookPr codeName="ThisWorkbook" defaultThemeVersion="124226"/>
  <mc:AlternateContent>
    <mc:Choice Requires="x15">
      <x15ac:absPath xmlns:x15ac="http://schemas.microsoft.com/office/spreadsheetml/2010/11/ac" url="M:\My Documents\Business\Property\Statements\working\testenvironment\"/>
    </mc:Choice>
  </mc:AlternateContent>
  <xr:revisionPtr documentId="13_ncr:1_{DADF1178-C491-4506-BCC7-BCE0434EB8B5}" revIDLastSave="0" xr10:uidLastSave="{00000000-0000-0000-0000-000000000000}" xr6:coauthVersionLast="45" xr6:coauthVersionMax="45"/>
  <bookViews>
    <workbookView activeTab="3" windowHeight="16440" windowWidth="29040" xWindow="28680" xr2:uid="{00000000-000D-0000-FFFF-FFFF00000000}" yWindow="-120"/>
  </bookViews>
  <sheets>
    <sheet name="Rent Statement" r:id="rId1" sheetId="1"/>
    <sheet name="Statistics" r:id="rId2" sheetId="31690"/>
    <sheet name="Import" r:id="rId3" sheetId="31686"/>
    <sheet name="MT" r:id="rId4" sheetId="31688"/>
    <sheet name="IV" r:id="rId5" sheetId="31689"/>
    <sheet name="IV (4040)" r:id="rId6" sheetId="31692"/>
    <sheet name="Managed Properties" r:id="rId7" sheetId="31681"/>
    <sheet name="Beals" r:id="rId8" sheetId="31687"/>
    <sheet name="Tenancies" r:id="rId9" sheetId="31680"/>
    <sheet name="Expense Categories" r:id="rId10" sheetId="31683"/>
    <sheet name="Rent Status" r:id="rId11" sheetId="31685"/>
  </sheets>
  <functionGroups builtInGroupCount="19"/>
  <definedNames>
    <definedName hidden="1" localSheetId="7" name="_xlnm._FilterDatabase">Beals!$A$1:$J$220</definedName>
    <definedName hidden="1" localSheetId="4" name="_xlnm._FilterDatabase">IV!$A$1:$I$92</definedName>
    <definedName hidden="1" localSheetId="5" name="_xlnm._FilterDatabase">'IV (4040)'!$A$1:$I$135</definedName>
    <definedName hidden="1" localSheetId="6" name="_xlnm._FilterDatabase">'Managed Properties'!$A$1:$E$75</definedName>
    <definedName hidden="1" localSheetId="3" name="_xlnm._FilterDatabase">MT!$A$1:$J$262</definedName>
    <definedName hidden="1" localSheetId="0" name="_xlnm._FilterDatabase">'Rent Statement'!$B$7:$U$63</definedName>
    <definedName hidden="1" localSheetId="8" name="_xlnm._FilterDatabase">Tenancies!$A$1:$L$256</definedName>
    <definedName localSheetId="5" name="BillListStart">#REF!</definedName>
    <definedName name="BillListStart">#REF!</definedName>
    <definedName localSheetId="5" name="BillPropertyList">#REF!</definedName>
    <definedName name="BillPropertyList">#REF!</definedName>
    <definedName name="Cleaning">'Expense Categories'!$B:$B</definedName>
    <definedName name="ExpenseCategoryList">'Expense Categories'!$C$1:$C$25</definedName>
    <definedName name="IV_Amount">IV!$D$67:$D$382</definedName>
    <definedName name="IV_Amount_4040">'IV (4040)'!$D$2:$D$490</definedName>
    <definedName name="IV_BankRef">IV!$F$67:$F$382</definedName>
    <definedName name="IV_BankRef_4040">'IV (4040)'!$I$2:$I$490</definedName>
    <definedName name="MT_Amount">MT!$D$2:$D$544</definedName>
    <definedName name="MT_BankRef">MT!$F$2:$F$544</definedName>
    <definedName name="MT_Desc">MT!$H$2:$H$544</definedName>
    <definedName name="MT_Include">MT!$J$2:$J$544</definedName>
    <definedName name="ProfitLossList">'Rent Statement'!$P$9:$P$63</definedName>
    <definedName name="PropertyList">'Managed Properties'!$B$1:$B$75</definedName>
    <definedName name="PropertyListStart">'Managed Properties'!$A$1</definedName>
    <definedName name="PropertyStatusList">'Rent Status'!$A$1:$A$7</definedName>
    <definedName name="rsBillPaymentList">'Rent Statement'!$I$65</definedName>
    <definedName name="rsCommentList">'Rent Statement'!$R$65</definedName>
    <definedName name="rsFeePaymentList">'Rent Statement'!$G$65</definedName>
    <definedName name="rsFeeVatPaymentList">'Rent Statement'!$H$65</definedName>
    <definedName name="rsMortgagePaymentList">'Rent Statement'!$O$9:XFA$63</definedName>
    <definedName name="rsNetPaymentList">'Rent Statement'!$J$65</definedName>
    <definedName name="rsProfitLossList">'Rent Statement'!$P$65</definedName>
    <definedName name="rsPropertyList">'Rent Statement'!$A$65</definedName>
    <definedName name="rsReconciledPaymentList">'Rent Statement'!$Q$65</definedName>
    <definedName name="rsRentStatusList">'Rent Statement'!$N$65</definedName>
    <definedName name="TenancyDisplayList">Tenancies!$AB$1:$AB$275</definedName>
    <definedName name="TenancyList">Tenancies!$D$1:$D$275</definedName>
    <definedName name="TenancyPropertyList">Tenancies!$B$1:$B$275</definedName>
    <definedName name="TenancyPropertyListStart">Tenancies!$A$1</definedName>
    <definedName name="Total_Rent">Import!$B$3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31689" l="1" r="D63"/>
  <c i="31690" l="1" r="B33"/>
  <c i="31690" r="B18"/>
  <c i="31690" r="B25"/>
  <c i="31690" r="C34"/>
  <c i="31690" r="B29"/>
  <c i="31690" r="B26"/>
  <c i="31690" r="C30"/>
  <c i="31690" r="B34"/>
  <c i="31690" r="B32"/>
  <c i="31690" r="C21"/>
  <c i="31690" r="B21"/>
  <c i="31690" r="C31"/>
  <c i="31690" r="B24"/>
  <c i="31690" r="C18"/>
  <c i="31690" r="B31"/>
  <c i="31690" r="C25"/>
  <c i="31690" r="C32"/>
  <c i="31690" r="B17"/>
  <c i="31690" r="C26"/>
  <c i="31690" r="C29"/>
  <c i="31690" r="B22"/>
  <c i="31690" r="E39"/>
  <c i="31690" r="C24"/>
  <c i="31690" r="B30"/>
  <c i="31690" r="C22"/>
  <c i="31690" r="C17"/>
  <c i="31690" r="C33"/>
  <c i="1" l="1" r="M29"/>
  <c i="1" r="P29" s="1"/>
  <c i="1" r="Q29"/>
  <c i="31690" l="1" r="F39"/>
  <c i="1" r="Q63"/>
  <c i="1" r="Q62"/>
  <c i="1" r="Q61"/>
  <c i="1" r="Q60"/>
  <c i="1" r="Q59"/>
  <c i="1" r="Q58"/>
  <c i="1" r="Q57"/>
  <c i="1" r="Q56"/>
  <c i="1" r="Q55"/>
  <c i="1" r="Q54"/>
  <c i="1" r="Q53"/>
  <c i="1" r="Q52"/>
  <c i="1" r="Q51"/>
  <c i="1" r="Q50"/>
  <c i="1" r="Q49"/>
  <c i="1" r="Q48"/>
  <c i="1" r="Q47"/>
  <c i="1" r="Q46"/>
  <c i="1" r="Q45"/>
  <c i="1" r="Q44"/>
  <c i="1" r="Q43"/>
  <c i="1" r="Q42"/>
  <c i="1" r="Q41"/>
  <c i="1" r="Q40"/>
  <c i="1" r="Q39"/>
  <c i="1" r="Q38"/>
  <c i="1" r="Q37"/>
  <c i="1" r="Q36"/>
  <c i="1" r="Q35"/>
  <c i="1" r="Q34"/>
  <c i="1" r="Q33"/>
  <c i="1" r="Q32"/>
  <c i="1" r="Q31"/>
  <c i="1" r="Q30"/>
  <c i="1" r="Q28"/>
  <c i="1" r="Q27"/>
  <c i="1" r="Q26"/>
  <c i="1" r="Q25"/>
  <c i="1" r="Q24"/>
  <c i="1" r="Q23"/>
  <c i="1" r="Q22"/>
  <c i="1" r="Q21"/>
  <c i="1" r="Q20"/>
  <c i="1" r="Q19"/>
  <c i="1" r="Q18"/>
  <c i="1" r="Q17"/>
  <c i="1" r="Q16"/>
  <c i="1" r="Q15"/>
  <c i="1" r="Q14"/>
  <c i="1" r="Q13"/>
  <c i="1" r="Q12"/>
  <c i="1" r="Q11"/>
  <c i="1" r="Q10"/>
  <c i="1" r="Q9"/>
  <c i="31690" l="1" r="I10"/>
  <c i="31690" r="I9"/>
  <c i="31690" r="I8"/>
  <c i="31690" l="1" r="B5"/>
  <c i="31690" r="E5"/>
  <c i="31690" r="H5"/>
  <c i="31690" r="C6"/>
  <c i="31690" r="F6"/>
  <c i="31690" r="I6"/>
  <c i="31690" r="C7"/>
  <c i="31690" r="F7"/>
  <c i="31690" r="I7"/>
  <c i="31690" r="C8"/>
  <c i="31690" r="F8"/>
  <c i="31690" r="C9"/>
  <c i="31690" r="F9"/>
  <c i="31690" r="F10"/>
  <c i="31690" r="D35"/>
  <c i="31690" l="1" r="E38"/>
  <c i="31690" r="F38"/>
  <c i="31690" r="C36"/>
  <c i="31690" r="E12"/>
  <c i="31690" r="B15" s="1"/>
  <c i="31690" r="B12"/>
  <c i="31690" r="H12"/>
  <c i="31690" r="C15" s="1"/>
  <c i="31690" r="D34"/>
  <c i="31690" r="D31"/>
  <c i="31690" r="D33"/>
  <c i="31690" r="D29"/>
  <c i="31690" r="B36"/>
  <c i="31690" r="D30"/>
  <c i="31690" r="C19"/>
  <c i="31690" r="D32"/>
  <c i="31690" r="B19"/>
  <c i="31690" l="1" r="F35"/>
  <c i="31690" r="E34"/>
  <c i="31690" r="D36"/>
  <c i="1" r="M63"/>
  <c i="1" r="P63" s="1"/>
  <c i="1" r="M62"/>
  <c i="1" r="P62" s="1"/>
  <c i="1" r="M61"/>
  <c i="1" r="P61" s="1"/>
  <c i="1" r="M60"/>
  <c i="1" r="P60" s="1"/>
  <c i="1" r="M59"/>
  <c i="1" r="P59" s="1"/>
  <c i="1" r="M58"/>
  <c i="1" r="P58" s="1"/>
  <c i="1" r="M57"/>
  <c i="1" r="P57" s="1"/>
  <c i="1" r="M56"/>
  <c i="1" r="P56" s="1"/>
  <c i="1" r="M55"/>
  <c i="1" r="P55" s="1"/>
  <c i="1" r="M54"/>
  <c i="1" r="P54" s="1"/>
  <c i="1" r="M53"/>
  <c i="1" r="P53" s="1"/>
  <c i="1" r="M52"/>
  <c i="1" r="P52" s="1"/>
  <c i="1" r="M51"/>
  <c i="1" r="P51" s="1"/>
  <c i="1" r="M50"/>
  <c i="1" r="P50" s="1"/>
  <c i="1" r="M49"/>
  <c i="1" r="P49" s="1"/>
  <c i="1" r="M48"/>
  <c i="1" r="P48" s="1"/>
  <c i="1" r="M47"/>
  <c i="1" r="P47" s="1"/>
  <c i="1" r="M46"/>
  <c i="1" r="P46" s="1"/>
  <c i="1" r="M45"/>
  <c i="1" r="P45" s="1"/>
  <c i="1" r="M44"/>
  <c i="1" r="P44" s="1"/>
  <c i="1" r="M43"/>
  <c i="1" r="P43" s="1"/>
  <c i="1" r="M42"/>
  <c i="1" r="P42" s="1"/>
  <c i="1" r="M41"/>
  <c i="1" r="P41" s="1"/>
  <c i="1" r="M40"/>
  <c i="1" r="P40" s="1"/>
  <c i="1" r="M39"/>
  <c i="1" r="P39" s="1"/>
  <c i="1" r="M38"/>
  <c i="1" r="P38" s="1"/>
  <c i="1" r="M37"/>
  <c i="1" r="P37" s="1"/>
  <c i="1" r="M36"/>
  <c i="1" r="P36" s="1"/>
  <c i="1" r="M35"/>
  <c i="1" r="P35" s="1"/>
  <c i="1" r="M34"/>
  <c i="1" r="P34" s="1"/>
  <c i="1" r="M33"/>
  <c i="1" r="P33" s="1"/>
  <c i="1" r="M32"/>
  <c i="1" r="P32" s="1"/>
  <c i="1" r="M31"/>
  <c i="1" r="P31" s="1"/>
  <c i="1" r="M30"/>
  <c i="1" r="P30" s="1"/>
  <c i="1" r="M28"/>
  <c i="1" r="P28" s="1"/>
  <c i="1" r="M27"/>
  <c i="1" r="P27" s="1"/>
  <c i="1" r="M26"/>
  <c i="1" r="P26" s="1"/>
  <c i="1" r="M25"/>
  <c i="1" r="P25" s="1"/>
  <c i="1" r="M24"/>
  <c i="1" r="P24" s="1"/>
  <c i="1" r="M23"/>
  <c i="1" r="P23" s="1"/>
  <c i="1" r="M22"/>
  <c i="1" r="P22" s="1"/>
  <c i="1" r="M21"/>
  <c i="1" r="P21" s="1"/>
  <c i="1" r="M20"/>
  <c i="1" r="P20" s="1"/>
  <c i="1" r="M19"/>
  <c i="1" r="P19" s="1"/>
  <c i="1" r="M18"/>
  <c i="1" r="P18" s="1"/>
  <c i="1" r="M17"/>
  <c i="1" r="P17" s="1"/>
  <c i="1" r="M16"/>
  <c i="1" r="P16" s="1"/>
  <c i="1" r="M15"/>
  <c i="1" r="P15" s="1"/>
  <c i="1" r="M14"/>
  <c i="1" r="P14" s="1"/>
  <c i="1" r="M13"/>
  <c i="1" r="P13" s="1"/>
  <c i="1" r="M12"/>
  <c i="1" r="P12" s="1"/>
  <c i="1" r="M11"/>
  <c i="1" r="P11" s="1"/>
  <c i="1" r="M10"/>
  <c i="1" r="P10" s="1"/>
  <c i="1" r="P9"/>
  <c i="1" r="L65"/>
  <c i="1" r="J65"/>
  <c i="1" r="I65"/>
  <c i="1" r="H65"/>
  <c i="1" r="F65"/>
  <c i="1" r="G65"/>
  <c i="31680" r="AB220"/>
  <c i="31680" r="AB245"/>
  <c i="31680" r="AB42"/>
  <c i="31680" r="AB39"/>
  <c i="31680" r="AB153"/>
  <c i="31680" r="AB135"/>
  <c i="31680" r="AB27"/>
  <c i="31680" r="AB6"/>
  <c i="31680" r="AB242"/>
  <c i="31680" r="AB73"/>
  <c i="31680" r="AB102"/>
  <c i="31680" r="AB265"/>
  <c i="31680" r="AB201"/>
  <c i="31680" r="AB131"/>
  <c i="31680" r="AB33"/>
  <c i="31680" r="AB208"/>
  <c i="31680" r="AB99"/>
  <c i="31680" r="AB29"/>
  <c i="31680" r="AB56"/>
  <c i="31680" r="AB133"/>
  <c i="31680" r="AB86"/>
  <c i="31680" r="AB269"/>
  <c i="31680" r="AB270"/>
  <c i="31680" r="AB271"/>
  <c i="31680" r="AB209"/>
  <c i="31680" r="AB163"/>
  <c i="31680" r="AB119"/>
  <c i="31680" r="AB272"/>
  <c i="31680" r="AB206"/>
  <c i="31680" r="AB149"/>
  <c i="31680" r="AB212"/>
  <c i="31680" r="AB226"/>
  <c i="31680" r="AB227"/>
  <c i="31680" r="AB241"/>
  <c i="31680" r="AB170"/>
  <c i="31680" r="AB62"/>
  <c i="31680" r="AB30"/>
  <c i="31680" r="AB32"/>
  <c i="31680" r="AB31"/>
  <c i="31680" r="AB108"/>
  <c i="31680" r="AB142"/>
  <c i="31680" r="AB103"/>
  <c i="31680" r="AB243"/>
  <c i="31680" r="AB11"/>
  <c i="31680" r="AB13"/>
  <c i="31680" r="AB121"/>
  <c i="31680" r="AB67"/>
  <c i="31680" r="AB190"/>
  <c i="31680" r="AB158"/>
  <c i="31680" r="AB240"/>
  <c i="31680" r="AB274"/>
  <c i="31680" r="AB157"/>
  <c i="31680" r="AB188"/>
  <c i="31680" r="AB192"/>
  <c i="31680" r="AB151"/>
  <c i="31680" r="AB5"/>
  <c i="31680" r="AB7"/>
  <c i="31680" r="AB173"/>
  <c i="31680" r="AB267"/>
  <c i="31680" r="AB147"/>
  <c i="31680" r="AB72"/>
  <c i="31680" r="AB71"/>
  <c i="31680" r="AB266"/>
  <c i="31680" r="AB193"/>
  <c i="31680" r="AB18"/>
  <c i="31680" r="AB126"/>
  <c i="31680" r="AB237"/>
  <c i="31680" r="AB181"/>
  <c i="31680" r="AB268"/>
  <c i="31680" r="AB230"/>
  <c i="31680" r="AB65"/>
  <c i="31680" r="AB20"/>
  <c i="31680" r="AB171"/>
  <c i="31680" r="AB113"/>
  <c i="31680" r="AB217"/>
  <c i="31680" r="AB185"/>
  <c i="31680" r="AB132"/>
  <c i="31680" r="AB41"/>
  <c i="31680" r="AB140"/>
  <c i="31680" r="AB107"/>
  <c i="31680" r="AB150"/>
  <c i="31680" r="AB22"/>
  <c i="31680" r="AB16"/>
  <c i="31680" r="AB47"/>
  <c i="31680" r="AB141"/>
  <c i="31680" r="AB48"/>
  <c i="31680" r="AB275"/>
  <c i="31680" r="AB210"/>
  <c i="31680" r="AB262"/>
  <c i="31680" r="AB44"/>
  <c i="31680" r="AB45"/>
  <c i="31680" r="AB36"/>
  <c i="31680" r="AB137"/>
  <c i="31680" r="AB169"/>
  <c i="31680" r="AB8"/>
  <c i="31680" r="AB38"/>
  <c i="31680" r="AB17"/>
  <c i="31680" r="AB155"/>
  <c i="31680" r="AB214"/>
  <c i="31680" r="AB43"/>
  <c i="31680" r="AB57"/>
  <c i="31680" r="AB112"/>
  <c i="31680" r="AB15"/>
  <c i="31680" r="AB254"/>
  <c i="31680" r="AB249"/>
  <c i="31680" r="AB213"/>
  <c i="31680" r="AB60"/>
  <c i="31680" r="AB125"/>
  <c i="31680" r="AB233"/>
  <c i="31680" r="AB82"/>
  <c i="31680" r="AB199"/>
  <c i="31680" r="AB53"/>
  <c i="31680" r="AB46"/>
  <c i="31680" r="AB98"/>
  <c i="31680" r="AB139"/>
  <c i="31680" r="AB182"/>
  <c i="31680" r="AB168"/>
  <c i="31680" r="AB175"/>
  <c i="31680" r="AB104"/>
  <c i="31680" r="AB257"/>
  <c i="31680" r="AB258"/>
  <c i="31680" r="AB106"/>
  <c i="31680" r="AB167"/>
  <c i="31680" r="AB219"/>
  <c i="31680" r="AB100"/>
  <c i="31680" r="AB70"/>
  <c i="31680" r="AB205"/>
  <c i="31680" r="AB116"/>
  <c i="31680" r="AB152"/>
  <c i="31680" r="AB154"/>
  <c i="31680" r="AB273"/>
  <c i="31680" r="AB105"/>
  <c i="31680" r="AB204"/>
  <c i="31680" r="AB96"/>
  <c i="31680" r="AB224"/>
  <c i="31680" r="AB77"/>
  <c i="31680" r="AB76"/>
  <c i="31680" r="AB122"/>
  <c i="31680" r="AB234"/>
  <c i="31680" r="AB228"/>
  <c i="31680" r="AB252"/>
  <c i="31680" r="AB251"/>
  <c i="31680" r="AB231"/>
  <c i="31680" r="AB207"/>
  <c i="31680" r="AB114"/>
  <c i="31680" r="AB9"/>
  <c i="31680" r="AB115"/>
  <c i="31680" r="AB75"/>
  <c i="31680" r="AB177"/>
  <c i="31680" r="AB63"/>
  <c i="31680" r="AB176"/>
  <c i="31680" r="AB92"/>
  <c i="31680" r="AB21"/>
  <c i="31680" r="AB109"/>
  <c i="31680" r="AB97"/>
  <c i="31680" r="AB166"/>
  <c i="31680" r="AB52"/>
  <c i="31680" r="AB59"/>
  <c i="31680" r="AB61"/>
  <c i="31680" r="AB225"/>
  <c i="31680" r="AB87"/>
  <c i="31680" r="AB88"/>
  <c i="31680" r="AB172"/>
  <c i="31680" r="AB68"/>
  <c i="31680" r="AB248"/>
  <c i="31680" r="AB89"/>
  <c i="31680" r="AB198"/>
  <c i="31680" r="AB197"/>
  <c i="31680" r="AB211"/>
  <c i="31680" r="AB261"/>
  <c i="31680" r="AB260"/>
  <c i="31680" r="AB216"/>
  <c i="31680" r="AB111"/>
  <c i="31680" r="AB250"/>
  <c i="31680" r="AB148"/>
  <c i="31680" r="AB146"/>
  <c i="31680" r="AB156"/>
  <c i="31680" r="AB4"/>
  <c i="31680" r="AB143"/>
  <c i="31680" r="AB144"/>
  <c i="31680" r="AB145"/>
  <c i="31680" r="AB130"/>
  <c i="31680" r="AB120"/>
  <c i="31680" r="AB186"/>
  <c i="31680" r="AB134"/>
  <c i="31680" r="AB165"/>
  <c i="31680" r="AB195"/>
  <c i="31680" r="AB232"/>
  <c i="31680" r="AB54"/>
  <c i="31680" r="AB81"/>
  <c i="31680" r="AB229"/>
  <c i="31680" r="AB191"/>
  <c i="31680" r="AB84"/>
  <c i="31680" r="AB255"/>
  <c i="31680" r="AB129"/>
  <c i="31680" r="AB256"/>
  <c i="31680" r="AB110"/>
  <c i="31680" r="AB238"/>
  <c i="31680" r="AB239"/>
  <c i="31680" r="AB94"/>
  <c i="31680" r="AB95"/>
  <c i="31680" r="AB174"/>
  <c i="31680" r="AB244"/>
  <c i="31680" r="AB246"/>
  <c i="31680" r="AB91"/>
  <c i="31680" r="AB26"/>
  <c i="31680" r="AB247"/>
  <c i="31680" r="AB189"/>
  <c i="31680" r="AB37"/>
  <c i="31680" r="AB159"/>
  <c i="31680" r="AB235"/>
  <c i="31680" r="AB50"/>
  <c i="31680" r="AB184"/>
  <c i="31680" r="AB183"/>
  <c i="31680" r="AB236"/>
  <c i="31680" r="AB160"/>
  <c i="31680" r="AB162"/>
  <c i="31680" r="AB161"/>
  <c i="31680" r="AB55"/>
  <c i="31680" r="AB14"/>
  <c i="31680" r="AB25"/>
  <c i="31680" r="AB49"/>
  <c i="31680" r="AB259"/>
  <c i="31680" r="AB118"/>
  <c i="31680" r="AB58"/>
  <c i="31680" r="AB200"/>
  <c i="31680" r="AB123"/>
  <c i="31680" r="AB222"/>
  <c i="31680" r="AB202"/>
  <c i="31680" r="AB101"/>
  <c i="31680" r="AB28"/>
  <c i="31680" r="AB83"/>
  <c i="31680" r="AB164"/>
  <c i="31680" r="AB196"/>
  <c i="31680" r="AB19"/>
  <c i="31680" r="AB127"/>
  <c i="31680" r="AB10"/>
  <c i="31680" r="AB34"/>
  <c i="31680" r="AB12"/>
  <c i="31680" r="AB203"/>
  <c i="31680" r="AB74"/>
  <c i="31680" r="AB69"/>
  <c i="31680" r="AB90"/>
  <c i="31680" r="AB138"/>
  <c i="31680" r="AB78"/>
  <c i="31680" r="AB178"/>
  <c i="31680" r="AB40"/>
  <c i="31680" r="AB253"/>
  <c i="31680" r="AB218"/>
  <c i="31680" r="AB221"/>
  <c i="31680" r="AB79"/>
  <c i="31680" r="AB117"/>
  <c i="31680" r="AB179"/>
  <c i="31680" r="AB35"/>
  <c i="31680" r="AB24"/>
  <c i="31680" r="AB180"/>
  <c i="31680" r="AB23"/>
  <c i="31680" r="AB187"/>
  <c i="31680" r="AB128"/>
  <c i="31680" r="AB85"/>
  <c i="31680" r="AB223"/>
  <c i="31680" r="AB66"/>
  <c i="31680" r="AB80"/>
  <c i="31680" r="AB194"/>
  <c i="31680" r="AB64"/>
  <c i="31680" r="AB264"/>
  <c i="31680" r="AB215"/>
  <c i="31680" r="AB263"/>
  <c i="31680" r="AB136"/>
  <c i="31680" r="AB124"/>
  <c i="31680" r="AB51"/>
  <c i="31680" r="AB2"/>
  <c i="31680" r="AB3"/>
  <c i="31680" r="AB276"/>
  <c i="31680" r="AB277"/>
  <c i="31680" r="AB278"/>
  <c i="31680" r="AB279"/>
  <c i="31680" r="AB280"/>
  <c i="31680" r="AB281"/>
  <c i="31680" r="AB282"/>
  <c i="31680" r="AB283"/>
  <c i="31680" r="AB284"/>
  <c i="31680" r="AB285"/>
  <c i="31680" r="AB286"/>
  <c i="31680" r="AB287"/>
  <c i="31680" r="AB288"/>
  <c i="31680" r="AB289"/>
  <c i="31680" r="AB290"/>
  <c i="31680" r="AB291"/>
  <c i="31680" r="AB292"/>
  <c i="31680" r="AB293"/>
  <c i="31680" r="AB294"/>
  <c i="31680" r="AB295"/>
  <c i="31680" r="AB296"/>
  <c i="31680" r="AB297"/>
  <c i="31680" r="AB298"/>
  <c i="31680" r="AB299"/>
  <c i="31680" r="AB300"/>
  <c i="31680" r="AB301"/>
  <c i="31680" r="AB302"/>
  <c i="31680" r="AB303"/>
  <c i="31680" r="AB304"/>
  <c i="31680" r="AB305"/>
  <c i="31680" r="AB306"/>
  <c i="31680" r="AB307"/>
  <c i="31680" r="AB308"/>
  <c i="31680" r="AB309"/>
  <c i="31680" r="AB310"/>
  <c i="31680" r="AB311"/>
  <c i="31680" r="AB312"/>
  <c i="31680" r="AB313"/>
  <c i="31680" r="AB314"/>
  <c i="31680" r="AB315"/>
  <c i="31680" r="AB316"/>
  <c i="31680" r="AB317"/>
  <c i="31680" r="AB318"/>
  <c i="31680" r="AB319"/>
  <c i="31680" r="AB320"/>
  <c i="31680" r="AB321"/>
  <c i="31680" r="AB322"/>
  <c i="31680" r="AB323"/>
  <c i="31680" r="AB324"/>
  <c i="31680" r="AB325"/>
  <c i="31680" r="AB326"/>
  <c i="31680" r="AB327"/>
  <c i="31680" r="AB328"/>
  <c i="31680" r="AB329"/>
  <c i="31680" r="AB330"/>
  <c i="31680" r="AB331"/>
  <c i="31680" r="AB332"/>
  <c i="31680" r="AB333"/>
  <c i="31680" r="AB334"/>
  <c i="31680" r="AB335"/>
  <c i="31680" r="AB336"/>
  <c i="31680" r="AB337"/>
  <c i="31680" r="AB338"/>
  <c i="31680" r="AB339"/>
  <c i="31680" r="AB340"/>
  <c i="31680" r="AB341"/>
  <c i="31680" r="AB342"/>
  <c i="31680" r="AB343"/>
  <c i="31680" r="AB344"/>
  <c i="31680" r="AB345"/>
  <c i="31680" r="AB346"/>
  <c i="31680" r="AB347"/>
  <c i="31680" r="AB348"/>
  <c i="31680" r="AB349"/>
  <c i="31680" r="AB350"/>
  <c i="31680" r="AB351"/>
  <c i="31680" r="AB352"/>
  <c i="31680" r="AB353"/>
  <c i="31680" r="AB354"/>
  <c i="31680" r="AB355"/>
  <c i="31680" r="AB356"/>
  <c i="31680" r="AB357"/>
  <c i="31680" r="AB358"/>
  <c i="31680" r="AB359"/>
  <c i="31680" r="AB360"/>
  <c i="31680" r="AB361"/>
  <c i="31680" r="AB362"/>
  <c i="31680" r="AB363"/>
  <c i="31680" r="AB364"/>
  <c i="31680" r="AB365"/>
  <c i="31680" r="AB366"/>
  <c i="31680" r="AB367"/>
  <c i="31680" r="AB368"/>
  <c i="31680" r="AB369"/>
  <c i="31680" r="AB370"/>
  <c i="31680" r="AB371"/>
  <c i="31680" r="AB372"/>
  <c i="31680" r="AB373"/>
  <c i="31680" r="AB374"/>
  <c i="31680" r="AB375"/>
  <c i="31680" r="AB376"/>
  <c i="31680" r="AB377"/>
  <c i="31680" r="AB378"/>
  <c i="31680" r="AB379"/>
  <c i="31680" r="AB380"/>
  <c i="31680" r="AB381"/>
  <c i="31680" r="AB382"/>
  <c i="31680" r="AB383"/>
  <c i="31680" r="AB384"/>
  <c i="31680" r="AB385"/>
  <c i="31680" r="AB386"/>
  <c i="31680" r="AB387"/>
  <c i="31680" r="AB388"/>
  <c i="31680" r="AB389"/>
  <c i="31680" r="AB390"/>
  <c i="31680" r="AB391"/>
  <c i="31680" r="AB392"/>
  <c i="31680" r="AB393"/>
  <c i="31680" r="AB394"/>
  <c i="31680" r="AB395"/>
  <c i="31680" r="AB396"/>
  <c i="31680" r="AB397"/>
  <c i="31680" r="AB398"/>
  <c i="31680" r="AB399"/>
  <c i="31680" r="AB400"/>
  <c i="31680" r="AB401"/>
  <c i="31680" r="AB402"/>
  <c i="31680" r="AB403"/>
  <c i="31680" r="AB404"/>
  <c i="31680" r="AB405"/>
  <c i="31680" r="AB406"/>
  <c i="31680" r="AB407"/>
  <c i="31680" r="AB408"/>
  <c i="31680" r="AB409"/>
  <c i="31680" r="AB410"/>
  <c i="31680" r="AB411"/>
  <c i="31680" r="AB412"/>
  <c i="31680" r="AB413"/>
  <c i="31680" r="AB414"/>
  <c i="31680" r="AB415"/>
  <c i="31680" r="AB416"/>
  <c i="31680" r="AB417"/>
  <c i="31680" r="AB418"/>
  <c i="31680" r="AB419"/>
  <c i="31680" r="AB420"/>
  <c i="31680" r="AB421"/>
  <c i="31680" r="AB422"/>
  <c i="31680" r="AB423"/>
  <c i="31680" r="AB424"/>
  <c i="31680" r="AB425"/>
  <c i="31680" r="AB426"/>
  <c i="31680" r="AB427"/>
  <c i="31680" r="AB428"/>
  <c i="31680" r="AB429"/>
  <c i="31680" r="AB430"/>
  <c i="31680" r="AB431"/>
  <c i="31680" r="AB432"/>
  <c i="31680" r="AB433"/>
  <c i="31680" r="AB434"/>
  <c i="31680" r="AB435"/>
  <c i="31680" r="AB436"/>
  <c i="31680" r="AB437"/>
  <c i="31680" r="AB438"/>
  <c i="31680" r="AB439"/>
  <c i="31680" r="AB440"/>
  <c i="31680" r="AB441"/>
  <c i="31680" r="AB442"/>
  <c i="31680" r="AB443"/>
  <c i="31680" r="AB444"/>
  <c i="31680" r="AB445"/>
  <c i="31680" r="AB446"/>
  <c i="31680" r="AB447"/>
  <c i="31680" r="AB448"/>
  <c i="31680" r="AB449"/>
  <c i="31680" r="AB450"/>
  <c i="31680" r="AB451"/>
  <c i="31680" r="AB452"/>
  <c i="31680" r="AB453"/>
  <c i="31680" r="AB454"/>
  <c i="31680" r="AB455"/>
  <c i="31680" r="AB456"/>
  <c i="31680" r="AB457"/>
  <c i="31680" r="AB458"/>
  <c i="31680" r="AB459"/>
  <c i="31680" r="AB460"/>
  <c i="31680" r="AB461"/>
  <c i="31680" r="AB462"/>
  <c i="31680" r="AB463"/>
  <c i="31680" r="AB464"/>
  <c i="31680" r="AB465"/>
  <c i="31680" r="AB466"/>
  <c i="31680" r="AB467"/>
  <c i="31680" r="AB468"/>
  <c i="31680" r="AB469"/>
  <c i="31680" r="AB470"/>
  <c i="31680" r="AB471"/>
  <c i="31680" r="AB472"/>
  <c i="31680" r="AB473"/>
  <c i="31680" r="AB474"/>
  <c i="31680" r="AB475"/>
  <c i="31680" r="AB476"/>
  <c i="31680" r="AB477"/>
  <c i="31680" r="AB478"/>
  <c i="31680" r="AB479"/>
  <c i="31680" r="AB480"/>
  <c i="31680" r="AB481"/>
  <c i="31680" r="AB482"/>
  <c i="31680" r="AB483"/>
  <c i="31680" r="AB484"/>
  <c i="31680" r="AB485"/>
  <c i="31680" r="AB486"/>
  <c i="31680" r="AB487"/>
  <c i="31680" r="AB488"/>
  <c i="31680" r="AB489"/>
  <c i="31680" r="AB490"/>
  <c i="31680" r="AB491"/>
  <c i="31680" r="AB492"/>
  <c i="31680" r="AB493"/>
  <c i="31680" r="AB494"/>
  <c i="31680" r="AB495"/>
  <c i="31680" r="AB496"/>
  <c i="31680" r="AB497"/>
  <c i="31680" r="AB498"/>
  <c i="31680" r="AB499"/>
  <c i="31680" r="AB500"/>
  <c i="31680" r="AB501"/>
  <c i="31680" r="AB502"/>
  <c i="31680" r="AB503"/>
  <c i="31680" r="AB504"/>
  <c i="31680" r="AB505"/>
  <c i="31680" r="AB506"/>
  <c i="31680" r="AB507"/>
  <c i="31680" r="AB508"/>
  <c i="31680" r="AB509"/>
  <c i="31680" r="AB510"/>
  <c i="31690" l="1" r="E33"/>
  <c i="31690" r="E31"/>
  <c i="31690" r="E29"/>
  <c i="31690" r="E25"/>
  <c i="31690" r="E30"/>
  <c i="31690" r="E26"/>
  <c i="31690" r="E32"/>
  <c i="31690" r="E24"/>
  <c i="31690" r="E35"/>
  <c i="31690" r="F29"/>
  <c i="31690" r="F26"/>
  <c i="31690" r="F25"/>
  <c i="31690" r="F24"/>
  <c i="31690" r="F34"/>
  <c i="31690" r="F30"/>
  <c i="31690" r="F31"/>
  <c i="31690" r="F33"/>
  <c i="31690" r="F32"/>
  <c i="1" r="M65"/>
  <c i="1" r="P65"/>
  <c i="1" r="O65"/>
  <c i="31690" l="1" r="E36"/>
  <c i="31690" r="E41" s="1"/>
  <c i="31690" r="E48" s="1"/>
  <c i="31690" r="F36"/>
  <c i="31690" r="F4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</author>
  </authors>
  <commentList>
    <comment authorId="0" ref="A7" shapeId="0" xr:uid="{00000000-0006-0000-0000-000001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authorId="0" ref="B7" shapeId="0" xr:uid="{00000000-0006-0000-0000-000002000000}">
      <text>
        <r>
          <rPr>
            <b/>
            <sz val="8"/>
            <color indexed="81"/>
            <rFont val="Tahoma"/>
            <family val="2"/>
          </rPr>
          <t>Click arrow button in yellow cells below for list of tenancies associated with property. If list is empty use Manage Tenancies above to add or update tenancies.</t>
        </r>
      </text>
    </comment>
    <comment authorId="0" ref="C7" shapeId="0" xr:uid="{00000000-0006-0000-0000-000003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authorId="0" ref="D7" shapeId="0" xr:uid="{00000000-0006-0000-0000-000004000000}">
      <text>
        <r>
          <rPr>
            <b/>
            <sz val="8"/>
            <color indexed="81"/>
            <rFont val="Tahoma"/>
            <family val="2"/>
          </rPr>
          <t>Start period rent applies to. Although this field is optional, please enter where possible.</t>
        </r>
      </text>
    </comment>
    <comment authorId="0" ref="E7" shapeId="0" xr:uid="{00000000-0006-0000-0000-000005000000}">
      <text>
        <r>
          <rPr>
            <b/>
            <sz val="8"/>
            <color indexed="81"/>
            <rFont val="Tahoma"/>
            <family val="2"/>
          </rPr>
          <t>End period rent applies to. This field is mandatory.</t>
        </r>
      </text>
    </comment>
    <comment authorId="0" ref="F7" shapeId="0" xr:uid="{00000000-0006-0000-0000-000006000000}">
      <text>
        <r>
          <rPr>
            <b/>
            <sz val="8"/>
            <color indexed="81"/>
            <rFont val="Tahoma"/>
            <family val="2"/>
          </rPr>
          <t>Rent collected for period.</t>
        </r>
      </text>
    </comment>
    <comment authorId="0" ref="G7" shapeId="0" xr:uid="{00000000-0006-0000-0000-000007000000}">
      <text>
        <r>
          <rPr>
            <b/>
            <sz val="8"/>
            <color indexed="81"/>
            <rFont val="Tahoma"/>
            <family val="2"/>
          </rPr>
          <t>Management fee.</t>
        </r>
      </text>
    </comment>
    <comment authorId="0" ref="H7" shapeId="0" xr:uid="{00000000-0006-0000-0000-000008000000}">
      <text>
        <r>
          <rPr>
            <b/>
            <sz val="8"/>
            <color indexed="81"/>
            <rFont val="Tahoma"/>
            <family val="2"/>
          </rPr>
          <t>VAT on management fee.</t>
        </r>
      </text>
    </comment>
    <comment authorId="0" ref="I7" shapeId="0" xr:uid="{00000000-0006-0000-0000-000009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authorId="0" ref="J7" shapeId="0" xr:uid="{00000000-0006-0000-0000-00000A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authorId="0" ref="K7" shapeId="0" xr:uid="{00000000-0006-0000-0000-00000B000000}">
      <text>
        <r>
          <rPr>
            <b/>
            <sz val="8"/>
            <color indexed="81"/>
            <rFont val="Tahoma"/>
            <family val="2"/>
          </rPr>
          <t>Date the payment was made into the bank account.</t>
        </r>
      </text>
    </comment>
    <comment authorId="0" ref="L7" shapeId="0" xr:uid="{00000000-0006-0000-0000-00000C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authorId="0" ref="M7" shapeId="0" xr:uid="{00000000-0006-0000-0000-00000D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authorId="0" ref="R7" shapeId="0" xr:uid="{00000000-0006-0000-0000-00000E000000}">
      <text>
        <r>
          <rPr>
            <b/>
            <sz val="8"/>
            <color indexed="81"/>
            <rFont val="Tahoma"/>
            <family val="2"/>
          </rPr>
          <t>Enter any relevant information concerning this rent collection or tenancy here.</t>
        </r>
      </text>
    </comment>
  </commentList>
</comments>
</file>

<file path=xl/sharedStrings.xml><?xml version="1.0" encoding="utf-8"?>
<sst xmlns="http://schemas.openxmlformats.org/spreadsheetml/2006/main" count="4547" uniqueCount="1050">
  <si>
    <t>VAT</t>
  </si>
  <si>
    <t>Bills Paid</t>
  </si>
  <si>
    <t>Rent Period from</t>
  </si>
  <si>
    <t>Rent Period to</t>
  </si>
  <si>
    <t>Mgmt Fees</t>
  </si>
  <si>
    <t>Rental Amount</t>
  </si>
  <si>
    <t>Paid</t>
  </si>
  <si>
    <t>Date Paid</t>
  </si>
  <si>
    <t>Other information</t>
  </si>
  <si>
    <t>Williams</t>
  </si>
  <si>
    <t>Hall</t>
  </si>
  <si>
    <t>Barter</t>
  </si>
  <si>
    <t>Carrick</t>
  </si>
  <si>
    <t>Jepp</t>
  </si>
  <si>
    <t>McPake</t>
  </si>
  <si>
    <t>B. Flemming</t>
  </si>
  <si>
    <t>Mallinson</t>
  </si>
  <si>
    <t xml:space="preserve">Chalk </t>
  </si>
  <si>
    <t>A. McCowen  Ierston</t>
  </si>
  <si>
    <t>Total</t>
  </si>
  <si>
    <t>Property Id</t>
  </si>
  <si>
    <t>Tenant id</t>
  </si>
  <si>
    <t>Start date</t>
  </si>
  <si>
    <t>End date</t>
  </si>
  <si>
    <t>Property</t>
  </si>
  <si>
    <t>Rent</t>
  </si>
  <si>
    <t>Rent Freq</t>
  </si>
  <si>
    <t>Tenancy</t>
  </si>
  <si>
    <t>Four Weekly</t>
  </si>
  <si>
    <t>Monthly</t>
  </si>
  <si>
    <t>Ceylan</t>
  </si>
  <si>
    <t>Statement Date:</t>
  </si>
  <si>
    <t>Please select a property …</t>
  </si>
  <si>
    <t>Tenancy Display</t>
  </si>
  <si>
    <t>Please select …</t>
  </si>
  <si>
    <t>Excel Seq</t>
  </si>
  <si>
    <t>Action</t>
  </si>
  <si>
    <t>Keirle</t>
  </si>
  <si>
    <t>Lynch</t>
  </si>
  <si>
    <t>Urry</t>
  </si>
  <si>
    <t>Martin</t>
  </si>
  <si>
    <t>Blake</t>
  </si>
  <si>
    <t>Laver</t>
  </si>
  <si>
    <t>Hatfield</t>
  </si>
  <si>
    <t>Burgess</t>
  </si>
  <si>
    <t>Woodward</t>
  </si>
  <si>
    <t>Riley</t>
  </si>
  <si>
    <t>McAvery</t>
  </si>
  <si>
    <t>Bilham</t>
  </si>
  <si>
    <t>L. Long</t>
  </si>
  <si>
    <t>Groizard</t>
  </si>
  <si>
    <t>Li</t>
  </si>
  <si>
    <t>Henderson</t>
  </si>
  <si>
    <t>Flat 1 - 321 London Rd</t>
  </si>
  <si>
    <t>Flat 2 - 321 London Rd</t>
  </si>
  <si>
    <t>Flat 3 - 321 London Rd</t>
  </si>
  <si>
    <t>Flat 4 - 321 London Rd</t>
  </si>
  <si>
    <t>Flat 1 - 169 Fawcett Rd</t>
  </si>
  <si>
    <t>Flat 2 - 169 Fawcett Rd</t>
  </si>
  <si>
    <t>Flat 3 - 169 Fawcett Rd</t>
  </si>
  <si>
    <t>Flat 2 - 163 Fratton Rd</t>
  </si>
  <si>
    <t>Flat 3 - 163 Fratton Rd</t>
  </si>
  <si>
    <t>Flat 4 - 163 Fratton Rd</t>
  </si>
  <si>
    <t>Ground Floor Shop - 196 Kingston Rd</t>
  </si>
  <si>
    <t>Ground Floor Flat - 196 Kingston Rd</t>
  </si>
  <si>
    <t>First Floor Flat - 196 Kingston Rd</t>
  </si>
  <si>
    <t>Flat 6 - 4-8 Alhambra Rd</t>
  </si>
  <si>
    <t>Flat 22 - 4-8 Alhambra Rd</t>
  </si>
  <si>
    <t>Flat 3 - 12-14 Alhambra Rd</t>
  </si>
  <si>
    <t>Flat 4 - 12-14 Alhambra Rd</t>
  </si>
  <si>
    <t>Flat 10 - 12-14 Alhambra Rd</t>
  </si>
  <si>
    <t>Flat 14 - 12-14 Alhambra Rd</t>
  </si>
  <si>
    <t>Flat 16 - 12-14 Alhambra Rd</t>
  </si>
  <si>
    <t>Flat 1 - 16-18 Alhambra Rd</t>
  </si>
  <si>
    <t>Flat 11 - 16-18 Alhambra Rd</t>
  </si>
  <si>
    <t>Flat 16 - 16-18 Alhambra Rd</t>
  </si>
  <si>
    <t>(Maintenance) Accessories</t>
  </si>
  <si>
    <t>(Maintenance) Appliances</t>
  </si>
  <si>
    <t>(Maintenance) Cleaning</t>
  </si>
  <si>
    <t>(Maintenance) Furnishings</t>
  </si>
  <si>
    <t>(Maintenance) Garden</t>
  </si>
  <si>
    <t>(Maintenance) Gas safety certificate</t>
  </si>
  <si>
    <t>(Maintenance) Infrastructure</t>
  </si>
  <si>
    <t>(Utilities) Electricity</t>
  </si>
  <si>
    <t>(Utilities) Gas</t>
  </si>
  <si>
    <t>(Utilities) Water</t>
  </si>
  <si>
    <t>Flat 5 - 12-14 Alhambra Rd</t>
  </si>
  <si>
    <t>Leggett &amp; Crawford</t>
  </si>
  <si>
    <t>Russell</t>
  </si>
  <si>
    <t>Moran</t>
  </si>
  <si>
    <t>Agent</t>
  </si>
  <si>
    <t>Reconciled</t>
  </si>
  <si>
    <t>Fee</t>
  </si>
  <si>
    <t>Fee Type</t>
  </si>
  <si>
    <t>Vat</t>
  </si>
  <si>
    <t>Baker and Elder</t>
  </si>
  <si>
    <t>PE</t>
  </si>
  <si>
    <t>Y</t>
  </si>
  <si>
    <t>Legg &amp; Thomas</t>
  </si>
  <si>
    <t>Flat B - 23 Hampshire Terrace</t>
  </si>
  <si>
    <t>Tenantfinders</t>
  </si>
  <si>
    <t>N</t>
  </si>
  <si>
    <t>Flat C - 23 Hampshire Terrace</t>
  </si>
  <si>
    <t>Flat 5 - 4-8 Alhambra Rd</t>
  </si>
  <si>
    <t>Todd and Hartridge</t>
  </si>
  <si>
    <t>Flat 7 - 4-8 Alhambra Rd</t>
  </si>
  <si>
    <t>Flat 8 - 4-8 Alhambra Rd</t>
  </si>
  <si>
    <t>Flat 21 - 4-8 Alhambra Rd</t>
  </si>
  <si>
    <t>J Tidball</t>
  </si>
  <si>
    <t>Flat 23 - 4-8 Alhambra Rd</t>
  </si>
  <si>
    <t xml:space="preserve"> Matthews</t>
  </si>
  <si>
    <t>Flat 7 - 12-14 Alhambra Rd</t>
  </si>
  <si>
    <t>Flat 3 - 16-18 Alhambra Rd</t>
  </si>
  <si>
    <t>Moss</t>
  </si>
  <si>
    <t>Sarah Ball</t>
  </si>
  <si>
    <t>Flat 6 - 16-18 Alhambra Rd</t>
  </si>
  <si>
    <t>Tulley and Co</t>
  </si>
  <si>
    <t>Flat 7 - 16-18 Alhambra Rd</t>
  </si>
  <si>
    <t>Flat 12 - 16-18 Alhambra Rd</t>
  </si>
  <si>
    <t>Flat 13 - 16-18 Alhambra Rd</t>
  </si>
  <si>
    <t xml:space="preserve">Mohammed </t>
  </si>
  <si>
    <t>Franks</t>
  </si>
  <si>
    <t>Shop - 12 Church Street</t>
  </si>
  <si>
    <t>Flat A - 12 Church Street</t>
  </si>
  <si>
    <t>Flat B - 12 Church Street</t>
  </si>
  <si>
    <t>Shop - 14 Church Street</t>
  </si>
  <si>
    <t>Flat A - 14 Church Street</t>
  </si>
  <si>
    <t>221 Broadfield Rd</t>
  </si>
  <si>
    <t>12 Broad Reach</t>
  </si>
  <si>
    <t>11 Garford Street</t>
  </si>
  <si>
    <t>None</t>
  </si>
  <si>
    <t>Countrywide</t>
  </si>
  <si>
    <t>Mortgage Payment</t>
  </si>
  <si>
    <t>Net Income</t>
  </si>
  <si>
    <t>Rental Statement</t>
  </si>
  <si>
    <t>321 London Rd - communal area (B&amp;E)</t>
  </si>
  <si>
    <t>169 Fawcett Rd - communal area (B&amp;E)</t>
  </si>
  <si>
    <t>163 Fratton Rd - communal area (B&amp;E)</t>
  </si>
  <si>
    <t>196 Kingston Rd - communal area (B&amp;E)</t>
  </si>
  <si>
    <t>4-8 Alhambra Rd - communal area (T&amp;H)</t>
  </si>
  <si>
    <t>4-8 Alhambra Rd - communal area (B&amp;E)</t>
  </si>
  <si>
    <t>6 Alhambra Rd - communal area</t>
  </si>
  <si>
    <t>8 Alhambra Rd - communal area</t>
  </si>
  <si>
    <t>12-14 Alhambra Rd - communal area (B&amp;E)</t>
  </si>
  <si>
    <t>12-14 Alhambra Rd - communal area (T&amp;H)</t>
  </si>
  <si>
    <t>14 Alhambra Rd - communal area</t>
  </si>
  <si>
    <t>16-18 Alhambra Rd - communal area (TL)</t>
  </si>
  <si>
    <t>16-18 Alhambra Rd - communal area (T&amp;H)</t>
  </si>
  <si>
    <t>16-18 Alhambra Rd - communal area (B&amp;E)</t>
  </si>
  <si>
    <t>18 Alhambra Rd - communal area</t>
  </si>
  <si>
    <t>12-14 Church Street - communal area</t>
  </si>
  <si>
    <t>Thompson</t>
  </si>
  <si>
    <t xml:space="preserve">Bowie </t>
  </si>
  <si>
    <t>Fleming</t>
  </si>
  <si>
    <t>Mpofu</t>
  </si>
  <si>
    <t>Glace</t>
  </si>
  <si>
    <t>Dunn</t>
  </si>
  <si>
    <t>Nieniarowski</t>
  </si>
  <si>
    <t>Coombs</t>
  </si>
  <si>
    <t>Jones</t>
  </si>
  <si>
    <t>Coalbran</t>
  </si>
  <si>
    <t>Larkins/Allen</t>
  </si>
  <si>
    <t>Emptage/Robson</t>
  </si>
  <si>
    <t>Dixon</t>
  </si>
  <si>
    <t>Raven</t>
  </si>
  <si>
    <t>Valverde</t>
  </si>
  <si>
    <t>Penfold</t>
  </si>
  <si>
    <t>Nerantzoula Klelousi</t>
  </si>
  <si>
    <t>Tuckley</t>
  </si>
  <si>
    <t xml:space="preserve"> Hickman</t>
  </si>
  <si>
    <t>Hughes</t>
  </si>
  <si>
    <t>Hough</t>
  </si>
  <si>
    <t>Hill/Gerard/Hlyton</t>
  </si>
  <si>
    <t>Baldachino</t>
  </si>
  <si>
    <t>Boctor/Bhatti</t>
  </si>
  <si>
    <t>FI</t>
  </si>
  <si>
    <t>Lebbon/Ravensdale</t>
  </si>
  <si>
    <t xml:space="preserve">Diejomoah </t>
  </si>
  <si>
    <t>Ampelas/Zachariou</t>
  </si>
  <si>
    <t xml:space="preserve"> Wells/Brooks</t>
  </si>
  <si>
    <t>E. Long</t>
  </si>
  <si>
    <t>Yuppie Puppiez</t>
  </si>
  <si>
    <t>Barckowski</t>
  </si>
  <si>
    <t>Valle</t>
  </si>
  <si>
    <t>Mortgage</t>
  </si>
  <si>
    <t>171 Fawcett Rd - communal area (B&amp;E)</t>
  </si>
  <si>
    <t>Flat 1 - 171 Fawcett Rd</t>
  </si>
  <si>
    <t>Flat 2 - 171 Fawcett Rd</t>
  </si>
  <si>
    <t>Flat 3 - 171 Fawcett Rd</t>
  </si>
  <si>
    <t>Meehan</t>
  </si>
  <si>
    <t>Daysh</t>
  </si>
  <si>
    <t>Matthews &amp; Ward</t>
  </si>
  <si>
    <t>Thidar</t>
  </si>
  <si>
    <t>Scouarnec</t>
  </si>
  <si>
    <t>Couldwell</t>
  </si>
  <si>
    <t>Fischer</t>
  </si>
  <si>
    <t>(Freehold Management) Insurance</t>
  </si>
  <si>
    <t>Mathew Tucker</t>
  </si>
  <si>
    <t>Holly Reeves</t>
  </si>
  <si>
    <t>Hannah Woodhouse</t>
  </si>
  <si>
    <t>Wiggins &amp; Jones</t>
  </si>
  <si>
    <t>Status</t>
  </si>
  <si>
    <t>Empty</t>
  </si>
  <si>
    <t>Not paid</t>
  </si>
  <si>
    <t>Oleg Korenev</t>
  </si>
  <si>
    <t>Robins &amp; Johnstone</t>
  </si>
  <si>
    <t>New Tenant</t>
  </si>
  <si>
    <t>Noble (prev Tombs)</t>
  </si>
  <si>
    <t xml:space="preserve">Toombs (prev Taylor) </t>
  </si>
  <si>
    <t>Tracy Fenn</t>
  </si>
  <si>
    <t>Net Profit Loss</t>
  </si>
  <si>
    <t>Total Bills</t>
  </si>
  <si>
    <t>Total Fee Vat</t>
  </si>
  <si>
    <t>Total Fee</t>
  </si>
  <si>
    <t>Total Mortgages</t>
  </si>
  <si>
    <t>Total Rent</t>
  </si>
  <si>
    <t>Expenditure</t>
  </si>
  <si>
    <t>Income</t>
  </si>
  <si>
    <t>Financial</t>
  </si>
  <si>
    <t>23 Hampshire Terrace - communal area (B&amp;E)</t>
  </si>
  <si>
    <t xml:space="preserve">Mabe &amp; Hodgkins  </t>
  </si>
  <si>
    <t>Parieira</t>
  </si>
  <si>
    <t>Miss Rita Palmieri</t>
  </si>
  <si>
    <t>Mr Taylor/Miss Clark</t>
  </si>
  <si>
    <t>Flat 17 - 4-8 Alhambra Rd</t>
  </si>
  <si>
    <t>Mr S Webster</t>
  </si>
  <si>
    <t>Flat 18 - 4-8 Alhambra Rd</t>
  </si>
  <si>
    <t>Flat 19 - 4-8 Alhambra Rd</t>
  </si>
  <si>
    <t>Flat 20 - 4-8 Alhambra Rd</t>
  </si>
  <si>
    <t>Mrs Lynne Hedley</t>
  </si>
  <si>
    <t>Miss Claire Butcher</t>
  </si>
  <si>
    <t>Flat 11 - 12-14 Alhambra Rd</t>
  </si>
  <si>
    <t>Oakley</t>
  </si>
  <si>
    <t>16-18 Alhambra Rd - communal area (MT)</t>
  </si>
  <si>
    <t>4-8 Alhambra Rd - communal area (MT)</t>
  </si>
  <si>
    <t>12-14 Alhambra Rd - communal area (MT)</t>
  </si>
  <si>
    <t>Williams &amp; Green</t>
  </si>
  <si>
    <t>Simpson-Stevens &amp; Scott</t>
  </si>
  <si>
    <t>Aydin Barus</t>
  </si>
  <si>
    <t>(Freehold Management) Cleaning</t>
  </si>
  <si>
    <t>(Freehold Management) Ground Rent</t>
  </si>
  <si>
    <t>(Freehold Management) Maintenance</t>
  </si>
  <si>
    <t>(Freehold Management) Management Fee</t>
  </si>
  <si>
    <t>(Lettings Agency) Admin fee</t>
  </si>
  <si>
    <t>(Lettings Agency) Finders Fee</t>
  </si>
  <si>
    <t>(Lettings Agency) Inventory Fee</t>
  </si>
  <si>
    <t>(Lettings Agency) Management Fee</t>
  </si>
  <si>
    <t>(Tenancy Related) Charge</t>
  </si>
  <si>
    <t>(Tenancy Related) Rent</t>
  </si>
  <si>
    <t>(Tenancy Related) Security Deposit</t>
  </si>
  <si>
    <t>Adrian Mattei &amp; Elena Matei</t>
  </si>
  <si>
    <t>Mr D Moore</t>
  </si>
  <si>
    <t>Anna Schubert &amp; Maciej Schubert</t>
  </si>
  <si>
    <t>Mr Arkadiusz Slowinski &amp; Miss Ewelina Skladanowska</t>
  </si>
  <si>
    <t>Mr A Young</t>
  </si>
  <si>
    <t>Steve Ward</t>
  </si>
  <si>
    <t>James</t>
  </si>
  <si>
    <t>Matthew James</t>
  </si>
  <si>
    <t>Paid (in arrears)</t>
  </si>
  <si>
    <t>Not paid (in arrears)</t>
  </si>
  <si>
    <t>Toombs</t>
  </si>
  <si>
    <t>Afsheen Alizadeh</t>
  </si>
  <si>
    <t>Not known</t>
  </si>
  <si>
    <t>Wanchai Sribang</t>
  </si>
  <si>
    <t>Marius Giulverzan &amp; Ann Tudor</t>
  </si>
  <si>
    <t>Sally Miller</t>
  </si>
  <si>
    <t>Eugene De Beer</t>
  </si>
  <si>
    <t>Mrs Collins</t>
  </si>
  <si>
    <t>Saunders &amp; Lavery</t>
  </si>
  <si>
    <t>Lloyd Best</t>
  </si>
  <si>
    <t>Miss Misson &amp; Mr Plummer</t>
  </si>
  <si>
    <t>Alex Asagba</t>
  </si>
  <si>
    <t>Glenn Wallace &amp; Gary Hanna</t>
  </si>
  <si>
    <t>Dionne McLaughlin</t>
  </si>
  <si>
    <t>Hayley Whitcomb</t>
  </si>
  <si>
    <t>Susan Taylor</t>
  </si>
  <si>
    <t>J. Upastising &amp; K. Wisarutwanit &amp; N. Wisarutwanit</t>
  </si>
  <si>
    <t>Jodie Tipper &amp; Stacey Chamberlain</t>
  </si>
  <si>
    <t>Kevin &amp; Charyn Carter</t>
  </si>
  <si>
    <t>Arrabbetou</t>
  </si>
  <si>
    <t>Davy Lyons</t>
  </si>
  <si>
    <t>Tim Blanton &amp; Greg Sotheran</t>
  </si>
  <si>
    <t>Georgina Shepherd</t>
  </si>
  <si>
    <t>Grant Philliben</t>
  </si>
  <si>
    <t>P Chatfield</t>
  </si>
  <si>
    <t>Andrew England</t>
  </si>
  <si>
    <t>Taperek</t>
  </si>
  <si>
    <t>Lewis Cranston</t>
  </si>
  <si>
    <t>Kirsty Taylor &amp; Millie Barber</t>
  </si>
  <si>
    <t>L Robinson</t>
  </si>
  <si>
    <t>Patterson/Cherie Sallows</t>
  </si>
  <si>
    <t>K. Hughes/D. Corbin</t>
  </si>
  <si>
    <t>Martin Brett</t>
  </si>
  <si>
    <t>S. Amin</t>
  </si>
  <si>
    <t>Long &amp; Emptage</t>
  </si>
  <si>
    <t>Barber &amp; Talley</t>
  </si>
  <si>
    <t>Oyibo Nwosu</t>
  </si>
  <si>
    <t>J Dee</t>
  </si>
  <si>
    <t>C Stark</t>
  </si>
  <si>
    <t>TBD</t>
  </si>
  <si>
    <t>Newing &amp; Thompson</t>
  </si>
  <si>
    <t>Mrs C Carrington</t>
  </si>
  <si>
    <t>P Adams</t>
  </si>
  <si>
    <t>P. Vara &amp; M. Varsani</t>
  </si>
  <si>
    <t>Ru Jia (Nick)</t>
  </si>
  <si>
    <t>Olivia Chaffe</t>
  </si>
  <si>
    <t>Mr I Tewelderbrham</t>
  </si>
  <si>
    <t>Butt</t>
  </si>
  <si>
    <t>K Harris</t>
  </si>
  <si>
    <t>Britten &amp; Grouden</t>
  </si>
  <si>
    <t>A Stallard</t>
  </si>
  <si>
    <t>N Wright</t>
  </si>
  <si>
    <t>Carrington</t>
  </si>
  <si>
    <t>G Sotheran</t>
  </si>
  <si>
    <t>J Fraser</t>
  </si>
  <si>
    <t>R Sharkey</t>
  </si>
  <si>
    <t>G Makoselo</t>
  </si>
  <si>
    <t>Martin Gliszczynski</t>
  </si>
  <si>
    <t>S. Porter</t>
  </si>
  <si>
    <t>Britten</t>
  </si>
  <si>
    <t>Mr I Squires</t>
  </si>
  <si>
    <t>Mr Alfie &amp; Mr Lloyd Jeans</t>
  </si>
  <si>
    <t>Mr Lewis &amp; Mr Nesler</t>
  </si>
  <si>
    <t>Taylor &amp; Outen</t>
  </si>
  <si>
    <t>Dipali Patel &amp; Meera Patel</t>
  </si>
  <si>
    <t>Oliver Williams &amp; Lisa Pearce</t>
  </si>
  <si>
    <t>S Briscoe</t>
  </si>
  <si>
    <t>K Aldridge</t>
  </si>
  <si>
    <t>C.Stringer</t>
  </si>
  <si>
    <t>Tom Jones</t>
  </si>
  <si>
    <t>A Drummond</t>
  </si>
  <si>
    <t>J Reason</t>
  </si>
  <si>
    <t>B Palmer</t>
  </si>
  <si>
    <t>W Lamour</t>
  </si>
  <si>
    <t>N Stephens &amp; S Smith</t>
  </si>
  <si>
    <t>Mr Steed McCue</t>
  </si>
  <si>
    <t>Basam Yacoub</t>
  </si>
  <si>
    <t>Katie Nichols &amp; Sara Edwards</t>
  </si>
  <si>
    <t>D Williams</t>
  </si>
  <si>
    <t>L Wilcox</t>
  </si>
  <si>
    <t>Wright</t>
  </si>
  <si>
    <t>A Thomas</t>
  </si>
  <si>
    <t>Restall &amp; Byng</t>
  </si>
  <si>
    <t>Patricia McCardle</t>
  </si>
  <si>
    <t>McIIwraith</t>
  </si>
  <si>
    <t>D Copperthwaite</t>
  </si>
  <si>
    <t>Mr Robinson</t>
  </si>
  <si>
    <t>Mr Wright</t>
  </si>
  <si>
    <t>Mr Lamour</t>
  </si>
  <si>
    <t>J Flegg</t>
  </si>
  <si>
    <t>Mr Lewis</t>
  </si>
  <si>
    <t>Mr Connor</t>
  </si>
  <si>
    <t>Ms Bird &amp; Ms Cornish</t>
  </si>
  <si>
    <t>Ms Varsani &amp; Miss Wokey</t>
  </si>
  <si>
    <t>Meena Flora &amp; Chloe Fisher</t>
  </si>
  <si>
    <t>Ms S Ryan</t>
  </si>
  <si>
    <t>Ms McLachlan</t>
  </si>
  <si>
    <t>Mr Hinks</t>
  </si>
  <si>
    <t>Mr Radzevics</t>
  </si>
  <si>
    <t>Mr Barnett &amp; Ms Elvenny</t>
  </si>
  <si>
    <t>Anthony Heather</t>
  </si>
  <si>
    <t>Mr Lodge</t>
  </si>
  <si>
    <t>Mr N Olsen</t>
  </si>
  <si>
    <t>Mr Hoff &amp; Mr Gunn</t>
  </si>
  <si>
    <t>Ms Sally Taylor</t>
  </si>
  <si>
    <t>Mr D Cooper</t>
  </si>
  <si>
    <t>Mr J Waterman</t>
  </si>
  <si>
    <t>Mr Milligan</t>
  </si>
  <si>
    <t>Jessica Hastings &amp; Chloe Chen</t>
  </si>
  <si>
    <t>Jade Parrett-Harris &amp; Robbyn McCarthy</t>
  </si>
  <si>
    <t>G Smith</t>
  </si>
  <si>
    <t>Mr Pedace</t>
  </si>
  <si>
    <t>J Hill</t>
  </si>
  <si>
    <t>Mr K Conrad &amp; Mr J Fishwick</t>
  </si>
  <si>
    <t>Lee Knowles</t>
  </si>
  <si>
    <t>Mr P Oakwell</t>
  </si>
  <si>
    <t>(Council) Tax</t>
  </si>
  <si>
    <t>(Council) HMO</t>
  </si>
  <si>
    <t>Ms Pegg</t>
  </si>
  <si>
    <t>Mr Hussain</t>
  </si>
  <si>
    <t>Mr John Sharpe</t>
  </si>
  <si>
    <t>Ms Baziukiene</t>
  </si>
  <si>
    <t>Miss Syasya Aristoteles &amp; Miss Firzanah Sufri</t>
  </si>
  <si>
    <t>Miss Sandra Namataka &amp; Miss Leilah Nakamaanya</t>
  </si>
  <si>
    <t>Ms Jane Marriage</t>
  </si>
  <si>
    <t>Ms J Henson</t>
  </si>
  <si>
    <t>Mr Hopkinson</t>
  </si>
  <si>
    <t>Mr J Brown</t>
  </si>
  <si>
    <t>Ms S Parkingson</t>
  </si>
  <si>
    <t>Ms H Daniels</t>
  </si>
  <si>
    <t>Miss S O'Brien</t>
  </si>
  <si>
    <t>Stepek</t>
  </si>
  <si>
    <t>Mr Prior</t>
  </si>
  <si>
    <t>Miss F Booker</t>
  </si>
  <si>
    <t>Mr Tudor</t>
  </si>
  <si>
    <t>Mathew Tucker/Ivana Valentino</t>
  </si>
  <si>
    <t>Ivana Valentino</t>
  </si>
  <si>
    <t>Lordswood Estates</t>
  </si>
  <si>
    <t>Owner</t>
  </si>
  <si>
    <t>Alhambra Road Management Ltd</t>
  </si>
  <si>
    <t>Mat</t>
  </si>
  <si>
    <t>Ivana</t>
  </si>
  <si>
    <t>Shared Bills</t>
  </si>
  <si>
    <t>Mr Peter Grant</t>
  </si>
  <si>
    <t>Miss S Smith</t>
  </si>
  <si>
    <t>Mr Jason Passmore</t>
  </si>
  <si>
    <t>Mortgage Express</t>
  </si>
  <si>
    <t>Birmingham Midshires</t>
  </si>
  <si>
    <t>Capital Home Loans</t>
  </si>
  <si>
    <t>Natwest</t>
  </si>
  <si>
    <t>Northern Rock</t>
  </si>
  <si>
    <t>Mortgage Trust</t>
  </si>
  <si>
    <t>Platform</t>
  </si>
  <si>
    <t>Amber Home Loans (GMAC)</t>
  </si>
  <si>
    <t>Mortgage Express (GMAC)</t>
  </si>
  <si>
    <t>Lender</t>
  </si>
  <si>
    <t>1872470</t>
  </si>
  <si>
    <t>20003649652</t>
  </si>
  <si>
    <t>907371904</t>
  </si>
  <si>
    <t>1703155</t>
  </si>
  <si>
    <t>1996624</t>
  </si>
  <si>
    <t>20000389757</t>
  </si>
  <si>
    <t>201648504</t>
  </si>
  <si>
    <t>201648513</t>
  </si>
  <si>
    <t>201648522</t>
  </si>
  <si>
    <t>1647053</t>
  </si>
  <si>
    <t>1586614</t>
  </si>
  <si>
    <t>20002731371</t>
  </si>
  <si>
    <t>Shop</t>
  </si>
  <si>
    <t>20007882432</t>
  </si>
  <si>
    <t>20007900597</t>
  </si>
  <si>
    <t>20004110676</t>
  </si>
  <si>
    <t>24935234</t>
  </si>
  <si>
    <t>2186317</t>
  </si>
  <si>
    <t>128957650</t>
  </si>
  <si>
    <t>128957685</t>
  </si>
  <si>
    <t>480441702</t>
  </si>
  <si>
    <t>2186357</t>
  </si>
  <si>
    <t>2186356</t>
  </si>
  <si>
    <t>128979115</t>
  </si>
  <si>
    <t>129961082</t>
  </si>
  <si>
    <t>480016104</t>
  </si>
  <si>
    <t>129961090</t>
  </si>
  <si>
    <t>128964703</t>
  </si>
  <si>
    <t>200633231</t>
  </si>
  <si>
    <t>20009309942</t>
  </si>
  <si>
    <t>200578729</t>
  </si>
  <si>
    <t>2197389</t>
  </si>
  <si>
    <t>200637264</t>
  </si>
  <si>
    <t>200754471</t>
  </si>
  <si>
    <t>200754525</t>
  </si>
  <si>
    <t>200754534</t>
  </si>
  <si>
    <t>200709336</t>
  </si>
  <si>
    <t>200709327</t>
  </si>
  <si>
    <t>130313307</t>
  </si>
  <si>
    <t>200710767</t>
  </si>
  <si>
    <t>200709345</t>
  </si>
  <si>
    <t>200878410</t>
  </si>
  <si>
    <t>200710776</t>
  </si>
  <si>
    <t>200766478</t>
  </si>
  <si>
    <t>Account No</t>
  </si>
  <si>
    <t>ID</t>
  </si>
  <si>
    <t>Activity I D</t>
  </si>
  <si>
    <t>Date Created</t>
  </si>
  <si>
    <t>Item Description</t>
  </si>
  <si>
    <t>Document Type</t>
  </si>
  <si>
    <t>Document Number</t>
  </si>
  <si>
    <t>Debit Amount</t>
  </si>
  <si>
    <t>Credit Amount</t>
  </si>
  <si>
    <t>F1321LON</t>
  </si>
  <si>
    <t>F3321LON</t>
  </si>
  <si>
    <t>F4321LON</t>
  </si>
  <si>
    <t>F1169FAW</t>
  </si>
  <si>
    <t>F2169FAW</t>
  </si>
  <si>
    <t>F2171FAW</t>
  </si>
  <si>
    <t>F3171FAW</t>
  </si>
  <si>
    <t>F2163FRA</t>
  </si>
  <si>
    <t>F3163FRA</t>
  </si>
  <si>
    <t>F4163FRA</t>
  </si>
  <si>
    <t>SHOP196KIN</t>
  </si>
  <si>
    <t>196BKIN</t>
  </si>
  <si>
    <t>23BHAM</t>
  </si>
  <si>
    <t>23CHAM</t>
  </si>
  <si>
    <t>F58ALH</t>
  </si>
  <si>
    <t>F68ALH</t>
  </si>
  <si>
    <t>F78ALH</t>
  </si>
  <si>
    <t>F88ALH</t>
  </si>
  <si>
    <t>F1746ALH</t>
  </si>
  <si>
    <t>F1846ALH</t>
  </si>
  <si>
    <t>F1946ALH</t>
  </si>
  <si>
    <t>F2046ALH</t>
  </si>
  <si>
    <t>F2146ALH</t>
  </si>
  <si>
    <t>F2246ALH</t>
  </si>
  <si>
    <t>F31214ALH</t>
  </si>
  <si>
    <t>F51214ALH</t>
  </si>
  <si>
    <t>F71214ALH</t>
  </si>
  <si>
    <t>F101214ALH</t>
  </si>
  <si>
    <t>F111214ALH</t>
  </si>
  <si>
    <t>F141214ALH</t>
  </si>
  <si>
    <t>F161214ALH</t>
  </si>
  <si>
    <t>F11618ALH</t>
  </si>
  <si>
    <t>F31618ALH</t>
  </si>
  <si>
    <t>F61618ALH</t>
  </si>
  <si>
    <t>F71618ALH</t>
  </si>
  <si>
    <t>F111618ALH</t>
  </si>
  <si>
    <t>F121618ALH</t>
  </si>
  <si>
    <t>F131618ALH</t>
  </si>
  <si>
    <t>F161618ALH</t>
  </si>
  <si>
    <t>Foreign Id</t>
  </si>
  <si>
    <t>F3169FAW</t>
  </si>
  <si>
    <t>F2346ALH</t>
  </si>
  <si>
    <t>F41214ALH</t>
  </si>
  <si>
    <t>Number</t>
  </si>
  <si>
    <t>Date</t>
  </si>
  <si>
    <t>Account</t>
  </si>
  <si>
    <t>Amount</t>
  </si>
  <si>
    <t>Subcategory</t>
  </si>
  <si>
    <t>Memo</t>
  </si>
  <si>
    <t>Mortgages</t>
  </si>
  <si>
    <t>{"BEALS*BGC", "BAKER*BGC"}</t>
  </si>
  <si>
    <t>Summary monthly outgoings</t>
  </si>
  <si>
    <t>MT</t>
  </si>
  <si>
    <t>IV</t>
  </si>
  <si>
    <t>Net Profit</t>
  </si>
  <si>
    <t>Alhambra Rd SC</t>
  </si>
  <si>
    <t>"*ALHAMBRA*STO*"</t>
  </si>
  <si>
    <t>Hampshire Terrace SC</t>
  </si>
  <si>
    <t>"23 HAMPSHIRE*STO*"</t>
  </si>
  <si>
    <t>Trust Fund</t>
  </si>
  <si>
    <t>{"NATIONWIDE*","KINGSTON*","SHEPHERDS*"}</t>
  </si>
  <si>
    <t>School Fee</t>
  </si>
  <si>
    <t>"*HARPUR TRUST*"</t>
  </si>
  <si>
    <t>Mobile</t>
  </si>
  <si>
    <t>"EE*"</t>
  </si>
  <si>
    <t>Life Assurance</t>
  </si>
  <si>
    <t>{"FRIENDS LIFE*","LEGAL &amp; GEN*"}</t>
  </si>
  <si>
    <t>House Bills</t>
  </si>
  <si>
    <t>{"BT GROUP*","SKY*"}</t>
  </si>
  <si>
    <t>Housekeeping</t>
  </si>
  <si>
    <t>Ivana Contact Lenses</t>
  </si>
  <si>
    <t>"BOOTS REWARDSCHEME*"</t>
  </si>
  <si>
    <t>Hilltop Loan</t>
  </si>
  <si>
    <t>"G&amp;F VALENTINO*"</t>
  </si>
  <si>
    <t>"F VALENTINO*"</t>
  </si>
  <si>
    <t>{"*3072*STO"}</t>
  </si>
  <si>
    <t>Net difference to be paid by MT</t>
  </si>
  <si>
    <t>Notes</t>
  </si>
  <si>
    <t>Statement Number</t>
  </si>
  <si>
    <t>Description</t>
  </si>
  <si>
    <t>Import</t>
  </si>
  <si>
    <t>Other Bills</t>
  </si>
  <si>
    <t>Profit</t>
  </si>
  <si>
    <t>Shared Costs</t>
  </si>
  <si>
    <t>Less already paid</t>
  </si>
  <si>
    <t>Less MT fixed contribution 1st of month</t>
  </si>
  <si>
    <t>Shared costs</t>
  </si>
  <si>
    <t>-ve no show amount to be paid into 3072, +ve shows amount to take from 3072</t>
  </si>
  <si>
    <t>321LON</t>
  </si>
  <si>
    <t>169FAW</t>
  </si>
  <si>
    <t>F2321LON</t>
  </si>
  <si>
    <t>196AKIN</t>
  </si>
  <si>
    <t>F1171FAW</t>
  </si>
  <si>
    <t>Bills</t>
  </si>
  <si>
    <t>{"*4040*","*BOOTS*"}</t>
  </si>
  <si>
    <t>{"JASPER*","TOPAZ*","MORTGAGE EXPRESS*","NRAM*","PLATFORM*","AMBER*","BHAM*","CAPITAL*", "MORTGAGE TRUST*"}</t>
  </si>
  <si>
    <t>fu</t>
  </si>
  <si>
    <t>163FRA</t>
  </si>
  <si>
    <t>ID Check</t>
  </si>
  <si>
    <t>Beals</t>
  </si>
  <si>
    <t>Maja Zuzanna Olczak</t>
  </si>
  <si>
    <t>Olczak (28/02/2019 -  present)</t>
  </si>
  <si>
    <t>Carry forward from FEB</t>
  </si>
  <si>
    <t>20-74-09 60458872</t>
  </si>
  <si>
    <t>PAYMENT</t>
  </si>
  <si>
    <t>DIRECTDEP</t>
  </si>
  <si>
    <t>REPEATPMT</t>
  </si>
  <si>
    <t>M TUCKER              MTUCKER            STO</t>
  </si>
  <si>
    <t>M TUCKER              M TUCKER           STO</t>
  </si>
  <si>
    <t>23 HAMPSHIRE TERRA    209254 13676978    STO</t>
  </si>
  <si>
    <t>16-18 ALHAMBRA RD     209254 13686035    STO</t>
  </si>
  <si>
    <t>12-14 ALHAMBRA RD     209254 23534332    STO</t>
  </si>
  <si>
    <t>4-6 ALHAMBRA RD CS    209254 83672832    STO</t>
  </si>
  <si>
    <t>DIRECTDEBIT</t>
  </si>
  <si>
    <t>PLATFORM FUNDING      01050230313307     DDR</t>
  </si>
  <si>
    <t>PLATFORM FUNDING      01050229961082     DDR</t>
  </si>
  <si>
    <t>CHL HOME LOAN         CHL00002/907372200 DDR</t>
  </si>
  <si>
    <t>CHL HOME LOAN         CHL00002/907371904 DDR</t>
  </si>
  <si>
    <t>BEALS ESTATE AGENT    FLAT 1321 LONDON R BGC</t>
  </si>
  <si>
    <t>BEALS ESTATE AGENT    196A KINGSTON ROAD BGC</t>
  </si>
  <si>
    <t>TOPAZ FIN ROSINCA     BLA00010/137376104 DDR</t>
  </si>
  <si>
    <t>TOPAZ FIN ROSINCA     BLA00010/137376006 DDR</t>
  </si>
  <si>
    <t>TOPAZ FIN ROSINCA     BLA00010/134467209 DDR</t>
  </si>
  <si>
    <t>TOPAZ FIN ROSINCA     BLA00010/134338410 DDR</t>
  </si>
  <si>
    <t>TOPAZ FIN ROSINCA     BLA00010/134333009 DDR</t>
  </si>
  <si>
    <t>TOPAZ FIN ROSINCA     BLA00010/134332909 DDR</t>
  </si>
  <si>
    <t>TOPAZ FIN ROSINCA     BLA00010/134121904 DDR</t>
  </si>
  <si>
    <t>TOPAZ FIN ROSINCA     BLA00010/132514207 DDR</t>
  </si>
  <si>
    <t>TOPAZ FIN ROSINCA     BLA00010/131992707 DDR</t>
  </si>
  <si>
    <t>TOPAZ FIN ROSINCA     BLA00010/131188407 DDR</t>
  </si>
  <si>
    <t>TOPAZ FIN ROSINCA     BLA00010/130654303 DDR</t>
  </si>
  <si>
    <t>BEALS ESTATE AGENT    FLAT 1412-14 ALHAM BGC</t>
  </si>
  <si>
    <t>BEALS ESTATE AGENT    FLAT 3163 FRATTON  BGC</t>
  </si>
  <si>
    <t>BEALS ESTATE AGENT    FLAT 68 ALHAMBRA R BGC</t>
  </si>
  <si>
    <t>BEALS ESTATE AGENT    FLAT 712-14 ALHAMB BGC</t>
  </si>
  <si>
    <t>BEALS ESTATE AGENT    FLAT 1169 FAWCETT  BGC</t>
  </si>
  <si>
    <t>BEALS ESTATE AGENT    FLAT 184-6 ALHAMBR BGC</t>
  </si>
  <si>
    <t>BEALS ESTATE AGENT    FLAT 2171 FAWCETT  BGC</t>
  </si>
  <si>
    <t>BEALS ESTATE AGENT    FLAT 412-14 ALHAMB BGC</t>
  </si>
  <si>
    <t>BEALS ESTATE AGENT    FLAT 4321 LONDON R BGC</t>
  </si>
  <si>
    <t>BHAM MIDSHIRES        020010556389/35299 DDR</t>
  </si>
  <si>
    <t>BHAM MIDSHIRES        020009309942/35735 DDR</t>
  </si>
  <si>
    <t>BEALS ESTATE AGENT    FLAT 616-18 ALHAMB BGC</t>
  </si>
  <si>
    <t>BHAM MIDSHIRES        020000389757/37175 DDR</t>
  </si>
  <si>
    <t>PAYPAL PAYMENT        5CM22229DF5GW      DDR</t>
  </si>
  <si>
    <t>PLATFORM FUNDING      01050228979115     DDR</t>
  </si>
  <si>
    <t>PLATFORM FUNDING      01050228957650     DDR</t>
  </si>
  <si>
    <t>LAND ROVER FS         579452160          DDR</t>
  </si>
  <si>
    <t>BEALS ESTATE AGENT    FLAT 1116-18 ALHAM BGC</t>
  </si>
  <si>
    <t>BEALS ESTATE AGENT    FLAT 3321 LONDON R BGC</t>
  </si>
  <si>
    <t>BHAM MIDSHIRES        020010557032/41445 DDR</t>
  </si>
  <si>
    <t>BHAM MIDSHIRES        020004110676/41435 DDR</t>
  </si>
  <si>
    <t>BEALS ESTATE AGENT    SHOP196 KINGSTON R BGC</t>
  </si>
  <si>
    <t>BHAM MIDSHIRES        020003649652/41838 DDR</t>
  </si>
  <si>
    <t>BHAM MIDSHIRES        020007882432/46801 DDR</t>
  </si>
  <si>
    <t>BEALS ESTATE AGENT    FLAT 3169 FAWCETT  BGC</t>
  </si>
  <si>
    <t>BEALS ESTATE AGENT    FLAT 1171 FAWCETT  BGC</t>
  </si>
  <si>
    <t>20-74-09 40406538</t>
  </si>
  <si>
    <t xml:space="preserve">205397 30728691       OPTIONAL           FT </t>
  </si>
  <si>
    <t>STO</t>
  </si>
  <si>
    <t>20-53-97 30728691</t>
  </si>
  <si>
    <t>OTH</t>
  </si>
  <si>
    <t>NATIONWIDE            0604/229172770     STO</t>
  </si>
  <si>
    <t>ALHAMBRA ROAD MANA    209254 13686035    STO</t>
  </si>
  <si>
    <t>ALHAMBRA ROAD MANA    209254 23534332    STO</t>
  </si>
  <si>
    <t>ALHAMBRA ROAD MANA    209254 83672832    STO</t>
  </si>
  <si>
    <t>PLATFORM FUNDING      01050229961090     DDR</t>
  </si>
  <si>
    <t>PLATFORM FUNDING      01050228964703     DDR</t>
  </si>
  <si>
    <t>TOPAZ FIN JASPER      PRU00010/190859005 DDR</t>
  </si>
  <si>
    <t>AMBER HOMELOANS       AHG00001/480441702 DDR</t>
  </si>
  <si>
    <t>NRAM                  24935234           DDR</t>
  </si>
  <si>
    <t>THE HARPUR TRUST D    TUCKM8  PVALA1     DDR</t>
  </si>
  <si>
    <t>BEALS ESTATE AGENT    FLAT 78 ALHAMBRA R BGC</t>
  </si>
  <si>
    <t>TOPAZ FIN JASPER      PRU00010/191462710 DDR</t>
  </si>
  <si>
    <t>KINGSTON UNITY        PL684048A VALENTNO STO</t>
  </si>
  <si>
    <t>SHEPHERDS FS          PN026484A          DDR</t>
  </si>
  <si>
    <t>BHAM MIDSHIRES        020007900597/59348 DDR</t>
  </si>
  <si>
    <t>BEALS ESTATE AGENT    FLAT 312-14 ALHAMB BGC</t>
  </si>
  <si>
    <t>BEALS ESTATE AGENT    FLAT 512-14 ALHAMB BGC</t>
  </si>
  <si>
    <t>BEALS ESTATE AGENT    FLAT 1216-18 ALHAM BGC</t>
  </si>
  <si>
    <t>BEALS ESTATE AGENT    FLAT 1612-14 ALHAM BGC</t>
  </si>
  <si>
    <t>AVIVA LIFE            014033997          DDR</t>
  </si>
  <si>
    <t>TOPAZ FIN JASPER      PRU00010/190959705 DDR</t>
  </si>
  <si>
    <t>TOPAZ FIN JASPER      PRU00010/190892600 DDR</t>
  </si>
  <si>
    <t>TOPAZ FIN JASPER      PRU00010/190885203 DDR</t>
  </si>
  <si>
    <t>TOPAZ FIN JASPER      PRU00010/190885105 DDR</t>
  </si>
  <si>
    <t>TOPAZ FIN JASPER      PRU00010/190859506 DDR</t>
  </si>
  <si>
    <t>TOPAZ FIN JASPER      PRU00010/190812705 DDR</t>
  </si>
  <si>
    <t>TOPAZ FIN JASPER      PRU00010/190778206 DDR</t>
  </si>
  <si>
    <t>PLATFORM FUNDING      01050228957685     DDR</t>
  </si>
  <si>
    <t xml:space="preserve">207409 40406538       OPTIONAL           FT </t>
  </si>
  <si>
    <t>ONECALL INSURANCE     OIP-5-3104389      DDR</t>
  </si>
  <si>
    <t>ID MOBILE LIMITED     11245718/001       DDR</t>
  </si>
  <si>
    <t>MR MATTHEW STUART     207409 40406538    STO</t>
  </si>
  <si>
    <t>BOOTS REWARDSCHEME    A45028400000736    DDR</t>
  </si>
  <si>
    <t>PCC COLLECTION ACC    104637393          DDR</t>
  </si>
  <si>
    <t>PCC COLLECTION ACC    104587475          DDR</t>
  </si>
  <si>
    <t>BHAM MIDSHIRES        020002731371/28015 DDR</t>
  </si>
  <si>
    <t>ARGOS PET INS         RSAP9346579200     DDR</t>
  </si>
  <si>
    <t>PCC COLLECTION ACC    104782557          DDR</t>
  </si>
  <si>
    <t>Not paid in April</t>
  </si>
  <si>
    <t>Notice given</t>
  </si>
  <si>
    <t>Ours Empty</t>
  </si>
  <si>
    <t>Ours Rented</t>
  </si>
  <si>
    <t>MR MATTHEW STUART     20533030728691     STO</t>
  </si>
  <si>
    <t>FT</t>
  </si>
  <si>
    <t xml:space="preserve">HAJEK V               169 FAWCET RD.     FT </t>
  </si>
  <si>
    <t>TUCKER MS     %0 P    20533030728691     STO</t>
  </si>
  <si>
    <t>TOPAZ RE SIBERITE     SIB00001/480016104 DDR</t>
  </si>
  <si>
    <t xml:space="preserve">STANCU E              RENT               FT </t>
  </si>
  <si>
    <t>ID MOBILE LIMITED     11888885/001       DDR</t>
  </si>
  <si>
    <t>BEALS ESTATE AGENT    FLAT 1316-18 ALHAM BGC</t>
  </si>
  <si>
    <t>G&amp;F VALENTINO         MTUCKER            STO</t>
  </si>
  <si>
    <t>TADIWANASHE DUNIRA    Rent               BGC</t>
  </si>
  <si>
    <t>LEGAL &amp; GEN MI C/L    011439921-5        DDR</t>
  </si>
  <si>
    <t>MR MICHAEL BETTS      FT11 12-14ALHAMBRA STO</t>
  </si>
  <si>
    <t>BOOTS</t>
  </si>
  <si>
    <t>TUCK&amp;VALEN HSE%0 P    207409 40406538    STO</t>
  </si>
  <si>
    <t>SPLIT</t>
  </si>
  <si>
    <t>INGOLDSBY K A         FLAT19ALHAMBRA     STO</t>
  </si>
  <si>
    <t>MISS BIANCA-CRISTI    FL1 16-18 ALHAMBRA STO</t>
  </si>
  <si>
    <t>EE LIMITED            Q13077400993102267 DDR</t>
  </si>
  <si>
    <t xml:space="preserve">CREATION.CO.UK        X1011563/A008360      </t>
  </si>
  <si>
    <t>TIDBURY M             RENT               TFR</t>
  </si>
  <si>
    <t>MARKS&amp;SPENCER PLC     ON 03 JAN          BCC</t>
  </si>
  <si>
    <t>JOHN LEWIS            ON 03 JAN          BCC</t>
  </si>
  <si>
    <t>DMZ CLEANING          3115 FL18 4-6      BBP</t>
  </si>
  <si>
    <t>A BECK PLUMBING       6388 F4 FRATTON    BBP</t>
  </si>
  <si>
    <t>SPORTSDIRECT 233      ON 07 JAN          BCC</t>
  </si>
  <si>
    <t xml:space="preserve">THE HARPUR TRUST      BVALR8 R VALENTINO FT </t>
  </si>
  <si>
    <t xml:space="preserve">THE HARPUR TRUST      GVALS1 S VALENTINO FT </t>
  </si>
  <si>
    <t xml:space="preserve">205397 30728691       FEES               FT </t>
  </si>
  <si>
    <t>PUSHDOCTOR            ON 08 JAN          BCC</t>
  </si>
  <si>
    <t>EQUITA LTD            ON 09 JAN          BCC</t>
  </si>
  <si>
    <t>MKC PARKING RINGGO    ON 12 JAN          BCC</t>
  </si>
  <si>
    <t>Spotify UK            ON 13 JAN          BCC</t>
  </si>
  <si>
    <t>DMZ CLEANING          3118 7 12-14 BATHR BBP</t>
  </si>
  <si>
    <t>CLASSIC CARPET        9670 5 8 CARPET    BBP</t>
  </si>
  <si>
    <t>TOBU STOKES           FLAT 5 8 CARPFITT  BBP</t>
  </si>
  <si>
    <t>ROSSENDALES LTD       ON 14 JAN          BCC</t>
  </si>
  <si>
    <t>TIDBURY M             RENT               STO</t>
  </si>
  <si>
    <t>A BECK PLUMBING       6451 7 12-14 GS    BBP</t>
  </si>
  <si>
    <t>DMZ CLEANING          3121 3 321 SHOWER  BBP</t>
  </si>
  <si>
    <t>DMZ CLEANING          3120 7 12-14       BBP</t>
  </si>
  <si>
    <t>NEW COUNTY SERVICE    ON 18 JAN          CLP</t>
  </si>
  <si>
    <t>COSTA COFFEE 43035    ON 18 JAN          CLP</t>
  </si>
  <si>
    <t>CASH</t>
  </si>
  <si>
    <t xml:space="preserve">TESCO                 TESCO BEDFORD CARD    </t>
  </si>
  <si>
    <t>CIPRIAN GEORGESCU     DEPOSIT CCG        BGC</t>
  </si>
  <si>
    <t>BP BEDFORD EXPRESS    ON 21 JAN          CLP</t>
  </si>
  <si>
    <t>BP BEDFORD EXPRESS    ON 22 JAN          CLP</t>
  </si>
  <si>
    <t>CDC                   98 18 4-6 LOCK     BBP</t>
  </si>
  <si>
    <t>DMZ CLEANING          3126 F1 321 T SEAT BBP</t>
  </si>
  <si>
    <t>TESCO STORE 2105      ON 24 JAN          CLP</t>
  </si>
  <si>
    <t>WWW.TDS.GB.COM        ON 27 JAN          BCC</t>
  </si>
  <si>
    <t>NEW COUNTY SERVICE    ON 24 JAN          BCC</t>
  </si>
  <si>
    <t>DMZ CLEANING          3128 321 LOND ROOF BBP</t>
  </si>
  <si>
    <t>A BECK PLUMBING       6518 13 1618 GS    BBP</t>
  </si>
  <si>
    <t>POST OFFICE COUNTE    ON 29 JAN          CLP</t>
  </si>
  <si>
    <t>BAIRD R C             Flat 17 Rent       BGC</t>
  </si>
  <si>
    <t>SCOTT VETERINARY C    ON 29 JAN          BCC</t>
  </si>
  <si>
    <t>MORTGAGE TRUST        002197389 10109880 DDR</t>
  </si>
  <si>
    <t>MORTGAGE TRUST        002186357 10109880 DDR</t>
  </si>
  <si>
    <t>MORTGAGE TRUST        002186356 10109880 DDR</t>
  </si>
  <si>
    <t>MORTGAGE TRUST        002186317 10109880 DDR</t>
  </si>
  <si>
    <t>EE LIMITED            Q13077400P01743666 DDR</t>
  </si>
  <si>
    <t>M Williams            RENT               BGC</t>
  </si>
  <si>
    <t xml:space="preserve">********************** Pers OD Tier 3       </t>
  </si>
  <si>
    <t>VLS RE KLARNA BANK    273295207676628    DDR</t>
  </si>
  <si>
    <t>THE HARPUR TRUST D    TUCKM8  BVALR8     DDR</t>
  </si>
  <si>
    <t>THE HARPUR TRUST D    TUCKMS  GVALS1     DDR</t>
  </si>
  <si>
    <t xml:space="preserve">207409 60458872       FEES               FT </t>
  </si>
  <si>
    <t>Bugisiw Limited       BUGISIW LTD        BGC</t>
  </si>
  <si>
    <t>BT GROUP PLC          GB14092007-000064  DDR</t>
  </si>
  <si>
    <t>Barber Bria           DEPOSIT            BGC</t>
  </si>
  <si>
    <t xml:space="preserve">MARIA C               SECURITY DEPOSIT   FT </t>
  </si>
  <si>
    <t xml:space="preserve">205397 80417211       TRF                FT </t>
  </si>
  <si>
    <t>BEALS ESTATE AGENT    FLAT 88 ALHAMBRA R BGC</t>
  </si>
  <si>
    <t>H3G                   980404269602230120 DDR</t>
  </si>
  <si>
    <t>F23 4-6ALHAMBRA       SEQUENCE PROP MAN  BGC</t>
  </si>
  <si>
    <t>FLAT3 16 18 ALHAMB    SEQUENCE PROP MAN  BGC</t>
  </si>
  <si>
    <t>MCDONALDS             ON 31 DEC          CLP</t>
  </si>
  <si>
    <t>COSTA COFFEE 43035    ON 31 DEC          CLP</t>
  </si>
  <si>
    <t>BOOTS 6407            ON 31 DEC          BCC</t>
  </si>
  <si>
    <t>MILTON KEYNES         ON 05 JAN          CLP</t>
  </si>
  <si>
    <t>COTTON ON UK (PTY)    ON 05 JAN          CLP</t>
  </si>
  <si>
    <t>MARKS&amp;SPENCER PLC     ON 05 JAN          BCC</t>
  </si>
  <si>
    <t>BP BEDFORD EXPRESS    ON 03 JAN          CLP</t>
  </si>
  <si>
    <t>MKC PARKING RINGGO    ON 03 JAN          BCC</t>
  </si>
  <si>
    <t>MARKS&amp;SPENCER PLC     ON 03 JAN          CLP</t>
  </si>
  <si>
    <t>CO OPERATIVE FOOD     ON 03 JAN          CLP</t>
  </si>
  <si>
    <t>NEW COUNTY SERVICE    ON 06 JAN          BCC</t>
  </si>
  <si>
    <t>CO OPERATIVE FOOD     ON 06 JAN          BCC</t>
  </si>
  <si>
    <t>MCDONALDS             ON 07 JAN          CLP</t>
  </si>
  <si>
    <t>COSTA COFFEE 43035    ON 07 JAN          CLP</t>
  </si>
  <si>
    <t>MARKS&amp;SPENCER PLC     ON 07 JAN          BCC</t>
  </si>
  <si>
    <t>IZ *THE PAVILION T    ON 08 JAN          CLP</t>
  </si>
  <si>
    <t>IZ *THE PAVILION T    ON 09 JAN          CLP</t>
  </si>
  <si>
    <t>CO OPERATIVE FOOD     ON 09 JAN          CLP</t>
  </si>
  <si>
    <t>BP BEDFORD EXPRESS    ON 08 JAN          CLP</t>
  </si>
  <si>
    <t>NEW COUNTY SERVICE    ON 12 JAN          CLP</t>
  </si>
  <si>
    <t>MCDONALDS             ON 11 JAN          CLP</t>
  </si>
  <si>
    <t>CO OPERATIVE FOOD     ON 12 JAN          BCC</t>
  </si>
  <si>
    <t>MARKS&amp;SPENCER PLC     ON 11 JAN          CLP</t>
  </si>
  <si>
    <t>IZ *THE PAVILION T    ON 10 JAN          CLP</t>
  </si>
  <si>
    <t>COSTA COFFEE 43035    ON 11 JAN          CLP</t>
  </si>
  <si>
    <t>NEW COUNTY SERVICE    ON 11 JAN          BCC</t>
  </si>
  <si>
    <t>TESCO STORE 2105      ON 10 JAN          CLP</t>
  </si>
  <si>
    <t>NEXTR ETAIL LTD       ON 10 JAN          CLP</t>
  </si>
  <si>
    <t>COSTA COFFEE 43035    ON 10 JAN          CLP</t>
  </si>
  <si>
    <t>BP BEDFORD EXPRESS    ON 09 JAN          CLP</t>
  </si>
  <si>
    <t>TESCO STORE 2105      ON 10 JAN          BCC</t>
  </si>
  <si>
    <t>NEXTR ETAIL LTD       ON 10 JAN          BCC</t>
  </si>
  <si>
    <t>MERCEDES BENZ PART    ON 13 JAN          CLP</t>
  </si>
  <si>
    <t>MCDONALDS             ON 13 JAN          CLP</t>
  </si>
  <si>
    <t>IZ *THE PAVILION T    ON 13 JAN          CLP</t>
  </si>
  <si>
    <t>COSTA COFFEE 43035    ON 13 JAN          CLP</t>
  </si>
  <si>
    <t>TESCO STORE 2105      ON 14 JAN          CLP</t>
  </si>
  <si>
    <t>COSTA COFFEE 43035    ON 14 JAN          CLP</t>
  </si>
  <si>
    <t>BP BEDFORD EXPRESS    ON 13 JAN          CLP</t>
  </si>
  <si>
    <t>MARKS&amp;SPENCER PLC     ON 15 JAN          CLP</t>
  </si>
  <si>
    <t>COSTA COFFEE 43035    ON 15 JAN          CLP</t>
  </si>
  <si>
    <t>NEW COUNTY SERVICE    ON 15 JAN          BCC</t>
  </si>
  <si>
    <t>MARKS&amp;SPENCER PLC     ON 16 JAN          CLP</t>
  </si>
  <si>
    <t>BP BEDFORD EXPRESS    ON 18 JAN          CLP</t>
  </si>
  <si>
    <t>MARKS&amp;SPENCER PLC     ON 19 JAN          BCC</t>
  </si>
  <si>
    <t>TESCO STORE 2105      ON 18 JAN          BCC</t>
  </si>
  <si>
    <t>MCDONALDS             ON 17 JAN          CLP</t>
  </si>
  <si>
    <t>COSTA COFFEE 43035    ON 17 JAN          CLP</t>
  </si>
  <si>
    <t>TESCO STORE 2105      ON 17 JAN          BCC</t>
  </si>
  <si>
    <t>NEW COUNTY SERVICE    ON 20 JAN          BCC</t>
  </si>
  <si>
    <t>TESCO STORE 2105      ON 22 JAN          CLP</t>
  </si>
  <si>
    <t>NATIONAL LOTTERY I    ON 22 JAN          BCC</t>
  </si>
  <si>
    <t>MARKS&amp;SPENCER PLC     ON 23 JAN          CLP</t>
  </si>
  <si>
    <t>COSTA COFFEE 43035    ON 23 JAN          CLP</t>
  </si>
  <si>
    <t>COSTA COFFEE          ON 23 JAN          CLP</t>
  </si>
  <si>
    <t>MKC PARKING RINGGO    ON 23 JAN          BCC</t>
  </si>
  <si>
    <t>COSTA COFFEE 43035    ON 26 JAN          CLP</t>
  </si>
  <si>
    <t>MARKS&amp;SPENCER PLC     ON 26 JAN          BCC</t>
  </si>
  <si>
    <t>COSTA COFFEE 43035    ON 25 JAN          CLP</t>
  </si>
  <si>
    <t>CO OPERATIVE FOOD     ON 25 JAN          CLP</t>
  </si>
  <si>
    <t>MKC PARKING RINGGO    ON 25 JAN          BCC</t>
  </si>
  <si>
    <t>COTTON ON UK (PTY)    ON 25 JAN          BCC</t>
  </si>
  <si>
    <t>HOLLISTER (MIDSUMM    ON 23 JAN          CLP</t>
  </si>
  <si>
    <t>TESCO STORE 2105      ON 28 JAN          BCC</t>
  </si>
  <si>
    <t>BP BEDFORD EXPRESS    ON 27 JAN          BCC</t>
  </si>
  <si>
    <t>MCDONALDS             ON 29 JAN          CLP</t>
  </si>
  <si>
    <t>IZ *THE PAVILION T    ON 29 JAN          CLP</t>
  </si>
  <si>
    <t>BUDGENS               ON 29 JAN          CLP</t>
  </si>
  <si>
    <t>K S SAXBY             ON 30 JAN          CLP</t>
  </si>
  <si>
    <t>IZ *THE PAVILION T    ON 30 JAN          CLP</t>
  </si>
  <si>
    <t>BP BEDFORD EXPRESS    ON 29 JAN          CLP</t>
  </si>
  <si>
    <t>NEW COUNTY SERVICE    ON 30 JAN          BCC</t>
  </si>
  <si>
    <t>CO OPERATIVE FOOD     ON 30 JAN          BCC</t>
  </si>
  <si>
    <t>Rent for period 26/12/2019 - 25/01/2020 from Mrs Dionne McLaughlin - Flat 18, 4-6 Alhambra Road, Southsea</t>
  </si>
  <si>
    <t>Management Fee at 6% - Flat 18, 4-6 Alhambra Road, Southsea</t>
  </si>
  <si>
    <t>Invoice</t>
  </si>
  <si>
    <t>Amount payable to Mr Mathew Tucker - Flat 18, 4-6 Alhambra Road, Southsea</t>
  </si>
  <si>
    <t>Statement</t>
  </si>
  <si>
    <t>Legislation &amp; Compliance  - Flat 18, 4-6 Alhambra Road, Southsea</t>
  </si>
  <si>
    <t>Rent for period 26/01/2020 - 25/02/2020 from Mrs Dionne McLaughlin - Flat 18, 4-6 Alhambra Road, Southsea</t>
  </si>
  <si>
    <t>Legislation &amp; Compliance  - Flat 10, 12-14 Alhambra Road, Southsea</t>
  </si>
  <si>
    <t>Rent for period 20/11/2019 - 19/12/2019 from Mr Andrew England - Flat 10, 12-14 Alhambra Road, Southsea</t>
  </si>
  <si>
    <t>Management Fee at 6% - Flat 10, 12-14 Alhambra Road, Southsea</t>
  </si>
  <si>
    <t>Rent for period 20/12/2019 - 19/01/2020 from Mr Andrew England - Flat 10, 12-14 Alhambra Road, Southsea</t>
  </si>
  <si>
    <t>Rent for period 20/01/2020 - 19/02/2020 from Mr Andrew England - Flat 10, 12-14 Alhambra Road, Southsea</t>
  </si>
  <si>
    <t>Amount payable to Mr Mathew Tucker - Flat 10, 12-14 Alhambra Road, Southsea</t>
  </si>
  <si>
    <t>Rent for period 06/01/2020 - 05/02/2020 from Mr Paul McIlwraith - Flat 14, 12-14 Alhambra Road, Southsea</t>
  </si>
  <si>
    <t>Management Fee at 6% - Flat 14, 12-14 Alhambra Road, Southsea</t>
  </si>
  <si>
    <t>Amount payable to Mr Mathew Tucker - Flat 14, 12-14 Alhambra Road, Southsea</t>
  </si>
  <si>
    <t>Legislation &amp; Compliance  - Flat 14, 12-14 Alhambra Road, Southsea</t>
  </si>
  <si>
    <t>Rent for period 06/01/2020 - 05/02/2020 from Mr Tony Di-Marco - Flat 4, 12-14 Alhambra Road, Southsea</t>
  </si>
  <si>
    <t>Management Fee at 6% - Flat 4, 12-14 Alhambra Road, Southsea</t>
  </si>
  <si>
    <t>Amount payable to Mr Mathew Tucker - Flat 4, 12-14 Alhambra Road, Southsea</t>
  </si>
  <si>
    <t>Legislation &amp; Compliance  - Flat 4, 12-14 Alhambra Road, Southsea</t>
  </si>
  <si>
    <t>Rent for period 12/01/2020 - 11/02/2020 from Mr Peter Taperek - Flat 6, 16-18 Alhambra Road, Southsea</t>
  </si>
  <si>
    <t>Management Fee at 6% - Flat 6, 16-18 Alhambra Road, Southsea</t>
  </si>
  <si>
    <t>Amount payable to Mr Mathew Tucker - Flat 6, 16-18 Alhambra Road, Southsea</t>
  </si>
  <si>
    <t>Legislation &amp; Compliance  - Flat 6, 16-18 Alhambra Road, Southsea</t>
  </si>
  <si>
    <t>Rent for period 12/01/2020 - 11/02/2020 from Mr Sam Yates - Flat 11, 16-18 Alhambra Road, Southsea</t>
  </si>
  <si>
    <t>Management Fee at 6% - Flat 11, 16-18 Alhambra Road, Southsea</t>
  </si>
  <si>
    <t>Amount payable to Mr Mathew Tucker - Flat 11, 16-18 Alhambra Road, Southsea</t>
  </si>
  <si>
    <t>Legislation &amp; Compliance  - Flat 11, 16-18 Alhambra Road, Southsea</t>
  </si>
  <si>
    <t>Legislation &amp; Compliance  - Flat 13, 16-18 Alhambra Road, Southsea</t>
  </si>
  <si>
    <t>Rent for period 28/01/2020 - 27/02/2020 from Mr Tomas Gamarro Garcia, Miss Agnieszka Helena Kraus - Flat 13, 16-18 Alhambra Road, Southsea</t>
  </si>
  <si>
    <t>Management Fee at 6% - Flat 13, 16-18 Alhambra Road, Southsea</t>
  </si>
  <si>
    <t>Amount payable to Mr Mathew Tucker - Flat 13, 16-18 Alhambra Road, Southsea</t>
  </si>
  <si>
    <t>Rent for period 25/01/2020 - 24/02/2020 from Ms Sharon Briscoe - Flat 1, 321 London Road, Portsmouth</t>
  </si>
  <si>
    <t>Management Fee at 6% - Flat 1, 321 London Road, Portsmouth</t>
  </si>
  <si>
    <t>Amount payable to Mr Mathew Tucker - Flat 1, 321 London Road, Portsmouth</t>
  </si>
  <si>
    <t>Legislation &amp; Compliance  - Flat 1, 321 London Road, Portsmouth</t>
  </si>
  <si>
    <t>Rent for period 15/12/2019 - 14/01/2020 from Miss Nathalie Rockmer - Flat 3, 321 London Road, Portsmouth</t>
  </si>
  <si>
    <t>Management Fee at 6% - Flat 3, 321 London Road, Portsmouth</t>
  </si>
  <si>
    <t>Amount payable to Mr Mathew Tucker - Flat 3, 321 London Road, Portsmouth</t>
  </si>
  <si>
    <t>Legislation &amp; Compliance  - Flat 3, 321 London Road, Portsmouth</t>
  </si>
  <si>
    <t>Rent for period 26/12/2019 - 25/01/2020 from Miss Carol Carrington - Flat 4, 321 London Road, Portsmouth</t>
  </si>
  <si>
    <t>Management Fee at 6% - Flat 4, 321 London Road, Portsmouth</t>
  </si>
  <si>
    <t>Amount payable to Mr Mathew Tucker - Flat 4, 321 London Road, Portsmouth</t>
  </si>
  <si>
    <t>Legislation &amp; Compliance  - Flat 4, 321 London Road, Portsmouth</t>
  </si>
  <si>
    <t>Rent for period 26/01/2020 - 25/02/2020 from Miss Carol Carrington - Flat 4, 321 London Road, Portsmouth</t>
  </si>
  <si>
    <t>Rent for period 02/12/2019 - 01/01/2020 from Mr Michael Pedace - Flat 2, 171 Fawcett Road, Southsea</t>
  </si>
  <si>
    <t>Management Fee at 6% - Flat 2, 171 Fawcett Road, Southsea</t>
  </si>
  <si>
    <t>Rent for period 02/01/2020 - 01/02/2020 from Mr Michael Pedace - Flat 2, 171 Fawcett Road, Southsea</t>
  </si>
  <si>
    <t>Amount payable to Mr Mathew Tucker - Flat 2, 171 Fawcett Road, Southsea</t>
  </si>
  <si>
    <t>Legislation &amp; Compliance  - Flat 2, 171 Fawcett Road, Southsea</t>
  </si>
  <si>
    <t>Rent for period 15/01/2020 - 14/02/2020 from Mr Graham Robinson - Flat 3, 169 Fawcett Road, Southsea</t>
  </si>
  <si>
    <t>Management Fee at 6% - Flat 3, 169 Fawcett Road, Southsea</t>
  </si>
  <si>
    <t>Amount payable to Mr Mathew Tucker - Flat 3, 169 Fawcett Road, Southsea</t>
  </si>
  <si>
    <t>Legislation &amp; Compliance  - Flat 3, 169 Fawcett Road, Southsea</t>
  </si>
  <si>
    <t>Rent for period 06/12/2019 - 05/01/2020 from Ms Susan Parkinson - Flat 1, 169 Fawcett Road, Southsea</t>
  </si>
  <si>
    <t>Management Fee at 6% - Flat 1, 169 Fawcett Road, Southsea</t>
  </si>
  <si>
    <t>Rent for period 06/01/2020 - 05/02/2020 from Ms Susan Parkinson - Flat 1, 169 Fawcett Road, Southsea</t>
  </si>
  <si>
    <t>Amount payable to Mr Mathew Tucker - Flat 1, 169 Fawcett Road, Southsea</t>
  </si>
  <si>
    <t>Legislation &amp; Compliance  - Flat 1, 169 Fawcett Road, Southsea</t>
  </si>
  <si>
    <t>Rent for period 11/01/2020 - 10/02/2020 from Mr Martin Gliszczynski (SIE-SOF T/A Pol Help) - Shop, 196 Kingston Road, Portsmouth</t>
  </si>
  <si>
    <t>Management Fee at 6% - Shop, 196 Kingston Road, Portsmouth</t>
  </si>
  <si>
    <t>Amount payable to Mr Mathew Tucker - Shop, 196 Kingston Road, Portsmouth</t>
  </si>
  <si>
    <t>Legislation &amp; Compliance  - Shop, 196 Kingston Road, Portsmouth</t>
  </si>
  <si>
    <t>Rent for period 01/01/2020 - 31/01/2020 from Ms Jo Henson - 196a Kingston Road, Portsmouth</t>
  </si>
  <si>
    <t>Management Fee at 6% - 196a Kingston Road, Portsmouth</t>
  </si>
  <si>
    <t>Amount payable to Mr Mathew Tucker - 196a Kingston Road, Portsmouth</t>
  </si>
  <si>
    <t>Legislation &amp; Compliance  - 196a Kingston Road, Portsmouth</t>
  </si>
  <si>
    <t>Rent for period 08/01/2020 - 07/02/2020 from Mr Antony Raymond Hinks - Flat 6, 8 Alhambra Road, Southsea</t>
  </si>
  <si>
    <t>Management Fee at 6% - Flat 6, 8 Alhambra Road, Southsea</t>
  </si>
  <si>
    <t>Amount payable to Mr Mathew Tucker - Flat 6, 8 Alhambra Road, Southsea</t>
  </si>
  <si>
    <t>Legislation &amp; Compliance  - Flat 6, 8 Alhambra Road, Southsea</t>
  </si>
  <si>
    <t>Rent for period 14/12/2019 - 13/01/2020 from Mr Martin Brett - Flat 3, 163 Fratton Road, Portsmouth</t>
  </si>
  <si>
    <t>Management Fee at 6% - Flat 3, 163 Fratton Road, Portsmouth</t>
  </si>
  <si>
    <t>Rent for period 14/01/2020 - 13/02/2020 from Mr Martin Brett - Flat 3, 163 Fratton Road, Portsmouth</t>
  </si>
  <si>
    <t>Amount payable to Mr Mathew Tucker - Flat 3, 163 Fratton Road, Portsmouth</t>
  </si>
  <si>
    <t>Legislation &amp; Compliance  - Flat 3, 163 Fratton Road, Portsmouth</t>
  </si>
  <si>
    <t>Rent for period 14/12/2019 - 13/01/2020 from Mr Aleksandra Radzevics - Flat 7, 12-14 Alhambra Road, Southsea</t>
  </si>
  <si>
    <t>Management Fee at 6% - Flat 7, 12-14 Alhambra Road, Southsea</t>
  </si>
  <si>
    <t>Rent for period 14/01/2020 - 13/02/2020 from Mr Aleksandra Radzevics - Flat 7, 12-14 Alhambra Road, Southsea</t>
  </si>
  <si>
    <t>Amount payable to Mr Mathew Tucker - Flat 7, 12-14 Alhambra Road, Southsea</t>
  </si>
  <si>
    <t>Legislation &amp; Compliance  - Flat 7, 12-14 Alhambra Road, Southsea</t>
  </si>
  <si>
    <t>Rent for period 06/12/2019 - 05/01/2020 from Ms Kirstine Aldridge - Flat 1, 171 Fawcett Road, Southsea</t>
  </si>
  <si>
    <t>Management Fee at 6% - Flat 1, 171 Fawcett Road, Southsea</t>
  </si>
  <si>
    <t>Rent for period 06/01/2020 - 05/02/2020 from Ms Kirstine Aldridge - Flat 1, 171 Fawcett Road, Southsea</t>
  </si>
  <si>
    <t>Amount payable to Mr Mathew Tucker - Flat 1, 171 Fawcett Road, Southsea</t>
  </si>
  <si>
    <t>Legislation &amp; Compliance  - Flat 1, 171 Fawcett Road, Southsea</t>
  </si>
  <si>
    <t>Rent for period 30/12/2019 - 29/01/2020 from Mr Andrew Austin - Flat 7, 8 Alhambra Road, Southsea</t>
  </si>
  <si>
    <t>Management Fee at 6% - Flat 7, 8 Alhambra Road, Southsea</t>
  </si>
  <si>
    <t>Amount payable to Ms Ivana Valentino - Flat 7, 8 Alhambra Road, Southsea</t>
  </si>
  <si>
    <t>Legislation &amp; Compliance  - Flat 7, 8 Alhambra Road, Southsea</t>
  </si>
  <si>
    <t>Deposit to landlord for rent arrears - Flat 8, 8 Alhambra Road, Southsea</t>
  </si>
  <si>
    <t>Amount payable to Ms Ivana Valentino</t>
  </si>
  <si>
    <t>Legislation &amp; Compliance  - Flat 8, 8 Alhambra Road, Southsea</t>
  </si>
  <si>
    <t>Rent for period 18/12/2019 - 17/01/2020 from Mr Andrew Greer - Flat 3, 12-14 Alhambra Road, Southsea</t>
  </si>
  <si>
    <t>Management Fee at 6% - Flat 3, 12-14 Alhambra Road, Southsea</t>
  </si>
  <si>
    <t>Amount payable to Ms Ivana Valentino - Flat 3, 12-14 Alhambra Road, Southsea</t>
  </si>
  <si>
    <t>Rent for period 18/01/2020 - 17/02/2020 from Mr Andrew Greer - Flat 3, 12-14 Alhambra Road, Southsea</t>
  </si>
  <si>
    <t>Legislation &amp; Compliance  - Flat 3, 12-14 Alhambra Road, Southsea</t>
  </si>
  <si>
    <t>Rent for period 23/12/2019 - 22/01/2020 from Mr Michael Valverde - Flat 5, 12-14 Alhambra Road, Southsea</t>
  </si>
  <si>
    <t>Management Fee at 6% - Flat 5, 12-14 Alhambra Road, Southsea</t>
  </si>
  <si>
    <t>Amount payable to Ms Ivana Valentino - Flat 5, 12-14 Alhambra Road, Southsea</t>
  </si>
  <si>
    <t>Rent for period 23/01/2020 - 22/02/2020 from Mr Michael Valverde - Flat 5, 12-14 Alhambra Road, Southsea</t>
  </si>
  <si>
    <t>Legislation &amp; Compliance  - Flat 5, 12-14 Alhambra Road, Southsea</t>
  </si>
  <si>
    <t>Rent for period 19/12/2019 - 18/01/2020 from Mr Aubrey Milligan - Flat 16, 12-14 Alhambra Road, Southsea</t>
  </si>
  <si>
    <t>Management Fee at 6% - Flat 16, 12-14 Alhambra Road, Southsea</t>
  </si>
  <si>
    <t>Amount payable to Ms Ivana Valentino - Flat 16, 12-14 Alhambra Road, Southsea</t>
  </si>
  <si>
    <t>Rent for period 19/01/2020 - 18/02/2020 from Mr Aubrey Milligan - Flat 16, 12-14 Alhambra Road, Southsea</t>
  </si>
  <si>
    <t>Legislation &amp; Compliance  - Flat 16, 12-14 Alhambra Road, Southsea</t>
  </si>
  <si>
    <t>Rent for period 19/12/2019 - 18/01/2020 from Mr Jason Passmore - Flat 12, 16-18 Alhambra Road, Southsea</t>
  </si>
  <si>
    <t>Management Fee at 6% - Flat 12, 16-18 Alhambra Road, Southsea</t>
  </si>
  <si>
    <t>Amount payable to Ms Ivana Valentino - Flat 12, 16-18 Alhambra Road, Southsea</t>
  </si>
  <si>
    <t>Rent for period 19/01/2020 - 18/02/2020 from Mr Jason Passmore - Flat 12, 16-18 Alhambra Road, Southsea</t>
  </si>
  <si>
    <t>Legislation &amp; Compliance  - Flat 12, 16-18 Alhambra Road, Southsea</t>
  </si>
  <si>
    <t>Rent for period 30/01/2020 - 29/02/2020 from Mr Robert Baird - Flat 17, 4-6 Alhambra Road, Southsea</t>
  </si>
  <si>
    <t>Deposit Received £634</t>
  </si>
  <si>
    <t>Rent for period 10/01/2020 - 09/02/2020 from Mr Vaclav Hajek - Flat 2, 169 Fawcett Road, Southsea</t>
  </si>
  <si>
    <t>Rent for period 14/12/2019 - 13/01/2020 from Miss Katie Ingoldsby - Flat 19, 4-6 Alhambra Road, Southsea</t>
  </si>
  <si>
    <t>Rent for period 30/01/2020 -29/02/2020 from Miss Bianca Vintila - Flat 1, 16-18 Alhambra Rd, Southsea</t>
  </si>
  <si>
    <t>Rent for period 07/01/2020 - 06/02/2020 from Mr Matthew Tidbury - Flat 4, 163 Fratton Road, Portsmouth</t>
  </si>
  <si>
    <t>Rent for period 30/12/2019 - 30/01/2020 from Mr T Dunira - 23C, Hampshire Terrace</t>
  </si>
  <si>
    <t>Rent for period 03/01/2020 - 03/02/2020 from Mr A Stancu - Flat 22, 4-6 Alhambra Road, Southsea</t>
  </si>
  <si>
    <t>Rent for period 25/01/2020 - 24/02/2020 from Mr Michael Betts - Flat 11, 12-14 Alhambra Road, Southsea</t>
  </si>
  <si>
    <t>Rent for period 18/01/2020 - 17/02/2020 from Mr Cipran Georgescu - Flat 2, 321 London Road, Portsmouth</t>
  </si>
  <si>
    <t>Fox and sons fees</t>
  </si>
  <si>
    <t>Deposit Paid £634</t>
  </si>
  <si>
    <t>Rent for period 25/12/2019 - 24/01/2020 from Mr Mark Williams - First Floor Flat, 196 Kingston Road</t>
  </si>
  <si>
    <t>Deposit received</t>
  </si>
  <si>
    <t>Deposit paid</t>
  </si>
  <si>
    <t>Fox and Sons letting fee</t>
  </si>
  <si>
    <t>Rent for period 15/01/2020 - 14/07/2020 from Miss Bria Barber and Mr Shawn Griffiths - Flat 3, 16-18 Alhambra Road, Southsea</t>
  </si>
  <si>
    <t>Rent for period 15/01/2020 - 14/07/2020 from Miss Andreea Maria and Mr Cosmin Maria - Flat 23, 4-6 Alhambra Road, Southsea</t>
  </si>
  <si>
    <t>Rent for period 14/01/2020 - 13/02/2020 from Miss Katie Ingoldsby - Flat 19, 4-6 Alhambra Road, Southsea</t>
  </si>
  <si>
    <t>Council Tax</t>
  </si>
  <si>
    <t>Council Tax. 10438882</t>
  </si>
  <si>
    <t>Council Tax. 16447622. CHECK DATES</t>
  </si>
  <si>
    <t xml:space="preserve">Internal lock stolen </t>
  </si>
  <si>
    <t>Electric pump for heating</t>
  </si>
  <si>
    <t>Bathroom repaint and repairs due to leak above</t>
  </si>
  <si>
    <t>Carpet replacement</t>
  </si>
  <si>
    <t>Capet fitting</t>
  </si>
  <si>
    <t>Gas Safety</t>
  </si>
  <si>
    <t>Extractor fan</t>
  </si>
  <si>
    <t>New Shower</t>
  </si>
  <si>
    <t>Eviction new lock</t>
  </si>
  <si>
    <t>New toilet seat</t>
  </si>
  <si>
    <t>Leaking Roof</t>
  </si>
  <si>
    <t>New hob and gas safety</t>
  </si>
  <si>
    <t>Owes for Flat 2</t>
  </si>
  <si>
    <t>Not paid in March 19 and Dec 19</t>
  </si>
  <si>
    <t>Paid to March 2020</t>
  </si>
  <si>
    <t>Sold 22/2/20</t>
  </si>
  <si>
    <t>Arrears from Nov 19</t>
  </si>
  <si>
    <t>Paid to December 2019</t>
  </si>
  <si>
    <t>Who is paying this?</t>
  </si>
  <si>
    <t>Paid to April 2020</t>
  </si>
  <si>
    <t>No payment Christian - he paid 2 months to 10/10/19</t>
  </si>
  <si>
    <t>This flat pays into Ivana's account</t>
  </si>
  <si>
    <t>Not paid in Dec 19</t>
  </si>
  <si>
    <t>Has Alan Young moved out?</t>
  </si>
  <si>
    <t>Paid to February 2020</t>
  </si>
  <si>
    <t/>
  </si>
  <si>
    <t>BK</t>
  </si>
  <si>
    <t>BK,MT</t>
  </si>
  <si>
    <t>BK,PM,RT</t>
  </si>
  <si>
    <t>BK,PM,EX</t>
  </si>
  <si>
    <t>RT</t>
  </si>
  <si>
    <t>MF</t>
  </si>
  <si>
    <t>PM</t>
  </si>
  <si>
    <t>EX</t>
  </si>
  <si>
    <t>321 London Rd</t>
  </si>
  <si>
    <t>Sharon Briscoe (25/01/2019 - present)</t>
  </si>
  <si>
    <t>Cipran Georgescu (18/01/2020 - present)</t>
  </si>
  <si>
    <t>Nathalie Rockmer (15/09/2018 - present)</t>
  </si>
  <si>
    <t>Carrington (26/11/2010 - present)</t>
  </si>
  <si>
    <t>Susan Parkinson (06/11/2016 - present)</t>
  </si>
  <si>
    <t>Vaclav Hajek (10/08/2019 - present)</t>
  </si>
  <si>
    <t>Mr Robinson (15/05/2013 - present)</t>
  </si>
  <si>
    <t>K Aldridge (06/01/2012 - present)</t>
  </si>
  <si>
    <t>Mr Pedace (02/04/2015 - present)</t>
  </si>
  <si>
    <t>Martin Brett (14/04/2010 - present)</t>
  </si>
  <si>
    <t>Matthew Tidbury (07/12/2019 - present)</t>
  </si>
  <si>
    <t>Martin Gliszczynski (SIE-SOF T/A Pol Help) (11/12/2016 - present)</t>
  </si>
  <si>
    <t>Ms J Henson (01/02/2016 - present)</t>
  </si>
  <si>
    <t>Mark Williams (25/09/2019 - present)</t>
  </si>
  <si>
    <t>T Dunira (30/09/2019 - present)</t>
  </si>
  <si>
    <t>Mr Hinks (08/11/2013 - present)</t>
  </si>
  <si>
    <t>Andrew Austin (30/04/2018 - present)</t>
  </si>
  <si>
    <t>Jade Hughes (10/12/2019 - present)</t>
  </si>
  <si>
    <t>Robert Baird (31/10/2019 - present)</t>
  </si>
  <si>
    <t>Dionne McLaughlin (26/06/2009 - present)</t>
  </si>
  <si>
    <t>Katie Ingoldsby (29/06/2019 - present)</t>
  </si>
  <si>
    <t>A Stancu (03/06/2019 - present)</t>
  </si>
  <si>
    <t>Andreea Maria and Mr Cosmin Maria (15/01/2020 - present)</t>
  </si>
  <si>
    <t>Andrew Greer (18/07/2017 - present)</t>
  </si>
  <si>
    <t>Tony Di-Marco (06/05/2017 - present)</t>
  </si>
  <si>
    <t>Valverde (23/02/2007 - present)</t>
  </si>
  <si>
    <t>Mr Radzevics (14/10/2013 - present)</t>
  </si>
  <si>
    <t>Michael Betts (25/09/2019 - present)</t>
  </si>
  <si>
    <t>Andrew England (20/11/2009 - present)</t>
  </si>
  <si>
    <t>Paul McIlwraith (06/12/2016 - present)</t>
  </si>
  <si>
    <t>Mr Milligan (19/03/2015 - present)</t>
  </si>
  <si>
    <t>Bianca Vintila (30/10/2019 - present)</t>
  </si>
  <si>
    <t>Bria Barber and Mr Shawn Griffiths (15/01/2020 - present)</t>
  </si>
  <si>
    <t>Taperek (11/12/2009 - present)</t>
  </si>
  <si>
    <t>Sam Yates (12/05/2017 - present)</t>
  </si>
  <si>
    <t>Mr Jason Passmore (19/09/2016 - present)</t>
  </si>
  <si>
    <t>Tomas Gamarro Garcia, Miss Agnieszka Helena Kraus (28/12/2018 - present)</t>
  </si>
  <si>
    <t>BealsExportSheet:</t>
  </si>
  <si>
    <t>Expense record(s)</t>
  </si>
  <si>
    <t>Rent record(s)</t>
  </si>
  <si>
    <t>Management Fee record(s)</t>
  </si>
  <si>
    <t>Payment record(s)</t>
  </si>
  <si>
    <t>Joined orphan record(s)</t>
  </si>
  <si>
    <t>Orphan record(s)</t>
  </si>
  <si>
    <t>TransId</t>
  </si>
  <si>
    <t>Type</t>
  </si>
  <si>
    <t>JOINED</t>
  </si>
  <si>
    <t>ORPHAN</t>
  </si>
  <si>
    <t>BankSheet:</t>
  </si>
  <si>
    <t>BankSheetName</t>
  </si>
  <si>
    <t>Record Count</t>
  </si>
  <si>
    <t>Records Processed</t>
  </si>
  <si>
    <t>Records Not Processed</t>
  </si>
  <si>
    <t>BankTransaction record(s) / inserted</t>
  </si>
  <si>
    <t>PropertyTransaction record(s) / inserted</t>
  </si>
  <si>
    <t>MortgageTransaction record(s) / inserted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</si>
</sst>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£&quot;#,##0.00;[Red]\-&quot;£&quot;#,##0.00"/>
    <numFmt numFmtId="164" formatCode="#,##0;[Red]\(#,##0\)"/>
    <numFmt numFmtId="165" formatCode="#,##0.00;[Red]\(#,##0.00\)"/>
    <numFmt numFmtId="166" formatCode="&quot;£&quot;#,##0.00"/>
    <numFmt numFmtId="167" formatCode="dd/mm/yyyy;@"/>
    <numFmt numFmtId="168" formatCode="[$-809]dd\ mmmm\ yyyy;@"/>
    <numFmt numFmtId="169" formatCode="&quot;£&quot;#,##0.00;[Red]&quot;£&quot;#,##0.00"/>
    <numFmt numFmtId="170" formatCode="dd/MM/yyyy"/>
  </numFmts>
  <fonts count="28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b/>
      <sz val="8"/>
      <color indexed="81"/>
      <name val="Tahoma"/>
      <family val="2"/>
    </font>
    <font>
      <i/>
      <sz val="10"/>
      <name val="Arial"/>
      <family val="2"/>
    </font>
    <font>
      <sz val="10"/>
      <color indexed="9"/>
      <name val="Arial"/>
      <family val="2"/>
    </font>
    <font>
      <sz val="11"/>
      <color indexed="48"/>
      <name val="Arial"/>
      <family val="2"/>
    </font>
    <font>
      <sz val="10"/>
      <color indexed="48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9C0006"/>
      <name val="Calibri"/>
      <family val="2"/>
      <scheme val="minor"/>
    </font>
    <font>
      <i/>
      <sz val="11"/>
      <name val="Calibri"/>
      <family val="2"/>
    </font>
    <font>
      <i/>
      <sz val="11"/>
      <name val="Calibri"/>
      <family val="2"/>
    </font>
    <font>
      <name val="Calibri"/>
      <sz val="11.0"/>
      <i val="true"/>
    </font>
  </fonts>
  <fills count="17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borderId="0" fillId="0" fontId="0" numFmtId="0"/>
    <xf applyAlignment="0" applyBorder="0" applyNumberFormat="0" applyProtection="0" borderId="0" fillId="9" fontId="22" numFmtId="0"/>
    <xf applyAlignment="0" applyBorder="0" applyNumberFormat="0" applyProtection="0" borderId="0" fillId="10" fontId="23" numFmtId="0"/>
  </cellStyleXfs>
  <cellXfs count="180">
    <xf borderId="0" fillId="0" fontId="0" numFmtId="0" xfId="0"/>
    <xf applyFont="1" borderId="0" fillId="0" fontId="2" numFmtId="0" xfId="0"/>
    <xf applyFont="1" borderId="0" fillId="0" fontId="3" numFmtId="0" xfId="0"/>
    <xf applyFont="1" applyNumberFormat="1" borderId="0" fillId="0" fontId="3" numFmtId="3" xfId="0"/>
    <xf applyFont="1" applyNumberFormat="1" borderId="0" fillId="0" fontId="2" numFmtId="166" xfId="0"/>
    <xf applyNumberFormat="1" borderId="0" fillId="0" fontId="0" numFmtId="166" xfId="0"/>
    <xf applyFont="1" borderId="0" fillId="0" fontId="10" numFmtId="0" xfId="0"/>
    <xf applyFont="1" borderId="0" fillId="0" fontId="6" numFmtId="0" xfId="0"/>
    <xf applyAlignment="1" applyBorder="1" applyFill="1" applyFont="1" borderId="1" fillId="2" fontId="8" numFmtId="0" xfId="0">
      <alignment wrapText="1"/>
    </xf>
    <xf applyAlignment="1" applyBorder="1" applyFill="1" applyFont="1" borderId="2" fillId="2" fontId="8" numFmtId="0" xfId="0">
      <alignment horizontal="left" wrapText="1"/>
    </xf>
    <xf applyAlignment="1" borderId="0" fillId="0" fontId="0" numFmtId="0" xfId="0">
      <alignment horizontal="center"/>
    </xf>
    <xf applyNumberFormat="1" borderId="0" fillId="0" fontId="0" numFmtId="164" xfId="0"/>
    <xf applyFont="1" applyNumberFormat="1" borderId="0" fillId="0" fontId="8" numFmtId="165" xfId="0"/>
    <xf applyBorder="1" applyFill="1" borderId="4" fillId="3" fontId="0" numFmtId="0" xfId="0"/>
    <xf applyAlignment="1" applyBorder="1" applyFill="1" applyFont="1" borderId="5" fillId="2" fontId="8" numFmtId="0" xfId="0">
      <alignment wrapText="1"/>
    </xf>
    <xf applyFont="1" borderId="0" fillId="0" fontId="13" numFmtId="0" xfId="0"/>
    <xf applyFill="1" applyProtection="1" borderId="0" fillId="3" fontId="0" numFmtId="0" xfId="0">
      <protection locked="0"/>
    </xf>
    <xf applyFont="1" applyNumberFormat="1" borderId="0" fillId="0" fontId="2" numFmtId="1" xfId="0"/>
    <xf applyNumberFormat="1" borderId="0" fillId="0" fontId="0" numFmtId="1" xfId="0"/>
    <xf applyBorder="1" borderId="6" fillId="0" fontId="0" numFmtId="0" xfId="0"/>
    <xf applyBorder="1" applyFill="1" borderId="7" fillId="3" fontId="0" numFmtId="0" xfId="0"/>
    <xf applyBorder="1" applyFill="1" applyProtection="1" borderId="8" fillId="3" fontId="0" numFmtId="0" xfId="0">
      <protection locked="0"/>
    </xf>
    <xf applyBorder="1" applyFill="1" applyFont="1" borderId="9" fillId="3" fontId="3" numFmtId="0" xfId="0"/>
    <xf applyBorder="1" applyFill="1" applyFont="1" borderId="10" fillId="3" fontId="3" numFmtId="0" xfId="0"/>
    <xf applyAlignment="1" applyBorder="1" applyFill="1" applyFont="1" borderId="3" fillId="4" fontId="8" numFmtId="0" xfId="0">
      <alignment wrapText="1"/>
    </xf>
    <xf applyAlignment="1" applyBorder="1" applyFill="1" applyFont="1" borderId="11" fillId="5" fontId="8" numFmtId="0" xfId="0">
      <alignment vertical="top" wrapText="1"/>
    </xf>
    <xf applyAlignment="1" applyBorder="1" applyFill="1" applyFont="1" borderId="12" fillId="5" fontId="8" numFmtId="0" xfId="0">
      <alignment horizontal="left" wrapText="1"/>
    </xf>
    <xf applyAlignment="1" applyBorder="1" applyFill="1" applyFont="1" borderId="13" fillId="5" fontId="8" numFmtId="0" xfId="0">
      <alignment horizontal="left" wrapText="1"/>
    </xf>
    <xf applyAlignment="1" applyBorder="1" applyFill="1" applyFont="1" applyNumberFormat="1" borderId="5" fillId="5" fontId="8" numFmtId="167" xfId="0">
      <alignment wrapText="1"/>
    </xf>
    <xf applyAlignment="1" applyBorder="1" applyFill="1" applyFont="1" applyNumberFormat="1" borderId="5" fillId="5" fontId="9" numFmtId="167" xfId="0">
      <alignment wrapText="1"/>
    </xf>
    <xf applyAlignment="1" applyBorder="1" applyFill="1" applyFont="1" borderId="5" fillId="5" fontId="8" numFmtId="0" xfId="0">
      <alignment wrapText="1"/>
    </xf>
    <xf applyAlignment="1" applyBorder="1" applyFill="1" applyFont="1" borderId="5" fillId="5" fontId="14" numFmtId="0" xfId="0">
      <alignment wrapText="1"/>
    </xf>
    <xf applyBorder="1" borderId="14" fillId="0" fontId="0" numFmtId="0" xfId="0"/>
    <xf applyFill="1" borderId="0" fillId="3" fontId="0" numFmtId="0" xfId="0"/>
    <xf applyNumberFormat="1" borderId="0" fillId="0" fontId="0" numFmtId="8" xfId="0"/>
    <xf applyBorder="1" applyNumberFormat="1" borderId="15" fillId="0" fontId="0" numFmtId="8" xfId="0"/>
    <xf applyAlignment="1" applyBorder="1" borderId="5" fillId="0" fontId="0" numFmtId="0" xfId="0">
      <alignment horizontal="left"/>
    </xf>
    <xf applyFill="1" applyProtection="1" borderId="0" fillId="5" fontId="0" numFmtId="0" xfId="0">
      <protection locked="0"/>
    </xf>
    <xf applyBorder="1" applyFill="1" borderId="7" fillId="5" fontId="0" numFmtId="0" xfId="0"/>
    <xf applyBorder="1" applyFill="1" applyNumberFormat="1" borderId="9" fillId="5" fontId="0" numFmtId="166" xfId="0"/>
    <xf applyBorder="1" applyFill="1" applyProtection="1" borderId="6" fillId="5" fontId="0" numFmtId="0" xfId="0">
      <protection locked="0"/>
    </xf>
    <xf applyBorder="1" borderId="5" fillId="0" fontId="0" numFmtId="0" xfId="0"/>
    <xf applyFont="1" borderId="0" fillId="0" fontId="12" numFmtId="0" xfId="0"/>
    <xf applyFont="1" applyNumberFormat="1" borderId="0" fillId="0" fontId="4" numFmtId="8" xfId="0"/>
    <xf applyBorder="1" applyFill="1" applyProtection="1" borderId="14" fillId="5" fontId="0" numFmtId="0" xfId="0">
      <protection locked="0"/>
    </xf>
    <xf applyNumberFormat="1" borderId="0" fillId="0" fontId="0" numFmtId="169" xfId="0"/>
    <xf applyFont="1" borderId="0" fillId="0" fontId="5" numFmtId="0" xfId="0"/>
    <xf applyAlignment="1" applyBorder="1" applyFill="1" applyFont="1" borderId="3" fillId="5" fontId="8" numFmtId="0" xfId="0">
      <alignment wrapText="1"/>
    </xf>
    <xf applyBorder="1" applyFill="1" applyProtection="1" borderId="3" fillId="5" fontId="0" numFmtId="0" xfId="0">
      <protection locked="0"/>
    </xf>
    <xf applyBorder="1" applyFill="1" applyProtection="1" borderId="7" fillId="5" fontId="0" numFmtId="0" xfId="0">
      <protection locked="0"/>
    </xf>
    <xf applyBorder="1" applyFill="1" applyFont="1" applyProtection="1" borderId="6" fillId="5" fontId="5" numFmtId="0" xfId="0">
      <protection locked="0"/>
    </xf>
    <xf applyFill="1" borderId="0" fillId="6" fontId="0" numFmtId="0" xfId="0"/>
    <xf applyBorder="1" applyFill="1" applyProtection="1" borderId="6" fillId="7" fontId="0" numFmtId="0" xfId="0">
      <protection locked="0"/>
    </xf>
    <xf applyFill="1" applyFont="1" borderId="0" fillId="6" fontId="3" numFmtId="0" xfId="0"/>
    <xf applyBorder="1" applyFill="1" applyFont="1" applyProtection="1" borderId="6" fillId="7" fontId="5" numFmtId="0" xfId="0">
      <protection locked="0"/>
    </xf>
    <xf applyAlignment="1" applyFont="1" applyNumberFormat="1" borderId="0" fillId="0" fontId="2" numFmtId="1" xfId="0">
      <alignment horizontal="right"/>
    </xf>
    <xf applyFont="1" applyNumberFormat="1" borderId="0" fillId="0" fontId="17" numFmtId="3" xfId="0"/>
    <xf applyFont="1" borderId="0" fillId="0" fontId="17" numFmtId="0" xfId="0"/>
    <xf applyFont="1" applyNumberFormat="1" borderId="0" fillId="0" fontId="17" numFmtId="14" xfId="0"/>
    <xf applyAlignment="1" applyFont="1" borderId="0" fillId="0" fontId="12" numFmtId="0" xfId="0">
      <alignment horizontal="right"/>
    </xf>
    <xf applyAlignment="1" borderId="0" fillId="0" fontId="0" numFmtId="0" xfId="0">
      <alignment horizontal="right"/>
    </xf>
    <xf applyBorder="1" borderId="9" fillId="0" fontId="0" numFmtId="0" xfId="0"/>
    <xf applyBorder="1" borderId="3" fillId="0" fontId="0" numFmtId="0" xfId="0"/>
    <xf applyBorder="1" applyFont="1" borderId="6" fillId="0" fontId="3" numFmtId="0" xfId="0"/>
    <xf applyBorder="1" borderId="10" fillId="0" fontId="0" numFmtId="0" xfId="0"/>
    <xf applyAlignment="1" applyBorder="1" borderId="6" fillId="0" fontId="0" numFmtId="0" xfId="0">
      <alignment horizontal="left"/>
    </xf>
    <xf applyNumberFormat="1" borderId="0" fillId="0" fontId="0" numFmtId="22" xfId="0"/>
    <xf applyBorder="1" applyFill="1" applyFont="1" applyNumberFormat="1" applyProtection="1" borderId="6" fillId="7" fontId="5" numFmtId="167" xfId="0">
      <protection locked="0"/>
    </xf>
    <xf applyAlignment="1" applyBorder="1" applyFill="1" applyFont="1" applyNumberFormat="1" applyProtection="1" borderId="6" fillId="7" fontId="5" numFmtId="166" xfId="0">
      <alignment horizontal="center"/>
      <protection locked="0"/>
    </xf>
    <xf applyAlignment="1" applyBorder="1" applyFill="1" applyNumberFormat="1" borderId="6" fillId="7" fontId="0" numFmtId="166" xfId="0">
      <alignment horizontal="center"/>
    </xf>
    <xf applyAlignment="1" applyBorder="1" applyFill="1" applyFont="1" applyNumberFormat="1" borderId="6" fillId="7" fontId="4" numFmtId="166" xfId="0">
      <alignment horizontal="center" wrapText="1"/>
    </xf>
    <xf applyBorder="1" applyFill="1" applyFont="1" applyNumberFormat="1" applyProtection="1" borderId="9" fillId="7" fontId="5" numFmtId="167" xfId="0">
      <protection locked="0"/>
    </xf>
    <xf applyAlignment="1" applyBorder="1" applyFill="1" applyFont="1" applyNumberFormat="1" applyProtection="1" borderId="9" fillId="7" fontId="5" numFmtId="166" xfId="0">
      <alignment horizontal="center"/>
      <protection locked="0"/>
    </xf>
    <xf applyAlignment="1" applyBorder="1" applyFill="1" applyFont="1" applyNumberFormat="1" borderId="6" fillId="7" fontId="15" numFmtId="166" xfId="0">
      <alignment horizontal="center"/>
    </xf>
    <xf applyBorder="1" applyFill="1" applyFont="1" applyNumberFormat="1" applyProtection="1" borderId="14" fillId="7" fontId="5" numFmtId="167" xfId="0">
      <protection locked="0"/>
    </xf>
    <xf applyAlignment="1" applyBorder="1" applyFill="1" applyFont="1" applyNumberFormat="1" applyProtection="1" borderId="14" fillId="7" fontId="5" numFmtId="166" xfId="0">
      <alignment horizontal="center"/>
      <protection locked="0"/>
    </xf>
    <xf applyAlignment="1" applyBorder="1" applyFill="1" applyNumberFormat="1" borderId="14" fillId="7" fontId="0" numFmtId="166" xfId="0">
      <alignment horizontal="center"/>
    </xf>
    <xf applyAlignment="1" applyBorder="1" applyFill="1" applyFont="1" applyNumberFormat="1" borderId="14" fillId="7" fontId="4" numFmtId="166" xfId="0">
      <alignment horizontal="center" wrapText="1"/>
    </xf>
    <xf applyAlignment="1" applyBorder="1" applyFill="1" applyFont="1" applyNumberFormat="1" applyProtection="1" borderId="5" fillId="7" fontId="7" numFmtId="168" xfId="0">
      <alignment horizontal="left" vertical="center"/>
      <protection locked="0"/>
    </xf>
    <xf applyBorder="1" applyFill="1" applyFont="1" applyNumberFormat="1" applyProtection="1" borderId="10" fillId="7" fontId="5" numFmtId="167" xfId="0">
      <protection locked="0"/>
    </xf>
    <xf applyAlignment="1" applyBorder="1" borderId="6" fillId="0" fontId="0" numFmtId="0" xfId="0">
      <alignment horizontal="right"/>
    </xf>
    <xf applyAlignment="1" applyBorder="1" applyFill="1" applyFont="1" applyNumberFormat="1" borderId="14" fillId="7" fontId="15" numFmtId="166" xfId="0">
      <alignment horizontal="center"/>
    </xf>
    <xf applyNumberFormat="1" borderId="0" fillId="0" fontId="0" numFmtId="14" xfId="0"/>
    <xf applyNumberFormat="1" borderId="0" fillId="0" fontId="0" numFmtId="2" xfId="0"/>
    <xf applyBorder="1" applyNumberFormat="1" borderId="16" fillId="0" fontId="0" numFmtId="2" xfId="0"/>
    <xf applyFont="1" borderId="0" fillId="0" fontId="18" numFmtId="0" xfId="0"/>
    <xf applyFont="1" borderId="0" fillId="0" fontId="19" numFmtId="0" xfId="0"/>
    <xf applyAlignment="1" applyBorder="1" applyFont="1" borderId="8" fillId="0" fontId="19" numFmtId="0" xfId="0">
      <alignment wrapText="1"/>
    </xf>
    <xf applyAlignment="1" applyBorder="1" applyFont="1" borderId="11" fillId="0" fontId="19" numFmtId="0" xfId="0">
      <alignment wrapText="1"/>
    </xf>
    <xf applyAlignment="1" applyBorder="1" applyFont="1" borderId="13" fillId="0" fontId="19" numFmtId="0" xfId="0">
      <alignment wrapText="1"/>
    </xf>
    <xf applyAlignment="1" applyBorder="1" applyFont="1" borderId="3" fillId="0" fontId="19" numFmtId="0" xfId="0">
      <alignment wrapText="1"/>
    </xf>
    <xf applyAlignment="1" applyFont="1" borderId="0" fillId="0" fontId="19" numFmtId="0" xfId="0">
      <alignment wrapText="1"/>
    </xf>
    <xf applyAlignment="1" applyBorder="1" applyFont="1" borderId="6" fillId="0" fontId="19" numFmtId="0" xfId="0">
      <alignment wrapText="1"/>
    </xf>
    <xf applyAlignment="1" applyFill="1" applyFont="1" borderId="0" fillId="7" fontId="19" numFmtId="0" xfId="0">
      <alignment wrapText="1"/>
    </xf>
    <xf applyAlignment="1" applyBorder="1" applyFont="1" borderId="7" fillId="0" fontId="19" numFmtId="0" xfId="0">
      <alignment wrapText="1"/>
    </xf>
    <xf applyBorder="1" applyNumberFormat="1" borderId="6" fillId="0" fontId="0" numFmtId="2" xfId="0"/>
    <xf applyFill="1" applyNumberFormat="1" borderId="0" fillId="7" fontId="0" numFmtId="2" xfId="0"/>
    <xf applyBorder="1" applyNumberFormat="1" borderId="7" fillId="0" fontId="0" numFmtId="2" xfId="0"/>
    <xf applyBorder="1" applyNumberFormat="1" borderId="12" fillId="0" fontId="0" numFmtId="2" xfId="0"/>
    <xf applyBorder="1" applyNumberFormat="1" borderId="5" fillId="0" fontId="0" numFmtId="2" xfId="0"/>
    <xf applyBorder="1" applyFill="1" applyNumberFormat="1" borderId="12" fillId="7" fontId="0" numFmtId="2" xfId="0"/>
    <xf applyFill="1" borderId="0" fillId="7" fontId="0" numFmtId="0" xfId="0"/>
    <xf applyBorder="1" applyFill="1" applyNumberFormat="1" borderId="14" fillId="5" fontId="0" numFmtId="166" xfId="0"/>
    <xf applyAlignment="1" applyBorder="1" applyFill="1" applyFont="1" applyNumberFormat="1" borderId="6" fillId="7" fontId="5" numFmtId="166" xfId="0">
      <alignment horizontal="center"/>
    </xf>
    <xf applyAlignment="1" applyBorder="1" applyFill="1" applyFont="1" applyNumberFormat="1" borderId="14" fillId="7" fontId="5" numFmtId="166" xfId="0">
      <alignment horizontal="center"/>
    </xf>
    <xf applyFont="1" borderId="0" fillId="0" fontId="20" numFmtId="0" xfId="0"/>
    <xf applyFont="1" applyNumberFormat="1" borderId="0" fillId="0" fontId="5" numFmtId="14" xfId="0"/>
    <xf applyAlignment="1" applyBorder="1" applyFill="1" applyFont="1" applyNumberFormat="1" applyProtection="1" borderId="6" fillId="6" fontId="5" numFmtId="166" xfId="0">
      <alignment horizontal="center"/>
      <protection locked="0"/>
    </xf>
    <xf applyFont="1" applyNumberFormat="1" borderId="0" fillId="0" fontId="12" numFmtId="14" xfId="0"/>
    <xf applyFont="1" borderId="0" fillId="0" fontId="5" numFmtId="0" quotePrefix="1" xfId="0"/>
    <xf applyBorder="1" applyFill="1" applyNumberFormat="1" borderId="15" fillId="6" fontId="0" numFmtId="8" xfId="0"/>
    <xf applyBorder="1" applyNumberFormat="1" borderId="1" fillId="0" fontId="0" numFmtId="2" xfId="0"/>
    <xf applyBorder="1" applyNumberFormat="1" borderId="3" fillId="0" fontId="0" numFmtId="2" xfId="0"/>
    <xf applyBorder="1" applyFill="1" applyNumberFormat="1" borderId="16" fillId="7" fontId="0" numFmtId="2" xfId="0"/>
    <xf applyBorder="1" applyNumberFormat="1" borderId="2" fillId="0" fontId="0" numFmtId="2" xfId="0"/>
    <xf applyBorder="1" applyNumberFormat="1" borderId="9" fillId="0" fontId="0" numFmtId="2" xfId="0"/>
    <xf applyBorder="1" applyNumberFormat="1" borderId="10" fillId="0" fontId="0" numFmtId="2" xfId="0"/>
    <xf applyBorder="1" applyNumberFormat="1" borderId="8" fillId="0" fontId="0" numFmtId="2" xfId="0"/>
    <xf applyAlignment="1" applyBorder="1" applyFill="1" applyFont="1" applyNumberFormat="1" applyProtection="1" borderId="3" fillId="7" fontId="5" numFmtId="2" xfId="0">
      <alignment horizontal="right"/>
      <protection locked="0"/>
    </xf>
    <xf applyAlignment="1" applyBorder="1" applyFill="1" applyFont="1" applyNumberFormat="1" applyProtection="1" borderId="6" fillId="7" fontId="5" numFmtId="2" xfId="0">
      <alignment horizontal="right"/>
      <protection locked="0"/>
    </xf>
    <xf applyAlignment="1" applyBorder="1" applyFill="1" applyFont="1" applyNumberFormat="1" applyProtection="1" borderId="14" fillId="7" fontId="5" numFmtId="2" xfId="0">
      <alignment horizontal="right"/>
      <protection locked="0"/>
    </xf>
    <xf applyBorder="1" applyFont="1" applyNumberFormat="1" borderId="9" fillId="0" fontId="1" numFmtId="2" xfId="0"/>
    <xf applyAlignment="1" applyBorder="1" applyFont="1" borderId="12" fillId="0" fontId="19" numFmtId="0" xfId="0">
      <alignment wrapText="1"/>
    </xf>
    <xf applyBorder="1" applyFill="1" applyFont="1" applyProtection="1" borderId="6" fillId="6" fontId="5" numFmtId="0" xfId="0">
      <protection locked="0"/>
    </xf>
    <xf applyAlignment="1" applyBorder="1" applyFill="1" applyFont="1" applyNumberFormat="1" applyProtection="1" borderId="9" fillId="6" fontId="5" numFmtId="166" xfId="0">
      <alignment horizontal="center"/>
      <protection locked="0"/>
    </xf>
    <xf applyBorder="1" borderId="6" fillId="9" fontId="22" numFmtId="0" xfId="1"/>
    <xf applyBorder="1" borderId="6" fillId="10" fontId="23" numFmtId="0" xfId="2"/>
    <xf applyBorder="1" applyFont="1" borderId="6" fillId="10" fontId="24" numFmtId="0" xfId="2"/>
    <xf applyFont="1" applyNumberFormat="1" borderId="0" fillId="0" fontId="5" numFmtId="2" xfId="0"/>
    <xf applyBorder="1" applyFill="1" applyFont="1" applyProtection="1" borderId="6" fillId="8" fontId="5" numFmtId="0" xfId="0">
      <protection locked="0"/>
    </xf>
    <xf applyFill="1" borderId="0" fillId="0" fontId="0" numFmtId="0" xfId="0"/>
    <xf applyFill="1" applyNumberFormat="1" borderId="0" fillId="0" fontId="0" numFmtId="14" xfId="0"/>
    <xf applyFill="1" applyFont="1" borderId="0" fillId="0" fontId="5" numFmtId="0" xfId="0"/>
    <xf applyFill="1" applyFont="1" borderId="0" fillId="0" fontId="3" numFmtId="0" xfId="0"/>
    <xf applyFill="1" applyFont="1" borderId="0" fillId="0" fontId="0" numFmtId="0" xfId="0"/>
    <xf applyFill="1" applyFont="1" borderId="0" fillId="6" fontId="5" numFmtId="0" xfId="0"/>
    <xf applyFont="1" borderId="0" fillId="0" fontId="25" numFmtId="0" xfId="0"/>
    <xf applyNumberFormat="1" borderId="0" fillId="0" fontId="0" numFmtId="14" xfId="0"/>
    <xf applyBorder="1" applyFill="1" applyFont="1" borderId="9" fillId="11" fontId="3" numFmtId="0" xfId="0"/>
    <xf applyFill="1" applyProtection="1" borderId="0" fillId="11" fontId="0" numFmtId="0" xfId="0">
      <protection locked="0"/>
    </xf>
    <xf applyBorder="1" applyFill="1" borderId="7" fillId="11" fontId="0" numFmtId="0" xfId="0"/>
    <xf applyBorder="1" applyFill="1" applyFont="1" applyNumberFormat="1" applyProtection="1" borderId="6" fillId="11" fontId="5" numFmtId="167" xfId="0">
      <protection locked="0"/>
    </xf>
    <xf applyBorder="1" applyFill="1" applyFont="1" applyNumberFormat="1" applyProtection="1" borderId="9" fillId="11" fontId="5" numFmtId="167" xfId="0">
      <protection locked="0"/>
    </xf>
    <xf applyAlignment="1" applyBorder="1" applyFill="1" applyFont="1" applyNumberFormat="1" applyProtection="1" borderId="9" fillId="11" fontId="5" numFmtId="166" xfId="0">
      <alignment horizontal="center"/>
      <protection locked="0"/>
    </xf>
    <xf applyAlignment="1" applyBorder="1" applyFill="1" applyNumberFormat="1" borderId="6" fillId="11" fontId="0" numFmtId="166" xfId="0">
      <alignment horizontal="center"/>
    </xf>
    <xf applyAlignment="1" applyBorder="1" applyFill="1" applyFont="1" applyNumberFormat="1" borderId="6" fillId="11" fontId="4" numFmtId="166" xfId="0">
      <alignment horizontal="center" wrapText="1"/>
    </xf>
    <xf applyAlignment="1" applyBorder="1" applyFill="1" applyFont="1" applyNumberFormat="1" borderId="6" fillId="11" fontId="15" numFmtId="166" xfId="0">
      <alignment horizontal="center"/>
    </xf>
    <xf applyAlignment="1" applyBorder="1" applyFill="1" applyFont="1" applyNumberFormat="1" borderId="6" fillId="11" fontId="5" numFmtId="166" xfId="0">
      <alignment horizontal="center"/>
    </xf>
    <xf applyBorder="1" applyFill="1" applyProtection="1" borderId="6" fillId="11" fontId="0" numFmtId="0" xfId="0">
      <protection locked="0"/>
    </xf>
    <xf applyBorder="1" applyFill="1" applyNumberFormat="1" borderId="9" fillId="11" fontId="0" numFmtId="166" xfId="0"/>
    <xf applyAlignment="1" applyBorder="1" applyFill="1" applyFont="1" applyNumberFormat="1" applyProtection="1" borderId="6" fillId="11" fontId="5" numFmtId="2" xfId="0">
      <alignment horizontal="right"/>
      <protection locked="0"/>
    </xf>
    <xf applyBorder="1" applyFill="1" applyFont="1" applyProtection="1" borderId="6" fillId="11" fontId="5" numFmtId="0" xfId="0">
      <protection locked="0"/>
    </xf>
    <xf applyBorder="1" applyFill="1" borderId="9" fillId="11" fontId="0" numFmtId="0" xfId="0"/>
    <xf applyBorder="1" applyFill="1" borderId="6" fillId="11" fontId="0" numFmtId="0" xfId="0"/>
    <xf applyFill="1" borderId="0" fillId="11" fontId="0" numFmtId="0" xfId="0"/>
    <xf applyFill="1" applyFont="1" applyNumberFormat="1" borderId="0" fillId="6" fontId="17" numFmtId="3" xfId="0"/>
    <xf applyFill="1" applyFont="1" borderId="0" fillId="6" fontId="17" numFmtId="0" xfId="0"/>
    <xf applyFill="1" applyFont="1" applyNumberFormat="1" borderId="0" fillId="6" fontId="17" numFmtId="14" xfId="0"/>
    <xf applyFill="1" applyNumberFormat="1" borderId="0" fillId="8" fontId="0" numFmtId="9" xfId="0"/>
    <xf applyBorder="1" applyFill="1" applyNumberFormat="1" borderId="7" fillId="8" fontId="0" numFmtId="9" xfId="0"/>
    <xf applyFill="1" applyNumberFormat="1" borderId="0" fillId="0" fontId="0" numFmtId="2" xfId="0"/>
    <xf applyFill="1" applyFont="1" borderId="0" fillId="0" fontId="17" numFmtId="0" xfId="0"/>
    <xf applyFont="1" borderId="0" fillId="0" fontId="26" numFmtId="0" xfId="0"/>
    <xf applyNumberFormat="1" borderId="0" fillId="0" fontId="0" numFmtId="14" xfId="0"/>
    <xf applyBorder="1" applyFill="1" applyFont="1" borderId="9" fillId="13" fontId="3" numFmtId="0" xfId="0"/>
    <xf applyBorder="1" applyFill="1" applyFont="1" borderId="9" fillId="5" fontId="5" numFmtId="0" xfId="0"/>
    <xf applyBorder="1" applyFill="1" applyFont="1" borderId="9" fillId="14" fontId="3" numFmtId="0" xfId="0"/>
    <xf applyFill="1" applyNumberFormat="1" borderId="0" fillId="15" fontId="0" numFmtId="164" xfId="0"/>
    <xf applyFont="1" applyNumberFormat="1" borderId="0" fillId="0" fontId="5" numFmtId="164" xfId="0"/>
    <xf applyBorder="1" applyFill="1" applyFont="1" applyProtection="1" borderId="0" fillId="3" fontId="5" numFmtId="0" xfId="0">
      <protection locked="0"/>
    </xf>
    <xf applyBorder="1" applyFill="1" applyFont="1" borderId="9" fillId="8" fontId="3" numFmtId="0" xfId="0"/>
    <xf applyBorder="1" applyFill="1" applyFont="1" borderId="9" fillId="16" fontId="3" numFmtId="0" xfId="0"/>
    <xf applyBorder="1" applyFill="1" applyFont="1" borderId="9" fillId="12" fontId="3" numFmtId="0" xfId="0"/>
    <xf applyFill="1" applyNumberFormat="1" borderId="0" fillId="12" fontId="0" numFmtId="164" xfId="0"/>
    <xf applyFill="1" applyFont="1" borderId="0" fillId="8" fontId="5" numFmtId="0" xfId="0"/>
    <xf applyFill="1" applyFont="1" borderId="0" fillId="8" fontId="17" numFmtId="0" xfId="0"/>
    <xf applyFill="1" applyNumberFormat="1" borderId="0" fillId="6" fontId="0" numFmtId="2" xfId="0"/>
    <xf applyFill="1" borderId="0" fillId="14" fontId="0" numFmtId="0" xfId="0"/>
    <xf numFmtId="0" fontId="27" fillId="0" borderId="0" xfId="0" applyFont="true"/>
    <xf numFmtId="170" fontId="0" fillId="0" borderId="0" xfId="0" applyNumberFormat="true"/>
  </cellXfs>
  <cellStyles count="3">
    <cellStyle builtinId="27" name="Bad" xfId="2"/>
    <cellStyle builtinId="26" name="Good" xfId="1"/>
    <cellStyle builtinId="0" name="Normal" xfId="0"/>
  </cellStyles>
  <dxfs count="20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PivotStyle="PivotStyleLight16" defaultTableStyle="Table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E5E5"/>
      <rgbColor rgb="0000FFFF"/>
      <rgbColor rgb="00800000"/>
      <rgbColor rgb="00008000"/>
      <rgbColor rgb="00000080"/>
      <rgbColor rgb="00808000"/>
      <rgbColor rgb="00800080"/>
      <rgbColor rgb="00008080"/>
      <rgbColor rgb="00EFEFEF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D5FFD5"/>
      <rgbColor rgb="00FFFF99"/>
      <rgbColor rgb="0099CCFF"/>
      <rgbColor rgb="00FF99CC"/>
      <rgbColor rgb="00CC99FF"/>
      <rgbColor rgb="00FFFFCC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theme/theme1.xml" Type="http://schemas.openxmlformats.org/officeDocument/2006/relationships/theme"/>
<Relationship Id="rId13" Target="styles.xml" Type="http://schemas.openxmlformats.org/officeDocument/2006/relationships/styles"/>
<Relationship Id="rId14" Target="sharedStrings.xml" Type="http://schemas.openxmlformats.org/officeDocument/2006/relationships/sharedStrings"/>
<Relationship Id="rId15" Target="calcChain.xml" Type="http://schemas.openxmlformats.org/officeDocument/2006/relationships/calcChain"/>
<Relationship Id="rId16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a="http://schemas.openxmlformats.org/drawingml/2006/main" xmlns:xdr="http://schemas.openxmlformats.org/drawingml/2006/spreadsheetDrawing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133350</xdr:rowOff>
        </xdr:from>
        <xdr:to>
          <xdr:col>6</xdr:col>
          <xdr:colOff>285750</xdr:colOff>
          <xdr:row>3</xdr:row>
          <xdr:rowOff>104775</xdr:rowOff>
        </xdr:to>
        <xdr:sp macro="" textlink="">
          <xdr:nvSpPr>
            <xdr:cNvPr hidden="1" id="6145" name="Button 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en-GB" strike="noStrike" sz="1000" u="none">
                  <a:solidFill>
                    <a:srgbClr val="000000"/>
                  </a:solidFill>
                  <a:latin typeface="Arial"/>
                  <a:cs typeface="Arial"/>
                </a:rPr>
                <a:t>Redefine Data Ranges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hidden="1" id="5121" name="Button 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8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en-GB" strike="noStrike" sz="1000" u="none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vmlDrawing1.vml" Type="http://schemas.openxmlformats.org/officeDocument/2006/relationships/vmlDrawing"/>
<Relationship Id="rId3" Target="../comments1.xml" Type="http://schemas.openxmlformats.org/officeDocument/2006/relationships/comments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Relationship Id="rId2" Target="../drawings/drawing1.xml" Type="http://schemas.openxmlformats.org/officeDocument/2006/relationships/drawing"/>
<Relationship Id="rId3" Target="../drawings/vmlDrawing2.vml" Type="http://schemas.openxmlformats.org/officeDocument/2006/relationships/vmlDrawing"/>
<Relationship Id="rId4" Target="../ctrlProps/ctrlProp1.xml" Type="http://schemas.openxmlformats.org/officeDocument/2006/relationships/ctrlProp"/>
</Relationships>

</file>

<file path=xl/worksheets/_rels/sheet8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_rels/sheet9.xml.rels><?xml version="1.0" encoding="UTF-8" standalone="no"?>
<Relationships xmlns="http://schemas.openxmlformats.org/package/2006/relationships">
<Relationship Id="rId1" Target="../printerSettings/printerSettings6.bin" Type="http://schemas.openxmlformats.org/officeDocument/2006/relationships/printerSettings"/>
<Relationship Id="rId2" Target="../drawings/drawing2.xml" Type="http://schemas.openxmlformats.org/officeDocument/2006/relationships/drawing"/>
<Relationship Id="rId3" Target="../drawings/vmlDrawing3.vml" Type="http://schemas.openxmlformats.org/officeDocument/2006/relationships/vmlDrawing"/>
<Relationship Id="rId4" Target="../ctrlProps/ctrlProp2.xml" Type="http://schemas.openxmlformats.org/officeDocument/2006/relationships/ctrlProp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W65532"/>
  <sheetViews>
    <sheetView showGridLines="0" workbookViewId="0" zoomScale="70" zoomScaleNormal="70"/>
  </sheetViews>
  <sheetFormatPr defaultRowHeight="12.75" x14ac:dyDescent="0.2"/>
  <cols>
    <col min="1" max="1" customWidth="true" width="38.5703125" collapsed="false"/>
    <col min="2" max="2" customWidth="true" width="39.140625" collapsed="false"/>
    <col min="3" max="3" customWidth="true" width="17.7109375" collapsed="false"/>
    <col min="4" max="4" customWidth="true" width="22.140625" collapsed="false"/>
    <col min="5" max="5" customWidth="true" width="11.7109375" collapsed="false"/>
    <col min="6" max="6" customWidth="true" width="13.5703125" collapsed="false"/>
    <col min="7" max="7" customWidth="true" width="11.7109375" collapsed="false"/>
    <col min="8" max="8" customWidth="true" width="10.0" collapsed="false"/>
    <col min="9" max="9" bestFit="true" customWidth="true" width="10.85546875" collapsed="false"/>
    <col min="10" max="10" bestFit="true" customWidth="true" width="12.140625" collapsed="false"/>
    <col min="11" max="13" customWidth="true" width="11.7109375" collapsed="false"/>
    <col min="14" max="14" bestFit="true" customWidth="true" width="16.28515625" collapsed="false"/>
    <col min="15" max="15" customWidth="true" width="14.140625" collapsed="false"/>
    <col min="16" max="16" customWidth="true" width="13.7109375" collapsed="false"/>
    <col min="17" max="17" customWidth="true" style="15" width="16.140625" collapsed="false"/>
    <col min="18" max="18" customWidth="true" width="50.0" collapsed="false"/>
    <col min="19" max="19" bestFit="true" customWidth="true" width="28.7109375" collapsed="false"/>
    <col min="20" max="20" bestFit="true" customWidth="true" width="27.140625" collapsed="false"/>
    <col min="21" max="22" bestFit="true" customWidth="true" width="13.42578125" collapsed="false"/>
  </cols>
  <sheetData>
    <row ht="18" r="1" spans="1:23" x14ac:dyDescent="0.25">
      <c r="A1" s="6" t="s">
        <v>134</v>
      </c>
      <c r="Q1"/>
    </row>
    <row r="2" spans="1:23" x14ac:dyDescent="0.2">
      <c r="Q2"/>
    </row>
    <row ht="15" r="3" spans="1:23" x14ac:dyDescent="0.2">
      <c r="A3" s="7" t="s">
        <v>31</v>
      </c>
      <c r="B3" s="78" t="n">
        <v>43861.0</v>
      </c>
      <c r="Q3"/>
    </row>
    <row ht="14.25" r="4" spans="1:23" x14ac:dyDescent="0.2">
      <c r="A4" s="7"/>
      <c r="B4" s="7"/>
      <c r="Q4"/>
    </row>
    <row customHeight="1" ht="14.25" r="5" spans="1:23" x14ac:dyDescent="0.2">
      <c r="A5" s="46" t="s">
        <v>547</v>
      </c>
      <c r="B5" s="36"/>
      <c r="Q5"/>
    </row>
    <row r="6" spans="1:23" x14ac:dyDescent="0.2">
      <c r="A6" s="1"/>
    </row>
    <row ht="28.5" r="7" spans="1:23" x14ac:dyDescent="0.2">
      <c r="A7" s="8" t="s">
        <v>24</v>
      </c>
      <c r="B7" s="9" t="s">
        <v>27</v>
      </c>
      <c r="C7" s="8" t="s">
        <v>90</v>
      </c>
      <c r="D7" s="14" t="s">
        <v>2</v>
      </c>
      <c r="E7" s="14" t="s">
        <v>3</v>
      </c>
      <c r="F7" s="14" t="s">
        <v>5</v>
      </c>
      <c r="G7" s="14" t="s">
        <v>4</v>
      </c>
      <c r="H7" s="14" t="s">
        <v>0</v>
      </c>
      <c r="I7" s="14" t="s">
        <v>1</v>
      </c>
      <c r="J7" s="14" t="s">
        <v>6</v>
      </c>
      <c r="K7" s="14" t="s">
        <v>7</v>
      </c>
      <c r="L7" s="14" t="s">
        <v>550</v>
      </c>
      <c r="M7" s="24" t="s">
        <v>551</v>
      </c>
      <c r="N7" s="24" t="s">
        <v>201</v>
      </c>
      <c r="O7" s="14" t="s">
        <v>132</v>
      </c>
      <c r="P7" s="24" t="s">
        <v>133</v>
      </c>
      <c r="Q7" s="24" t="s">
        <v>91</v>
      </c>
      <c r="R7" s="24" t="s">
        <v>8</v>
      </c>
      <c r="S7" s="24" t="s">
        <v>398</v>
      </c>
      <c r="T7" s="24" t="s">
        <v>415</v>
      </c>
      <c r="U7" s="24" t="s">
        <v>460</v>
      </c>
      <c r="V7" s="24" t="s">
        <v>20</v>
      </c>
    </row>
    <row customHeight="1" ht="19.5" r="8" spans="1:23" x14ac:dyDescent="0.2">
      <c r="A8" s="25"/>
      <c r="B8" s="26"/>
      <c r="C8" s="27"/>
      <c r="D8" s="28"/>
      <c r="E8" s="29"/>
      <c r="F8" s="30"/>
      <c r="G8" s="30"/>
      <c r="H8" s="30"/>
      <c r="I8" s="30"/>
      <c r="J8" s="31"/>
      <c r="K8" s="30"/>
      <c r="L8" s="30"/>
      <c r="M8" s="30"/>
      <c r="N8" s="30"/>
      <c r="O8" s="30"/>
      <c r="P8" s="30"/>
      <c r="Q8" s="30"/>
      <c r="R8" s="47"/>
      <c r="S8" s="41"/>
      <c r="T8" s="62"/>
      <c r="U8" s="62"/>
      <c r="V8" s="62"/>
    </row>
    <row customHeight="1" ht="12.75" r="9" spans="1:23" x14ac:dyDescent="0.2">
      <c r="A9" s="165" t="s">
        <v>993</v>
      </c>
      <c r="B9" s="37" t="s">
        <v>984</v>
      </c>
      <c r="C9" s="38"/>
      <c r="D9" s="67"/>
      <c r="E9" s="67"/>
      <c r="F9" s="68"/>
      <c r="G9" s="69"/>
      <c r="H9" s="69"/>
      <c r="I9" s="70"/>
      <c r="J9" s="73"/>
      <c r="K9" s="71"/>
      <c r="L9" s="70" t="n">
        <v>200.0</v>
      </c>
      <c r="M9" s="103"/>
      <c r="N9" s="40"/>
      <c r="O9" s="68"/>
      <c r="P9" s="39" t="str">
        <f ref="P9:P20" si="0" t="shared">IFERROR(IF(M9-O9&lt;&gt;0,M9-O9,""),-O9)</f>
        <v/>
      </c>
      <c r="Q9" s="118">
        <f>IF(F9&lt;&gt;"",-(F9-G9-H9-I9-J9),0)</f>
        <v>0</v>
      </c>
      <c r="R9" s="48"/>
      <c r="S9" s="61" t="s">
        <v>197</v>
      </c>
      <c r="T9" s="62"/>
      <c r="U9" s="62"/>
      <c r="V9" s="62">
        <v>2</v>
      </c>
      <c r="W9" t="s">
        <v>565</v>
      </c>
    </row>
    <row customHeight="1" ht="12.75" r="10" spans="1:23" x14ac:dyDescent="0.2">
      <c r="A10" s="171" t="s">
        <v>53</v>
      </c>
      <c r="B10" s="16" t="s">
        <v>994</v>
      </c>
      <c r="C10" s="20" t="s">
        <v>568</v>
      </c>
      <c r="D10" s="67" t="n">
        <v>43855.0</v>
      </c>
      <c r="E10" s="71" t="n">
        <v>43885.0</v>
      </c>
      <c r="F10" s="72" t="n">
        <v>500.0</v>
      </c>
      <c r="G10" s="69" t="n">
        <v>30.0</v>
      </c>
      <c r="H10" s="69" t="n">
        <v>6.0</v>
      </c>
      <c r="I10" s="70" t="n">
        <v>12.0</v>
      </c>
      <c r="J10" s="73" t="n">
        <v>452.0</v>
      </c>
      <c r="K10" s="71" t="n">
        <v>43855.47152777778</v>
      </c>
      <c r="L10" s="70" t="n">
        <v>35.0</v>
      </c>
      <c r="M10" s="103" t="str">
        <f ref="M10:M63" si="1" t="shared">IF(F10-G10-H10-I10-L10&lt;&gt;0, F10-G10-H10-I10-L10,"")</f>
        <v/>
      </c>
      <c r="N10" s="40" t="s">
        <v>258</v>
      </c>
      <c r="O10" s="72" t="n">
        <v>177.04</v>
      </c>
      <c r="P10" s="39">
        <f si="0" t="shared"/>
        <v>0</v>
      </c>
      <c r="Q10" s="119">
        <f ref="Q10:Q63" si="2" t="shared">IF(F10&lt;&gt;"",-(F10-G10-H10-I10-J10),0)</f>
        <v>0</v>
      </c>
      <c r="R10" s="54" t="s">
        <v>971</v>
      </c>
      <c r="S10" s="61" t="s">
        <v>197</v>
      </c>
      <c r="T10" s="19" t="s">
        <v>406</v>
      </c>
      <c r="U10" s="19" t="s">
        <v>416</v>
      </c>
      <c r="V10" s="19">
        <v>1</v>
      </c>
    </row>
    <row customHeight="1" ht="12.75" r="11" spans="1:23" x14ac:dyDescent="0.2">
      <c r="A11" s="170" t="s">
        <v>54</v>
      </c>
      <c r="B11" s="16" t="s">
        <v>995</v>
      </c>
      <c r="C11" s="20" t="s">
        <v>130</v>
      </c>
      <c r="D11" s="67" t="n">
        <v>43848.0</v>
      </c>
      <c r="E11" s="71" t="n">
        <v>43878.0</v>
      </c>
      <c r="F11" s="72" t="n">
        <v>550.0</v>
      </c>
      <c r="G11" s="69"/>
      <c r="H11" s="69"/>
      <c r="I11" s="70"/>
      <c r="J11" s="73" t="n">
        <v>550.0</v>
      </c>
      <c r="K11" s="71" t="n">
        <v>43850.0</v>
      </c>
      <c r="L11" s="70" t="n">
        <v>550.0</v>
      </c>
      <c r="M11" s="103" t="str">
        <f si="1" t="shared"/>
        <v/>
      </c>
      <c r="N11" s="40" t="s">
        <v>202</v>
      </c>
      <c r="O11" s="72" t="n">
        <v>159.83</v>
      </c>
      <c r="P11" s="39">
        <f si="0" t="shared"/>
        <v>0</v>
      </c>
      <c r="Q11" s="119">
        <f si="2" t="shared"/>
        <v>0</v>
      </c>
      <c r="R11" s="54"/>
      <c r="S11" s="61" t="s">
        <v>197</v>
      </c>
      <c r="T11" s="19" t="s">
        <v>407</v>
      </c>
      <c r="U11" s="19" t="s">
        <v>417</v>
      </c>
      <c r="V11" s="19">
        <v>14</v>
      </c>
    </row>
    <row customHeight="1" ht="12.75" r="12" spans="1:23" x14ac:dyDescent="0.2">
      <c r="A12" s="22" t="s">
        <v>55</v>
      </c>
      <c r="B12" s="16" t="s">
        <v>996</v>
      </c>
      <c r="C12" s="20" t="s">
        <v>568</v>
      </c>
      <c r="D12" s="67" t="n">
        <v>43814.0</v>
      </c>
      <c r="E12" s="71" t="n">
        <v>43844.0</v>
      </c>
      <c r="F12" s="72" t="n">
        <v>600.0</v>
      </c>
      <c r="G12" s="69" t="n">
        <v>36.0</v>
      </c>
      <c r="H12" s="69" t="n">
        <v>7.2</v>
      </c>
      <c r="I12" s="70" t="n">
        <v>6.0</v>
      </c>
      <c r="J12" s="73" t="n">
        <v>550.8</v>
      </c>
      <c r="K12" s="71" t="n">
        <v>43844.683333333334</v>
      </c>
      <c r="L12" s="70" t="n">
        <v>1157.9</v>
      </c>
      <c r="M12" s="103" t="str">
        <f si="1" t="shared"/>
        <v/>
      </c>
      <c r="N12" s="40" t="s">
        <v>259</v>
      </c>
      <c r="O12" s="124"/>
      <c r="P12" s="39">
        <f si="0" t="shared"/>
        <v>0</v>
      </c>
      <c r="Q12" s="119">
        <f si="2" t="shared"/>
        <v>0</v>
      </c>
      <c r="R12" s="129" t="s">
        <v>972</v>
      </c>
      <c r="S12" s="61" t="s">
        <v>197</v>
      </c>
      <c r="T12" s="19" t="s">
        <v>408</v>
      </c>
      <c r="U12" s="19" t="s">
        <v>418</v>
      </c>
      <c r="V12" s="19">
        <v>3</v>
      </c>
    </row>
    <row customHeight="1" ht="12.75" r="13" spans="1:23" x14ac:dyDescent="0.2">
      <c r="A13" s="22" t="s">
        <v>56</v>
      </c>
      <c r="B13" s="16" t="s">
        <v>997</v>
      </c>
      <c r="C13" s="20" t="s">
        <v>95</v>
      </c>
      <c r="D13" s="67" t="n">
        <v>43825.0</v>
      </c>
      <c r="E13" s="71" t="n">
        <v>43886.0</v>
      </c>
      <c r="F13" s="72" t="n">
        <v>461.52</v>
      </c>
      <c r="G13" s="69" t="n">
        <v>27.69</v>
      </c>
      <c r="H13" s="69" t="n">
        <v>5.54</v>
      </c>
      <c r="I13" s="70" t="n">
        <v>12.0</v>
      </c>
      <c r="J13" s="73" t="n">
        <v>416.29</v>
      </c>
      <c r="K13" s="71" t="n">
        <v>43844.683333333334</v>
      </c>
      <c r="L13" s="70"/>
      <c r="M13" s="103" t="str">
        <f si="1" t="shared"/>
        <v/>
      </c>
      <c r="N13" s="40" t="s">
        <v>6</v>
      </c>
      <c r="O13" s="72" t="n">
        <v>177.08</v>
      </c>
      <c r="P13" s="39">
        <f si="0" t="shared"/>
        <v>0</v>
      </c>
      <c r="Q13" s="119">
        <f si="2" t="shared"/>
        <v>0</v>
      </c>
      <c r="R13" s="54"/>
      <c r="S13" s="61" t="s">
        <v>197</v>
      </c>
      <c r="T13" s="19" t="s">
        <v>406</v>
      </c>
      <c r="U13" s="19" t="s">
        <v>419</v>
      </c>
      <c r="V13" s="19">
        <v>4</v>
      </c>
    </row>
    <row customHeight="1" ht="12.75" r="14" spans="1:23" x14ac:dyDescent="0.2">
      <c r="A14" s="165"/>
      <c r="B14" s="37"/>
      <c r="C14" s="38"/>
      <c r="D14" s="67"/>
      <c r="E14" s="67"/>
      <c r="F14" s="68"/>
      <c r="G14" s="69"/>
      <c r="H14" s="69"/>
      <c r="I14" s="70"/>
      <c r="J14" s="73"/>
      <c r="K14" s="71"/>
      <c r="L14" s="70"/>
      <c r="M14" s="103" t="str">
        <f si="1" t="shared"/>
        <v/>
      </c>
      <c r="N14" s="40"/>
      <c r="O14" s="68"/>
      <c r="P14" s="39">
        <f si="0" t="shared"/>
        <v>0</v>
      </c>
      <c r="Q14" s="119">
        <f si="2" t="shared"/>
        <v>0</v>
      </c>
      <c r="R14" s="40"/>
      <c r="S14" s="61" t="s">
        <v>197</v>
      </c>
      <c r="T14" s="19"/>
      <c r="U14" s="19"/>
      <c r="V14" s="19">
        <v>7</v>
      </c>
    </row>
    <row customHeight="1" ht="12.75" r="15" spans="1:23" x14ac:dyDescent="0.2">
      <c r="A15" s="22" t="s">
        <v>57</v>
      </c>
      <c r="B15" s="16" t="s">
        <v>998</v>
      </c>
      <c r="C15" s="20" t="s">
        <v>568</v>
      </c>
      <c r="D15" s="67" t="n">
        <v>43805.0</v>
      </c>
      <c r="E15" s="67" t="n">
        <v>43866.0</v>
      </c>
      <c r="F15" s="72" t="n">
        <v>466.12</v>
      </c>
      <c r="G15" s="69" t="n">
        <v>27.98</v>
      </c>
      <c r="H15" s="69" t="n">
        <v>5.59</v>
      </c>
      <c r="I15" s="70" t="n">
        <v>6.0</v>
      </c>
      <c r="J15" s="73" t="n">
        <v>426.55</v>
      </c>
      <c r="K15" s="71" t="n">
        <v>43844.683333333334</v>
      </c>
      <c r="L15" s="70"/>
      <c r="M15" s="103" t="str">
        <f si="1" t="shared"/>
        <v/>
      </c>
      <c r="N15" s="40" t="s">
        <v>6</v>
      </c>
      <c r="O15" s="72" t="n">
        <v>159.5</v>
      </c>
      <c r="P15" s="39">
        <f si="0" t="shared"/>
        <v>0</v>
      </c>
      <c r="Q15" s="119">
        <f si="2" t="shared"/>
        <v>0</v>
      </c>
      <c r="R15" s="54"/>
      <c r="S15" s="61" t="s">
        <v>197</v>
      </c>
      <c r="T15" s="19" t="s">
        <v>406</v>
      </c>
      <c r="U15" s="19" t="s">
        <v>420</v>
      </c>
      <c r="V15" s="19">
        <v>5</v>
      </c>
    </row>
    <row customHeight="1" ht="12.75" r="16" spans="1:23" x14ac:dyDescent="0.2">
      <c r="A16" s="172" t="s">
        <v>58</v>
      </c>
      <c r="B16" s="16" t="s">
        <v>999</v>
      </c>
      <c r="C16" s="20" t="s">
        <v>130</v>
      </c>
      <c r="D16" s="67" t="n">
        <v>43840.0</v>
      </c>
      <c r="E16" s="71" t="n">
        <v>43870.0</v>
      </c>
      <c r="F16" s="72" t="n">
        <v>495.0</v>
      </c>
      <c r="G16" s="69"/>
      <c r="H16" s="69"/>
      <c r="I16" s="70"/>
      <c r="J16" s="73" t="n">
        <v>495.0</v>
      </c>
      <c r="K16" s="71" t="n">
        <v>43843.0</v>
      </c>
      <c r="L16" s="70"/>
      <c r="M16" s="103" t="str">
        <f si="1" t="shared"/>
        <v/>
      </c>
      <c r="N16" s="40" t="s">
        <v>6</v>
      </c>
      <c r="O16" s="124"/>
      <c r="P16" s="39">
        <f si="0" t="shared"/>
        <v>0</v>
      </c>
      <c r="Q16" s="119">
        <f si="2" t="shared"/>
        <v>0</v>
      </c>
      <c r="R16" s="54"/>
      <c r="S16" s="61" t="s">
        <v>197</v>
      </c>
      <c r="T16" s="19" t="s">
        <v>408</v>
      </c>
      <c r="U16" s="65">
        <v>907372200</v>
      </c>
      <c r="V16" s="80">
        <v>6</v>
      </c>
    </row>
    <row customHeight="1" ht="12.75" r="17" spans="1:22" x14ac:dyDescent="0.2">
      <c r="A17" s="22" t="s">
        <v>59</v>
      </c>
      <c r="B17" s="16" t="s">
        <v>1000</v>
      </c>
      <c r="C17" s="20" t="s">
        <v>95</v>
      </c>
      <c r="D17" s="67" t="n">
        <v>43845.0</v>
      </c>
      <c r="E17" s="71" t="n">
        <v>43875.0</v>
      </c>
      <c r="F17" s="72" t="n">
        <v>500.0</v>
      </c>
      <c r="G17" s="69" t="n">
        <v>30.0</v>
      </c>
      <c r="H17" s="69" t="n">
        <v>6.0</v>
      </c>
      <c r="I17" s="70" t="n">
        <v>6.0</v>
      </c>
      <c r="J17" s="73" t="n">
        <v>458.0</v>
      </c>
      <c r="K17" s="71" t="n">
        <v>43855.47152777778</v>
      </c>
      <c r="L17" s="70"/>
      <c r="M17" s="103" t="str">
        <f si="1" t="shared"/>
        <v/>
      </c>
      <c r="N17" s="40" t="s">
        <v>6</v>
      </c>
      <c r="O17" s="72"/>
      <c r="P17" s="39">
        <f si="0" t="shared"/>
        <v>0</v>
      </c>
      <c r="Q17" s="119">
        <f si="2" t="shared"/>
        <v>0</v>
      </c>
      <c r="R17" s="40"/>
      <c r="S17" s="61" t="s">
        <v>197</v>
      </c>
      <c r="T17" s="19" t="s">
        <v>407</v>
      </c>
      <c r="U17" s="19" t="s">
        <v>421</v>
      </c>
      <c r="V17" s="19">
        <v>8</v>
      </c>
    </row>
    <row customHeight="1" ht="12.75" r="18" spans="1:22" x14ac:dyDescent="0.2">
      <c r="A18" s="165"/>
      <c r="B18" s="37"/>
      <c r="C18" s="38"/>
      <c r="D18" s="67"/>
      <c r="E18" s="67"/>
      <c r="F18" s="68"/>
      <c r="G18" s="69"/>
      <c r="H18" s="69"/>
      <c r="I18" s="70"/>
      <c r="J18" s="73"/>
      <c r="K18" s="71"/>
      <c r="L18" s="70"/>
      <c r="M18" s="103" t="str">
        <f si="1" t="shared"/>
        <v/>
      </c>
      <c r="N18" s="40"/>
      <c r="O18" s="68"/>
      <c r="P18" s="39">
        <f si="0" t="shared"/>
        <v>0</v>
      </c>
      <c r="Q18" s="119">
        <f si="2" t="shared"/>
        <v>0</v>
      </c>
      <c r="R18" s="40"/>
      <c r="S18" s="61" t="s">
        <v>395</v>
      </c>
      <c r="T18" s="19"/>
      <c r="U18" s="19"/>
      <c r="V18" s="19">
        <v>50</v>
      </c>
    </row>
    <row customHeight="1" ht="12.75" r="19" spans="1:22" x14ac:dyDescent="0.2">
      <c r="A19" s="22" t="s">
        <v>186</v>
      </c>
      <c r="B19" s="16" t="s">
        <v>1001</v>
      </c>
      <c r="C19" s="20" t="s">
        <v>95</v>
      </c>
      <c r="D19" s="67" t="n">
        <v>43805.0</v>
      </c>
      <c r="E19" s="67" t="n">
        <v>43866.0</v>
      </c>
      <c r="F19" s="72" t="n">
        <v>600.0</v>
      </c>
      <c r="G19" s="69" t="n">
        <v>36.0</v>
      </c>
      <c r="H19" s="69" t="n">
        <v>7.2</v>
      </c>
      <c r="I19" s="70" t="n">
        <v>6.0</v>
      </c>
      <c r="J19" s="73" t="n">
        <v>550.8</v>
      </c>
      <c r="K19" s="71" t="n">
        <v>43855.47152777778</v>
      </c>
      <c r="L19" s="70"/>
      <c r="M19" s="103" t="str">
        <f si="1" t="shared"/>
        <v/>
      </c>
      <c r="N19" s="40" t="s">
        <v>6</v>
      </c>
      <c r="O19" s="72" t="n">
        <v>236.44</v>
      </c>
      <c r="P19" s="39">
        <f si="0" t="shared"/>
        <v>0</v>
      </c>
      <c r="Q19" s="119">
        <f si="2" t="shared"/>
        <v>0</v>
      </c>
      <c r="R19" s="54"/>
      <c r="S19" s="61" t="s">
        <v>197</v>
      </c>
      <c r="T19" s="19" t="s">
        <v>406</v>
      </c>
      <c r="U19" s="19" t="s">
        <v>422</v>
      </c>
      <c r="V19" s="19">
        <v>73</v>
      </c>
    </row>
    <row customHeight="1" ht="12.75" r="20" spans="1:22" x14ac:dyDescent="0.2">
      <c r="A20" s="22" t="s">
        <v>187</v>
      </c>
      <c r="B20" s="16" t="s">
        <v>1002</v>
      </c>
      <c r="C20" s="20" t="s">
        <v>95</v>
      </c>
      <c r="D20" s="67" t="n">
        <v>43801.0</v>
      </c>
      <c r="E20" s="71" t="n">
        <v>43862.0</v>
      </c>
      <c r="F20" s="72" t="n">
        <v>461.52</v>
      </c>
      <c r="G20" s="69" t="n">
        <v>27.68</v>
      </c>
      <c r="H20" s="69" t="n">
        <v>5.54</v>
      </c>
      <c r="I20" s="70" t="n">
        <v>6.0</v>
      </c>
      <c r="J20" s="73" t="n">
        <v>422.3</v>
      </c>
      <c r="K20" s="71" t="n">
        <v>43844.683333333334</v>
      </c>
      <c r="L20" s="70"/>
      <c r="M20" s="103" t="str">
        <f si="1" t="shared"/>
        <v/>
      </c>
      <c r="N20" s="40" t="s">
        <v>6</v>
      </c>
      <c r="O20" s="72" t="n">
        <v>209.16</v>
      </c>
      <c r="P20" s="39">
        <f si="0" t="shared"/>
        <v>0</v>
      </c>
      <c r="Q20" s="119">
        <f si="2" t="shared"/>
        <v>0</v>
      </c>
      <c r="R20" s="52"/>
      <c r="S20" s="61" t="s">
        <v>197</v>
      </c>
      <c r="T20" s="19" t="s">
        <v>406</v>
      </c>
      <c r="U20" s="19" t="s">
        <v>423</v>
      </c>
      <c r="V20" s="19">
        <v>74</v>
      </c>
    </row>
    <row customHeight="1" ht="12.75" r="21" spans="1:22" x14ac:dyDescent="0.2">
      <c r="A21" s="172" t="s">
        <v>188</v>
      </c>
      <c r="B21" s="16" t="s">
        <v>984</v>
      </c>
      <c r="C21" s="20"/>
      <c r="D21" s="67"/>
      <c r="E21" s="71"/>
      <c r="F21" s="72"/>
      <c r="G21" s="69"/>
      <c r="H21" s="69"/>
      <c r="I21" s="70"/>
      <c r="J21" s="73"/>
      <c r="K21" s="71"/>
      <c r="L21" s="70"/>
      <c r="M21" s="103" t="str">
        <f si="1" t="shared"/>
        <v/>
      </c>
      <c r="N21" s="40" t="s">
        <v>6</v>
      </c>
      <c r="O21" s="72" t="n">
        <v>254.22</v>
      </c>
      <c r="P21" s="39">
        <f>IFERROR(IF(M21-O21&lt;&gt;0,M21-O21,""),-O21)</f>
        <v>0</v>
      </c>
      <c r="Q21" s="119">
        <f si="2" t="shared"/>
        <v>0</v>
      </c>
      <c r="R21" s="54" t="s">
        <v>973</v>
      </c>
      <c r="S21" s="61" t="s">
        <v>396</v>
      </c>
      <c r="T21" s="19" t="s">
        <v>406</v>
      </c>
      <c r="U21" s="19" t="s">
        <v>424</v>
      </c>
      <c r="V21" s="19">
        <v>75</v>
      </c>
    </row>
    <row customHeight="1" ht="12.75" r="22" spans="1:22" x14ac:dyDescent="0.2">
      <c r="A22" s="165"/>
      <c r="B22" s="37"/>
      <c r="C22" s="38"/>
      <c r="D22" s="67"/>
      <c r="E22" s="67"/>
      <c r="F22" s="68"/>
      <c r="G22" s="69"/>
      <c r="H22" s="69"/>
      <c r="I22" s="70"/>
      <c r="J22" s="73"/>
      <c r="K22" s="71"/>
      <c r="L22" s="70"/>
      <c r="M22" s="103" t="str">
        <f si="1" t="shared"/>
        <v/>
      </c>
      <c r="N22" s="40"/>
      <c r="O22" s="68"/>
      <c r="P22" s="39">
        <f ref="P22:P63" si="3" t="shared">IFERROR(IF(M22-O22&lt;&gt;0,M22-O22,""),-O22)</f>
        <v>0</v>
      </c>
      <c r="Q22" s="119">
        <f si="2" t="shared"/>
        <v>0</v>
      </c>
      <c r="R22" s="40"/>
      <c r="S22" s="61" t="s">
        <v>197</v>
      </c>
      <c r="T22" s="19"/>
      <c r="U22" s="19"/>
      <c r="V22" s="19">
        <v>12</v>
      </c>
    </row>
    <row customFormat="1" customHeight="1" ht="12.75" r="23" s="154" spans="1:22" x14ac:dyDescent="0.2">
      <c r="A23" s="138"/>
      <c r="B23" s="139"/>
      <c r="C23" s="140"/>
      <c r="D23" s="141"/>
      <c r="E23" s="142"/>
      <c r="F23" s="143"/>
      <c r="G23" s="144"/>
      <c r="H23" s="144"/>
      <c r="I23" s="145"/>
      <c r="J23" s="146"/>
      <c r="K23" s="142"/>
      <c r="L23" s="145"/>
      <c r="M23" s="147" t="str">
        <f si="1" t="shared"/>
        <v/>
      </c>
      <c r="N23" s="148"/>
      <c r="O23" s="143"/>
      <c r="P23" s="149">
        <f si="3" t="shared"/>
        <v>0</v>
      </c>
      <c r="Q23" s="150">
        <f si="2" t="shared"/>
        <v>0</v>
      </c>
      <c r="R23" s="151" t="s">
        <v>974</v>
      </c>
      <c r="S23" s="152" t="s">
        <v>197</v>
      </c>
      <c r="T23" s="153" t="s">
        <v>406</v>
      </c>
      <c r="U23" s="153" t="s">
        <v>425</v>
      </c>
      <c r="V23" s="153">
        <v>9</v>
      </c>
    </row>
    <row customHeight="1" ht="12.75" r="24" spans="1:22" x14ac:dyDescent="0.2">
      <c r="A24" s="22" t="s">
        <v>61</v>
      </c>
      <c r="B24" s="16" t="s">
        <v>1003</v>
      </c>
      <c r="C24" s="20" t="s">
        <v>95</v>
      </c>
      <c r="D24" s="67" t="n">
        <v>43813.0</v>
      </c>
      <c r="E24" s="71" t="n">
        <v>43874.0</v>
      </c>
      <c r="F24" s="72" t="n">
        <v>415.4</v>
      </c>
      <c r="G24" s="69" t="n">
        <v>24.93</v>
      </c>
      <c r="H24" s="69" t="n">
        <v>4.99</v>
      </c>
      <c r="I24" s="70" t="n">
        <v>6.0</v>
      </c>
      <c r="J24" s="73" t="n">
        <v>379.48</v>
      </c>
      <c r="K24" s="71" t="n">
        <v>43844.683333333334</v>
      </c>
      <c r="L24" s="70"/>
      <c r="M24" s="103" t="str">
        <f si="1" t="shared"/>
        <v/>
      </c>
      <c r="N24" s="40" t="s">
        <v>6</v>
      </c>
      <c r="O24" s="72" t="n">
        <v>161.62</v>
      </c>
      <c r="P24" s="39">
        <f si="3" t="shared"/>
        <v>0</v>
      </c>
      <c r="Q24" s="119">
        <f si="2" t="shared"/>
        <v>0</v>
      </c>
      <c r="R24" s="54"/>
      <c r="S24" s="61" t="s">
        <v>197</v>
      </c>
      <c r="T24" s="19" t="s">
        <v>406</v>
      </c>
      <c r="U24" s="19" t="s">
        <v>426</v>
      </c>
      <c r="V24" s="19">
        <v>10</v>
      </c>
    </row>
    <row customHeight="1" ht="12.75" r="25" spans="1:22" x14ac:dyDescent="0.2">
      <c r="A25" s="172" t="s">
        <v>62</v>
      </c>
      <c r="B25" s="16" t="s">
        <v>1004</v>
      </c>
      <c r="C25" s="20" t="s">
        <v>130</v>
      </c>
      <c r="D25" s="67" t="n">
        <v>43837.0</v>
      </c>
      <c r="E25" s="71" t="n">
        <v>43867.0</v>
      </c>
      <c r="F25" s="72" t="n">
        <v>631.51</v>
      </c>
      <c r="G25" s="69"/>
      <c r="H25" s="69"/>
      <c r="I25" s="70"/>
      <c r="J25" s="73" t="n">
        <v>631.51</v>
      </c>
      <c r="K25" s="71" t="n">
        <v>43836.0</v>
      </c>
      <c r="L25" s="70" t="n">
        <v>180.0</v>
      </c>
      <c r="M25" s="103" t="str">
        <f si="1" t="shared"/>
        <v/>
      </c>
      <c r="N25" s="40" t="s">
        <v>6</v>
      </c>
      <c r="O25" s="72" t="n">
        <v>142.35</v>
      </c>
      <c r="P25" s="39">
        <f si="3" t="shared"/>
        <v>0</v>
      </c>
      <c r="Q25" s="119">
        <f si="2" t="shared"/>
        <v>0</v>
      </c>
      <c r="R25" s="54"/>
      <c r="S25" s="61" t="s">
        <v>197</v>
      </c>
      <c r="T25" s="19" t="s">
        <v>407</v>
      </c>
      <c r="U25" s="19" t="s">
        <v>427</v>
      </c>
      <c r="V25" s="19">
        <v>11</v>
      </c>
    </row>
    <row customHeight="1" ht="12.75" r="26" spans="1:22" x14ac:dyDescent="0.2">
      <c r="A26" s="165"/>
      <c r="B26" s="37"/>
      <c r="C26" s="38"/>
      <c r="D26" s="67"/>
      <c r="E26" s="67"/>
      <c r="F26" s="68"/>
      <c r="G26" s="69"/>
      <c r="H26" s="69"/>
      <c r="I26" s="70"/>
      <c r="J26" s="73"/>
      <c r="K26" s="71"/>
      <c r="L26" s="70"/>
      <c r="M26" s="103" t="str">
        <f si="1" t="shared"/>
        <v/>
      </c>
      <c r="N26" s="40"/>
      <c r="O26" s="68"/>
      <c r="P26" s="39">
        <f si="3" t="shared"/>
        <v>0</v>
      </c>
      <c r="Q26" s="119">
        <f si="2" t="shared"/>
        <v>0</v>
      </c>
      <c r="R26" s="40"/>
      <c r="S26" s="61" t="s">
        <v>395</v>
      </c>
      <c r="T26" s="19"/>
      <c r="U26" s="19"/>
      <c r="V26" s="19">
        <v>15</v>
      </c>
    </row>
    <row r="27" spans="1:22" x14ac:dyDescent="0.2">
      <c r="A27" s="22" t="s">
        <v>63</v>
      </c>
      <c r="B27" s="16" t="s">
        <v>1005</v>
      </c>
      <c r="C27" s="20" t="s">
        <v>568</v>
      </c>
      <c r="D27" s="67" t="n">
        <v>43841.0</v>
      </c>
      <c r="E27" s="67" t="n">
        <v>43871.0</v>
      </c>
      <c r="F27" s="68" t="n">
        <v>350.0</v>
      </c>
      <c r="G27" s="69" t="n">
        <v>21.0</v>
      </c>
      <c r="H27" s="69" t="n">
        <v>4.2</v>
      </c>
      <c r="I27" s="70" t="n">
        <v>6.0</v>
      </c>
      <c r="J27" s="73" t="n">
        <v>318.8</v>
      </c>
      <c r="K27" s="71" t="n">
        <v>43854.597916666666</v>
      </c>
      <c r="L27" s="70"/>
      <c r="M27" s="103" t="str">
        <f si="1" t="shared"/>
        <v/>
      </c>
      <c r="N27" s="40" t="s">
        <v>6</v>
      </c>
      <c r="O27" s="107"/>
      <c r="P27" s="39">
        <f si="3" t="shared"/>
        <v>0</v>
      </c>
      <c r="Q27" s="119">
        <f si="2" t="shared"/>
        <v>0</v>
      </c>
      <c r="R27" s="40"/>
      <c r="S27" s="61" t="s">
        <v>197</v>
      </c>
      <c r="T27" s="19" t="s">
        <v>409</v>
      </c>
      <c r="U27" s="19" t="s">
        <v>428</v>
      </c>
      <c r="V27" s="19">
        <v>17</v>
      </c>
    </row>
    <row r="28" spans="1:22" x14ac:dyDescent="0.2">
      <c r="A28" s="22" t="s">
        <v>64</v>
      </c>
      <c r="B28" s="16" t="s">
        <v>1006</v>
      </c>
      <c r="C28" s="20" t="s">
        <v>95</v>
      </c>
      <c r="D28" s="67" t="n">
        <v>43831.0</v>
      </c>
      <c r="E28" s="67" t="n">
        <v>43861.0</v>
      </c>
      <c r="F28" s="68" t="n">
        <v>520.0</v>
      </c>
      <c r="G28" s="69" t="n">
        <v>31.2</v>
      </c>
      <c r="H28" s="69" t="n">
        <v>6.24</v>
      </c>
      <c r="I28" s="70" t="n">
        <v>6.0</v>
      </c>
      <c r="J28" s="73" t="n">
        <v>476.56</v>
      </c>
      <c r="K28" s="71" t="n">
        <v>43832.53472222222</v>
      </c>
      <c r="L28" s="70"/>
      <c r="M28" s="103" t="str">
        <f si="1" t="shared"/>
        <v/>
      </c>
      <c r="N28" s="40" t="s">
        <v>6</v>
      </c>
      <c r="O28" s="68" t="n">
        <v>202.32</v>
      </c>
      <c r="P28" s="39">
        <f si="3" t="shared"/>
        <v>0</v>
      </c>
      <c r="Q28" s="119">
        <f si="2" t="shared"/>
        <v>0</v>
      </c>
      <c r="R28" s="54"/>
      <c r="S28" s="61" t="s">
        <v>197</v>
      </c>
      <c r="T28" s="19" t="s">
        <v>407</v>
      </c>
      <c r="U28" s="19" t="s">
        <v>429</v>
      </c>
      <c r="V28" s="19">
        <v>44</v>
      </c>
    </row>
    <row customHeight="1" ht="12.75" r="29" spans="1:22" x14ac:dyDescent="0.25">
      <c r="A29" s="172" t="s">
        <v>65</v>
      </c>
      <c r="B29" s="16" t="s">
        <v>1007</v>
      </c>
      <c r="C29" s="20" t="s">
        <v>130</v>
      </c>
      <c r="D29" s="67" t="n">
        <v>43824.0</v>
      </c>
      <c r="E29" s="67" t="n">
        <v>43854.0</v>
      </c>
      <c r="F29" s="72" t="n">
        <v>720.0</v>
      </c>
      <c r="G29" s="69"/>
      <c r="H29" s="69"/>
      <c r="I29" s="70"/>
      <c r="J29" s="73" t="n">
        <v>720.0</v>
      </c>
      <c r="K29" s="71" t="n">
        <v>43861.0</v>
      </c>
      <c r="L29" s="70"/>
      <c r="M29" s="103" t="str">
        <f si="1" t="shared"/>
        <v/>
      </c>
      <c r="N29" s="40" t="s">
        <v>203</v>
      </c>
      <c r="O29" s="72" t="n">
        <v>240.47</v>
      </c>
      <c r="P29" s="39">
        <f si="3" t="shared"/>
        <v>0</v>
      </c>
      <c r="Q29" s="119">
        <f si="2" t="shared"/>
        <v>0</v>
      </c>
      <c r="R29" s="129" t="s">
        <v>975</v>
      </c>
      <c r="S29" s="61" t="s">
        <v>396</v>
      </c>
      <c r="T29" s="19" t="s">
        <v>407</v>
      </c>
      <c r="U29" s="125" t="s">
        <v>430</v>
      </c>
      <c r="V29" s="125">
        <v>16</v>
      </c>
    </row>
    <row customHeight="1" ht="12.75" r="30" spans="1:22" x14ac:dyDescent="0.2">
      <c r="A30" s="165"/>
      <c r="B30" s="37"/>
      <c r="C30" s="38"/>
      <c r="D30" s="67"/>
      <c r="E30" s="67"/>
      <c r="F30" s="68"/>
      <c r="G30" s="69"/>
      <c r="H30" s="69"/>
      <c r="I30" s="70"/>
      <c r="J30" s="73"/>
      <c r="K30" s="71"/>
      <c r="L30" s="70"/>
      <c r="M30" s="103" t="str">
        <f si="1" t="shared"/>
        <v/>
      </c>
      <c r="N30" s="40"/>
      <c r="O30" s="68"/>
      <c r="P30" s="39">
        <f si="3" t="shared"/>
        <v>0</v>
      </c>
      <c r="Q30" s="119">
        <f si="2" t="shared"/>
        <v>0</v>
      </c>
      <c r="R30" s="54"/>
      <c r="S30" s="61" t="s">
        <v>397</v>
      </c>
      <c r="T30" s="19"/>
      <c r="U30" s="19"/>
      <c r="V30" s="19">
        <v>18</v>
      </c>
    </row>
    <row customHeight="1" ht="12.75" r="31" spans="1:22" x14ac:dyDescent="0.2">
      <c r="A31" s="173" t="s">
        <v>99</v>
      </c>
      <c r="B31" s="16" t="s">
        <v>984</v>
      </c>
      <c r="C31" s="20"/>
      <c r="D31" s="67"/>
      <c r="E31" s="67"/>
      <c r="F31" s="68"/>
      <c r="G31" s="69"/>
      <c r="H31" s="69"/>
      <c r="I31" s="70"/>
      <c r="J31" s="73"/>
      <c r="K31" s="71"/>
      <c r="L31" s="70"/>
      <c r="M31" s="103" t="str">
        <f si="1" t="shared"/>
        <v/>
      </c>
      <c r="N31" s="40" t="s">
        <v>6</v>
      </c>
      <c r="O31" s="68" t="n">
        <v>217.44</v>
      </c>
      <c r="P31" s="39">
        <f si="3" t="shared"/>
        <v>0</v>
      </c>
      <c r="Q31" s="119">
        <f si="2" t="shared"/>
        <v>0</v>
      </c>
      <c r="R31" s="54" t="s">
        <v>976</v>
      </c>
      <c r="S31" s="61" t="s">
        <v>197</v>
      </c>
      <c r="T31" s="19" t="s">
        <v>407</v>
      </c>
      <c r="U31" s="19" t="s">
        <v>431</v>
      </c>
      <c r="V31" s="19">
        <v>19</v>
      </c>
    </row>
    <row customHeight="1" ht="12.75" r="32" spans="1:22" x14ac:dyDescent="0.25">
      <c r="A32" s="172" t="s">
        <v>102</v>
      </c>
      <c r="B32" s="16" t="s">
        <v>1008</v>
      </c>
      <c r="C32" s="20" t="s">
        <v>130</v>
      </c>
      <c r="D32" s="67" t="n">
        <v>43829.0</v>
      </c>
      <c r="E32" s="67" t="n">
        <v>43860.0</v>
      </c>
      <c r="F32" s="72" t="n">
        <v>775.0</v>
      </c>
      <c r="G32" s="69"/>
      <c r="H32" s="69"/>
      <c r="I32" s="70"/>
      <c r="J32" s="73" t="n">
        <v>775.0</v>
      </c>
      <c r="K32" s="71" t="n">
        <v>43837.0</v>
      </c>
      <c r="L32" s="70"/>
      <c r="M32" s="103" t="str">
        <f si="1" t="shared"/>
        <v/>
      </c>
      <c r="N32" s="40" t="s">
        <v>6</v>
      </c>
      <c r="O32" s="72" t="n">
        <v>551.52</v>
      </c>
      <c r="P32" s="39">
        <f si="3" t="shared"/>
        <v>0</v>
      </c>
      <c r="Q32" s="119">
        <f si="2" t="shared"/>
        <v>0</v>
      </c>
      <c r="R32" s="54" t="s">
        <v>976</v>
      </c>
      <c r="S32" s="61" t="s">
        <v>396</v>
      </c>
      <c r="T32" s="19" t="s">
        <v>410</v>
      </c>
      <c r="U32" s="126" t="s">
        <v>432</v>
      </c>
      <c r="V32" s="126">
        <v>34</v>
      </c>
    </row>
    <row customHeight="1" ht="12.75" r="33" spans="1:22" x14ac:dyDescent="0.2">
      <c r="A33" s="165"/>
      <c r="B33" s="37"/>
      <c r="C33" s="38"/>
      <c r="D33" s="67"/>
      <c r="E33" s="67"/>
      <c r="F33" s="68"/>
      <c r="G33" s="69"/>
      <c r="H33" s="69"/>
      <c r="I33" s="70"/>
      <c r="J33" s="73"/>
      <c r="K33" s="67"/>
      <c r="L33" s="70"/>
      <c r="M33" s="103" t="str">
        <f si="1" t="shared"/>
        <v/>
      </c>
      <c r="N33" s="49"/>
      <c r="O33" s="68"/>
      <c r="P33" s="39">
        <f si="3" t="shared"/>
        <v>0</v>
      </c>
      <c r="Q33" s="119">
        <f si="2" t="shared"/>
        <v>0</v>
      </c>
      <c r="R33" s="40"/>
      <c r="S33" s="2" t="s">
        <v>399</v>
      </c>
      <c r="T33" s="63"/>
      <c r="U33" s="63"/>
      <c r="V33" s="63">
        <v>20</v>
      </c>
    </row>
    <row customHeight="1" ht="12.75" r="34" spans="1:22" x14ac:dyDescent="0.2">
      <c r="A34" s="170" t="s">
        <v>103</v>
      </c>
      <c r="B34" s="16" t="s">
        <v>984</v>
      </c>
      <c r="C34" s="20"/>
      <c r="D34" s="67"/>
      <c r="E34" s="71"/>
      <c r="F34" s="72"/>
      <c r="G34" s="69"/>
      <c r="H34" s="69"/>
      <c r="I34" s="70"/>
      <c r="J34" s="73"/>
      <c r="K34" s="67"/>
      <c r="L34" s="70" t="n">
        <v>369.0</v>
      </c>
      <c r="M34" s="103" t="str">
        <f si="1" t="shared"/>
        <v/>
      </c>
      <c r="N34" s="49" t="s">
        <v>6</v>
      </c>
      <c r="O34" s="72" t="n">
        <v>211.49</v>
      </c>
      <c r="P34" s="39">
        <f si="3" t="shared"/>
        <v>0</v>
      </c>
      <c r="Q34" s="119">
        <f si="2" t="shared"/>
        <v>0</v>
      </c>
      <c r="R34" s="123" t="s">
        <v>977</v>
      </c>
      <c r="S34" s="61" t="s">
        <v>197</v>
      </c>
      <c r="T34" s="19" t="s">
        <v>411</v>
      </c>
      <c r="U34" s="19" t="s">
        <v>433</v>
      </c>
      <c r="V34" s="19">
        <v>31</v>
      </c>
    </row>
    <row customHeight="1" ht="12.75" r="35" spans="1:22" x14ac:dyDescent="0.2">
      <c r="A35" s="22" t="s">
        <v>66</v>
      </c>
      <c r="B35" s="16" t="s">
        <v>1009</v>
      </c>
      <c r="C35" s="20" t="s">
        <v>95</v>
      </c>
      <c r="D35" s="67" t="n">
        <v>43838.0</v>
      </c>
      <c r="E35" s="67" t="n">
        <v>43868.0</v>
      </c>
      <c r="F35" s="68" t="n">
        <v>500.0</v>
      </c>
      <c r="G35" s="69" t="n">
        <v>30.0</v>
      </c>
      <c r="H35" s="69" t="n">
        <v>6.0</v>
      </c>
      <c r="I35" s="70" t="n">
        <v>6.0</v>
      </c>
      <c r="J35" s="73" t="n">
        <v>458.0</v>
      </c>
      <c r="K35" s="67" t="n">
        <v>43838.584027777775</v>
      </c>
      <c r="L35" s="70"/>
      <c r="M35" s="103" t="str">
        <f si="1" t="shared"/>
        <v/>
      </c>
      <c r="N35" s="49" t="s">
        <v>6</v>
      </c>
      <c r="O35" s="68" t="n">
        <v>203.62</v>
      </c>
      <c r="P35" s="39">
        <f si="3" t="shared"/>
        <v>0</v>
      </c>
      <c r="Q35" s="119">
        <f si="2" t="shared"/>
        <v>0</v>
      </c>
      <c r="R35" s="50"/>
      <c r="S35" s="61" t="s">
        <v>197</v>
      </c>
      <c r="T35" s="19" t="s">
        <v>412</v>
      </c>
      <c r="U35" s="19" t="s">
        <v>434</v>
      </c>
      <c r="V35" s="19">
        <v>30</v>
      </c>
    </row>
    <row customHeight="1" ht="12.75" r="36" spans="1:22" x14ac:dyDescent="0.2">
      <c r="A36" s="22" t="s">
        <v>105</v>
      </c>
      <c r="B36" s="16" t="s">
        <v>1010</v>
      </c>
      <c r="C36" s="20" t="s">
        <v>568</v>
      </c>
      <c r="D36" s="71" t="n">
        <v>43829.0</v>
      </c>
      <c r="E36" s="71" t="n">
        <v>43859.0</v>
      </c>
      <c r="F36" s="72" t="n">
        <v>500.0</v>
      </c>
      <c r="G36" s="69" t="n">
        <v>30.0</v>
      </c>
      <c r="H36" s="69" t="n">
        <v>6.0</v>
      </c>
      <c r="I36" s="70" t="n">
        <v>6.0</v>
      </c>
      <c r="J36" s="73" t="n">
        <v>458.0</v>
      </c>
      <c r="K36" s="71" t="n">
        <v>43836.498611111114</v>
      </c>
      <c r="L36" s="70"/>
      <c r="M36" s="103" t="str">
        <f si="1" t="shared"/>
        <v/>
      </c>
      <c r="N36" s="49" t="s">
        <v>258</v>
      </c>
      <c r="O36" s="72" t="n">
        <v>203.62</v>
      </c>
      <c r="P36" s="39">
        <f si="3" t="shared"/>
        <v>0</v>
      </c>
      <c r="Q36" s="119">
        <f si="2" t="shared"/>
        <v>0</v>
      </c>
      <c r="R36" s="129" t="s">
        <v>975</v>
      </c>
      <c r="S36" s="61" t="s">
        <v>396</v>
      </c>
      <c r="T36" s="19" t="s">
        <v>412</v>
      </c>
      <c r="U36" s="19" t="s">
        <v>435</v>
      </c>
      <c r="V36" s="19">
        <v>33</v>
      </c>
    </row>
    <row customHeight="1" ht="12.75" r="37" spans="1:22" x14ac:dyDescent="0.25">
      <c r="A37" s="22" t="s">
        <v>106</v>
      </c>
      <c r="B37" s="16" t="s">
        <v>1011</v>
      </c>
      <c r="C37" s="20" t="s">
        <v>130</v>
      </c>
      <c r="D37" s="67"/>
      <c r="E37" s="67"/>
      <c r="F37" s="72" t="n">
        <v>505.0</v>
      </c>
      <c r="G37" s="69"/>
      <c r="H37" s="69"/>
      <c r="I37" s="70" t="n">
        <v>6.0</v>
      </c>
      <c r="J37" s="73" t="n">
        <v>481.0</v>
      </c>
      <c r="K37" s="71" t="n">
        <v>43851.575</v>
      </c>
      <c r="L37" s="70"/>
      <c r="M37" s="103" t="str">
        <f si="1" t="shared"/>
        <v/>
      </c>
      <c r="N37" s="40" t="s">
        <v>6</v>
      </c>
      <c r="O37" s="72" t="n">
        <v>375.8</v>
      </c>
      <c r="P37" s="39">
        <f si="3" t="shared"/>
        <v>0</v>
      </c>
      <c r="Q37" s="119">
        <f si="2" t="shared"/>
        <v>0</v>
      </c>
      <c r="R37" s="54"/>
      <c r="S37" s="61" t="s">
        <v>396</v>
      </c>
      <c r="T37" s="19" t="s">
        <v>413</v>
      </c>
      <c r="U37" s="126" t="s">
        <v>436</v>
      </c>
      <c r="V37" s="126">
        <v>32</v>
      </c>
    </row>
    <row customHeight="1" ht="12.75" r="38" spans="1:22" x14ac:dyDescent="0.2">
      <c r="A38" s="172" t="s">
        <v>224</v>
      </c>
      <c r="B38" s="16" t="s">
        <v>1012</v>
      </c>
      <c r="C38" s="20" t="s">
        <v>130</v>
      </c>
      <c r="D38" s="71" t="n">
        <v>43860.0</v>
      </c>
      <c r="E38" s="71" t="n">
        <v>43890.0</v>
      </c>
      <c r="F38" s="68" t="n">
        <v>675.0</v>
      </c>
      <c r="G38" s="69"/>
      <c r="H38" s="69"/>
      <c r="I38" s="70"/>
      <c r="J38" s="73" t="n">
        <v>675.0</v>
      </c>
      <c r="K38" s="71" t="n">
        <v>43861.0</v>
      </c>
      <c r="L38" s="70"/>
      <c r="M38" s="103" t="str">
        <f si="1" t="shared"/>
        <v/>
      </c>
      <c r="N38" s="40" t="s">
        <v>6</v>
      </c>
      <c r="O38" s="68" t="n">
        <v>211.49</v>
      </c>
      <c r="P38" s="39">
        <f si="3" t="shared"/>
        <v>0</v>
      </c>
      <c r="Q38" s="119">
        <f si="2" t="shared"/>
        <v>0</v>
      </c>
      <c r="R38" s="54"/>
      <c r="S38" s="61" t="s">
        <v>197</v>
      </c>
      <c r="T38" s="19" t="s">
        <v>411</v>
      </c>
      <c r="U38" s="19" t="s">
        <v>437</v>
      </c>
      <c r="V38" s="19">
        <v>26</v>
      </c>
    </row>
    <row customHeight="1" ht="12.75" r="39" spans="1:22" x14ac:dyDescent="0.2">
      <c r="A39" s="171" t="s">
        <v>226</v>
      </c>
      <c r="B39" s="16" t="s">
        <v>1013</v>
      </c>
      <c r="C39" s="20" t="s">
        <v>95</v>
      </c>
      <c r="D39" s="71" t="n">
        <v>43825.0</v>
      </c>
      <c r="E39" s="71" t="n">
        <v>43886.0</v>
      </c>
      <c r="F39" s="68" t="n">
        <v>461.52</v>
      </c>
      <c r="G39" s="69" t="n">
        <v>27.69</v>
      </c>
      <c r="H39" s="69" t="n">
        <v>5.54</v>
      </c>
      <c r="I39" s="70" t="n">
        <v>12.0</v>
      </c>
      <c r="J39" s="73" t="n">
        <v>416.29</v>
      </c>
      <c r="K39" s="67" t="n">
        <v>43844.683333333334</v>
      </c>
      <c r="L39" s="70" t="n">
        <v>215.0</v>
      </c>
      <c r="M39" s="103" t="str">
        <f si="1" t="shared"/>
        <v/>
      </c>
      <c r="N39" s="40" t="s">
        <v>6</v>
      </c>
      <c r="O39" s="68" t="n">
        <v>211.49</v>
      </c>
      <c r="P39" s="39">
        <f si="3" t="shared"/>
        <v>0</v>
      </c>
      <c r="Q39" s="119">
        <f si="2" t="shared"/>
        <v>0</v>
      </c>
      <c r="R39" s="54"/>
      <c r="S39" s="61" t="s">
        <v>197</v>
      </c>
      <c r="T39" s="19" t="s">
        <v>411</v>
      </c>
      <c r="U39" s="19" t="s">
        <v>438</v>
      </c>
      <c r="V39" s="19">
        <v>22</v>
      </c>
    </row>
    <row customHeight="1" ht="12.75" r="40" spans="1:22" x14ac:dyDescent="0.2">
      <c r="A40" s="172" t="s">
        <v>227</v>
      </c>
      <c r="B40" s="16" t="s">
        <v>1014</v>
      </c>
      <c r="C40" s="20" t="s">
        <v>130</v>
      </c>
      <c r="D40" s="71" t="n">
        <v>43813.0</v>
      </c>
      <c r="E40" s="71" t="n">
        <v>43874.0</v>
      </c>
      <c r="F40" s="72" t="n">
        <v>800.0</v>
      </c>
      <c r="G40" s="69"/>
      <c r="H40" s="69"/>
      <c r="I40" s="70"/>
      <c r="J40" s="73" t="n">
        <v>800.0</v>
      </c>
      <c r="K40" s="71" t="n">
        <v>43844.0</v>
      </c>
      <c r="L40" s="70"/>
      <c r="M40" s="103" t="str">
        <f si="1" t="shared"/>
        <v/>
      </c>
      <c r="N40" s="40" t="s">
        <v>6</v>
      </c>
      <c r="O40" s="72" t="n">
        <v>242.09</v>
      </c>
      <c r="P40" s="39">
        <f si="3" t="shared"/>
        <v>0</v>
      </c>
      <c r="Q40" s="119">
        <f si="2" t="shared"/>
        <v>0</v>
      </c>
      <c r="R40" s="40"/>
      <c r="S40" s="61" t="s">
        <v>197</v>
      </c>
      <c r="T40" s="19" t="s">
        <v>412</v>
      </c>
      <c r="U40" s="19" t="s">
        <v>439</v>
      </c>
      <c r="V40" s="19">
        <v>21</v>
      </c>
    </row>
    <row customHeight="1" ht="12.75" r="41" spans="1:22" x14ac:dyDescent="0.2">
      <c r="A41" s="172" t="s">
        <v>228</v>
      </c>
      <c r="B41" s="16" t="s">
        <v>984</v>
      </c>
      <c r="C41" s="20"/>
      <c r="D41" s="67"/>
      <c r="E41" s="67"/>
      <c r="F41" s="68"/>
      <c r="G41" s="69"/>
      <c r="H41" s="69"/>
      <c r="I41" s="70"/>
      <c r="J41" s="73"/>
      <c r="K41" s="67"/>
      <c r="L41" s="70"/>
      <c r="M41" s="103" t="str">
        <f si="1" t="shared"/>
        <v/>
      </c>
      <c r="N41" s="40" t="s">
        <v>6</v>
      </c>
      <c r="O41" s="68" t="n">
        <v>240.21</v>
      </c>
      <c r="P41" s="39">
        <f si="3" t="shared"/>
        <v>0</v>
      </c>
      <c r="Q41" s="119">
        <f si="2" t="shared"/>
        <v>0</v>
      </c>
      <c r="R41" s="50" t="s">
        <v>978</v>
      </c>
      <c r="S41" s="61" t="s">
        <v>197</v>
      </c>
      <c r="T41" s="19" t="s">
        <v>412</v>
      </c>
      <c r="U41" s="19" t="s">
        <v>440</v>
      </c>
      <c r="V41" s="19">
        <v>25</v>
      </c>
    </row>
    <row customHeight="1" ht="12.75" r="42" spans="1:22" x14ac:dyDescent="0.25">
      <c r="A42" s="22" t="s">
        <v>107</v>
      </c>
      <c r="B42" s="16" t="s">
        <v>984</v>
      </c>
      <c r="C42" s="20"/>
      <c r="D42" s="67"/>
      <c r="E42" s="67"/>
      <c r="F42" s="72"/>
      <c r="G42" s="69"/>
      <c r="H42" s="69"/>
      <c r="I42" s="70"/>
      <c r="J42" s="73"/>
      <c r="K42" s="71"/>
      <c r="L42" s="70" t="n">
        <v>20.0</v>
      </c>
      <c r="M42" s="103" t="str">
        <f si="1" t="shared"/>
        <v/>
      </c>
      <c r="N42" s="40" t="s">
        <v>258</v>
      </c>
      <c r="O42" s="72"/>
      <c r="P42" s="39">
        <f si="3" t="shared"/>
        <v>0</v>
      </c>
      <c r="Q42" s="119">
        <f si="2" t="shared"/>
        <v>0</v>
      </c>
      <c r="R42" s="129" t="s">
        <v>979</v>
      </c>
      <c r="S42" s="61" t="s">
        <v>396</v>
      </c>
      <c r="T42" s="19" t="s">
        <v>414</v>
      </c>
      <c r="U42" s="126" t="s">
        <v>441</v>
      </c>
      <c r="V42" s="126">
        <v>28</v>
      </c>
    </row>
    <row customHeight="1" ht="12.75" r="43" spans="1:22" x14ac:dyDescent="0.25">
      <c r="A43" s="172" t="s">
        <v>67</v>
      </c>
      <c r="B43" s="16" t="s">
        <v>1015</v>
      </c>
      <c r="C43" s="20" t="s">
        <v>130</v>
      </c>
      <c r="D43" s="67" t="n">
        <v>43833.0</v>
      </c>
      <c r="E43" s="67" t="n">
        <v>43864.0</v>
      </c>
      <c r="F43" s="72" t="n">
        <v>600.0</v>
      </c>
      <c r="G43" s="69"/>
      <c r="H43" s="69"/>
      <c r="I43" s="70"/>
      <c r="J43" s="73" t="n">
        <v>600.0</v>
      </c>
      <c r="K43" s="71" t="n">
        <v>43833.0</v>
      </c>
      <c r="L43" s="70" t="n">
        <v>60.0</v>
      </c>
      <c r="M43" s="103" t="str">
        <f si="1" t="shared"/>
        <v/>
      </c>
      <c r="N43" s="40" t="s">
        <v>6</v>
      </c>
      <c r="O43" s="72" t="n">
        <v>240.21</v>
      </c>
      <c r="P43" s="39">
        <f si="3" t="shared"/>
        <v>0</v>
      </c>
      <c r="Q43" s="119">
        <f si="2" t="shared"/>
        <v>0</v>
      </c>
      <c r="R43" s="50"/>
      <c r="S43" s="61" t="s">
        <v>396</v>
      </c>
      <c r="T43" s="19" t="s">
        <v>412</v>
      </c>
      <c r="U43" s="126" t="s">
        <v>442</v>
      </c>
      <c r="V43" s="126">
        <v>23</v>
      </c>
    </row>
    <row customHeight="1" ht="12.75" r="44" spans="1:22" x14ac:dyDescent="0.25">
      <c r="A44" s="172" t="s">
        <v>109</v>
      </c>
      <c r="B44" s="16" t="s">
        <v>1016</v>
      </c>
      <c r="C44" s="20" t="s">
        <v>130</v>
      </c>
      <c r="D44" s="67" t="n">
        <v>43845.0</v>
      </c>
      <c r="E44" s="67" t="n">
        <v>44026.0</v>
      </c>
      <c r="F44" s="72" t="n">
        <v>4200.0</v>
      </c>
      <c r="G44" s="69"/>
      <c r="H44" s="69"/>
      <c r="I44" s="70"/>
      <c r="J44" s="73" t="n">
        <v>4200.0</v>
      </c>
      <c r="K44" s="71" t="n">
        <v>43857.0</v>
      </c>
      <c r="L44" s="70" t="n">
        <v>715.0</v>
      </c>
      <c r="M44" s="103" t="str">
        <f si="1" t="shared"/>
        <v/>
      </c>
      <c r="N44" s="40" t="s">
        <v>6</v>
      </c>
      <c r="O44" s="72" t="n">
        <v>242.16</v>
      </c>
      <c r="P44" s="39">
        <f si="3" t="shared"/>
        <v>0</v>
      </c>
      <c r="Q44" s="119">
        <f si="2" t="shared"/>
        <v>0</v>
      </c>
      <c r="R44" s="50" t="s">
        <v>980</v>
      </c>
      <c r="S44" s="61" t="s">
        <v>396</v>
      </c>
      <c r="T44" s="19" t="s">
        <v>412</v>
      </c>
      <c r="U44" s="127" t="s">
        <v>443</v>
      </c>
      <c r="V44" s="127">
        <v>27</v>
      </c>
    </row>
    <row customHeight="1" ht="12.75" r="45" spans="1:22" x14ac:dyDescent="0.2">
      <c r="A45" s="165"/>
      <c r="B45" s="37"/>
      <c r="C45" s="38"/>
      <c r="D45" s="67"/>
      <c r="E45" s="67"/>
      <c r="F45" s="68"/>
      <c r="G45" s="69"/>
      <c r="H45" s="69"/>
      <c r="I45" s="70"/>
      <c r="J45" s="73"/>
      <c r="K45" s="71"/>
      <c r="L45" s="70"/>
      <c r="M45" s="103" t="str">
        <f si="1" t="shared"/>
        <v/>
      </c>
      <c r="N45" s="40"/>
      <c r="O45" s="68"/>
      <c r="P45" s="39">
        <f si="3" t="shared"/>
        <v>0</v>
      </c>
      <c r="Q45" s="119">
        <f si="2" t="shared"/>
        <v>0</v>
      </c>
      <c r="R45" s="50"/>
      <c r="S45" s="2" t="s">
        <v>399</v>
      </c>
      <c r="T45" s="63"/>
      <c r="U45" s="63"/>
      <c r="V45" s="63">
        <v>51</v>
      </c>
    </row>
    <row customHeight="1" ht="12.75" r="46" spans="1:22" x14ac:dyDescent="0.25">
      <c r="A46" s="22" t="s">
        <v>68</v>
      </c>
      <c r="B46" s="16" t="s">
        <v>1017</v>
      </c>
      <c r="C46" s="20" t="s">
        <v>568</v>
      </c>
      <c r="D46" s="67" t="n">
        <v>43817.0</v>
      </c>
      <c r="E46" s="67" t="n">
        <v>43878.0</v>
      </c>
      <c r="F46" s="72" t="n">
        <v>480.12</v>
      </c>
      <c r="G46" s="69" t="n">
        <v>28.81</v>
      </c>
      <c r="H46" s="69" t="n">
        <v>5.76</v>
      </c>
      <c r="I46" s="70" t="n">
        <v>6.0</v>
      </c>
      <c r="J46" s="73" t="n">
        <v>439.55</v>
      </c>
      <c r="K46" s="71" t="n">
        <v>43844.683333333334</v>
      </c>
      <c r="L46" s="70"/>
      <c r="M46" s="103" t="str">
        <f si="1" t="shared"/>
        <v/>
      </c>
      <c r="N46" s="40" t="s">
        <v>6</v>
      </c>
      <c r="O46" s="72" t="n">
        <v>206.85</v>
      </c>
      <c r="P46" s="39">
        <f si="3" t="shared"/>
        <v>0</v>
      </c>
      <c r="Q46" s="119">
        <f si="2" t="shared"/>
        <v>0</v>
      </c>
      <c r="R46" s="40" t="s">
        <v>669</v>
      </c>
      <c r="S46" s="61" t="s">
        <v>396</v>
      </c>
      <c r="T46" s="19" t="s">
        <v>406</v>
      </c>
      <c r="U46" s="125" t="s">
        <v>444</v>
      </c>
      <c r="V46" s="125">
        <v>46</v>
      </c>
    </row>
    <row customHeight="1" ht="12.75" r="47" spans="1:22" x14ac:dyDescent="0.2">
      <c r="A47" s="22" t="s">
        <v>69</v>
      </c>
      <c r="B47" s="16" t="s">
        <v>1018</v>
      </c>
      <c r="C47" s="20" t="s">
        <v>568</v>
      </c>
      <c r="D47" s="67" t="n">
        <v>43836.0</v>
      </c>
      <c r="E47" s="67" t="n">
        <v>43866.0</v>
      </c>
      <c r="F47" s="68" t="n">
        <v>525.0</v>
      </c>
      <c r="G47" s="69" t="n">
        <v>31.5</v>
      </c>
      <c r="H47" s="69" t="n">
        <v>6.3</v>
      </c>
      <c r="I47" s="70" t="n">
        <v>6.0</v>
      </c>
      <c r="J47" s="73" t="n">
        <v>481.2</v>
      </c>
      <c r="K47" s="71" t="n">
        <v>43836.498611111114</v>
      </c>
      <c r="L47" s="70"/>
      <c r="M47" s="103" t="str">
        <f si="1" t="shared"/>
        <v/>
      </c>
      <c r="N47" s="40" t="s">
        <v>6</v>
      </c>
      <c r="O47" s="68" t="n">
        <v>103.25</v>
      </c>
      <c r="P47" s="39">
        <f si="3" t="shared"/>
        <v>0</v>
      </c>
      <c r="Q47" s="119">
        <f si="2" t="shared"/>
        <v>0</v>
      </c>
      <c r="R47" s="40"/>
      <c r="S47" s="61" t="s">
        <v>197</v>
      </c>
      <c r="T47" s="19" t="s">
        <v>407</v>
      </c>
      <c r="U47" s="19" t="s">
        <v>445</v>
      </c>
      <c r="V47" s="19">
        <v>52</v>
      </c>
    </row>
    <row customHeight="1" ht="12.75" r="48" spans="1:22" x14ac:dyDescent="0.25">
      <c r="A48" s="22" t="s">
        <v>86</v>
      </c>
      <c r="B48" s="16" t="s">
        <v>1019</v>
      </c>
      <c r="C48" s="20" t="s">
        <v>95</v>
      </c>
      <c r="D48" s="67" t="n">
        <v>43822.0</v>
      </c>
      <c r="E48" s="67" t="n">
        <v>43883.0</v>
      </c>
      <c r="F48" s="72" t="n">
        <v>452.32</v>
      </c>
      <c r="G48" s="69" t="n">
        <v>27.13</v>
      </c>
      <c r="H48" s="69" t="n">
        <v>5.43</v>
      </c>
      <c r="I48" s="70" t="n">
        <v>6.0</v>
      </c>
      <c r="J48" s="73" t="n">
        <v>413.76</v>
      </c>
      <c r="K48" s="71" t="n">
        <v>43844.683333333334</v>
      </c>
      <c r="L48" s="70"/>
      <c r="M48" s="103" t="str">
        <f si="1" t="shared"/>
        <v/>
      </c>
      <c r="N48" s="40" t="s">
        <v>6</v>
      </c>
      <c r="O48" s="72" t="n">
        <v>206.81</v>
      </c>
      <c r="P48" s="39">
        <f si="3" t="shared"/>
        <v>0</v>
      </c>
      <c r="Q48" s="119">
        <f si="2" t="shared"/>
        <v>0</v>
      </c>
      <c r="R48" s="40"/>
      <c r="S48" s="61" t="s">
        <v>396</v>
      </c>
      <c r="T48" s="19" t="s">
        <v>406</v>
      </c>
      <c r="U48" s="125" t="s">
        <v>446</v>
      </c>
      <c r="V48" s="125">
        <v>47</v>
      </c>
    </row>
    <row r="49" spans="1:22" x14ac:dyDescent="0.2">
      <c r="A49" s="22" t="s">
        <v>111</v>
      </c>
      <c r="B49" s="16" t="s">
        <v>1020</v>
      </c>
      <c r="C49" s="20" t="s">
        <v>95</v>
      </c>
      <c r="D49" s="71" t="n">
        <v>43813.0</v>
      </c>
      <c r="E49" s="71" t="n">
        <v>43874.0</v>
      </c>
      <c r="F49" s="72" t="n">
        <v>461.52</v>
      </c>
      <c r="G49" s="69" t="n">
        <v>27.69</v>
      </c>
      <c r="H49" s="69" t="n">
        <v>5.54</v>
      </c>
      <c r="I49" s="70" t="n">
        <v>6.0</v>
      </c>
      <c r="J49" s="73" t="n">
        <v>422.29</v>
      </c>
      <c r="K49" s="71" t="n">
        <v>43844.683333333334</v>
      </c>
      <c r="L49" s="70" t="n">
        <v>339.0</v>
      </c>
      <c r="M49" s="103" t="str">
        <f si="1" t="shared"/>
        <v/>
      </c>
      <c r="N49" s="40" t="s">
        <v>6</v>
      </c>
      <c r="O49" s="72" t="n">
        <v>207.31</v>
      </c>
      <c r="P49" s="39">
        <f si="3" t="shared"/>
        <v>0</v>
      </c>
      <c r="Q49" s="119">
        <f si="2" t="shared"/>
        <v>0</v>
      </c>
      <c r="R49" s="40"/>
      <c r="S49" s="61" t="s">
        <v>197</v>
      </c>
      <c r="T49" s="19" t="s">
        <v>411</v>
      </c>
      <c r="U49" s="19" t="s">
        <v>447</v>
      </c>
      <c r="V49" s="19">
        <v>48</v>
      </c>
    </row>
    <row customHeight="1" ht="12.75" r="50" spans="1:22" x14ac:dyDescent="0.2">
      <c r="A50" s="172" t="s">
        <v>231</v>
      </c>
      <c r="B50" s="16" t="s">
        <v>1021</v>
      </c>
      <c r="C50" s="20" t="s">
        <v>568</v>
      </c>
      <c r="D50" s="67" t="n">
        <v>43855.0</v>
      </c>
      <c r="E50" s="67" t="n">
        <v>43885.0</v>
      </c>
      <c r="F50" s="68" t="n">
        <v>600.0</v>
      </c>
      <c r="G50" s="69"/>
      <c r="H50" s="69"/>
      <c r="I50" s="70"/>
      <c r="J50" s="73" t="n">
        <v>600.0</v>
      </c>
      <c r="K50" s="71" t="n">
        <v>43857.0</v>
      </c>
      <c r="L50" s="70"/>
      <c r="M50" s="103" t="str">
        <f si="1" t="shared"/>
        <v/>
      </c>
      <c r="N50" s="40" t="s">
        <v>6</v>
      </c>
      <c r="O50" s="68" t="n">
        <v>206.8</v>
      </c>
      <c r="P50" s="39">
        <f si="3" t="shared"/>
        <v>0</v>
      </c>
      <c r="Q50" s="119">
        <f si="2" t="shared"/>
        <v>0</v>
      </c>
      <c r="R50" s="54"/>
      <c r="S50" s="61" t="s">
        <v>197</v>
      </c>
      <c r="T50" s="19" t="s">
        <v>406</v>
      </c>
      <c r="U50" s="19" t="s">
        <v>448</v>
      </c>
      <c r="V50" s="19">
        <v>49</v>
      </c>
    </row>
    <row customHeight="1" ht="12.75" r="51" spans="1:22" x14ac:dyDescent="0.25">
      <c r="A51" s="22" t="s">
        <v>70</v>
      </c>
      <c r="B51" s="16" t="s">
        <v>1022</v>
      </c>
      <c r="C51" s="20" t="s">
        <v>95</v>
      </c>
      <c r="D51" s="67" t="n">
        <v>43789.0</v>
      </c>
      <c r="E51" s="67" t="n">
        <v>43880.0</v>
      </c>
      <c r="F51" s="72" t="n">
        <v>923.04</v>
      </c>
      <c r="G51" s="69" t="n">
        <v>55.38</v>
      </c>
      <c r="H51" s="69" t="n">
        <v>11.08</v>
      </c>
      <c r="I51" s="70" t="n">
        <v>12.0</v>
      </c>
      <c r="J51" s="73" t="n">
        <v>838.58</v>
      </c>
      <c r="K51" s="71" t="n">
        <v>43861.63055555556</v>
      </c>
      <c r="L51" s="70"/>
      <c r="M51" s="103" t="str">
        <f si="1" t="shared"/>
        <v/>
      </c>
      <c r="N51" s="40" t="s">
        <v>6</v>
      </c>
      <c r="O51" s="72" t="n">
        <v>206.82</v>
      </c>
      <c r="P51" s="39">
        <f si="3" t="shared"/>
        <v>0</v>
      </c>
      <c r="Q51" s="119">
        <f si="2" t="shared"/>
        <v>0</v>
      </c>
      <c r="R51" s="129" t="s">
        <v>981</v>
      </c>
      <c r="S51" s="61" t="s">
        <v>396</v>
      </c>
      <c r="T51" s="19" t="s">
        <v>406</v>
      </c>
      <c r="U51" s="126" t="s">
        <v>449</v>
      </c>
      <c r="V51" s="126">
        <v>53</v>
      </c>
    </row>
    <row customHeight="1" ht="12.75" r="52" spans="1:22" x14ac:dyDescent="0.2">
      <c r="A52" s="22" t="s">
        <v>71</v>
      </c>
      <c r="B52" s="16" t="s">
        <v>1023</v>
      </c>
      <c r="C52" s="20" t="s">
        <v>568</v>
      </c>
      <c r="D52" s="67" t="n">
        <v>43836.0</v>
      </c>
      <c r="E52" s="67" t="n">
        <v>43866.0</v>
      </c>
      <c r="F52" s="68" t="n">
        <v>500.0</v>
      </c>
      <c r="G52" s="69" t="n">
        <v>30.0</v>
      </c>
      <c r="H52" s="69" t="n">
        <v>6.0</v>
      </c>
      <c r="I52" s="70" t="n">
        <v>6.0</v>
      </c>
      <c r="J52" s="73" t="n">
        <v>458.0</v>
      </c>
      <c r="K52" s="71" t="n">
        <v>43836.498611111114</v>
      </c>
      <c r="L52" s="70"/>
      <c r="M52" s="103" t="str">
        <f si="1" t="shared"/>
        <v/>
      </c>
      <c r="N52" s="40" t="s">
        <v>6</v>
      </c>
      <c r="O52" s="68" t="n">
        <v>260.98</v>
      </c>
      <c r="P52" s="39">
        <f si="3" t="shared"/>
        <v>0</v>
      </c>
      <c r="Q52" s="119">
        <f si="2" t="shared"/>
        <v>0</v>
      </c>
      <c r="R52" s="52"/>
      <c r="S52" s="61" t="s">
        <v>197</v>
      </c>
      <c r="T52" s="19" t="s">
        <v>406</v>
      </c>
      <c r="U52" s="19" t="s">
        <v>450</v>
      </c>
      <c r="V52" s="19">
        <v>54</v>
      </c>
    </row>
    <row customHeight="1" ht="12.75" r="53" spans="1:22" x14ac:dyDescent="0.25">
      <c r="A53" s="22" t="s">
        <v>72</v>
      </c>
      <c r="B53" s="16" t="s">
        <v>1024</v>
      </c>
      <c r="C53" s="20" t="s">
        <v>95</v>
      </c>
      <c r="D53" s="67" t="n">
        <v>43818.0</v>
      </c>
      <c r="E53" s="67" t="n">
        <v>43879.0</v>
      </c>
      <c r="F53" s="72" t="n">
        <v>461.52</v>
      </c>
      <c r="G53" s="69" t="n">
        <v>27.7</v>
      </c>
      <c r="H53" s="69" t="n">
        <v>5.54</v>
      </c>
      <c r="I53" s="70" t="n">
        <v>6.0</v>
      </c>
      <c r="J53" s="73" t="n">
        <v>422.28</v>
      </c>
      <c r="K53" s="71" t="n">
        <v>43844.683333333334</v>
      </c>
      <c r="L53" s="70"/>
      <c r="M53" s="103" t="str">
        <f si="1" t="shared"/>
        <v/>
      </c>
      <c r="N53" s="40" t="s">
        <v>6</v>
      </c>
      <c r="O53" s="72" t="n">
        <v>213.98</v>
      </c>
      <c r="P53" s="39">
        <f si="3" t="shared"/>
        <v>0</v>
      </c>
      <c r="Q53" s="119">
        <f si="2" t="shared"/>
        <v>0</v>
      </c>
      <c r="R53" s="40"/>
      <c r="S53" s="61" t="s">
        <v>396</v>
      </c>
      <c r="T53" s="19" t="s">
        <v>406</v>
      </c>
      <c r="U53" s="125" t="s">
        <v>451</v>
      </c>
      <c r="V53" s="125">
        <v>55</v>
      </c>
    </row>
    <row customHeight="1" ht="12.75" r="54" spans="1:22" x14ac:dyDescent="0.2">
      <c r="A54" s="165"/>
      <c r="B54" s="37"/>
      <c r="C54" s="38"/>
      <c r="D54" s="67"/>
      <c r="E54" s="67"/>
      <c r="F54" s="68"/>
      <c r="G54" s="69"/>
      <c r="H54" s="69"/>
      <c r="I54" s="70"/>
      <c r="J54" s="73"/>
      <c r="K54" s="71"/>
      <c r="L54" s="70"/>
      <c r="M54" s="103" t="str">
        <f si="1" t="shared"/>
        <v/>
      </c>
      <c r="N54" s="40"/>
      <c r="O54" s="68"/>
      <c r="P54" s="39">
        <f si="3" t="shared"/>
        <v>0</v>
      </c>
      <c r="Q54" s="119">
        <f si="2" t="shared"/>
        <v>0</v>
      </c>
      <c r="R54" s="40"/>
      <c r="S54" s="2" t="s">
        <v>399</v>
      </c>
      <c r="T54" s="63"/>
      <c r="U54" s="63"/>
      <c r="V54" s="63">
        <v>61</v>
      </c>
    </row>
    <row customHeight="1" ht="12.75" r="55" spans="1:22" x14ac:dyDescent="0.2">
      <c r="A55" s="172" t="s">
        <v>73</v>
      </c>
      <c r="B55" s="16" t="s">
        <v>1025</v>
      </c>
      <c r="C55" s="20" t="s">
        <v>130</v>
      </c>
      <c r="D55" s="67" t="n">
        <v>43860.0</v>
      </c>
      <c r="E55" s="67" t="n">
        <v>43890.0</v>
      </c>
      <c r="F55" s="68" t="n">
        <v>675.0</v>
      </c>
      <c r="G55" s="69"/>
      <c r="H55" s="69"/>
      <c r="I55" s="70"/>
      <c r="J55" s="73" t="n">
        <v>675.0</v>
      </c>
      <c r="K55" s="71" t="n">
        <v>43857.0</v>
      </c>
      <c r="L55" s="70"/>
      <c r="M55" s="103" t="str">
        <f si="1" t="shared"/>
        <v/>
      </c>
      <c r="N55" s="40" t="s">
        <v>6</v>
      </c>
      <c r="O55" s="68" t="n">
        <v>251.78</v>
      </c>
      <c r="P55" s="39">
        <f si="3" t="shared"/>
        <v>0</v>
      </c>
      <c r="Q55" s="119">
        <f si="2" t="shared"/>
        <v>0</v>
      </c>
      <c r="R55" s="50"/>
      <c r="S55" s="61" t="s">
        <v>197</v>
      </c>
      <c r="T55" s="19" t="s">
        <v>406</v>
      </c>
      <c r="U55" s="19" t="s">
        <v>452</v>
      </c>
      <c r="V55" s="19">
        <v>66</v>
      </c>
    </row>
    <row customHeight="1" ht="12.75" r="56" spans="1:22" x14ac:dyDescent="0.25">
      <c r="A56" s="170" t="s">
        <v>112</v>
      </c>
      <c r="B56" s="16" t="s">
        <v>1026</v>
      </c>
      <c r="C56" s="20" t="s">
        <v>130</v>
      </c>
      <c r="D56" s="67" t="n">
        <v>43845.0</v>
      </c>
      <c r="E56" s="67" t="n">
        <v>44026.0</v>
      </c>
      <c r="F56" s="72" t="n">
        <v>3738.0</v>
      </c>
      <c r="G56" s="69"/>
      <c r="H56" s="69"/>
      <c r="I56" s="70"/>
      <c r="J56" s="73" t="n">
        <v>3738.0</v>
      </c>
      <c r="K56" s="71" t="n">
        <v>43859.0</v>
      </c>
      <c r="L56" s="70" t="n">
        <v>640.0</v>
      </c>
      <c r="M56" s="103" t="str">
        <f si="1" t="shared"/>
        <v/>
      </c>
      <c r="N56" s="40" t="s">
        <v>202</v>
      </c>
      <c r="O56" s="72" t="n">
        <v>206.82</v>
      </c>
      <c r="P56" s="39">
        <f si="3" t="shared"/>
        <v>0</v>
      </c>
      <c r="Q56" s="119">
        <f si="2" t="shared"/>
        <v>0</v>
      </c>
      <c r="R56" s="40"/>
      <c r="S56" s="61" t="s">
        <v>396</v>
      </c>
      <c r="T56" s="19" t="s">
        <v>406</v>
      </c>
      <c r="U56" s="126" t="s">
        <v>453</v>
      </c>
      <c r="V56" s="126">
        <v>67</v>
      </c>
    </row>
    <row customHeight="1" ht="12.75" r="57" spans="1:22" x14ac:dyDescent="0.2">
      <c r="A57" s="22" t="s">
        <v>115</v>
      </c>
      <c r="B57" s="16" t="s">
        <v>1027</v>
      </c>
      <c r="C57" s="20" t="s">
        <v>95</v>
      </c>
      <c r="D57" s="67" t="n">
        <v>43842.0</v>
      </c>
      <c r="E57" s="67" t="n">
        <v>43872.0</v>
      </c>
      <c r="F57" s="68" t="n">
        <v>500.0</v>
      </c>
      <c r="G57" s="69" t="n">
        <v>30.0</v>
      </c>
      <c r="H57" s="69" t="n">
        <v>6.0</v>
      </c>
      <c r="I57" s="70" t="n">
        <v>6.0</v>
      </c>
      <c r="J57" s="73" t="n">
        <v>458.0</v>
      </c>
      <c r="K57" s="71" t="n">
        <v>43843.57708333333</v>
      </c>
      <c r="L57" s="70"/>
      <c r="M57" s="103" t="str">
        <f si="1" t="shared"/>
        <v/>
      </c>
      <c r="N57" s="40" t="s">
        <v>6</v>
      </c>
      <c r="O57" s="68" t="n">
        <v>221.36</v>
      </c>
      <c r="P57" s="39">
        <f si="3" t="shared"/>
        <v>0</v>
      </c>
      <c r="Q57" s="119">
        <f si="2" t="shared"/>
        <v>0</v>
      </c>
      <c r="R57" s="40"/>
      <c r="S57" s="61" t="s">
        <v>197</v>
      </c>
      <c r="T57" s="19" t="s">
        <v>412</v>
      </c>
      <c r="U57" s="19" t="s">
        <v>454</v>
      </c>
      <c r="V57" s="19">
        <v>63</v>
      </c>
    </row>
    <row ht="15" r="58" spans="1:22" x14ac:dyDescent="0.25">
      <c r="A58" s="171" t="s">
        <v>117</v>
      </c>
      <c r="B58" s="16" t="s">
        <v>984</v>
      </c>
      <c r="C58" s="20"/>
      <c r="D58" s="67"/>
      <c r="E58" s="67"/>
      <c r="F58" s="72"/>
      <c r="G58" s="69"/>
      <c r="H58" s="69"/>
      <c r="I58" s="70"/>
      <c r="J58" s="73"/>
      <c r="K58" s="71"/>
      <c r="L58" s="70"/>
      <c r="M58" s="103" t="str">
        <f si="1" t="shared"/>
        <v/>
      </c>
      <c r="N58" s="40" t="s">
        <v>259</v>
      </c>
      <c r="O58" s="72" t="n">
        <v>206.77</v>
      </c>
      <c r="P58" s="39">
        <f si="3" t="shared"/>
        <v>0</v>
      </c>
      <c r="Q58" s="119">
        <f si="2" t="shared"/>
        <v>0</v>
      </c>
      <c r="R58" s="129" t="s">
        <v>982</v>
      </c>
      <c r="S58" s="61" t="s">
        <v>396</v>
      </c>
      <c r="T58" s="19" t="s">
        <v>406</v>
      </c>
      <c r="U58" s="125" t="s">
        <v>455</v>
      </c>
      <c r="V58" s="125">
        <v>68</v>
      </c>
    </row>
    <row customHeight="1" ht="12.75" r="59" spans="1:22" x14ac:dyDescent="0.2">
      <c r="A59" s="22" t="s">
        <v>74</v>
      </c>
      <c r="B59" s="16" t="s">
        <v>1028</v>
      </c>
      <c r="C59" s="20" t="s">
        <v>568</v>
      </c>
      <c r="D59" s="67" t="n">
        <v>43842.0</v>
      </c>
      <c r="E59" s="67" t="n">
        <v>43872.0</v>
      </c>
      <c r="F59" s="68" t="n">
        <v>550.0</v>
      </c>
      <c r="G59" s="69" t="n">
        <v>33.0</v>
      </c>
      <c r="H59" s="69" t="n">
        <v>6.6</v>
      </c>
      <c r="I59" s="70" t="n">
        <v>6.0</v>
      </c>
      <c r="J59" s="73" t="n">
        <v>504.4</v>
      </c>
      <c r="K59" s="71" t="n">
        <v>43844.683333333334</v>
      </c>
      <c r="L59" s="70"/>
      <c r="M59" s="103" t="str">
        <f si="1" t="shared"/>
        <v/>
      </c>
      <c r="N59" s="40" t="s">
        <v>6</v>
      </c>
      <c r="O59" s="68" t="n">
        <v>206.93</v>
      </c>
      <c r="P59" s="39">
        <f si="3" t="shared"/>
        <v>0</v>
      </c>
      <c r="Q59" s="119">
        <f si="2" t="shared"/>
        <v>0</v>
      </c>
      <c r="R59" s="40"/>
      <c r="S59" s="61" t="s">
        <v>197</v>
      </c>
      <c r="T59" s="19" t="s">
        <v>406</v>
      </c>
      <c r="U59" s="19" t="s">
        <v>456</v>
      </c>
      <c r="V59" s="19">
        <v>64</v>
      </c>
    </row>
    <row customHeight="1" ht="12.75" r="60" spans="1:22" x14ac:dyDescent="0.25">
      <c r="A60" s="22" t="s">
        <v>118</v>
      </c>
      <c r="B60" s="16" t="s">
        <v>1029</v>
      </c>
      <c r="C60" s="20" t="s">
        <v>95</v>
      </c>
      <c r="D60" s="67" t="n">
        <v>43818.0</v>
      </c>
      <c r="E60" s="67" t="n">
        <v>43879.0</v>
      </c>
      <c r="F60" s="72" t="n">
        <v>466.16</v>
      </c>
      <c r="G60" s="69" t="n">
        <v>27.98</v>
      </c>
      <c r="H60" s="69" t="n">
        <v>5.59</v>
      </c>
      <c r="I60" s="70" t="n">
        <v>6.0</v>
      </c>
      <c r="J60" s="73" t="n">
        <v>426.59</v>
      </c>
      <c r="K60" s="71" t="n">
        <v>43844.683333333334</v>
      </c>
      <c r="L60" s="70"/>
      <c r="M60" s="103" t="str">
        <f si="1" t="shared"/>
        <v/>
      </c>
      <c r="N60" s="40" t="s">
        <v>6</v>
      </c>
      <c r="O60" s="72" t="n">
        <v>206.77</v>
      </c>
      <c r="P60" s="39">
        <f si="3" t="shared"/>
        <v>0</v>
      </c>
      <c r="Q60" s="119">
        <f si="2" t="shared"/>
        <v>0</v>
      </c>
      <c r="R60" s="40"/>
      <c r="S60" s="61" t="s">
        <v>396</v>
      </c>
      <c r="T60" s="19" t="s">
        <v>406</v>
      </c>
      <c r="U60" s="125" t="s">
        <v>457</v>
      </c>
      <c r="V60" s="125">
        <v>71</v>
      </c>
    </row>
    <row customHeight="1" ht="12.75" r="61" spans="1:22" x14ac:dyDescent="0.2">
      <c r="A61" s="22" t="s">
        <v>119</v>
      </c>
      <c r="B61" s="16" t="s">
        <v>1030</v>
      </c>
      <c r="C61" s="33" t="s">
        <v>568</v>
      </c>
      <c r="D61" s="67" t="n">
        <v>43858.0</v>
      </c>
      <c r="E61" s="67" t="n">
        <v>43888.0</v>
      </c>
      <c r="F61" s="68" t="n">
        <v>550.0</v>
      </c>
      <c r="G61" s="69" t="n">
        <v>33.0</v>
      </c>
      <c r="H61" s="69" t="n">
        <v>6.6</v>
      </c>
      <c r="I61" s="70" t="n">
        <v>6.0</v>
      </c>
      <c r="J61" s="73" t="n">
        <v>504.4</v>
      </c>
      <c r="K61" s="71" t="n">
        <v>43858.65</v>
      </c>
      <c r="L61" s="70" t="n">
        <v>1749.38</v>
      </c>
      <c r="M61" s="103" t="str">
        <f si="1" t="shared"/>
        <v/>
      </c>
      <c r="N61" s="40" t="s">
        <v>6</v>
      </c>
      <c r="O61" s="68" t="n">
        <v>251.96</v>
      </c>
      <c r="P61" s="39">
        <f si="3" t="shared"/>
        <v>0</v>
      </c>
      <c r="Q61" s="119">
        <f si="2" t="shared"/>
        <v>0</v>
      </c>
      <c r="R61" s="40"/>
      <c r="S61" s="61" t="s">
        <v>197</v>
      </c>
      <c r="T61" s="19" t="s">
        <v>406</v>
      </c>
      <c r="U61" s="19" t="s">
        <v>458</v>
      </c>
      <c r="V61" s="19">
        <v>70</v>
      </c>
    </row>
    <row customHeight="1" ht="12.75" r="62" spans="1:22" x14ac:dyDescent="0.25">
      <c r="A62" s="22" t="s">
        <v>75</v>
      </c>
      <c r="B62" s="16" t="s">
        <v>984</v>
      </c>
      <c r="C62" s="20"/>
      <c r="D62" s="67"/>
      <c r="E62" s="67"/>
      <c r="F62" s="72"/>
      <c r="G62" s="69"/>
      <c r="H62" s="69"/>
      <c r="I62" s="70"/>
      <c r="J62" s="73"/>
      <c r="K62" s="71"/>
      <c r="L62" s="70"/>
      <c r="M62" s="103" t="str">
        <f si="1" t="shared"/>
        <v/>
      </c>
      <c r="N62" s="40" t="s">
        <v>6</v>
      </c>
      <c r="O62" s="72" t="n">
        <v>213.98</v>
      </c>
      <c r="P62" s="39">
        <f si="3" t="shared"/>
        <v>0</v>
      </c>
      <c r="Q62" s="119">
        <f si="2" t="shared"/>
        <v>0</v>
      </c>
      <c r="R62" s="40" t="s">
        <v>983</v>
      </c>
      <c r="S62" s="61" t="s">
        <v>396</v>
      </c>
      <c r="T62" s="19" t="s">
        <v>406</v>
      </c>
      <c r="U62" s="125" t="s">
        <v>459</v>
      </c>
      <c r="V62" s="125">
        <v>65</v>
      </c>
    </row>
    <row customHeight="1" ht="12.75" r="63" spans="1:22" x14ac:dyDescent="0.2">
      <c r="A63" s="23"/>
      <c r="B63" s="21"/>
      <c r="C63" s="13"/>
      <c r="D63" s="74"/>
      <c r="E63" s="74"/>
      <c r="F63" s="75"/>
      <c r="G63" s="76"/>
      <c r="H63" s="76"/>
      <c r="I63" s="77"/>
      <c r="J63" s="81"/>
      <c r="K63" s="79"/>
      <c r="L63" s="77"/>
      <c r="M63" s="104" t="str">
        <f si="1" t="shared"/>
        <v/>
      </c>
      <c r="N63" s="44"/>
      <c r="O63" s="75"/>
      <c r="P63" s="102">
        <f si="3" t="shared"/>
        <v>0</v>
      </c>
      <c r="Q63" s="120">
        <f si="2" t="shared"/>
        <v>0</v>
      </c>
      <c r="R63" s="44"/>
      <c r="S63" s="64"/>
      <c r="T63" s="32"/>
      <c r="U63" s="32"/>
      <c r="V63" s="32"/>
    </row>
    <row r="64" spans="1:22" x14ac:dyDescent="0.2">
      <c r="F64" s="10"/>
      <c r="G64" s="10"/>
      <c r="H64" s="10"/>
      <c r="I64" s="10"/>
      <c r="J64" s="10"/>
    </row>
    <row ht="15" r="65" spans="1:18" thickBot="1" x14ac:dyDescent="0.25">
      <c r="A65" s="167"/>
      <c r="B65" s="168" t="s">
        <v>670</v>
      </c>
      <c r="C65" s="11"/>
      <c r="E65" s="12" t="s">
        <v>19</v>
      </c>
      <c r="F65" s="35">
        <f>SUM(F9:F63)</f>
        <v>0</v>
      </c>
      <c r="G65" s="35">
        <f>SUM(G9:G63)</f>
        <v>0</v>
      </c>
      <c r="H65" s="35">
        <f>SUM(H9:H63)</f>
        <v>0</v>
      </c>
      <c r="I65" s="35">
        <f>SUM(I9:I63)</f>
        <v>0</v>
      </c>
      <c r="J65" s="35">
        <f>SUM(J9:J63)</f>
        <v>0</v>
      </c>
      <c r="K65" s="34"/>
      <c r="L65" s="35">
        <f>SUM(L9:L63)</f>
        <v>0</v>
      </c>
      <c r="M65" s="35">
        <f>SUM(M9:M63)</f>
        <v>0</v>
      </c>
      <c r="N65" s="34"/>
      <c r="O65" s="35">
        <f>SUM(O9:O63)</f>
        <v>0</v>
      </c>
      <c r="P65" s="35">
        <f>SUM(P9:P63)</f>
        <v>0</v>
      </c>
      <c r="R65" s="34"/>
    </row>
    <row ht="13.5" r="66" spans="1:18" thickTop="1" x14ac:dyDescent="0.2">
      <c r="A66" s="164"/>
      <c r="B66" s="169" t="s">
        <v>671</v>
      </c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R66" s="11"/>
    </row>
    <row r="67" spans="1:18" x14ac:dyDescent="0.2">
      <c r="A67" s="166"/>
      <c r="B67" s="169" t="s">
        <v>672</v>
      </c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R67" s="11"/>
    </row>
    <row r="68" spans="1:18" x14ac:dyDescent="0.2">
      <c r="A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R68" s="11"/>
    </row>
    <row r="69" spans="1:18" x14ac:dyDescent="0.2">
      <c r="A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R69" s="11"/>
    </row>
    <row r="70" spans="1:18" x14ac:dyDescent="0.2"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R70" s="11"/>
    </row>
    <row r="71" spans="1:18" x14ac:dyDescent="0.2"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R71" s="11"/>
    </row>
    <row r="72" spans="1:18" x14ac:dyDescent="0.2"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R72" s="11"/>
    </row>
    <row r="73" spans="1:18" x14ac:dyDescent="0.2"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R73" s="11"/>
    </row>
    <row r="74" spans="1:18" x14ac:dyDescent="0.2"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R74" s="11"/>
    </row>
    <row r="75" spans="1:18" x14ac:dyDescent="0.2"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R75" s="11"/>
    </row>
    <row r="76" spans="1:18" x14ac:dyDescent="0.2"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R76" s="11"/>
    </row>
    <row r="77" spans="1:18" x14ac:dyDescent="0.2"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R77" s="11"/>
    </row>
    <row r="78" spans="1:18" x14ac:dyDescent="0.2"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R78" s="11"/>
    </row>
    <row r="79" spans="1:18" x14ac:dyDescent="0.2"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R79" s="11"/>
    </row>
    <row r="80" spans="1:18" x14ac:dyDescent="0.2"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R80" s="11"/>
    </row>
    <row r="81" spans="1:18" x14ac:dyDescent="0.2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R81" s="11"/>
    </row>
    <row r="82" spans="1:18" x14ac:dyDescent="0.2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R82" s="11"/>
    </row>
    <row r="83" spans="1:18" x14ac:dyDescent="0.2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R83" s="11"/>
    </row>
    <row r="90" spans="1:18" x14ac:dyDescent="0.2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R90" s="11"/>
    </row>
    <row r="91" spans="1:18" x14ac:dyDescent="0.2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R91" s="11"/>
    </row>
    <row r="92" spans="1:18" x14ac:dyDescent="0.2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R92" s="11"/>
    </row>
    <row r="93" spans="1:18" x14ac:dyDescent="0.2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R93" s="11"/>
    </row>
    <row r="94" spans="1:18" x14ac:dyDescent="0.2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R94" s="11"/>
    </row>
    <row r="65532" spans="17:17" x14ac:dyDescent="0.2">
      <c r="Q65532" s="15">
        <v>40611</v>
      </c>
    </row>
  </sheetData>
  <autoFilter ref="B7:U63" xr:uid="{00000000-0009-0000-0000-000000000000}"/>
  <phoneticPr fontId="0" type="noConversion"/>
  <conditionalFormatting sqref="J12">
    <cfRule dxfId="19" priority="21" stopIfTrue="1" type="expression">
      <formula>J12&lt;&gt;(F12-G12-H12-I12)</formula>
    </cfRule>
  </conditionalFormatting>
  <conditionalFormatting sqref="J11">
    <cfRule dxfId="18" priority="19" stopIfTrue="1" type="expression">
      <formula>J11&lt;&gt;(F11-G11-H11-I11)</formula>
    </cfRule>
  </conditionalFormatting>
  <conditionalFormatting sqref="J10">
    <cfRule dxfId="17" priority="18" stopIfTrue="1" type="expression">
      <formula>J10&lt;&gt;(F10-G10-H10-I10)</formula>
    </cfRule>
  </conditionalFormatting>
  <conditionalFormatting sqref="J11:J28 J30:J31 J33:J36 J38:J41 J45 J47 J49:J50 J52 J54:J55 J57 J59 J61 J63">
    <cfRule dxfId="16" priority="17" stopIfTrue="1" type="expression">
      <formula>J11&lt;&gt;(F11-G11-H11-I11)</formula>
    </cfRule>
  </conditionalFormatting>
  <conditionalFormatting sqref="J9">
    <cfRule dxfId="15" priority="16" stopIfTrue="1" type="expression">
      <formula>J9&lt;&gt;(F9-G9-H9-I9)</formula>
    </cfRule>
  </conditionalFormatting>
  <conditionalFormatting sqref="O9">
    <cfRule dxfId="14" priority="15" type="expression">
      <formula>AND($J$9&lt;&gt;"",$O$9="")</formula>
    </cfRule>
  </conditionalFormatting>
  <conditionalFormatting sqref="J29">
    <cfRule dxfId="13" priority="14" stopIfTrue="1" type="expression">
      <formula>J29&lt;&gt;(F29-G29-H29-I29)</formula>
    </cfRule>
  </conditionalFormatting>
  <conditionalFormatting sqref="J32">
    <cfRule dxfId="12" priority="13" stopIfTrue="1" type="expression">
      <formula>J32&lt;&gt;(F32-G32-H32-I32)</formula>
    </cfRule>
  </conditionalFormatting>
  <conditionalFormatting sqref="J37">
    <cfRule dxfId="11" priority="12" stopIfTrue="1" type="expression">
      <formula>J37&lt;&gt;(F37-G37-H37-I37)</formula>
    </cfRule>
  </conditionalFormatting>
  <conditionalFormatting sqref="J42">
    <cfRule dxfId="10" priority="11" stopIfTrue="1" type="expression">
      <formula>J42&lt;&gt;(F42-G42-H42-I42)</formula>
    </cfRule>
  </conditionalFormatting>
  <conditionalFormatting sqref="J43">
    <cfRule dxfId="9" priority="10" stopIfTrue="1" type="expression">
      <formula>J43&lt;&gt;(F43-G43-H43-I43)</formula>
    </cfRule>
  </conditionalFormatting>
  <conditionalFormatting sqref="J44">
    <cfRule dxfId="8" priority="9" stopIfTrue="1" type="expression">
      <formula>J44&lt;&gt;(F44-G44-H44-I44)</formula>
    </cfRule>
  </conditionalFormatting>
  <conditionalFormatting sqref="J46">
    <cfRule dxfId="7" priority="8" stopIfTrue="1" type="expression">
      <formula>J46&lt;&gt;(F46-G46-H46-I46)</formula>
    </cfRule>
  </conditionalFormatting>
  <conditionalFormatting sqref="J48">
    <cfRule dxfId="6" priority="7" stopIfTrue="1" type="expression">
      <formula>J48&lt;&gt;(F48-G48-H48-I48)</formula>
    </cfRule>
  </conditionalFormatting>
  <conditionalFormatting sqref="J51">
    <cfRule dxfId="5" priority="6" stopIfTrue="1" type="expression">
      <formula>J51&lt;&gt;(F51-G51-H51-I51)</formula>
    </cfRule>
  </conditionalFormatting>
  <conditionalFormatting sqref="J53">
    <cfRule dxfId="4" priority="5" stopIfTrue="1" type="expression">
      <formula>J53&lt;&gt;(F53-G53-H53-I53)</formula>
    </cfRule>
  </conditionalFormatting>
  <conditionalFormatting sqref="J56">
    <cfRule dxfId="3" priority="4" stopIfTrue="1" type="expression">
      <formula>J56&lt;&gt;(F56-G56-H56-I56)</formula>
    </cfRule>
  </conditionalFormatting>
  <conditionalFormatting sqref="J58">
    <cfRule dxfId="2" priority="3" stopIfTrue="1" type="expression">
      <formula>J58&lt;&gt;(F58-G58-H58-I58)</formula>
    </cfRule>
  </conditionalFormatting>
  <conditionalFormatting sqref="J60">
    <cfRule dxfId="1" priority="2" stopIfTrue="1" type="expression">
      <formula>J60&lt;&gt;(F60-G60-H60-I60)</formula>
    </cfRule>
  </conditionalFormatting>
  <conditionalFormatting sqref="J62">
    <cfRule dxfId="0" priority="1" stopIfTrue="1" type="expression">
      <formula>J62&lt;&gt;(F62-G62-H62-I62)</formula>
    </cfRule>
  </conditionalFormatting>
  <dataValidations count="7" xWindow="150" yWindow="804">
    <dataValidation allowBlank="1" showErrorMessage="1" showInputMessage="1" sqref="A9:A63" type="list" xr:uid="{00000000-0002-0000-0000-000000000000}">
      <formula1>IF(B9="",PropertyList,INDEX(PropertyList,MATCH(B9,TenancyList,0)))</formula1>
    </dataValidation>
    <dataValidation allowBlank="1" showErrorMessage="1" showInputMessage="1" sqref="B9:B63" type="list" xr:uid="{00000000-0002-0000-0000-000001000000}">
      <formula1>OFFSET(TenancyPropertyListStart,MATCH(A9,TenancyPropertyList,0)-1,27,COUNTIF(TenancyPropertyList,A9),1)</formula1>
    </dataValidation>
    <dataValidation allowBlank="1" operator="greaterThanOrEqual" showErrorMessage="1" showInputMessage="1" sqref="E37:E38 E40:E43 F37:F43 E9:F36 E44:F63 Q9:Q63" type="decimal" xr:uid="{00000000-0002-0000-0000-000002000000}">
      <formula1>0</formula1>
    </dataValidation>
    <dataValidation allowBlank="1" error="Please enter a date (in format: dd/mm/yyyy)" errorTitle="Invaid Date" operator="greaterThanOrEqual" showErrorMessage="1" sqref="E39 D9:D63 K9:L63" type="date" xr:uid="{00000000-0002-0000-0000-000003000000}">
      <formula1>1</formula1>
    </dataValidation>
    <dataValidation allowBlank="1" operator="greaterThanOrEqual" showErrorMessage="1" showInputMessage="1" sqref="G9:J63" xr:uid="{00000000-0002-0000-0000-000004000000}"/>
    <dataValidation allowBlank="1" showErrorMessage="1" showInputMessage="1" sqref="N9:N63" type="list" xr:uid="{00000000-0002-0000-0000-000005000000}">
      <formula1>PropertyStatusList</formula1>
    </dataValidation>
    <dataValidation allowBlank="1" operator="greaterThanOrEqual" showErrorMessage="1" showInputMessage="1" sqref="B3" type="date" xr:uid="{00000000-0002-0000-0000-000006000000}">
      <formula1>36161</formula1>
    </dataValidation>
  </dataValidations>
  <pageMargins bottom="1" footer="0.5" header="0.5" left="0.75" right="0.75" top="1"/>
  <pageSetup horizontalDpi="4294967293" orientation="landscape" paperSize="9" r:id="rId1" scale="39" verticalDpi="200"/>
  <headerFooter alignWithMargins="0"/>
  <ignoredErrors>
    <ignoredError sqref="Q9:Q63" unlockedFormula="1"/>
  </ignoredErrors>
  <legacy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/>
  <dimension ref="A1:Q55"/>
  <sheetViews>
    <sheetView workbookViewId="0" zoomScale="85" zoomScaleNormal="85">
      <selection activeCell="B20" sqref="B20"/>
    </sheetView>
  </sheetViews>
  <sheetFormatPr defaultRowHeight="12.75" x14ac:dyDescent="0.2"/>
  <cols>
    <col min="1" max="1" bestFit="true" customWidth="true" width="35.85546875" collapsed="false"/>
    <col min="2" max="2" customWidth="true" width="12.140625" collapsed="false"/>
    <col min="3" max="3" bestFit="true" customWidth="true" width="11.7109375" collapsed="false"/>
    <col min="4" max="4" bestFit="true" customWidth="true" width="8.42578125" collapsed="false"/>
    <col min="5" max="5" customWidth="true" width="13.42578125" collapsed="false"/>
    <col min="6" max="6" bestFit="true" customWidth="true" width="11.7109375" collapsed="false"/>
    <col min="7" max="7" customWidth="true" width="8.0" collapsed="false"/>
    <col min="8" max="8" customWidth="true" width="12.85546875" collapsed="false"/>
    <col min="9" max="9" customWidth="true" width="13.0" collapsed="false"/>
  </cols>
  <sheetData>
    <row ht="15" r="1" spans="1:9" x14ac:dyDescent="0.25">
      <c r="A1" s="85" t="s">
        <v>520</v>
      </c>
      <c r="B1" s="85"/>
    </row>
    <row ht="15" r="2" spans="1:9" x14ac:dyDescent="0.25">
      <c r="A2" s="85"/>
      <c r="B2" s="85"/>
    </row>
    <row r="3" spans="1:9" x14ac:dyDescent="0.2">
      <c r="E3" t="s">
        <v>400</v>
      </c>
      <c r="H3" t="s">
        <v>401</v>
      </c>
    </row>
    <row r="4" spans="1:9" x14ac:dyDescent="0.2">
      <c r="A4" s="42" t="s">
        <v>218</v>
      </c>
      <c r="B4" s="59" t="s">
        <v>217</v>
      </c>
      <c r="C4" s="59" t="s">
        <v>216</v>
      </c>
      <c r="D4" s="60"/>
      <c r="E4" s="59" t="s">
        <v>217</v>
      </c>
      <c r="F4" s="59" t="s">
        <v>216</v>
      </c>
      <c r="G4" s="60"/>
      <c r="H4" s="59" t="s">
        <v>217</v>
      </c>
      <c r="I4" s="59" t="s">
        <v>216</v>
      </c>
    </row>
    <row r="5" spans="1:9" x14ac:dyDescent="0.2">
      <c r="A5" t="s">
        <v>215</v>
      </c>
      <c r="B5" s="34">
        <f>SUM('Rent Statement'!F9:F63)</f>
        <v>0</v>
      </c>
      <c r="E5" s="34">
        <f>SUMIF('Rent Statement'!S9:S63,"=Mathew Tucker", 'Rent Statement'!F9:F63)</f>
        <v>0</v>
      </c>
      <c r="H5" s="34">
        <f>SUMIF('Rent Statement'!S9:S63,"Ivana Valentino", 'Rent Statement'!F9:F63)</f>
        <v>0</v>
      </c>
    </row>
    <row r="6" spans="1:9" x14ac:dyDescent="0.2">
      <c r="A6" t="s">
        <v>214</v>
      </c>
      <c r="C6" s="45">
        <f>-SUM('Rent Statement'!O9:O63)</f>
        <v>0</v>
      </c>
      <c r="F6" s="45">
        <f>-SUMIF('Rent Statement'!S9:S63,"Mathew Tucker",'Rent Statement'!O9:O63)</f>
        <v>0</v>
      </c>
      <c r="I6" s="45">
        <f>-SUMIF('Rent Statement'!S9:S63,"Ivana Valentino",'Rent Statement'!O9:O63)</f>
        <v>0</v>
      </c>
    </row>
    <row r="7" spans="1:9" x14ac:dyDescent="0.2">
      <c r="A7" t="s">
        <v>213</v>
      </c>
      <c r="C7" s="45">
        <f>-SUM('Rent Statement'!G9:G63)</f>
        <v>0</v>
      </c>
      <c r="F7" s="45">
        <f>-SUMIF('Rent Statement'!S9:S63,"Mathew Tucker",'Rent Statement'!G9:G63)</f>
        <v>0</v>
      </c>
      <c r="I7" s="45">
        <f>-SUMIF('Rent Statement'!S9:S63,"Ivana Valentino",'Rent Statement'!G9:G63)</f>
        <v>0</v>
      </c>
    </row>
    <row r="8" spans="1:9" x14ac:dyDescent="0.2">
      <c r="A8" t="s">
        <v>212</v>
      </c>
      <c r="C8" s="45">
        <f>-SUM('Rent Statement'!H9:H63)</f>
        <v>0</v>
      </c>
      <c r="F8" s="45">
        <f>-SUMIF('Rent Statement'!S9:S63,"Mathew Tucker",'Rent Statement'!H9:H63)</f>
        <v>0</v>
      </c>
      <c r="I8" s="45">
        <f>-SUMIF('Rent Statement'!S9:S63,"Ivana Valentino",'Rent Statement'!H9:H63)</f>
        <v>0</v>
      </c>
    </row>
    <row r="9" spans="1:9" x14ac:dyDescent="0.2">
      <c r="A9" t="s">
        <v>211</v>
      </c>
      <c r="C9" s="45">
        <f>-SUM('Rent Statement'!I9:I63)-SUM('Rent Statement'!L9:L63)</f>
        <v>0</v>
      </c>
      <c r="F9" s="45">
        <f>-SUMIF('Rent Statement'!S9:S63,"Mathew Tucker",'Rent Statement'!I9:I63)-SUMIF('Rent Statement'!S9:S63,"Mathew Tucker",'Rent Statement'!L9:L63)</f>
        <v>0</v>
      </c>
      <c r="I9" s="45">
        <f>-SUMIF('Rent Statement'!S9:S63,"Ivana Valentino",'Rent Statement'!I9:I63)-SUMIF('Rent Statement'!S9:S63,"Ivana Valentino",'Rent Statement'!L9:L63)</f>
        <v>0</v>
      </c>
    </row>
    <row r="10" spans="1:9" x14ac:dyDescent="0.2">
      <c r="A10" s="46" t="s">
        <v>402</v>
      </c>
      <c r="C10" s="45"/>
      <c r="F10" s="45">
        <f>-((SUMIF('Rent Statement'!S9:S63,"Mathew Tucker/Ivana Valentino",'Rent Statement'!I9:I63)/3)*2)-(SUMIF('Rent Statement'!S9:S63,"Lordswood Estates",'Rent Statement'!I9:I63)/2)</f>
        <v>0</v>
      </c>
      <c r="I10" s="45">
        <f>-((SUMIF('Rent Statement'!S9:S63,"Mathew Tucker/Ivana Valentino",'Rent Statement'!I9:I63)/3)*1)-(SUMIF('Rent Statement'!S9:S63,"Lordswood Estates",'Rent Statement'!I9:I63)/2)</f>
        <v>0</v>
      </c>
    </row>
    <row r="11" spans="1:9" x14ac:dyDescent="0.2">
      <c r="B11" s="34"/>
    </row>
    <row ht="13.5" r="12" spans="1:9" thickBot="1" x14ac:dyDescent="0.25">
      <c r="A12" t="s">
        <v>210</v>
      </c>
      <c r="B12" s="35">
        <f>B5+SUM(C6:C9)</f>
        <v>0</v>
      </c>
      <c r="D12" s="43"/>
      <c r="E12" s="110">
        <f>E5+SUM(F6:F10)</f>
        <v>0</v>
      </c>
      <c r="H12" s="110">
        <f>H5+SUM(I6:I10)</f>
        <v>0</v>
      </c>
    </row>
    <row ht="15.75" r="13" spans="1:9" thickTop="1" x14ac:dyDescent="0.25">
      <c r="A13" s="86"/>
      <c r="B13" s="86"/>
      <c r="C13" s="82"/>
      <c r="F13" s="82"/>
    </row>
    <row ht="30" r="14" spans="1:9" x14ac:dyDescent="0.25">
      <c r="A14" s="86"/>
      <c r="B14" s="87" t="s">
        <v>521</v>
      </c>
      <c r="C14" s="87" t="s">
        <v>522</v>
      </c>
      <c r="D14" s="88" t="s">
        <v>552</v>
      </c>
      <c r="E14" s="122" t="s">
        <v>521</v>
      </c>
      <c r="F14" s="89" t="s">
        <v>522</v>
      </c>
    </row>
    <row ht="15" r="15" spans="1:9" x14ac:dyDescent="0.25">
      <c r="A15" s="86" t="s">
        <v>523</v>
      </c>
      <c r="B15" s="83">
        <f>E12</f>
        <v>0</v>
      </c>
      <c r="C15" s="83">
        <f>H12</f>
        <v>0</v>
      </c>
      <c r="D15" s="90"/>
      <c r="E15" s="158">
        <v>0.5</v>
      </c>
      <c r="F15" s="159">
        <v>0.5</v>
      </c>
    </row>
    <row ht="15" r="16" spans="1:9" x14ac:dyDescent="0.25">
      <c r="A16" s="86"/>
      <c r="B16" s="91"/>
      <c r="C16" s="91"/>
      <c r="D16" s="92"/>
      <c r="E16" s="93"/>
      <c r="F16" s="94"/>
    </row>
    <row r="17" spans="1:17" x14ac:dyDescent="0.2">
      <c r="A17" t="s">
        <v>518</v>
      </c>
      <c r="B17" s="83">
        <f>EVAL("SUM(SUMIFS(MT_Amount, MT_BankRef," &amp;$H17&amp; "))")</f>
        <v>-5056.76</v>
      </c>
      <c r="C17" s="83">
        <f>EVAL("SUM(SUMIFS(IV_Amount, IV_BankRef," &amp;$H17&amp; "))")</f>
        <v>-4162.97</v>
      </c>
      <c r="D17" s="95"/>
      <c r="E17" s="96"/>
      <c r="F17" s="97"/>
      <c r="G17" s="46"/>
      <c r="H17" s="46" t="s">
        <v>564</v>
      </c>
    </row>
    <row r="18" spans="1:17" x14ac:dyDescent="0.2">
      <c r="A18" t="s">
        <v>25</v>
      </c>
      <c r="B18" s="83">
        <f>EVAL("SUM(SUMIFS(MT_Amount, MT_BankRef," &amp;$H18&amp; "))")</f>
        <v>9006.7999999999993</v>
      </c>
      <c r="C18" s="83">
        <f>EVAL("SUM(SUMIFS(IV_Amount, IV_BankRef," &amp;$H18&amp; "))")</f>
        <v>6641.04</v>
      </c>
      <c r="D18" s="95"/>
      <c r="E18" s="96"/>
      <c r="F18" s="97"/>
      <c r="H18" s="46" t="s">
        <v>519</v>
      </c>
    </row>
    <row r="19" spans="1:17" x14ac:dyDescent="0.2">
      <c r="B19" s="84">
        <f>SUM(B17:B18)</f>
        <v>3950.0399999999991</v>
      </c>
      <c r="C19" s="84">
        <f>SUM(C17:C18)</f>
        <v>2478.0699999999997</v>
      </c>
      <c r="D19" s="95"/>
      <c r="E19" s="96"/>
      <c r="F19" s="97"/>
    </row>
    <row ht="15" r="20" spans="1:17" x14ac:dyDescent="0.25">
      <c r="A20" s="86"/>
      <c r="B20" s="83"/>
      <c r="C20" s="83"/>
      <c r="D20" s="95"/>
      <c r="E20" s="96"/>
      <c r="F20" s="97"/>
      <c r="H20" s="86"/>
    </row>
    <row r="21" spans="1:17" x14ac:dyDescent="0.2">
      <c r="A21" t="s">
        <v>524</v>
      </c>
      <c r="B21" s="83">
        <f>EVAL("SUM(SUMIFS(MT_Amount, MT_BankRef," &amp;$H21&amp; "))")</f>
        <v>-550</v>
      </c>
      <c r="C21" s="83">
        <f>EVAL("SUM(SUMIFS(IV_Amount, IV_BankRef," &amp;$H21&amp; "))")</f>
        <v>-550</v>
      </c>
      <c r="D21" s="95"/>
      <c r="E21" s="96"/>
      <c r="F21" s="97"/>
      <c r="H21" t="s">
        <v>525</v>
      </c>
    </row>
    <row r="22" spans="1:17" x14ac:dyDescent="0.2">
      <c r="A22" s="82" t="s">
        <v>526</v>
      </c>
      <c r="B22" s="83">
        <f>EVAL("SUM(SUMIFS(MT_Amount, MT_BankRef," &amp;$H22&amp; "))")</f>
        <v>-50</v>
      </c>
      <c r="C22" s="83">
        <f>EVAL("SUM(SUMIFS(IV_Amount, IV_BankRef," &amp;$H22&amp; "))")</f>
        <v>-50</v>
      </c>
      <c r="D22" s="95"/>
      <c r="E22" s="96"/>
      <c r="F22" s="97"/>
      <c r="H22" s="82" t="s">
        <v>527</v>
      </c>
    </row>
    <row r="23" spans="1:17" x14ac:dyDescent="0.2">
      <c r="A23" s="82"/>
      <c r="B23" s="83"/>
      <c r="C23" s="83"/>
      <c r="D23" s="95"/>
      <c r="E23" s="96"/>
      <c r="F23" s="97"/>
      <c r="H23" s="82"/>
    </row>
    <row r="24" spans="1:17" x14ac:dyDescent="0.2">
      <c r="A24" s="82" t="s">
        <v>532</v>
      </c>
      <c r="B24" s="83">
        <f>EVAL("SUM(SUMIFS(MT_Amount, MT_BankRef," &amp;$H24&amp; "))")</f>
        <v>-64.599999999999994</v>
      </c>
      <c r="C24" s="83">
        <f>EVAL("SUM(SUMIFS(IV_Amount, IV_BankRef," &amp;$H24&amp; "))")</f>
        <v>0</v>
      </c>
      <c r="D24" s="95"/>
      <c r="E24" s="96">
        <f ref="E24:F26" si="0" t="shared">IFERROR(($D24)*E$15,"")</f>
        <v>0</v>
      </c>
      <c r="F24" s="97">
        <f si="0" t="shared"/>
        <v>0</v>
      </c>
      <c r="H24" s="82" t="s">
        <v>533</v>
      </c>
    </row>
    <row r="25" spans="1:17" x14ac:dyDescent="0.2">
      <c r="A25" s="82" t="s">
        <v>539</v>
      </c>
      <c r="B25" s="83">
        <f>EVAL("SUM(SUMIFS(MT_Amount, MT_BankRef," &amp;$H25&amp; "))")</f>
        <v>0</v>
      </c>
      <c r="C25" s="83">
        <f>EVAL("SUM(SUMIFS(IV_Amount, IV_BankRef," &amp;$H25&amp; "))")</f>
        <v>-33</v>
      </c>
      <c r="D25" s="95"/>
      <c r="E25" s="96">
        <f si="0" t="shared"/>
        <v>0</v>
      </c>
      <c r="F25" s="97">
        <f si="0" t="shared"/>
        <v>0</v>
      </c>
      <c r="H25" s="82" t="s">
        <v>540</v>
      </c>
    </row>
    <row r="26" spans="1:17" x14ac:dyDescent="0.2">
      <c r="A26" s="82" t="s">
        <v>541</v>
      </c>
      <c r="B26" s="83">
        <f>EVAL("SUM(SUMIFS(MT_Amount, MT_BankRef," &amp;$H26&amp; "))")</f>
        <v>0</v>
      </c>
      <c r="C26" s="83">
        <f>EVAL("SUM(SUMIFS(IV_Amount, IV_BankRef," &amp;$H26&amp; "))")</f>
        <v>0</v>
      </c>
      <c r="D26" s="95"/>
      <c r="E26" s="96">
        <f si="0" t="shared"/>
        <v>0</v>
      </c>
      <c r="F26" s="97">
        <f si="0" t="shared"/>
        <v>0</v>
      </c>
      <c r="H26" s="82" t="s">
        <v>542</v>
      </c>
    </row>
    <row r="27" spans="1:17" x14ac:dyDescent="0.2">
      <c r="A27" s="82"/>
      <c r="B27" s="83"/>
      <c r="C27" s="83"/>
      <c r="D27" s="95"/>
      <c r="E27" s="96"/>
      <c r="F27" s="97"/>
      <c r="H27" s="82"/>
    </row>
    <row r="28" spans="1:17" x14ac:dyDescent="0.2">
      <c r="A28" s="108" t="s">
        <v>555</v>
      </c>
      <c r="B28" s="83"/>
      <c r="C28" s="83"/>
      <c r="D28" s="95"/>
      <c r="E28" s="96"/>
      <c r="F28" s="97"/>
      <c r="H28" s="82"/>
    </row>
    <row r="29" spans="1:17" x14ac:dyDescent="0.2">
      <c r="A29" t="s">
        <v>528</v>
      </c>
      <c r="B29" s="111">
        <f>EVAL("SUM(SUMIFS(MT_Amount, MT_BankRef," &amp;$H29&amp; "))")</f>
        <v>-20</v>
      </c>
      <c r="C29" s="84">
        <f>EVAL("SUM(SUMIFS(IV_Amount, IV_BankRef," &amp;$H29&amp; "))")</f>
        <v>-200</v>
      </c>
      <c r="D29" s="112">
        <f ref="D29:D35" si="1" t="shared">B29+C29</f>
        <v>-220</v>
      </c>
      <c r="E29" s="113">
        <f>IFERROR(($D29)*E$15,"")</f>
        <v>-110</v>
      </c>
      <c r="F29" s="114">
        <f>IFERROR(($D29)*F$15,"")</f>
        <v>-110</v>
      </c>
      <c r="H29" t="s">
        <v>529</v>
      </c>
      <c r="J29" s="46"/>
      <c r="Q29" s="46"/>
    </row>
    <row r="30" spans="1:17" x14ac:dyDescent="0.2">
      <c r="A30" s="82" t="s">
        <v>530</v>
      </c>
      <c r="B30" s="115">
        <f>EVAL("SUM(SUMIFS(MT_Amount, MT_BankRef," &amp;$H30&amp; "))")</f>
        <v>0</v>
      </c>
      <c r="C30" s="83">
        <f>EVAL("SUM(SUMIFS(IV_Amount, IV_BankRef," &amp;$H30&amp; "))")</f>
        <v>0</v>
      </c>
      <c r="D30" s="95">
        <f si="1" t="shared"/>
        <v>0</v>
      </c>
      <c r="E30" s="96">
        <f ref="E30:F35" si="2" t="shared">IFERROR(($D30)*E$15,"")</f>
        <v>0</v>
      </c>
      <c r="F30" s="97">
        <f si="2" t="shared"/>
        <v>0</v>
      </c>
      <c r="H30" s="82" t="s">
        <v>531</v>
      </c>
      <c r="Q30" s="46"/>
    </row>
    <row r="31" spans="1:17" x14ac:dyDescent="0.2">
      <c r="A31" s="82" t="s">
        <v>534</v>
      </c>
      <c r="B31" s="115">
        <f>EVAL("SUM(SUMIFS(MT_Amount, MT_BankRef," &amp;$H31&amp; "))")</f>
        <v>0</v>
      </c>
      <c r="C31" s="83">
        <f>EVAL("SUM(SUMIFS(IV_Amount, IV_BankRef," &amp;$H31&amp; "))")</f>
        <v>0</v>
      </c>
      <c r="D31" s="95">
        <f si="1" t="shared"/>
        <v>0</v>
      </c>
      <c r="E31" s="96">
        <f si="2" t="shared"/>
        <v>0</v>
      </c>
      <c r="F31" s="97">
        <f si="2" t="shared"/>
        <v>0</v>
      </c>
      <c r="H31" t="s">
        <v>535</v>
      </c>
    </row>
    <row r="32" spans="1:17" x14ac:dyDescent="0.2">
      <c r="A32" s="82" t="s">
        <v>536</v>
      </c>
      <c r="B32" s="115">
        <f>EVAL("SUM(SUMIFS(MT_Amount, MT_BankRef," &amp;$H32&amp; "))")</f>
        <v>0</v>
      </c>
      <c r="C32" s="83">
        <f>EVAL("SUM(SUMIFS(IV_Amount, IV_BankRef," &amp;$H32&amp; "))")</f>
        <v>-58.99</v>
      </c>
      <c r="D32" s="95">
        <f si="1" t="shared"/>
        <v>-58.99</v>
      </c>
      <c r="E32" s="96">
        <f si="2" t="shared"/>
        <v>-29.495000000000001</v>
      </c>
      <c r="F32" s="97">
        <f si="2" t="shared"/>
        <v>-29.495000000000001</v>
      </c>
      <c r="H32" t="s">
        <v>537</v>
      </c>
    </row>
    <row ht="15" r="33" spans="1:8" x14ac:dyDescent="0.25">
      <c r="A33" s="82" t="s">
        <v>538</v>
      </c>
      <c r="B33" s="121">
        <f>SUMIFS(MT_Amount, MT_Include,"I")</f>
        <v>0</v>
      </c>
      <c r="C33" s="83">
        <f>EVAL("SUM(SUMIFS(IV_Amount, IV_BankRef," &amp;$H33&amp; "))")-SUMIFS(IV_Amount_4040, IV_BankRef_4040,"=X")</f>
        <v>-33</v>
      </c>
      <c r="D33" s="95">
        <f si="1" t="shared"/>
        <v>-33</v>
      </c>
      <c r="E33" s="96">
        <f si="2" t="shared"/>
        <v>-16.5</v>
      </c>
      <c r="F33" s="97">
        <f si="2" t="shared"/>
        <v>-16.5</v>
      </c>
      <c r="H33" s="46" t="s">
        <v>563</v>
      </c>
    </row>
    <row r="34" spans="1:8" x14ac:dyDescent="0.2">
      <c r="A34" s="82" t="s">
        <v>25</v>
      </c>
      <c r="B34" s="115">
        <f>EVAL("SUM(SUMIFS(MT_Amount, MT_BankRef," &amp;$H34&amp; "))")</f>
        <v>0</v>
      </c>
      <c r="C34" s="83">
        <f>EVAL("SUM(SUMIFS(IV_Amount, IV_BankRef," &amp;$H34&amp; "))")</f>
        <v>0</v>
      </c>
      <c r="D34" s="95">
        <f si="1" t="shared"/>
        <v>0</v>
      </c>
      <c r="E34" s="96">
        <f si="2" t="shared"/>
        <v>0</v>
      </c>
      <c r="F34" s="97">
        <f si="2" t="shared"/>
        <v>0</v>
      </c>
      <c r="H34" s="82" t="s">
        <v>543</v>
      </c>
    </row>
    <row r="35" spans="1:8" x14ac:dyDescent="0.2">
      <c r="A35" s="106" t="s">
        <v>562</v>
      </c>
      <c r="B35" s="116">
        <v>0</v>
      </c>
      <c r="C35" s="117">
        <v>0</v>
      </c>
      <c r="D35" s="95">
        <f si="1" t="shared"/>
        <v>0</v>
      </c>
      <c r="E35" s="96">
        <f si="2" t="shared"/>
        <v>0</v>
      </c>
      <c r="F35" s="97">
        <f si="2" t="shared"/>
        <v>0</v>
      </c>
      <c r="H35" s="106"/>
    </row>
    <row r="36" spans="1:8" x14ac:dyDescent="0.2">
      <c r="B36" s="98">
        <f>SUBTOTAL(9,B29:B35)</f>
        <v>-20</v>
      </c>
      <c r="C36" s="98">
        <f>SUBTOTAL(9,C29:C35)</f>
        <v>-291.99</v>
      </c>
      <c r="D36" s="99">
        <f>SUBTOTAL(9,D20:D35)</f>
        <v>-311.99</v>
      </c>
      <c r="E36" s="100">
        <f>SUBTOTAL(9,E29:E35)</f>
        <v>-155.995</v>
      </c>
      <c r="F36" s="98">
        <f>SUBTOTAL(9,F29:F35)</f>
        <v>-155.995</v>
      </c>
    </row>
    <row r="37" spans="1:8" x14ac:dyDescent="0.2">
      <c r="B37" s="83"/>
      <c r="C37" s="83"/>
      <c r="D37" s="83"/>
      <c r="E37" s="96"/>
      <c r="F37" s="83"/>
    </row>
    <row r="38" spans="1:8" x14ac:dyDescent="0.2">
      <c r="A38" s="82" t="s">
        <v>553</v>
      </c>
      <c r="E38" s="83">
        <f>SUM(B29:B35)</f>
        <v>-20</v>
      </c>
      <c r="F38" s="83">
        <f>SUM(C29:C35)</f>
        <v>-291.99</v>
      </c>
    </row>
    <row r="39" spans="1:8" x14ac:dyDescent="0.2">
      <c r="A39" s="106" t="s">
        <v>554</v>
      </c>
      <c r="E39" s="96">
        <f>EVAL("SUM(SUMIFS(MT_Amount, MT_BankRef," &amp;$H39&amp; "))")</f>
        <v>-1200</v>
      </c>
      <c r="F39" s="83">
        <f>-E39</f>
        <v>1200</v>
      </c>
      <c r="H39" t="s">
        <v>544</v>
      </c>
    </row>
    <row r="40" spans="1:8" x14ac:dyDescent="0.2">
      <c r="E40" s="101"/>
      <c r="F40" s="83"/>
    </row>
    <row r="41" spans="1:8" x14ac:dyDescent="0.2">
      <c r="A41" t="s">
        <v>545</v>
      </c>
      <c r="E41" s="100">
        <f>E36-E38-E39</f>
        <v>1064.0050000000001</v>
      </c>
      <c r="F41" s="100">
        <f>F36-F38-F39</f>
        <v>-1064.0050000000001</v>
      </c>
    </row>
    <row r="42" spans="1:8" x14ac:dyDescent="0.2">
      <c r="A42" s="109" t="s">
        <v>556</v>
      </c>
    </row>
    <row r="43" spans="1:8" x14ac:dyDescent="0.2">
      <c r="A43" s="109"/>
      <c r="E43" s="83"/>
    </row>
    <row r="44" spans="1:8" x14ac:dyDescent="0.2">
      <c r="A44" s="106"/>
      <c r="E44" s="83"/>
    </row>
    <row r="45" spans="1:8" x14ac:dyDescent="0.2">
      <c r="A45" s="106" t="s">
        <v>571</v>
      </c>
      <c r="E45" s="83">
        <v>2264.66</v>
      </c>
    </row>
    <row r="46" spans="1:8" x14ac:dyDescent="0.2">
      <c r="A46" s="46"/>
    </row>
    <row r="47" spans="1:8" x14ac:dyDescent="0.2">
      <c r="A47" s="46"/>
    </row>
    <row r="48" spans="1:8" x14ac:dyDescent="0.2">
      <c r="A48" s="109"/>
      <c r="E48" s="98">
        <f>E41+SUM(E44:E47)</f>
        <v>3328.665</v>
      </c>
      <c r="F48" s="46"/>
    </row>
    <row r="50" spans="1:7" x14ac:dyDescent="0.2">
      <c r="A50" s="42" t="s">
        <v>546</v>
      </c>
      <c r="D50" s="46"/>
    </row>
    <row r="51" spans="1:7" x14ac:dyDescent="0.2">
      <c r="A51" s="42"/>
      <c r="D51" s="46"/>
    </row>
    <row r="52" spans="1:7" x14ac:dyDescent="0.2">
      <c r="A52" s="46"/>
      <c r="D52" s="46"/>
      <c r="G52" s="46"/>
    </row>
    <row r="53" spans="1:7" x14ac:dyDescent="0.2">
      <c r="A53" s="46"/>
      <c r="D53" s="109"/>
    </row>
    <row r="54" spans="1:7" x14ac:dyDescent="0.2">
      <c r="D54" s="109"/>
      <c r="F54" s="46"/>
    </row>
    <row r="55" spans="1:7" x14ac:dyDescent="0.2">
      <c r="D55" s="109"/>
      <c r="E55" s="128"/>
    </row>
  </sheetData>
  <pageMargins bottom="0.75" footer="0.3" header="0.3" left="0.7" right="0.7" top="0.75"/>
  <pageSetup horizontalDpi="4294967293" orientation="portrait" paperSize="9" r:id="rId1" verticalDpi="0"/>
  <ignoredErrors>
    <ignoredError formulaRange="1" sqref="B9 C5 B6 B7 B8"/>
  </ignoredErrors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I101"/>
  <sheetViews>
    <sheetView workbookViewId="0" zoomScale="70" zoomScaleNormal="70">
      <selection sqref="A1:F118"/>
    </sheetView>
  </sheetViews>
  <sheetFormatPr defaultRowHeight="12.75" x14ac:dyDescent="0.2"/>
  <cols>
    <col min="1" max="1" bestFit="true" customWidth="true" width="35.5703125" collapsed="false"/>
    <col min="2" max="2" bestFit="true" customWidth="true" width="10.140625" collapsed="false"/>
    <col min="3" max="3" bestFit="true" customWidth="true" width="11.28515625" collapsed="false"/>
    <col min="4" max="4" bestFit="true" customWidth="true" width="123.42578125" collapsed="false"/>
    <col min="5" max="5" bestFit="true" customWidth="true" width="10.140625" collapsed="false"/>
    <col min="6" max="6" bestFit="true" customWidth="true" width="11.28515625" collapsed="false"/>
    <col min="8" max="8" bestFit="true" customWidth="true" width="10.140625" collapsed="false"/>
    <col min="9" max="9" bestFit="true" customWidth="true" width="11.28515625" collapsed="false"/>
  </cols>
  <sheetData>
    <row r="1" spans="1:9" x14ac:dyDescent="0.2">
      <c r="A1" s="105"/>
    </row>
    <row r="2" spans="1:9" x14ac:dyDescent="0.2">
      <c r="A2" s="42"/>
      <c r="B2" s="59"/>
      <c r="C2" s="59"/>
      <c r="D2" s="60"/>
      <c r="E2" s="59"/>
      <c r="F2" s="59"/>
      <c r="G2" s="60"/>
      <c r="H2" s="59"/>
      <c r="I2" s="59"/>
    </row>
    <row r="3">
      <c r="A3" t="s" s="178">
        <v>1031</v>
      </c>
    </row>
    <row r="4">
      <c r="A4" t="s">
        <v>1032</v>
      </c>
      <c r="B4" t="n">
        <v>25.0</v>
      </c>
    </row>
    <row r="5">
      <c r="A5" t="s">
        <v>1033</v>
      </c>
      <c r="B5" t="n">
        <v>43.0</v>
      </c>
    </row>
    <row r="6">
      <c r="A6" t="s">
        <v>1034</v>
      </c>
      <c r="B6" t="n">
        <v>42.0</v>
      </c>
    </row>
    <row r="7">
      <c r="A7" t="s">
        <v>1035</v>
      </c>
      <c r="B7" t="n">
        <v>36.0</v>
      </c>
    </row>
    <row r="8">
      <c r="A8" t="s">
        <v>1036</v>
      </c>
      <c r="B8" t="n">
        <v>24.0</v>
      </c>
    </row>
    <row r="9">
      <c r="A9" t="s">
        <v>1037</v>
      </c>
      <c r="B9" t="n">
        <v>21.0</v>
      </c>
    </row>
    <row r="11">
      <c r="A11" t="s" s="178">
        <v>24</v>
      </c>
      <c r="B11" t="s" s="178">
        <v>513</v>
      </c>
      <c r="C11" t="s" s="178">
        <v>515</v>
      </c>
      <c r="D11" t="s" s="178">
        <v>548</v>
      </c>
      <c r="E11" t="s" s="178">
        <v>1038</v>
      </c>
      <c r="F11" t="s" s="178">
        <v>1039</v>
      </c>
    </row>
    <row r="12">
      <c r="A12" t="s">
        <v>226</v>
      </c>
      <c r="B12" t="n" s="179">
        <v>43827.02361111111</v>
      </c>
      <c r="C12" t="n">
        <v>-6.0</v>
      </c>
      <c r="D12" t="s">
        <v>828</v>
      </c>
      <c r="E12" t="n">
        <v>212739.0</v>
      </c>
      <c r="F12" t="s">
        <v>1040</v>
      </c>
    </row>
    <row r="13">
      <c r="A13" t="s">
        <v>70</v>
      </c>
      <c r="B13" t="n" s="179">
        <v>43797.02361111111</v>
      </c>
      <c r="C13" t="n">
        <v>-6.0</v>
      </c>
      <c r="D13" t="s">
        <v>830</v>
      </c>
      <c r="E13" t="n">
        <v>212005.0</v>
      </c>
      <c r="F13" t="s">
        <v>1040</v>
      </c>
    </row>
    <row r="14">
      <c r="A14" t="s">
        <v>71</v>
      </c>
      <c r="B14" t="n" s="179">
        <v>43827.02361111111</v>
      </c>
      <c r="C14" t="n">
        <v>-6.0</v>
      </c>
      <c r="D14" t="s">
        <v>839</v>
      </c>
      <c r="E14" t="n">
        <v>212743.0</v>
      </c>
      <c r="F14" t="s">
        <v>1040</v>
      </c>
    </row>
    <row r="15">
      <c r="A15" t="s">
        <v>69</v>
      </c>
      <c r="B15" t="n" s="179">
        <v>43827.02361111111</v>
      </c>
      <c r="C15" t="n">
        <v>-6.0</v>
      </c>
      <c r="D15" t="s">
        <v>843</v>
      </c>
      <c r="E15" t="n">
        <v>212750.0</v>
      </c>
      <c r="F15" t="s">
        <v>1040</v>
      </c>
    </row>
    <row r="16">
      <c r="A16" t="s">
        <v>115</v>
      </c>
      <c r="B16" t="n" s="179">
        <v>43827.02361111111</v>
      </c>
      <c r="C16" t="n">
        <v>-6.0</v>
      </c>
      <c r="D16" t="s">
        <v>847</v>
      </c>
      <c r="E16" t="n">
        <v>212757.0</v>
      </c>
      <c r="F16" t="s">
        <v>1040</v>
      </c>
    </row>
    <row r="17">
      <c r="A17" t="s">
        <v>74</v>
      </c>
      <c r="B17" t="n" s="179">
        <v>43827.02361111111</v>
      </c>
      <c r="C17" t="n">
        <v>-6.0</v>
      </c>
      <c r="D17" t="s">
        <v>851</v>
      </c>
      <c r="E17" t="n">
        <v>212761.0</v>
      </c>
      <c r="F17" t="s">
        <v>1040</v>
      </c>
    </row>
    <row r="18">
      <c r="A18" t="s">
        <v>53</v>
      </c>
      <c r="B18" t="n" s="179">
        <v>43827.02361111111</v>
      </c>
      <c r="C18" t="n">
        <v>-12.0</v>
      </c>
      <c r="D18" t="s">
        <v>859</v>
      </c>
      <c r="E18" t="n">
        <v>212769.0</v>
      </c>
      <c r="F18" t="s">
        <v>1040</v>
      </c>
    </row>
    <row r="19">
      <c r="A19" t="s">
        <v>55</v>
      </c>
      <c r="B19" t="n" s="179">
        <v>43797.02361111111</v>
      </c>
      <c r="C19" t="n">
        <v>-6.0</v>
      </c>
      <c r="D19" t="s">
        <v>863</v>
      </c>
      <c r="E19" t="n">
        <v>212039.0</v>
      </c>
      <c r="F19" t="s">
        <v>1040</v>
      </c>
    </row>
    <row r="20">
      <c r="A20" t="s">
        <v>56</v>
      </c>
      <c r="B20" t="n" s="179">
        <v>43827.02361111111</v>
      </c>
      <c r="C20" t="n">
        <v>-6.0</v>
      </c>
      <c r="D20" t="s">
        <v>867</v>
      </c>
      <c r="E20" t="n">
        <v>212776.0</v>
      </c>
      <c r="F20" t="s">
        <v>1040</v>
      </c>
    </row>
    <row r="21">
      <c r="A21" t="s">
        <v>187</v>
      </c>
      <c r="B21" t="n" s="179">
        <v>43827.02361111111</v>
      </c>
      <c r="C21" t="n">
        <v>-6.0</v>
      </c>
      <c r="D21" t="s">
        <v>873</v>
      </c>
      <c r="E21" t="n">
        <v>212782.0</v>
      </c>
      <c r="F21" t="s">
        <v>1040</v>
      </c>
    </row>
    <row r="22">
      <c r="A22" t="s">
        <v>59</v>
      </c>
      <c r="B22" t="n" s="179">
        <v>43827.02361111111</v>
      </c>
      <c r="C22" t="n">
        <v>-6.0</v>
      </c>
      <c r="D22" t="s">
        <v>877</v>
      </c>
      <c r="E22" t="n">
        <v>212786.0</v>
      </c>
      <c r="F22" t="s">
        <v>1040</v>
      </c>
    </row>
    <row r="23">
      <c r="A23" t="s">
        <v>57</v>
      </c>
      <c r="B23" t="n" s="179">
        <v>43827.02361111111</v>
      </c>
      <c r="C23" t="n">
        <v>-6.0</v>
      </c>
      <c r="D23" t="s">
        <v>882</v>
      </c>
      <c r="E23" t="n">
        <v>212792.0</v>
      </c>
      <c r="F23" t="s">
        <v>1040</v>
      </c>
    </row>
    <row r="24">
      <c r="A24" t="s">
        <v>63</v>
      </c>
      <c r="B24" t="n" s="179">
        <v>43827.02361111111</v>
      </c>
      <c r="C24" t="n">
        <v>-6.0</v>
      </c>
      <c r="D24" t="s">
        <v>886</v>
      </c>
      <c r="E24" t="n">
        <v>212796.0</v>
      </c>
      <c r="F24" t="s">
        <v>1040</v>
      </c>
    </row>
    <row r="25">
      <c r="A25" t="s">
        <v>64</v>
      </c>
      <c r="B25" t="n" s="179">
        <v>43827.02361111111</v>
      </c>
      <c r="C25" t="n">
        <v>-6.0</v>
      </c>
      <c r="D25" t="s">
        <v>890</v>
      </c>
      <c r="E25" t="n">
        <v>212803.0</v>
      </c>
      <c r="F25" t="s">
        <v>1040</v>
      </c>
    </row>
    <row r="26">
      <c r="A26" t="s">
        <v>66</v>
      </c>
      <c r="B26" t="n" s="179">
        <v>43827.02361111111</v>
      </c>
      <c r="C26" t="n">
        <v>-6.0</v>
      </c>
      <c r="D26" t="s">
        <v>894</v>
      </c>
      <c r="E26" t="n">
        <v>212810.0</v>
      </c>
      <c r="F26" t="s">
        <v>1040</v>
      </c>
    </row>
    <row r="27">
      <c r="A27" t="s">
        <v>61</v>
      </c>
      <c r="B27" t="n" s="179">
        <v>43827.02361111111</v>
      </c>
      <c r="C27" t="n">
        <v>-6.0</v>
      </c>
      <c r="D27" t="s">
        <v>899</v>
      </c>
      <c r="E27" t="n">
        <v>212820.0</v>
      </c>
      <c r="F27" t="s">
        <v>1040</v>
      </c>
    </row>
    <row r="28">
      <c r="A28" t="s">
        <v>111</v>
      </c>
      <c r="B28" t="n" s="179">
        <v>43827.02361111111</v>
      </c>
      <c r="C28" t="n">
        <v>-6.0</v>
      </c>
      <c r="D28" t="s">
        <v>904</v>
      </c>
      <c r="E28" t="n">
        <v>212826.0</v>
      </c>
      <c r="F28" t="s">
        <v>1040</v>
      </c>
    </row>
    <row r="29">
      <c r="A29" t="s">
        <v>186</v>
      </c>
      <c r="B29" t="n" s="179">
        <v>43827.02361111111</v>
      </c>
      <c r="C29" t="n">
        <v>-6.0</v>
      </c>
      <c r="D29" t="s">
        <v>909</v>
      </c>
      <c r="E29" t="n">
        <v>212832.0</v>
      </c>
      <c r="F29" t="s">
        <v>1040</v>
      </c>
    </row>
    <row r="30">
      <c r="A30" t="s">
        <v>105</v>
      </c>
      <c r="B30" t="n" s="179">
        <v>43827.02361111111</v>
      </c>
      <c r="C30" t="n">
        <v>-6.0</v>
      </c>
      <c r="D30" t="s">
        <v>913</v>
      </c>
      <c r="E30" t="n">
        <v>212839.0</v>
      </c>
      <c r="F30" t="s">
        <v>1040</v>
      </c>
    </row>
    <row r="31">
      <c r="A31" t="s">
        <v>106</v>
      </c>
      <c r="B31" t="n" s="179">
        <v>43736.02291666667</v>
      </c>
      <c r="C31" t="n">
        <v>-6.0</v>
      </c>
      <c r="D31" t="s">
        <v>916</v>
      </c>
      <c r="E31" t="n">
        <v>209575.0</v>
      </c>
      <c r="F31" t="s">
        <v>1040</v>
      </c>
    </row>
    <row r="32">
      <c r="A32" t="s">
        <v>68</v>
      </c>
      <c r="B32" t="n" s="179">
        <v>43827.02361111111</v>
      </c>
      <c r="C32" t="n">
        <v>-6.0</v>
      </c>
      <c r="D32" t="s">
        <v>921</v>
      </c>
      <c r="E32" t="n">
        <v>212850.0</v>
      </c>
      <c r="F32" t="s">
        <v>1040</v>
      </c>
    </row>
    <row r="33">
      <c r="A33" t="s">
        <v>86</v>
      </c>
      <c r="B33" t="n" s="179">
        <v>43827.02361111111</v>
      </c>
      <c r="C33" t="n">
        <v>-6.0</v>
      </c>
      <c r="D33" t="s">
        <v>926</v>
      </c>
      <c r="E33" t="n">
        <v>212857.0</v>
      </c>
      <c r="F33" t="s">
        <v>1040</v>
      </c>
    </row>
    <row r="34">
      <c r="A34" t="s">
        <v>72</v>
      </c>
      <c r="B34" t="n" s="179">
        <v>43827.02361111111</v>
      </c>
      <c r="C34" t="n">
        <v>-6.0</v>
      </c>
      <c r="D34" t="s">
        <v>931</v>
      </c>
      <c r="E34" t="n">
        <v>212864.0</v>
      </c>
      <c r="F34" t="s">
        <v>1040</v>
      </c>
    </row>
    <row r="35">
      <c r="A35" t="s">
        <v>118</v>
      </c>
      <c r="B35" t="n" s="179">
        <v>43827.02361111111</v>
      </c>
      <c r="C35" t="n">
        <v>-6.0</v>
      </c>
      <c r="D35" t="s">
        <v>936</v>
      </c>
      <c r="E35" t="n">
        <v>212870.0</v>
      </c>
      <c r="F35" t="s">
        <v>1040</v>
      </c>
    </row>
    <row r="36">
      <c r="A36" t="s">
        <v>71</v>
      </c>
      <c r="B36" t="n" s="179">
        <v>43858.02291666667</v>
      </c>
      <c r="C36" t="n">
        <v>-6.0</v>
      </c>
      <c r="D36" t="s">
        <v>839</v>
      </c>
      <c r="E36" t="n">
        <v>213230.0</v>
      </c>
      <c r="F36" t="s">
        <v>1041</v>
      </c>
    </row>
    <row r="37">
      <c r="A37" t="s">
        <v>69</v>
      </c>
      <c r="B37" t="n" s="179">
        <v>43858.02291666667</v>
      </c>
      <c r="C37" t="n">
        <v>-6.0</v>
      </c>
      <c r="D37" t="s">
        <v>843</v>
      </c>
      <c r="E37" t="n">
        <v>213237.0</v>
      </c>
      <c r="F37" t="s">
        <v>1041</v>
      </c>
    </row>
    <row r="38">
      <c r="A38" t="s">
        <v>115</v>
      </c>
      <c r="B38" t="n" s="179">
        <v>43858.02291666667</v>
      </c>
      <c r="C38" t="n">
        <v>-6.0</v>
      </c>
      <c r="D38" t="s">
        <v>847</v>
      </c>
      <c r="E38" t="n">
        <v>213244.0</v>
      </c>
      <c r="F38" t="s">
        <v>1041</v>
      </c>
    </row>
    <row r="39">
      <c r="A39" t="s">
        <v>74</v>
      </c>
      <c r="B39" t="n" s="179">
        <v>43858.02291666667</v>
      </c>
      <c r="C39" t="n">
        <v>-6.0</v>
      </c>
      <c r="D39" t="s">
        <v>851</v>
      </c>
      <c r="E39" t="n">
        <v>213248.0</v>
      </c>
      <c r="F39" t="s">
        <v>1041</v>
      </c>
    </row>
    <row r="40">
      <c r="A40" t="s">
        <v>53</v>
      </c>
      <c r="B40" t="n" s="179">
        <v>43858.02291666667</v>
      </c>
      <c r="C40" t="n">
        <v>-12.0</v>
      </c>
      <c r="D40" t="s">
        <v>859</v>
      </c>
      <c r="E40" t="n">
        <v>213256.0</v>
      </c>
      <c r="F40" t="s">
        <v>1041</v>
      </c>
    </row>
    <row r="41">
      <c r="A41" t="s">
        <v>55</v>
      </c>
      <c r="B41" t="n" s="179">
        <v>43858.02291666667</v>
      </c>
      <c r="C41" t="n">
        <v>-6.0</v>
      </c>
      <c r="D41" t="s">
        <v>863</v>
      </c>
      <c r="E41" t="n">
        <v>213260.0</v>
      </c>
      <c r="F41" t="s">
        <v>1041</v>
      </c>
    </row>
    <row r="42">
      <c r="A42" t="s">
        <v>187</v>
      </c>
      <c r="B42" t="n" s="179">
        <v>43858.02291666667</v>
      </c>
      <c r="C42" t="n">
        <v>-6.0</v>
      </c>
      <c r="D42" t="s">
        <v>873</v>
      </c>
      <c r="E42" t="n">
        <v>213273.0</v>
      </c>
      <c r="F42" t="s">
        <v>1041</v>
      </c>
    </row>
    <row r="43">
      <c r="A43" t="s">
        <v>59</v>
      </c>
      <c r="B43" t="n" s="179">
        <v>43858.02291666667</v>
      </c>
      <c r="C43" t="n">
        <v>-6.0</v>
      </c>
      <c r="D43" t="s">
        <v>877</v>
      </c>
      <c r="E43" t="n">
        <v>213277.0</v>
      </c>
      <c r="F43" t="s">
        <v>1041</v>
      </c>
    </row>
    <row r="44">
      <c r="A44" t="s">
        <v>57</v>
      </c>
      <c r="B44" t="n" s="179">
        <v>43858.02291666667</v>
      </c>
      <c r="C44" t="n">
        <v>-6.0</v>
      </c>
      <c r="D44" t="s">
        <v>882</v>
      </c>
      <c r="E44" t="n">
        <v>213283.0</v>
      </c>
      <c r="F44" t="s">
        <v>1041</v>
      </c>
    </row>
    <row r="45">
      <c r="A45" t="s">
        <v>63</v>
      </c>
      <c r="B45" t="n" s="179">
        <v>43858.02291666667</v>
      </c>
      <c r="C45" t="n">
        <v>-6.0</v>
      </c>
      <c r="D45" t="s">
        <v>886</v>
      </c>
      <c r="E45" t="n">
        <v>213287.0</v>
      </c>
      <c r="F45" t="s">
        <v>1041</v>
      </c>
    </row>
    <row r="46">
      <c r="A46" t="s">
        <v>64</v>
      </c>
      <c r="B46" t="n" s="179">
        <v>43858.02291666667</v>
      </c>
      <c r="C46" t="n">
        <v>-6.0</v>
      </c>
      <c r="D46" t="s">
        <v>890</v>
      </c>
      <c r="E46" t="n">
        <v>213294.0</v>
      </c>
      <c r="F46" t="s">
        <v>1041</v>
      </c>
    </row>
    <row r="47">
      <c r="A47" t="s">
        <v>66</v>
      </c>
      <c r="B47" t="n" s="179">
        <v>43858.02291666667</v>
      </c>
      <c r="C47" t="n">
        <v>-6.0</v>
      </c>
      <c r="D47" t="s">
        <v>894</v>
      </c>
      <c r="E47" t="n">
        <v>213301.0</v>
      </c>
      <c r="F47" t="s">
        <v>1041</v>
      </c>
    </row>
    <row r="48">
      <c r="A48" t="s">
        <v>61</v>
      </c>
      <c r="B48" t="n" s="179">
        <v>43858.02291666667</v>
      </c>
      <c r="C48" t="n">
        <v>-6.0</v>
      </c>
      <c r="D48" t="s">
        <v>899</v>
      </c>
      <c r="E48" t="n">
        <v>213307.0</v>
      </c>
      <c r="F48" t="s">
        <v>1041</v>
      </c>
    </row>
    <row r="49">
      <c r="A49" t="s">
        <v>111</v>
      </c>
      <c r="B49" t="n" s="179">
        <v>43858.02291666667</v>
      </c>
      <c r="C49" t="n">
        <v>-6.0</v>
      </c>
      <c r="D49" t="s">
        <v>904</v>
      </c>
      <c r="E49" t="n">
        <v>213313.0</v>
      </c>
      <c r="F49" t="s">
        <v>1041</v>
      </c>
    </row>
    <row r="50">
      <c r="A50" t="s">
        <v>186</v>
      </c>
      <c r="B50" t="n" s="179">
        <v>43858.02291666667</v>
      </c>
      <c r="C50" t="n">
        <v>-6.0</v>
      </c>
      <c r="D50" t="s">
        <v>909</v>
      </c>
      <c r="E50" t="n">
        <v>213319.0</v>
      </c>
      <c r="F50" t="s">
        <v>1041</v>
      </c>
    </row>
    <row r="51">
      <c r="A51" t="s">
        <v>105</v>
      </c>
      <c r="B51" t="n" s="179">
        <v>43858.02291666667</v>
      </c>
      <c r="C51" t="n">
        <v>-6.0</v>
      </c>
      <c r="D51" t="s">
        <v>913</v>
      </c>
      <c r="E51" t="n">
        <v>213326.0</v>
      </c>
      <c r="F51" t="s">
        <v>1041</v>
      </c>
    </row>
    <row r="52">
      <c r="A52" t="s">
        <v>106</v>
      </c>
      <c r="B52" t="n" s="179">
        <v>43858.02291666667</v>
      </c>
      <c r="C52" t="n">
        <v>-6.0</v>
      </c>
      <c r="D52" t="s">
        <v>916</v>
      </c>
      <c r="E52" t="n">
        <v>213329.0</v>
      </c>
      <c r="F52" t="s">
        <v>1041</v>
      </c>
    </row>
    <row r="53">
      <c r="A53" t="s">
        <v>68</v>
      </c>
      <c r="B53" t="n" s="179">
        <v>43858.02291666667</v>
      </c>
      <c r="C53" t="n">
        <v>-6.0</v>
      </c>
      <c r="D53" t="s">
        <v>921</v>
      </c>
      <c r="E53" t="n">
        <v>213336.0</v>
      </c>
      <c r="F53" t="s">
        <v>1041</v>
      </c>
    </row>
    <row r="54">
      <c r="A54" t="s">
        <v>86</v>
      </c>
      <c r="B54" t="n" s="179">
        <v>43858.02291666667</v>
      </c>
      <c r="C54" t="n">
        <v>-6.0</v>
      </c>
      <c r="D54" t="s">
        <v>926</v>
      </c>
      <c r="E54" t="n">
        <v>213343.0</v>
      </c>
      <c r="F54" t="s">
        <v>1041</v>
      </c>
    </row>
    <row r="55">
      <c r="A55" t="s">
        <v>72</v>
      </c>
      <c r="B55" t="n" s="179">
        <v>43858.02291666667</v>
      </c>
      <c r="C55" t="n">
        <v>-6.0</v>
      </c>
      <c r="D55" t="s">
        <v>931</v>
      </c>
      <c r="E55" t="n">
        <v>213350.0</v>
      </c>
      <c r="F55" t="s">
        <v>1041</v>
      </c>
    </row>
    <row r="56">
      <c r="A56" t="s">
        <v>118</v>
      </c>
      <c r="B56" t="n" s="179">
        <v>43858.02291666667</v>
      </c>
      <c r="C56" t="n">
        <v>-6.0</v>
      </c>
      <c r="D56" t="s">
        <v>936</v>
      </c>
      <c r="E56" t="n">
        <v>213357.0</v>
      </c>
      <c r="F56" t="s">
        <v>1041</v>
      </c>
    </row>
    <row r="57" spans="1:2" x14ac:dyDescent="0.2">
      <c r="B57" s="163"/>
    </row>
    <row r="58">
      <c r="A58" t="s" s="178">
        <v>1042</v>
      </c>
    </row>
    <row r="59">
      <c r="A59" t="s">
        <v>1043</v>
      </c>
      <c r="B59" t="s">
        <v>521</v>
      </c>
    </row>
    <row r="60">
      <c r="A60" t="s">
        <v>1044</v>
      </c>
      <c r="B60" t="n">
        <v>117.0</v>
      </c>
    </row>
    <row r="61">
      <c r="A61" t="s">
        <v>1045</v>
      </c>
      <c r="B61" t="n">
        <v>117.0</v>
      </c>
    </row>
    <row r="62">
      <c r="A62" t="s">
        <v>1046</v>
      </c>
      <c r="B62" t="n">
        <v>0.0</v>
      </c>
    </row>
    <row r="63">
      <c r="A63" t="s">
        <v>1047</v>
      </c>
      <c r="B63" t="n">
        <v>117.0</v>
      </c>
      <c r="C63" t="n">
        <v>117.0</v>
      </c>
    </row>
    <row r="64">
      <c r="A64" t="s">
        <v>1048</v>
      </c>
      <c r="B64" t="n">
        <v>17.0</v>
      </c>
      <c r="C64" t="n">
        <v>17.0</v>
      </c>
    </row>
    <row r="65">
      <c r="A65" t="s">
        <v>1049</v>
      </c>
      <c r="B65" t="n">
        <v>26.0</v>
      </c>
      <c r="C65" t="n">
        <v>26.0</v>
      </c>
    </row>
    <row r="67">
      <c r="A67" t="s">
        <v>1043</v>
      </c>
      <c r="B67" t="s">
        <v>522</v>
      </c>
    </row>
    <row r="68">
      <c r="A68" t="s">
        <v>1044</v>
      </c>
      <c r="B68" t="n">
        <v>71.0</v>
      </c>
    </row>
    <row r="69">
      <c r="A69" t="s">
        <v>1045</v>
      </c>
      <c r="B69" t="n">
        <v>71.0</v>
      </c>
    </row>
    <row r="70">
      <c r="A70" t="s">
        <v>1046</v>
      </c>
      <c r="B70" t="n">
        <v>0.0</v>
      </c>
    </row>
    <row r="71">
      <c r="A71" t="s">
        <v>1047</v>
      </c>
      <c r="B71" t="n">
        <v>71.0</v>
      </c>
      <c r="C71" t="n">
        <v>71.0</v>
      </c>
    </row>
    <row r="72">
      <c r="A72" t="s">
        <v>1048</v>
      </c>
      <c r="B72" t="n">
        <v>9.0</v>
      </c>
      <c r="C72" t="n">
        <v>9.0</v>
      </c>
    </row>
    <row r="73">
      <c r="A73" t="s">
        <v>1049</v>
      </c>
      <c r="B73" t="n">
        <v>16.0</v>
      </c>
      <c r="C73" t="n">
        <v>16.0</v>
      </c>
    </row>
    <row r="78" spans="2:2" x14ac:dyDescent="0.2">
      <c r="B78" s="137"/>
    </row>
    <row r="79" spans="2:2" x14ac:dyDescent="0.2">
      <c r="B79" s="137"/>
    </row>
    <row r="80" spans="2:2" x14ac:dyDescent="0.2">
      <c r="B80" s="137"/>
    </row>
    <row r="81" spans="2:2" x14ac:dyDescent="0.2">
      <c r="B81" s="137"/>
    </row>
    <row r="82" spans="2:2" x14ac:dyDescent="0.2">
      <c r="B82" s="137"/>
    </row>
    <row r="83" spans="2:2" x14ac:dyDescent="0.2">
      <c r="B83" s="137"/>
    </row>
    <row r="84" spans="2:2" x14ac:dyDescent="0.2">
      <c r="B84" s="137"/>
    </row>
    <row r="85" spans="2:2" x14ac:dyDescent="0.2">
      <c r="B85" s="137"/>
    </row>
    <row r="86" spans="2:2" x14ac:dyDescent="0.2">
      <c r="B86" s="137"/>
    </row>
    <row r="87" spans="2:2" x14ac:dyDescent="0.2">
      <c r="B87" s="137"/>
    </row>
    <row r="88" spans="2:2" x14ac:dyDescent="0.2">
      <c r="B88" s="137"/>
    </row>
    <row r="89" spans="2:2" x14ac:dyDescent="0.2">
      <c r="B89" s="137"/>
    </row>
    <row r="90" spans="2:2" x14ac:dyDescent="0.2">
      <c r="B90" s="137"/>
    </row>
    <row r="91" spans="2:2" x14ac:dyDescent="0.2">
      <c r="B91" s="137"/>
    </row>
    <row r="92" spans="2:2" x14ac:dyDescent="0.2">
      <c r="B92" s="137"/>
    </row>
    <row r="93" spans="2:2" x14ac:dyDescent="0.2">
      <c r="B93" s="137"/>
    </row>
    <row r="94" spans="2:2" x14ac:dyDescent="0.2">
      <c r="B94" s="137"/>
    </row>
    <row r="95" spans="2:2" x14ac:dyDescent="0.2">
      <c r="B95" s="137"/>
    </row>
    <row r="96" spans="2:2" x14ac:dyDescent="0.2">
      <c r="B96" s="137"/>
    </row>
    <row r="97" spans="1:2" x14ac:dyDescent="0.2">
      <c r="B97" s="137"/>
    </row>
    <row r="98" spans="1:2" x14ac:dyDescent="0.2">
      <c r="B98" s="137"/>
    </row>
    <row r="99" spans="1:2" x14ac:dyDescent="0.2">
      <c r="B99" s="137"/>
    </row>
    <row ht="15" r="101" spans="1:2" x14ac:dyDescent="0.25">
      <c r="A101" s="136"/>
    </row>
  </sheetData>
  <phoneticPr fontId="16" type="noConversion"/>
  <pageMargins bottom="1" footer="0.5" header="0.5" left="0.75" right="0.75" top="1"/>
  <pageSetup horizontalDpi="200" orientation="portrait" r:id="rId1" verticalDpi="200"/>
  <headerFooter alignWithMargins="0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P262"/>
  <sheetViews>
    <sheetView tabSelected="1" topLeftCell="A25" workbookViewId="0" zoomScale="85" zoomScaleNormal="85">
      <selection activeCell="F86" sqref="F86"/>
    </sheetView>
  </sheetViews>
  <sheetFormatPr defaultRowHeight="12.75" x14ac:dyDescent="0.2"/>
  <cols>
    <col min="1" max="2" bestFit="true" customWidth="true" style="130" width="10.28515625" collapsed="false"/>
    <col min="3" max="3" bestFit="true" customWidth="true" style="130" width="17.28515625" collapsed="false"/>
    <col min="4" max="4" bestFit="true" customWidth="true" style="130" width="12.85546875" collapsed="false"/>
    <col min="5" max="5" bestFit="true" customWidth="true" style="130" width="14.28515625" collapsed="false"/>
    <col min="6" max="6" bestFit="true" customWidth="true" style="130" width="50.140625" collapsed="false"/>
    <col min="7" max="7" bestFit="true" customWidth="true" style="130" width="10.7109375" collapsed="false"/>
    <col min="8" max="8" customWidth="true" style="130" width="25.5703125" collapsed="false"/>
    <col min="9" max="9" bestFit="true" customWidth="true" style="130" width="8.7109375" collapsed="false"/>
    <col min="10" max="16384" style="130" width="9.140625" collapsed="false"/>
  </cols>
  <sheetData>
    <row r="1" spans="1:10" x14ac:dyDescent="0.2">
      <c r="A1" s="130" t="s">
        <v>512</v>
      </c>
      <c r="B1" s="130" t="s">
        <v>513</v>
      </c>
      <c r="C1" s="130" t="s">
        <v>514</v>
      </c>
      <c r="D1" s="130" t="s">
        <v>515</v>
      </c>
      <c r="E1" s="130" t="s">
        <v>516</v>
      </c>
      <c r="F1" s="130" t="s">
        <v>517</v>
      </c>
      <c r="G1" s="132" t="s">
        <v>24</v>
      </c>
      <c r="H1" s="132" t="s">
        <v>548</v>
      </c>
      <c r="I1" s="132" t="s">
        <v>549</v>
      </c>
    </row>
    <row r="2" spans="1:10" x14ac:dyDescent="0.2">
      <c r="B2" s="131">
        <v>43832</v>
      </c>
      <c r="C2" s="130" t="s">
        <v>572</v>
      </c>
      <c r="D2" s="130">
        <v>498.4</v>
      </c>
      <c r="E2" s="130" t="s">
        <v>574</v>
      </c>
      <c r="F2" s="130" t="s">
        <v>680</v>
      </c>
      <c r="G2" s="132"/>
      <c r="H2" s="132"/>
      <c r="I2" t="s">
        <v>985</v>
      </c>
      <c r="J2" s="132"/>
    </row>
    <row r="3" spans="1:10" x14ac:dyDescent="0.2">
      <c r="B3" s="131">
        <v>43832</v>
      </c>
      <c r="C3" s="130" t="s">
        <v>572</v>
      </c>
      <c r="D3" s="130">
        <v>-1200</v>
      </c>
      <c r="E3" s="130" t="s">
        <v>575</v>
      </c>
      <c r="F3" s="130" t="s">
        <v>673</v>
      </c>
      <c r="G3" s="132"/>
      <c r="H3" s="132"/>
      <c r="I3" t="s">
        <v>985</v>
      </c>
    </row>
    <row r="4" spans="1:10" x14ac:dyDescent="0.2">
      <c r="B4" s="131">
        <v>43832</v>
      </c>
      <c r="C4" s="130" t="s">
        <v>572</v>
      </c>
      <c r="D4" s="130">
        <v>-196.79</v>
      </c>
      <c r="E4" s="130" t="s">
        <v>575</v>
      </c>
      <c r="F4" s="132" t="s">
        <v>576</v>
      </c>
      <c r="G4" s="132"/>
      <c r="H4" s="132"/>
      <c r="I4" t="s">
        <v>985</v>
      </c>
      <c r="J4" s="132"/>
    </row>
    <row r="5" spans="1:10" x14ac:dyDescent="0.2">
      <c r="B5" s="131">
        <v>43832</v>
      </c>
      <c r="C5" s="130" t="s">
        <v>572</v>
      </c>
      <c r="D5" s="160">
        <v>-50</v>
      </c>
      <c r="E5" s="134" t="s">
        <v>575</v>
      </c>
      <c r="F5" s="161" t="s">
        <v>577</v>
      </c>
      <c r="H5" s="134"/>
      <c r="I5" t="s">
        <v>985</v>
      </c>
    </row>
    <row r="6" spans="1:10" x14ac:dyDescent="0.2">
      <c r="B6" s="131">
        <v>43832</v>
      </c>
      <c r="C6" s="130" t="s">
        <v>572</v>
      </c>
      <c r="D6" s="160">
        <v>-50</v>
      </c>
      <c r="E6" s="134" t="s">
        <v>575</v>
      </c>
      <c r="F6" s="161" t="s">
        <v>578</v>
      </c>
      <c r="G6" s="132"/>
      <c r="H6" s="132"/>
      <c r="I6" t="s">
        <v>985</v>
      </c>
    </row>
    <row r="7" spans="1:10" x14ac:dyDescent="0.2">
      <c r="B7" s="131">
        <v>43832</v>
      </c>
      <c r="C7" s="130" t="s">
        <v>572</v>
      </c>
      <c r="D7" s="160">
        <v>-160</v>
      </c>
      <c r="E7" s="134" t="s">
        <v>575</v>
      </c>
      <c r="F7" s="161" t="s">
        <v>579</v>
      </c>
      <c r="H7" s="132"/>
      <c r="I7" t="s">
        <v>985</v>
      </c>
    </row>
    <row r="8" spans="1:10" x14ac:dyDescent="0.2">
      <c r="B8" s="131">
        <v>43832</v>
      </c>
      <c r="C8" s="130" t="s">
        <v>572</v>
      </c>
      <c r="D8" s="160">
        <v>-157.5</v>
      </c>
      <c r="E8" s="134" t="s">
        <v>575</v>
      </c>
      <c r="F8" s="161" t="s">
        <v>580</v>
      </c>
      <c r="H8" s="132"/>
      <c r="I8" t="s">
        <v>985</v>
      </c>
    </row>
    <row r="9" spans="1:10" x14ac:dyDescent="0.2">
      <c r="B9" s="131">
        <v>43832</v>
      </c>
      <c r="C9" s="130" t="s">
        <v>572</v>
      </c>
      <c r="D9" s="160">
        <v>-232.5</v>
      </c>
      <c r="E9" s="134" t="s">
        <v>575</v>
      </c>
      <c r="F9" s="161" t="s">
        <v>581</v>
      </c>
      <c r="G9" s="132"/>
      <c r="H9" s="132"/>
      <c r="I9" t="s">
        <v>985</v>
      </c>
    </row>
    <row r="10" spans="1:10" x14ac:dyDescent="0.2">
      <c r="B10" s="131">
        <v>43832</v>
      </c>
      <c r="C10" s="130" t="s">
        <v>572</v>
      </c>
      <c r="D10" s="160">
        <v>-221.36</v>
      </c>
      <c r="E10" s="134" t="s">
        <v>582</v>
      </c>
      <c r="F10" s="161" t="s">
        <v>583</v>
      </c>
      <c r="H10" s="132"/>
      <c r="I10" t="s">
        <v>986</v>
      </c>
    </row>
    <row r="11" spans="1:10" x14ac:dyDescent="0.2">
      <c r="B11" s="131">
        <v>43832</v>
      </c>
      <c r="C11" s="130" t="s">
        <v>572</v>
      </c>
      <c r="D11" s="160">
        <v>-240.21</v>
      </c>
      <c r="E11" s="134" t="s">
        <v>582</v>
      </c>
      <c r="F11" s="161" t="s">
        <v>584</v>
      </c>
      <c r="H11" s="132"/>
      <c r="I11" t="s">
        <v>986</v>
      </c>
    </row>
    <row r="12" spans="1:10" x14ac:dyDescent="0.2">
      <c r="B12" s="131">
        <v>43832</v>
      </c>
      <c r="C12" s="130" t="s">
        <v>572</v>
      </c>
      <c r="D12" s="160">
        <v>-27.08</v>
      </c>
      <c r="E12" s="134" t="s">
        <v>582</v>
      </c>
      <c r="F12" s="161" t="s">
        <v>667</v>
      </c>
      <c r="G12" s="132"/>
      <c r="H12" s="132"/>
      <c r="I12" t="s">
        <v>985</v>
      </c>
    </row>
    <row r="13" spans="1:10" x14ac:dyDescent="0.2">
      <c r="B13" s="131">
        <v>43832</v>
      </c>
      <c r="C13" s="130" t="s">
        <v>572</v>
      </c>
      <c r="D13" s="160">
        <v>-51.49</v>
      </c>
      <c r="E13" s="134" t="s">
        <v>582</v>
      </c>
      <c r="F13" s="161" t="s">
        <v>690</v>
      </c>
      <c r="H13" s="132"/>
      <c r="I13" t="s">
        <v>985</v>
      </c>
    </row>
    <row r="14" spans="1:10" x14ac:dyDescent="0.2">
      <c r="B14" s="131">
        <v>43832</v>
      </c>
      <c r="C14" s="130" t="s">
        <v>572</v>
      </c>
      <c r="D14" s="160">
        <v>-124.68</v>
      </c>
      <c r="E14" s="134" t="s">
        <v>582</v>
      </c>
      <c r="F14" s="161" t="s">
        <v>585</v>
      </c>
      <c r="H14" s="132"/>
      <c r="I14" t="s">
        <v>985</v>
      </c>
    </row>
    <row r="15" spans="1:10" x14ac:dyDescent="0.2">
      <c r="B15" s="131">
        <v>43832</v>
      </c>
      <c r="C15" s="130" t="s">
        <v>572</v>
      </c>
      <c r="D15" s="160">
        <v>-125.34</v>
      </c>
      <c r="E15" s="134" t="s">
        <v>582</v>
      </c>
      <c r="F15" s="161" t="s">
        <v>586</v>
      </c>
      <c r="G15" s="46"/>
      <c r="H15" s="132"/>
      <c r="I15" t="s">
        <v>985</v>
      </c>
    </row>
    <row r="16" spans="1:10" x14ac:dyDescent="0.2">
      <c r="B16" s="131">
        <v>43833</v>
      </c>
      <c r="C16" s="130" t="s">
        <v>572</v>
      </c>
      <c r="D16" s="160">
        <v>-209.16</v>
      </c>
      <c r="E16" s="134" t="s">
        <v>582</v>
      </c>
      <c r="F16" s="161" t="s">
        <v>589</v>
      </c>
      <c r="G16" s="46"/>
      <c r="H16" s="132"/>
      <c r="I16" t="s">
        <v>986</v>
      </c>
      <c r="J16" s="132"/>
    </row>
    <row r="17" spans="2:16" x14ac:dyDescent="0.2">
      <c r="B17" s="131">
        <v>43833</v>
      </c>
      <c r="C17" s="130" t="s">
        <v>572</v>
      </c>
      <c r="D17" s="160">
        <v>-236.44</v>
      </c>
      <c r="E17" s="134" t="s">
        <v>582</v>
      </c>
      <c r="F17" s="161" t="s">
        <v>590</v>
      </c>
      <c r="G17" s="132"/>
      <c r="H17" s="132"/>
      <c r="I17" t="s">
        <v>986</v>
      </c>
      <c r="J17" s="132"/>
    </row>
    <row r="18" spans="2:16" x14ac:dyDescent="0.2">
      <c r="B18" s="131">
        <v>43833</v>
      </c>
      <c r="C18" s="130" t="s">
        <v>572</v>
      </c>
      <c r="D18" s="160">
        <v>-260.98</v>
      </c>
      <c r="E18" s="134" t="s">
        <v>582</v>
      </c>
      <c r="F18" s="161" t="s">
        <v>591</v>
      </c>
      <c r="G18" s="132"/>
      <c r="H18" s="132"/>
      <c r="I18" t="s">
        <v>986</v>
      </c>
    </row>
    <row r="19" spans="2:16" x14ac:dyDescent="0.2">
      <c r="B19" s="131">
        <v>43833</v>
      </c>
      <c r="C19" s="130" t="s">
        <v>572</v>
      </c>
      <c r="D19" s="160">
        <v>-251.96</v>
      </c>
      <c r="E19" s="134" t="s">
        <v>582</v>
      </c>
      <c r="F19" s="161" t="s">
        <v>592</v>
      </c>
      <c r="G19" s="132"/>
      <c r="H19" s="132"/>
      <c r="I19" t="s">
        <v>986</v>
      </c>
    </row>
    <row r="20" spans="2:16" x14ac:dyDescent="0.2">
      <c r="B20" s="131">
        <v>43833</v>
      </c>
      <c r="C20" s="130" t="s">
        <v>572</v>
      </c>
      <c r="D20" s="160">
        <v>-206.93</v>
      </c>
      <c r="E20" s="134" t="s">
        <v>582</v>
      </c>
      <c r="F20" s="161" t="s">
        <v>593</v>
      </c>
      <c r="G20" s="132"/>
      <c r="H20" s="132"/>
      <c r="I20" t="s">
        <v>986</v>
      </c>
    </row>
    <row r="21" spans="2:16" x14ac:dyDescent="0.2">
      <c r="B21" s="131">
        <v>43833</v>
      </c>
      <c r="C21" s="130" t="s">
        <v>572</v>
      </c>
      <c r="D21" s="160">
        <v>-251.78</v>
      </c>
      <c r="E21" s="134" t="s">
        <v>582</v>
      </c>
      <c r="F21" s="161" t="s">
        <v>594</v>
      </c>
      <c r="G21" s="132"/>
      <c r="H21" s="132"/>
      <c r="I21" t="s">
        <v>986</v>
      </c>
    </row>
    <row r="22" spans="2:16" x14ac:dyDescent="0.2">
      <c r="B22" s="131">
        <v>43833</v>
      </c>
      <c r="C22" s="130" t="s">
        <v>572</v>
      </c>
      <c r="D22" s="160">
        <v>-206.8</v>
      </c>
      <c r="E22" s="134" t="s">
        <v>582</v>
      </c>
      <c r="F22" s="161" t="s">
        <v>595</v>
      </c>
      <c r="G22" s="132"/>
      <c r="H22" s="132"/>
      <c r="I22" t="s">
        <v>986</v>
      </c>
    </row>
    <row r="23" spans="2:16" x14ac:dyDescent="0.2">
      <c r="B23" s="131">
        <v>43833</v>
      </c>
      <c r="C23" s="130" t="s">
        <v>572</v>
      </c>
      <c r="D23" s="160">
        <v>-159.5</v>
      </c>
      <c r="E23" s="134" t="s">
        <v>582</v>
      </c>
      <c r="F23" s="161" t="s">
        <v>596</v>
      </c>
      <c r="G23" s="132"/>
      <c r="H23" s="132"/>
      <c r="I23" t="s">
        <v>986</v>
      </c>
      <c r="J23" s="132"/>
    </row>
    <row r="24" spans="2:16" x14ac:dyDescent="0.2">
      <c r="B24" s="131">
        <v>43833</v>
      </c>
      <c r="C24" s="130" t="s">
        <v>572</v>
      </c>
      <c r="D24" s="160">
        <v>-177.04</v>
      </c>
      <c r="E24" s="134" t="s">
        <v>582</v>
      </c>
      <c r="F24" s="161" t="s">
        <v>597</v>
      </c>
      <c r="G24" s="132"/>
      <c r="H24" s="132"/>
      <c r="I24" t="s">
        <v>986</v>
      </c>
      <c r="J24" s="132"/>
    </row>
    <row r="25" spans="2:16" x14ac:dyDescent="0.2">
      <c r="B25" s="131">
        <v>43833</v>
      </c>
      <c r="C25" s="130" t="s">
        <v>572</v>
      </c>
      <c r="D25" s="160">
        <v>-177.08</v>
      </c>
      <c r="E25" s="134" t="s">
        <v>582</v>
      </c>
      <c r="F25" s="161" t="s">
        <v>598</v>
      </c>
      <c r="G25" s="132"/>
      <c r="H25" s="132"/>
      <c r="I25" t="s">
        <v>986</v>
      </c>
    </row>
    <row r="26" spans="2:16" x14ac:dyDescent="0.2">
      <c r="B26" s="131">
        <v>43833</v>
      </c>
      <c r="C26" s="130" t="s">
        <v>572</v>
      </c>
      <c r="D26" s="160">
        <v>-161.62</v>
      </c>
      <c r="E26" s="134" t="s">
        <v>582</v>
      </c>
      <c r="F26" s="161" t="s">
        <v>599</v>
      </c>
      <c r="H26" s="132"/>
      <c r="I26" t="s">
        <v>986</v>
      </c>
    </row>
    <row r="27" spans="2:16" x14ac:dyDescent="0.2">
      <c r="B27" s="131">
        <v>43836</v>
      </c>
      <c r="C27" s="130" t="s">
        <v>572</v>
      </c>
      <c r="D27" s="160">
        <v>68.239999999999995</v>
      </c>
      <c r="E27" s="134" t="s">
        <v>574</v>
      </c>
      <c r="F27" s="161" t="s">
        <v>588</v>
      </c>
      <c r="G27" s="132"/>
      <c r="H27" s="132"/>
      <c r="I27" t="s">
        <v>985</v>
      </c>
    </row>
    <row r="28" spans="2:16" x14ac:dyDescent="0.2">
      <c r="B28" s="131">
        <v>43836</v>
      </c>
      <c r="C28" s="130" t="s">
        <v>572</v>
      </c>
      <c r="D28" s="160">
        <v>-61.64</v>
      </c>
      <c r="E28" s="134" t="s">
        <v>582</v>
      </c>
      <c r="F28" s="175" t="s">
        <v>691</v>
      </c>
      <c r="G28" s="132"/>
      <c r="H28" s="132"/>
      <c r="I28" t="s">
        <v>985</v>
      </c>
    </row>
    <row r="29" spans="2:16" x14ac:dyDescent="0.2">
      <c r="B29" s="131">
        <v>43836</v>
      </c>
      <c r="C29" s="130" t="s">
        <v>572</v>
      </c>
      <c r="D29" s="160">
        <v>-15.06</v>
      </c>
      <c r="E29" s="134" t="s">
        <v>582</v>
      </c>
      <c r="F29" s="161" t="s">
        <v>613</v>
      </c>
      <c r="H29" s="132"/>
      <c r="I29" t="s">
        <v>985</v>
      </c>
    </row>
    <row r="30" spans="2:16" x14ac:dyDescent="0.2">
      <c r="B30" s="131">
        <v>43836</v>
      </c>
      <c r="C30" s="130" t="s">
        <v>572</v>
      </c>
      <c r="D30" s="160">
        <v>131.51</v>
      </c>
      <c r="E30" s="134" t="s">
        <v>630</v>
      </c>
      <c r="F30" s="161" t="s">
        <v>692</v>
      </c>
      <c r="G30" s="132" t="s">
        <v>478</v>
      </c>
      <c r="H30" s="46" t="s">
        <v>942</v>
      </c>
      <c r="I30" t="s">
        <v>987</v>
      </c>
      <c r="P30" s="132"/>
    </row>
    <row r="31" spans="2:16" x14ac:dyDescent="0.2">
      <c r="B31" s="131">
        <v>43836</v>
      </c>
      <c r="C31" s="130" t="s">
        <v>572</v>
      </c>
      <c r="D31" s="160">
        <v>-24.9</v>
      </c>
      <c r="E31" s="134" t="s">
        <v>573</v>
      </c>
      <c r="F31" s="161" t="s">
        <v>685</v>
      </c>
      <c r="G31" s="132"/>
      <c r="H31" s="132"/>
      <c r="I31" t="s">
        <v>985</v>
      </c>
    </row>
    <row r="32" spans="2:16" x14ac:dyDescent="0.2">
      <c r="B32" s="131">
        <v>43836</v>
      </c>
      <c r="C32" s="130" t="s">
        <v>572</v>
      </c>
      <c r="D32" s="160">
        <v>-89.05</v>
      </c>
      <c r="E32" s="132" t="s">
        <v>573</v>
      </c>
      <c r="F32" s="161" t="s">
        <v>693</v>
      </c>
      <c r="G32"/>
      <c r="H32" s="46"/>
      <c r="I32" t="s">
        <v>985</v>
      </c>
    </row>
    <row r="33" spans="2:10" x14ac:dyDescent="0.2">
      <c r="B33" s="131">
        <v>43836</v>
      </c>
      <c r="C33" s="130" t="s">
        <v>572</v>
      </c>
      <c r="D33" s="160">
        <v>-100</v>
      </c>
      <c r="E33" s="132" t="s">
        <v>573</v>
      </c>
      <c r="F33" s="161" t="s">
        <v>694</v>
      </c>
      <c r="G33"/>
      <c r="H33" s="46"/>
      <c r="I33" t="s">
        <v>985</v>
      </c>
    </row>
    <row r="34" spans="2:10" x14ac:dyDescent="0.2">
      <c r="B34" s="131">
        <v>43836</v>
      </c>
      <c r="C34" s="130" t="s">
        <v>572</v>
      </c>
      <c r="D34" s="160">
        <v>-53.5</v>
      </c>
      <c r="E34" s="134" t="s">
        <v>573</v>
      </c>
      <c r="F34" s="161" t="s">
        <v>694</v>
      </c>
      <c r="G34" s="132"/>
      <c r="H34" s="132"/>
      <c r="I34" t="s">
        <v>985</v>
      </c>
    </row>
    <row r="35" spans="2:10" x14ac:dyDescent="0.2">
      <c r="B35" s="131">
        <v>43837</v>
      </c>
      <c r="C35" s="130" t="s">
        <v>572</v>
      </c>
      <c r="D35" s="176">
        <v>-65</v>
      </c>
      <c r="E35" s="134" t="s">
        <v>573</v>
      </c>
      <c r="F35" s="161" t="s">
        <v>695</v>
      </c>
      <c r="G35" s="46" t="s">
        <v>488</v>
      </c>
      <c r="H35" s="132" t="s">
        <v>959</v>
      </c>
      <c r="I35" t="s">
        <v>988</v>
      </c>
    </row>
    <row r="36" spans="2:10" x14ac:dyDescent="0.2">
      <c r="B36" s="131">
        <v>43837</v>
      </c>
      <c r="C36" s="130" t="s">
        <v>572</v>
      </c>
      <c r="D36" s="176">
        <v>-180</v>
      </c>
      <c r="E36" s="134" t="s">
        <v>573</v>
      </c>
      <c r="F36" s="161" t="s">
        <v>696</v>
      </c>
      <c r="G36" s="46" t="s">
        <v>478</v>
      </c>
      <c r="H36" s="132" t="s">
        <v>960</v>
      </c>
      <c r="I36" t="s">
        <v>988</v>
      </c>
    </row>
    <row r="37" spans="2:10" x14ac:dyDescent="0.2">
      <c r="B37" s="131">
        <v>43837</v>
      </c>
      <c r="C37" s="130" t="s">
        <v>572</v>
      </c>
      <c r="D37" s="160">
        <v>408.32</v>
      </c>
      <c r="E37" s="134" t="s">
        <v>574</v>
      </c>
      <c r="F37" s="161" t="s">
        <v>588</v>
      </c>
      <c r="G37" s="132"/>
      <c r="H37" s="132"/>
      <c r="I37" t="s">
        <v>985</v>
      </c>
    </row>
    <row r="38" spans="2:10" x14ac:dyDescent="0.2">
      <c r="B38" s="131">
        <v>43837</v>
      </c>
      <c r="C38" s="130" t="s">
        <v>572</v>
      </c>
      <c r="D38" s="160">
        <v>458</v>
      </c>
      <c r="E38" s="134" t="s">
        <v>574</v>
      </c>
      <c r="F38" s="161" t="s">
        <v>600</v>
      </c>
      <c r="H38" s="134"/>
      <c r="I38" t="s">
        <v>985</v>
      </c>
      <c r="J38" s="132"/>
    </row>
    <row r="39" spans="2:10" x14ac:dyDescent="0.2">
      <c r="B39" s="131">
        <v>43837</v>
      </c>
      <c r="C39" s="130" t="s">
        <v>572</v>
      </c>
      <c r="D39" s="160">
        <v>41.71</v>
      </c>
      <c r="E39" s="134" t="s">
        <v>574</v>
      </c>
      <c r="F39" s="161" t="s">
        <v>607</v>
      </c>
      <c r="G39" s="46"/>
      <c r="H39" s="132"/>
      <c r="I39" t="s">
        <v>985</v>
      </c>
    </row>
    <row r="40" spans="2:10" x14ac:dyDescent="0.2">
      <c r="B40" s="131">
        <v>43838</v>
      </c>
      <c r="C40" s="130" t="s">
        <v>572</v>
      </c>
      <c r="D40" s="160">
        <v>-60.98</v>
      </c>
      <c r="E40" s="134" t="s">
        <v>573</v>
      </c>
      <c r="F40" s="161" t="s">
        <v>697</v>
      </c>
      <c r="H40" s="132"/>
      <c r="I40" t="s">
        <v>985</v>
      </c>
    </row>
    <row r="41" spans="2:10" x14ac:dyDescent="0.2">
      <c r="B41" s="131">
        <v>43838</v>
      </c>
      <c r="C41" s="130" t="s">
        <v>572</v>
      </c>
      <c r="D41" s="160">
        <v>-3755.12</v>
      </c>
      <c r="E41" s="134" t="s">
        <v>674</v>
      </c>
      <c r="F41" s="161" t="s">
        <v>698</v>
      </c>
      <c r="G41"/>
      <c r="H41" s="46"/>
      <c r="I41" t="s">
        <v>985</v>
      </c>
    </row>
    <row r="42" spans="2:10" x14ac:dyDescent="0.2">
      <c r="B42" s="131">
        <v>43838</v>
      </c>
      <c r="C42" s="130" t="s">
        <v>572</v>
      </c>
      <c r="D42" s="160">
        <v>-3074.16</v>
      </c>
      <c r="E42" s="134" t="s">
        <v>674</v>
      </c>
      <c r="F42" s="161" t="s">
        <v>699</v>
      </c>
      <c r="H42" s="132"/>
      <c r="I42" t="s">
        <v>985</v>
      </c>
      <c r="J42" s="132"/>
    </row>
    <row r="43" spans="2:10" x14ac:dyDescent="0.2">
      <c r="B43" s="131">
        <v>43838</v>
      </c>
      <c r="C43" s="130" t="s">
        <v>572</v>
      </c>
      <c r="D43" s="160">
        <v>6829.28</v>
      </c>
      <c r="E43" s="134" t="s">
        <v>674</v>
      </c>
      <c r="F43" s="133" t="s">
        <v>700</v>
      </c>
      <c r="G43" s="132"/>
      <c r="H43" s="132"/>
      <c r="I43" t="s">
        <v>985</v>
      </c>
    </row>
    <row r="44" spans="2:10" x14ac:dyDescent="0.2">
      <c r="B44" s="131">
        <v>43839</v>
      </c>
      <c r="C44" s="130" t="s">
        <v>572</v>
      </c>
      <c r="D44" s="160">
        <v>-30</v>
      </c>
      <c r="E44" s="134" t="s">
        <v>573</v>
      </c>
      <c r="F44" s="133" t="s">
        <v>701</v>
      </c>
      <c r="H44" s="132"/>
      <c r="I44" t="s">
        <v>985</v>
      </c>
    </row>
    <row r="45" spans="2:10" x14ac:dyDescent="0.2">
      <c r="B45" s="131">
        <v>43839</v>
      </c>
      <c r="C45" s="130" t="s">
        <v>572</v>
      </c>
      <c r="D45" s="160">
        <v>-8</v>
      </c>
      <c r="E45" s="134" t="s">
        <v>573</v>
      </c>
      <c r="F45" s="161" t="s">
        <v>701</v>
      </c>
      <c r="H45" s="132"/>
      <c r="I45" t="s">
        <v>985</v>
      </c>
    </row>
    <row r="46" spans="2:10" x14ac:dyDescent="0.2">
      <c r="B46" s="131">
        <v>43839</v>
      </c>
      <c r="C46" s="130" t="s">
        <v>572</v>
      </c>
      <c r="D46" s="160">
        <v>-21.97</v>
      </c>
      <c r="E46" s="134" t="s">
        <v>582</v>
      </c>
      <c r="F46" s="161" t="s">
        <v>609</v>
      </c>
      <c r="G46" s="132"/>
      <c r="H46" s="132"/>
      <c r="I46" t="s">
        <v>986</v>
      </c>
    </row>
    <row r="47" spans="2:10" x14ac:dyDescent="0.2">
      <c r="B47" s="131">
        <v>43840</v>
      </c>
      <c r="C47" s="130" t="s">
        <v>572</v>
      </c>
      <c r="D47" s="160">
        <v>-1497.38</v>
      </c>
      <c r="E47" s="134" t="s">
        <v>573</v>
      </c>
      <c r="F47" s="161" t="s">
        <v>702</v>
      </c>
      <c r="G47" t="s">
        <v>506</v>
      </c>
      <c r="H47" s="132" t="s">
        <v>957</v>
      </c>
      <c r="I47" t="s">
        <v>988</v>
      </c>
      <c r="J47" s="132"/>
    </row>
    <row r="48" spans="2:10" x14ac:dyDescent="0.2">
      <c r="B48" s="131">
        <v>43840</v>
      </c>
      <c r="C48" s="130" t="s">
        <v>572</v>
      </c>
      <c r="D48" s="160">
        <v>189.96</v>
      </c>
      <c r="E48" s="134" t="s">
        <v>574</v>
      </c>
      <c r="F48" s="161" t="s">
        <v>602</v>
      </c>
      <c r="G48" s="46"/>
      <c r="H48" s="132"/>
      <c r="I48" t="s">
        <v>985</v>
      </c>
      <c r="J48" s="132"/>
    </row>
    <row r="49" spans="2:10" x14ac:dyDescent="0.2">
      <c r="B49" s="131">
        <v>43840</v>
      </c>
      <c r="C49" s="130" t="s">
        <v>572</v>
      </c>
      <c r="D49" s="160">
        <v>-103.25</v>
      </c>
      <c r="E49" s="134" t="s">
        <v>582</v>
      </c>
      <c r="F49" s="161" t="s">
        <v>610</v>
      </c>
      <c r="G49" s="46"/>
      <c r="H49" s="46"/>
      <c r="I49" t="s">
        <v>986</v>
      </c>
    </row>
    <row r="50" spans="2:10" x14ac:dyDescent="0.2">
      <c r="B50" s="131">
        <v>43843</v>
      </c>
      <c r="C50" s="130" t="s">
        <v>572</v>
      </c>
      <c r="D50" s="130">
        <v>-6.18</v>
      </c>
      <c r="E50" s="130" t="s">
        <v>573</v>
      </c>
      <c r="F50" s="130" t="s">
        <v>703</v>
      </c>
      <c r="I50" t="s">
        <v>985</v>
      </c>
    </row>
    <row r="51" spans="2:10" x14ac:dyDescent="0.2">
      <c r="B51" s="131">
        <v>43843</v>
      </c>
      <c r="C51" s="130" t="s">
        <v>572</v>
      </c>
      <c r="D51" s="130">
        <v>-153.87</v>
      </c>
      <c r="E51" s="130" t="s">
        <v>630</v>
      </c>
      <c r="F51" s="130" t="s">
        <v>612</v>
      </c>
      <c r="G51" s="132"/>
      <c r="H51" s="132"/>
      <c r="I51" t="s">
        <v>985</v>
      </c>
    </row>
    <row r="52" spans="2:10" x14ac:dyDescent="0.2">
      <c r="B52" s="131">
        <v>43843</v>
      </c>
      <c r="C52" s="130" t="s">
        <v>572</v>
      </c>
      <c r="D52" s="130">
        <v>495</v>
      </c>
      <c r="E52" s="130" t="s">
        <v>674</v>
      </c>
      <c r="F52" s="130" t="s">
        <v>675</v>
      </c>
      <c r="G52" t="s">
        <v>473</v>
      </c>
      <c r="H52" s="46" t="s">
        <v>939</v>
      </c>
      <c r="I52" t="s">
        <v>987</v>
      </c>
    </row>
    <row r="53" spans="2:10" x14ac:dyDescent="0.2">
      <c r="B53" s="131">
        <v>43844</v>
      </c>
      <c r="C53" s="130" t="s">
        <v>572</v>
      </c>
      <c r="D53" s="130">
        <v>625</v>
      </c>
      <c r="E53" s="132" t="s">
        <v>687</v>
      </c>
      <c r="F53" s="130" t="s">
        <v>688</v>
      </c>
      <c r="G53" s="132" t="s">
        <v>489</v>
      </c>
      <c r="H53" s="46" t="s">
        <v>955</v>
      </c>
      <c r="I53" t="s">
        <v>987</v>
      </c>
      <c r="J53" s="132"/>
    </row>
    <row r="54" spans="2:10" x14ac:dyDescent="0.2">
      <c r="B54" s="131">
        <v>43844</v>
      </c>
      <c r="C54" s="130" t="s">
        <v>572</v>
      </c>
      <c r="D54" s="130">
        <v>175</v>
      </c>
      <c r="E54" s="132" t="s">
        <v>687</v>
      </c>
      <c r="F54" s="130" t="s">
        <v>688</v>
      </c>
      <c r="G54" s="46" t="s">
        <v>489</v>
      </c>
      <c r="H54" s="46" t="s">
        <v>940</v>
      </c>
      <c r="I54" t="s">
        <v>987</v>
      </c>
      <c r="J54" s="132"/>
    </row>
    <row r="55" spans="2:10" x14ac:dyDescent="0.2">
      <c r="B55" s="131">
        <v>43844</v>
      </c>
      <c r="C55" s="130" t="s">
        <v>572</v>
      </c>
      <c r="D55" s="130">
        <v>-14.99</v>
      </c>
      <c r="E55" s="130" t="s">
        <v>573</v>
      </c>
      <c r="F55" s="130" t="s">
        <v>704</v>
      </c>
      <c r="H55" s="132"/>
      <c r="I55" t="s">
        <v>985</v>
      </c>
    </row>
    <row r="56" spans="2:10" x14ac:dyDescent="0.2">
      <c r="B56" s="131">
        <v>43844</v>
      </c>
      <c r="C56" s="130" t="s">
        <v>572</v>
      </c>
      <c r="D56" s="51">
        <v>-220</v>
      </c>
      <c r="E56" s="130" t="s">
        <v>573</v>
      </c>
      <c r="F56" s="130" t="s">
        <v>705</v>
      </c>
      <c r="G56" s="46" t="s">
        <v>495</v>
      </c>
      <c r="H56" s="132" t="s">
        <v>961</v>
      </c>
      <c r="I56" t="s">
        <v>988</v>
      </c>
    </row>
    <row r="57" spans="2:10" x14ac:dyDescent="0.2">
      <c r="B57" s="131">
        <v>43845</v>
      </c>
      <c r="C57" s="130" t="s">
        <v>572</v>
      </c>
      <c r="D57" s="51">
        <v>-259</v>
      </c>
      <c r="E57" s="130" t="s">
        <v>573</v>
      </c>
      <c r="F57" s="130" t="s">
        <v>706</v>
      </c>
      <c r="G57" s="46" t="s">
        <v>483</v>
      </c>
      <c r="H57" s="132" t="s">
        <v>962</v>
      </c>
      <c r="I57" t="s">
        <v>988</v>
      </c>
    </row>
    <row r="58" spans="2:10" x14ac:dyDescent="0.2">
      <c r="B58" s="131">
        <v>43845</v>
      </c>
      <c r="C58" s="130" t="s">
        <v>572</v>
      </c>
      <c r="D58" s="51">
        <v>-110</v>
      </c>
      <c r="E58" s="130" t="s">
        <v>573</v>
      </c>
      <c r="F58" s="130" t="s">
        <v>707</v>
      </c>
      <c r="G58" s="46" t="s">
        <v>483</v>
      </c>
      <c r="H58" s="132" t="s">
        <v>963</v>
      </c>
      <c r="I58" t="s">
        <v>988</v>
      </c>
    </row>
    <row r="59" spans="2:10" x14ac:dyDescent="0.2">
      <c r="B59" s="131">
        <v>43845</v>
      </c>
      <c r="C59" s="130" t="s">
        <v>572</v>
      </c>
      <c r="D59" s="130">
        <v>-1027.9000000000001</v>
      </c>
      <c r="E59" s="130" t="s">
        <v>573</v>
      </c>
      <c r="F59" s="130" t="s">
        <v>708</v>
      </c>
      <c r="G59" t="s">
        <v>470</v>
      </c>
      <c r="H59" s="174" t="s">
        <v>958</v>
      </c>
      <c r="I59" t="s">
        <v>988</v>
      </c>
    </row>
    <row r="60" spans="2:10" x14ac:dyDescent="0.2">
      <c r="B60" s="131">
        <v>43845</v>
      </c>
      <c r="C60" s="130" t="s">
        <v>572</v>
      </c>
      <c r="D60" s="130">
        <v>63.01</v>
      </c>
      <c r="E60" s="130" t="s">
        <v>574</v>
      </c>
      <c r="F60" s="130" t="s">
        <v>611</v>
      </c>
      <c r="G60" s="132"/>
      <c r="H60" s="132"/>
      <c r="I60" t="s">
        <v>985</v>
      </c>
    </row>
    <row r="61" spans="2:10" x14ac:dyDescent="0.2">
      <c r="B61" s="131">
        <v>43845</v>
      </c>
      <c r="C61" s="130" t="s">
        <v>572</v>
      </c>
      <c r="D61" s="130">
        <v>500</v>
      </c>
      <c r="E61" s="130" t="s">
        <v>628</v>
      </c>
      <c r="F61" s="130" t="s">
        <v>709</v>
      </c>
      <c r="G61" s="46" t="s">
        <v>478</v>
      </c>
      <c r="H61" s="46" t="s">
        <v>942</v>
      </c>
      <c r="I61" t="s">
        <v>987</v>
      </c>
    </row>
    <row r="62" spans="2:10" x14ac:dyDescent="0.2">
      <c r="B62" s="131">
        <v>43845</v>
      </c>
      <c r="C62" s="130" t="s">
        <v>572</v>
      </c>
      <c r="D62" s="130">
        <v>-242.09</v>
      </c>
      <c r="E62" s="130" t="s">
        <v>582</v>
      </c>
      <c r="F62" s="130" t="s">
        <v>614</v>
      </c>
      <c r="H62" s="134"/>
      <c r="I62" t="s">
        <v>986</v>
      </c>
      <c r="J62" s="132"/>
    </row>
    <row r="63" spans="2:10" x14ac:dyDescent="0.2">
      <c r="B63" s="131">
        <v>43845</v>
      </c>
      <c r="C63" s="130" t="s">
        <v>572</v>
      </c>
      <c r="D63" s="130">
        <v>-203.62</v>
      </c>
      <c r="E63" s="130" t="s">
        <v>582</v>
      </c>
      <c r="F63" s="130" t="s">
        <v>615</v>
      </c>
      <c r="G63" s="46"/>
      <c r="H63" s="134"/>
      <c r="I63" t="s">
        <v>986</v>
      </c>
      <c r="J63" s="132"/>
    </row>
    <row r="64" spans="2:10" x14ac:dyDescent="0.2">
      <c r="B64" s="131">
        <v>43845</v>
      </c>
      <c r="C64" s="130" t="s">
        <v>572</v>
      </c>
      <c r="D64" s="130">
        <v>-476.44</v>
      </c>
      <c r="E64" s="130" t="s">
        <v>582</v>
      </c>
      <c r="F64" s="132" t="s">
        <v>616</v>
      </c>
      <c r="G64" s="46"/>
      <c r="H64" s="132"/>
      <c r="I64" t="s">
        <v>985</v>
      </c>
      <c r="J64" s="132"/>
    </row>
    <row r="65" spans="2:10" x14ac:dyDescent="0.2">
      <c r="B65" s="131">
        <v>43846</v>
      </c>
      <c r="C65" s="130" t="s">
        <v>572</v>
      </c>
      <c r="D65" s="130">
        <v>439.49</v>
      </c>
      <c r="E65" s="130" t="s">
        <v>574</v>
      </c>
      <c r="F65" s="130" t="s">
        <v>607</v>
      </c>
      <c r="I65" t="s">
        <v>985</v>
      </c>
      <c r="J65" s="132"/>
    </row>
    <row r="66" spans="2:10" x14ac:dyDescent="0.2">
      <c r="B66" s="131">
        <v>43846</v>
      </c>
      <c r="C66" s="130" t="s">
        <v>572</v>
      </c>
      <c r="D66" s="130">
        <v>101.35</v>
      </c>
      <c r="E66" s="130" t="s">
        <v>574</v>
      </c>
      <c r="F66" s="130" t="s">
        <v>605</v>
      </c>
      <c r="I66" t="s">
        <v>985</v>
      </c>
      <c r="J66" s="132"/>
    </row>
    <row r="67" spans="2:10" x14ac:dyDescent="0.2">
      <c r="B67" s="131">
        <v>43846</v>
      </c>
      <c r="C67" s="130" t="s">
        <v>572</v>
      </c>
      <c r="D67" s="130">
        <v>268.04000000000002</v>
      </c>
      <c r="E67" s="130" t="s">
        <v>574</v>
      </c>
      <c r="F67" s="130" t="s">
        <v>602</v>
      </c>
      <c r="I67" t="s">
        <v>985</v>
      </c>
      <c r="J67" s="132"/>
    </row>
    <row r="68" spans="2:10" x14ac:dyDescent="0.2">
      <c r="B68" s="131">
        <v>43846</v>
      </c>
      <c r="C68" s="130" t="s">
        <v>572</v>
      </c>
      <c r="D68" s="130">
        <v>504.4</v>
      </c>
      <c r="E68" s="130" t="s">
        <v>574</v>
      </c>
      <c r="F68" s="130" t="s">
        <v>617</v>
      </c>
      <c r="H68" s="134"/>
      <c r="I68" t="s">
        <v>985</v>
      </c>
    </row>
    <row r="69" spans="2:10" x14ac:dyDescent="0.2">
      <c r="B69" s="131">
        <v>43846</v>
      </c>
      <c r="C69" s="130" t="s">
        <v>572</v>
      </c>
      <c r="D69" s="130">
        <v>379.48</v>
      </c>
      <c r="E69" s="130" t="s">
        <v>574</v>
      </c>
      <c r="F69" s="130" t="s">
        <v>601</v>
      </c>
      <c r="I69" t="s">
        <v>985</v>
      </c>
    </row>
    <row r="70" spans="2:10" x14ac:dyDescent="0.2">
      <c r="B70" s="131">
        <v>43846</v>
      </c>
      <c r="C70" s="130" t="s">
        <v>572</v>
      </c>
      <c r="D70" s="130">
        <v>426.55</v>
      </c>
      <c r="E70" s="130" t="s">
        <v>574</v>
      </c>
      <c r="F70" s="130" t="s">
        <v>604</v>
      </c>
      <c r="H70" s="134"/>
      <c r="I70" t="s">
        <v>985</v>
      </c>
      <c r="J70" s="132"/>
    </row>
    <row r="71" spans="2:10" x14ac:dyDescent="0.2">
      <c r="B71" s="131">
        <v>43846</v>
      </c>
      <c r="C71" s="130" t="s">
        <v>572</v>
      </c>
      <c r="D71" s="130">
        <v>394.99</v>
      </c>
      <c r="E71" s="130" t="s">
        <v>574</v>
      </c>
      <c r="F71" s="130" t="s">
        <v>611</v>
      </c>
      <c r="I71" t="s">
        <v>985</v>
      </c>
      <c r="J71" s="132"/>
    </row>
    <row r="72" spans="2:10" x14ac:dyDescent="0.2">
      <c r="B72" s="131">
        <v>43846</v>
      </c>
      <c r="C72" s="130" t="s">
        <v>572</v>
      </c>
      <c r="D72" s="130">
        <v>422.3</v>
      </c>
      <c r="E72" s="130" t="s">
        <v>574</v>
      </c>
      <c r="F72" s="130" t="s">
        <v>606</v>
      </c>
      <c r="G72" s="132"/>
      <c r="I72" t="s">
        <v>985</v>
      </c>
      <c r="J72" s="132"/>
    </row>
    <row r="73" spans="2:10" x14ac:dyDescent="0.2">
      <c r="B73" s="131">
        <v>43846</v>
      </c>
      <c r="C73" s="130" t="s">
        <v>572</v>
      </c>
      <c r="D73" s="130">
        <v>65.64</v>
      </c>
      <c r="E73" s="130" t="s">
        <v>574</v>
      </c>
      <c r="F73" s="130" t="s">
        <v>608</v>
      </c>
      <c r="G73" s="132"/>
      <c r="H73" s="132"/>
      <c r="I73" t="s">
        <v>985</v>
      </c>
    </row>
    <row r="74" spans="2:10" x14ac:dyDescent="0.2">
      <c r="B74" s="131">
        <v>43846</v>
      </c>
      <c r="C74" s="130" t="s">
        <v>572</v>
      </c>
      <c r="D74" s="130">
        <v>550.79999999999995</v>
      </c>
      <c r="E74" s="130" t="s">
        <v>574</v>
      </c>
      <c r="F74" s="130" t="s">
        <v>618</v>
      </c>
      <c r="H74" s="134"/>
      <c r="I74" t="s">
        <v>985</v>
      </c>
      <c r="J74" s="132"/>
    </row>
    <row r="75" spans="2:10" x14ac:dyDescent="0.2">
      <c r="B75" s="131">
        <v>43846</v>
      </c>
      <c r="C75" s="130" t="s">
        <v>572</v>
      </c>
      <c r="D75" s="130">
        <v>422.29</v>
      </c>
      <c r="E75" s="130" t="s">
        <v>574</v>
      </c>
      <c r="F75" s="130" t="s">
        <v>603</v>
      </c>
      <c r="H75" s="134"/>
      <c r="I75" t="s">
        <v>985</v>
      </c>
    </row>
    <row r="76" spans="2:10" x14ac:dyDescent="0.2">
      <c r="B76" s="131">
        <v>43846</v>
      </c>
      <c r="C76" s="130" t="s">
        <v>572</v>
      </c>
      <c r="D76" s="130">
        <v>-16.170000000000002</v>
      </c>
      <c r="E76" s="130" t="s">
        <v>582</v>
      </c>
      <c r="F76" s="130" t="s">
        <v>619</v>
      </c>
      <c r="G76"/>
      <c r="H76" s="132"/>
      <c r="I76" t="s">
        <v>986</v>
      </c>
    </row>
    <row r="77" spans="2:10" x14ac:dyDescent="0.2">
      <c r="B77" s="131">
        <v>43846</v>
      </c>
      <c r="C77" s="130" t="s">
        <v>572</v>
      </c>
      <c r="D77" s="130">
        <v>-217.44</v>
      </c>
      <c r="E77" s="134" t="s">
        <v>582</v>
      </c>
      <c r="F77" s="130" t="s">
        <v>620</v>
      </c>
      <c r="G77" s="132"/>
      <c r="H77" s="132"/>
      <c r="I77" t="s">
        <v>986</v>
      </c>
    </row>
    <row r="78" spans="2:10" x14ac:dyDescent="0.2">
      <c r="B78" s="131">
        <v>43846</v>
      </c>
      <c r="C78" s="130" t="s">
        <v>572</v>
      </c>
      <c r="D78" s="130">
        <v>-11.99</v>
      </c>
      <c r="E78" s="134" t="s">
        <v>582</v>
      </c>
      <c r="F78" s="130" t="s">
        <v>613</v>
      </c>
      <c r="G78" s="132"/>
      <c r="H78" s="132"/>
      <c r="I78" t="s">
        <v>985</v>
      </c>
    </row>
    <row r="79" spans="2:10" x14ac:dyDescent="0.2">
      <c r="B79" s="131">
        <v>43847</v>
      </c>
      <c r="C79" s="130" t="s">
        <v>572</v>
      </c>
      <c r="D79" s="51">
        <v>-60</v>
      </c>
      <c r="E79" s="130" t="s">
        <v>573</v>
      </c>
      <c r="F79" s="130" t="s">
        <v>710</v>
      </c>
      <c r="G79" s="46" t="s">
        <v>495</v>
      </c>
      <c r="H79" s="132" t="s">
        <v>964</v>
      </c>
      <c r="I79" t="s">
        <v>988</v>
      </c>
      <c r="J79" s="132"/>
    </row>
    <row r="80" spans="2:10" x14ac:dyDescent="0.2">
      <c r="B80" s="131">
        <v>43847</v>
      </c>
      <c r="C80" s="130" t="s">
        <v>572</v>
      </c>
      <c r="D80" s="51">
        <v>-130</v>
      </c>
      <c r="E80" s="130" t="s">
        <v>573</v>
      </c>
      <c r="F80" s="130" t="s">
        <v>711</v>
      </c>
      <c r="G80" t="s">
        <v>470</v>
      </c>
      <c r="H80" s="132" t="s">
        <v>966</v>
      </c>
      <c r="I80" t="s">
        <v>988</v>
      </c>
    </row>
    <row r="81" spans="2:10" x14ac:dyDescent="0.2">
      <c r="B81" s="131">
        <v>43847</v>
      </c>
      <c r="C81" s="130" t="s">
        <v>572</v>
      </c>
      <c r="D81" s="51">
        <v>-59</v>
      </c>
      <c r="E81" s="130" t="s">
        <v>573</v>
      </c>
      <c r="F81" s="130" t="s">
        <v>712</v>
      </c>
      <c r="G81" s="46" t="s">
        <v>495</v>
      </c>
      <c r="H81" s="132" t="s">
        <v>965</v>
      </c>
      <c r="I81" t="s">
        <v>988</v>
      </c>
      <c r="J81" s="132"/>
    </row>
    <row r="82" spans="2:10" x14ac:dyDescent="0.2">
      <c r="B82" s="131">
        <v>43850</v>
      </c>
      <c r="C82" s="130" t="s">
        <v>572</v>
      </c>
      <c r="D82" s="130">
        <v>-159.83000000000001</v>
      </c>
      <c r="E82" s="130" t="s">
        <v>582</v>
      </c>
      <c r="F82" s="130" t="s">
        <v>622</v>
      </c>
      <c r="H82" s="134"/>
      <c r="I82" t="s">
        <v>986</v>
      </c>
      <c r="J82" s="132"/>
    </row>
    <row r="83" spans="2:10" x14ac:dyDescent="0.2">
      <c r="B83" s="131">
        <v>43850</v>
      </c>
      <c r="C83" s="130" t="s">
        <v>572</v>
      </c>
      <c r="D83" s="130">
        <v>-25.88</v>
      </c>
      <c r="E83" s="130" t="s">
        <v>573</v>
      </c>
      <c r="F83" s="130" t="s">
        <v>713</v>
      </c>
      <c r="G83" s="132"/>
      <c r="H83" s="132"/>
      <c r="I83" t="s">
        <v>985</v>
      </c>
      <c r="J83" s="132"/>
    </row>
    <row r="84" spans="2:10" x14ac:dyDescent="0.2">
      <c r="B84" s="131">
        <v>43850</v>
      </c>
      <c r="C84" s="130" t="s">
        <v>572</v>
      </c>
      <c r="D84" s="130">
        <v>-14.6</v>
      </c>
      <c r="E84" s="130" t="s">
        <v>573</v>
      </c>
      <c r="F84" s="130" t="s">
        <v>714</v>
      </c>
      <c r="G84" s="46"/>
      <c r="H84" s="46"/>
      <c r="I84" t="s">
        <v>985</v>
      </c>
    </row>
    <row r="85" spans="2:10" x14ac:dyDescent="0.2">
      <c r="B85" s="131">
        <v>43850</v>
      </c>
      <c r="C85" s="130" t="s">
        <v>572</v>
      </c>
      <c r="D85" s="130">
        <v>-100</v>
      </c>
      <c r="E85" s="130" t="s">
        <v>715</v>
      </c>
      <c r="F85" s="130" t="s">
        <v>716</v>
      </c>
      <c r="G85" s="132"/>
      <c r="H85" s="132"/>
      <c r="I85" t="s">
        <v>985</v>
      </c>
      <c r="J85" s="132"/>
    </row>
    <row r="86" spans="2:10" x14ac:dyDescent="0.2">
      <c r="B86" s="131">
        <v>43850</v>
      </c>
      <c r="C86" s="130" t="s">
        <v>572</v>
      </c>
      <c r="D86" s="130">
        <v>550</v>
      </c>
      <c r="E86" s="134" t="s">
        <v>687</v>
      </c>
      <c r="F86" s="130" t="s">
        <v>717</v>
      </c>
      <c r="G86" s="132" t="s">
        <v>559</v>
      </c>
      <c r="H86" s="46" t="s">
        <v>946</v>
      </c>
      <c r="I86" t="s">
        <v>987</v>
      </c>
      <c r="J86" s="132"/>
    </row>
    <row r="87" spans="2:10" x14ac:dyDescent="0.2">
      <c r="B87" s="131">
        <v>43850</v>
      </c>
      <c r="C87" s="130" t="s">
        <v>572</v>
      </c>
      <c r="D87" s="130">
        <v>-550</v>
      </c>
      <c r="E87" s="134" t="s">
        <v>687</v>
      </c>
      <c r="F87" s="130" t="s">
        <v>717</v>
      </c>
      <c r="G87" s="132" t="s">
        <v>559</v>
      </c>
      <c r="H87" s="132" t="s">
        <v>947</v>
      </c>
      <c r="I87" t="s">
        <v>988</v>
      </c>
      <c r="J87" s="132"/>
    </row>
    <row r="88" spans="2:10" x14ac:dyDescent="0.2">
      <c r="B88" s="131">
        <v>43850</v>
      </c>
      <c r="C88" s="130" t="s">
        <v>572</v>
      </c>
      <c r="D88" s="130">
        <v>634</v>
      </c>
      <c r="E88" s="130" t="s">
        <v>574</v>
      </c>
      <c r="F88" s="130" t="s">
        <v>717</v>
      </c>
      <c r="G88" s="132" t="s">
        <v>559</v>
      </c>
      <c r="H88" s="46" t="s">
        <v>938</v>
      </c>
      <c r="I88" t="s">
        <v>988</v>
      </c>
      <c r="J88" s="134"/>
    </row>
    <row r="89" spans="2:10" x14ac:dyDescent="0.2">
      <c r="B89" s="131">
        <v>43852</v>
      </c>
      <c r="C89" s="130" t="s">
        <v>572</v>
      </c>
      <c r="D89" s="130">
        <v>-202.32</v>
      </c>
      <c r="E89" s="130" t="s">
        <v>582</v>
      </c>
      <c r="F89" s="130" t="s">
        <v>623</v>
      </c>
      <c r="I89" t="s">
        <v>986</v>
      </c>
      <c r="J89" s="134"/>
    </row>
    <row r="90" spans="2:10" x14ac:dyDescent="0.2">
      <c r="B90" s="131">
        <v>43853</v>
      </c>
      <c r="C90" s="130" t="s">
        <v>572</v>
      </c>
      <c r="D90" s="130">
        <v>-18.09</v>
      </c>
      <c r="E90" s="130" t="s">
        <v>573</v>
      </c>
      <c r="F90" s="130" t="s">
        <v>718</v>
      </c>
      <c r="H90" s="132"/>
      <c r="I90" t="s">
        <v>985</v>
      </c>
      <c r="J90" s="134"/>
    </row>
    <row r="91" spans="2:10" x14ac:dyDescent="0.2">
      <c r="B91" s="131">
        <v>43854</v>
      </c>
      <c r="C91" s="130" t="s">
        <v>572</v>
      </c>
      <c r="D91" s="130">
        <v>-4.25</v>
      </c>
      <c r="E91" s="130" t="s">
        <v>573</v>
      </c>
      <c r="F91" s="130" t="s">
        <v>719</v>
      </c>
      <c r="H91" s="134"/>
      <c r="I91" t="s">
        <v>985</v>
      </c>
      <c r="J91" s="134"/>
    </row>
    <row r="92" spans="2:10" x14ac:dyDescent="0.2">
      <c r="B92" s="131">
        <v>43854</v>
      </c>
      <c r="C92" s="130" t="s">
        <v>572</v>
      </c>
      <c r="D92" s="51">
        <v>-150</v>
      </c>
      <c r="E92" s="130" t="s">
        <v>573</v>
      </c>
      <c r="F92" s="130" t="s">
        <v>720</v>
      </c>
      <c r="G92" s="132" t="s">
        <v>488</v>
      </c>
      <c r="H92" s="132" t="s">
        <v>967</v>
      </c>
      <c r="I92" t="s">
        <v>988</v>
      </c>
      <c r="J92" s="132"/>
    </row>
    <row r="93" spans="2:10" x14ac:dyDescent="0.2">
      <c r="B93" s="131">
        <v>43854</v>
      </c>
      <c r="C93" s="130" t="s">
        <v>572</v>
      </c>
      <c r="D93" s="130">
        <v>-39.020000000000003</v>
      </c>
      <c r="E93" s="130" t="s">
        <v>582</v>
      </c>
      <c r="F93" s="130" t="s">
        <v>613</v>
      </c>
      <c r="H93" s="134"/>
      <c r="I93" t="s">
        <v>985</v>
      </c>
      <c r="J93" s="132"/>
    </row>
    <row r="94" spans="2:10" x14ac:dyDescent="0.2">
      <c r="B94" s="131">
        <v>43857</v>
      </c>
      <c r="C94" s="130" t="s">
        <v>572</v>
      </c>
      <c r="D94" s="51">
        <v>-35</v>
      </c>
      <c r="E94" s="130" t="s">
        <v>573</v>
      </c>
      <c r="F94" s="132" t="s">
        <v>721</v>
      </c>
      <c r="G94" t="s">
        <v>469</v>
      </c>
      <c r="H94" s="132" t="s">
        <v>968</v>
      </c>
      <c r="I94" t="s">
        <v>988</v>
      </c>
      <c r="J94" s="132"/>
    </row>
    <row r="95" spans="2:10" x14ac:dyDescent="0.2">
      <c r="B95" s="131">
        <v>43857</v>
      </c>
      <c r="C95" s="130" t="s">
        <v>572</v>
      </c>
      <c r="D95" s="130">
        <v>675</v>
      </c>
      <c r="E95" s="130" t="s">
        <v>628</v>
      </c>
      <c r="F95" s="132" t="s">
        <v>689</v>
      </c>
      <c r="G95" s="46" t="s">
        <v>500</v>
      </c>
      <c r="H95" s="46" t="s">
        <v>941</v>
      </c>
      <c r="I95" t="s">
        <v>987</v>
      </c>
      <c r="J95" s="132"/>
    </row>
    <row r="96" spans="2:10" x14ac:dyDescent="0.2">
      <c r="B96" s="131">
        <v>43857</v>
      </c>
      <c r="C96" s="130" t="s">
        <v>572</v>
      </c>
      <c r="D96" s="130">
        <v>-102</v>
      </c>
      <c r="E96" s="130" t="s">
        <v>575</v>
      </c>
      <c r="F96" s="130" t="s">
        <v>681</v>
      </c>
      <c r="H96" s="132"/>
      <c r="I96" t="s">
        <v>985</v>
      </c>
    </row>
    <row r="97" spans="2:10" x14ac:dyDescent="0.2">
      <c r="B97" s="131">
        <v>43857</v>
      </c>
      <c r="C97" s="130" t="s">
        <v>572</v>
      </c>
      <c r="D97" s="130">
        <v>-13.1</v>
      </c>
      <c r="E97" s="130" t="s">
        <v>573</v>
      </c>
      <c r="F97" s="132" t="s">
        <v>722</v>
      </c>
      <c r="G97" s="132"/>
      <c r="H97" s="132"/>
      <c r="I97" t="s">
        <v>985</v>
      </c>
      <c r="J97" s="132"/>
    </row>
    <row r="98" spans="2:10" x14ac:dyDescent="0.2">
      <c r="B98" s="131">
        <v>43858</v>
      </c>
      <c r="C98" s="130" t="s">
        <v>572</v>
      </c>
      <c r="D98" s="130">
        <v>-634</v>
      </c>
      <c r="E98" s="130" t="s">
        <v>573</v>
      </c>
      <c r="F98" s="130" t="s">
        <v>723</v>
      </c>
      <c r="G98" s="132" t="s">
        <v>559</v>
      </c>
      <c r="H98" s="46" t="s">
        <v>948</v>
      </c>
      <c r="I98" t="s">
        <v>988</v>
      </c>
      <c r="J98" s="134"/>
    </row>
    <row r="99" spans="2:10" x14ac:dyDescent="0.2">
      <c r="B99" s="131">
        <v>43858</v>
      </c>
      <c r="C99" s="130" t="s">
        <v>572</v>
      </c>
      <c r="D99" s="130">
        <v>458</v>
      </c>
      <c r="E99" s="130" t="s">
        <v>574</v>
      </c>
      <c r="F99" s="130" t="s">
        <v>624</v>
      </c>
      <c r="G99" s="132"/>
      <c r="I99" t="s">
        <v>985</v>
      </c>
    </row>
    <row r="100" spans="2:10" x14ac:dyDescent="0.2">
      <c r="B100" s="131">
        <v>43858</v>
      </c>
      <c r="C100" s="130" t="s">
        <v>572</v>
      </c>
      <c r="D100" s="130">
        <v>452</v>
      </c>
      <c r="E100" s="130" t="s">
        <v>574</v>
      </c>
      <c r="F100" s="130" t="s">
        <v>587</v>
      </c>
      <c r="I100" t="s">
        <v>985</v>
      </c>
    </row>
    <row r="101" spans="2:10" x14ac:dyDescent="0.2">
      <c r="B101" s="131">
        <v>43858</v>
      </c>
      <c r="C101" s="130" t="s">
        <v>572</v>
      </c>
      <c r="D101" s="130">
        <v>318.8</v>
      </c>
      <c r="E101" s="130" t="s">
        <v>574</v>
      </c>
      <c r="F101" s="130" t="s">
        <v>621</v>
      </c>
      <c r="I101" t="s">
        <v>985</v>
      </c>
    </row>
    <row r="102" spans="2:10" x14ac:dyDescent="0.2">
      <c r="B102" s="131">
        <v>43858</v>
      </c>
      <c r="C102" s="130" t="s">
        <v>572</v>
      </c>
      <c r="D102" s="130">
        <v>550.79999999999995</v>
      </c>
      <c r="E102" s="130" t="s">
        <v>574</v>
      </c>
      <c r="F102" s="130" t="s">
        <v>625</v>
      </c>
      <c r="I102" t="s">
        <v>985</v>
      </c>
    </row>
    <row r="103" spans="2:10" x14ac:dyDescent="0.2">
      <c r="B103" s="131">
        <v>43859</v>
      </c>
      <c r="C103" s="130" t="s">
        <v>572</v>
      </c>
      <c r="D103" s="130">
        <v>-45.12</v>
      </c>
      <c r="E103" s="130" t="s">
        <v>573</v>
      </c>
      <c r="F103" s="132" t="s">
        <v>724</v>
      </c>
      <c r="G103" s="132"/>
      <c r="H103" s="132"/>
      <c r="I103" t="s">
        <v>985</v>
      </c>
      <c r="J103" s="132"/>
    </row>
    <row r="104" spans="2:10" x14ac:dyDescent="0.2">
      <c r="B104" s="131">
        <v>43859</v>
      </c>
      <c r="C104" s="130" t="s">
        <v>572</v>
      </c>
      <c r="D104" s="130">
        <v>-142.35</v>
      </c>
      <c r="E104" s="130" t="s">
        <v>582</v>
      </c>
      <c r="F104" s="130" t="s">
        <v>666</v>
      </c>
      <c r="H104" s="134"/>
      <c r="I104" t="s">
        <v>986</v>
      </c>
    </row>
    <row r="105" spans="2:10" x14ac:dyDescent="0.2">
      <c r="B105" s="131">
        <v>43859</v>
      </c>
      <c r="C105" s="130" t="s">
        <v>572</v>
      </c>
      <c r="D105" s="51">
        <v>-200</v>
      </c>
      <c r="E105" s="130" t="s">
        <v>573</v>
      </c>
      <c r="F105" s="130" t="s">
        <v>725</v>
      </c>
      <c r="G105" s="46" t="s">
        <v>557</v>
      </c>
      <c r="H105" s="132" t="s">
        <v>969</v>
      </c>
      <c r="I105" t="s">
        <v>988</v>
      </c>
      <c r="J105" s="132"/>
    </row>
    <row r="106" spans="2:10" x14ac:dyDescent="0.2">
      <c r="B106" s="131">
        <v>43859</v>
      </c>
      <c r="C106" s="130" t="s">
        <v>572</v>
      </c>
      <c r="D106" s="51">
        <v>-252</v>
      </c>
      <c r="E106" s="130" t="s">
        <v>573</v>
      </c>
      <c r="F106" s="130" t="s">
        <v>726</v>
      </c>
      <c r="G106" t="s">
        <v>506</v>
      </c>
      <c r="H106" s="132" t="s">
        <v>970</v>
      </c>
      <c r="I106" t="s">
        <v>988</v>
      </c>
      <c r="J106" s="132"/>
    </row>
    <row r="107" spans="2:10" x14ac:dyDescent="0.2">
      <c r="B107" s="131">
        <v>43860</v>
      </c>
      <c r="C107" s="130" t="s">
        <v>572</v>
      </c>
      <c r="D107" s="130">
        <v>-7.4</v>
      </c>
      <c r="E107" s="130" t="s">
        <v>573</v>
      </c>
      <c r="F107" s="130" t="s">
        <v>727</v>
      </c>
      <c r="G107" s="132"/>
      <c r="H107" s="134"/>
      <c r="I107" t="s">
        <v>985</v>
      </c>
    </row>
    <row r="108" spans="2:10" x14ac:dyDescent="0.2">
      <c r="B108" s="131">
        <v>43860</v>
      </c>
      <c r="C108" s="130" t="s">
        <v>572</v>
      </c>
      <c r="D108" s="130">
        <v>350.65</v>
      </c>
      <c r="E108" s="130" t="s">
        <v>574</v>
      </c>
      <c r="F108" s="130" t="s">
        <v>608</v>
      </c>
      <c r="H108" s="132"/>
      <c r="I108" t="s">
        <v>985</v>
      </c>
    </row>
    <row r="109" spans="2:10" x14ac:dyDescent="0.2">
      <c r="B109" s="131">
        <v>43860</v>
      </c>
      <c r="C109" s="130" t="s">
        <v>572</v>
      </c>
      <c r="D109" s="130">
        <v>504.4</v>
      </c>
      <c r="E109" s="130" t="s">
        <v>574</v>
      </c>
      <c r="F109" s="130" t="s">
        <v>680</v>
      </c>
      <c r="I109" t="s">
        <v>985</v>
      </c>
    </row>
    <row r="110" spans="2:10" x14ac:dyDescent="0.2">
      <c r="B110" s="131">
        <v>43860</v>
      </c>
      <c r="C110" s="130" t="s">
        <v>572</v>
      </c>
      <c r="D110" s="130">
        <v>314.94</v>
      </c>
      <c r="E110" s="130" t="s">
        <v>574</v>
      </c>
      <c r="F110" s="130" t="s">
        <v>605</v>
      </c>
      <c r="I110" t="s">
        <v>985</v>
      </c>
    </row>
    <row r="111" spans="2:10" x14ac:dyDescent="0.2">
      <c r="B111" s="131">
        <v>43860</v>
      </c>
      <c r="C111" s="130" t="s">
        <v>572</v>
      </c>
      <c r="D111" s="130">
        <v>-4.99</v>
      </c>
      <c r="E111" s="130" t="s">
        <v>582</v>
      </c>
      <c r="F111" s="130" t="s">
        <v>613</v>
      </c>
      <c r="G111" s="132"/>
      <c r="H111" s="132"/>
      <c r="I111" t="s">
        <v>985</v>
      </c>
      <c r="J111" s="132"/>
    </row>
    <row r="112" spans="2:10" x14ac:dyDescent="0.2">
      <c r="B112" s="131">
        <v>43861</v>
      </c>
      <c r="C112" s="130" t="s">
        <v>572</v>
      </c>
      <c r="D112" s="130">
        <v>675</v>
      </c>
      <c r="E112" s="130" t="s">
        <v>574</v>
      </c>
      <c r="F112" s="130" t="s">
        <v>728</v>
      </c>
      <c r="G112" s="46" t="s">
        <v>487</v>
      </c>
      <c r="H112" s="46" t="s">
        <v>937</v>
      </c>
      <c r="I112" t="s">
        <v>987</v>
      </c>
      <c r="J112" s="132"/>
    </row>
    <row r="113" spans="2:16" x14ac:dyDescent="0.2">
      <c r="B113" s="131">
        <v>43861</v>
      </c>
      <c r="C113" s="130" t="s">
        <v>572</v>
      </c>
      <c r="D113" s="130">
        <v>-104.81</v>
      </c>
      <c r="E113" s="130" t="s">
        <v>573</v>
      </c>
      <c r="F113" s="130" t="s">
        <v>729</v>
      </c>
      <c r="H113" s="132"/>
      <c r="I113" t="s">
        <v>985</v>
      </c>
      <c r="J113" s="132"/>
    </row>
    <row r="114" spans="2:16" x14ac:dyDescent="0.2">
      <c r="B114" s="131">
        <v>43861</v>
      </c>
      <c r="C114" s="130" t="s">
        <v>572</v>
      </c>
      <c r="D114" s="130">
        <v>-207.31</v>
      </c>
      <c r="E114" s="130" t="s">
        <v>582</v>
      </c>
      <c r="F114" s="130" t="s">
        <v>730</v>
      </c>
      <c r="G114" s="132"/>
      <c r="H114" s="134"/>
      <c r="I114" t="s">
        <v>986</v>
      </c>
    </row>
    <row r="115" spans="2:16" x14ac:dyDescent="0.2">
      <c r="B115" s="131">
        <v>43861</v>
      </c>
      <c r="C115" s="130" t="s">
        <v>572</v>
      </c>
      <c r="D115" s="130">
        <v>-211.49</v>
      </c>
      <c r="E115" s="132" t="s">
        <v>582</v>
      </c>
      <c r="F115" s="130" t="s">
        <v>731</v>
      </c>
      <c r="G115" s="132"/>
      <c r="H115" s="132"/>
      <c r="I115" t="s">
        <v>986</v>
      </c>
      <c r="P115" s="132"/>
    </row>
    <row r="116" spans="2:16" x14ac:dyDescent="0.2">
      <c r="B116" s="131">
        <v>43861</v>
      </c>
      <c r="C116" s="130" t="s">
        <v>572</v>
      </c>
      <c r="D116" s="130">
        <v>-211.49</v>
      </c>
      <c r="E116" s="130" t="s">
        <v>582</v>
      </c>
      <c r="F116" s="130" t="s">
        <v>732</v>
      </c>
      <c r="G116" s="132"/>
      <c r="H116" s="132"/>
      <c r="I116" t="s">
        <v>986</v>
      </c>
    </row>
    <row r="117" spans="2:16" x14ac:dyDescent="0.2">
      <c r="B117" s="131">
        <v>43861</v>
      </c>
      <c r="C117" s="130" t="s">
        <v>572</v>
      </c>
      <c r="D117" s="130">
        <v>-211.49</v>
      </c>
      <c r="E117" s="130" t="s">
        <v>582</v>
      </c>
      <c r="F117" s="130" t="s">
        <v>733</v>
      </c>
      <c r="G117" s="133"/>
      <c r="H117" s="134"/>
      <c r="I117" t="s">
        <v>986</v>
      </c>
    </row>
    <row r="118" spans="2:16" x14ac:dyDescent="0.2">
      <c r="B118" s="131">
        <v>43861</v>
      </c>
      <c r="C118" s="130" t="s">
        <v>572</v>
      </c>
      <c r="D118" s="130">
        <v>-95.3</v>
      </c>
      <c r="E118" s="130" t="s">
        <v>582</v>
      </c>
      <c r="F118" s="130" t="s">
        <v>734</v>
      </c>
      <c r="G118" s="132"/>
      <c r="H118" s="132"/>
      <c r="I118" t="s">
        <v>985</v>
      </c>
      <c r="J118" s="132"/>
    </row>
    <row r="119" spans="2:16" x14ac:dyDescent="0.2">
      <c r="B119" s="131"/>
      <c r="H119" s="134"/>
      <c r="J119" s="132"/>
    </row>
    <row r="120" spans="2:16" x14ac:dyDescent="0.2">
      <c r="B120" s="131"/>
    </row>
    <row r="121" spans="2:16" x14ac:dyDescent="0.2">
      <c r="B121" s="131"/>
      <c r="H121" s="132"/>
    </row>
    <row r="122" spans="2:16" x14ac:dyDescent="0.2">
      <c r="B122" s="131"/>
      <c r="H122" s="134"/>
      <c r="J122" s="134"/>
    </row>
    <row r="123" spans="2:16" x14ac:dyDescent="0.2">
      <c r="B123" s="131"/>
      <c r="H123" s="134"/>
      <c r="J123" s="134"/>
    </row>
    <row r="124" spans="2:16" x14ac:dyDescent="0.2">
      <c r="B124" s="131"/>
      <c r="J124" s="132"/>
    </row>
    <row r="125" spans="2:16" x14ac:dyDescent="0.2">
      <c r="B125" s="131"/>
      <c r="J125" s="132"/>
    </row>
    <row r="126" spans="2:16" x14ac:dyDescent="0.2">
      <c r="B126" s="131"/>
    </row>
    <row r="127" spans="2:16" x14ac:dyDescent="0.2">
      <c r="B127" s="131"/>
      <c r="G127" s="132"/>
      <c r="H127" s="132"/>
      <c r="J127" s="132"/>
    </row>
    <row r="128" spans="2:16" x14ac:dyDescent="0.2">
      <c r="B128" s="131"/>
      <c r="E128" s="134"/>
      <c r="H128" s="132"/>
      <c r="J128" s="132"/>
    </row>
    <row r="129" spans="2:10" x14ac:dyDescent="0.2">
      <c r="B129" s="131"/>
      <c r="E129" s="134"/>
      <c r="H129" s="132"/>
      <c r="J129" s="132"/>
    </row>
    <row r="130" spans="2:10" x14ac:dyDescent="0.2">
      <c r="B130" s="131"/>
      <c r="H130" s="132"/>
    </row>
    <row r="131" spans="2:10" x14ac:dyDescent="0.2">
      <c r="B131" s="131"/>
      <c r="H131" s="134"/>
      <c r="J131" s="132"/>
    </row>
    <row r="132" spans="2:10" x14ac:dyDescent="0.2">
      <c r="B132" s="131"/>
    </row>
    <row r="133" spans="2:10" x14ac:dyDescent="0.2">
      <c r="B133" s="131"/>
      <c r="H133" s="134"/>
      <c r="J133" s="132"/>
    </row>
    <row r="134" spans="2:10" x14ac:dyDescent="0.2">
      <c r="B134" s="131"/>
      <c r="G134" s="132"/>
      <c r="H134" s="134"/>
    </row>
    <row r="135" spans="2:10" x14ac:dyDescent="0.2">
      <c r="B135" s="131"/>
      <c r="G135" s="132"/>
      <c r="H135" s="134"/>
    </row>
    <row r="136" spans="2:10" x14ac:dyDescent="0.2">
      <c r="B136" s="131"/>
      <c r="H136" s="134"/>
    </row>
    <row r="137" spans="2:10" x14ac:dyDescent="0.2">
      <c r="B137" s="131"/>
    </row>
    <row r="138" spans="2:10" x14ac:dyDescent="0.2">
      <c r="B138" s="131"/>
      <c r="H138" s="134"/>
      <c r="J138" s="134"/>
    </row>
    <row r="139" spans="2:10" x14ac:dyDescent="0.2">
      <c r="B139" s="131"/>
      <c r="H139" s="134"/>
    </row>
    <row r="140" spans="2:10" x14ac:dyDescent="0.2">
      <c r="B140" s="131"/>
      <c r="J140" s="132"/>
    </row>
    <row r="141" spans="2:10" x14ac:dyDescent="0.2">
      <c r="B141" s="131"/>
      <c r="H141" s="134"/>
    </row>
    <row r="142" spans="2:10" x14ac:dyDescent="0.2">
      <c r="B142" s="131"/>
    </row>
    <row r="143" spans="2:10" x14ac:dyDescent="0.2">
      <c r="B143" s="131"/>
      <c r="H143" s="134"/>
      <c r="J143" s="132"/>
    </row>
    <row r="144" spans="2:10" x14ac:dyDescent="0.2">
      <c r="B144" s="131"/>
      <c r="G144" s="132"/>
      <c r="H144" s="132"/>
      <c r="J144" s="132"/>
    </row>
    <row r="145" spans="2:10" x14ac:dyDescent="0.2">
      <c r="B145" s="131"/>
      <c r="H145" s="134"/>
      <c r="J145" s="132"/>
    </row>
    <row r="146" spans="2:10" x14ac:dyDescent="0.2">
      <c r="B146" s="131"/>
    </row>
    <row r="147" spans="2:10" x14ac:dyDescent="0.2">
      <c r="B147" s="131"/>
      <c r="F147" s="132"/>
    </row>
    <row r="148" spans="2:10" x14ac:dyDescent="0.2">
      <c r="B148" s="131"/>
    </row>
    <row r="149" spans="2:10" x14ac:dyDescent="0.2">
      <c r="B149" s="131"/>
      <c r="H149" s="132"/>
    </row>
    <row r="150" spans="2:10" x14ac:dyDescent="0.2">
      <c r="B150" s="131"/>
    </row>
    <row r="151" spans="2:10" x14ac:dyDescent="0.2">
      <c r="B151" s="131"/>
    </row>
    <row r="152" spans="2:10" x14ac:dyDescent="0.2">
      <c r="B152" s="131"/>
    </row>
    <row r="153" spans="2:10" x14ac:dyDescent="0.2">
      <c r="B153" s="131"/>
    </row>
    <row r="154" spans="2:10" x14ac:dyDescent="0.2">
      <c r="B154" s="131"/>
    </row>
    <row r="155" spans="2:10" x14ac:dyDescent="0.2">
      <c r="B155" s="131"/>
    </row>
    <row r="156" spans="2:10" x14ac:dyDescent="0.2">
      <c r="B156" s="131"/>
    </row>
    <row r="157" spans="2:10" x14ac:dyDescent="0.2">
      <c r="B157" s="131"/>
    </row>
    <row r="158" spans="2:10" x14ac:dyDescent="0.2">
      <c r="B158" s="131"/>
      <c r="H158" s="132"/>
      <c r="J158" s="132"/>
    </row>
    <row r="159" spans="2:10" x14ac:dyDescent="0.2">
      <c r="B159" s="131"/>
      <c r="J159" s="132"/>
    </row>
    <row r="160" spans="2:10" x14ac:dyDescent="0.2">
      <c r="B160" s="131"/>
      <c r="H160" s="134"/>
      <c r="J160" s="134"/>
    </row>
    <row r="161" spans="2:10" x14ac:dyDescent="0.2">
      <c r="B161" s="131"/>
    </row>
    <row r="162" spans="2:10" x14ac:dyDescent="0.2">
      <c r="B162" s="131"/>
      <c r="J162" s="132"/>
    </row>
    <row r="163" spans="2:10" x14ac:dyDescent="0.2">
      <c r="B163" s="131"/>
      <c r="H163" s="134"/>
      <c r="J163" s="132"/>
    </row>
    <row r="164" spans="2:10" x14ac:dyDescent="0.2">
      <c r="B164" s="131"/>
      <c r="J164" s="132"/>
    </row>
    <row r="165" spans="2:10" x14ac:dyDescent="0.2">
      <c r="B165" s="131"/>
    </row>
    <row r="166" spans="2:10" x14ac:dyDescent="0.2">
      <c r="B166" s="131"/>
    </row>
    <row r="167" spans="2:10" x14ac:dyDescent="0.2">
      <c r="B167" s="131"/>
      <c r="H167" s="134"/>
    </row>
    <row r="168" spans="2:10" x14ac:dyDescent="0.2">
      <c r="B168" s="131"/>
      <c r="H168" s="134"/>
      <c r="J168" s="132"/>
    </row>
    <row r="169" spans="2:10" x14ac:dyDescent="0.2">
      <c r="B169" s="131"/>
      <c r="G169" s="132"/>
      <c r="H169" s="134"/>
      <c r="J169" s="132"/>
    </row>
    <row r="170" spans="2:10" x14ac:dyDescent="0.2">
      <c r="B170" s="131"/>
      <c r="J170" s="132"/>
    </row>
    <row r="171" spans="2:10" x14ac:dyDescent="0.2">
      <c r="B171" s="131"/>
      <c r="J171" s="132"/>
    </row>
    <row r="172" spans="2:10" x14ac:dyDescent="0.2">
      <c r="B172" s="131"/>
      <c r="J172" s="132"/>
    </row>
    <row r="173" spans="2:10" x14ac:dyDescent="0.2">
      <c r="B173" s="131"/>
      <c r="J173" s="132"/>
    </row>
    <row r="174" spans="2:10" x14ac:dyDescent="0.2">
      <c r="B174" s="131"/>
      <c r="F174" s="132"/>
      <c r="G174" s="132"/>
      <c r="H174" s="132"/>
      <c r="J174" s="132"/>
    </row>
    <row r="175" spans="2:10" x14ac:dyDescent="0.2">
      <c r="B175" s="131"/>
      <c r="F175" s="132"/>
      <c r="G175" s="133"/>
    </row>
    <row r="176" spans="2:10" x14ac:dyDescent="0.2">
      <c r="B176" s="131"/>
      <c r="J176" s="132"/>
    </row>
    <row r="177" spans="2:10" x14ac:dyDescent="0.2">
      <c r="B177" s="131"/>
      <c r="H177" s="132"/>
      <c r="J177" s="132"/>
    </row>
    <row r="178" spans="2:10" x14ac:dyDescent="0.2">
      <c r="B178" s="131"/>
      <c r="H178" s="132"/>
      <c r="J178" s="132"/>
    </row>
    <row r="179" spans="2:10" x14ac:dyDescent="0.2">
      <c r="B179" s="131"/>
      <c r="J179" s="132"/>
    </row>
    <row r="180" spans="2:10" x14ac:dyDescent="0.2">
      <c r="B180" s="131"/>
      <c r="J180" s="132"/>
    </row>
    <row r="181" spans="2:10" x14ac:dyDescent="0.2">
      <c r="B181" s="131"/>
      <c r="J181" s="132"/>
    </row>
    <row r="182" spans="2:10" x14ac:dyDescent="0.2">
      <c r="B182" s="131"/>
      <c r="J182" s="132"/>
    </row>
    <row r="183" spans="2:10" x14ac:dyDescent="0.2">
      <c r="B183" s="131"/>
      <c r="G183" s="132"/>
      <c r="H183" s="132"/>
    </row>
    <row r="184" spans="2:10" x14ac:dyDescent="0.2">
      <c r="B184" s="131"/>
      <c r="G184" s="132"/>
      <c r="H184" s="132"/>
    </row>
    <row r="185" spans="2:10" x14ac:dyDescent="0.2">
      <c r="B185" s="131"/>
      <c r="G185" s="132"/>
      <c r="H185" s="132"/>
    </row>
    <row r="186" spans="2:10" x14ac:dyDescent="0.2">
      <c r="B186" s="131"/>
      <c r="G186" s="132"/>
      <c r="H186" s="132"/>
    </row>
    <row r="187" spans="2:10" x14ac:dyDescent="0.2">
      <c r="B187" s="131"/>
      <c r="H187" s="132"/>
    </row>
    <row r="188" spans="2:10" x14ac:dyDescent="0.2">
      <c r="B188" s="131"/>
      <c r="H188" s="134"/>
      <c r="J188" s="132"/>
    </row>
    <row r="189" spans="2:10" x14ac:dyDescent="0.2">
      <c r="B189" s="131"/>
      <c r="J189" s="132"/>
    </row>
    <row r="190" spans="2:10" x14ac:dyDescent="0.2">
      <c r="B190" s="131"/>
    </row>
    <row r="191" spans="2:10" x14ac:dyDescent="0.2">
      <c r="B191" s="131"/>
      <c r="J191" s="132"/>
    </row>
    <row r="192" spans="2:10" x14ac:dyDescent="0.2">
      <c r="B192" s="131"/>
      <c r="H192" s="132"/>
      <c r="J192" s="132"/>
    </row>
    <row r="193" spans="2:10" x14ac:dyDescent="0.2">
      <c r="B193" s="131"/>
      <c r="H193" s="134"/>
    </row>
    <row r="194" spans="2:10" x14ac:dyDescent="0.2">
      <c r="B194" s="131"/>
      <c r="H194" s="134"/>
    </row>
    <row r="195" spans="2:10" x14ac:dyDescent="0.2">
      <c r="B195" s="131"/>
      <c r="H195" s="132"/>
    </row>
    <row r="196" spans="2:10" x14ac:dyDescent="0.2">
      <c r="B196" s="131"/>
      <c r="H196" s="132"/>
    </row>
    <row r="197" spans="2:10" x14ac:dyDescent="0.2">
      <c r="B197" s="131"/>
      <c r="H197" s="132"/>
    </row>
    <row r="198" spans="2:10" x14ac:dyDescent="0.2">
      <c r="B198" s="131"/>
    </row>
    <row r="199" spans="2:10" x14ac:dyDescent="0.2">
      <c r="B199" s="131"/>
    </row>
    <row r="200" spans="2:10" x14ac:dyDescent="0.2">
      <c r="B200" s="131"/>
    </row>
    <row r="201" spans="2:10" x14ac:dyDescent="0.2">
      <c r="B201" s="131"/>
      <c r="H201" s="132"/>
      <c r="J201" s="132"/>
    </row>
    <row r="202" spans="2:10" x14ac:dyDescent="0.2">
      <c r="B202" s="131"/>
      <c r="H202" s="132"/>
    </row>
    <row r="203" spans="2:10" x14ac:dyDescent="0.2">
      <c r="B203" s="131"/>
    </row>
    <row r="204" spans="2:10" x14ac:dyDescent="0.2">
      <c r="B204" s="131"/>
    </row>
    <row r="205" spans="2:10" x14ac:dyDescent="0.2">
      <c r="B205" s="131"/>
      <c r="H205" s="132"/>
      <c r="J205" s="132"/>
    </row>
    <row r="206" spans="2:10" x14ac:dyDescent="0.2">
      <c r="B206" s="131"/>
      <c r="H206" s="132"/>
      <c r="J206" s="132"/>
    </row>
    <row r="207" spans="2:10" x14ac:dyDescent="0.2">
      <c r="B207" s="131"/>
    </row>
    <row r="208" spans="2:10" x14ac:dyDescent="0.2">
      <c r="B208" s="131"/>
    </row>
    <row r="209" spans="2:10" x14ac:dyDescent="0.2">
      <c r="B209" s="131"/>
      <c r="H209" s="132"/>
    </row>
    <row r="210" spans="2:10" x14ac:dyDescent="0.2">
      <c r="B210" s="131"/>
    </row>
    <row r="211" spans="2:10" x14ac:dyDescent="0.2">
      <c r="B211" s="131"/>
      <c r="H211" s="132"/>
    </row>
    <row r="212" spans="2:10" x14ac:dyDescent="0.2">
      <c r="B212" s="131"/>
    </row>
    <row r="213" spans="2:10" x14ac:dyDescent="0.2">
      <c r="B213" s="131"/>
      <c r="H213" s="132"/>
    </row>
    <row r="214" spans="2:10" x14ac:dyDescent="0.2">
      <c r="B214" s="131"/>
      <c r="G214" s="132"/>
      <c r="H214" s="132"/>
    </row>
    <row r="215" spans="2:10" x14ac:dyDescent="0.2">
      <c r="B215" s="131"/>
      <c r="H215" s="134"/>
    </row>
    <row r="216" spans="2:10" x14ac:dyDescent="0.2">
      <c r="B216" s="131"/>
      <c r="J216" s="132"/>
    </row>
    <row r="217" spans="2:10" x14ac:dyDescent="0.2">
      <c r="B217" s="131"/>
      <c r="J217" s="132"/>
    </row>
    <row r="218" spans="2:10" x14ac:dyDescent="0.2">
      <c r="B218" s="131"/>
      <c r="G218" s="132"/>
    </row>
    <row r="219" spans="2:10" x14ac:dyDescent="0.2">
      <c r="B219" s="131"/>
      <c r="H219" s="132"/>
      <c r="J219" s="132"/>
    </row>
    <row r="220" spans="2:10" x14ac:dyDescent="0.2">
      <c r="B220" s="131"/>
      <c r="H220" s="132"/>
      <c r="J220" s="132"/>
    </row>
    <row r="221" spans="2:10" x14ac:dyDescent="0.2">
      <c r="B221" s="131"/>
    </row>
    <row r="222" spans="2:10" x14ac:dyDescent="0.2">
      <c r="B222" s="131"/>
    </row>
    <row r="223" spans="2:10" x14ac:dyDescent="0.2">
      <c r="B223" s="131"/>
      <c r="F223" s="132"/>
    </row>
    <row r="224" spans="2:10" x14ac:dyDescent="0.2">
      <c r="B224" s="131"/>
      <c r="H224" s="132"/>
    </row>
    <row r="225" spans="2:10" x14ac:dyDescent="0.2">
      <c r="B225" s="131"/>
      <c r="J225" s="132"/>
    </row>
    <row r="226" spans="2:10" x14ac:dyDescent="0.2">
      <c r="B226" s="131"/>
      <c r="H226" s="134"/>
      <c r="J226" s="134"/>
    </row>
    <row r="227" spans="2:10" x14ac:dyDescent="0.2">
      <c r="B227" s="131"/>
    </row>
    <row r="228" spans="2:10" x14ac:dyDescent="0.2">
      <c r="B228" s="131"/>
      <c r="J228" s="132"/>
    </row>
    <row r="229" spans="2:10" x14ac:dyDescent="0.2">
      <c r="B229" s="131"/>
      <c r="H229" s="132"/>
      <c r="J229" s="132"/>
    </row>
    <row r="230" spans="2:10" x14ac:dyDescent="0.2">
      <c r="B230" s="131"/>
    </row>
    <row r="231" spans="2:10" x14ac:dyDescent="0.2">
      <c r="B231" s="131"/>
    </row>
    <row r="232" spans="2:10" x14ac:dyDescent="0.2">
      <c r="B232" s="131"/>
    </row>
    <row r="233" spans="2:10" x14ac:dyDescent="0.2">
      <c r="B233" s="131"/>
    </row>
    <row r="234" spans="2:10" x14ac:dyDescent="0.2">
      <c r="B234" s="131"/>
    </row>
    <row r="235" spans="2:10" x14ac:dyDescent="0.2">
      <c r="B235" s="131"/>
      <c r="J235" s="132"/>
    </row>
    <row r="236" spans="2:10" x14ac:dyDescent="0.2">
      <c r="B236" s="131"/>
      <c r="J236" s="132"/>
    </row>
    <row r="237" spans="2:10" x14ac:dyDescent="0.2">
      <c r="B237" s="131"/>
    </row>
    <row r="238" spans="2:10" x14ac:dyDescent="0.2">
      <c r="B238" s="131"/>
      <c r="H238" s="132"/>
    </row>
    <row r="239" spans="2:10" x14ac:dyDescent="0.2">
      <c r="B239" s="131"/>
    </row>
    <row r="240" spans="2:10" x14ac:dyDescent="0.2">
      <c r="B240" s="131"/>
    </row>
    <row r="241" spans="2:10" x14ac:dyDescent="0.2">
      <c r="B241" s="131"/>
    </row>
    <row r="242" spans="2:10" x14ac:dyDescent="0.2">
      <c r="B242" s="131"/>
    </row>
    <row r="243" spans="2:10" x14ac:dyDescent="0.2">
      <c r="B243" s="131"/>
    </row>
    <row r="244" spans="2:10" x14ac:dyDescent="0.2">
      <c r="B244" s="131"/>
    </row>
    <row r="245" spans="2:10" x14ac:dyDescent="0.2">
      <c r="B245" s="131"/>
    </row>
    <row r="246" spans="2:10" x14ac:dyDescent="0.2">
      <c r="B246" s="131"/>
    </row>
    <row r="247" spans="2:10" x14ac:dyDescent="0.2">
      <c r="B247" s="131"/>
      <c r="H247" s="132"/>
    </row>
    <row r="248" spans="2:10" x14ac:dyDescent="0.2">
      <c r="B248" s="131"/>
      <c r="H248" s="132"/>
      <c r="J248" s="132"/>
    </row>
    <row r="249" spans="2:10" x14ac:dyDescent="0.2">
      <c r="B249" s="131"/>
      <c r="H249" s="132"/>
      <c r="J249" s="132"/>
    </row>
    <row r="250" spans="2:10" x14ac:dyDescent="0.2">
      <c r="B250" s="131"/>
      <c r="J250" s="132"/>
    </row>
    <row r="251" spans="2:10" x14ac:dyDescent="0.2">
      <c r="B251" s="131"/>
      <c r="J251" s="132"/>
    </row>
    <row r="252" spans="2:10" x14ac:dyDescent="0.2">
      <c r="B252" s="131"/>
      <c r="G252" s="132"/>
      <c r="H252" s="132"/>
    </row>
    <row r="253" spans="2:10" x14ac:dyDescent="0.2">
      <c r="B253" s="131"/>
      <c r="J253" s="132"/>
    </row>
    <row r="254" spans="2:10" x14ac:dyDescent="0.2">
      <c r="B254" s="131"/>
      <c r="J254" s="132"/>
    </row>
    <row r="255" spans="2:10" x14ac:dyDescent="0.2">
      <c r="B255" s="131"/>
    </row>
    <row r="256" spans="2:10" x14ac:dyDescent="0.2">
      <c r="B256" s="131"/>
    </row>
    <row r="257" spans="2:2" x14ac:dyDescent="0.2">
      <c r="B257" s="131"/>
    </row>
    <row r="258" spans="2:2" x14ac:dyDescent="0.2">
      <c r="B258" s="131"/>
    </row>
    <row r="259" spans="2:2" x14ac:dyDescent="0.2">
      <c r="B259" s="131"/>
    </row>
    <row r="260" spans="2:2" x14ac:dyDescent="0.2">
      <c r="B260" s="131"/>
    </row>
    <row r="261" spans="2:2" x14ac:dyDescent="0.2">
      <c r="B261" s="131"/>
    </row>
    <row r="262" spans="2:2" x14ac:dyDescent="0.2">
      <c r="B262" s="131"/>
    </row>
  </sheetData>
  <autoFilter ref="A1:J262" xr:uid="{5DF26C40-5963-4697-8D42-D69A2622B74F}"/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O92"/>
  <sheetViews>
    <sheetView workbookViewId="0" zoomScale="85" zoomScaleNormal="85">
      <selection activeCell="F14" sqref="F14"/>
    </sheetView>
  </sheetViews>
  <sheetFormatPr defaultRowHeight="12.75" x14ac:dyDescent="0.2"/>
  <cols>
    <col min="1" max="1" bestFit="true" customWidth="true" style="130" width="10.28515625" collapsed="false"/>
    <col min="2" max="2" bestFit="true" customWidth="true" width="10.28515625" collapsed="false"/>
    <col min="3" max="3" bestFit="true" customWidth="true" style="130" width="17.28515625" collapsed="false"/>
    <col min="4" max="4" bestFit="true" customWidth="true" style="130" width="8.85546875" collapsed="false"/>
    <col min="5" max="5" customWidth="true" style="130" width="12.85546875" collapsed="false"/>
    <col min="6" max="6" bestFit="true" customWidth="true" style="130" width="50.140625" collapsed="false"/>
    <col min="7" max="7" bestFit="true" customWidth="true" style="130" width="8.0" collapsed="false"/>
    <col min="8" max="8" customWidth="true" style="130" width="25.140625" collapsed="false"/>
    <col min="9" max="9" bestFit="true" customWidth="true" style="130" width="8.7109375" collapsed="false"/>
    <col min="10" max="16384" style="130" width="9.140625" collapsed="false"/>
  </cols>
  <sheetData>
    <row r="1" spans="1:15" x14ac:dyDescent="0.2">
      <c r="A1" s="130" t="s">
        <v>512</v>
      </c>
      <c r="B1" t="s">
        <v>513</v>
      </c>
      <c r="C1" s="130" t="s">
        <v>514</v>
      </c>
      <c r="D1" s="130" t="s">
        <v>515</v>
      </c>
      <c r="E1" s="130" t="s">
        <v>516</v>
      </c>
      <c r="F1" s="130" t="s">
        <v>517</v>
      </c>
      <c r="G1" s="132" t="s">
        <v>24</v>
      </c>
      <c r="H1" s="132" t="s">
        <v>548</v>
      </c>
      <c r="I1" s="132" t="s">
        <v>549</v>
      </c>
    </row>
    <row r="2" spans="1:15" x14ac:dyDescent="0.2">
      <c r="B2" s="163">
        <v>43832</v>
      </c>
      <c r="C2" s="130" t="s">
        <v>629</v>
      </c>
      <c r="D2" s="130">
        <v>1200</v>
      </c>
      <c r="E2" s="130" t="s">
        <v>628</v>
      </c>
      <c r="F2" s="130" t="s">
        <v>676</v>
      </c>
      <c r="H2" s="132"/>
      <c r="I2" t="s">
        <v>985</v>
      </c>
    </row>
    <row r="3" spans="1:15" x14ac:dyDescent="0.2">
      <c r="B3" s="163">
        <v>43832</v>
      </c>
      <c r="C3" s="130" t="s">
        <v>629</v>
      </c>
      <c r="D3" s="130">
        <v>-50</v>
      </c>
      <c r="E3" s="130" t="s">
        <v>575</v>
      </c>
      <c r="F3" s="130" t="s">
        <v>631</v>
      </c>
      <c r="G3" s="132"/>
      <c r="H3" s="132"/>
      <c r="I3" t="s">
        <v>985</v>
      </c>
    </row>
    <row r="4" spans="1:15" x14ac:dyDescent="0.2">
      <c r="B4" s="163">
        <v>43832</v>
      </c>
      <c r="C4" s="130" t="s">
        <v>629</v>
      </c>
      <c r="D4" s="130">
        <v>-50</v>
      </c>
      <c r="E4" s="130" t="s">
        <v>575</v>
      </c>
      <c r="F4" s="130" t="s">
        <v>578</v>
      </c>
      <c r="G4"/>
      <c r="H4" s="46"/>
      <c r="I4" t="s">
        <v>985</v>
      </c>
      <c r="O4" s="132"/>
    </row>
    <row r="5" spans="1:15" x14ac:dyDescent="0.2">
      <c r="B5" s="163">
        <v>43832</v>
      </c>
      <c r="C5" s="130" t="s">
        <v>629</v>
      </c>
      <c r="D5" s="130">
        <v>-160</v>
      </c>
      <c r="E5" s="130" t="s">
        <v>575</v>
      </c>
      <c r="F5" s="130" t="s">
        <v>632</v>
      </c>
      <c r="H5" s="134"/>
      <c r="I5" t="s">
        <v>985</v>
      </c>
    </row>
    <row r="6" spans="1:15" x14ac:dyDescent="0.2">
      <c r="B6" s="163">
        <v>43832</v>
      </c>
      <c r="C6" s="130" t="s">
        <v>629</v>
      </c>
      <c r="D6" s="130">
        <v>-157.5</v>
      </c>
      <c r="E6" s="130" t="s">
        <v>575</v>
      </c>
      <c r="F6" s="130" t="s">
        <v>633</v>
      </c>
      <c r="I6" t="s">
        <v>985</v>
      </c>
    </row>
    <row r="7" spans="1:15" x14ac:dyDescent="0.2">
      <c r="B7" s="163">
        <v>43832</v>
      </c>
      <c r="C7" s="130" t="s">
        <v>629</v>
      </c>
      <c r="D7" s="130">
        <v>-232.5</v>
      </c>
      <c r="E7" s="130" t="s">
        <v>575</v>
      </c>
      <c r="F7" s="130" t="s">
        <v>634</v>
      </c>
      <c r="I7" t="s">
        <v>985</v>
      </c>
    </row>
    <row r="8" spans="1:15" x14ac:dyDescent="0.2">
      <c r="B8" s="163">
        <v>43832</v>
      </c>
      <c r="C8" s="130" t="s">
        <v>629</v>
      </c>
      <c r="D8" s="130">
        <v>-240.21</v>
      </c>
      <c r="E8" s="130" t="s">
        <v>582</v>
      </c>
      <c r="F8" s="130" t="s">
        <v>635</v>
      </c>
      <c r="I8" t="s">
        <v>986</v>
      </c>
    </row>
    <row r="9" spans="1:15" x14ac:dyDescent="0.2">
      <c r="B9" s="163">
        <v>43832</v>
      </c>
      <c r="C9" s="130" t="s">
        <v>629</v>
      </c>
      <c r="D9" s="130">
        <v>-242.16</v>
      </c>
      <c r="E9" s="130" t="s">
        <v>582</v>
      </c>
      <c r="F9" s="130" t="s">
        <v>636</v>
      </c>
      <c r="I9" t="s">
        <v>986</v>
      </c>
    </row>
    <row r="10" spans="1:15" x14ac:dyDescent="0.2">
      <c r="B10" s="163">
        <v>43832</v>
      </c>
      <c r="C10" s="130" t="s">
        <v>629</v>
      </c>
      <c r="D10" s="130">
        <v>-37.950000000000003</v>
      </c>
      <c r="E10" s="130" t="s">
        <v>582</v>
      </c>
      <c r="F10" s="130" t="s">
        <v>683</v>
      </c>
      <c r="I10" t="s">
        <v>985</v>
      </c>
    </row>
    <row r="11" spans="1:15" x14ac:dyDescent="0.2">
      <c r="B11" s="163">
        <v>43832</v>
      </c>
      <c r="C11" s="130" t="s">
        <v>629</v>
      </c>
      <c r="D11" s="130">
        <v>-551.52</v>
      </c>
      <c r="E11" s="130" t="s">
        <v>582</v>
      </c>
      <c r="F11" s="130" t="s">
        <v>639</v>
      </c>
      <c r="I11" t="s">
        <v>986</v>
      </c>
    </row>
    <row r="12" spans="1:15" x14ac:dyDescent="0.2">
      <c r="B12" s="163">
        <v>43832</v>
      </c>
      <c r="C12" s="130" t="s">
        <v>629</v>
      </c>
      <c r="D12" s="130">
        <v>-386.17</v>
      </c>
      <c r="E12" s="130" t="s">
        <v>582</v>
      </c>
      <c r="F12" s="130" t="s">
        <v>677</v>
      </c>
      <c r="I12" t="s">
        <v>986</v>
      </c>
    </row>
    <row r="13" spans="1:15" x14ac:dyDescent="0.2">
      <c r="B13" s="163">
        <v>43832</v>
      </c>
      <c r="C13" s="130" t="s">
        <v>629</v>
      </c>
      <c r="D13" s="130">
        <v>-375.8</v>
      </c>
      <c r="E13" s="130" t="s">
        <v>582</v>
      </c>
      <c r="F13" s="130" t="s">
        <v>638</v>
      </c>
      <c r="I13" t="s">
        <v>986</v>
      </c>
    </row>
    <row r="14" spans="1:15" x14ac:dyDescent="0.2">
      <c r="B14" s="163">
        <v>43832</v>
      </c>
      <c r="C14" s="130" t="s">
        <v>629</v>
      </c>
      <c r="D14" s="130">
        <v>-206.82</v>
      </c>
      <c r="E14" s="130" t="s">
        <v>582</v>
      </c>
      <c r="F14" s="130" t="s">
        <v>637</v>
      </c>
      <c r="I14" t="s">
        <v>986</v>
      </c>
    </row>
    <row r="15" spans="1:15" x14ac:dyDescent="0.2">
      <c r="B15" s="163">
        <v>43832</v>
      </c>
      <c r="C15" s="130" t="s">
        <v>629</v>
      </c>
      <c r="D15" s="130">
        <v>-60</v>
      </c>
      <c r="E15" s="130" t="s">
        <v>582</v>
      </c>
      <c r="F15" s="130" t="s">
        <v>668</v>
      </c>
      <c r="G15" s="46" t="s">
        <v>492</v>
      </c>
      <c r="H15" s="46" t="s">
        <v>956</v>
      </c>
      <c r="I15" t="s">
        <v>988</v>
      </c>
    </row>
    <row r="16" spans="1:15" x14ac:dyDescent="0.2">
      <c r="B16" s="163">
        <v>43833</v>
      </c>
      <c r="C16" s="130" t="s">
        <v>629</v>
      </c>
      <c r="D16" s="130">
        <v>600</v>
      </c>
      <c r="E16" s="130" t="s">
        <v>674</v>
      </c>
      <c r="F16" s="130" t="s">
        <v>678</v>
      </c>
      <c r="G16" s="46" t="s">
        <v>492</v>
      </c>
      <c r="H16" s="46" t="s">
        <v>944</v>
      </c>
      <c r="I16" t="s">
        <v>987</v>
      </c>
    </row>
    <row r="17" spans="2:8" x14ac:dyDescent="0.2">
      <c r="B17" s="163">
        <v>43833</v>
      </c>
      <c r="C17" s="130" t="s">
        <v>629</v>
      </c>
      <c r="D17" s="130">
        <v>-254.22</v>
      </c>
      <c r="E17" s="130" t="s">
        <v>582</v>
      </c>
      <c r="F17" s="130" t="s">
        <v>642</v>
      </c>
      <c r="I17" t="s">
        <v>986</v>
      </c>
    </row>
    <row r="18" spans="2:8" x14ac:dyDescent="0.2">
      <c r="B18" s="163">
        <v>43836</v>
      </c>
      <c r="C18" s="130" t="s">
        <v>629</v>
      </c>
      <c r="D18" s="130">
        <v>-75</v>
      </c>
      <c r="E18" s="130" t="s">
        <v>575</v>
      </c>
      <c r="F18" s="130" t="s">
        <v>643</v>
      </c>
      <c r="G18" s="46"/>
      <c r="H18" s="46"/>
      <c r="I18" t="s">
        <v>985</v>
      </c>
    </row>
    <row r="19" spans="2:8" x14ac:dyDescent="0.2">
      <c r="B19" s="163">
        <v>43836</v>
      </c>
      <c r="C19" s="130" t="s">
        <v>629</v>
      </c>
      <c r="D19" s="130">
        <v>-32.58</v>
      </c>
      <c r="E19" s="130" t="s">
        <v>582</v>
      </c>
      <c r="F19" s="130" t="s">
        <v>737</v>
      </c>
      <c r="G19"/>
      <c r="H19" s="46"/>
      <c r="I19" t="s">
        <v>985</v>
      </c>
    </row>
    <row r="20" spans="2:8" x14ac:dyDescent="0.2">
      <c r="B20" s="163">
        <v>43836</v>
      </c>
      <c r="C20" s="130" t="s">
        <v>629</v>
      </c>
      <c r="D20" s="130">
        <v>-75</v>
      </c>
      <c r="E20" s="130" t="s">
        <v>582</v>
      </c>
      <c r="F20" s="130" t="s">
        <v>644</v>
      </c>
      <c r="G20" s="46"/>
      <c r="H20" s="132"/>
      <c r="I20" t="s">
        <v>985</v>
      </c>
    </row>
    <row r="21" spans="2:8" x14ac:dyDescent="0.2">
      <c r="B21" s="163">
        <v>43837</v>
      </c>
      <c r="C21" s="130" t="s">
        <v>629</v>
      </c>
      <c r="D21" s="130">
        <v>226</v>
      </c>
      <c r="E21" s="130" t="s">
        <v>574</v>
      </c>
      <c r="F21" s="130" t="s">
        <v>641</v>
      </c>
      <c r="G21" s="46"/>
      <c r="H21" s="132"/>
      <c r="I21" t="s">
        <v>985</v>
      </c>
    </row>
    <row r="22" spans="2:8" x14ac:dyDescent="0.2">
      <c r="B22" s="163">
        <v>43837</v>
      </c>
      <c r="C22" s="130" t="s">
        <v>629</v>
      </c>
      <c r="D22" s="130">
        <v>-1209.5899999999999</v>
      </c>
      <c r="E22" s="130" t="s">
        <v>582</v>
      </c>
      <c r="F22" s="130" t="s">
        <v>640</v>
      </c>
      <c r="I22" t="s">
        <v>985</v>
      </c>
    </row>
    <row r="23" spans="2:8" x14ac:dyDescent="0.2">
      <c r="B23" s="163">
        <v>43837</v>
      </c>
      <c r="C23" s="130" t="s">
        <v>629</v>
      </c>
      <c r="D23" s="130">
        <v>-1877.57</v>
      </c>
      <c r="E23" s="130" t="s">
        <v>582</v>
      </c>
      <c r="F23" s="130" t="s">
        <v>738</v>
      </c>
      <c r="G23" s="132"/>
      <c r="H23" s="132"/>
      <c r="I23" t="s">
        <v>985</v>
      </c>
    </row>
    <row r="24" spans="2:8" x14ac:dyDescent="0.2">
      <c r="B24" s="163">
        <v>43837</v>
      </c>
      <c r="C24" s="130" t="s">
        <v>629</v>
      </c>
      <c r="D24" s="130">
        <v>-1537.09</v>
      </c>
      <c r="E24" s="130" t="s">
        <v>582</v>
      </c>
      <c r="F24" s="130" t="s">
        <v>739</v>
      </c>
      <c r="H24" s="134"/>
      <c r="I24" t="s">
        <v>985</v>
      </c>
    </row>
    <row r="25" spans="2:8" x14ac:dyDescent="0.2">
      <c r="B25" s="163">
        <v>43837</v>
      </c>
      <c r="C25" s="130" t="s">
        <v>629</v>
      </c>
      <c r="D25" s="130">
        <v>775</v>
      </c>
      <c r="E25" s="130" t="s">
        <v>574</v>
      </c>
      <c r="F25" s="130" t="s">
        <v>682</v>
      </c>
      <c r="G25" t="s">
        <v>482</v>
      </c>
      <c r="H25" s="46" t="s">
        <v>943</v>
      </c>
      <c r="I25" t="s">
        <v>987</v>
      </c>
    </row>
    <row r="26" spans="2:8" x14ac:dyDescent="0.2">
      <c r="B26" s="163">
        <v>43838</v>
      </c>
      <c r="C26" s="130" t="s">
        <v>629</v>
      </c>
      <c r="D26" s="130">
        <v>-240.47</v>
      </c>
      <c r="E26" s="130" t="s">
        <v>582</v>
      </c>
      <c r="F26" s="130" t="s">
        <v>645</v>
      </c>
      <c r="H26" s="134"/>
      <c r="I26" t="s">
        <v>986</v>
      </c>
    </row>
    <row r="27" spans="2:8" x14ac:dyDescent="0.2">
      <c r="B27" s="163">
        <v>43838</v>
      </c>
      <c r="C27" s="130" t="s">
        <v>629</v>
      </c>
      <c r="D27" s="130">
        <v>-6829.28</v>
      </c>
      <c r="E27" s="130" t="s">
        <v>674</v>
      </c>
      <c r="F27" s="130" t="s">
        <v>740</v>
      </c>
      <c r="G27" s="132"/>
      <c r="H27" s="134"/>
      <c r="I27" t="s">
        <v>985</v>
      </c>
    </row>
    <row r="28" spans="2:8" x14ac:dyDescent="0.2">
      <c r="B28" s="163">
        <v>43838</v>
      </c>
      <c r="C28" s="130" t="s">
        <v>629</v>
      </c>
      <c r="D28" s="130">
        <v>10243.94</v>
      </c>
      <c r="E28" s="130" t="s">
        <v>574</v>
      </c>
      <c r="F28" s="130" t="s">
        <v>741</v>
      </c>
      <c r="G28" s="132"/>
      <c r="H28" s="132"/>
      <c r="I28" t="s">
        <v>985</v>
      </c>
    </row>
    <row r="29" spans="2:8" x14ac:dyDescent="0.2">
      <c r="B29" s="163">
        <v>43843</v>
      </c>
      <c r="C29" s="130" t="s">
        <v>629</v>
      </c>
      <c r="D29" s="130">
        <v>-37.68</v>
      </c>
      <c r="E29" s="130" t="s">
        <v>630</v>
      </c>
      <c r="F29" s="130" t="s">
        <v>650</v>
      </c>
      <c r="I29" t="s">
        <v>985</v>
      </c>
    </row>
    <row r="30" spans="2:8" x14ac:dyDescent="0.2">
      <c r="B30" s="163">
        <v>43844</v>
      </c>
      <c r="C30" s="130" t="s">
        <v>629</v>
      </c>
      <c r="D30" s="177">
        <v>-58.99</v>
      </c>
      <c r="E30" s="130" t="s">
        <v>582</v>
      </c>
      <c r="F30" s="130" t="s">
        <v>742</v>
      </c>
      <c r="H30" s="132"/>
      <c r="I30" t="s">
        <v>985</v>
      </c>
    </row>
    <row r="31" spans="2:8" x14ac:dyDescent="0.2">
      <c r="B31" s="163">
        <v>43845</v>
      </c>
      <c r="C31" s="130" t="s">
        <v>629</v>
      </c>
      <c r="D31" s="130">
        <v>690</v>
      </c>
      <c r="E31" s="130" t="s">
        <v>574</v>
      </c>
      <c r="F31" s="130" t="s">
        <v>743</v>
      </c>
      <c r="G31" s="46" t="s">
        <v>501</v>
      </c>
      <c r="H31" s="132" t="s">
        <v>950</v>
      </c>
      <c r="I31" t="s">
        <v>988</v>
      </c>
    </row>
    <row r="32" spans="2:8" x14ac:dyDescent="0.2">
      <c r="B32" s="163">
        <v>43845</v>
      </c>
      <c r="C32" s="130" t="s">
        <v>629</v>
      </c>
      <c r="D32" s="130">
        <v>807</v>
      </c>
      <c r="E32" s="130" t="s">
        <v>674</v>
      </c>
      <c r="F32" s="130" t="s">
        <v>744</v>
      </c>
      <c r="G32" s="46" t="s">
        <v>510</v>
      </c>
      <c r="H32" s="132" t="s">
        <v>950</v>
      </c>
      <c r="I32" t="s">
        <v>988</v>
      </c>
    </row>
    <row r="33" spans="2:8" x14ac:dyDescent="0.2">
      <c r="B33" s="163">
        <v>43845</v>
      </c>
      <c r="C33" s="130" t="s">
        <v>629</v>
      </c>
      <c r="D33" s="130">
        <v>-206.77</v>
      </c>
      <c r="E33" s="130" t="s">
        <v>582</v>
      </c>
      <c r="F33" s="130" t="s">
        <v>651</v>
      </c>
      <c r="I33" t="s">
        <v>986</v>
      </c>
    </row>
    <row r="34" spans="2:8" x14ac:dyDescent="0.2">
      <c r="B34" s="163">
        <v>43845</v>
      </c>
      <c r="C34" s="130" t="s">
        <v>629</v>
      </c>
      <c r="D34" s="130">
        <v>-213.98</v>
      </c>
      <c r="E34" s="130" t="s">
        <v>582</v>
      </c>
      <c r="F34" s="130" t="s">
        <v>652</v>
      </c>
      <c r="G34" s="46"/>
      <c r="H34" s="132"/>
      <c r="I34" t="s">
        <v>986</v>
      </c>
    </row>
    <row r="35" spans="2:8" x14ac:dyDescent="0.2">
      <c r="B35" s="163">
        <v>43845</v>
      </c>
      <c r="C35" s="130" t="s">
        <v>629</v>
      </c>
      <c r="D35" s="130">
        <v>-213.98</v>
      </c>
      <c r="E35" s="130" t="s">
        <v>582</v>
      </c>
      <c r="F35" s="130" t="s">
        <v>653</v>
      </c>
      <c r="G35" s="132"/>
      <c r="H35" s="132"/>
      <c r="I35" t="s">
        <v>986</v>
      </c>
    </row>
    <row r="36" spans="2:8" x14ac:dyDescent="0.2">
      <c r="B36" s="163">
        <v>43845</v>
      </c>
      <c r="C36" s="130" t="s">
        <v>629</v>
      </c>
      <c r="D36" s="130">
        <v>-206.82</v>
      </c>
      <c r="E36" s="130" t="s">
        <v>582</v>
      </c>
      <c r="F36" s="130" t="s">
        <v>654</v>
      </c>
      <c r="G36" s="132"/>
      <c r="H36" s="132"/>
      <c r="I36" t="s">
        <v>986</v>
      </c>
    </row>
    <row r="37" spans="2:8" x14ac:dyDescent="0.2">
      <c r="B37" s="163">
        <v>43845</v>
      </c>
      <c r="C37" s="130" t="s">
        <v>629</v>
      </c>
      <c r="D37" s="130">
        <v>-206.77</v>
      </c>
      <c r="E37" s="130" t="s">
        <v>582</v>
      </c>
      <c r="F37" s="130" t="s">
        <v>655</v>
      </c>
      <c r="G37" s="132"/>
      <c r="H37" s="132"/>
      <c r="I37" t="s">
        <v>986</v>
      </c>
    </row>
    <row r="38" spans="2:8" x14ac:dyDescent="0.2">
      <c r="B38" s="163">
        <v>43845</v>
      </c>
      <c r="C38" s="130" t="s">
        <v>629</v>
      </c>
      <c r="D38" s="130">
        <v>-206.85</v>
      </c>
      <c r="E38" s="130" t="s">
        <v>582</v>
      </c>
      <c r="F38" s="130" t="s">
        <v>656</v>
      </c>
      <c r="G38" s="132"/>
      <c r="H38" s="132"/>
      <c r="I38" t="s">
        <v>986</v>
      </c>
    </row>
    <row r="39" spans="2:8" x14ac:dyDescent="0.2">
      <c r="B39" s="163">
        <v>43845</v>
      </c>
      <c r="C39" s="130" t="s">
        <v>629</v>
      </c>
      <c r="D39" s="130">
        <v>-206.81</v>
      </c>
      <c r="E39" s="130" t="s">
        <v>582</v>
      </c>
      <c r="F39" s="130" t="s">
        <v>657</v>
      </c>
      <c r="G39" s="132"/>
      <c r="H39" s="132"/>
      <c r="I39" t="s">
        <v>986</v>
      </c>
    </row>
    <row r="40" spans="2:8" x14ac:dyDescent="0.2">
      <c r="B40" s="163">
        <v>43845</v>
      </c>
      <c r="C40" s="130" t="s">
        <v>629</v>
      </c>
      <c r="D40" s="130">
        <v>-203.62</v>
      </c>
      <c r="E40" s="130" t="s">
        <v>582</v>
      </c>
      <c r="F40" s="130" t="s">
        <v>658</v>
      </c>
      <c r="H40" s="134"/>
      <c r="I40" t="s">
        <v>986</v>
      </c>
    </row>
    <row r="41" spans="2:8" x14ac:dyDescent="0.2">
      <c r="B41" s="163">
        <v>43845</v>
      </c>
      <c r="C41" s="130" t="s">
        <v>629</v>
      </c>
      <c r="D41" s="130">
        <v>-20</v>
      </c>
      <c r="E41" s="130" t="s">
        <v>582</v>
      </c>
      <c r="F41" s="130" t="s">
        <v>664</v>
      </c>
      <c r="G41" t="s">
        <v>491</v>
      </c>
      <c r="H41" s="46" t="s">
        <v>956</v>
      </c>
      <c r="I41" t="s">
        <v>988</v>
      </c>
    </row>
    <row r="42" spans="2:8" x14ac:dyDescent="0.2">
      <c r="B42" s="163">
        <v>43845</v>
      </c>
      <c r="C42" s="130" t="s">
        <v>629</v>
      </c>
      <c r="D42" s="130">
        <v>-75</v>
      </c>
      <c r="E42" s="130" t="s">
        <v>582</v>
      </c>
      <c r="F42" s="130" t="s">
        <v>665</v>
      </c>
      <c r="G42" s="46" t="s">
        <v>510</v>
      </c>
      <c r="H42" s="46" t="s">
        <v>956</v>
      </c>
      <c r="I42" t="s">
        <v>988</v>
      </c>
    </row>
    <row r="43" spans="2:8" x14ac:dyDescent="0.2">
      <c r="B43" s="163">
        <v>43846</v>
      </c>
      <c r="C43" s="130" t="s">
        <v>629</v>
      </c>
      <c r="D43" s="130">
        <v>30.14</v>
      </c>
      <c r="E43" s="130" t="s">
        <v>574</v>
      </c>
      <c r="F43" s="130" t="s">
        <v>648</v>
      </c>
      <c r="I43" t="s">
        <v>985</v>
      </c>
    </row>
    <row r="44" spans="2:8" x14ac:dyDescent="0.2">
      <c r="B44" s="163">
        <v>43846</v>
      </c>
      <c r="C44" s="130" t="s">
        <v>629</v>
      </c>
      <c r="D44" s="130">
        <v>98.16</v>
      </c>
      <c r="E44" s="130" t="s">
        <v>574</v>
      </c>
      <c r="F44" s="130" t="s">
        <v>647</v>
      </c>
      <c r="G44" s="132"/>
      <c r="H44" s="132"/>
      <c r="I44" t="s">
        <v>985</v>
      </c>
    </row>
    <row r="45" spans="2:8" x14ac:dyDescent="0.2">
      <c r="B45" s="163">
        <v>43846</v>
      </c>
      <c r="C45" s="130" t="s">
        <v>629</v>
      </c>
      <c r="D45" s="130">
        <v>351.98</v>
      </c>
      <c r="E45" s="130" t="s">
        <v>574</v>
      </c>
      <c r="F45" s="130" t="s">
        <v>649</v>
      </c>
      <c r="G45" s="132"/>
      <c r="H45" s="134"/>
      <c r="I45" t="s">
        <v>985</v>
      </c>
    </row>
    <row r="46" spans="2:8" x14ac:dyDescent="0.2">
      <c r="B46" s="163">
        <v>43846</v>
      </c>
      <c r="C46" s="130" t="s">
        <v>629</v>
      </c>
      <c r="D46" s="130">
        <v>345.7</v>
      </c>
      <c r="E46" s="130" t="s">
        <v>574</v>
      </c>
      <c r="F46" s="130" t="s">
        <v>646</v>
      </c>
      <c r="H46" s="134"/>
      <c r="I46" t="s">
        <v>985</v>
      </c>
    </row>
    <row r="47" spans="2:8" x14ac:dyDescent="0.2">
      <c r="B47" s="163">
        <v>43847</v>
      </c>
      <c r="C47" s="130" t="s">
        <v>629</v>
      </c>
      <c r="D47" s="130">
        <v>-200</v>
      </c>
      <c r="E47" s="130" t="s">
        <v>674</v>
      </c>
      <c r="F47" s="130" t="s">
        <v>659</v>
      </c>
      <c r="G47" s="132"/>
      <c r="H47" s="134"/>
      <c r="I47" t="s">
        <v>985</v>
      </c>
    </row>
    <row r="48" spans="2:8" x14ac:dyDescent="0.2">
      <c r="B48" s="163">
        <v>43850</v>
      </c>
      <c r="C48" s="130" t="s">
        <v>629</v>
      </c>
      <c r="D48" s="130">
        <v>-31.88</v>
      </c>
      <c r="E48" s="130" t="s">
        <v>582</v>
      </c>
      <c r="F48" s="130" t="s">
        <v>660</v>
      </c>
      <c r="I48" t="s">
        <v>985</v>
      </c>
    </row>
    <row r="49" spans="2:8" x14ac:dyDescent="0.2">
      <c r="B49" s="163">
        <v>43851</v>
      </c>
      <c r="C49" s="130" t="s">
        <v>629</v>
      </c>
      <c r="D49" s="130">
        <v>-1000</v>
      </c>
      <c r="E49" s="130" t="s">
        <v>674</v>
      </c>
      <c r="F49" s="130" t="s">
        <v>745</v>
      </c>
      <c r="G49" s="132"/>
      <c r="H49" s="132"/>
      <c r="I49" t="s">
        <v>985</v>
      </c>
    </row>
    <row r="50" spans="2:8" x14ac:dyDescent="0.2">
      <c r="B50" s="163">
        <v>43852</v>
      </c>
      <c r="C50" s="130" t="s">
        <v>629</v>
      </c>
      <c r="D50" s="130">
        <v>93.85</v>
      </c>
      <c r="E50" s="130" t="s">
        <v>574</v>
      </c>
      <c r="F50" s="130" t="s">
        <v>646</v>
      </c>
      <c r="I50" t="s">
        <v>985</v>
      </c>
    </row>
    <row r="51" spans="2:8" x14ac:dyDescent="0.2">
      <c r="B51" s="163">
        <v>43852</v>
      </c>
      <c r="C51" s="130" t="s">
        <v>629</v>
      </c>
      <c r="D51" s="130">
        <v>396.45</v>
      </c>
      <c r="E51" s="130" t="s">
        <v>574</v>
      </c>
      <c r="F51" s="130" t="s">
        <v>648</v>
      </c>
      <c r="G51" s="46"/>
      <c r="H51" s="46"/>
      <c r="I51" t="s">
        <v>985</v>
      </c>
    </row>
    <row r="52" spans="2:8" x14ac:dyDescent="0.2">
      <c r="B52" s="163">
        <v>43852</v>
      </c>
      <c r="C52" s="130" t="s">
        <v>629</v>
      </c>
      <c r="D52" s="130">
        <v>232</v>
      </c>
      <c r="E52" s="130" t="s">
        <v>574</v>
      </c>
      <c r="F52" s="130" t="s">
        <v>641</v>
      </c>
      <c r="H52" s="134"/>
      <c r="I52" t="s">
        <v>985</v>
      </c>
    </row>
    <row r="53" spans="2:8" x14ac:dyDescent="0.2">
      <c r="B53" s="163">
        <v>43852</v>
      </c>
      <c r="C53" s="130" t="s">
        <v>629</v>
      </c>
      <c r="D53" s="130">
        <v>70.3</v>
      </c>
      <c r="E53" s="130" t="s">
        <v>574</v>
      </c>
      <c r="F53" s="130" t="s">
        <v>649</v>
      </c>
      <c r="I53" t="s">
        <v>985</v>
      </c>
    </row>
    <row r="54" spans="2:8" x14ac:dyDescent="0.2">
      <c r="B54" s="163">
        <v>43852</v>
      </c>
      <c r="C54" s="130" t="s">
        <v>629</v>
      </c>
      <c r="D54" s="130">
        <v>-96</v>
      </c>
      <c r="E54" s="130" t="s">
        <v>630</v>
      </c>
      <c r="F54" s="130" t="s">
        <v>736</v>
      </c>
      <c r="I54" t="s">
        <v>985</v>
      </c>
    </row>
    <row r="55" spans="2:8" x14ac:dyDescent="0.2">
      <c r="B55" s="163">
        <v>43852</v>
      </c>
      <c r="C55" s="130" t="s">
        <v>629</v>
      </c>
      <c r="D55" s="130">
        <v>-7</v>
      </c>
      <c r="E55" s="130" t="s">
        <v>582</v>
      </c>
      <c r="F55" s="130" t="s">
        <v>661</v>
      </c>
      <c r="I55" t="s">
        <v>985</v>
      </c>
    </row>
    <row r="56" spans="2:8" x14ac:dyDescent="0.2">
      <c r="B56" s="163">
        <v>43853</v>
      </c>
      <c r="C56" s="130" t="s">
        <v>629</v>
      </c>
      <c r="D56" s="130">
        <v>-200</v>
      </c>
      <c r="E56" s="130" t="s">
        <v>674</v>
      </c>
      <c r="F56" s="130" t="s">
        <v>659</v>
      </c>
      <c r="I56" t="s">
        <v>985</v>
      </c>
    </row>
    <row r="57" spans="2:8" x14ac:dyDescent="0.2">
      <c r="B57" s="163">
        <v>43853</v>
      </c>
      <c r="C57" s="130" t="s">
        <v>629</v>
      </c>
      <c r="D57" s="130">
        <v>481</v>
      </c>
      <c r="E57" s="130" t="s">
        <v>574</v>
      </c>
      <c r="F57" s="130" t="s">
        <v>746</v>
      </c>
      <c r="G57"/>
      <c r="H57" s="46"/>
      <c r="I57" t="s">
        <v>985</v>
      </c>
    </row>
    <row r="58" spans="2:8" x14ac:dyDescent="0.2">
      <c r="B58" s="163">
        <v>43853</v>
      </c>
      <c r="C58" s="130" t="s">
        <v>629</v>
      </c>
      <c r="D58" s="130">
        <v>-7</v>
      </c>
      <c r="E58" s="130" t="s">
        <v>582</v>
      </c>
      <c r="F58" s="130" t="s">
        <v>679</v>
      </c>
      <c r="I58" t="s">
        <v>985</v>
      </c>
    </row>
    <row r="59" spans="2:8" x14ac:dyDescent="0.2">
      <c r="B59" s="163">
        <v>43854</v>
      </c>
      <c r="C59" s="130" t="s">
        <v>629</v>
      </c>
      <c r="D59" s="130">
        <v>315.60000000000002</v>
      </c>
      <c r="E59" s="130" t="s">
        <v>574</v>
      </c>
      <c r="F59" s="130" t="s">
        <v>647</v>
      </c>
      <c r="I59" t="s">
        <v>985</v>
      </c>
    </row>
    <row r="60" spans="2:8" x14ac:dyDescent="0.2">
      <c r="B60" s="163">
        <v>43857</v>
      </c>
      <c r="C60" s="130" t="s">
        <v>629</v>
      </c>
      <c r="D60" s="130">
        <v>600</v>
      </c>
      <c r="E60" s="130" t="s">
        <v>628</v>
      </c>
      <c r="F60" s="130" t="s">
        <v>684</v>
      </c>
      <c r="G60" s="46" t="s">
        <v>497</v>
      </c>
      <c r="H60" s="46" t="s">
        <v>945</v>
      </c>
      <c r="I60" t="s">
        <v>987</v>
      </c>
    </row>
    <row r="61" spans="2:8" x14ac:dyDescent="0.2">
      <c r="B61" s="163">
        <v>43857</v>
      </c>
      <c r="C61" s="130" t="s">
        <v>629</v>
      </c>
      <c r="D61" s="130">
        <v>-1200</v>
      </c>
      <c r="E61" s="130" t="s">
        <v>575</v>
      </c>
      <c r="F61" s="130" t="s">
        <v>662</v>
      </c>
      <c r="H61" s="134"/>
      <c r="I61" t="s">
        <v>985</v>
      </c>
    </row>
    <row r="62" spans="2:8" x14ac:dyDescent="0.2">
      <c r="B62" s="163">
        <v>43857</v>
      </c>
      <c r="C62" s="130" t="s">
        <v>629</v>
      </c>
      <c r="D62" s="130">
        <v>-35.15</v>
      </c>
      <c r="E62" s="130" t="s">
        <v>582</v>
      </c>
      <c r="F62" s="130" t="s">
        <v>747</v>
      </c>
      <c r="G62" s="132"/>
      <c r="H62" s="134"/>
      <c r="I62" t="s">
        <v>985</v>
      </c>
    </row>
    <row r="63" spans="2:8" x14ac:dyDescent="0.2">
      <c r="B63" s="163">
        <v>43857</v>
      </c>
      <c r="C63" s="130" t="s">
        <v>629</v>
      </c>
      <c r="D63" s="130">
        <f>4200-3560</f>
        <v>640</v>
      </c>
      <c r="E63" s="134" t="s">
        <v>687</v>
      </c>
      <c r="F63" s="130" t="s">
        <v>748</v>
      </c>
      <c r="G63" s="46" t="s">
        <v>510</v>
      </c>
      <c r="H63" s="46" t="s">
        <v>954</v>
      </c>
      <c r="I63" t="s">
        <v>987</v>
      </c>
    </row>
    <row r="64" spans="2:8" x14ac:dyDescent="0.2">
      <c r="B64" s="163">
        <v>43857</v>
      </c>
      <c r="C64" s="130" t="s">
        <v>629</v>
      </c>
      <c r="D64" s="130">
        <v>-640</v>
      </c>
      <c r="E64" s="134" t="s">
        <v>687</v>
      </c>
      <c r="F64" s="130" t="s">
        <v>748</v>
      </c>
      <c r="G64" s="46" t="s">
        <v>510</v>
      </c>
      <c r="H64" s="46" t="s">
        <v>952</v>
      </c>
      <c r="I64" t="s">
        <v>988</v>
      </c>
    </row>
    <row r="65" spans="1:8" x14ac:dyDescent="0.2">
      <c r="B65" s="163">
        <v>43857</v>
      </c>
      <c r="C65" s="130" t="s">
        <v>629</v>
      </c>
      <c r="D65" s="130">
        <v>3560</v>
      </c>
      <c r="E65" s="130" t="s">
        <v>574</v>
      </c>
      <c r="F65" s="130" t="s">
        <v>748</v>
      </c>
      <c r="G65" s="46" t="s">
        <v>510</v>
      </c>
      <c r="H65" s="46" t="s">
        <v>954</v>
      </c>
      <c r="I65" t="s">
        <v>987</v>
      </c>
    </row>
    <row r="66" spans="1:8" x14ac:dyDescent="0.2">
      <c r="B66" s="163">
        <v>43858</v>
      </c>
      <c r="C66" s="130" t="s">
        <v>629</v>
      </c>
      <c r="D66" s="130">
        <v>-807</v>
      </c>
      <c r="E66" s="130" t="s">
        <v>573</v>
      </c>
      <c r="F66" s="130" t="s">
        <v>723</v>
      </c>
      <c r="G66" s="46" t="s">
        <v>510</v>
      </c>
      <c r="H66" s="132" t="s">
        <v>951</v>
      </c>
      <c r="I66" t="s">
        <v>988</v>
      </c>
    </row>
    <row r="67" spans="1:8" x14ac:dyDescent="0.2">
      <c r="B67" s="163">
        <v>43858</v>
      </c>
      <c r="C67" s="130" t="s">
        <v>629</v>
      </c>
      <c r="D67" s="130">
        <v>-690</v>
      </c>
      <c r="E67" s="130" t="s">
        <v>573</v>
      </c>
      <c r="F67" s="130" t="s">
        <v>723</v>
      </c>
      <c r="G67" s="46" t="s">
        <v>501</v>
      </c>
      <c r="H67" s="132" t="s">
        <v>951</v>
      </c>
      <c r="I67" t="s">
        <v>988</v>
      </c>
    </row>
    <row r="68" spans="1:8" x14ac:dyDescent="0.2">
      <c r="B68" s="163">
        <v>43858</v>
      </c>
      <c r="C68" s="130" t="s">
        <v>629</v>
      </c>
      <c r="D68" s="130">
        <v>-33</v>
      </c>
      <c r="E68" s="130" t="s">
        <v>582</v>
      </c>
      <c r="F68" s="130" t="s">
        <v>663</v>
      </c>
      <c r="H68" s="132"/>
      <c r="I68" t="s">
        <v>985</v>
      </c>
    </row>
    <row r="69" spans="1:8" x14ac:dyDescent="0.2">
      <c r="B69" s="163">
        <v>43859</v>
      </c>
      <c r="C69" s="130" t="s">
        <v>629</v>
      </c>
      <c r="D69" s="130">
        <v>640</v>
      </c>
      <c r="E69" s="134" t="s">
        <v>687</v>
      </c>
      <c r="F69" s="130" t="s">
        <v>749</v>
      </c>
      <c r="G69" s="46" t="s">
        <v>501</v>
      </c>
      <c r="H69" s="46" t="s">
        <v>953</v>
      </c>
      <c r="I69" t="s">
        <v>987</v>
      </c>
    </row>
    <row r="70" spans="1:8" x14ac:dyDescent="0.2">
      <c r="B70" s="163">
        <v>43859</v>
      </c>
      <c r="C70" s="130" t="s">
        <v>629</v>
      </c>
      <c r="D70" s="130">
        <v>-640</v>
      </c>
      <c r="E70" s="134" t="s">
        <v>687</v>
      </c>
      <c r="F70" s="130" t="s">
        <v>749</v>
      </c>
      <c r="G70" s="46" t="s">
        <v>501</v>
      </c>
      <c r="H70" s="46" t="s">
        <v>952</v>
      </c>
      <c r="I70" t="s">
        <v>988</v>
      </c>
    </row>
    <row r="71" spans="1:8" x14ac:dyDescent="0.2">
      <c r="B71" s="163">
        <v>43859</v>
      </c>
      <c r="C71" s="130" t="s">
        <v>629</v>
      </c>
      <c r="D71" s="130">
        <v>3098</v>
      </c>
      <c r="E71" s="130" t="s">
        <v>574</v>
      </c>
      <c r="F71" s="130" t="s">
        <v>749</v>
      </c>
      <c r="G71" s="46" t="s">
        <v>501</v>
      </c>
      <c r="H71" s="46" t="s">
        <v>953</v>
      </c>
      <c r="I71" t="s">
        <v>987</v>
      </c>
    </row>
    <row r="72" spans="1:8" x14ac:dyDescent="0.2">
      <c r="B72" s="163">
        <v>43861</v>
      </c>
      <c r="C72" s="130" t="s">
        <v>629</v>
      </c>
      <c r="D72" s="130">
        <v>720</v>
      </c>
      <c r="E72" s="130" t="s">
        <v>574</v>
      </c>
      <c r="F72" s="130" t="s">
        <v>735</v>
      </c>
      <c r="G72" s="46" t="s">
        <v>480</v>
      </c>
      <c r="H72" s="46" t="s">
        <v>949</v>
      </c>
      <c r="I72" t="s">
        <v>987</v>
      </c>
    </row>
    <row r="73" spans="1:8" x14ac:dyDescent="0.2">
      <c r="B73" s="163"/>
      <c r="H73" s="132"/>
    </row>
    <row r="74" spans="1:8" x14ac:dyDescent="0.2">
      <c r="B74" s="163"/>
    </row>
    <row r="75" spans="1:8" x14ac:dyDescent="0.2">
      <c r="A75" s="131"/>
      <c r="B75" s="163"/>
      <c r="G75" s="132"/>
      <c r="H75" s="132"/>
    </row>
    <row r="76" spans="1:8" x14ac:dyDescent="0.2">
      <c r="A76" s="131"/>
      <c r="B76" s="163"/>
    </row>
    <row r="77" spans="1:8" x14ac:dyDescent="0.2">
      <c r="A77" s="131"/>
      <c r="B77" s="163"/>
    </row>
    <row r="78" spans="1:8" x14ac:dyDescent="0.2">
      <c r="A78" s="131"/>
      <c r="B78" s="163"/>
    </row>
    <row r="79" spans="1:8" x14ac:dyDescent="0.2">
      <c r="B79" s="163"/>
    </row>
    <row r="80" spans="1:8" x14ac:dyDescent="0.2">
      <c r="B80" s="163"/>
    </row>
    <row r="81" spans="2:14" x14ac:dyDescent="0.2">
      <c r="B81" s="163"/>
    </row>
    <row r="82" spans="2:14" x14ac:dyDescent="0.2">
      <c r="B82" s="163"/>
    </row>
    <row r="83" spans="2:14" x14ac:dyDescent="0.2">
      <c r="B83" s="163"/>
      <c r="G83" s="132"/>
      <c r="H83" s="132"/>
    </row>
    <row r="84" spans="2:14" x14ac:dyDescent="0.2">
      <c r="B84" s="163"/>
      <c r="G84" s="132"/>
      <c r="H84" s="132"/>
    </row>
    <row r="85" spans="2:14" x14ac:dyDescent="0.2">
      <c r="B85" s="163"/>
    </row>
    <row r="86" spans="2:14" x14ac:dyDescent="0.2">
      <c r="B86" s="163"/>
      <c r="G86" s="132"/>
      <c r="H86" s="132"/>
    </row>
    <row r="87" spans="2:14" x14ac:dyDescent="0.2">
      <c r="B87" s="163"/>
      <c r="G87" s="132"/>
      <c r="H87" s="134"/>
      <c r="N87" s="132"/>
    </row>
    <row r="88" spans="2:14" x14ac:dyDescent="0.2">
      <c r="B88" s="163"/>
      <c r="G88" s="132"/>
      <c r="H88" s="134"/>
    </row>
    <row r="89" spans="2:14" x14ac:dyDescent="0.2">
      <c r="B89" s="163"/>
    </row>
    <row r="90" spans="2:14" x14ac:dyDescent="0.2">
      <c r="B90" s="163"/>
    </row>
    <row r="91" spans="2:14" x14ac:dyDescent="0.2">
      <c r="B91" s="163"/>
    </row>
    <row r="92" spans="2:14" x14ac:dyDescent="0.2">
      <c r="B92" s="163"/>
      <c r="G92" s="132"/>
      <c r="H92" s="132"/>
    </row>
  </sheetData>
  <autoFilter ref="A1:I92" xr:uid="{7860C3E7-B480-431C-8759-8A91A5D52234}"/>
  <pageMargins bottom="0.75" footer="0.3" header="0.3" left="0.7" right="0.7" top="0.75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:I185"/>
  <sheetViews>
    <sheetView topLeftCell="A2" workbookViewId="0" zoomScale="85" zoomScaleNormal="85">
      <selection activeCell="F30" sqref="F30"/>
    </sheetView>
  </sheetViews>
  <sheetFormatPr defaultRowHeight="12.75" x14ac:dyDescent="0.2"/>
  <cols>
    <col min="1" max="1" style="130" width="9.140625" collapsed="false"/>
    <col min="2" max="2" bestFit="true" customWidth="true" style="130" width="10.140625" collapsed="false"/>
    <col min="3" max="3" bestFit="true" customWidth="true" style="130" width="17.28515625" collapsed="false"/>
    <col min="4" max="4" style="130" width="9.140625" collapsed="false"/>
    <col min="5" max="5" customWidth="true" style="130" width="12.85546875" collapsed="false"/>
    <col min="6" max="6" bestFit="true" customWidth="true" style="130" width="50.140625" collapsed="false"/>
    <col min="7" max="7" bestFit="true" customWidth="true" style="130" width="10.7109375" collapsed="false"/>
    <col min="8" max="8" customWidth="true" style="130" width="25.140625" collapsed="false"/>
    <col min="9" max="9" bestFit="true" customWidth="true" style="130" width="8.7109375" collapsed="false"/>
    <col min="10" max="16384" style="130" width="9.140625" collapsed="false"/>
  </cols>
  <sheetData>
    <row r="1" spans="1:9" x14ac:dyDescent="0.2">
      <c r="A1" s="130" t="s">
        <v>512</v>
      </c>
      <c r="B1" s="130" t="s">
        <v>513</v>
      </c>
      <c r="C1" s="130" t="s">
        <v>514</v>
      </c>
      <c r="D1" s="130" t="s">
        <v>515</v>
      </c>
      <c r="E1" s="130" t="s">
        <v>516</v>
      </c>
      <c r="F1" s="130" t="s">
        <v>517</v>
      </c>
      <c r="G1" s="132" t="s">
        <v>24</v>
      </c>
      <c r="H1" s="132" t="s">
        <v>548</v>
      </c>
      <c r="I1" s="132" t="s">
        <v>549</v>
      </c>
    </row>
    <row r="2" spans="1:9" x14ac:dyDescent="0.2">
      <c r="B2" s="137">
        <v>43832</v>
      </c>
      <c r="C2" t="s">
        <v>626</v>
      </c>
      <c r="D2">
        <v>-10.52</v>
      </c>
      <c r="E2" t="s">
        <v>573</v>
      </c>
      <c r="F2" t="s">
        <v>750</v>
      </c>
    </row>
    <row r="3" spans="1:9" x14ac:dyDescent="0.2">
      <c r="B3" s="137">
        <v>43832</v>
      </c>
      <c r="C3" t="s">
        <v>626</v>
      </c>
      <c r="D3">
        <v>-5.85</v>
      </c>
      <c r="E3" t="s">
        <v>573</v>
      </c>
      <c r="F3" t="s">
        <v>751</v>
      </c>
    </row>
    <row r="4" spans="1:9" x14ac:dyDescent="0.2">
      <c r="B4" s="137">
        <v>43832</v>
      </c>
      <c r="C4" t="s">
        <v>626</v>
      </c>
      <c r="D4">
        <v>-39.14</v>
      </c>
      <c r="E4" t="s">
        <v>573</v>
      </c>
      <c r="F4" t="s">
        <v>752</v>
      </c>
    </row>
    <row r="5" spans="1:9" x14ac:dyDescent="0.2">
      <c r="B5" s="137">
        <v>43836</v>
      </c>
      <c r="C5" t="s">
        <v>626</v>
      </c>
      <c r="D5">
        <v>-9.5</v>
      </c>
      <c r="E5" t="s">
        <v>573</v>
      </c>
      <c r="F5" t="s">
        <v>753</v>
      </c>
    </row>
    <row r="6" spans="1:9" x14ac:dyDescent="0.2">
      <c r="B6" s="137">
        <v>43836</v>
      </c>
      <c r="C6" t="s">
        <v>626</v>
      </c>
      <c r="D6">
        <v>-20.6</v>
      </c>
      <c r="E6" t="s">
        <v>573</v>
      </c>
      <c r="F6" t="s">
        <v>754</v>
      </c>
    </row>
    <row r="7" spans="1:9" x14ac:dyDescent="0.2">
      <c r="B7" s="137">
        <v>43836</v>
      </c>
      <c r="C7" t="s">
        <v>626</v>
      </c>
      <c r="D7">
        <v>-46.14</v>
      </c>
      <c r="E7" t="s">
        <v>573</v>
      </c>
      <c r="F7" t="s">
        <v>755</v>
      </c>
    </row>
    <row r="8" spans="1:9" x14ac:dyDescent="0.2">
      <c r="B8" s="137">
        <v>43836</v>
      </c>
      <c r="C8" t="s">
        <v>626</v>
      </c>
      <c r="D8">
        <v>-4.7</v>
      </c>
      <c r="E8" t="s">
        <v>573</v>
      </c>
      <c r="F8" t="s">
        <v>756</v>
      </c>
    </row>
    <row r="9" spans="1:9" x14ac:dyDescent="0.2">
      <c r="B9" s="137">
        <v>43836</v>
      </c>
      <c r="C9" t="s">
        <v>626</v>
      </c>
      <c r="D9">
        <v>-4.18</v>
      </c>
      <c r="E9" t="s">
        <v>573</v>
      </c>
      <c r="F9" t="s">
        <v>757</v>
      </c>
    </row>
    <row r="10" spans="1:9" x14ac:dyDescent="0.2">
      <c r="B10" s="137">
        <v>43836</v>
      </c>
      <c r="C10" t="s">
        <v>626</v>
      </c>
      <c r="D10">
        <v>-14.25</v>
      </c>
      <c r="E10" t="s">
        <v>573</v>
      </c>
      <c r="F10" t="s">
        <v>758</v>
      </c>
    </row>
    <row r="11" spans="1:9" x14ac:dyDescent="0.2">
      <c r="B11" s="137">
        <v>43836</v>
      </c>
      <c r="C11" t="s">
        <v>626</v>
      </c>
      <c r="D11">
        <v>-8.4700000000000006</v>
      </c>
      <c r="E11" t="s">
        <v>573</v>
      </c>
      <c r="F11" t="s">
        <v>759</v>
      </c>
    </row>
    <row r="12" spans="1:9" x14ac:dyDescent="0.2">
      <c r="B12" s="137">
        <v>43837</v>
      </c>
      <c r="C12" t="s">
        <v>626</v>
      </c>
      <c r="D12">
        <v>-39.24</v>
      </c>
      <c r="E12" t="s">
        <v>573</v>
      </c>
      <c r="F12" t="s">
        <v>760</v>
      </c>
    </row>
    <row r="13" spans="1:9" x14ac:dyDescent="0.2">
      <c r="B13" s="137">
        <v>43837</v>
      </c>
      <c r="C13" t="s">
        <v>626</v>
      </c>
      <c r="D13">
        <v>-30.95</v>
      </c>
      <c r="E13" t="s">
        <v>573</v>
      </c>
      <c r="F13" t="s">
        <v>761</v>
      </c>
    </row>
    <row r="14" spans="1:9" x14ac:dyDescent="0.2">
      <c r="B14" s="137">
        <v>43838</v>
      </c>
      <c r="C14" t="s">
        <v>626</v>
      </c>
      <c r="D14">
        <v>-10.76</v>
      </c>
      <c r="E14" t="s">
        <v>573</v>
      </c>
      <c r="F14" t="s">
        <v>762</v>
      </c>
    </row>
    <row r="15" spans="1:9" x14ac:dyDescent="0.2">
      <c r="B15" s="137">
        <v>43838</v>
      </c>
      <c r="C15" t="s">
        <v>626</v>
      </c>
      <c r="D15">
        <v>-3.85</v>
      </c>
      <c r="E15" t="s">
        <v>573</v>
      </c>
      <c r="F15" t="s">
        <v>763</v>
      </c>
    </row>
    <row r="16" spans="1:9" x14ac:dyDescent="0.2">
      <c r="B16" s="137">
        <v>43838</v>
      </c>
      <c r="C16" t="s">
        <v>626</v>
      </c>
      <c r="D16">
        <v>-39.81</v>
      </c>
      <c r="E16" t="s">
        <v>573</v>
      </c>
      <c r="F16" t="s">
        <v>764</v>
      </c>
    </row>
    <row r="17" spans="2:6" x14ac:dyDescent="0.2">
      <c r="B17" s="137">
        <v>43839</v>
      </c>
      <c r="C17" t="s">
        <v>626</v>
      </c>
      <c r="D17">
        <v>-2.1</v>
      </c>
      <c r="E17" t="s">
        <v>573</v>
      </c>
      <c r="F17" t="s">
        <v>765</v>
      </c>
    </row>
    <row r="18" spans="2:6" x14ac:dyDescent="0.2">
      <c r="B18" s="137">
        <v>43840</v>
      </c>
      <c r="C18" t="s">
        <v>626</v>
      </c>
      <c r="D18">
        <v>-2.1</v>
      </c>
      <c r="E18" t="s">
        <v>573</v>
      </c>
      <c r="F18" t="s">
        <v>766</v>
      </c>
    </row>
    <row r="19" spans="2:6" x14ac:dyDescent="0.2">
      <c r="B19" s="137">
        <v>43840</v>
      </c>
      <c r="C19" t="s">
        <v>626</v>
      </c>
      <c r="D19">
        <v>-25.63</v>
      </c>
      <c r="E19" t="s">
        <v>573</v>
      </c>
      <c r="F19" t="s">
        <v>767</v>
      </c>
    </row>
    <row r="20" spans="2:6" x14ac:dyDescent="0.2">
      <c r="B20" s="137">
        <v>43840</v>
      </c>
      <c r="C20" t="s">
        <v>626</v>
      </c>
      <c r="D20">
        <v>-19.190000000000001</v>
      </c>
      <c r="E20" t="s">
        <v>573</v>
      </c>
      <c r="F20" t="s">
        <v>768</v>
      </c>
    </row>
    <row r="21" spans="2:6" x14ac:dyDescent="0.2">
      <c r="B21" s="137">
        <v>43843</v>
      </c>
      <c r="C21" t="s">
        <v>626</v>
      </c>
      <c r="D21">
        <v>-5.97</v>
      </c>
      <c r="E21" t="s">
        <v>573</v>
      </c>
      <c r="F21" t="s">
        <v>769</v>
      </c>
    </row>
    <row r="22" spans="2:6" x14ac:dyDescent="0.2">
      <c r="B22" s="137">
        <v>43843</v>
      </c>
      <c r="C22" t="s">
        <v>626</v>
      </c>
      <c r="D22">
        <v>-14.15</v>
      </c>
      <c r="E22" t="s">
        <v>573</v>
      </c>
      <c r="F22" t="s">
        <v>770</v>
      </c>
    </row>
    <row r="23" spans="2:6" x14ac:dyDescent="0.2">
      <c r="B23" s="137">
        <v>43843</v>
      </c>
      <c r="C23" t="s">
        <v>626</v>
      </c>
      <c r="D23">
        <v>-39.590000000000003</v>
      </c>
      <c r="E23" t="s">
        <v>573</v>
      </c>
      <c r="F23" t="s">
        <v>771</v>
      </c>
    </row>
    <row r="24" spans="2:6" x14ac:dyDescent="0.2">
      <c r="B24" s="137">
        <v>43843</v>
      </c>
      <c r="C24" t="s">
        <v>626</v>
      </c>
      <c r="D24">
        <v>-27.03</v>
      </c>
      <c r="E24" t="s">
        <v>573</v>
      </c>
      <c r="F24" t="s">
        <v>772</v>
      </c>
    </row>
    <row r="25" spans="2:6" x14ac:dyDescent="0.2">
      <c r="B25" s="137">
        <v>43843</v>
      </c>
      <c r="C25" t="s">
        <v>626</v>
      </c>
      <c r="D25">
        <v>-2.1</v>
      </c>
      <c r="E25" t="s">
        <v>573</v>
      </c>
      <c r="F25" t="s">
        <v>773</v>
      </c>
    </row>
    <row r="26" spans="2:6" x14ac:dyDescent="0.2">
      <c r="B26" s="137">
        <v>43843</v>
      </c>
      <c r="C26" t="s">
        <v>626</v>
      </c>
      <c r="D26">
        <v>-13.9</v>
      </c>
      <c r="E26" t="s">
        <v>573</v>
      </c>
      <c r="F26" t="s">
        <v>774</v>
      </c>
    </row>
    <row r="27" spans="2:6" x14ac:dyDescent="0.2">
      <c r="B27" s="137">
        <v>43843</v>
      </c>
      <c r="C27" t="s">
        <v>626</v>
      </c>
      <c r="D27">
        <v>-2.5</v>
      </c>
      <c r="E27" t="s">
        <v>573</v>
      </c>
      <c r="F27" t="s">
        <v>774</v>
      </c>
    </row>
    <row r="28" spans="2:6" x14ac:dyDescent="0.2">
      <c r="B28" s="137">
        <v>43843</v>
      </c>
      <c r="C28" t="s">
        <v>626</v>
      </c>
      <c r="D28">
        <v>-2.5</v>
      </c>
      <c r="E28" t="s">
        <v>573</v>
      </c>
      <c r="F28" t="s">
        <v>774</v>
      </c>
    </row>
    <row r="29" spans="2:6" x14ac:dyDescent="0.2">
      <c r="B29" s="137">
        <v>43843</v>
      </c>
      <c r="C29" t="s">
        <v>626</v>
      </c>
      <c r="D29">
        <v>-41.04</v>
      </c>
      <c r="E29" t="s">
        <v>573</v>
      </c>
      <c r="F29" t="s">
        <v>775</v>
      </c>
    </row>
    <row r="30" spans="2:6" x14ac:dyDescent="0.2">
      <c r="B30" s="137">
        <v>43843</v>
      </c>
      <c r="C30" t="s">
        <v>626</v>
      </c>
      <c r="D30">
        <v>-1.6</v>
      </c>
      <c r="E30" t="s">
        <v>573</v>
      </c>
      <c r="F30" t="s">
        <v>776</v>
      </c>
    </row>
    <row r="31" spans="2:6" x14ac:dyDescent="0.2">
      <c r="B31" s="137">
        <v>43843</v>
      </c>
      <c r="C31" t="s">
        <v>626</v>
      </c>
      <c r="D31">
        <v>-13</v>
      </c>
      <c r="E31" t="s">
        <v>573</v>
      </c>
      <c r="F31" t="s">
        <v>777</v>
      </c>
    </row>
    <row r="32" spans="2:6" x14ac:dyDescent="0.2">
      <c r="B32" s="137">
        <v>43843</v>
      </c>
      <c r="C32" t="s">
        <v>626</v>
      </c>
      <c r="D32">
        <v>-7.05</v>
      </c>
      <c r="E32" t="s">
        <v>573</v>
      </c>
      <c r="F32" t="s">
        <v>778</v>
      </c>
    </row>
    <row r="33" spans="2:8" x14ac:dyDescent="0.2">
      <c r="B33" s="137">
        <v>43843</v>
      </c>
      <c r="C33" t="s">
        <v>626</v>
      </c>
      <c r="D33">
        <v>-20.98</v>
      </c>
      <c r="E33" t="s">
        <v>573</v>
      </c>
      <c r="F33" t="s">
        <v>779</v>
      </c>
    </row>
    <row r="34" spans="2:8" x14ac:dyDescent="0.2">
      <c r="B34" s="137">
        <v>43843</v>
      </c>
      <c r="C34" t="s">
        <v>626</v>
      </c>
      <c r="D34">
        <v>-98.44</v>
      </c>
      <c r="E34" t="s">
        <v>573</v>
      </c>
      <c r="F34" t="s">
        <v>780</v>
      </c>
    </row>
    <row r="35" spans="2:8" x14ac:dyDescent="0.2">
      <c r="B35" s="137">
        <v>43843</v>
      </c>
      <c r="C35" t="s">
        <v>626</v>
      </c>
      <c r="D35">
        <v>-30.05</v>
      </c>
      <c r="E35" t="s">
        <v>573</v>
      </c>
      <c r="F35" t="s">
        <v>781</v>
      </c>
    </row>
    <row r="36" spans="2:8" x14ac:dyDescent="0.2">
      <c r="B36" s="137">
        <v>43844</v>
      </c>
      <c r="C36" t="s">
        <v>626</v>
      </c>
      <c r="D36">
        <v>-14.4</v>
      </c>
      <c r="E36" t="s">
        <v>573</v>
      </c>
      <c r="F36" t="s">
        <v>782</v>
      </c>
    </row>
    <row r="37" spans="2:8" x14ac:dyDescent="0.2">
      <c r="B37" s="137">
        <v>43844</v>
      </c>
      <c r="C37" t="s">
        <v>626</v>
      </c>
      <c r="D37">
        <v>-6.87</v>
      </c>
      <c r="E37" t="s">
        <v>573</v>
      </c>
      <c r="F37" t="s">
        <v>783</v>
      </c>
    </row>
    <row r="38" spans="2:8" x14ac:dyDescent="0.2">
      <c r="B38" s="137">
        <v>43844</v>
      </c>
      <c r="C38" t="s">
        <v>626</v>
      </c>
      <c r="D38">
        <v>-4.0999999999999996</v>
      </c>
      <c r="E38" t="s">
        <v>573</v>
      </c>
      <c r="F38" t="s">
        <v>784</v>
      </c>
    </row>
    <row r="39" spans="2:8" x14ac:dyDescent="0.2">
      <c r="B39" s="137">
        <v>43844</v>
      </c>
      <c r="C39" t="s">
        <v>626</v>
      </c>
      <c r="D39">
        <v>-6.25</v>
      </c>
      <c r="E39" t="s">
        <v>573</v>
      </c>
      <c r="F39" t="s">
        <v>785</v>
      </c>
    </row>
    <row r="40" spans="2:8" x14ac:dyDescent="0.2">
      <c r="B40" s="137">
        <v>43845</v>
      </c>
      <c r="C40" t="s">
        <v>626</v>
      </c>
      <c r="D40">
        <v>-23.74</v>
      </c>
      <c r="E40" t="s">
        <v>573</v>
      </c>
      <c r="F40" t="s">
        <v>786</v>
      </c>
    </row>
    <row r="41" spans="2:8" x14ac:dyDescent="0.2">
      <c r="B41" s="137">
        <v>43845</v>
      </c>
      <c r="C41" t="s">
        <v>626</v>
      </c>
      <c r="D41">
        <v>-1.72</v>
      </c>
      <c r="E41" t="s">
        <v>573</v>
      </c>
      <c r="F41" t="s">
        <v>786</v>
      </c>
    </row>
    <row r="42" spans="2:8" x14ac:dyDescent="0.2">
      <c r="B42" s="137">
        <v>43845</v>
      </c>
      <c r="C42" t="s">
        <v>626</v>
      </c>
      <c r="D42">
        <v>-16.2</v>
      </c>
      <c r="E42" t="s">
        <v>573</v>
      </c>
      <c r="F42" t="s">
        <v>787</v>
      </c>
    </row>
    <row r="43" spans="2:8" x14ac:dyDescent="0.2">
      <c r="B43" s="137">
        <v>43845</v>
      </c>
      <c r="C43" t="s">
        <v>626</v>
      </c>
      <c r="D43">
        <v>-2.5</v>
      </c>
      <c r="E43" t="s">
        <v>573</v>
      </c>
      <c r="F43" t="s">
        <v>787</v>
      </c>
    </row>
    <row r="44" spans="2:8" x14ac:dyDescent="0.2">
      <c r="B44" s="137">
        <v>43845</v>
      </c>
      <c r="C44" t="s">
        <v>626</v>
      </c>
      <c r="D44">
        <v>-10.14</v>
      </c>
      <c r="E44" t="s">
        <v>573</v>
      </c>
      <c r="F44" t="s">
        <v>788</v>
      </c>
    </row>
    <row r="45" spans="2:8" x14ac:dyDescent="0.2">
      <c r="B45" s="137">
        <v>43846</v>
      </c>
      <c r="C45" t="s">
        <v>626</v>
      </c>
      <c r="D45">
        <v>-18.61</v>
      </c>
      <c r="E45" t="s">
        <v>573</v>
      </c>
      <c r="F45" t="s">
        <v>789</v>
      </c>
    </row>
    <row r="46" spans="2:8" x14ac:dyDescent="0.2">
      <c r="B46" s="137">
        <v>43846</v>
      </c>
      <c r="C46" t="s">
        <v>626</v>
      </c>
      <c r="D46">
        <v>-7.1</v>
      </c>
      <c r="E46" t="s">
        <v>573</v>
      </c>
      <c r="F46" t="s">
        <v>790</v>
      </c>
    </row>
    <row r="47" spans="2:8" x14ac:dyDescent="0.2">
      <c r="B47" s="137">
        <v>43846</v>
      </c>
      <c r="C47" t="s">
        <v>626</v>
      </c>
      <c r="D47">
        <v>-36.68</v>
      </c>
      <c r="E47" t="s">
        <v>573</v>
      </c>
      <c r="F47" t="s">
        <v>791</v>
      </c>
      <c r="H47" s="134"/>
    </row>
    <row r="48" spans="2:8" x14ac:dyDescent="0.2">
      <c r="B48" s="137">
        <v>43847</v>
      </c>
      <c r="C48" t="s">
        <v>626</v>
      </c>
      <c r="D48">
        <v>200</v>
      </c>
      <c r="E48" t="s">
        <v>674</v>
      </c>
      <c r="F48" t="s">
        <v>627</v>
      </c>
    </row>
    <row r="49" spans="2:6" x14ac:dyDescent="0.2">
      <c r="B49" s="137">
        <v>43847</v>
      </c>
      <c r="C49" t="s">
        <v>626</v>
      </c>
      <c r="D49">
        <v>-27.45</v>
      </c>
      <c r="E49" t="s">
        <v>573</v>
      </c>
      <c r="F49" t="s">
        <v>792</v>
      </c>
    </row>
    <row r="50" spans="2:6" x14ac:dyDescent="0.2">
      <c r="B50" s="137">
        <v>43850</v>
      </c>
      <c r="C50" t="s">
        <v>626</v>
      </c>
      <c r="D50">
        <v>-18.34</v>
      </c>
      <c r="E50" t="s">
        <v>573</v>
      </c>
      <c r="F50" t="s">
        <v>793</v>
      </c>
    </row>
    <row r="51" spans="2:6" x14ac:dyDescent="0.2">
      <c r="B51" s="137">
        <v>43850</v>
      </c>
      <c r="C51" t="s">
        <v>626</v>
      </c>
      <c r="D51">
        <v>-43.2</v>
      </c>
      <c r="E51" t="s">
        <v>573</v>
      </c>
      <c r="F51" t="s">
        <v>794</v>
      </c>
    </row>
    <row r="52" spans="2:6" x14ac:dyDescent="0.2">
      <c r="B52" s="137">
        <v>43850</v>
      </c>
      <c r="C52" t="s">
        <v>626</v>
      </c>
      <c r="D52">
        <v>-53.34</v>
      </c>
      <c r="E52" t="s">
        <v>573</v>
      </c>
      <c r="F52" t="s">
        <v>795</v>
      </c>
    </row>
    <row r="53" spans="2:6" x14ac:dyDescent="0.2">
      <c r="B53" s="137">
        <v>43850</v>
      </c>
      <c r="C53" t="s">
        <v>626</v>
      </c>
      <c r="D53">
        <v>-8.68</v>
      </c>
      <c r="E53" t="s">
        <v>573</v>
      </c>
      <c r="F53" t="s">
        <v>796</v>
      </c>
    </row>
    <row r="54" spans="2:6" x14ac:dyDescent="0.2">
      <c r="B54" s="137">
        <v>43850</v>
      </c>
      <c r="C54" t="s">
        <v>626</v>
      </c>
      <c r="D54">
        <v>-11.15</v>
      </c>
      <c r="E54" t="s">
        <v>573</v>
      </c>
      <c r="F54" t="s">
        <v>797</v>
      </c>
    </row>
    <row r="55" spans="2:6" x14ac:dyDescent="0.2">
      <c r="B55" s="137">
        <v>43850</v>
      </c>
      <c r="C55" t="s">
        <v>626</v>
      </c>
      <c r="D55">
        <v>-41.43</v>
      </c>
      <c r="E55" t="s">
        <v>573</v>
      </c>
      <c r="F55" t="s">
        <v>798</v>
      </c>
    </row>
    <row r="56" spans="2:6" x14ac:dyDescent="0.2">
      <c r="B56" s="137">
        <v>43851</v>
      </c>
      <c r="C56" t="s">
        <v>626</v>
      </c>
      <c r="D56">
        <v>-42.08</v>
      </c>
      <c r="E56" t="s">
        <v>573</v>
      </c>
      <c r="F56" t="s">
        <v>799</v>
      </c>
    </row>
    <row r="57" spans="2:6" x14ac:dyDescent="0.2">
      <c r="B57" s="137">
        <v>43853</v>
      </c>
      <c r="C57" t="s">
        <v>626</v>
      </c>
      <c r="D57">
        <v>200</v>
      </c>
      <c r="E57" t="s">
        <v>674</v>
      </c>
      <c r="F57" t="s">
        <v>627</v>
      </c>
    </row>
    <row r="58" spans="2:6" x14ac:dyDescent="0.2">
      <c r="B58" s="137">
        <v>43853</v>
      </c>
      <c r="C58" t="s">
        <v>626</v>
      </c>
      <c r="D58">
        <v>-29.38</v>
      </c>
      <c r="E58" t="s">
        <v>573</v>
      </c>
      <c r="F58" t="s">
        <v>800</v>
      </c>
    </row>
    <row r="59" spans="2:6" x14ac:dyDescent="0.2">
      <c r="B59" s="137">
        <v>43853</v>
      </c>
      <c r="C59" t="s">
        <v>626</v>
      </c>
      <c r="D59">
        <v>-1.5</v>
      </c>
      <c r="E59" t="s">
        <v>573</v>
      </c>
      <c r="F59" t="s">
        <v>800</v>
      </c>
    </row>
    <row r="60" spans="2:6" x14ac:dyDescent="0.2">
      <c r="B60" s="137">
        <v>43853</v>
      </c>
      <c r="C60" t="s">
        <v>626</v>
      </c>
      <c r="D60">
        <v>-20</v>
      </c>
      <c r="E60" t="s">
        <v>573</v>
      </c>
      <c r="F60" t="s">
        <v>801</v>
      </c>
    </row>
    <row r="61" spans="2:6" x14ac:dyDescent="0.2">
      <c r="B61" s="137">
        <v>43854</v>
      </c>
      <c r="C61" t="s">
        <v>626</v>
      </c>
      <c r="D61">
        <v>-18.350000000000001</v>
      </c>
      <c r="E61" t="s">
        <v>573</v>
      </c>
      <c r="F61" t="s">
        <v>802</v>
      </c>
    </row>
    <row r="62" spans="2:6" x14ac:dyDescent="0.2">
      <c r="B62" s="137">
        <v>43854</v>
      </c>
      <c r="C62" t="s">
        <v>626</v>
      </c>
      <c r="D62">
        <v>-4.5</v>
      </c>
      <c r="E62" t="s">
        <v>573</v>
      </c>
      <c r="F62" t="s">
        <v>803</v>
      </c>
    </row>
    <row r="63" spans="2:6" x14ac:dyDescent="0.2">
      <c r="B63" s="137">
        <v>43854</v>
      </c>
      <c r="C63" t="s">
        <v>626</v>
      </c>
      <c r="D63">
        <v>-4.5999999999999996</v>
      </c>
      <c r="E63" t="s">
        <v>573</v>
      </c>
      <c r="F63" t="s">
        <v>804</v>
      </c>
    </row>
    <row r="64" spans="2:6" x14ac:dyDescent="0.2">
      <c r="B64" s="137">
        <v>43854</v>
      </c>
      <c r="C64" t="s">
        <v>626</v>
      </c>
      <c r="D64">
        <v>-2.1800000000000002</v>
      </c>
      <c r="E64" t="s">
        <v>573</v>
      </c>
      <c r="F64" t="s">
        <v>805</v>
      </c>
    </row>
    <row r="65" spans="2:6" x14ac:dyDescent="0.2">
      <c r="B65" s="137">
        <v>43857</v>
      </c>
      <c r="C65" t="s">
        <v>626</v>
      </c>
      <c r="D65">
        <v>-6.9</v>
      </c>
      <c r="E65" t="s">
        <v>573</v>
      </c>
      <c r="F65" t="s">
        <v>806</v>
      </c>
    </row>
    <row r="66" spans="2:6" x14ac:dyDescent="0.2">
      <c r="B66" s="137">
        <v>43857</v>
      </c>
      <c r="C66" t="s">
        <v>626</v>
      </c>
      <c r="D66">
        <v>-33.51</v>
      </c>
      <c r="E66" t="s">
        <v>573</v>
      </c>
      <c r="F66" t="s">
        <v>807</v>
      </c>
    </row>
    <row r="67" spans="2:6" x14ac:dyDescent="0.2">
      <c r="B67" s="137">
        <v>43857</v>
      </c>
      <c r="C67" t="s">
        <v>626</v>
      </c>
      <c r="D67">
        <v>1200</v>
      </c>
      <c r="E67" t="s">
        <v>628</v>
      </c>
      <c r="F67" t="s">
        <v>686</v>
      </c>
    </row>
    <row r="68" spans="2:6" x14ac:dyDescent="0.2">
      <c r="B68" s="137">
        <v>43857</v>
      </c>
      <c r="C68" t="s">
        <v>626</v>
      </c>
      <c r="D68">
        <v>-4.5</v>
      </c>
      <c r="E68" t="s">
        <v>573</v>
      </c>
      <c r="F68" t="s">
        <v>808</v>
      </c>
    </row>
    <row r="69" spans="2:6" x14ac:dyDescent="0.2">
      <c r="B69" s="137">
        <v>43857</v>
      </c>
      <c r="C69" t="s">
        <v>626</v>
      </c>
      <c r="D69">
        <v>-24.65</v>
      </c>
      <c r="E69" t="s">
        <v>573</v>
      </c>
      <c r="F69" t="s">
        <v>809</v>
      </c>
    </row>
    <row r="70" spans="2:6" x14ac:dyDescent="0.2">
      <c r="B70" s="137">
        <v>43857</v>
      </c>
      <c r="C70" t="s">
        <v>626</v>
      </c>
      <c r="D70">
        <v>-2.99</v>
      </c>
      <c r="E70" t="s">
        <v>573</v>
      </c>
      <c r="F70" t="s">
        <v>809</v>
      </c>
    </row>
    <row r="71" spans="2:6" x14ac:dyDescent="0.2">
      <c r="B71" s="137">
        <v>43857</v>
      </c>
      <c r="C71" t="s">
        <v>626</v>
      </c>
      <c r="D71">
        <v>-16.239999999999998</v>
      </c>
      <c r="E71" t="s">
        <v>573</v>
      </c>
      <c r="F71" t="s">
        <v>685</v>
      </c>
    </row>
    <row r="72" spans="2:6" x14ac:dyDescent="0.2">
      <c r="B72" s="137">
        <v>43857</v>
      </c>
      <c r="C72" t="s">
        <v>626</v>
      </c>
      <c r="D72">
        <v>-2.1800000000000002</v>
      </c>
      <c r="E72" t="s">
        <v>573</v>
      </c>
      <c r="F72" t="s">
        <v>810</v>
      </c>
    </row>
    <row r="73" spans="2:6" x14ac:dyDescent="0.2">
      <c r="B73" s="137">
        <v>43857</v>
      </c>
      <c r="C73" t="s">
        <v>626</v>
      </c>
      <c r="D73">
        <v>-37</v>
      </c>
      <c r="E73" t="s">
        <v>573</v>
      </c>
      <c r="F73" t="s">
        <v>811</v>
      </c>
    </row>
    <row r="74" spans="2:6" x14ac:dyDescent="0.2">
      <c r="B74" s="137">
        <v>43857</v>
      </c>
      <c r="C74" t="s">
        <v>626</v>
      </c>
      <c r="D74">
        <v>-29</v>
      </c>
      <c r="E74" t="s">
        <v>573</v>
      </c>
      <c r="F74" t="s">
        <v>812</v>
      </c>
    </row>
    <row r="75" spans="2:6" x14ac:dyDescent="0.2">
      <c r="B75" s="137">
        <v>43857</v>
      </c>
      <c r="C75" t="s">
        <v>626</v>
      </c>
      <c r="D75">
        <v>-28.99</v>
      </c>
      <c r="E75" t="s">
        <v>573</v>
      </c>
      <c r="F75" t="s">
        <v>812</v>
      </c>
    </row>
    <row r="76" spans="2:6" x14ac:dyDescent="0.2">
      <c r="B76" s="137">
        <v>43859</v>
      </c>
      <c r="C76" t="s">
        <v>626</v>
      </c>
      <c r="D76">
        <v>-37.22</v>
      </c>
      <c r="E76" t="s">
        <v>573</v>
      </c>
      <c r="F76" t="s">
        <v>813</v>
      </c>
    </row>
    <row r="77" spans="2:6" x14ac:dyDescent="0.2">
      <c r="B77" s="137">
        <v>43859</v>
      </c>
      <c r="C77" t="s">
        <v>626</v>
      </c>
      <c r="D77">
        <v>-48.8</v>
      </c>
      <c r="E77" t="s">
        <v>573</v>
      </c>
      <c r="F77" t="s">
        <v>814</v>
      </c>
    </row>
    <row r="78" spans="2:6" x14ac:dyDescent="0.2">
      <c r="B78" s="137">
        <v>43860</v>
      </c>
      <c r="C78" t="s">
        <v>626</v>
      </c>
      <c r="D78">
        <v>-12.27</v>
      </c>
      <c r="E78" t="s">
        <v>573</v>
      </c>
      <c r="F78" t="s">
        <v>815</v>
      </c>
    </row>
    <row r="79" spans="2:6" x14ac:dyDescent="0.2">
      <c r="B79" s="137">
        <v>43860</v>
      </c>
      <c r="C79" t="s">
        <v>626</v>
      </c>
      <c r="D79">
        <v>-11.86</v>
      </c>
      <c r="E79" t="s">
        <v>573</v>
      </c>
      <c r="F79" t="s">
        <v>815</v>
      </c>
    </row>
    <row r="80" spans="2:6" x14ac:dyDescent="0.2">
      <c r="B80" s="137">
        <v>43860</v>
      </c>
      <c r="C80" t="s">
        <v>626</v>
      </c>
      <c r="D80">
        <v>-2.1</v>
      </c>
      <c r="E80" t="s">
        <v>573</v>
      </c>
      <c r="F80" t="s">
        <v>816</v>
      </c>
    </row>
    <row r="81" spans="2:6" x14ac:dyDescent="0.2">
      <c r="B81" s="137">
        <v>43860</v>
      </c>
      <c r="C81" t="s">
        <v>626</v>
      </c>
      <c r="D81">
        <v>-2.33</v>
      </c>
      <c r="E81" t="s">
        <v>573</v>
      </c>
      <c r="F81" t="s">
        <v>817</v>
      </c>
    </row>
    <row r="82" spans="2:6" x14ac:dyDescent="0.2">
      <c r="B82" s="137">
        <v>43861</v>
      </c>
      <c r="C82" t="s">
        <v>626</v>
      </c>
      <c r="D82">
        <v>-30</v>
      </c>
      <c r="E82" t="s">
        <v>573</v>
      </c>
      <c r="F82" t="s">
        <v>818</v>
      </c>
    </row>
    <row r="83" spans="2:6" x14ac:dyDescent="0.2">
      <c r="B83" s="137">
        <v>43861</v>
      </c>
      <c r="C83" t="s">
        <v>626</v>
      </c>
      <c r="D83">
        <v>-2.1</v>
      </c>
      <c r="E83" t="s">
        <v>573</v>
      </c>
      <c r="F83" t="s">
        <v>819</v>
      </c>
    </row>
    <row r="84" spans="2:6" x14ac:dyDescent="0.2">
      <c r="B84" s="137">
        <v>43861</v>
      </c>
      <c r="C84" t="s">
        <v>626</v>
      </c>
      <c r="D84">
        <v>-7</v>
      </c>
      <c r="E84" t="s">
        <v>573</v>
      </c>
      <c r="F84" t="s">
        <v>820</v>
      </c>
    </row>
    <row r="85" spans="2:6" x14ac:dyDescent="0.2">
      <c r="B85" s="137">
        <v>43861</v>
      </c>
      <c r="C85" t="s">
        <v>626</v>
      </c>
      <c r="D85">
        <v>-84.73</v>
      </c>
      <c r="E85" t="s">
        <v>573</v>
      </c>
      <c r="F85" t="s">
        <v>821</v>
      </c>
    </row>
    <row r="86" spans="2:6" x14ac:dyDescent="0.2">
      <c r="B86" s="137">
        <v>43861</v>
      </c>
      <c r="C86" t="s">
        <v>626</v>
      </c>
      <c r="D86">
        <v>-31.41</v>
      </c>
      <c r="E86" t="s">
        <v>573</v>
      </c>
      <c r="F86" t="s">
        <v>822</v>
      </c>
    </row>
    <row r="87" spans="2:6" x14ac:dyDescent="0.2">
      <c r="B87" s="137"/>
      <c r="C87"/>
      <c r="D87"/>
      <c r="E87"/>
      <c r="F87"/>
    </row>
    <row r="88" spans="2:6" x14ac:dyDescent="0.2">
      <c r="B88" s="137"/>
      <c r="C88"/>
      <c r="D88"/>
      <c r="E88"/>
      <c r="F88"/>
    </row>
    <row r="89" spans="2:6" x14ac:dyDescent="0.2">
      <c r="B89" s="137"/>
      <c r="C89"/>
      <c r="D89"/>
      <c r="E89"/>
      <c r="F89"/>
    </row>
    <row r="90" spans="2:6" x14ac:dyDescent="0.2">
      <c r="B90" s="137"/>
      <c r="C90"/>
      <c r="D90"/>
      <c r="E90"/>
      <c r="F90"/>
    </row>
    <row r="91" spans="2:6" x14ac:dyDescent="0.2">
      <c r="B91" s="137"/>
      <c r="C91"/>
      <c r="D91"/>
      <c r="E91"/>
      <c r="F91"/>
    </row>
    <row r="92" spans="2:6" x14ac:dyDescent="0.2">
      <c r="B92" s="137"/>
      <c r="C92"/>
      <c r="D92"/>
      <c r="E92"/>
      <c r="F92"/>
    </row>
    <row r="93" spans="2:6" x14ac:dyDescent="0.2">
      <c r="B93" s="137"/>
      <c r="C93"/>
      <c r="D93"/>
      <c r="E93"/>
      <c r="F93"/>
    </row>
    <row r="94" spans="2:6" x14ac:dyDescent="0.2">
      <c r="B94" s="137"/>
      <c r="C94"/>
      <c r="D94"/>
      <c r="E94"/>
      <c r="F94"/>
    </row>
    <row r="95" spans="2:6" x14ac:dyDescent="0.2">
      <c r="B95" s="137"/>
      <c r="C95"/>
      <c r="D95"/>
      <c r="E95"/>
      <c r="F95"/>
    </row>
    <row r="96" spans="2:6" x14ac:dyDescent="0.2">
      <c r="B96" s="137"/>
      <c r="C96"/>
      <c r="D96"/>
      <c r="E96"/>
      <c r="F96"/>
    </row>
    <row r="97" spans="2:8" x14ac:dyDescent="0.2">
      <c r="B97" s="137"/>
      <c r="C97"/>
      <c r="D97"/>
      <c r="E97"/>
      <c r="F97"/>
    </row>
    <row r="98" spans="2:8" x14ac:dyDescent="0.2">
      <c r="B98" s="137"/>
      <c r="C98"/>
      <c r="D98"/>
      <c r="E98"/>
      <c r="F98"/>
    </row>
    <row r="99" spans="2:8" x14ac:dyDescent="0.2">
      <c r="B99" s="137"/>
      <c r="C99"/>
      <c r="D99"/>
      <c r="E99"/>
      <c r="F99"/>
    </row>
    <row r="100" spans="2:8" x14ac:dyDescent="0.2">
      <c r="B100" s="137"/>
      <c r="C100"/>
      <c r="D100"/>
      <c r="E100"/>
      <c r="F100"/>
      <c r="H100" s="132"/>
    </row>
    <row r="101" spans="2:8" x14ac:dyDescent="0.2">
      <c r="B101" s="137"/>
      <c r="C101"/>
      <c r="D101"/>
      <c r="E101"/>
      <c r="F101"/>
    </row>
    <row r="102" spans="2:8" x14ac:dyDescent="0.2">
      <c r="B102" s="131"/>
    </row>
    <row r="103" spans="2:8" x14ac:dyDescent="0.2">
      <c r="B103" s="131"/>
    </row>
    <row r="104" spans="2:8" x14ac:dyDescent="0.2">
      <c r="B104" s="131"/>
    </row>
    <row r="105" spans="2:8" x14ac:dyDescent="0.2">
      <c r="B105" s="131"/>
    </row>
    <row r="106" spans="2:8" x14ac:dyDescent="0.2">
      <c r="B106" s="131"/>
    </row>
    <row r="107" spans="2:8" x14ac:dyDescent="0.2">
      <c r="B107" s="131"/>
    </row>
    <row r="108" spans="2:8" x14ac:dyDescent="0.2">
      <c r="B108" s="131"/>
    </row>
    <row r="109" spans="2:8" x14ac:dyDescent="0.2">
      <c r="B109" s="131"/>
    </row>
    <row r="110" spans="2:8" x14ac:dyDescent="0.2">
      <c r="B110" s="131"/>
    </row>
    <row r="111" spans="2:8" x14ac:dyDescent="0.2">
      <c r="B111" s="131"/>
    </row>
    <row r="112" spans="2:8" x14ac:dyDescent="0.2">
      <c r="B112" s="131"/>
    </row>
    <row r="113" spans="2:8" x14ac:dyDescent="0.2">
      <c r="B113" s="131"/>
      <c r="H113" s="132"/>
    </row>
    <row r="114" spans="2:8" x14ac:dyDescent="0.2">
      <c r="B114" s="131"/>
    </row>
    <row r="115" spans="2:8" x14ac:dyDescent="0.2">
      <c r="B115" s="131"/>
    </row>
    <row r="116" spans="2:8" x14ac:dyDescent="0.2">
      <c r="B116" s="131"/>
    </row>
    <row r="117" spans="2:8" x14ac:dyDescent="0.2">
      <c r="B117" s="131"/>
    </row>
    <row r="118" spans="2:8" x14ac:dyDescent="0.2">
      <c r="B118" s="131"/>
    </row>
    <row r="119" spans="2:8" x14ac:dyDescent="0.2">
      <c r="B119" s="131"/>
    </row>
    <row r="120" spans="2:8" x14ac:dyDescent="0.2">
      <c r="B120" s="131"/>
    </row>
    <row r="121" spans="2:8" x14ac:dyDescent="0.2">
      <c r="B121" s="131"/>
    </row>
    <row r="122" spans="2:8" x14ac:dyDescent="0.2">
      <c r="B122" s="131"/>
    </row>
    <row r="123" spans="2:8" x14ac:dyDescent="0.2">
      <c r="B123" s="131"/>
    </row>
    <row r="124" spans="2:8" x14ac:dyDescent="0.2">
      <c r="B124" s="131"/>
    </row>
    <row r="125" spans="2:8" x14ac:dyDescent="0.2">
      <c r="B125" s="131"/>
    </row>
    <row r="126" spans="2:8" x14ac:dyDescent="0.2">
      <c r="B126" s="131"/>
    </row>
    <row r="127" spans="2:8" x14ac:dyDescent="0.2">
      <c r="B127" s="131"/>
    </row>
    <row r="128" spans="2:8" x14ac:dyDescent="0.2">
      <c r="B128" s="131"/>
      <c r="H128" s="132"/>
    </row>
    <row r="129" spans="2:2" x14ac:dyDescent="0.2">
      <c r="B129" s="131"/>
    </row>
    <row r="130" spans="2:2" x14ac:dyDescent="0.2">
      <c r="B130" s="131"/>
    </row>
    <row r="131" spans="2:2" x14ac:dyDescent="0.2">
      <c r="B131" s="131"/>
    </row>
    <row r="132" spans="2:2" x14ac:dyDescent="0.2">
      <c r="B132" s="131"/>
    </row>
    <row r="133" spans="2:2" x14ac:dyDescent="0.2">
      <c r="B133" s="131"/>
    </row>
    <row r="134" spans="2:2" x14ac:dyDescent="0.2">
      <c r="B134" s="131"/>
    </row>
    <row r="135" spans="2:2" x14ac:dyDescent="0.2">
      <c r="B135" s="131"/>
    </row>
    <row r="136" spans="2:2" x14ac:dyDescent="0.2">
      <c r="B136" s="131"/>
    </row>
    <row r="137" spans="2:2" x14ac:dyDescent="0.2">
      <c r="B137" s="131"/>
    </row>
    <row r="138" spans="2:2" x14ac:dyDescent="0.2">
      <c r="B138" s="131"/>
    </row>
    <row r="139" spans="2:2" x14ac:dyDescent="0.2">
      <c r="B139" s="131"/>
    </row>
    <row r="140" spans="2:2" x14ac:dyDescent="0.2">
      <c r="B140" s="131"/>
    </row>
    <row r="141" spans="2:2" x14ac:dyDescent="0.2">
      <c r="B141" s="131"/>
    </row>
    <row r="142" spans="2:2" x14ac:dyDescent="0.2">
      <c r="B142" s="131"/>
    </row>
    <row r="143" spans="2:2" x14ac:dyDescent="0.2">
      <c r="B143" s="131"/>
    </row>
    <row r="144" spans="2:2" x14ac:dyDescent="0.2">
      <c r="B144" s="131"/>
    </row>
    <row r="145" spans="2:2" x14ac:dyDescent="0.2">
      <c r="B145" s="131"/>
    </row>
    <row r="146" spans="2:2" x14ac:dyDescent="0.2">
      <c r="B146" s="131"/>
    </row>
    <row r="147" spans="2:2" x14ac:dyDescent="0.2">
      <c r="B147" s="131"/>
    </row>
    <row r="148" spans="2:2" x14ac:dyDescent="0.2">
      <c r="B148" s="131"/>
    </row>
    <row r="149" spans="2:2" x14ac:dyDescent="0.2">
      <c r="B149" s="131"/>
    </row>
    <row r="150" spans="2:2" x14ac:dyDescent="0.2">
      <c r="B150" s="131"/>
    </row>
    <row r="151" spans="2:2" x14ac:dyDescent="0.2">
      <c r="B151" s="131"/>
    </row>
    <row r="152" spans="2:2" x14ac:dyDescent="0.2">
      <c r="B152" s="131"/>
    </row>
    <row r="153" spans="2:2" x14ac:dyDescent="0.2">
      <c r="B153" s="131"/>
    </row>
    <row r="154" spans="2:2" x14ac:dyDescent="0.2">
      <c r="B154" s="131"/>
    </row>
    <row r="155" spans="2:2" x14ac:dyDescent="0.2">
      <c r="B155" s="131"/>
    </row>
    <row r="156" spans="2:2" x14ac:dyDescent="0.2">
      <c r="B156" s="131"/>
    </row>
    <row r="157" spans="2:2" x14ac:dyDescent="0.2">
      <c r="B157" s="131"/>
    </row>
    <row r="158" spans="2:2" x14ac:dyDescent="0.2">
      <c r="B158" s="131"/>
    </row>
    <row r="159" spans="2:2" x14ac:dyDescent="0.2">
      <c r="B159" s="131"/>
    </row>
    <row r="160" spans="2:2" x14ac:dyDescent="0.2">
      <c r="B160" s="131"/>
    </row>
    <row r="161" spans="2:2" x14ac:dyDescent="0.2">
      <c r="B161" s="131"/>
    </row>
    <row r="162" spans="2:2" x14ac:dyDescent="0.2">
      <c r="B162" s="131"/>
    </row>
    <row r="163" spans="2:2" x14ac:dyDescent="0.2">
      <c r="B163" s="131"/>
    </row>
    <row r="164" spans="2:2" x14ac:dyDescent="0.2">
      <c r="B164" s="131"/>
    </row>
    <row r="165" spans="2:2" x14ac:dyDescent="0.2">
      <c r="B165" s="131"/>
    </row>
    <row r="166" spans="2:2" x14ac:dyDescent="0.2">
      <c r="B166" s="131"/>
    </row>
    <row r="167" spans="2:2" x14ac:dyDescent="0.2">
      <c r="B167" s="131"/>
    </row>
    <row r="168" spans="2:2" x14ac:dyDescent="0.2">
      <c r="B168" s="131"/>
    </row>
    <row r="169" spans="2:2" x14ac:dyDescent="0.2">
      <c r="B169" s="131"/>
    </row>
    <row r="170" spans="2:2" x14ac:dyDescent="0.2">
      <c r="B170" s="131"/>
    </row>
    <row r="171" spans="2:2" x14ac:dyDescent="0.2">
      <c r="B171" s="131"/>
    </row>
    <row r="172" spans="2:2" x14ac:dyDescent="0.2">
      <c r="B172" s="131"/>
    </row>
    <row r="173" spans="2:2" x14ac:dyDescent="0.2">
      <c r="B173" s="131"/>
    </row>
    <row r="174" spans="2:2" x14ac:dyDescent="0.2">
      <c r="B174" s="131"/>
    </row>
    <row r="175" spans="2:2" x14ac:dyDescent="0.2">
      <c r="B175" s="131"/>
    </row>
    <row r="176" spans="2:2" x14ac:dyDescent="0.2">
      <c r="B176" s="131"/>
    </row>
    <row r="177" spans="2:2" x14ac:dyDescent="0.2">
      <c r="B177" s="131"/>
    </row>
    <row r="178" spans="2:2" x14ac:dyDescent="0.2">
      <c r="B178" s="131"/>
    </row>
    <row r="179" spans="2:2" x14ac:dyDescent="0.2">
      <c r="B179" s="131"/>
    </row>
    <row r="180" spans="2:2" x14ac:dyDescent="0.2">
      <c r="B180" s="131"/>
    </row>
    <row r="181" spans="2:2" x14ac:dyDescent="0.2">
      <c r="B181" s="131"/>
    </row>
    <row r="182" spans="2:2" x14ac:dyDescent="0.2">
      <c r="B182" s="131"/>
    </row>
    <row r="183" spans="2:2" x14ac:dyDescent="0.2">
      <c r="B183" s="131"/>
    </row>
    <row r="184" spans="2:2" x14ac:dyDescent="0.2">
      <c r="B184" s="131"/>
    </row>
    <row r="185" spans="2:2" x14ac:dyDescent="0.2">
      <c r="B185" s="131"/>
    </row>
  </sheetData>
  <autoFilter ref="A1:I135" xr:uid="{7607D0D1-EE28-41D3-A21A-58034E62A422}"/>
  <sortState xmlns:xlrd2="http://schemas.microsoft.com/office/spreadsheetml/2017/richdata2" ref="A2:I112">
    <sortCondition ref="B2:B112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G80"/>
  <sheetViews>
    <sheetView topLeftCell="A10" workbookViewId="0" zoomScale="85" zoomScaleNormal="85">
      <selection activeCell="E63" sqref="E63"/>
    </sheetView>
  </sheetViews>
  <sheetFormatPr defaultRowHeight="12.75" x14ac:dyDescent="0.2"/>
  <cols>
    <col min="1" max="1" bestFit="true" customWidth="true" width="11.0" collapsed="false"/>
    <col min="2" max="2" bestFit="true" customWidth="true" width="39.28515625" collapsed="false"/>
    <col min="3" max="3" bestFit="true" customWidth="true" width="24.28515625" collapsed="false"/>
    <col min="4" max="4" customWidth="true" width="24.28515625" collapsed="false"/>
    <col min="5" max="5" customWidth="true" width="17.0" collapsed="false"/>
  </cols>
  <sheetData>
    <row r="1" spans="1:7" x14ac:dyDescent="0.2">
      <c r="A1" s="1" t="s">
        <v>20</v>
      </c>
      <c r="B1" s="1" t="s">
        <v>32</v>
      </c>
      <c r="C1" s="1" t="s">
        <v>90</v>
      </c>
      <c r="D1" s="55" t="s">
        <v>184</v>
      </c>
      <c r="E1" s="55" t="s">
        <v>508</v>
      </c>
      <c r="F1" s="1"/>
      <c r="G1" s="1"/>
    </row>
    <row r="2" spans="1:7" x14ac:dyDescent="0.2">
      <c r="A2" s="56">
        <v>2</v>
      </c>
      <c r="B2" s="57" t="s">
        <v>135</v>
      </c>
      <c r="C2" s="57" t="s">
        <v>95</v>
      </c>
      <c r="D2" s="57"/>
      <c r="E2" s="46" t="s">
        <v>557</v>
      </c>
    </row>
    <row r="3" spans="1:7" x14ac:dyDescent="0.2">
      <c r="A3" s="56">
        <v>1</v>
      </c>
      <c r="B3" s="57" t="s">
        <v>53</v>
      </c>
      <c r="C3" s="57" t="s">
        <v>95</v>
      </c>
      <c r="D3" s="56">
        <v>141.63</v>
      </c>
      <c r="E3" t="s">
        <v>469</v>
      </c>
    </row>
    <row r="4" spans="1:7" x14ac:dyDescent="0.2">
      <c r="A4" s="56">
        <v>14</v>
      </c>
      <c r="B4" s="57" t="s">
        <v>54</v>
      </c>
      <c r="C4" s="57" t="s">
        <v>95</v>
      </c>
      <c r="D4" s="56">
        <v>143.4</v>
      </c>
      <c r="E4" s="46" t="s">
        <v>559</v>
      </c>
    </row>
    <row r="5" spans="1:7" x14ac:dyDescent="0.2">
      <c r="A5" s="56">
        <v>3</v>
      </c>
      <c r="B5" s="57" t="s">
        <v>55</v>
      </c>
      <c r="C5" s="57" t="s">
        <v>95</v>
      </c>
      <c r="D5" s="56">
        <v>93.49</v>
      </c>
      <c r="E5" t="s">
        <v>470</v>
      </c>
    </row>
    <row r="6" spans="1:7" x14ac:dyDescent="0.2">
      <c r="A6" s="56">
        <v>4</v>
      </c>
      <c r="B6" s="57" t="s">
        <v>56</v>
      </c>
      <c r="C6" s="57" t="s">
        <v>95</v>
      </c>
      <c r="D6" s="56">
        <v>141.66</v>
      </c>
      <c r="E6" s="46" t="s">
        <v>471</v>
      </c>
    </row>
    <row r="7" spans="1:7" x14ac:dyDescent="0.2">
      <c r="A7" s="56">
        <v>7</v>
      </c>
      <c r="B7" s="57" t="s">
        <v>136</v>
      </c>
      <c r="C7" s="57" t="s">
        <v>95</v>
      </c>
      <c r="D7" s="57"/>
      <c r="E7" s="2" t="s">
        <v>558</v>
      </c>
    </row>
    <row r="8" spans="1:7" x14ac:dyDescent="0.2">
      <c r="A8" s="56">
        <v>5</v>
      </c>
      <c r="B8" s="57" t="s">
        <v>57</v>
      </c>
      <c r="C8" s="57" t="s">
        <v>95</v>
      </c>
      <c r="D8" s="56">
        <v>127.6</v>
      </c>
      <c r="E8" s="46" t="s">
        <v>472</v>
      </c>
    </row>
    <row r="9" spans="1:7" x14ac:dyDescent="0.2">
      <c r="A9" s="56">
        <v>6</v>
      </c>
      <c r="B9" s="57" t="s">
        <v>58</v>
      </c>
      <c r="C9" s="57" t="s">
        <v>95</v>
      </c>
      <c r="D9" s="56">
        <v>93.99</v>
      </c>
      <c r="E9" s="46" t="s">
        <v>473</v>
      </c>
    </row>
    <row r="10" spans="1:7" x14ac:dyDescent="0.2">
      <c r="A10" s="56">
        <v>8</v>
      </c>
      <c r="B10" s="57" t="s">
        <v>59</v>
      </c>
      <c r="C10" s="57" t="s">
        <v>95</v>
      </c>
      <c r="D10" s="56">
        <v>143.94</v>
      </c>
      <c r="E10" t="s">
        <v>509</v>
      </c>
    </row>
    <row r="11" spans="1:7" x14ac:dyDescent="0.2">
      <c r="A11" s="56">
        <v>50</v>
      </c>
      <c r="B11" s="57" t="s">
        <v>185</v>
      </c>
      <c r="C11" s="57" t="s">
        <v>95</v>
      </c>
      <c r="D11" s="57"/>
      <c r="E11" s="2"/>
    </row>
    <row r="12" spans="1:7" x14ac:dyDescent="0.2">
      <c r="A12" s="56">
        <v>73</v>
      </c>
      <c r="B12" s="57" t="s">
        <v>186</v>
      </c>
      <c r="C12" s="57" t="s">
        <v>95</v>
      </c>
      <c r="D12" s="56">
        <v>189.14</v>
      </c>
      <c r="E12" s="46" t="s">
        <v>561</v>
      </c>
    </row>
    <row r="13" spans="1:7" x14ac:dyDescent="0.2">
      <c r="A13" s="56">
        <v>74</v>
      </c>
      <c r="B13" s="57" t="s">
        <v>187</v>
      </c>
      <c r="C13" s="57" t="s">
        <v>95</v>
      </c>
      <c r="D13" s="56">
        <v>167.33</v>
      </c>
      <c r="E13" s="46" t="s">
        <v>474</v>
      </c>
    </row>
    <row r="14" spans="1:7" x14ac:dyDescent="0.2">
      <c r="A14" s="56">
        <v>75</v>
      </c>
      <c r="B14" s="57" t="s">
        <v>188</v>
      </c>
      <c r="C14" s="57" t="s">
        <v>95</v>
      </c>
      <c r="D14" s="56">
        <v>203.37</v>
      </c>
      <c r="E14" s="46" t="s">
        <v>475</v>
      </c>
    </row>
    <row r="15" spans="1:7" x14ac:dyDescent="0.2">
      <c r="A15" s="56">
        <v>12</v>
      </c>
      <c r="B15" s="57" t="s">
        <v>137</v>
      </c>
      <c r="C15" s="57" t="s">
        <v>95</v>
      </c>
      <c r="D15" s="57"/>
      <c r="E15" s="2" t="s">
        <v>566</v>
      </c>
    </row>
    <row r="16" spans="1:7" x14ac:dyDescent="0.2">
      <c r="A16" s="56">
        <v>9</v>
      </c>
      <c r="B16" s="57" t="s">
        <v>60</v>
      </c>
      <c r="C16" s="57" t="s">
        <v>95</v>
      </c>
      <c r="D16" s="56">
        <v>135.4</v>
      </c>
      <c r="E16" s="46" t="s">
        <v>476</v>
      </c>
    </row>
    <row r="17" spans="1:5" x14ac:dyDescent="0.2">
      <c r="A17" s="56">
        <v>10</v>
      </c>
      <c r="B17" s="57" t="s">
        <v>61</v>
      </c>
      <c r="C17" s="57" t="s">
        <v>95</v>
      </c>
      <c r="D17" s="56">
        <v>129.29</v>
      </c>
      <c r="E17" t="s">
        <v>477</v>
      </c>
    </row>
    <row r="18" spans="1:5" x14ac:dyDescent="0.2">
      <c r="A18" s="56">
        <v>11</v>
      </c>
      <c r="B18" s="57" t="s">
        <v>62</v>
      </c>
      <c r="C18" s="57" t="s">
        <v>95</v>
      </c>
      <c r="D18" s="56">
        <v>116</v>
      </c>
      <c r="E18" s="46" t="s">
        <v>478</v>
      </c>
    </row>
    <row r="19" spans="1:5" x14ac:dyDescent="0.2">
      <c r="A19" s="56">
        <v>15</v>
      </c>
      <c r="B19" s="57" t="s">
        <v>138</v>
      </c>
      <c r="C19" s="57" t="s">
        <v>95</v>
      </c>
      <c r="D19" s="57"/>
      <c r="E19" s="2"/>
    </row>
    <row r="20" spans="1:5" x14ac:dyDescent="0.2">
      <c r="A20" s="56">
        <v>17</v>
      </c>
      <c r="B20" s="57" t="s">
        <v>63</v>
      </c>
      <c r="C20" s="57" t="s">
        <v>95</v>
      </c>
      <c r="D20" s="56">
        <v>148.76</v>
      </c>
      <c r="E20" t="s">
        <v>479</v>
      </c>
    </row>
    <row r="21" spans="1:5" x14ac:dyDescent="0.2">
      <c r="A21" s="56">
        <v>44</v>
      </c>
      <c r="B21" s="57" t="s">
        <v>64</v>
      </c>
      <c r="C21" s="57" t="s">
        <v>95</v>
      </c>
      <c r="D21" s="56">
        <v>165.12</v>
      </c>
      <c r="E21" s="46" t="s">
        <v>560</v>
      </c>
    </row>
    <row r="22" spans="1:5" x14ac:dyDescent="0.2">
      <c r="A22" s="56">
        <v>16</v>
      </c>
      <c r="B22" s="57" t="s">
        <v>65</v>
      </c>
      <c r="C22" s="57" t="s">
        <v>95</v>
      </c>
      <c r="D22" s="56">
        <v>196.17</v>
      </c>
      <c r="E22" s="46" t="s">
        <v>480</v>
      </c>
    </row>
    <row r="23" spans="1:5" x14ac:dyDescent="0.2">
      <c r="A23" s="56">
        <v>18</v>
      </c>
      <c r="B23" s="57" t="s">
        <v>219</v>
      </c>
      <c r="C23" s="57" t="s">
        <v>95</v>
      </c>
      <c r="D23" s="57"/>
    </row>
    <row r="24" spans="1:5" x14ac:dyDescent="0.2">
      <c r="A24" s="56">
        <v>19</v>
      </c>
      <c r="B24" s="57" t="s">
        <v>99</v>
      </c>
      <c r="C24" s="57" t="s">
        <v>95</v>
      </c>
      <c r="D24" s="56">
        <v>163.35</v>
      </c>
      <c r="E24" s="46" t="s">
        <v>481</v>
      </c>
    </row>
    <row r="25" spans="1:5" x14ac:dyDescent="0.2">
      <c r="A25" s="56">
        <v>34</v>
      </c>
      <c r="B25" s="57" t="s">
        <v>102</v>
      </c>
      <c r="C25" s="57" t="s">
        <v>95</v>
      </c>
      <c r="D25" s="56">
        <v>496.98</v>
      </c>
      <c r="E25" s="46" t="s">
        <v>482</v>
      </c>
    </row>
    <row r="26" spans="1:5" x14ac:dyDescent="0.2">
      <c r="A26" s="56">
        <v>20</v>
      </c>
      <c r="B26" s="57" t="s">
        <v>140</v>
      </c>
      <c r="C26" s="57" t="s">
        <v>95</v>
      </c>
      <c r="D26" s="57"/>
    </row>
    <row r="27" spans="1:5" x14ac:dyDescent="0.2">
      <c r="A27" s="56">
        <v>20</v>
      </c>
      <c r="B27" s="57" t="s">
        <v>234</v>
      </c>
      <c r="C27" s="57" t="s">
        <v>197</v>
      </c>
      <c r="D27" s="57"/>
    </row>
    <row r="28" spans="1:5" x14ac:dyDescent="0.2">
      <c r="A28" s="56">
        <v>20</v>
      </c>
      <c r="B28" s="57" t="s">
        <v>139</v>
      </c>
      <c r="C28" s="57" t="s">
        <v>104</v>
      </c>
      <c r="D28" s="57"/>
    </row>
    <row r="29" spans="1:5" x14ac:dyDescent="0.2">
      <c r="A29" s="56">
        <v>31</v>
      </c>
      <c r="B29" s="57" t="s">
        <v>103</v>
      </c>
      <c r="C29" s="57" t="s">
        <v>95</v>
      </c>
      <c r="D29" s="56">
        <v>180.8</v>
      </c>
      <c r="E29" s="46" t="s">
        <v>483</v>
      </c>
    </row>
    <row r="30" spans="1:5" x14ac:dyDescent="0.2">
      <c r="A30" s="56">
        <v>30</v>
      </c>
      <c r="B30" s="57" t="s">
        <v>66</v>
      </c>
      <c r="C30" s="57" t="s">
        <v>95</v>
      </c>
      <c r="D30" s="56">
        <v>165.91</v>
      </c>
      <c r="E30" s="46" t="s">
        <v>484</v>
      </c>
    </row>
    <row r="31" spans="1:5" x14ac:dyDescent="0.2">
      <c r="A31" s="56">
        <v>33</v>
      </c>
      <c r="B31" s="57" t="s">
        <v>105</v>
      </c>
      <c r="C31" s="57" t="s">
        <v>95</v>
      </c>
      <c r="D31" s="56">
        <v>165.91</v>
      </c>
      <c r="E31" s="46" t="s">
        <v>485</v>
      </c>
    </row>
    <row r="32" spans="1:5" x14ac:dyDescent="0.2">
      <c r="A32" s="56">
        <v>32</v>
      </c>
      <c r="B32" s="57" t="s">
        <v>106</v>
      </c>
      <c r="C32" s="57" t="s">
        <v>95</v>
      </c>
      <c r="D32" s="56">
        <v>356.83</v>
      </c>
      <c r="E32" s="46" t="s">
        <v>486</v>
      </c>
    </row>
    <row r="33" spans="1:5" x14ac:dyDescent="0.2">
      <c r="A33" s="56">
        <v>26</v>
      </c>
      <c r="B33" s="57" t="s">
        <v>224</v>
      </c>
      <c r="C33" s="57" t="s">
        <v>95</v>
      </c>
      <c r="D33" s="56">
        <v>180.8</v>
      </c>
      <c r="E33" t="s">
        <v>487</v>
      </c>
    </row>
    <row r="34" spans="1:5" x14ac:dyDescent="0.2">
      <c r="A34" s="56">
        <v>22</v>
      </c>
      <c r="B34" s="57" t="s">
        <v>226</v>
      </c>
      <c r="C34" s="57" t="s">
        <v>95</v>
      </c>
      <c r="D34" s="56">
        <v>180.8</v>
      </c>
      <c r="E34" s="46" t="s">
        <v>488</v>
      </c>
    </row>
    <row r="35" spans="1:5" x14ac:dyDescent="0.2">
      <c r="A35" s="56">
        <v>21</v>
      </c>
      <c r="B35" s="57" t="s">
        <v>227</v>
      </c>
      <c r="C35" s="57" t="s">
        <v>95</v>
      </c>
      <c r="D35" s="56">
        <v>197.26</v>
      </c>
      <c r="E35" s="46" t="s">
        <v>489</v>
      </c>
    </row>
    <row r="36" spans="1:5" x14ac:dyDescent="0.2">
      <c r="A36" s="56">
        <v>25</v>
      </c>
      <c r="B36" s="57" t="s">
        <v>228</v>
      </c>
      <c r="C36" s="57" t="s">
        <v>95</v>
      </c>
      <c r="D36" s="56">
        <v>195.72</v>
      </c>
      <c r="E36" s="46" t="s">
        <v>490</v>
      </c>
    </row>
    <row r="37" spans="1:5" x14ac:dyDescent="0.2">
      <c r="A37" s="56">
        <v>28</v>
      </c>
      <c r="B37" s="57" t="s">
        <v>107</v>
      </c>
      <c r="C37" s="57" t="s">
        <v>95</v>
      </c>
      <c r="D37" s="56">
        <v>348.23</v>
      </c>
      <c r="E37" t="s">
        <v>491</v>
      </c>
    </row>
    <row r="38" spans="1:5" x14ac:dyDescent="0.2">
      <c r="A38" s="56">
        <v>23</v>
      </c>
      <c r="B38" s="57" t="s">
        <v>67</v>
      </c>
      <c r="C38" s="57" t="s">
        <v>95</v>
      </c>
      <c r="D38" s="56">
        <v>195.72</v>
      </c>
      <c r="E38" s="46" t="s">
        <v>492</v>
      </c>
    </row>
    <row r="39" spans="1:5" x14ac:dyDescent="0.2">
      <c r="A39" s="56">
        <v>27</v>
      </c>
      <c r="B39" s="57" t="s">
        <v>109</v>
      </c>
      <c r="C39" s="57" t="s">
        <v>95</v>
      </c>
      <c r="D39" s="56">
        <v>197.32</v>
      </c>
      <c r="E39" s="46" t="s">
        <v>510</v>
      </c>
    </row>
    <row r="40" spans="1:5" x14ac:dyDescent="0.2">
      <c r="A40" s="56">
        <v>24</v>
      </c>
      <c r="B40" s="57" t="s">
        <v>141</v>
      </c>
      <c r="C40" s="57"/>
      <c r="D40" s="57"/>
      <c r="E40" s="2"/>
    </row>
    <row r="41" spans="1:5" x14ac:dyDescent="0.2">
      <c r="A41" s="56">
        <v>29</v>
      </c>
      <c r="B41" s="57" t="s">
        <v>142</v>
      </c>
      <c r="C41" s="57"/>
      <c r="D41" s="57"/>
      <c r="E41" s="2"/>
    </row>
    <row r="42" spans="1:5" x14ac:dyDescent="0.2">
      <c r="A42" s="56">
        <v>51</v>
      </c>
      <c r="B42" s="57" t="s">
        <v>144</v>
      </c>
      <c r="C42" s="57" t="s">
        <v>104</v>
      </c>
      <c r="D42" s="57"/>
      <c r="E42" s="2"/>
    </row>
    <row r="43" spans="1:5" x14ac:dyDescent="0.2">
      <c r="A43" s="56">
        <v>51</v>
      </c>
      <c r="B43" s="57" t="s">
        <v>143</v>
      </c>
      <c r="C43" s="57" t="s">
        <v>95</v>
      </c>
      <c r="D43" s="57"/>
      <c r="E43" s="2"/>
    </row>
    <row r="44" spans="1:5" x14ac:dyDescent="0.2">
      <c r="A44" s="56">
        <v>51</v>
      </c>
      <c r="B44" s="57" t="s">
        <v>235</v>
      </c>
      <c r="C44" s="57" t="s">
        <v>197</v>
      </c>
      <c r="D44" s="57"/>
      <c r="E44" s="2"/>
    </row>
    <row r="45" spans="1:5" x14ac:dyDescent="0.2">
      <c r="A45" s="56">
        <v>46</v>
      </c>
      <c r="B45" s="57" t="s">
        <v>68</v>
      </c>
      <c r="C45" s="57" t="s">
        <v>95</v>
      </c>
      <c r="D45" s="56">
        <v>165.47</v>
      </c>
      <c r="E45" s="46" t="s">
        <v>493</v>
      </c>
    </row>
    <row r="46" spans="1:5" x14ac:dyDescent="0.2">
      <c r="A46" s="56">
        <v>52</v>
      </c>
      <c r="B46" s="57" t="s">
        <v>69</v>
      </c>
      <c r="C46" s="57" t="s">
        <v>95</v>
      </c>
      <c r="D46" s="56">
        <v>61.95</v>
      </c>
      <c r="E46" s="46" t="s">
        <v>511</v>
      </c>
    </row>
    <row r="47" spans="1:5" x14ac:dyDescent="0.2">
      <c r="A47" s="56">
        <v>47</v>
      </c>
      <c r="B47" s="57" t="s">
        <v>86</v>
      </c>
      <c r="C47" s="57" t="s">
        <v>95</v>
      </c>
      <c r="D47" s="56">
        <v>165.44</v>
      </c>
      <c r="E47" s="46" t="s">
        <v>494</v>
      </c>
    </row>
    <row r="48" spans="1:5" x14ac:dyDescent="0.2">
      <c r="A48" s="56">
        <v>48</v>
      </c>
      <c r="B48" s="57" t="s">
        <v>111</v>
      </c>
      <c r="C48" s="57" t="s">
        <v>95</v>
      </c>
      <c r="D48" s="56">
        <v>174.38</v>
      </c>
      <c r="E48" s="46" t="s">
        <v>495</v>
      </c>
    </row>
    <row r="49" spans="1:5" x14ac:dyDescent="0.2">
      <c r="A49" s="56">
        <v>49</v>
      </c>
      <c r="B49" s="57" t="s">
        <v>231</v>
      </c>
      <c r="C49" s="57" t="s">
        <v>95</v>
      </c>
      <c r="D49" s="56">
        <v>165.44</v>
      </c>
      <c r="E49" s="46" t="s">
        <v>497</v>
      </c>
    </row>
    <row r="50" spans="1:5" x14ac:dyDescent="0.2">
      <c r="A50" s="56">
        <v>53</v>
      </c>
      <c r="B50" s="57" t="s">
        <v>70</v>
      </c>
      <c r="C50" s="57" t="s">
        <v>95</v>
      </c>
      <c r="D50" s="56">
        <v>165.45</v>
      </c>
      <c r="E50" s="46" t="s">
        <v>496</v>
      </c>
    </row>
    <row r="51" spans="1:5" x14ac:dyDescent="0.2">
      <c r="A51" s="56">
        <v>54</v>
      </c>
      <c r="B51" s="57" t="s">
        <v>71</v>
      </c>
      <c r="C51" s="57" t="s">
        <v>95</v>
      </c>
      <c r="D51" s="56">
        <v>208.78</v>
      </c>
      <c r="E51" t="s">
        <v>498</v>
      </c>
    </row>
    <row r="52" spans="1:5" x14ac:dyDescent="0.2">
      <c r="A52" s="56">
        <v>55</v>
      </c>
      <c r="B52" s="57" t="s">
        <v>72</v>
      </c>
      <c r="C52" s="57" t="s">
        <v>95</v>
      </c>
      <c r="D52" s="56">
        <v>171.18</v>
      </c>
      <c r="E52" s="46" t="s">
        <v>499</v>
      </c>
    </row>
    <row r="53" spans="1:5" x14ac:dyDescent="0.2">
      <c r="A53" s="56">
        <v>45</v>
      </c>
      <c r="B53" s="57" t="s">
        <v>145</v>
      </c>
      <c r="C53" s="57"/>
      <c r="D53" s="57"/>
      <c r="E53" s="2"/>
    </row>
    <row r="54" spans="1:5" x14ac:dyDescent="0.2">
      <c r="A54" s="56">
        <v>61</v>
      </c>
      <c r="B54" s="57" t="s">
        <v>147</v>
      </c>
      <c r="C54" s="57" t="s">
        <v>104</v>
      </c>
      <c r="D54" s="57"/>
      <c r="E54" s="2"/>
    </row>
    <row r="55" spans="1:5" x14ac:dyDescent="0.2">
      <c r="A55" s="56">
        <v>61</v>
      </c>
      <c r="B55" s="57" t="s">
        <v>146</v>
      </c>
      <c r="C55" s="57" t="s">
        <v>116</v>
      </c>
      <c r="D55" s="57"/>
      <c r="E55" s="2"/>
    </row>
    <row r="56" spans="1:5" x14ac:dyDescent="0.2">
      <c r="A56" s="56">
        <v>61</v>
      </c>
      <c r="B56" s="57" t="s">
        <v>233</v>
      </c>
      <c r="C56" s="57" t="s">
        <v>197</v>
      </c>
      <c r="D56" s="57"/>
      <c r="E56" s="2"/>
    </row>
    <row r="57" spans="1:5" x14ac:dyDescent="0.2">
      <c r="A57" s="56">
        <v>61</v>
      </c>
      <c r="B57" s="57" t="s">
        <v>148</v>
      </c>
      <c r="C57" s="57" t="s">
        <v>95</v>
      </c>
      <c r="D57" s="57"/>
      <c r="E57" s="2"/>
    </row>
    <row r="58" spans="1:5" x14ac:dyDescent="0.2">
      <c r="A58" s="56">
        <v>66</v>
      </c>
      <c r="B58" s="57" t="s">
        <v>73</v>
      </c>
      <c r="C58" s="57" t="s">
        <v>95</v>
      </c>
      <c r="D58" s="56">
        <v>201.41</v>
      </c>
      <c r="E58" s="46" t="s">
        <v>500</v>
      </c>
    </row>
    <row r="59" spans="1:5" x14ac:dyDescent="0.2">
      <c r="A59" s="56">
        <v>67</v>
      </c>
      <c r="B59" s="57" t="s">
        <v>112</v>
      </c>
      <c r="C59" s="57" t="s">
        <v>95</v>
      </c>
      <c r="D59" s="56">
        <v>165.45</v>
      </c>
      <c r="E59" s="46" t="s">
        <v>501</v>
      </c>
    </row>
    <row r="60" spans="1:5" x14ac:dyDescent="0.2">
      <c r="A60" s="56">
        <v>63</v>
      </c>
      <c r="B60" s="57" t="s">
        <v>115</v>
      </c>
      <c r="C60" s="57" t="s">
        <v>95</v>
      </c>
      <c r="D60" s="56">
        <v>180.37</v>
      </c>
      <c r="E60" s="46" t="s">
        <v>502</v>
      </c>
    </row>
    <row r="61" spans="1:5" x14ac:dyDescent="0.2">
      <c r="A61" s="56">
        <v>68</v>
      </c>
      <c r="B61" s="57" t="s">
        <v>117</v>
      </c>
      <c r="C61" s="57" t="s">
        <v>95</v>
      </c>
      <c r="D61" s="56">
        <v>165.41</v>
      </c>
      <c r="E61" s="46" t="s">
        <v>503</v>
      </c>
    </row>
    <row r="62" spans="1:5" x14ac:dyDescent="0.2">
      <c r="A62" s="56">
        <v>64</v>
      </c>
      <c r="B62" s="57" t="s">
        <v>74</v>
      </c>
      <c r="C62" s="57" t="s">
        <v>95</v>
      </c>
      <c r="D62" s="56">
        <v>165.54</v>
      </c>
      <c r="E62" s="46" t="s">
        <v>504</v>
      </c>
    </row>
    <row r="63" spans="1:5" x14ac:dyDescent="0.2">
      <c r="A63" s="56">
        <v>71</v>
      </c>
      <c r="B63" s="57" t="s">
        <v>118</v>
      </c>
      <c r="C63" s="57" t="s">
        <v>95</v>
      </c>
      <c r="D63" s="56">
        <v>165.41</v>
      </c>
      <c r="E63" s="46" t="s">
        <v>505</v>
      </c>
    </row>
    <row r="64" spans="1:5" x14ac:dyDescent="0.2">
      <c r="A64" s="56">
        <v>70</v>
      </c>
      <c r="B64" s="57" t="s">
        <v>119</v>
      </c>
      <c r="C64" s="57" t="s">
        <v>95</v>
      </c>
      <c r="D64" s="56">
        <v>201.56</v>
      </c>
      <c r="E64" t="s">
        <v>506</v>
      </c>
    </row>
    <row r="65" spans="1:5" x14ac:dyDescent="0.2">
      <c r="A65" s="56">
        <v>65</v>
      </c>
      <c r="B65" s="57" t="s">
        <v>75</v>
      </c>
      <c r="C65" s="57" t="s">
        <v>95</v>
      </c>
      <c r="D65" s="56">
        <v>171.18</v>
      </c>
      <c r="E65" t="s">
        <v>507</v>
      </c>
    </row>
    <row r="66" spans="1:5" x14ac:dyDescent="0.2">
      <c r="A66" s="56">
        <v>62</v>
      </c>
      <c r="B66" s="57" t="s">
        <v>149</v>
      </c>
      <c r="C66" s="57"/>
      <c r="D66" s="57"/>
      <c r="E66" s="2"/>
    </row>
    <row r="67" spans="1:5" x14ac:dyDescent="0.2">
      <c r="A67" s="56">
        <v>36</v>
      </c>
      <c r="B67" s="57" t="s">
        <v>150</v>
      </c>
      <c r="C67" s="57"/>
      <c r="D67" s="57"/>
      <c r="E67" s="2"/>
    </row>
    <row r="68" spans="1:5" x14ac:dyDescent="0.2">
      <c r="A68" s="56">
        <v>40</v>
      </c>
      <c r="B68" s="57" t="s">
        <v>122</v>
      </c>
      <c r="C68" s="57" t="s">
        <v>130</v>
      </c>
      <c r="D68" s="57"/>
      <c r="E68" s="2"/>
    </row>
    <row r="69" spans="1:5" x14ac:dyDescent="0.2">
      <c r="A69" s="56">
        <v>37</v>
      </c>
      <c r="B69" s="57" t="s">
        <v>123</v>
      </c>
      <c r="C69" s="57" t="s">
        <v>131</v>
      </c>
      <c r="D69" s="57"/>
      <c r="E69" s="2"/>
    </row>
    <row r="70" spans="1:5" x14ac:dyDescent="0.2">
      <c r="A70" s="56">
        <v>38</v>
      </c>
      <c r="B70" s="57" t="s">
        <v>124</v>
      </c>
      <c r="C70" s="57" t="s">
        <v>131</v>
      </c>
      <c r="D70" s="57"/>
      <c r="E70" s="2"/>
    </row>
    <row r="71" spans="1:5" x14ac:dyDescent="0.2">
      <c r="A71" s="56">
        <v>41</v>
      </c>
      <c r="B71" s="57" t="s">
        <v>125</v>
      </c>
      <c r="C71" s="57" t="s">
        <v>130</v>
      </c>
      <c r="D71" s="57"/>
      <c r="E71" s="2"/>
    </row>
    <row r="72" spans="1:5" x14ac:dyDescent="0.2">
      <c r="A72" s="56">
        <v>39</v>
      </c>
      <c r="B72" s="57" t="s">
        <v>126</v>
      </c>
      <c r="C72" s="57" t="s">
        <v>131</v>
      </c>
      <c r="D72" s="57"/>
      <c r="E72" s="2"/>
    </row>
    <row r="73" spans="1:5" x14ac:dyDescent="0.2">
      <c r="A73" s="56">
        <v>35</v>
      </c>
      <c r="B73" s="57" t="s">
        <v>127</v>
      </c>
      <c r="C73" s="57"/>
      <c r="D73" s="57"/>
      <c r="E73" s="2"/>
    </row>
    <row r="74" spans="1:5" x14ac:dyDescent="0.2">
      <c r="A74" s="56">
        <v>43</v>
      </c>
      <c r="B74" s="57" t="s">
        <v>128</v>
      </c>
      <c r="C74" s="57" t="s">
        <v>130</v>
      </c>
      <c r="D74" s="57"/>
      <c r="E74" s="2"/>
    </row>
    <row r="75" spans="1:5" x14ac:dyDescent="0.2">
      <c r="A75" s="56">
        <v>42</v>
      </c>
      <c r="B75" s="57" t="s">
        <v>129</v>
      </c>
      <c r="C75" s="57" t="s">
        <v>197</v>
      </c>
      <c r="D75" s="57"/>
      <c r="E75" s="2"/>
    </row>
    <row r="76" spans="1:5" x14ac:dyDescent="0.2">
      <c r="A76" s="3"/>
      <c r="B76" s="2"/>
      <c r="C76" s="2"/>
      <c r="D76" s="2"/>
    </row>
    <row r="77" spans="1:5" x14ac:dyDescent="0.2">
      <c r="A77" s="3"/>
      <c r="B77" s="2"/>
      <c r="C77" s="2"/>
      <c r="D77" s="2"/>
    </row>
    <row r="78" spans="1:5" x14ac:dyDescent="0.2">
      <c r="A78" s="3"/>
      <c r="B78" s="2"/>
      <c r="C78" s="2"/>
      <c r="D78" s="2"/>
    </row>
    <row r="79" spans="1:5" x14ac:dyDescent="0.2">
      <c r="A79" s="3"/>
      <c r="B79" s="2"/>
      <c r="C79" s="2"/>
      <c r="D79" s="2"/>
    </row>
    <row r="80" spans="1:5" x14ac:dyDescent="0.2">
      <c r="A80" s="3"/>
      <c r="B80" s="2"/>
      <c r="C80" s="2"/>
      <c r="D80" s="2"/>
    </row>
  </sheetData>
  <autoFilter ref="A1:E75" xr:uid="{51EEDF36-F308-4781-A346-F6480B47937D}"/>
  <dataConsolidate/>
  <phoneticPr fontId="0" type="noConversion"/>
  <pageMargins bottom="1" footer="0.5" header="0.5" left="0.75" right="0.75" top="1"/>
  <pageSetup horizontalDpi="200" orientation="portrait" r:id="rId1" verticalDpi="200"/>
  <headerFooter alignWithMargins="0"/>
  <drawing r:id="rId2"/>
  <legacyDrawing r:id="rId3"/>
  <mc:AlternateContent>
    <mc:Choice Requires="x14">
      <controls>
        <mc:AlternateContent>
          <mc:Choice Requires="x14">
            <control name="Button 1" r:id="rId4" shapeId="6145">
              <controlPr autoFill="0" autoPict="0" defaultSize="0" macro="[0]!RedefinePropertyNamedRanges" print="0">
                <anchor moveWithCells="1" sizeWithCells="1">
                  <from>
                    <xdr:col>5</xdr:col>
                    <xdr:colOff>0</xdr:colOff>
                    <xdr:row>0</xdr:row>
                    <xdr:rowOff>133350</xdr:rowOff>
                  </from>
                  <to>
                    <xdr:col>6</xdr:col>
                    <xdr:colOff>285750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J310"/>
  <sheetViews>
    <sheetView workbookViewId="0" zoomScale="85" zoomScaleNormal="85">
      <selection activeCell="J4" sqref="J4"/>
    </sheetView>
  </sheetViews>
  <sheetFormatPr defaultRowHeight="12.75" x14ac:dyDescent="0.2"/>
  <cols>
    <col min="1" max="1" bestFit="true" customWidth="true" width="22.28515625" collapsed="false"/>
    <col min="2" max="2" bestFit="true" customWidth="true" width="9.85546875" collapsed="false"/>
    <col min="3" max="3" bestFit="true" customWidth="true" width="15.42578125" collapsed="false"/>
    <col min="4" max="4" bestFit="true" customWidth="true" width="114.7109375" collapsed="false"/>
    <col min="5" max="6" bestFit="true" customWidth="true" width="16.5703125" collapsed="false"/>
    <col min="7" max="7" bestFit="true" customWidth="true" width="12.28515625" collapsed="false"/>
    <col min="8" max="8" customWidth="true" width="12.85546875" collapsed="false"/>
    <col min="9" max="9" bestFit="true" customWidth="true" width="7.140625" collapsed="false"/>
  </cols>
  <sheetData>
    <row r="1" spans="1:10" x14ac:dyDescent="0.2">
      <c r="A1" t="s">
        <v>461</v>
      </c>
      <c r="B1" t="s">
        <v>462</v>
      </c>
      <c r="C1" t="s">
        <v>463</v>
      </c>
      <c r="D1" t="s">
        <v>464</v>
      </c>
      <c r="E1" s="46" t="s">
        <v>465</v>
      </c>
      <c r="F1" t="s">
        <v>466</v>
      </c>
      <c r="G1" t="s">
        <v>467</v>
      </c>
      <c r="H1" t="s">
        <v>468</v>
      </c>
      <c r="J1" s="46" t="s">
        <v>567</v>
      </c>
    </row>
    <row r="2" spans="1:10" x14ac:dyDescent="0.2">
      <c r="A2" s="46" t="s">
        <v>488</v>
      </c>
      <c r="B2">
        <v>677364</v>
      </c>
      <c r="C2" s="66">
        <v>43844.652083333334</v>
      </c>
      <c r="D2" t="s">
        <v>823</v>
      </c>
      <c r="F2">
        <v>0</v>
      </c>
      <c r="G2">
        <v>0</v>
      </c>
      <c r="H2">
        <v>115.68</v>
      </c>
      <c r="J2" t="s">
        <v>989</v>
      </c>
    </row>
    <row r="3" spans="1:10" x14ac:dyDescent="0.2">
      <c r="A3" s="46" t="s">
        <v>488</v>
      </c>
      <c r="B3">
        <v>677364</v>
      </c>
      <c r="C3" s="66">
        <v>43844.652083333334</v>
      </c>
      <c r="D3" t="s">
        <v>824</v>
      </c>
      <c r="E3" t="s">
        <v>825</v>
      </c>
      <c r="F3">
        <v>234614</v>
      </c>
      <c r="G3">
        <v>8.33</v>
      </c>
      <c r="H3">
        <v>0</v>
      </c>
      <c r="J3" t="s">
        <v>990</v>
      </c>
    </row>
    <row r="4" spans="1:10" x14ac:dyDescent="0.2">
      <c r="A4" s="46" t="s">
        <v>488</v>
      </c>
      <c r="B4">
        <v>677405</v>
      </c>
      <c r="C4" s="66">
        <v>43844.683333333334</v>
      </c>
      <c r="D4" t="s">
        <v>826</v>
      </c>
      <c r="E4" t="s">
        <v>827</v>
      </c>
      <c r="F4">
        <v>188742</v>
      </c>
      <c r="G4">
        <v>101.35</v>
      </c>
      <c r="H4">
        <v>0</v>
      </c>
      <c r="J4" t="s">
        <v>991</v>
      </c>
    </row>
    <row r="5" spans="1:10" x14ac:dyDescent="0.2">
      <c r="A5" s="46" t="s">
        <v>488</v>
      </c>
      <c r="B5">
        <v>680907</v>
      </c>
      <c r="C5" s="66">
        <v>43858.022916666669</v>
      </c>
      <c r="D5" t="s">
        <v>828</v>
      </c>
      <c r="E5" t="s">
        <v>825</v>
      </c>
      <c r="F5">
        <v>236900</v>
      </c>
      <c r="G5">
        <v>6</v>
      </c>
      <c r="H5">
        <v>0</v>
      </c>
      <c r="J5" t="s">
        <v>992</v>
      </c>
    </row>
    <row r="6" spans="1:10" x14ac:dyDescent="0.2">
      <c r="A6" s="46" t="s">
        <v>488</v>
      </c>
      <c r="B6">
        <v>681291</v>
      </c>
      <c r="C6" s="66">
        <v>43858.643750000003</v>
      </c>
      <c r="D6" t="s">
        <v>829</v>
      </c>
      <c r="F6">
        <v>0</v>
      </c>
      <c r="G6">
        <v>0</v>
      </c>
      <c r="H6">
        <v>345.84</v>
      </c>
      <c r="J6" t="s">
        <v>989</v>
      </c>
    </row>
    <row r="7" spans="1:10" x14ac:dyDescent="0.2">
      <c r="A7" s="46" t="s">
        <v>488</v>
      </c>
      <c r="B7">
        <v>681291</v>
      </c>
      <c r="C7" s="66">
        <v>43858.643750000003</v>
      </c>
      <c r="D7" t="s">
        <v>824</v>
      </c>
      <c r="E7" t="s">
        <v>825</v>
      </c>
      <c r="F7">
        <v>237156</v>
      </c>
      <c r="G7">
        <v>24.9</v>
      </c>
      <c r="H7">
        <v>0</v>
      </c>
      <c r="J7" t="s">
        <v>990</v>
      </c>
    </row>
    <row r="8" spans="1:10" x14ac:dyDescent="0.2">
      <c r="A8" s="46" t="s">
        <v>488</v>
      </c>
      <c r="B8">
        <v>681314</v>
      </c>
      <c r="C8" s="66">
        <v>43858.65</v>
      </c>
      <c r="D8" s="46" t="s">
        <v>826</v>
      </c>
      <c r="E8" t="s">
        <v>827</v>
      </c>
      <c r="F8">
        <v>189990</v>
      </c>
      <c r="G8">
        <v>314.94</v>
      </c>
      <c r="H8">
        <v>0</v>
      </c>
      <c r="J8" t="s">
        <v>991</v>
      </c>
    </row>
    <row r="9" spans="1:10" x14ac:dyDescent="0.2">
      <c r="A9" s="46" t="s">
        <v>496</v>
      </c>
      <c r="B9">
        <v>680907</v>
      </c>
      <c r="C9" s="66">
        <v>43858.022916666669</v>
      </c>
      <c r="D9" t="s">
        <v>830</v>
      </c>
      <c r="E9" t="s">
        <v>825</v>
      </c>
      <c r="F9">
        <v>236699</v>
      </c>
      <c r="G9">
        <v>6</v>
      </c>
      <c r="H9">
        <v>0</v>
      </c>
      <c r="J9" t="s">
        <v>992</v>
      </c>
    </row>
    <row r="10" spans="1:10" x14ac:dyDescent="0.2">
      <c r="A10" s="46" t="s">
        <v>496</v>
      </c>
      <c r="B10">
        <v>682481</v>
      </c>
      <c r="C10" s="66">
        <v>43861.624305555553</v>
      </c>
      <c r="D10" t="s">
        <v>831</v>
      </c>
      <c r="F10">
        <v>0</v>
      </c>
      <c r="G10">
        <v>0</v>
      </c>
      <c r="H10">
        <v>77.2</v>
      </c>
      <c r="J10" t="s">
        <v>989</v>
      </c>
    </row>
    <row r="11" spans="1:10" x14ac:dyDescent="0.2">
      <c r="A11" s="46" t="s">
        <v>496</v>
      </c>
      <c r="B11">
        <v>682481</v>
      </c>
      <c r="C11" s="66">
        <v>43861.624305555553</v>
      </c>
      <c r="D11" t="s">
        <v>832</v>
      </c>
      <c r="E11" t="s">
        <v>825</v>
      </c>
      <c r="F11">
        <v>237567</v>
      </c>
      <c r="G11">
        <v>5.56</v>
      </c>
      <c r="H11">
        <v>0</v>
      </c>
      <c r="J11" t="s">
        <v>990</v>
      </c>
    </row>
    <row r="12" spans="1:10" x14ac:dyDescent="0.2">
      <c r="A12" s="46" t="s">
        <v>496</v>
      </c>
      <c r="B12">
        <v>682481</v>
      </c>
      <c r="C12" s="66">
        <v>43861.624305555553</v>
      </c>
      <c r="D12" s="46" t="s">
        <v>833</v>
      </c>
      <c r="F12">
        <v>0</v>
      </c>
      <c r="G12">
        <v>0</v>
      </c>
      <c r="H12">
        <v>500</v>
      </c>
      <c r="J12" t="s">
        <v>989</v>
      </c>
    </row>
    <row r="13" spans="1:10" x14ac:dyDescent="0.2">
      <c r="A13" s="46" t="s">
        <v>496</v>
      </c>
      <c r="B13">
        <v>682481</v>
      </c>
      <c r="C13" s="66">
        <v>43861.624305555553</v>
      </c>
      <c r="D13" t="s">
        <v>832</v>
      </c>
      <c r="E13" t="s">
        <v>825</v>
      </c>
      <c r="F13">
        <v>237567</v>
      </c>
      <c r="G13">
        <v>36</v>
      </c>
      <c r="H13">
        <v>0</v>
      </c>
      <c r="J13" t="s">
        <v>990</v>
      </c>
    </row>
    <row r="14" spans="1:10" x14ac:dyDescent="0.2">
      <c r="A14" s="46" t="s">
        <v>496</v>
      </c>
      <c r="B14">
        <v>682481</v>
      </c>
      <c r="C14" s="66">
        <v>43861.624305555553</v>
      </c>
      <c r="D14" t="s">
        <v>834</v>
      </c>
      <c r="F14">
        <v>0</v>
      </c>
      <c r="G14">
        <v>0</v>
      </c>
      <c r="H14">
        <v>345.84</v>
      </c>
      <c r="J14" t="s">
        <v>989</v>
      </c>
    </row>
    <row r="15" spans="1:10" x14ac:dyDescent="0.2">
      <c r="A15" s="46" t="s">
        <v>496</v>
      </c>
      <c r="B15">
        <v>682481</v>
      </c>
      <c r="C15" s="66">
        <v>43861.624305555553</v>
      </c>
      <c r="D15" t="s">
        <v>832</v>
      </c>
      <c r="E15" t="s">
        <v>825</v>
      </c>
      <c r="F15">
        <v>237567</v>
      </c>
      <c r="G15">
        <v>24.9</v>
      </c>
      <c r="H15">
        <v>0</v>
      </c>
      <c r="J15" t="s">
        <v>990</v>
      </c>
    </row>
    <row r="16" spans="1:10" x14ac:dyDescent="0.2">
      <c r="A16" s="46" t="s">
        <v>496</v>
      </c>
      <c r="B16">
        <v>682515</v>
      </c>
      <c r="C16" s="66">
        <v>43861.630555555559</v>
      </c>
      <c r="D16" t="s">
        <v>835</v>
      </c>
      <c r="E16" t="s">
        <v>827</v>
      </c>
      <c r="F16">
        <v>190327</v>
      </c>
      <c r="G16">
        <v>838.58</v>
      </c>
      <c r="H16">
        <v>0</v>
      </c>
      <c r="J16" t="s">
        <v>991</v>
      </c>
    </row>
    <row r="17" spans="1:8" x14ac:dyDescent="0.2">
      <c r="A17" t="s">
        <v>498</v>
      </c>
      <c r="B17">
        <v>675219</v>
      </c>
      <c r="C17" s="66">
        <v>43836.490972222222</v>
      </c>
      <c r="D17" t="s">
        <v>836</v>
      </c>
      <c r="F17">
        <v>0</v>
      </c>
      <c r="G17">
        <v>0</v>
      </c>
      <c r="H17">
        <v>500</v>
      </c>
      <c r="J17" t="s">
        <v>989</v>
      </c>
    </row>
    <row r="18" spans="1:8" x14ac:dyDescent="0.2">
      <c r="A18" t="s">
        <v>498</v>
      </c>
      <c r="B18">
        <v>675219</v>
      </c>
      <c r="C18" s="66">
        <v>43836.490972222222</v>
      </c>
      <c r="D18" t="s">
        <v>837</v>
      </c>
      <c r="E18" t="s">
        <v>825</v>
      </c>
      <c r="F18">
        <v>233722</v>
      </c>
      <c r="G18">
        <v>36</v>
      </c>
      <c r="H18">
        <v>0</v>
      </c>
      <c r="J18" t="s">
        <v>990</v>
      </c>
    </row>
    <row r="19" spans="1:8" x14ac:dyDescent="0.2">
      <c r="A19" t="s">
        <v>498</v>
      </c>
      <c r="B19">
        <v>675266</v>
      </c>
      <c r="C19" s="66">
        <v>43836.498611111114</v>
      </c>
      <c r="D19" t="s">
        <v>838</v>
      </c>
      <c r="E19" t="s">
        <v>827</v>
      </c>
      <c r="F19">
        <v>187993</v>
      </c>
      <c r="G19">
        <v>458</v>
      </c>
      <c r="H19">
        <v>0</v>
      </c>
      <c r="J19" t="s">
        <v>991</v>
      </c>
    </row>
    <row r="20" spans="1:8" x14ac:dyDescent="0.2">
      <c r="A20" t="s">
        <v>498</v>
      </c>
      <c r="B20">
        <v>680907</v>
      </c>
      <c r="C20" s="66">
        <v>43858.022916666669</v>
      </c>
      <c r="D20" t="s">
        <v>839</v>
      </c>
      <c r="E20" t="s">
        <v>825</v>
      </c>
      <c r="F20">
        <v>236706</v>
      </c>
      <c r="G20">
        <v>6</v>
      </c>
      <c r="H20">
        <v>0</v>
      </c>
      <c r="J20" t="s">
        <v>992</v>
      </c>
    </row>
    <row r="21" spans="1:8" x14ac:dyDescent="0.2">
      <c r="A21" s="46" t="s">
        <v>511</v>
      </c>
      <c r="B21">
        <v>675235</v>
      </c>
      <c r="C21" s="66">
        <v>43836.490972222222</v>
      </c>
      <c r="D21" t="s">
        <v>840</v>
      </c>
      <c r="F21">
        <v>0</v>
      </c>
      <c r="G21">
        <v>0</v>
      </c>
      <c r="H21">
        <v>51.41</v>
      </c>
      <c r="J21" t="s">
        <v>989</v>
      </c>
    </row>
    <row r="22" spans="1:8" x14ac:dyDescent="0.2">
      <c r="A22" s="46" t="s">
        <v>511</v>
      </c>
      <c r="B22">
        <v>675235</v>
      </c>
      <c r="C22" s="66">
        <v>43836.490972222222</v>
      </c>
      <c r="D22" t="s">
        <v>841</v>
      </c>
      <c r="E22" t="s">
        <v>825</v>
      </c>
      <c r="F22">
        <v>233738</v>
      </c>
      <c r="G22">
        <v>3.7</v>
      </c>
      <c r="H22">
        <v>0</v>
      </c>
      <c r="J22" t="s">
        <v>990</v>
      </c>
    </row>
    <row r="23" spans="1:8" x14ac:dyDescent="0.2">
      <c r="A23" s="46" t="s">
        <v>511</v>
      </c>
      <c r="B23">
        <v>675266</v>
      </c>
      <c r="C23" s="66">
        <v>43836.498611111114</v>
      </c>
      <c r="D23" t="s">
        <v>842</v>
      </c>
      <c r="E23" t="s">
        <v>827</v>
      </c>
      <c r="F23">
        <v>188009</v>
      </c>
      <c r="G23">
        <v>41.71</v>
      </c>
      <c r="H23">
        <v>0</v>
      </c>
      <c r="J23" t="s">
        <v>991</v>
      </c>
    </row>
    <row r="24" spans="1:8" x14ac:dyDescent="0.2">
      <c r="A24" s="46" t="s">
        <v>511</v>
      </c>
      <c r="B24">
        <v>677373</v>
      </c>
      <c r="C24" s="66">
        <v>43844.652083333334</v>
      </c>
      <c r="D24" t="s">
        <v>840</v>
      </c>
      <c r="F24">
        <v>0</v>
      </c>
      <c r="G24">
        <v>0</v>
      </c>
      <c r="H24">
        <v>473.59</v>
      </c>
      <c r="J24" t="s">
        <v>989</v>
      </c>
    </row>
    <row r="25" spans="1:8" x14ac:dyDescent="0.2">
      <c r="A25" s="46" t="s">
        <v>511</v>
      </c>
      <c r="B25">
        <v>677373</v>
      </c>
      <c r="C25" s="66">
        <v>43844.652083333334</v>
      </c>
      <c r="D25" t="s">
        <v>841</v>
      </c>
      <c r="E25" t="s">
        <v>825</v>
      </c>
      <c r="F25">
        <v>234623</v>
      </c>
      <c r="G25">
        <v>34.1</v>
      </c>
      <c r="H25">
        <v>0</v>
      </c>
      <c r="J25" t="s">
        <v>990</v>
      </c>
    </row>
    <row r="26" spans="1:8" x14ac:dyDescent="0.2">
      <c r="A26" s="46" t="s">
        <v>511</v>
      </c>
      <c r="B26">
        <v>677405</v>
      </c>
      <c r="C26" s="66">
        <v>43844.683333333334</v>
      </c>
      <c r="D26" t="s">
        <v>842</v>
      </c>
      <c r="E26" t="s">
        <v>827</v>
      </c>
      <c r="F26">
        <v>188751</v>
      </c>
      <c r="G26">
        <v>439.49</v>
      </c>
      <c r="H26">
        <v>0</v>
      </c>
      <c r="J26" t="s">
        <v>991</v>
      </c>
    </row>
    <row r="27" spans="1:8" x14ac:dyDescent="0.2">
      <c r="A27" s="46" t="s">
        <v>511</v>
      </c>
      <c r="B27">
        <v>680907</v>
      </c>
      <c r="C27" s="66">
        <v>43858.022916666669</v>
      </c>
      <c r="D27" t="s">
        <v>843</v>
      </c>
      <c r="E27" t="s">
        <v>825</v>
      </c>
      <c r="F27">
        <v>236712</v>
      </c>
      <c r="G27">
        <v>6</v>
      </c>
      <c r="H27">
        <v>0</v>
      </c>
      <c r="J27" t="s">
        <v>992</v>
      </c>
    </row>
    <row r="28" spans="1:8" x14ac:dyDescent="0.2">
      <c r="A28" s="46" t="s">
        <v>502</v>
      </c>
      <c r="B28">
        <v>676658</v>
      </c>
      <c r="C28" s="66">
        <v>43843.567361111112</v>
      </c>
      <c r="D28" t="s">
        <v>844</v>
      </c>
      <c r="F28">
        <v>0</v>
      </c>
      <c r="G28">
        <v>0</v>
      </c>
      <c r="H28">
        <v>74.36</v>
      </c>
      <c r="J28" t="s">
        <v>989</v>
      </c>
    </row>
    <row r="29" spans="1:8" x14ac:dyDescent="0.2">
      <c r="A29" s="46" t="s">
        <v>502</v>
      </c>
      <c r="B29">
        <v>676658</v>
      </c>
      <c r="C29" s="66">
        <v>43843.567361111112</v>
      </c>
      <c r="D29" t="s">
        <v>845</v>
      </c>
      <c r="E29" t="s">
        <v>825</v>
      </c>
      <c r="F29">
        <v>234446</v>
      </c>
      <c r="G29">
        <v>5.35</v>
      </c>
      <c r="H29">
        <v>0</v>
      </c>
      <c r="J29" t="s">
        <v>990</v>
      </c>
    </row>
    <row r="30" spans="1:8" x14ac:dyDescent="0.2">
      <c r="A30" s="46" t="s">
        <v>502</v>
      </c>
      <c r="B30">
        <v>676672</v>
      </c>
      <c r="C30" s="66">
        <v>43843.57708333333</v>
      </c>
      <c r="D30" t="s">
        <v>846</v>
      </c>
      <c r="E30" t="s">
        <v>827</v>
      </c>
      <c r="F30">
        <v>188441</v>
      </c>
      <c r="G30">
        <v>63.01</v>
      </c>
      <c r="H30">
        <v>0</v>
      </c>
      <c r="J30" t="s">
        <v>991</v>
      </c>
    </row>
    <row r="31" spans="1:8" x14ac:dyDescent="0.2">
      <c r="A31" s="46" t="s">
        <v>502</v>
      </c>
      <c r="B31">
        <v>677378</v>
      </c>
      <c r="C31" s="66">
        <v>43844.652083333334</v>
      </c>
      <c r="D31" s="46" t="s">
        <v>844</v>
      </c>
      <c r="F31">
        <v>0</v>
      </c>
      <c r="G31">
        <v>0</v>
      </c>
      <c r="H31">
        <v>425.64</v>
      </c>
      <c r="J31" t="s">
        <v>989</v>
      </c>
    </row>
    <row r="32" spans="1:8" x14ac:dyDescent="0.2">
      <c r="A32" s="46" t="s">
        <v>502</v>
      </c>
      <c r="B32">
        <v>677378</v>
      </c>
      <c r="C32" s="66">
        <v>43844.652083333334</v>
      </c>
      <c r="D32" t="s">
        <v>845</v>
      </c>
      <c r="E32" t="s">
        <v>825</v>
      </c>
      <c r="F32">
        <v>234628</v>
      </c>
      <c r="G32">
        <v>30.65</v>
      </c>
      <c r="H32">
        <v>0</v>
      </c>
      <c r="J32" t="s">
        <v>990</v>
      </c>
    </row>
    <row r="33" spans="1:8" x14ac:dyDescent="0.2">
      <c r="A33" s="46" t="s">
        <v>502</v>
      </c>
      <c r="B33">
        <v>677405</v>
      </c>
      <c r="C33" s="66">
        <v>43844.683333333334</v>
      </c>
      <c r="D33" t="s">
        <v>846</v>
      </c>
      <c r="E33" t="s">
        <v>827</v>
      </c>
      <c r="F33">
        <v>188756</v>
      </c>
      <c r="G33">
        <v>394.99</v>
      </c>
      <c r="H33">
        <v>0</v>
      </c>
      <c r="J33" t="s">
        <v>991</v>
      </c>
    </row>
    <row r="34" spans="1:8" x14ac:dyDescent="0.2">
      <c r="A34" s="46" t="s">
        <v>502</v>
      </c>
      <c r="B34">
        <v>680907</v>
      </c>
      <c r="C34" s="66">
        <v>43858.022916666669</v>
      </c>
      <c r="D34" t="s">
        <v>847</v>
      </c>
      <c r="E34" t="s">
        <v>825</v>
      </c>
      <c r="F34">
        <v>236776</v>
      </c>
      <c r="G34">
        <v>6</v>
      </c>
      <c r="H34">
        <v>0</v>
      </c>
      <c r="J34" t="s">
        <v>992</v>
      </c>
    </row>
    <row r="35" spans="1:8" x14ac:dyDescent="0.2">
      <c r="A35" s="46" t="s">
        <v>504</v>
      </c>
      <c r="B35">
        <v>677361</v>
      </c>
      <c r="C35" s="66">
        <v>43844.652083333334</v>
      </c>
      <c r="D35" t="s">
        <v>848</v>
      </c>
      <c r="F35">
        <v>0</v>
      </c>
      <c r="G35">
        <v>0</v>
      </c>
      <c r="H35">
        <v>550</v>
      </c>
      <c r="J35" t="s">
        <v>989</v>
      </c>
    </row>
    <row r="36" spans="1:8" x14ac:dyDescent="0.2">
      <c r="A36" s="46" t="s">
        <v>504</v>
      </c>
      <c r="B36">
        <v>677361</v>
      </c>
      <c r="C36" s="66">
        <v>43844.652083333334</v>
      </c>
      <c r="D36" t="s">
        <v>849</v>
      </c>
      <c r="E36" t="s">
        <v>825</v>
      </c>
      <c r="F36">
        <v>234611</v>
      </c>
      <c r="G36">
        <v>39.6</v>
      </c>
      <c r="H36">
        <v>0</v>
      </c>
      <c r="J36" t="s">
        <v>990</v>
      </c>
    </row>
    <row r="37" spans="1:8" x14ac:dyDescent="0.2">
      <c r="A37" s="46" t="s">
        <v>504</v>
      </c>
      <c r="B37">
        <v>677405</v>
      </c>
      <c r="C37" s="66">
        <v>43844.683333333334</v>
      </c>
      <c r="D37" t="s">
        <v>850</v>
      </c>
      <c r="E37" t="s">
        <v>827</v>
      </c>
      <c r="F37">
        <v>188739</v>
      </c>
      <c r="G37">
        <v>504.4</v>
      </c>
      <c r="H37">
        <v>0</v>
      </c>
      <c r="J37" t="s">
        <v>991</v>
      </c>
    </row>
    <row r="38" spans="1:8" x14ac:dyDescent="0.2">
      <c r="A38" s="46" t="s">
        <v>504</v>
      </c>
      <c r="B38">
        <v>680907</v>
      </c>
      <c r="C38" s="66">
        <v>43858.022916666669</v>
      </c>
      <c r="D38" t="s">
        <v>851</v>
      </c>
      <c r="E38" t="s">
        <v>825</v>
      </c>
      <c r="F38">
        <v>236764</v>
      </c>
      <c r="G38">
        <v>6</v>
      </c>
      <c r="H38">
        <v>0</v>
      </c>
      <c r="J38" t="s">
        <v>992</v>
      </c>
    </row>
    <row r="39" spans="1:8" x14ac:dyDescent="0.2">
      <c r="A39" t="s">
        <v>506</v>
      </c>
      <c r="B39">
        <v>680907</v>
      </c>
      <c r="C39" s="66">
        <v>43858.022916666669</v>
      </c>
      <c r="D39" t="s">
        <v>852</v>
      </c>
      <c r="E39" t="s">
        <v>825</v>
      </c>
      <c r="F39">
        <v>236766</v>
      </c>
      <c r="G39">
        <v>6</v>
      </c>
      <c r="H39">
        <v>0</v>
      </c>
      <c r="J39" t="s">
        <v>992</v>
      </c>
    </row>
    <row r="40" spans="1:8" x14ac:dyDescent="0.2">
      <c r="A40" t="s">
        <v>506</v>
      </c>
      <c r="B40">
        <v>681290</v>
      </c>
      <c r="C40" s="66">
        <v>43858.643750000003</v>
      </c>
      <c r="D40" t="s">
        <v>853</v>
      </c>
      <c r="F40">
        <v>0</v>
      </c>
      <c r="G40">
        <v>0</v>
      </c>
      <c r="H40">
        <v>550</v>
      </c>
      <c r="J40" t="s">
        <v>989</v>
      </c>
    </row>
    <row r="41" spans="1:8" x14ac:dyDescent="0.2">
      <c r="A41" t="s">
        <v>506</v>
      </c>
      <c r="B41">
        <v>681290</v>
      </c>
      <c r="C41" s="66">
        <v>43858.643750000003</v>
      </c>
      <c r="D41" t="s">
        <v>854</v>
      </c>
      <c r="E41" t="s">
        <v>825</v>
      </c>
      <c r="F41">
        <v>237155</v>
      </c>
      <c r="G41">
        <v>39.6</v>
      </c>
      <c r="H41">
        <v>0</v>
      </c>
      <c r="J41" t="s">
        <v>990</v>
      </c>
    </row>
    <row r="42" spans="1:8" x14ac:dyDescent="0.2">
      <c r="A42" t="s">
        <v>506</v>
      </c>
      <c r="B42">
        <v>681314</v>
      </c>
      <c r="C42" s="66">
        <v>43858.65</v>
      </c>
      <c r="D42" t="s">
        <v>855</v>
      </c>
      <c r="E42" t="s">
        <v>827</v>
      </c>
      <c r="F42">
        <v>189989</v>
      </c>
      <c r="G42">
        <v>504.4</v>
      </c>
      <c r="H42">
        <v>0</v>
      </c>
      <c r="J42" t="s">
        <v>991</v>
      </c>
    </row>
    <row r="43" spans="1:8" x14ac:dyDescent="0.2">
      <c r="A43" t="s">
        <v>469</v>
      </c>
      <c r="B43">
        <v>680750</v>
      </c>
      <c r="C43" s="66">
        <v>43855.469444444447</v>
      </c>
      <c r="D43" t="s">
        <v>856</v>
      </c>
      <c r="F43">
        <v>0</v>
      </c>
      <c r="G43">
        <v>0</v>
      </c>
      <c r="H43">
        <v>500</v>
      </c>
      <c r="J43" t="s">
        <v>989</v>
      </c>
    </row>
    <row r="44" spans="1:8" x14ac:dyDescent="0.2">
      <c r="A44" t="s">
        <v>469</v>
      </c>
      <c r="B44">
        <v>680750</v>
      </c>
      <c r="C44" s="66">
        <v>43855.469444444447</v>
      </c>
      <c r="D44" t="s">
        <v>857</v>
      </c>
      <c r="E44" t="s">
        <v>825</v>
      </c>
      <c r="F44">
        <v>235587</v>
      </c>
      <c r="G44">
        <v>36</v>
      </c>
      <c r="H44">
        <v>0</v>
      </c>
      <c r="J44" t="s">
        <v>990</v>
      </c>
    </row>
    <row r="45" spans="1:8" x14ac:dyDescent="0.2">
      <c r="A45" t="s">
        <v>469</v>
      </c>
      <c r="B45">
        <v>680764</v>
      </c>
      <c r="C45" s="66">
        <v>43855.47152777778</v>
      </c>
      <c r="D45" t="s">
        <v>858</v>
      </c>
      <c r="E45" t="s">
        <v>827</v>
      </c>
      <c r="F45">
        <v>189852</v>
      </c>
      <c r="G45">
        <v>452</v>
      </c>
      <c r="H45">
        <v>0</v>
      </c>
      <c r="J45" t="s">
        <v>991</v>
      </c>
    </row>
    <row r="46" spans="1:8" x14ac:dyDescent="0.2">
      <c r="A46" t="s">
        <v>469</v>
      </c>
      <c r="B46">
        <v>680907</v>
      </c>
      <c r="C46" s="66">
        <v>43858.022916666669</v>
      </c>
      <c r="D46" t="s">
        <v>859</v>
      </c>
      <c r="E46" t="s">
        <v>825</v>
      </c>
      <c r="F46">
        <v>236880</v>
      </c>
      <c r="G46">
        <v>12</v>
      </c>
      <c r="H46">
        <v>0</v>
      </c>
      <c r="J46" t="s">
        <v>992</v>
      </c>
    </row>
    <row r="47" spans="1:8" x14ac:dyDescent="0.2">
      <c r="A47" t="s">
        <v>470</v>
      </c>
      <c r="B47">
        <v>677371</v>
      </c>
      <c r="C47" s="66">
        <v>43844.652083333334</v>
      </c>
      <c r="D47" t="s">
        <v>860</v>
      </c>
      <c r="F47">
        <v>0</v>
      </c>
      <c r="G47">
        <v>0</v>
      </c>
      <c r="H47">
        <v>600</v>
      </c>
      <c r="J47" t="s">
        <v>989</v>
      </c>
    </row>
    <row r="48" spans="1:8" x14ac:dyDescent="0.2">
      <c r="A48" t="s">
        <v>470</v>
      </c>
      <c r="B48">
        <v>677371</v>
      </c>
      <c r="C48" s="66">
        <v>43844.652083333334</v>
      </c>
      <c r="D48" t="s">
        <v>861</v>
      </c>
      <c r="E48" t="s">
        <v>825</v>
      </c>
      <c r="F48">
        <v>234621</v>
      </c>
      <c r="G48">
        <v>43.2</v>
      </c>
      <c r="H48">
        <v>0</v>
      </c>
      <c r="J48" t="s">
        <v>990</v>
      </c>
    </row>
    <row r="49" spans="1:8" x14ac:dyDescent="0.2">
      <c r="A49" t="s">
        <v>470</v>
      </c>
      <c r="B49">
        <v>677405</v>
      </c>
      <c r="C49" s="66">
        <v>43844.683333333334</v>
      </c>
      <c r="D49" t="s">
        <v>862</v>
      </c>
      <c r="E49" t="s">
        <v>827</v>
      </c>
      <c r="F49">
        <v>188749</v>
      </c>
      <c r="G49">
        <v>550.79999999999995</v>
      </c>
      <c r="H49">
        <v>0</v>
      </c>
      <c r="J49" t="s">
        <v>991</v>
      </c>
    </row>
    <row r="50" spans="1:8" x14ac:dyDescent="0.2">
      <c r="A50" t="s">
        <v>470</v>
      </c>
      <c r="B50">
        <v>680907</v>
      </c>
      <c r="C50" s="66">
        <v>43858.022916666669</v>
      </c>
      <c r="D50" t="s">
        <v>863</v>
      </c>
      <c r="E50" t="s">
        <v>825</v>
      </c>
      <c r="F50">
        <v>236882</v>
      </c>
      <c r="G50">
        <v>6</v>
      </c>
      <c r="H50">
        <v>0</v>
      </c>
      <c r="J50" t="s">
        <v>992</v>
      </c>
    </row>
    <row r="51" spans="1:8" x14ac:dyDescent="0.2">
      <c r="A51" s="46" t="s">
        <v>471</v>
      </c>
      <c r="B51">
        <v>677374</v>
      </c>
      <c r="C51" s="66">
        <v>43844.652083333334</v>
      </c>
      <c r="D51" t="s">
        <v>864</v>
      </c>
      <c r="F51">
        <v>0</v>
      </c>
      <c r="G51">
        <v>0</v>
      </c>
      <c r="H51">
        <v>77.2</v>
      </c>
      <c r="J51" t="s">
        <v>989</v>
      </c>
    </row>
    <row r="52" spans="1:8" x14ac:dyDescent="0.2">
      <c r="A52" s="46" t="s">
        <v>471</v>
      </c>
      <c r="B52">
        <v>677374</v>
      </c>
      <c r="C52" s="66">
        <v>43844.652083333334</v>
      </c>
      <c r="D52" t="s">
        <v>865</v>
      </c>
      <c r="E52" t="s">
        <v>825</v>
      </c>
      <c r="F52">
        <v>234624</v>
      </c>
      <c r="G52">
        <v>5.56</v>
      </c>
      <c r="H52">
        <v>0</v>
      </c>
      <c r="J52" t="s">
        <v>990</v>
      </c>
    </row>
    <row r="53" spans="1:8" x14ac:dyDescent="0.2">
      <c r="A53" s="46" t="s">
        <v>471</v>
      </c>
      <c r="B53">
        <v>677405</v>
      </c>
      <c r="C53" s="66">
        <v>43844.683333333334</v>
      </c>
      <c r="D53" t="s">
        <v>866</v>
      </c>
      <c r="E53" t="s">
        <v>827</v>
      </c>
      <c r="F53">
        <v>188752</v>
      </c>
      <c r="G53">
        <v>65.64</v>
      </c>
      <c r="H53">
        <v>0</v>
      </c>
      <c r="J53" t="s">
        <v>991</v>
      </c>
    </row>
    <row r="54" spans="1:8" x14ac:dyDescent="0.2">
      <c r="A54" s="46" t="s">
        <v>471</v>
      </c>
      <c r="B54">
        <v>680907</v>
      </c>
      <c r="C54" s="66">
        <v>43858.022916666669</v>
      </c>
      <c r="D54" t="s">
        <v>867</v>
      </c>
      <c r="E54" t="s">
        <v>825</v>
      </c>
      <c r="F54">
        <v>236884</v>
      </c>
      <c r="G54">
        <v>6</v>
      </c>
      <c r="H54">
        <v>0</v>
      </c>
      <c r="J54" t="s">
        <v>992</v>
      </c>
    </row>
    <row r="55" spans="1:8" x14ac:dyDescent="0.2">
      <c r="A55" s="46" t="s">
        <v>471</v>
      </c>
      <c r="B55">
        <v>681296</v>
      </c>
      <c r="C55" s="66">
        <v>43858.643750000003</v>
      </c>
      <c r="D55" t="s">
        <v>868</v>
      </c>
      <c r="F55">
        <v>0</v>
      </c>
      <c r="G55">
        <v>0</v>
      </c>
      <c r="H55">
        <v>384.32</v>
      </c>
      <c r="J55" t="s">
        <v>989</v>
      </c>
    </row>
    <row r="56" spans="1:8" x14ac:dyDescent="0.2">
      <c r="A56" s="46" t="s">
        <v>471</v>
      </c>
      <c r="B56">
        <v>681296</v>
      </c>
      <c r="C56" s="66">
        <v>43858.643750000003</v>
      </c>
      <c r="D56" t="s">
        <v>865</v>
      </c>
      <c r="E56" t="s">
        <v>825</v>
      </c>
      <c r="F56">
        <v>237161</v>
      </c>
      <c r="G56">
        <v>27.67</v>
      </c>
      <c r="H56">
        <v>0</v>
      </c>
      <c r="J56" t="s">
        <v>990</v>
      </c>
    </row>
    <row r="57" spans="1:8" x14ac:dyDescent="0.2">
      <c r="A57" s="46" t="s">
        <v>471</v>
      </c>
      <c r="B57">
        <v>681314</v>
      </c>
      <c r="C57" s="66">
        <v>43858.65</v>
      </c>
      <c r="D57" t="s">
        <v>866</v>
      </c>
      <c r="E57" t="s">
        <v>827</v>
      </c>
      <c r="F57">
        <v>189995</v>
      </c>
      <c r="G57">
        <v>350.65</v>
      </c>
      <c r="H57">
        <v>0</v>
      </c>
      <c r="J57" t="s">
        <v>991</v>
      </c>
    </row>
    <row r="58" spans="1:8" x14ac:dyDescent="0.2">
      <c r="A58" s="46" t="s">
        <v>474</v>
      </c>
      <c r="B58">
        <v>677365</v>
      </c>
      <c r="C58" s="66">
        <v>43844.652083333334</v>
      </c>
      <c r="D58" t="s">
        <v>869</v>
      </c>
      <c r="F58">
        <v>0</v>
      </c>
      <c r="G58">
        <v>0</v>
      </c>
      <c r="H58">
        <v>38.72</v>
      </c>
      <c r="J58" t="s">
        <v>989</v>
      </c>
    </row>
    <row r="59" spans="1:8" x14ac:dyDescent="0.2">
      <c r="A59" s="46" t="s">
        <v>474</v>
      </c>
      <c r="B59">
        <v>677365</v>
      </c>
      <c r="C59" s="66">
        <v>43844.652083333334</v>
      </c>
      <c r="D59" t="s">
        <v>870</v>
      </c>
      <c r="E59" t="s">
        <v>825</v>
      </c>
      <c r="F59">
        <v>234615</v>
      </c>
      <c r="G59">
        <v>2.78</v>
      </c>
      <c r="H59">
        <v>0</v>
      </c>
      <c r="J59" t="s">
        <v>990</v>
      </c>
    </row>
    <row r="60" spans="1:8" x14ac:dyDescent="0.2">
      <c r="A60" s="46" t="s">
        <v>474</v>
      </c>
      <c r="B60">
        <v>677365</v>
      </c>
      <c r="C60" s="66">
        <v>43844.652083333334</v>
      </c>
      <c r="D60" t="s">
        <v>871</v>
      </c>
      <c r="F60">
        <v>0</v>
      </c>
      <c r="G60">
        <v>0</v>
      </c>
      <c r="H60">
        <v>422.8</v>
      </c>
      <c r="J60" t="s">
        <v>989</v>
      </c>
    </row>
    <row r="61" spans="1:8" x14ac:dyDescent="0.2">
      <c r="A61" s="46" t="s">
        <v>474</v>
      </c>
      <c r="B61">
        <v>677365</v>
      </c>
      <c r="C61" s="66">
        <v>43844.652083333334</v>
      </c>
      <c r="D61" t="s">
        <v>870</v>
      </c>
      <c r="E61" t="s">
        <v>825</v>
      </c>
      <c r="F61">
        <v>234615</v>
      </c>
      <c r="G61">
        <v>30.44</v>
      </c>
      <c r="H61">
        <v>0</v>
      </c>
      <c r="J61" t="s">
        <v>990</v>
      </c>
    </row>
    <row r="62" spans="1:8" x14ac:dyDescent="0.2">
      <c r="A62" s="46" t="s">
        <v>474</v>
      </c>
      <c r="B62">
        <v>677405</v>
      </c>
      <c r="C62" s="66">
        <v>43844.683333333334</v>
      </c>
      <c r="D62" t="s">
        <v>872</v>
      </c>
      <c r="E62" t="s">
        <v>827</v>
      </c>
      <c r="F62">
        <v>188743</v>
      </c>
      <c r="G62">
        <v>422.3</v>
      </c>
      <c r="H62">
        <v>0</v>
      </c>
      <c r="J62" t="s">
        <v>991</v>
      </c>
    </row>
    <row r="63" spans="1:8" x14ac:dyDescent="0.2">
      <c r="A63" s="46" t="s">
        <v>474</v>
      </c>
      <c r="B63">
        <v>680907</v>
      </c>
      <c r="C63" s="66">
        <v>43858.022916666669</v>
      </c>
      <c r="D63" t="s">
        <v>873</v>
      </c>
      <c r="E63" t="s">
        <v>825</v>
      </c>
      <c r="F63">
        <v>236796</v>
      </c>
      <c r="G63">
        <v>6</v>
      </c>
      <c r="H63">
        <v>0</v>
      </c>
      <c r="J63" t="s">
        <v>992</v>
      </c>
    </row>
    <row r="64" spans="1:8" x14ac:dyDescent="0.2">
      <c r="A64" t="s">
        <v>509</v>
      </c>
      <c r="B64">
        <v>680757</v>
      </c>
      <c r="C64" s="66">
        <v>43855.469444444447</v>
      </c>
      <c r="D64" t="s">
        <v>874</v>
      </c>
      <c r="F64">
        <v>0</v>
      </c>
      <c r="G64">
        <v>0</v>
      </c>
      <c r="H64">
        <v>500</v>
      </c>
      <c r="J64" t="s">
        <v>989</v>
      </c>
    </row>
    <row r="65" spans="1:8" x14ac:dyDescent="0.2">
      <c r="A65" t="s">
        <v>509</v>
      </c>
      <c r="B65">
        <v>680757</v>
      </c>
      <c r="C65" s="66">
        <v>43855.469444444447</v>
      </c>
      <c r="D65" t="s">
        <v>875</v>
      </c>
      <c r="E65" t="s">
        <v>825</v>
      </c>
      <c r="F65">
        <v>235594</v>
      </c>
      <c r="G65">
        <v>36</v>
      </c>
      <c r="H65">
        <v>0</v>
      </c>
      <c r="J65" t="s">
        <v>990</v>
      </c>
    </row>
    <row r="66" spans="1:8" x14ac:dyDescent="0.2">
      <c r="A66" t="s">
        <v>509</v>
      </c>
      <c r="B66">
        <v>680764</v>
      </c>
      <c r="C66" s="66">
        <v>43855.47152777778</v>
      </c>
      <c r="D66" t="s">
        <v>876</v>
      </c>
      <c r="E66" t="s">
        <v>827</v>
      </c>
      <c r="F66">
        <v>189859</v>
      </c>
      <c r="G66">
        <v>458</v>
      </c>
      <c r="H66">
        <v>0</v>
      </c>
      <c r="J66" t="s">
        <v>991</v>
      </c>
    </row>
    <row r="67" spans="1:8" x14ac:dyDescent="0.2">
      <c r="A67" t="s">
        <v>509</v>
      </c>
      <c r="B67">
        <v>680907</v>
      </c>
      <c r="C67" s="66">
        <v>43858.022916666669</v>
      </c>
      <c r="D67" t="s">
        <v>877</v>
      </c>
      <c r="E67" t="s">
        <v>825</v>
      </c>
      <c r="F67">
        <v>236789</v>
      </c>
      <c r="G67">
        <v>6</v>
      </c>
      <c r="H67">
        <v>0</v>
      </c>
      <c r="J67" t="s">
        <v>992</v>
      </c>
    </row>
    <row r="68" spans="1:8" x14ac:dyDescent="0.2">
      <c r="A68" s="46" t="s">
        <v>472</v>
      </c>
      <c r="B68">
        <v>677359</v>
      </c>
      <c r="C68" s="66">
        <v>43844.652083333334</v>
      </c>
      <c r="D68" t="s">
        <v>878</v>
      </c>
      <c r="F68">
        <v>0</v>
      </c>
      <c r="G68">
        <v>0</v>
      </c>
      <c r="H68">
        <v>268</v>
      </c>
      <c r="J68" t="s">
        <v>989</v>
      </c>
    </row>
    <row r="69" spans="1:8" x14ac:dyDescent="0.2">
      <c r="A69" s="46" t="s">
        <v>472</v>
      </c>
      <c r="B69">
        <v>677359</v>
      </c>
      <c r="C69" s="66">
        <v>43844.652083333334</v>
      </c>
      <c r="D69" t="s">
        <v>879</v>
      </c>
      <c r="E69" t="s">
        <v>825</v>
      </c>
      <c r="F69">
        <v>234609</v>
      </c>
      <c r="G69">
        <v>19.3</v>
      </c>
      <c r="H69">
        <v>0</v>
      </c>
      <c r="J69" t="s">
        <v>990</v>
      </c>
    </row>
    <row r="70" spans="1:8" x14ac:dyDescent="0.2">
      <c r="A70" s="46" t="s">
        <v>472</v>
      </c>
      <c r="B70">
        <v>677359</v>
      </c>
      <c r="C70" s="66">
        <v>43844.652083333334</v>
      </c>
      <c r="D70" t="s">
        <v>880</v>
      </c>
      <c r="F70">
        <v>0</v>
      </c>
      <c r="G70">
        <v>0</v>
      </c>
      <c r="H70">
        <v>198.12</v>
      </c>
      <c r="J70" t="s">
        <v>989</v>
      </c>
    </row>
    <row r="71" spans="1:8" x14ac:dyDescent="0.2">
      <c r="A71" s="46" t="s">
        <v>472</v>
      </c>
      <c r="B71">
        <v>677359</v>
      </c>
      <c r="C71" s="66">
        <v>43844.652083333334</v>
      </c>
      <c r="D71" t="s">
        <v>879</v>
      </c>
      <c r="E71" t="s">
        <v>825</v>
      </c>
      <c r="F71">
        <v>234609</v>
      </c>
      <c r="G71">
        <v>14.27</v>
      </c>
      <c r="H71">
        <v>0</v>
      </c>
      <c r="J71" t="s">
        <v>990</v>
      </c>
    </row>
    <row r="72" spans="1:8" x14ac:dyDescent="0.2">
      <c r="A72" s="46" t="s">
        <v>472</v>
      </c>
      <c r="B72">
        <v>677405</v>
      </c>
      <c r="C72" s="66">
        <v>43844.683333333334</v>
      </c>
      <c r="D72" t="s">
        <v>881</v>
      </c>
      <c r="E72" t="s">
        <v>827</v>
      </c>
      <c r="F72">
        <v>188737</v>
      </c>
      <c r="G72">
        <v>426.55</v>
      </c>
      <c r="H72">
        <v>0</v>
      </c>
      <c r="J72" t="s">
        <v>991</v>
      </c>
    </row>
    <row r="73" spans="1:8" x14ac:dyDescent="0.2">
      <c r="A73" s="46" t="s">
        <v>472</v>
      </c>
      <c r="B73">
        <v>680907</v>
      </c>
      <c r="C73" s="66">
        <v>43858.022916666669</v>
      </c>
      <c r="D73" t="s">
        <v>882</v>
      </c>
      <c r="E73" t="s">
        <v>825</v>
      </c>
      <c r="F73">
        <v>236787</v>
      </c>
      <c r="G73">
        <v>6</v>
      </c>
      <c r="H73">
        <v>0</v>
      </c>
      <c r="J73" t="s">
        <v>992</v>
      </c>
    </row>
    <row r="74" spans="1:8" x14ac:dyDescent="0.2">
      <c r="A74" t="s">
        <v>479</v>
      </c>
      <c r="B74">
        <v>680545</v>
      </c>
      <c r="C74" s="66">
        <v>43854.593055555553</v>
      </c>
      <c r="D74" t="s">
        <v>883</v>
      </c>
      <c r="F74">
        <v>0</v>
      </c>
      <c r="G74">
        <v>0</v>
      </c>
      <c r="H74">
        <v>350</v>
      </c>
      <c r="J74" t="s">
        <v>989</v>
      </c>
    </row>
    <row r="75" spans="1:8" x14ac:dyDescent="0.2">
      <c r="A75" t="s">
        <v>479</v>
      </c>
      <c r="B75">
        <v>680545</v>
      </c>
      <c r="C75" s="66">
        <v>43854.593055555553</v>
      </c>
      <c r="D75" t="s">
        <v>884</v>
      </c>
      <c r="E75" t="s">
        <v>825</v>
      </c>
      <c r="F75">
        <v>235520</v>
      </c>
      <c r="G75">
        <v>25.2</v>
      </c>
      <c r="H75">
        <v>0</v>
      </c>
      <c r="J75" t="s">
        <v>990</v>
      </c>
    </row>
    <row r="76" spans="1:8" x14ac:dyDescent="0.2">
      <c r="A76" t="s">
        <v>479</v>
      </c>
      <c r="B76">
        <v>680549</v>
      </c>
      <c r="C76" s="66">
        <v>43854.597916666666</v>
      </c>
      <c r="D76" t="s">
        <v>885</v>
      </c>
      <c r="E76" t="s">
        <v>827</v>
      </c>
      <c r="F76">
        <v>189802</v>
      </c>
      <c r="G76">
        <v>318.8</v>
      </c>
      <c r="H76">
        <v>0</v>
      </c>
      <c r="J76" t="s">
        <v>991</v>
      </c>
    </row>
    <row r="77" spans="1:8" x14ac:dyDescent="0.2">
      <c r="A77" t="s">
        <v>479</v>
      </c>
      <c r="B77">
        <v>680907</v>
      </c>
      <c r="C77" s="66">
        <v>43858.022916666669</v>
      </c>
      <c r="D77" t="s">
        <v>886</v>
      </c>
      <c r="E77" t="s">
        <v>825</v>
      </c>
      <c r="F77">
        <v>236815</v>
      </c>
      <c r="G77">
        <v>6</v>
      </c>
      <c r="H77">
        <v>0</v>
      </c>
      <c r="J77" t="s">
        <v>992</v>
      </c>
    </row>
    <row r="78" spans="1:8" x14ac:dyDescent="0.2">
      <c r="A78" s="46" t="s">
        <v>560</v>
      </c>
      <c r="B78">
        <v>674080</v>
      </c>
      <c r="C78" s="66">
        <v>43832.504166666666</v>
      </c>
      <c r="D78" t="s">
        <v>887</v>
      </c>
      <c r="F78">
        <v>0</v>
      </c>
      <c r="G78">
        <v>0</v>
      </c>
      <c r="H78">
        <v>80</v>
      </c>
      <c r="J78" t="s">
        <v>989</v>
      </c>
    </row>
    <row r="79" spans="1:8" x14ac:dyDescent="0.2">
      <c r="A79" s="46" t="s">
        <v>560</v>
      </c>
      <c r="B79">
        <v>674080</v>
      </c>
      <c r="C79" s="66">
        <v>43832.504166666666</v>
      </c>
      <c r="D79" t="s">
        <v>888</v>
      </c>
      <c r="E79" t="s">
        <v>825</v>
      </c>
      <c r="F79">
        <v>233121</v>
      </c>
      <c r="G79">
        <v>5.76</v>
      </c>
      <c r="H79">
        <v>0</v>
      </c>
      <c r="J79" t="s">
        <v>990</v>
      </c>
    </row>
    <row r="80" spans="1:8" x14ac:dyDescent="0.2">
      <c r="A80" s="46" t="s">
        <v>560</v>
      </c>
      <c r="B80">
        <v>674336</v>
      </c>
      <c r="C80" s="66">
        <v>43832.534722222219</v>
      </c>
      <c r="D80" t="s">
        <v>889</v>
      </c>
      <c r="E80" t="s">
        <v>827</v>
      </c>
      <c r="F80">
        <v>187447</v>
      </c>
      <c r="G80">
        <v>68.239999999999995</v>
      </c>
      <c r="H80">
        <v>0</v>
      </c>
      <c r="J80" t="s">
        <v>991</v>
      </c>
    </row>
    <row r="81" spans="1:8" x14ac:dyDescent="0.2">
      <c r="A81" s="46" t="s">
        <v>560</v>
      </c>
      <c r="B81">
        <v>674993</v>
      </c>
      <c r="C81" s="66">
        <v>43836.45</v>
      </c>
      <c r="D81" t="s">
        <v>887</v>
      </c>
      <c r="F81">
        <v>0</v>
      </c>
      <c r="G81">
        <v>0</v>
      </c>
      <c r="H81">
        <v>440</v>
      </c>
      <c r="J81" t="s">
        <v>989</v>
      </c>
    </row>
    <row r="82" spans="1:8" x14ac:dyDescent="0.2">
      <c r="A82" s="46" t="s">
        <v>560</v>
      </c>
      <c r="B82">
        <v>674993</v>
      </c>
      <c r="C82" s="66">
        <v>43836.45</v>
      </c>
      <c r="D82" t="s">
        <v>888</v>
      </c>
      <c r="E82" t="s">
        <v>825</v>
      </c>
      <c r="F82">
        <v>233508</v>
      </c>
      <c r="G82">
        <v>31.68</v>
      </c>
      <c r="H82">
        <v>0</v>
      </c>
      <c r="J82" t="s">
        <v>990</v>
      </c>
    </row>
    <row r="83" spans="1:8" x14ac:dyDescent="0.2">
      <c r="A83" s="46" t="s">
        <v>560</v>
      </c>
      <c r="B83">
        <v>675266</v>
      </c>
      <c r="C83" s="66">
        <v>43836.498611111114</v>
      </c>
      <c r="D83" t="s">
        <v>889</v>
      </c>
      <c r="E83" t="s">
        <v>827</v>
      </c>
      <c r="F83">
        <v>187770</v>
      </c>
      <c r="G83">
        <v>408.32</v>
      </c>
      <c r="H83">
        <v>0</v>
      </c>
      <c r="J83" t="s">
        <v>991</v>
      </c>
    </row>
    <row r="84" spans="1:8" x14ac:dyDescent="0.2">
      <c r="A84" s="46" t="s">
        <v>560</v>
      </c>
      <c r="B84">
        <v>680907</v>
      </c>
      <c r="C84" s="66">
        <v>43858.022916666669</v>
      </c>
      <c r="D84" t="s">
        <v>890</v>
      </c>
      <c r="E84" t="s">
        <v>825</v>
      </c>
      <c r="F84">
        <v>236817</v>
      </c>
      <c r="G84">
        <v>6</v>
      </c>
      <c r="H84">
        <v>0</v>
      </c>
      <c r="J84" t="s">
        <v>992</v>
      </c>
    </row>
    <row r="85" spans="1:8" x14ac:dyDescent="0.2">
      <c r="A85" s="46" t="s">
        <v>484</v>
      </c>
      <c r="B85">
        <v>675937</v>
      </c>
      <c r="C85" s="66">
        <v>43838.579861111109</v>
      </c>
      <c r="D85" t="s">
        <v>891</v>
      </c>
      <c r="F85">
        <v>0</v>
      </c>
      <c r="G85">
        <v>0</v>
      </c>
      <c r="H85">
        <v>211.16</v>
      </c>
      <c r="J85" t="s">
        <v>989</v>
      </c>
    </row>
    <row r="86" spans="1:8" x14ac:dyDescent="0.2">
      <c r="A86" s="46" t="s">
        <v>484</v>
      </c>
      <c r="B86">
        <v>675937</v>
      </c>
      <c r="C86" s="66">
        <v>43838.579861111109</v>
      </c>
      <c r="D86" t="s">
        <v>892</v>
      </c>
      <c r="E86" t="s">
        <v>825</v>
      </c>
      <c r="F86">
        <v>233977</v>
      </c>
      <c r="G86">
        <v>15.2</v>
      </c>
      <c r="H86">
        <v>0</v>
      </c>
      <c r="J86" t="s">
        <v>990</v>
      </c>
    </row>
    <row r="87" spans="1:8" x14ac:dyDescent="0.2">
      <c r="A87" s="46" t="s">
        <v>484</v>
      </c>
      <c r="B87">
        <v>675948</v>
      </c>
      <c r="C87" s="66">
        <v>43838.584027777775</v>
      </c>
      <c r="D87" t="s">
        <v>893</v>
      </c>
      <c r="E87" t="s">
        <v>827</v>
      </c>
      <c r="F87">
        <v>188241</v>
      </c>
      <c r="G87">
        <v>189.96</v>
      </c>
      <c r="H87">
        <v>0</v>
      </c>
      <c r="J87" t="s">
        <v>991</v>
      </c>
    </row>
    <row r="88" spans="1:8" x14ac:dyDescent="0.2">
      <c r="A88" s="46" t="s">
        <v>484</v>
      </c>
      <c r="B88">
        <v>677379</v>
      </c>
      <c r="C88" s="66">
        <v>43844.652083333334</v>
      </c>
      <c r="D88" t="s">
        <v>891</v>
      </c>
      <c r="F88">
        <v>0</v>
      </c>
      <c r="G88">
        <v>0</v>
      </c>
      <c r="H88">
        <v>288.83999999999997</v>
      </c>
      <c r="J88" t="s">
        <v>989</v>
      </c>
    </row>
    <row r="89" spans="1:8" x14ac:dyDescent="0.2">
      <c r="A89" s="46" t="s">
        <v>484</v>
      </c>
      <c r="B89">
        <v>677379</v>
      </c>
      <c r="C89" s="66">
        <v>43844.652083333334</v>
      </c>
      <c r="D89" t="s">
        <v>892</v>
      </c>
      <c r="E89" t="s">
        <v>825</v>
      </c>
      <c r="F89">
        <v>234629</v>
      </c>
      <c r="G89">
        <v>20.8</v>
      </c>
      <c r="H89">
        <v>0</v>
      </c>
      <c r="J89" t="s">
        <v>990</v>
      </c>
    </row>
    <row r="90" spans="1:8" x14ac:dyDescent="0.2">
      <c r="A90" s="46" t="s">
        <v>484</v>
      </c>
      <c r="B90">
        <v>677405</v>
      </c>
      <c r="C90" s="66">
        <v>43844.683333333334</v>
      </c>
      <c r="D90" t="s">
        <v>893</v>
      </c>
      <c r="E90" t="s">
        <v>827</v>
      </c>
      <c r="F90">
        <v>188757</v>
      </c>
      <c r="G90">
        <v>268.04000000000002</v>
      </c>
      <c r="H90">
        <v>0</v>
      </c>
      <c r="J90" t="s">
        <v>991</v>
      </c>
    </row>
    <row r="91" spans="1:8" x14ac:dyDescent="0.2">
      <c r="A91" s="46" t="s">
        <v>484</v>
      </c>
      <c r="B91">
        <v>680907</v>
      </c>
      <c r="C91" s="66">
        <v>43858.022916666669</v>
      </c>
      <c r="D91" t="s">
        <v>894</v>
      </c>
      <c r="E91" t="s">
        <v>825</v>
      </c>
      <c r="F91">
        <v>236964</v>
      </c>
      <c r="G91">
        <v>6</v>
      </c>
      <c r="H91">
        <v>0</v>
      </c>
      <c r="J91" t="s">
        <v>992</v>
      </c>
    </row>
    <row r="92" spans="1:8" x14ac:dyDescent="0.2">
      <c r="A92" t="s">
        <v>477</v>
      </c>
      <c r="B92">
        <v>677370</v>
      </c>
      <c r="C92" s="66">
        <v>43844.652083333334</v>
      </c>
      <c r="D92" t="s">
        <v>895</v>
      </c>
      <c r="F92">
        <v>0</v>
      </c>
      <c r="G92">
        <v>0</v>
      </c>
      <c r="H92">
        <v>68.8</v>
      </c>
      <c r="J92" t="s">
        <v>989</v>
      </c>
    </row>
    <row r="93" spans="1:8" x14ac:dyDescent="0.2">
      <c r="A93" t="s">
        <v>477</v>
      </c>
      <c r="B93">
        <v>677370</v>
      </c>
      <c r="C93" s="66">
        <v>43844.652083333334</v>
      </c>
      <c r="D93" t="s">
        <v>896</v>
      </c>
      <c r="E93" t="s">
        <v>825</v>
      </c>
      <c r="F93">
        <v>234620</v>
      </c>
      <c r="G93">
        <v>4.96</v>
      </c>
      <c r="H93">
        <v>0</v>
      </c>
      <c r="J93" t="s">
        <v>990</v>
      </c>
    </row>
    <row r="94" spans="1:8" x14ac:dyDescent="0.2">
      <c r="A94" t="s">
        <v>477</v>
      </c>
      <c r="B94">
        <v>677370</v>
      </c>
      <c r="C94" s="66">
        <v>43844.652083333334</v>
      </c>
      <c r="D94" t="s">
        <v>897</v>
      </c>
      <c r="F94">
        <v>0</v>
      </c>
      <c r="G94">
        <v>0</v>
      </c>
      <c r="H94">
        <v>346.6</v>
      </c>
      <c r="J94" t="s">
        <v>989</v>
      </c>
    </row>
    <row r="95" spans="1:8" x14ac:dyDescent="0.2">
      <c r="A95" t="s">
        <v>477</v>
      </c>
      <c r="B95">
        <v>677370</v>
      </c>
      <c r="C95" s="66">
        <v>43844.652083333334</v>
      </c>
      <c r="D95" t="s">
        <v>896</v>
      </c>
      <c r="E95" t="s">
        <v>825</v>
      </c>
      <c r="F95">
        <v>234620</v>
      </c>
      <c r="G95">
        <v>24.96</v>
      </c>
      <c r="H95">
        <v>0</v>
      </c>
      <c r="J95" t="s">
        <v>990</v>
      </c>
    </row>
    <row r="96" spans="1:8" x14ac:dyDescent="0.2">
      <c r="A96" t="s">
        <v>477</v>
      </c>
      <c r="B96">
        <v>677405</v>
      </c>
      <c r="C96" s="66">
        <v>43844.683333333334</v>
      </c>
      <c r="D96" t="s">
        <v>898</v>
      </c>
      <c r="E96" t="s">
        <v>827</v>
      </c>
      <c r="F96">
        <v>188748</v>
      </c>
      <c r="G96">
        <v>379.48</v>
      </c>
      <c r="H96">
        <v>0</v>
      </c>
      <c r="J96" t="s">
        <v>991</v>
      </c>
    </row>
    <row r="97" spans="1:8" x14ac:dyDescent="0.2">
      <c r="A97" t="s">
        <v>477</v>
      </c>
      <c r="B97">
        <v>680907</v>
      </c>
      <c r="C97" s="66">
        <v>43858.022916666669</v>
      </c>
      <c r="D97" t="s">
        <v>899</v>
      </c>
      <c r="E97" s="46" t="s">
        <v>825</v>
      </c>
      <c r="F97">
        <v>236778</v>
      </c>
      <c r="G97">
        <v>6</v>
      </c>
      <c r="H97">
        <v>0</v>
      </c>
      <c r="J97" t="s">
        <v>992</v>
      </c>
    </row>
    <row r="98" spans="1:8" x14ac:dyDescent="0.2">
      <c r="A98" s="46" t="s">
        <v>495</v>
      </c>
      <c r="B98">
        <v>677380</v>
      </c>
      <c r="C98" s="66">
        <v>43844.652083333334</v>
      </c>
      <c r="D98" t="s">
        <v>900</v>
      </c>
      <c r="F98">
        <v>0</v>
      </c>
      <c r="G98">
        <v>0</v>
      </c>
      <c r="H98">
        <v>115.68</v>
      </c>
      <c r="J98" t="s">
        <v>989</v>
      </c>
    </row>
    <row r="99" spans="1:8" x14ac:dyDescent="0.2">
      <c r="A99" s="46" t="s">
        <v>495</v>
      </c>
      <c r="B99">
        <v>677380</v>
      </c>
      <c r="C99" s="66">
        <v>43844.652083333334</v>
      </c>
      <c r="D99" t="s">
        <v>901</v>
      </c>
      <c r="E99" t="s">
        <v>825</v>
      </c>
      <c r="F99">
        <v>234630</v>
      </c>
      <c r="G99">
        <v>8.33</v>
      </c>
      <c r="H99">
        <v>0</v>
      </c>
      <c r="J99" t="s">
        <v>990</v>
      </c>
    </row>
    <row r="100" spans="1:8" x14ac:dyDescent="0.2">
      <c r="A100" s="46" t="s">
        <v>495</v>
      </c>
      <c r="B100">
        <v>677380</v>
      </c>
      <c r="C100" s="66">
        <v>43844.652083333334</v>
      </c>
      <c r="D100" s="46" t="s">
        <v>902</v>
      </c>
      <c r="E100" s="46" t="s">
        <v>984</v>
      </c>
      <c r="F100">
        <v>0</v>
      </c>
      <c r="G100">
        <v>0</v>
      </c>
      <c r="H100">
        <v>345.84</v>
      </c>
      <c r="J100" t="s">
        <v>989</v>
      </c>
    </row>
    <row r="101" spans="1:8" x14ac:dyDescent="0.2">
      <c r="A101" s="46" t="s">
        <v>495</v>
      </c>
      <c r="B101">
        <v>677380</v>
      </c>
      <c r="C101" s="66">
        <v>43844.652083333334</v>
      </c>
      <c r="D101" t="s">
        <v>901</v>
      </c>
      <c r="E101" t="s">
        <v>825</v>
      </c>
      <c r="F101">
        <v>234630</v>
      </c>
      <c r="G101">
        <v>24.9</v>
      </c>
      <c r="H101">
        <v>0</v>
      </c>
      <c r="J101" t="s">
        <v>990</v>
      </c>
    </row>
    <row r="102" spans="1:8" x14ac:dyDescent="0.2">
      <c r="A102" s="46" t="s">
        <v>495</v>
      </c>
      <c r="B102">
        <v>677405</v>
      </c>
      <c r="C102" s="66">
        <v>43844.683333333334</v>
      </c>
      <c r="D102" t="s">
        <v>903</v>
      </c>
      <c r="E102" t="s">
        <v>827</v>
      </c>
      <c r="F102">
        <v>188758</v>
      </c>
      <c r="G102">
        <v>422.29</v>
      </c>
      <c r="H102">
        <v>0</v>
      </c>
      <c r="J102" t="s">
        <v>991</v>
      </c>
    </row>
    <row r="103" spans="1:8" x14ac:dyDescent="0.2">
      <c r="A103" s="46" t="s">
        <v>495</v>
      </c>
      <c r="B103">
        <v>680907</v>
      </c>
      <c r="C103" s="66">
        <v>43858.022916666669</v>
      </c>
      <c r="D103" t="s">
        <v>904</v>
      </c>
      <c r="E103" s="46" t="s">
        <v>825</v>
      </c>
      <c r="F103">
        <v>236714</v>
      </c>
      <c r="G103">
        <v>6</v>
      </c>
      <c r="H103">
        <v>0</v>
      </c>
      <c r="J103" t="s">
        <v>992</v>
      </c>
    </row>
    <row r="104" spans="1:8" x14ac:dyDescent="0.2">
      <c r="A104" s="46" t="s">
        <v>561</v>
      </c>
      <c r="B104">
        <v>680749</v>
      </c>
      <c r="C104" s="66">
        <v>43855.469444444447</v>
      </c>
      <c r="D104" t="s">
        <v>905</v>
      </c>
      <c r="F104">
        <v>0</v>
      </c>
      <c r="G104">
        <v>0</v>
      </c>
      <c r="H104">
        <v>161.72999999999999</v>
      </c>
      <c r="J104" t="s">
        <v>989</v>
      </c>
    </row>
    <row r="105" spans="1:8" x14ac:dyDescent="0.2">
      <c r="A105" s="46" t="s">
        <v>561</v>
      </c>
      <c r="B105">
        <v>680749</v>
      </c>
      <c r="C105" s="66">
        <v>43855.469444444447</v>
      </c>
      <c r="D105" t="s">
        <v>906</v>
      </c>
      <c r="E105" t="s">
        <v>825</v>
      </c>
      <c r="F105">
        <v>235586</v>
      </c>
      <c r="G105">
        <v>11.64</v>
      </c>
      <c r="H105">
        <v>0</v>
      </c>
      <c r="J105" t="s">
        <v>990</v>
      </c>
    </row>
    <row r="106" spans="1:8" x14ac:dyDescent="0.2">
      <c r="A106" s="46" t="s">
        <v>561</v>
      </c>
      <c r="B106">
        <v>680749</v>
      </c>
      <c r="C106" s="66">
        <v>43855.469444444447</v>
      </c>
      <c r="D106" t="s">
        <v>907</v>
      </c>
      <c r="F106">
        <v>0</v>
      </c>
      <c r="G106">
        <v>0</v>
      </c>
      <c r="H106">
        <v>438.27</v>
      </c>
      <c r="J106" t="s">
        <v>989</v>
      </c>
    </row>
    <row r="107" spans="1:8" x14ac:dyDescent="0.2">
      <c r="A107" s="46" t="s">
        <v>561</v>
      </c>
      <c r="B107">
        <v>680749</v>
      </c>
      <c r="C107" s="66">
        <v>43855.469444444447</v>
      </c>
      <c r="D107" t="s">
        <v>906</v>
      </c>
      <c r="E107" t="s">
        <v>825</v>
      </c>
      <c r="F107">
        <v>235586</v>
      </c>
      <c r="G107">
        <v>31.56</v>
      </c>
      <c r="H107">
        <v>0</v>
      </c>
      <c r="J107" t="s">
        <v>990</v>
      </c>
    </row>
    <row r="108" spans="1:8" x14ac:dyDescent="0.2">
      <c r="A108" s="46" t="s">
        <v>561</v>
      </c>
      <c r="B108">
        <v>680764</v>
      </c>
      <c r="C108" s="66">
        <v>43855.47152777778</v>
      </c>
      <c r="D108" t="s">
        <v>908</v>
      </c>
      <c r="E108" t="s">
        <v>827</v>
      </c>
      <c r="F108">
        <v>189851</v>
      </c>
      <c r="G108">
        <v>550.79999999999995</v>
      </c>
      <c r="H108">
        <v>0</v>
      </c>
      <c r="J108" t="s">
        <v>991</v>
      </c>
    </row>
    <row r="109" spans="1:8" x14ac:dyDescent="0.2">
      <c r="A109" s="46" t="s">
        <v>561</v>
      </c>
      <c r="B109">
        <v>680907</v>
      </c>
      <c r="C109" s="66">
        <v>43858.022916666669</v>
      </c>
      <c r="D109" t="s">
        <v>909</v>
      </c>
      <c r="E109" t="s">
        <v>825</v>
      </c>
      <c r="F109">
        <v>236794</v>
      </c>
      <c r="G109">
        <v>6</v>
      </c>
      <c r="H109">
        <v>0</v>
      </c>
      <c r="J109" t="s">
        <v>992</v>
      </c>
    </row>
    <row r="110" spans="1:8" x14ac:dyDescent="0.2">
      <c r="A110" s="46" t="s">
        <v>485</v>
      </c>
      <c r="B110">
        <v>675242</v>
      </c>
      <c r="C110" s="66">
        <v>43836.490972222222</v>
      </c>
      <c r="D110" t="s">
        <v>910</v>
      </c>
      <c r="F110">
        <v>0</v>
      </c>
      <c r="G110">
        <v>0</v>
      </c>
      <c r="H110">
        <v>250</v>
      </c>
      <c r="J110" t="s">
        <v>989</v>
      </c>
    </row>
    <row r="111" spans="1:8" x14ac:dyDescent="0.2">
      <c r="A111" s="46" t="s">
        <v>485</v>
      </c>
      <c r="B111">
        <v>675242</v>
      </c>
      <c r="C111" s="66">
        <v>43836.490972222222</v>
      </c>
      <c r="D111" t="s">
        <v>911</v>
      </c>
      <c r="E111" t="s">
        <v>825</v>
      </c>
      <c r="F111">
        <v>233745</v>
      </c>
      <c r="G111">
        <v>18</v>
      </c>
      <c r="H111">
        <v>0</v>
      </c>
      <c r="J111" t="s">
        <v>990</v>
      </c>
    </row>
    <row r="112" spans="1:8" x14ac:dyDescent="0.2">
      <c r="A112" s="46" t="s">
        <v>485</v>
      </c>
      <c r="B112">
        <v>675266</v>
      </c>
      <c r="C112" s="66">
        <v>43836.498611111114</v>
      </c>
      <c r="D112" t="s">
        <v>912</v>
      </c>
      <c r="E112" t="s">
        <v>827</v>
      </c>
      <c r="F112">
        <v>188016</v>
      </c>
      <c r="G112">
        <v>226</v>
      </c>
      <c r="H112">
        <v>0</v>
      </c>
      <c r="J112" t="s">
        <v>991</v>
      </c>
    </row>
    <row r="113" spans="1:8" x14ac:dyDescent="0.2">
      <c r="A113" s="46" t="s">
        <v>485</v>
      </c>
      <c r="B113">
        <v>679001</v>
      </c>
      <c r="C113" s="66">
        <v>43850.611111111109</v>
      </c>
      <c r="D113" t="s">
        <v>910</v>
      </c>
      <c r="F113">
        <v>0</v>
      </c>
      <c r="G113">
        <v>0</v>
      </c>
      <c r="H113">
        <v>250</v>
      </c>
      <c r="J113" t="s">
        <v>989</v>
      </c>
    </row>
    <row r="114" spans="1:8" x14ac:dyDescent="0.2">
      <c r="A114" s="46" t="s">
        <v>485</v>
      </c>
      <c r="B114">
        <v>679001</v>
      </c>
      <c r="C114" s="66">
        <v>43850.611111111109</v>
      </c>
      <c r="D114" t="s">
        <v>911</v>
      </c>
      <c r="E114" t="s">
        <v>825</v>
      </c>
      <c r="F114">
        <v>235133</v>
      </c>
      <c r="G114">
        <v>18</v>
      </c>
      <c r="H114">
        <v>0</v>
      </c>
      <c r="J114" t="s">
        <v>990</v>
      </c>
    </row>
    <row r="115" spans="1:8" x14ac:dyDescent="0.2">
      <c r="A115" s="46" t="s">
        <v>485</v>
      </c>
      <c r="B115">
        <v>679010</v>
      </c>
      <c r="C115" s="66">
        <v>43850.618750000001</v>
      </c>
      <c r="D115" t="s">
        <v>912</v>
      </c>
      <c r="E115" t="s">
        <v>827</v>
      </c>
      <c r="F115">
        <v>189277</v>
      </c>
      <c r="G115">
        <v>232</v>
      </c>
      <c r="H115">
        <v>0</v>
      </c>
      <c r="J115" t="s">
        <v>991</v>
      </c>
    </row>
    <row r="116" spans="1:8" x14ac:dyDescent="0.2">
      <c r="A116" s="46" t="s">
        <v>485</v>
      </c>
      <c r="B116">
        <v>680907</v>
      </c>
      <c r="C116" s="66">
        <v>43858.022916666669</v>
      </c>
      <c r="D116" t="s">
        <v>913</v>
      </c>
      <c r="E116" t="s">
        <v>825</v>
      </c>
      <c r="F116">
        <v>236965</v>
      </c>
      <c r="G116">
        <v>6</v>
      </c>
      <c r="H116">
        <v>0</v>
      </c>
      <c r="J116" t="s">
        <v>992</v>
      </c>
    </row>
    <row r="117" spans="1:8" x14ac:dyDescent="0.2">
      <c r="A117" s="46" t="s">
        <v>486</v>
      </c>
      <c r="B117">
        <v>679462</v>
      </c>
      <c r="C117" s="66">
        <v>43851.570833333331</v>
      </c>
      <c r="D117" t="s">
        <v>914</v>
      </c>
      <c r="F117">
        <v>0</v>
      </c>
      <c r="G117">
        <v>0</v>
      </c>
      <c r="H117">
        <v>505</v>
      </c>
      <c r="J117" t="s">
        <v>989</v>
      </c>
    </row>
    <row r="118" spans="1:8" x14ac:dyDescent="0.2">
      <c r="A118" s="46" t="s">
        <v>486</v>
      </c>
      <c r="B118">
        <v>679471</v>
      </c>
      <c r="C118" s="66">
        <v>43851.574999999997</v>
      </c>
      <c r="D118" t="s">
        <v>915</v>
      </c>
      <c r="E118" t="s">
        <v>827</v>
      </c>
      <c r="F118">
        <v>189398</v>
      </c>
      <c r="G118">
        <v>481</v>
      </c>
      <c r="H118">
        <v>0</v>
      </c>
      <c r="J118" t="s">
        <v>991</v>
      </c>
    </row>
    <row r="119" spans="1:8" x14ac:dyDescent="0.2">
      <c r="A119" s="46" t="s">
        <v>486</v>
      </c>
      <c r="B119">
        <v>680907</v>
      </c>
      <c r="C119" s="66">
        <v>43858.022916666669</v>
      </c>
      <c r="D119" t="s">
        <v>916</v>
      </c>
      <c r="E119" t="s">
        <v>825</v>
      </c>
      <c r="F119">
        <v>236966</v>
      </c>
      <c r="G119">
        <v>6</v>
      </c>
      <c r="H119">
        <v>0</v>
      </c>
      <c r="J119" t="s">
        <v>992</v>
      </c>
    </row>
    <row r="120" spans="1:8" x14ac:dyDescent="0.2">
      <c r="A120" s="46" t="s">
        <v>493</v>
      </c>
      <c r="B120">
        <v>677369</v>
      </c>
      <c r="C120" s="66">
        <v>43844.652083333334</v>
      </c>
      <c r="D120" t="s">
        <v>917</v>
      </c>
      <c r="F120">
        <v>0</v>
      </c>
      <c r="G120">
        <v>0</v>
      </c>
      <c r="H120">
        <v>378.99</v>
      </c>
      <c r="J120" t="s">
        <v>989</v>
      </c>
    </row>
    <row r="121" spans="1:8" x14ac:dyDescent="0.2">
      <c r="A121" s="46" t="s">
        <v>493</v>
      </c>
      <c r="B121">
        <v>677369</v>
      </c>
      <c r="C121" s="66">
        <v>43844.652083333334</v>
      </c>
      <c r="D121" t="s">
        <v>918</v>
      </c>
      <c r="E121" t="s">
        <v>825</v>
      </c>
      <c r="F121">
        <v>234619</v>
      </c>
      <c r="G121">
        <v>27.29</v>
      </c>
      <c r="H121">
        <v>0</v>
      </c>
      <c r="J121" t="s">
        <v>990</v>
      </c>
    </row>
    <row r="122" spans="1:8" x14ac:dyDescent="0.2">
      <c r="A122" s="46" t="s">
        <v>493</v>
      </c>
      <c r="B122">
        <v>677405</v>
      </c>
      <c r="C122" s="66">
        <v>43844.683333333334</v>
      </c>
      <c r="D122" t="s">
        <v>919</v>
      </c>
      <c r="E122" t="s">
        <v>827</v>
      </c>
      <c r="F122">
        <v>188747</v>
      </c>
      <c r="G122">
        <v>345.7</v>
      </c>
      <c r="H122">
        <v>0</v>
      </c>
      <c r="J122" t="s">
        <v>991</v>
      </c>
    </row>
    <row r="123" spans="1:8" x14ac:dyDescent="0.2">
      <c r="A123" s="46" t="s">
        <v>493</v>
      </c>
      <c r="B123">
        <v>678993</v>
      </c>
      <c r="C123" s="66">
        <v>43850.611111111109</v>
      </c>
      <c r="D123" t="s">
        <v>920</v>
      </c>
      <c r="F123">
        <v>0</v>
      </c>
      <c r="G123">
        <v>0</v>
      </c>
      <c r="H123">
        <v>101.13</v>
      </c>
      <c r="J123" t="s">
        <v>989</v>
      </c>
    </row>
    <row r="124" spans="1:8" x14ac:dyDescent="0.2">
      <c r="A124" s="46" t="s">
        <v>493</v>
      </c>
      <c r="B124">
        <v>678993</v>
      </c>
      <c r="C124" s="66">
        <v>43850.611111111109</v>
      </c>
      <c r="D124" t="s">
        <v>918</v>
      </c>
      <c r="E124" t="s">
        <v>825</v>
      </c>
      <c r="F124">
        <v>235125</v>
      </c>
      <c r="G124">
        <v>7.28</v>
      </c>
      <c r="H124">
        <v>0</v>
      </c>
      <c r="J124" t="s">
        <v>990</v>
      </c>
    </row>
    <row r="125" spans="1:8" x14ac:dyDescent="0.2">
      <c r="A125" s="46" t="s">
        <v>493</v>
      </c>
      <c r="B125">
        <v>679010</v>
      </c>
      <c r="C125" s="66">
        <v>43850.618750000001</v>
      </c>
      <c r="D125" t="s">
        <v>919</v>
      </c>
      <c r="E125" t="s">
        <v>827</v>
      </c>
      <c r="F125">
        <v>189269</v>
      </c>
      <c r="G125">
        <v>93.85</v>
      </c>
      <c r="H125">
        <v>0</v>
      </c>
      <c r="J125" t="s">
        <v>991</v>
      </c>
    </row>
    <row r="126" spans="1:8" x14ac:dyDescent="0.2">
      <c r="A126" s="46" t="s">
        <v>493</v>
      </c>
      <c r="B126">
        <v>680907</v>
      </c>
      <c r="C126" s="66">
        <v>43858.022916666669</v>
      </c>
      <c r="D126" t="s">
        <v>921</v>
      </c>
      <c r="E126" t="s">
        <v>825</v>
      </c>
      <c r="F126">
        <v>236710</v>
      </c>
      <c r="G126">
        <v>6</v>
      </c>
      <c r="H126">
        <v>0</v>
      </c>
      <c r="J126" t="s">
        <v>992</v>
      </c>
    </row>
    <row r="127" spans="1:8" x14ac:dyDescent="0.2">
      <c r="A127" s="46" t="s">
        <v>494</v>
      </c>
      <c r="B127">
        <v>677376</v>
      </c>
      <c r="C127" s="66">
        <v>43844.652083333334</v>
      </c>
      <c r="D127" t="s">
        <v>922</v>
      </c>
      <c r="F127">
        <v>0</v>
      </c>
      <c r="G127">
        <v>0</v>
      </c>
      <c r="H127">
        <v>112.24</v>
      </c>
      <c r="J127" t="s">
        <v>989</v>
      </c>
    </row>
    <row r="128" spans="1:8" x14ac:dyDescent="0.2">
      <c r="A128" s="46" t="s">
        <v>494</v>
      </c>
      <c r="B128">
        <v>677376</v>
      </c>
      <c r="C128" s="66">
        <v>43844.652083333334</v>
      </c>
      <c r="D128" t="s">
        <v>923</v>
      </c>
      <c r="E128" t="s">
        <v>825</v>
      </c>
      <c r="F128">
        <v>234626</v>
      </c>
      <c r="G128">
        <v>8.08</v>
      </c>
      <c r="H128">
        <v>0</v>
      </c>
      <c r="J128" t="s">
        <v>990</v>
      </c>
    </row>
    <row r="129" spans="1:8" x14ac:dyDescent="0.2">
      <c r="A129" s="46" t="s">
        <v>494</v>
      </c>
      <c r="B129">
        <v>677405</v>
      </c>
      <c r="C129" s="66">
        <v>43844.683333333334</v>
      </c>
      <c r="D129" t="s">
        <v>924</v>
      </c>
      <c r="E129" t="s">
        <v>827</v>
      </c>
      <c r="F129">
        <v>188754</v>
      </c>
      <c r="G129">
        <v>98.16</v>
      </c>
      <c r="H129">
        <v>0</v>
      </c>
      <c r="J129" t="s">
        <v>991</v>
      </c>
    </row>
    <row r="130" spans="1:8" x14ac:dyDescent="0.2">
      <c r="A130" s="46" t="s">
        <v>494</v>
      </c>
      <c r="B130">
        <v>680293</v>
      </c>
      <c r="C130" s="66">
        <v>43853.521527777775</v>
      </c>
      <c r="D130" t="s">
        <v>925</v>
      </c>
      <c r="F130">
        <v>0</v>
      </c>
      <c r="G130">
        <v>0</v>
      </c>
      <c r="H130">
        <v>340.08</v>
      </c>
      <c r="J130" t="s">
        <v>989</v>
      </c>
    </row>
    <row r="131" spans="1:8" x14ac:dyDescent="0.2">
      <c r="A131" s="46" t="s">
        <v>494</v>
      </c>
      <c r="B131">
        <v>680293</v>
      </c>
      <c r="C131" s="66">
        <v>43853.521527777775</v>
      </c>
      <c r="D131" t="s">
        <v>923</v>
      </c>
      <c r="E131" t="s">
        <v>825</v>
      </c>
      <c r="F131">
        <v>235427</v>
      </c>
      <c r="G131">
        <v>24.48</v>
      </c>
      <c r="H131">
        <v>0</v>
      </c>
      <c r="J131" t="s">
        <v>990</v>
      </c>
    </row>
    <row r="132" spans="1:8" x14ac:dyDescent="0.2">
      <c r="A132" s="46" t="s">
        <v>494</v>
      </c>
      <c r="B132">
        <v>680306</v>
      </c>
      <c r="C132" s="66">
        <v>43853.529166666667</v>
      </c>
      <c r="D132" t="s">
        <v>924</v>
      </c>
      <c r="E132" t="s">
        <v>827</v>
      </c>
      <c r="F132">
        <v>189743</v>
      </c>
      <c r="G132">
        <v>315.60000000000002</v>
      </c>
      <c r="H132">
        <v>0</v>
      </c>
      <c r="J132" t="s">
        <v>991</v>
      </c>
    </row>
    <row r="133" spans="1:8" x14ac:dyDescent="0.2">
      <c r="A133" s="46" t="s">
        <v>494</v>
      </c>
      <c r="B133">
        <v>680907</v>
      </c>
      <c r="C133" s="66">
        <v>43858.022916666669</v>
      </c>
      <c r="D133" t="s">
        <v>926</v>
      </c>
      <c r="E133" t="s">
        <v>825</v>
      </c>
      <c r="F133">
        <v>236713</v>
      </c>
      <c r="G133">
        <v>6</v>
      </c>
      <c r="H133">
        <v>0</v>
      </c>
      <c r="J133" t="s">
        <v>992</v>
      </c>
    </row>
    <row r="134" spans="1:8" x14ac:dyDescent="0.2">
      <c r="A134" s="46" t="s">
        <v>499</v>
      </c>
      <c r="B134">
        <v>677363</v>
      </c>
      <c r="C134" s="66">
        <v>43844.652083333334</v>
      </c>
      <c r="D134" t="s">
        <v>927</v>
      </c>
      <c r="E134" s="46" t="s">
        <v>984</v>
      </c>
      <c r="F134">
        <v>0</v>
      </c>
      <c r="G134">
        <v>0</v>
      </c>
      <c r="H134">
        <v>385.76</v>
      </c>
      <c r="J134" t="s">
        <v>989</v>
      </c>
    </row>
    <row r="135" spans="1:8" x14ac:dyDescent="0.2">
      <c r="A135" s="46" t="s">
        <v>499</v>
      </c>
      <c r="B135">
        <v>677363</v>
      </c>
      <c r="C135" s="66">
        <v>43844.652083333334</v>
      </c>
      <c r="D135" t="s">
        <v>928</v>
      </c>
      <c r="E135" t="s">
        <v>825</v>
      </c>
      <c r="F135">
        <v>234613</v>
      </c>
      <c r="G135">
        <v>27.78</v>
      </c>
      <c r="H135">
        <v>0</v>
      </c>
      <c r="J135" t="s">
        <v>990</v>
      </c>
    </row>
    <row r="136" spans="1:8" x14ac:dyDescent="0.2">
      <c r="A136" s="46" t="s">
        <v>499</v>
      </c>
      <c r="B136">
        <v>677405</v>
      </c>
      <c r="C136" s="66">
        <v>43844.683333333334</v>
      </c>
      <c r="D136" t="s">
        <v>929</v>
      </c>
      <c r="E136" t="s">
        <v>827</v>
      </c>
      <c r="F136">
        <v>188741</v>
      </c>
      <c r="G136">
        <v>351.98</v>
      </c>
      <c r="H136">
        <v>0</v>
      </c>
      <c r="J136" t="s">
        <v>991</v>
      </c>
    </row>
    <row r="137" spans="1:8" x14ac:dyDescent="0.2">
      <c r="A137" s="46" t="s">
        <v>499</v>
      </c>
      <c r="B137">
        <v>678988</v>
      </c>
      <c r="C137" s="66">
        <v>43850.611111111109</v>
      </c>
      <c r="D137" t="s">
        <v>930</v>
      </c>
      <c r="F137">
        <v>0</v>
      </c>
      <c r="G137">
        <v>0</v>
      </c>
      <c r="H137">
        <v>75.760000000000005</v>
      </c>
      <c r="J137" t="s">
        <v>989</v>
      </c>
    </row>
    <row r="138" spans="1:8" x14ac:dyDescent="0.2">
      <c r="A138" s="46" t="s">
        <v>499</v>
      </c>
      <c r="B138">
        <v>678988</v>
      </c>
      <c r="C138" s="66">
        <v>43850.611111111109</v>
      </c>
      <c r="D138" t="s">
        <v>928</v>
      </c>
      <c r="E138" t="s">
        <v>825</v>
      </c>
      <c r="F138">
        <v>235121</v>
      </c>
      <c r="G138">
        <v>5.46</v>
      </c>
      <c r="H138">
        <v>0</v>
      </c>
      <c r="J138" t="s">
        <v>990</v>
      </c>
    </row>
    <row r="139" spans="1:8" x14ac:dyDescent="0.2">
      <c r="A139" s="46" t="s">
        <v>499</v>
      </c>
      <c r="B139">
        <v>679010</v>
      </c>
      <c r="C139" s="66">
        <v>43850.618750000001</v>
      </c>
      <c r="D139" t="s">
        <v>929</v>
      </c>
      <c r="E139" t="s">
        <v>827</v>
      </c>
      <c r="F139">
        <v>189264</v>
      </c>
      <c r="G139">
        <v>70.3</v>
      </c>
      <c r="H139">
        <v>0</v>
      </c>
      <c r="J139" t="s">
        <v>991</v>
      </c>
    </row>
    <row r="140" spans="1:8" x14ac:dyDescent="0.2">
      <c r="A140" s="46" t="s">
        <v>499</v>
      </c>
      <c r="B140">
        <v>680907</v>
      </c>
      <c r="C140" s="66">
        <v>43858.022916666669</v>
      </c>
      <c r="D140" t="s">
        <v>931</v>
      </c>
      <c r="E140" t="s">
        <v>825</v>
      </c>
      <c r="F140">
        <v>236709</v>
      </c>
      <c r="G140">
        <v>6</v>
      </c>
      <c r="H140">
        <v>0</v>
      </c>
      <c r="J140" t="s">
        <v>992</v>
      </c>
    </row>
    <row r="141" spans="1:8" x14ac:dyDescent="0.2">
      <c r="A141" s="46" t="s">
        <v>505</v>
      </c>
      <c r="B141">
        <v>677362</v>
      </c>
      <c r="C141" s="66">
        <v>43844.652083333334</v>
      </c>
      <c r="D141" t="s">
        <v>932</v>
      </c>
      <c r="F141">
        <v>0</v>
      </c>
      <c r="G141">
        <v>0</v>
      </c>
      <c r="H141">
        <v>38.950000000000003</v>
      </c>
      <c r="J141" t="s">
        <v>989</v>
      </c>
    </row>
    <row r="142" spans="1:8" x14ac:dyDescent="0.2">
      <c r="A142" s="46" t="s">
        <v>505</v>
      </c>
      <c r="B142">
        <v>677362</v>
      </c>
      <c r="C142" s="66">
        <v>43844.652083333334</v>
      </c>
      <c r="D142" t="s">
        <v>933</v>
      </c>
      <c r="E142" t="s">
        <v>825</v>
      </c>
      <c r="F142">
        <v>234612</v>
      </c>
      <c r="G142">
        <v>2.81</v>
      </c>
      <c r="H142">
        <v>0</v>
      </c>
      <c r="J142" t="s">
        <v>990</v>
      </c>
    </row>
    <row r="143" spans="1:8" x14ac:dyDescent="0.2">
      <c r="A143" s="46" t="s">
        <v>505</v>
      </c>
      <c r="B143">
        <v>677405</v>
      </c>
      <c r="C143" s="66">
        <v>43844.683333333334</v>
      </c>
      <c r="D143" t="s">
        <v>934</v>
      </c>
      <c r="E143" t="s">
        <v>827</v>
      </c>
      <c r="F143">
        <v>188740</v>
      </c>
      <c r="G143">
        <v>30.14</v>
      </c>
      <c r="H143">
        <v>0</v>
      </c>
      <c r="J143" t="s">
        <v>991</v>
      </c>
    </row>
    <row r="144" spans="1:8" x14ac:dyDescent="0.2">
      <c r="A144" s="46" t="s">
        <v>505</v>
      </c>
      <c r="B144">
        <v>678985</v>
      </c>
      <c r="C144" s="66">
        <v>43850.611111111109</v>
      </c>
      <c r="D144" t="s">
        <v>935</v>
      </c>
      <c r="F144">
        <v>0</v>
      </c>
      <c r="G144">
        <v>0</v>
      </c>
      <c r="H144">
        <v>427.21</v>
      </c>
      <c r="J144" t="s">
        <v>989</v>
      </c>
    </row>
    <row r="145" spans="1:8" x14ac:dyDescent="0.2">
      <c r="A145" s="46" t="s">
        <v>505</v>
      </c>
      <c r="B145">
        <v>678985</v>
      </c>
      <c r="C145" s="66">
        <v>43850.611111111109</v>
      </c>
      <c r="D145" t="s">
        <v>933</v>
      </c>
      <c r="E145" s="46" t="s">
        <v>825</v>
      </c>
      <c r="F145">
        <v>235119</v>
      </c>
      <c r="G145">
        <v>30.76</v>
      </c>
      <c r="H145">
        <v>0</v>
      </c>
      <c r="J145" t="s">
        <v>990</v>
      </c>
    </row>
    <row r="146" spans="1:8" x14ac:dyDescent="0.2">
      <c r="A146" s="46" t="s">
        <v>505</v>
      </c>
      <c r="B146">
        <v>679010</v>
      </c>
      <c r="C146" s="66">
        <v>43850.618750000001</v>
      </c>
      <c r="D146" t="s">
        <v>934</v>
      </c>
      <c r="E146" t="s">
        <v>827</v>
      </c>
      <c r="F146">
        <v>189261</v>
      </c>
      <c r="G146">
        <v>396.45</v>
      </c>
      <c r="H146">
        <v>0</v>
      </c>
      <c r="J146" t="s">
        <v>991</v>
      </c>
    </row>
    <row r="147" spans="1:8" x14ac:dyDescent="0.2">
      <c r="A147" s="46" t="s">
        <v>505</v>
      </c>
      <c r="B147">
        <v>680907</v>
      </c>
      <c r="C147" s="66">
        <v>43858.022916666669</v>
      </c>
      <c r="D147" t="s">
        <v>936</v>
      </c>
      <c r="E147" t="s">
        <v>825</v>
      </c>
      <c r="F147">
        <v>236765</v>
      </c>
      <c r="G147">
        <v>6</v>
      </c>
      <c r="H147">
        <v>0</v>
      </c>
      <c r="J147" t="s">
        <v>992</v>
      </c>
    </row>
    <row r="148" spans="1:8" x14ac:dyDescent="0.2">
      <c r="C148" s="66"/>
    </row>
    <row r="149" spans="1:8" x14ac:dyDescent="0.2">
      <c r="C149" s="66"/>
    </row>
    <row r="150" spans="1:8" x14ac:dyDescent="0.2">
      <c r="C150" s="66"/>
      <c r="E150" s="46"/>
    </row>
    <row r="151" spans="1:8" x14ac:dyDescent="0.2">
      <c r="C151" s="66"/>
    </row>
    <row r="152" spans="1:8" x14ac:dyDescent="0.2">
      <c r="C152" s="66"/>
    </row>
    <row r="153" spans="1:8" x14ac:dyDescent="0.2">
      <c r="C153" s="66"/>
    </row>
    <row r="154" spans="1:8" x14ac:dyDescent="0.2">
      <c r="C154" s="66"/>
    </row>
    <row r="155" spans="1:8" x14ac:dyDescent="0.2">
      <c r="C155" s="66"/>
    </row>
    <row r="156" spans="1:8" x14ac:dyDescent="0.2">
      <c r="C156" s="66"/>
    </row>
    <row r="157" spans="1:8" x14ac:dyDescent="0.2">
      <c r="C157" s="66"/>
    </row>
    <row r="158" spans="1:8" x14ac:dyDescent="0.2">
      <c r="C158" s="66"/>
    </row>
    <row r="159" spans="1:8" x14ac:dyDescent="0.2">
      <c r="C159" s="66"/>
    </row>
    <row r="160" spans="1:8" x14ac:dyDescent="0.2">
      <c r="C160" s="66"/>
    </row>
    <row r="161" spans="3:3" x14ac:dyDescent="0.2">
      <c r="C161" s="66"/>
    </row>
    <row r="162" spans="3:3" x14ac:dyDescent="0.2">
      <c r="C162" s="66"/>
    </row>
    <row r="163" spans="3:3" x14ac:dyDescent="0.2">
      <c r="C163" s="66"/>
    </row>
    <row r="164" spans="3:3" x14ac:dyDescent="0.2">
      <c r="C164" s="66"/>
    </row>
    <row r="165" spans="3:3" x14ac:dyDescent="0.2">
      <c r="C165" s="66"/>
    </row>
    <row r="166" spans="3:3" x14ac:dyDescent="0.2">
      <c r="C166" s="66"/>
    </row>
    <row r="167" spans="3:3" x14ac:dyDescent="0.2">
      <c r="C167" s="66"/>
    </row>
    <row r="168" spans="3:3" x14ac:dyDescent="0.2">
      <c r="C168" s="66"/>
    </row>
    <row r="169" spans="3:3" x14ac:dyDescent="0.2">
      <c r="C169" s="66"/>
    </row>
    <row r="170" spans="3:3" x14ac:dyDescent="0.2">
      <c r="C170" s="66"/>
    </row>
    <row r="171" spans="3:3" x14ac:dyDescent="0.2">
      <c r="C171" s="66"/>
    </row>
    <row r="172" spans="3:3" x14ac:dyDescent="0.2">
      <c r="C172" s="66"/>
    </row>
    <row r="173" spans="3:3" x14ac:dyDescent="0.2">
      <c r="C173" s="66"/>
    </row>
    <row r="174" spans="3:3" x14ac:dyDescent="0.2">
      <c r="C174" s="66"/>
    </row>
    <row r="175" spans="3:3" x14ac:dyDescent="0.2">
      <c r="C175" s="66"/>
    </row>
    <row r="176" spans="3:3" x14ac:dyDescent="0.2">
      <c r="C176" s="66"/>
    </row>
    <row r="177" spans="3:3" x14ac:dyDescent="0.2">
      <c r="C177" s="66"/>
    </row>
    <row r="178" spans="3:3" x14ac:dyDescent="0.2">
      <c r="C178" s="66"/>
    </row>
    <row r="179" spans="3:3" x14ac:dyDescent="0.2">
      <c r="C179" s="66"/>
    </row>
    <row r="180" spans="3:3" x14ac:dyDescent="0.2">
      <c r="C180" s="66"/>
    </row>
    <row r="181" spans="3:3" x14ac:dyDescent="0.2">
      <c r="C181" s="66"/>
    </row>
    <row r="182" spans="3:3" x14ac:dyDescent="0.2">
      <c r="C182" s="66"/>
    </row>
    <row r="183" spans="3:3" x14ac:dyDescent="0.2">
      <c r="C183" s="66"/>
    </row>
    <row r="184" spans="3:3" x14ac:dyDescent="0.2">
      <c r="C184" s="66"/>
    </row>
    <row r="185" spans="3:3" x14ac:dyDescent="0.2">
      <c r="C185" s="66"/>
    </row>
    <row r="186" spans="3:3" x14ac:dyDescent="0.2">
      <c r="C186" s="66"/>
    </row>
    <row r="187" spans="3:3" x14ac:dyDescent="0.2">
      <c r="C187" s="66"/>
    </row>
    <row r="188" spans="3:3" x14ac:dyDescent="0.2">
      <c r="C188" s="66"/>
    </row>
    <row r="189" spans="3:3" x14ac:dyDescent="0.2">
      <c r="C189" s="66"/>
    </row>
    <row r="190" spans="3:3" x14ac:dyDescent="0.2">
      <c r="C190" s="66"/>
    </row>
    <row r="191" spans="3:3" x14ac:dyDescent="0.2">
      <c r="C191" s="66"/>
    </row>
    <row r="192" spans="3:3" x14ac:dyDescent="0.2">
      <c r="C192" s="66"/>
    </row>
    <row r="193" spans="3:3" x14ac:dyDescent="0.2">
      <c r="C193" s="66"/>
    </row>
    <row r="194" spans="3:3" x14ac:dyDescent="0.2">
      <c r="C194" s="66"/>
    </row>
    <row r="195" spans="3:3" x14ac:dyDescent="0.2">
      <c r="C195" s="66"/>
    </row>
    <row r="196" spans="3:3" x14ac:dyDescent="0.2">
      <c r="C196" s="66"/>
    </row>
    <row r="197" spans="3:3" x14ac:dyDescent="0.2">
      <c r="C197" s="66"/>
    </row>
    <row r="198" spans="3:3" x14ac:dyDescent="0.2">
      <c r="C198" s="66"/>
    </row>
    <row r="199" spans="3:3" x14ac:dyDescent="0.2">
      <c r="C199" s="66"/>
    </row>
    <row r="200" spans="3:3" x14ac:dyDescent="0.2">
      <c r="C200" s="66"/>
    </row>
    <row r="201" spans="3:3" x14ac:dyDescent="0.2">
      <c r="C201" s="66"/>
    </row>
    <row r="202" spans="3:3" x14ac:dyDescent="0.2">
      <c r="C202" s="66"/>
    </row>
    <row r="203" spans="3:3" x14ac:dyDescent="0.2">
      <c r="C203" s="66"/>
    </row>
    <row r="204" spans="3:3" x14ac:dyDescent="0.2">
      <c r="C204" s="66"/>
    </row>
    <row r="205" spans="3:3" x14ac:dyDescent="0.2">
      <c r="C205" s="66"/>
    </row>
    <row r="206" spans="3:3" x14ac:dyDescent="0.2">
      <c r="C206" s="66"/>
    </row>
    <row r="207" spans="3:3" x14ac:dyDescent="0.2">
      <c r="C207" s="66"/>
    </row>
    <row r="208" spans="3:3" x14ac:dyDescent="0.2">
      <c r="C208" s="66"/>
    </row>
    <row r="209" spans="3:3" x14ac:dyDescent="0.2">
      <c r="C209" s="66"/>
    </row>
    <row r="210" spans="3:3" x14ac:dyDescent="0.2">
      <c r="C210" s="66"/>
    </row>
    <row r="211" spans="3:3" x14ac:dyDescent="0.2">
      <c r="C211" s="66"/>
    </row>
    <row r="212" spans="3:3" x14ac:dyDescent="0.2">
      <c r="C212" s="66"/>
    </row>
    <row r="213" spans="3:3" x14ac:dyDescent="0.2">
      <c r="C213" s="66"/>
    </row>
    <row r="214" spans="3:3" x14ac:dyDescent="0.2">
      <c r="C214" s="66"/>
    </row>
    <row r="215" spans="3:3" x14ac:dyDescent="0.2">
      <c r="C215" s="66"/>
    </row>
    <row r="216" spans="3:3" x14ac:dyDescent="0.2">
      <c r="C216" s="66"/>
    </row>
    <row r="217" spans="3:3" x14ac:dyDescent="0.2">
      <c r="C217" s="66"/>
    </row>
    <row r="218" spans="3:3" x14ac:dyDescent="0.2">
      <c r="C218" s="66"/>
    </row>
    <row r="219" spans="3:3" x14ac:dyDescent="0.2">
      <c r="C219" s="66"/>
    </row>
    <row r="220" spans="3:3" x14ac:dyDescent="0.2">
      <c r="C220" s="66"/>
    </row>
    <row r="221" spans="3:3" x14ac:dyDescent="0.2">
      <c r="C221" s="66"/>
    </row>
    <row r="222" spans="3:3" x14ac:dyDescent="0.2">
      <c r="C222" s="66"/>
    </row>
    <row r="223" spans="3:3" x14ac:dyDescent="0.2">
      <c r="C223" s="66"/>
    </row>
    <row r="224" spans="3:3" x14ac:dyDescent="0.2">
      <c r="C224" s="66"/>
    </row>
    <row r="225" spans="3:3" x14ac:dyDescent="0.2">
      <c r="C225" s="66"/>
    </row>
    <row r="226" spans="3:3" x14ac:dyDescent="0.2">
      <c r="C226" s="66"/>
    </row>
    <row r="227" spans="3:3" x14ac:dyDescent="0.2">
      <c r="C227" s="66"/>
    </row>
    <row r="228" spans="3:3" x14ac:dyDescent="0.2">
      <c r="C228" s="66"/>
    </row>
    <row r="229" spans="3:3" x14ac:dyDescent="0.2">
      <c r="C229" s="66"/>
    </row>
    <row r="230" spans="3:3" x14ac:dyDescent="0.2">
      <c r="C230" s="66"/>
    </row>
    <row r="231" spans="3:3" x14ac:dyDescent="0.2">
      <c r="C231" s="66"/>
    </row>
    <row r="232" spans="3:3" x14ac:dyDescent="0.2">
      <c r="C232" s="66"/>
    </row>
    <row r="233" spans="3:3" x14ac:dyDescent="0.2">
      <c r="C233" s="66"/>
    </row>
    <row r="234" spans="3:3" x14ac:dyDescent="0.2">
      <c r="C234" s="66"/>
    </row>
    <row r="235" spans="3:3" x14ac:dyDescent="0.2">
      <c r="C235" s="66"/>
    </row>
    <row r="236" spans="3:3" x14ac:dyDescent="0.2">
      <c r="C236" s="66"/>
    </row>
    <row r="237" spans="3:3" x14ac:dyDescent="0.2">
      <c r="C237" s="66"/>
    </row>
    <row r="238" spans="3:3" x14ac:dyDescent="0.2">
      <c r="C238" s="66"/>
    </row>
    <row r="239" spans="3:3" x14ac:dyDescent="0.2">
      <c r="C239" s="66"/>
    </row>
    <row r="240" spans="3:3" x14ac:dyDescent="0.2">
      <c r="C240" s="66"/>
    </row>
    <row r="241" spans="3:3" x14ac:dyDescent="0.2">
      <c r="C241" s="66"/>
    </row>
    <row r="242" spans="3:3" x14ac:dyDescent="0.2">
      <c r="C242" s="66"/>
    </row>
    <row r="243" spans="3:3" x14ac:dyDescent="0.2">
      <c r="C243" s="66"/>
    </row>
    <row r="244" spans="3:3" x14ac:dyDescent="0.2">
      <c r="C244" s="66"/>
    </row>
    <row r="245" spans="3:3" x14ac:dyDescent="0.2">
      <c r="C245" s="66"/>
    </row>
    <row r="246" spans="3:3" x14ac:dyDescent="0.2">
      <c r="C246" s="66"/>
    </row>
    <row r="247" spans="3:3" x14ac:dyDescent="0.2">
      <c r="C247" s="66"/>
    </row>
    <row r="248" spans="3:3" x14ac:dyDescent="0.2">
      <c r="C248" s="66"/>
    </row>
    <row r="249" spans="3:3" x14ac:dyDescent="0.2">
      <c r="C249" s="66"/>
    </row>
    <row r="250" spans="3:3" x14ac:dyDescent="0.2">
      <c r="C250" s="66"/>
    </row>
    <row r="251" spans="3:3" x14ac:dyDescent="0.2">
      <c r="C251" s="66"/>
    </row>
    <row r="252" spans="3:3" x14ac:dyDescent="0.2">
      <c r="C252" s="66"/>
    </row>
    <row r="253" spans="3:3" x14ac:dyDescent="0.2">
      <c r="C253" s="66"/>
    </row>
    <row r="254" spans="3:3" x14ac:dyDescent="0.2">
      <c r="C254" s="66"/>
    </row>
    <row r="255" spans="3:3" x14ac:dyDescent="0.2">
      <c r="C255" s="66"/>
    </row>
    <row r="256" spans="3:3" x14ac:dyDescent="0.2">
      <c r="C256" s="66"/>
    </row>
    <row r="257" spans="3:3" x14ac:dyDescent="0.2">
      <c r="C257" s="66"/>
    </row>
    <row r="258" spans="3:3" x14ac:dyDescent="0.2">
      <c r="C258" s="66"/>
    </row>
    <row r="259" spans="3:3" x14ac:dyDescent="0.2">
      <c r="C259" s="66"/>
    </row>
    <row r="260" spans="3:3" x14ac:dyDescent="0.2">
      <c r="C260" s="66"/>
    </row>
    <row r="261" spans="3:3" x14ac:dyDescent="0.2">
      <c r="C261" s="66"/>
    </row>
    <row r="262" spans="3:3" x14ac:dyDescent="0.2">
      <c r="C262" s="66"/>
    </row>
    <row r="263" spans="3:3" x14ac:dyDescent="0.2">
      <c r="C263" s="66"/>
    </row>
    <row r="264" spans="3:3" x14ac:dyDescent="0.2">
      <c r="C264" s="66"/>
    </row>
    <row r="265" spans="3:3" x14ac:dyDescent="0.2">
      <c r="C265" s="66"/>
    </row>
    <row r="266" spans="3:3" x14ac:dyDescent="0.2">
      <c r="C266" s="66"/>
    </row>
    <row r="267" spans="3:3" x14ac:dyDescent="0.2">
      <c r="C267" s="66"/>
    </row>
    <row r="268" spans="3:3" x14ac:dyDescent="0.2">
      <c r="C268" s="66"/>
    </row>
    <row r="269" spans="3:3" x14ac:dyDescent="0.2">
      <c r="C269" s="66"/>
    </row>
    <row r="270" spans="3:3" x14ac:dyDescent="0.2">
      <c r="C270" s="66"/>
    </row>
    <row r="271" spans="3:3" x14ac:dyDescent="0.2">
      <c r="C271" s="66"/>
    </row>
    <row r="272" spans="3:3" x14ac:dyDescent="0.2">
      <c r="C272" s="66"/>
    </row>
    <row r="273" spans="3:3" x14ac:dyDescent="0.2">
      <c r="C273" s="66"/>
    </row>
    <row r="274" spans="3:3" x14ac:dyDescent="0.2">
      <c r="C274" s="66"/>
    </row>
    <row r="275" spans="3:3" x14ac:dyDescent="0.2">
      <c r="C275" s="66"/>
    </row>
    <row r="276" spans="3:3" x14ac:dyDescent="0.2">
      <c r="C276" s="66"/>
    </row>
    <row r="277" spans="3:3" x14ac:dyDescent="0.2">
      <c r="C277" s="66"/>
    </row>
    <row r="278" spans="3:3" x14ac:dyDescent="0.2">
      <c r="C278" s="66"/>
    </row>
    <row r="279" spans="3:3" x14ac:dyDescent="0.2">
      <c r="C279" s="66"/>
    </row>
    <row r="280" spans="3:3" x14ac:dyDescent="0.2">
      <c r="C280" s="66"/>
    </row>
    <row r="281" spans="3:3" x14ac:dyDescent="0.2">
      <c r="C281" s="66"/>
    </row>
    <row r="282" spans="3:3" x14ac:dyDescent="0.2">
      <c r="C282" s="66"/>
    </row>
    <row r="283" spans="3:3" x14ac:dyDescent="0.2">
      <c r="C283" s="66"/>
    </row>
    <row r="284" spans="3:3" x14ac:dyDescent="0.2">
      <c r="C284" s="66"/>
    </row>
    <row r="285" spans="3:3" x14ac:dyDescent="0.2">
      <c r="C285" s="66"/>
    </row>
    <row r="286" spans="3:3" x14ac:dyDescent="0.2">
      <c r="C286" s="66"/>
    </row>
    <row r="287" spans="3:3" x14ac:dyDescent="0.2">
      <c r="C287" s="66"/>
    </row>
    <row r="288" spans="3:3" x14ac:dyDescent="0.2">
      <c r="C288" s="66"/>
    </row>
    <row r="289" spans="3:3" x14ac:dyDescent="0.2">
      <c r="C289" s="66"/>
    </row>
    <row r="290" spans="3:3" x14ac:dyDescent="0.2">
      <c r="C290" s="66"/>
    </row>
    <row r="291" spans="3:3" x14ac:dyDescent="0.2">
      <c r="C291" s="66"/>
    </row>
    <row r="292" spans="3:3" x14ac:dyDescent="0.2">
      <c r="C292" s="66"/>
    </row>
    <row r="293" spans="3:3" x14ac:dyDescent="0.2">
      <c r="C293" s="66"/>
    </row>
    <row r="294" spans="3:3" x14ac:dyDescent="0.2">
      <c r="C294" s="66"/>
    </row>
    <row r="295" spans="3:3" x14ac:dyDescent="0.2">
      <c r="C295" s="66"/>
    </row>
    <row r="296" spans="3:3" x14ac:dyDescent="0.2">
      <c r="C296" s="66"/>
    </row>
    <row r="297" spans="3:3" x14ac:dyDescent="0.2">
      <c r="C297" s="66"/>
    </row>
    <row r="298" spans="3:3" x14ac:dyDescent="0.2">
      <c r="C298" s="66"/>
    </row>
    <row r="299" spans="3:3" x14ac:dyDescent="0.2">
      <c r="C299" s="66"/>
    </row>
    <row r="300" spans="3:3" x14ac:dyDescent="0.2">
      <c r="C300" s="66"/>
    </row>
    <row r="301" spans="3:3" x14ac:dyDescent="0.2">
      <c r="C301" s="66"/>
    </row>
    <row r="302" spans="3:3" x14ac:dyDescent="0.2">
      <c r="C302" s="66"/>
    </row>
    <row r="303" spans="3:3" x14ac:dyDescent="0.2">
      <c r="C303" s="66"/>
    </row>
    <row r="304" spans="3:3" x14ac:dyDescent="0.2">
      <c r="C304" s="66"/>
    </row>
    <row r="305" spans="3:3" x14ac:dyDescent="0.2">
      <c r="C305" s="66"/>
    </row>
    <row r="306" spans="3:3" x14ac:dyDescent="0.2">
      <c r="C306" s="66"/>
    </row>
    <row r="307" spans="3:3" x14ac:dyDescent="0.2">
      <c r="C307" s="66"/>
    </row>
    <row r="308" spans="3:3" x14ac:dyDescent="0.2">
      <c r="C308" s="66"/>
    </row>
    <row r="309" spans="3:3" x14ac:dyDescent="0.2">
      <c r="C309" s="66"/>
    </row>
    <row r="310" spans="3:3" x14ac:dyDescent="0.2">
      <c r="C310" s="66"/>
    </row>
  </sheetData>
  <autoFilter ref="A1:J220" xr:uid="{7D026D20-162C-4DFF-AEE6-37280CF7B244}"/>
  <pageMargins bottom="0.75" footer="0.3" header="0.3" left="0.7" right="0.7" top="0.75"/>
  <pageSetup horizontalDpi="4294967293" orientation="portrait" paperSize="9" r:id="rId1" verticalDpi="0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AC510"/>
  <sheetViews>
    <sheetView topLeftCell="A82" workbookViewId="0" zoomScale="70" zoomScaleNormal="70">
      <selection activeCell="AB94" sqref="AB94"/>
    </sheetView>
  </sheetViews>
  <sheetFormatPr defaultRowHeight="12.75" x14ac:dyDescent="0.2"/>
  <cols>
    <col min="1" max="1" bestFit="true" customWidth="true" style="18" width="11.0" collapsed="false"/>
    <col min="2" max="2" bestFit="true" customWidth="true" width="32.7109375" collapsed="false"/>
    <col min="3" max="3" bestFit="true" customWidth="true" style="18" width="9.5703125" collapsed="false"/>
    <col min="4" max="4" bestFit="true" customWidth="true" width="22.5703125" collapsed="false"/>
    <col min="5" max="6" bestFit="true" customWidth="true" width="10.28515625" collapsed="false"/>
    <col min="7" max="7" bestFit="true" customWidth="true" style="5" width="6.5703125" collapsed="false"/>
    <col min="8" max="8" bestFit="true" customWidth="true" width="11.5703125" collapsed="false"/>
    <col min="9" max="9" customWidth="true" width="19.0" collapsed="false"/>
    <col min="27" max="27" bestFit="true" customWidth="true" width="10.140625" collapsed="false"/>
    <col min="28" max="28" bestFit="true" customWidth="true" width="40.140625" collapsed="false"/>
  </cols>
  <sheetData>
    <row r="1" spans="1:29" x14ac:dyDescent="0.2">
      <c r="A1" s="17" t="s">
        <v>20</v>
      </c>
      <c r="B1" s="1" t="s">
        <v>27</v>
      </c>
      <c r="C1" s="17" t="s">
        <v>21</v>
      </c>
      <c r="D1" s="1"/>
      <c r="E1" s="1" t="s">
        <v>22</v>
      </c>
      <c r="F1" s="1" t="s">
        <v>23</v>
      </c>
      <c r="G1" s="4" t="s">
        <v>25</v>
      </c>
      <c r="H1" s="1" t="s">
        <v>26</v>
      </c>
      <c r="I1" s="1" t="s">
        <v>90</v>
      </c>
      <c r="J1" s="1" t="s">
        <v>92</v>
      </c>
      <c r="K1" s="1" t="s">
        <v>93</v>
      </c>
      <c r="L1" s="1" t="s">
        <v>94</v>
      </c>
      <c r="AA1" s="1" t="s">
        <v>35</v>
      </c>
      <c r="AB1" s="1" t="s">
        <v>33</v>
      </c>
      <c r="AC1" s="1" t="s">
        <v>36</v>
      </c>
    </row>
    <row r="2" spans="1:29" x14ac:dyDescent="0.2">
      <c r="A2" s="56">
        <v>42</v>
      </c>
      <c r="B2" s="57" t="s">
        <v>129</v>
      </c>
      <c r="C2" s="56">
        <v>156</v>
      </c>
      <c r="D2" s="57" t="s">
        <v>276</v>
      </c>
      <c r="E2" s="58">
        <v>40032</v>
      </c>
      <c r="F2" s="58">
        <v>40398</v>
      </c>
      <c r="G2" s="56">
        <v>1581.67</v>
      </c>
      <c r="H2" s="57" t="s">
        <v>29</v>
      </c>
      <c r="I2" s="57" t="s">
        <v>197</v>
      </c>
      <c r="J2" s="56">
        <v>0</v>
      </c>
      <c r="K2" s="57" t="s">
        <v>175</v>
      </c>
      <c r="L2" s="57" t="s">
        <v>101</v>
      </c>
      <c r="AB2" t="str">
        <f ref="AB2:AB65" si="0" t="shared"><![CDATA[IF(E2<>"",IF(F2="",D2&" ("&TEXT(E2,"dd/mm/yyyy")&" - present)",D2&" ("&TEXT(E2,"dd/mm/yyyy")&" - "&TEXT(F2,"dd/mm/yyyy")&")"),"")]]></f>
        <v>J. Upastising &amp; K. Wisarutwanit &amp; N. Wisarutwanit (07/08/2009 - 08/08/2010)</v>
      </c>
    </row>
    <row r="3" spans="1:29" x14ac:dyDescent="0.2">
      <c r="A3" s="56">
        <v>42</v>
      </c>
      <c r="B3" s="57" t="s">
        <v>129</v>
      </c>
      <c r="C3" s="56">
        <v>136</v>
      </c>
      <c r="D3" s="57" t="s">
        <v>255</v>
      </c>
      <c r="E3" s="58">
        <v>39604</v>
      </c>
      <c r="F3" s="58">
        <v>39967</v>
      </c>
      <c r="G3" s="56">
        <v>1820</v>
      </c>
      <c r="H3" s="57" t="s">
        <v>29</v>
      </c>
      <c r="I3" s="57" t="s">
        <v>197</v>
      </c>
      <c r="J3" s="56">
        <v>0</v>
      </c>
      <c r="K3" s="57" t="s">
        <v>175</v>
      </c>
      <c r="L3" s="57" t="s">
        <v>101</v>
      </c>
      <c r="AB3" t="str">
        <f si="0" t="shared"/>
        <v>Steve Ward (05/06/2008 - 03/06/2009)</v>
      </c>
    </row>
    <row r="4" spans="1:29" x14ac:dyDescent="0.2">
      <c r="A4" s="56">
        <v>43</v>
      </c>
      <c r="B4" s="57" t="s">
        <v>128</v>
      </c>
      <c r="C4" s="56">
        <v>141</v>
      </c>
      <c r="D4" s="57" t="s">
        <v>262</v>
      </c>
      <c r="E4" s="58">
        <v>39448</v>
      </c>
      <c r="F4" s="57"/>
      <c r="G4" s="56">
        <v>340.64</v>
      </c>
      <c r="H4" s="57" t="s">
        <v>29</v>
      </c>
      <c r="I4" s="57" t="s">
        <v>130</v>
      </c>
      <c r="J4" s="56">
        <v>0</v>
      </c>
      <c r="K4" s="57" t="s">
        <v>175</v>
      </c>
      <c r="L4" s="57" t="s">
        <v>101</v>
      </c>
      <c r="AB4" t="str">
        <f si="0" t="shared"/>
        <v>Not known (01/01/2008 - present)</v>
      </c>
    </row>
    <row r="5" spans="1:29" x14ac:dyDescent="0.2">
      <c r="A5" s="56">
        <v>51</v>
      </c>
      <c r="B5" s="57" t="s">
        <v>143</v>
      </c>
      <c r="C5" s="57"/>
      <c r="D5" s="57"/>
      <c r="E5" s="57"/>
      <c r="F5" s="57"/>
      <c r="G5" s="57"/>
      <c r="H5" s="57"/>
      <c r="I5" s="57"/>
      <c r="J5" s="57"/>
      <c r="K5" s="57"/>
      <c r="L5" s="57"/>
      <c r="AB5" t="str">
        <f si="0" t="shared"/>
        <v/>
      </c>
    </row>
    <row r="6" spans="1:29" x14ac:dyDescent="0.2">
      <c r="A6" s="56">
        <v>51</v>
      </c>
      <c r="B6" s="57" t="s">
        <v>235</v>
      </c>
      <c r="C6" s="57"/>
      <c r="D6" s="57"/>
      <c r="E6" s="57"/>
      <c r="F6" s="57"/>
      <c r="G6" s="57"/>
      <c r="H6" s="57"/>
      <c r="I6" s="57"/>
      <c r="J6" s="57"/>
      <c r="K6" s="57"/>
      <c r="L6" s="57"/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 t="str">
        <f si="0" t="shared"/>
        <v/>
      </c>
      <c r="AC6" s="51"/>
    </row>
    <row r="7" spans="1:29" x14ac:dyDescent="0.2">
      <c r="A7" s="56">
        <v>51</v>
      </c>
      <c r="B7" s="57" t="s">
        <v>144</v>
      </c>
      <c r="C7" s="57"/>
      <c r="D7" s="57"/>
      <c r="E7" s="57"/>
      <c r="F7" s="57"/>
      <c r="G7" s="57"/>
      <c r="H7" s="57"/>
      <c r="I7" s="57"/>
      <c r="J7" s="57"/>
      <c r="K7" s="57"/>
      <c r="L7" s="57"/>
      <c r="AB7" t="str">
        <f si="0" t="shared"/>
        <v/>
      </c>
    </row>
    <row r="8" spans="1:29" x14ac:dyDescent="0.2">
      <c r="A8" s="56">
        <v>36</v>
      </c>
      <c r="B8" s="57" t="s">
        <v>150</v>
      </c>
      <c r="C8" s="57"/>
      <c r="D8" s="57"/>
      <c r="E8" s="57"/>
      <c r="F8" s="57"/>
      <c r="G8" s="57"/>
      <c r="H8" s="57"/>
      <c r="I8" s="57"/>
      <c r="J8" s="57"/>
      <c r="K8" s="57"/>
      <c r="L8" s="57"/>
      <c r="AB8" t="str">
        <f si="0" t="shared"/>
        <v/>
      </c>
    </row>
    <row r="9" spans="1:29" x14ac:dyDescent="0.2">
      <c r="A9" s="56">
        <v>45</v>
      </c>
      <c r="B9" s="57" t="s">
        <v>145</v>
      </c>
      <c r="C9" s="57"/>
      <c r="D9" s="57"/>
      <c r="E9" s="57"/>
      <c r="F9" s="57"/>
      <c r="G9" s="57"/>
      <c r="H9" s="57"/>
      <c r="I9" s="57"/>
      <c r="J9" s="57"/>
      <c r="K9" s="57"/>
      <c r="L9" s="57"/>
      <c r="AB9" t="str">
        <f si="0" t="shared"/>
        <v/>
      </c>
    </row>
    <row r="10" spans="1:29" x14ac:dyDescent="0.2">
      <c r="A10" s="56">
        <v>61</v>
      </c>
      <c r="B10" s="57" t="s">
        <v>148</v>
      </c>
      <c r="C10" s="57"/>
      <c r="D10" s="57"/>
      <c r="E10" s="57"/>
      <c r="F10" s="57"/>
      <c r="G10" s="57"/>
      <c r="H10" s="57"/>
      <c r="I10" s="57"/>
      <c r="J10" s="57"/>
      <c r="K10" s="57"/>
      <c r="L10" s="57"/>
      <c r="AB10" t="str">
        <f si="0" t="shared"/>
        <v/>
      </c>
    </row>
    <row r="11" spans="1:29" x14ac:dyDescent="0.2">
      <c r="A11" s="56">
        <v>61</v>
      </c>
      <c r="B11" s="57" t="s">
        <v>233</v>
      </c>
      <c r="C11" s="57"/>
      <c r="D11" s="57"/>
      <c r="E11" s="57"/>
      <c r="F11" s="57"/>
      <c r="G11" s="57"/>
      <c r="H11" s="57"/>
      <c r="I11" s="57"/>
      <c r="J11" s="57"/>
      <c r="K11" s="57"/>
      <c r="L11" s="57"/>
      <c r="AB11" t="str">
        <f si="0" t="shared"/>
        <v/>
      </c>
    </row>
    <row r="12" spans="1:29" x14ac:dyDescent="0.2">
      <c r="A12" s="56">
        <v>61</v>
      </c>
      <c r="B12" s="57" t="s">
        <v>147</v>
      </c>
      <c r="C12" s="57"/>
      <c r="D12" s="57"/>
      <c r="E12" s="57"/>
      <c r="F12" s="57"/>
      <c r="G12" s="57"/>
      <c r="H12" s="57"/>
      <c r="I12" s="57"/>
      <c r="J12" s="57"/>
      <c r="K12" s="57"/>
      <c r="L12" s="57"/>
      <c r="AB12" t="str">
        <f si="0" t="shared"/>
        <v/>
      </c>
    </row>
    <row r="13" spans="1:29" x14ac:dyDescent="0.2">
      <c r="A13" s="56">
        <v>61</v>
      </c>
      <c r="B13" s="57" t="s">
        <v>146</v>
      </c>
      <c r="C13" s="57"/>
      <c r="D13" s="57"/>
      <c r="E13" s="57"/>
      <c r="F13" s="57"/>
      <c r="G13" s="57"/>
      <c r="H13" s="57"/>
      <c r="I13" s="57"/>
      <c r="J13" s="57"/>
      <c r="K13" s="57"/>
      <c r="L13" s="57"/>
      <c r="AB13" t="str">
        <f si="0" t="shared"/>
        <v/>
      </c>
    </row>
    <row r="14" spans="1:29" x14ac:dyDescent="0.2">
      <c r="A14" s="56">
        <v>12</v>
      </c>
      <c r="B14" s="57" t="s">
        <v>137</v>
      </c>
      <c r="C14" s="57"/>
      <c r="D14" s="57"/>
      <c r="E14" s="57"/>
      <c r="F14" s="57"/>
      <c r="G14" s="57"/>
      <c r="H14" s="57"/>
      <c r="I14" s="57"/>
      <c r="J14" s="57"/>
      <c r="K14" s="57"/>
      <c r="L14" s="57"/>
      <c r="AB14" t="str">
        <f si="0" t="shared"/>
        <v/>
      </c>
    </row>
    <row r="15" spans="1:29" x14ac:dyDescent="0.2">
      <c r="A15" s="56">
        <v>7</v>
      </c>
      <c r="B15" s="57" t="s">
        <v>136</v>
      </c>
      <c r="C15" s="57"/>
      <c r="D15" s="57"/>
      <c r="E15" s="57"/>
      <c r="F15" s="57"/>
      <c r="G15" s="57"/>
      <c r="H15" s="57"/>
      <c r="I15" s="57"/>
      <c r="J15" s="57"/>
      <c r="K15" s="57"/>
      <c r="L15" s="57"/>
      <c r="AB15" t="str">
        <f si="0" t="shared"/>
        <v/>
      </c>
    </row>
    <row r="16" spans="1:29" x14ac:dyDescent="0.2">
      <c r="A16" s="56">
        <v>50</v>
      </c>
      <c r="B16" s="57" t="s">
        <v>185</v>
      </c>
      <c r="C16" s="57"/>
      <c r="D16" s="57"/>
      <c r="E16" s="57"/>
      <c r="F16" s="57"/>
      <c r="G16" s="57"/>
      <c r="H16" s="57"/>
      <c r="I16" s="57"/>
      <c r="J16" s="57"/>
      <c r="K16" s="57"/>
      <c r="L16" s="57"/>
      <c r="AB16" t="str">
        <f si="0" t="shared"/>
        <v/>
      </c>
    </row>
    <row r="17" spans="1:29" x14ac:dyDescent="0.2">
      <c r="A17" s="56">
        <v>62</v>
      </c>
      <c r="B17" s="57" t="s">
        <v>149</v>
      </c>
      <c r="C17" s="57"/>
      <c r="D17" s="57"/>
      <c r="E17" s="57"/>
      <c r="F17" s="57"/>
      <c r="G17" s="57"/>
      <c r="H17" s="57"/>
      <c r="I17" s="57"/>
      <c r="J17" s="57"/>
      <c r="K17" s="57"/>
      <c r="L17" s="57"/>
      <c r="AA17" s="2"/>
      <c r="AB17" t="str">
        <f si="0" t="shared"/>
        <v/>
      </c>
    </row>
    <row r="18" spans="1:29" x14ac:dyDescent="0.2">
      <c r="A18" s="56">
        <v>15</v>
      </c>
      <c r="B18" s="57" t="s">
        <v>138</v>
      </c>
      <c r="C18" s="57"/>
      <c r="D18" s="57"/>
      <c r="E18" s="57"/>
      <c r="F18" s="57"/>
      <c r="G18" s="57"/>
      <c r="H18" s="57"/>
      <c r="I18" s="57"/>
      <c r="J18" s="57"/>
      <c r="K18" s="57"/>
      <c r="L18" s="57"/>
      <c r="AB18" t="str">
        <f si="0" t="shared"/>
        <v/>
      </c>
    </row>
    <row r="19" spans="1:29" x14ac:dyDescent="0.2">
      <c r="A19" s="56">
        <v>35</v>
      </c>
      <c r="B19" s="57" t="s">
        <v>127</v>
      </c>
      <c r="C19" s="57"/>
      <c r="D19" s="57"/>
      <c r="E19" s="57"/>
      <c r="F19" s="57"/>
      <c r="G19" s="57"/>
      <c r="H19" s="57"/>
      <c r="I19" s="57"/>
      <c r="J19" s="57"/>
      <c r="K19" s="57"/>
      <c r="L19" s="57"/>
      <c r="AB19" t="str">
        <f si="0" t="shared"/>
        <v/>
      </c>
    </row>
    <row r="20" spans="1:29" x14ac:dyDescent="0.2">
      <c r="A20" s="56">
        <v>18</v>
      </c>
      <c r="B20" s="57" t="s">
        <v>219</v>
      </c>
      <c r="C20" s="57"/>
      <c r="D20" s="57"/>
      <c r="E20" s="57"/>
      <c r="F20" s="57"/>
      <c r="G20" s="57"/>
      <c r="H20" s="57"/>
      <c r="I20" s="57"/>
      <c r="J20" s="57"/>
      <c r="K20" s="57"/>
      <c r="L20" s="57"/>
      <c r="AB20" t="str">
        <f si="0" t="shared"/>
        <v/>
      </c>
    </row>
    <row r="21" spans="1:29" x14ac:dyDescent="0.2">
      <c r="A21" s="56">
        <v>2</v>
      </c>
      <c r="B21" s="57" t="s">
        <v>135</v>
      </c>
      <c r="C21" s="57"/>
      <c r="D21" s="57"/>
      <c r="E21" s="57"/>
      <c r="F21" s="57"/>
      <c r="G21" s="57"/>
      <c r="H21" s="57"/>
      <c r="I21" s="57"/>
      <c r="J21" s="57"/>
      <c r="K21" s="57"/>
      <c r="L21" s="57"/>
      <c r="AB21" t="str">
        <f si="0" t="shared"/>
        <v/>
      </c>
    </row>
    <row r="22" spans="1:29" x14ac:dyDescent="0.2">
      <c r="A22" s="56">
        <v>20</v>
      </c>
      <c r="B22" s="57" t="s">
        <v>140</v>
      </c>
      <c r="C22" s="57"/>
      <c r="D22" s="57"/>
      <c r="E22" s="57"/>
      <c r="F22" s="57"/>
      <c r="G22" s="57"/>
      <c r="H22" s="57"/>
      <c r="I22" s="57"/>
      <c r="J22" s="57"/>
      <c r="K22" s="57"/>
      <c r="L22" s="57"/>
      <c r="AA22" s="2"/>
      <c r="AB22" t="str">
        <f si="0" t="shared"/>
        <v/>
      </c>
    </row>
    <row r="23" spans="1:29" x14ac:dyDescent="0.2">
      <c r="A23" s="56">
        <v>20</v>
      </c>
      <c r="B23" s="57" t="s">
        <v>234</v>
      </c>
      <c r="C23" s="57"/>
      <c r="D23" s="57"/>
      <c r="E23" s="57"/>
      <c r="F23" s="57"/>
      <c r="G23" s="57"/>
      <c r="H23" s="57"/>
      <c r="I23" s="57"/>
      <c r="J23" s="57"/>
      <c r="K23" s="57"/>
      <c r="L23" s="57"/>
      <c r="AB23" t="str">
        <f si="0" t="shared"/>
        <v/>
      </c>
    </row>
    <row r="24" spans="1:29" x14ac:dyDescent="0.2">
      <c r="A24" s="56">
        <v>20</v>
      </c>
      <c r="B24" s="57" t="s">
        <v>139</v>
      </c>
      <c r="C24" s="57"/>
      <c r="D24" s="57"/>
      <c r="E24" s="57"/>
      <c r="F24" s="57"/>
      <c r="G24" s="57"/>
      <c r="H24" s="57"/>
      <c r="I24" s="57"/>
      <c r="J24" s="57"/>
      <c r="K24" s="57"/>
      <c r="L24" s="57"/>
      <c r="AB24" t="str">
        <f si="0" t="shared"/>
        <v/>
      </c>
    </row>
    <row r="25" spans="1:29" x14ac:dyDescent="0.2">
      <c r="A25" s="56">
        <v>24</v>
      </c>
      <c r="B25" s="57" t="s">
        <v>141</v>
      </c>
      <c r="C25" s="57"/>
      <c r="D25" s="57"/>
      <c r="E25" s="57"/>
      <c r="F25" s="57"/>
      <c r="G25" s="57"/>
      <c r="H25" s="57"/>
      <c r="I25" s="57"/>
      <c r="J25" s="57"/>
      <c r="K25" s="57"/>
      <c r="L25" s="57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 t="str">
        <f si="0" t="shared"/>
        <v/>
      </c>
      <c r="AC25" s="51"/>
    </row>
    <row r="26" spans="1:29" x14ac:dyDescent="0.2">
      <c r="A26" s="56">
        <v>29</v>
      </c>
      <c r="B26" s="57" t="s">
        <v>142</v>
      </c>
      <c r="C26" s="57"/>
      <c r="D26" s="57"/>
      <c r="E26" s="57"/>
      <c r="F26" s="57"/>
      <c r="G26" s="57"/>
      <c r="H26" s="57"/>
      <c r="I26" s="57"/>
      <c r="J26" s="57"/>
      <c r="K26" s="57"/>
      <c r="L26" s="57"/>
      <c r="AA26" s="2"/>
      <c r="AB26" t="str">
        <f si="0" t="shared"/>
        <v/>
      </c>
    </row>
    <row r="27" spans="1:29" x14ac:dyDescent="0.2">
      <c r="A27" s="56">
        <v>16</v>
      </c>
      <c r="B27" s="57" t="s">
        <v>65</v>
      </c>
      <c r="C27" s="56">
        <v>265</v>
      </c>
      <c r="D27" s="57" t="s">
        <v>380</v>
      </c>
      <c r="E27" s="58">
        <v>42291</v>
      </c>
      <c r="F27" s="57"/>
      <c r="G27" s="56">
        <v>625</v>
      </c>
      <c r="H27" s="57" t="s">
        <v>29</v>
      </c>
      <c r="I27" s="57" t="s">
        <v>95</v>
      </c>
      <c r="J27" s="56">
        <v>10</v>
      </c>
      <c r="K27" s="57" t="s">
        <v>96</v>
      </c>
      <c r="L27" s="57" t="s">
        <v>97</v>
      </c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 t="str">
        <f si="0" t="shared"/>
        <v>Mr John Sharpe (14/10/2015 - present)</v>
      </c>
      <c r="AC27" s="51"/>
    </row>
    <row r="28" spans="1:29" x14ac:dyDescent="0.2">
      <c r="A28" s="56">
        <v>16</v>
      </c>
      <c r="B28" s="57" t="s">
        <v>65</v>
      </c>
      <c r="C28" s="56">
        <v>245</v>
      </c>
      <c r="D28" s="57" t="s">
        <v>363</v>
      </c>
      <c r="E28" s="58">
        <v>41803</v>
      </c>
      <c r="F28" s="58">
        <v>42168</v>
      </c>
      <c r="G28" s="56">
        <v>600</v>
      </c>
      <c r="H28" s="57" t="s">
        <v>29</v>
      </c>
      <c r="I28" s="57" t="s">
        <v>95</v>
      </c>
      <c r="J28" s="56">
        <v>10</v>
      </c>
      <c r="K28" s="57" t="s">
        <v>96</v>
      </c>
      <c r="L28" s="57" t="s">
        <v>97</v>
      </c>
      <c r="AB28" t="str">
        <f si="0" t="shared"/>
        <v>Mr Hoff &amp; Mr Gunn (13/06/2014 - 13/06/2015)</v>
      </c>
    </row>
    <row r="29" spans="1:29" x14ac:dyDescent="0.2">
      <c r="A29" s="56">
        <v>16</v>
      </c>
      <c r="B29" s="57" t="s">
        <v>65</v>
      </c>
      <c r="C29" s="56">
        <v>232</v>
      </c>
      <c r="D29" s="57" t="s">
        <v>347</v>
      </c>
      <c r="E29" s="58">
        <v>41456</v>
      </c>
      <c r="F29" s="58">
        <v>41776</v>
      </c>
      <c r="G29" s="56">
        <v>600</v>
      </c>
      <c r="H29" s="57" t="s">
        <v>29</v>
      </c>
      <c r="I29" s="57" t="s">
        <v>95</v>
      </c>
      <c r="J29" s="56">
        <v>10</v>
      </c>
      <c r="K29" s="57" t="s">
        <v>96</v>
      </c>
      <c r="L29" s="57" t="s">
        <v>97</v>
      </c>
      <c r="AB29" t="str">
        <f si="0" t="shared"/>
        <v>Mr Wright (01/07/2013 - 17/05/2014)</v>
      </c>
    </row>
    <row r="30" spans="1:29" x14ac:dyDescent="0.2">
      <c r="A30" s="56">
        <v>16</v>
      </c>
      <c r="B30" s="57" t="s">
        <v>65</v>
      </c>
      <c r="C30" s="56">
        <v>118</v>
      </c>
      <c r="D30" s="57" t="s">
        <v>205</v>
      </c>
      <c r="E30" s="58">
        <v>39367</v>
      </c>
      <c r="F30" s="58">
        <v>41345</v>
      </c>
      <c r="G30" s="56">
        <v>580</v>
      </c>
      <c r="H30" s="57" t="s">
        <v>29</v>
      </c>
      <c r="I30" s="57" t="s">
        <v>95</v>
      </c>
      <c r="J30" s="56">
        <v>10</v>
      </c>
      <c r="K30" s="57" t="s">
        <v>96</v>
      </c>
      <c r="L30" s="57" t="s">
        <v>97</v>
      </c>
      <c r="AA30" s="2"/>
      <c r="AB30" t="str">
        <f si="0" t="shared"/>
        <v>Robins &amp; Johnstone (12/10/2007 - 12/03/2013)</v>
      </c>
    </row>
    <row r="31" spans="1:29" x14ac:dyDescent="0.2">
      <c r="A31" s="56">
        <v>16</v>
      </c>
      <c r="B31" s="57" t="s">
        <v>65</v>
      </c>
      <c r="C31" s="56">
        <v>58</v>
      </c>
      <c r="D31" s="57" t="s">
        <v>208</v>
      </c>
      <c r="E31" s="58">
        <v>38999</v>
      </c>
      <c r="F31" s="58">
        <v>39339</v>
      </c>
      <c r="G31" s="56">
        <v>520</v>
      </c>
      <c r="H31" s="57" t="s">
        <v>29</v>
      </c>
      <c r="I31" s="57" t="s">
        <v>95</v>
      </c>
      <c r="J31" s="56">
        <v>10</v>
      </c>
      <c r="K31" s="57" t="s">
        <v>96</v>
      </c>
      <c r="L31" s="57" t="s">
        <v>97</v>
      </c>
      <c r="AB31" t="str">
        <f si="0" t="shared"/>
        <v>Toombs (prev Taylor)  (09/10/2006 - 14/09/2007)</v>
      </c>
    </row>
    <row r="32" spans="1:29" x14ac:dyDescent="0.2">
      <c r="A32" s="56">
        <v>16</v>
      </c>
      <c r="B32" s="57" t="s">
        <v>65</v>
      </c>
      <c r="C32" s="56">
        <v>62</v>
      </c>
      <c r="D32" s="57" t="s">
        <v>49</v>
      </c>
      <c r="E32" s="58">
        <v>38849</v>
      </c>
      <c r="F32" s="58">
        <v>38972</v>
      </c>
      <c r="G32" s="56">
        <v>485</v>
      </c>
      <c r="H32" s="57" t="s">
        <v>29</v>
      </c>
      <c r="I32" s="57" t="s">
        <v>95</v>
      </c>
      <c r="J32" s="56">
        <v>10</v>
      </c>
      <c r="K32" s="57" t="s">
        <v>96</v>
      </c>
      <c r="L32" s="57" t="s">
        <v>97</v>
      </c>
      <c r="AB32" t="str">
        <f si="0" t="shared"/>
        <v>L. Long (12/05/2006 - 12/09/2006)</v>
      </c>
    </row>
    <row customFormat="1" r="33" s="51" spans="1:29" x14ac:dyDescent="0.2">
      <c r="A33" s="56">
        <v>16</v>
      </c>
      <c r="B33" s="57" t="s">
        <v>65</v>
      </c>
      <c r="C33" s="56">
        <v>24</v>
      </c>
      <c r="D33" s="57" t="s">
        <v>50</v>
      </c>
      <c r="E33" s="58">
        <v>36977</v>
      </c>
      <c r="F33" s="58">
        <v>38662</v>
      </c>
      <c r="G33" s="56">
        <v>320</v>
      </c>
      <c r="H33" s="57" t="s">
        <v>29</v>
      </c>
      <c r="I33" s="57" t="s">
        <v>95</v>
      </c>
      <c r="J33" s="56">
        <v>10</v>
      </c>
      <c r="K33" s="57" t="s">
        <v>96</v>
      </c>
      <c r="L33" s="57" t="s">
        <v>97</v>
      </c>
      <c r="AB33" s="51" t="str">
        <f si="0" t="shared"/>
        <v>Groizard (27/03/2001 - 06/11/2005)</v>
      </c>
    </row>
    <row customFormat="1" r="34" s="51" spans="1:29" x14ac:dyDescent="0.2">
      <c r="A34" s="56">
        <v>66</v>
      </c>
      <c r="B34" s="57" t="s">
        <v>73</v>
      </c>
      <c r="C34" s="56">
        <v>246</v>
      </c>
      <c r="D34" s="57" t="s">
        <v>373</v>
      </c>
      <c r="E34" s="58">
        <v>42160</v>
      </c>
      <c r="F34" s="57"/>
      <c r="G34" s="56">
        <v>650</v>
      </c>
      <c r="H34" s="57" t="s">
        <v>29</v>
      </c>
      <c r="I34" s="57" t="s">
        <v>95</v>
      </c>
      <c r="J34" s="56">
        <v>10</v>
      </c>
      <c r="K34" s="57" t="s">
        <v>96</v>
      </c>
      <c r="L34" s="57" t="s">
        <v>97</v>
      </c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 t="str">
        <f si="0" t="shared"/>
        <v>Mr K Conrad &amp; Mr J Fishwick (05/06/2015 - present)</v>
      </c>
      <c r="AC34"/>
    </row>
    <row r="35" spans="1:29" x14ac:dyDescent="0.2">
      <c r="A35" s="56">
        <v>66</v>
      </c>
      <c r="B35" s="57" t="s">
        <v>73</v>
      </c>
      <c r="C35" s="56">
        <v>202</v>
      </c>
      <c r="D35" s="57" t="s">
        <v>321</v>
      </c>
      <c r="E35" s="58">
        <v>40718</v>
      </c>
      <c r="F35" s="58">
        <v>42059</v>
      </c>
      <c r="G35" s="56">
        <v>560</v>
      </c>
      <c r="H35" s="57" t="s">
        <v>29</v>
      </c>
      <c r="I35" s="57" t="s">
        <v>95</v>
      </c>
      <c r="J35" s="56">
        <v>10</v>
      </c>
      <c r="K35" s="57" t="s">
        <v>96</v>
      </c>
      <c r="L35" s="57" t="s">
        <v>97</v>
      </c>
      <c r="AB35" t="str">
        <f si="0" t="shared"/>
        <v>Mr Alfie &amp; Mr Lloyd Jeans (24/06/2011 - 24/02/2015)</v>
      </c>
    </row>
    <row r="36" spans="1:29" x14ac:dyDescent="0.2">
      <c r="A36" s="56">
        <v>66</v>
      </c>
      <c r="B36" s="57" t="s">
        <v>73</v>
      </c>
      <c r="C36" s="56">
        <v>189</v>
      </c>
      <c r="D36" s="57" t="s">
        <v>308</v>
      </c>
      <c r="E36" s="58">
        <v>40462</v>
      </c>
      <c r="F36" s="58">
        <v>40704</v>
      </c>
      <c r="G36" s="56">
        <v>560</v>
      </c>
      <c r="H36" s="57" t="s">
        <v>29</v>
      </c>
      <c r="I36" s="57" t="s">
        <v>95</v>
      </c>
      <c r="J36" s="56">
        <v>10</v>
      </c>
      <c r="K36" s="57" t="s">
        <v>96</v>
      </c>
      <c r="L36" s="57" t="s">
        <v>97</v>
      </c>
      <c r="AB36" t="str">
        <f si="0" t="shared"/>
        <v>K Harris (11/10/2010 - 10/06/2011)</v>
      </c>
    </row>
    <row r="37" spans="1:29" x14ac:dyDescent="0.2">
      <c r="A37" s="56">
        <v>66</v>
      </c>
      <c r="B37" s="57" t="s">
        <v>73</v>
      </c>
      <c r="C37" s="56">
        <v>172</v>
      </c>
      <c r="D37" s="57" t="s">
        <v>288</v>
      </c>
      <c r="E37" s="58">
        <v>40186</v>
      </c>
      <c r="F37" s="58">
        <v>40391</v>
      </c>
      <c r="G37" s="56">
        <v>580</v>
      </c>
      <c r="H37" s="57" t="s">
        <v>29</v>
      </c>
      <c r="I37" s="57" t="s">
        <v>95</v>
      </c>
      <c r="J37" s="56">
        <v>10</v>
      </c>
      <c r="K37" s="57" t="s">
        <v>96</v>
      </c>
      <c r="L37" s="57" t="s">
        <v>97</v>
      </c>
      <c r="AB37" t="str">
        <f si="0" t="shared"/>
        <v>Kirsty Taylor &amp; Millie Barber (08/01/2010 - 01/08/2010)</v>
      </c>
    </row>
    <row customFormat="1" r="38" s="51" spans="1:29" x14ac:dyDescent="0.2">
      <c r="A38" s="56">
        <v>66</v>
      </c>
      <c r="B38" s="57" t="s">
        <v>73</v>
      </c>
      <c r="C38" s="56">
        <v>78</v>
      </c>
      <c r="D38" s="57" t="s">
        <v>18</v>
      </c>
      <c r="E38" s="58">
        <v>38985</v>
      </c>
      <c r="F38" s="58">
        <v>40111</v>
      </c>
      <c r="G38" s="56">
        <v>530</v>
      </c>
      <c r="H38" s="57" t="s">
        <v>29</v>
      </c>
      <c r="I38" s="57" t="s">
        <v>95</v>
      </c>
      <c r="J38" s="56">
        <v>10</v>
      </c>
      <c r="K38" s="57" t="s">
        <v>96</v>
      </c>
      <c r="L38" s="57" t="s">
        <v>97</v>
      </c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 s="2"/>
      <c r="AB38" t="str">
        <f si="0" t="shared"/>
        <v>A. McCowen  Ierston (25/09/2006 - 25/10/2009)</v>
      </c>
      <c r="AC38"/>
    </row>
    <row r="39" spans="1:29" x14ac:dyDescent="0.2">
      <c r="A39" s="56">
        <v>5</v>
      </c>
      <c r="B39" s="57" t="s">
        <v>57</v>
      </c>
      <c r="C39" s="56">
        <v>270</v>
      </c>
      <c r="D39" s="57" t="s">
        <v>388</v>
      </c>
      <c r="E39" s="58">
        <v>42496</v>
      </c>
      <c r="F39" s="57"/>
      <c r="G39" s="56">
        <v>505</v>
      </c>
      <c r="H39" s="57" t="s">
        <v>29</v>
      </c>
      <c r="I39" s="57" t="s">
        <v>95</v>
      </c>
      <c r="J39" s="56">
        <v>10</v>
      </c>
      <c r="K39" s="57" t="s">
        <v>96</v>
      </c>
      <c r="L39" s="57" t="s">
        <v>97</v>
      </c>
      <c r="M39" s="51"/>
      <c r="N39" s="51"/>
      <c r="O39" s="51"/>
      <c r="P39" s="51"/>
      <c r="Q39" s="51"/>
      <c r="R39" s="51"/>
      <c r="S39" s="51"/>
      <c r="T39" s="51"/>
      <c r="U39" s="51"/>
      <c r="V39" s="51"/>
      <c r="W39" s="51"/>
      <c r="X39" s="51"/>
      <c r="Y39" s="51"/>
      <c r="Z39" s="51"/>
      <c r="AA39" s="51"/>
      <c r="AB39" s="51" t="str">
        <f si="0" t="shared"/>
        <v>Ms S Parkingson (06/05/2016 - present)</v>
      </c>
      <c r="AC39" s="51"/>
    </row>
    <row r="40" spans="1:29" x14ac:dyDescent="0.2">
      <c r="A40" s="56">
        <v>5</v>
      </c>
      <c r="B40" s="57" t="s">
        <v>57</v>
      </c>
      <c r="C40" s="56">
        <v>247</v>
      </c>
      <c r="D40" s="57" t="s">
        <v>366</v>
      </c>
      <c r="E40" s="58">
        <v>41941</v>
      </c>
      <c r="F40" s="58">
        <v>42429</v>
      </c>
      <c r="G40" s="56">
        <v>500</v>
      </c>
      <c r="H40" s="57" t="s">
        <v>29</v>
      </c>
      <c r="I40" s="57" t="s">
        <v>95</v>
      </c>
      <c r="J40" s="56">
        <v>10</v>
      </c>
      <c r="K40" s="57" t="s">
        <v>96</v>
      </c>
      <c r="L40" s="57" t="s">
        <v>97</v>
      </c>
      <c r="AB40" t="str">
        <f si="0" t="shared"/>
        <v>Mr J Waterman (29/10/2014 - 29/02/2016)</v>
      </c>
    </row>
    <row r="41" spans="1:29" x14ac:dyDescent="0.2">
      <c r="A41" s="56">
        <v>5</v>
      </c>
      <c r="B41" s="57" t="s">
        <v>57</v>
      </c>
      <c r="C41" s="56">
        <v>208</v>
      </c>
      <c r="D41" s="57" t="s">
        <v>335</v>
      </c>
      <c r="E41" s="58">
        <v>40896</v>
      </c>
      <c r="F41" s="58">
        <v>41839</v>
      </c>
      <c r="G41" s="56">
        <v>500</v>
      </c>
      <c r="H41" s="57" t="s">
        <v>29</v>
      </c>
      <c r="I41" s="57" t="s">
        <v>95</v>
      </c>
      <c r="J41" s="56">
        <v>10</v>
      </c>
      <c r="K41" s="57" t="s">
        <v>96</v>
      </c>
      <c r="L41" s="57" t="s">
        <v>97</v>
      </c>
      <c r="AB41" t="str">
        <f si="0" t="shared"/>
        <v>Mr Steed McCue (19/12/2011 - 19/07/2014)</v>
      </c>
    </row>
    <row r="42" spans="1:29" x14ac:dyDescent="0.2">
      <c r="A42" s="56">
        <v>5</v>
      </c>
      <c r="B42" s="57" t="s">
        <v>57</v>
      </c>
      <c r="C42" s="56">
        <v>194</v>
      </c>
      <c r="D42" s="57" t="s">
        <v>313</v>
      </c>
      <c r="E42" s="58">
        <v>40508</v>
      </c>
      <c r="F42" s="58">
        <v>40877</v>
      </c>
      <c r="G42" s="56">
        <v>500</v>
      </c>
      <c r="H42" s="57" t="s">
        <v>29</v>
      </c>
      <c r="I42" s="57" t="s">
        <v>95</v>
      </c>
      <c r="J42" s="56">
        <v>10</v>
      </c>
      <c r="K42" s="57" t="s">
        <v>96</v>
      </c>
      <c r="L42" s="57" t="s">
        <v>97</v>
      </c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 t="str">
        <f si="0" t="shared"/>
        <v>G Sotheran (26/11/2010 - 30/11/2011)</v>
      </c>
      <c r="AC42" s="51"/>
    </row>
    <row r="43" spans="1:29" x14ac:dyDescent="0.2">
      <c r="A43" s="56">
        <v>5</v>
      </c>
      <c r="B43" s="57" t="s">
        <v>57</v>
      </c>
      <c r="C43" s="56">
        <v>140</v>
      </c>
      <c r="D43" s="57" t="s">
        <v>257</v>
      </c>
      <c r="E43" s="58">
        <v>39711</v>
      </c>
      <c r="F43" s="58">
        <v>40482</v>
      </c>
      <c r="G43" s="56">
        <v>500</v>
      </c>
      <c r="H43" s="57" t="s">
        <v>29</v>
      </c>
      <c r="I43" s="57" t="s">
        <v>95</v>
      </c>
      <c r="J43" s="56">
        <v>10</v>
      </c>
      <c r="K43" s="57" t="s">
        <v>96</v>
      </c>
      <c r="L43" s="57" t="s">
        <v>97</v>
      </c>
      <c r="AA43" s="2"/>
      <c r="AB43" t="str">
        <f si="0" t="shared"/>
        <v>Matthew James (20/09/2008 - 31/10/2010)</v>
      </c>
    </row>
    <row r="44" spans="1:29" x14ac:dyDescent="0.2">
      <c r="A44" s="56">
        <v>5</v>
      </c>
      <c r="B44" s="57" t="s">
        <v>57</v>
      </c>
      <c r="C44" s="56">
        <v>12</v>
      </c>
      <c r="D44" s="57" t="s">
        <v>30</v>
      </c>
      <c r="E44" s="58">
        <v>38687</v>
      </c>
      <c r="F44" s="58">
        <v>39692</v>
      </c>
      <c r="G44" s="56">
        <v>420</v>
      </c>
      <c r="H44" s="57" t="s">
        <v>29</v>
      </c>
      <c r="I44" s="57" t="s">
        <v>95</v>
      </c>
      <c r="J44" s="56">
        <v>10</v>
      </c>
      <c r="K44" s="57" t="s">
        <v>96</v>
      </c>
      <c r="L44" s="57" t="s">
        <v>97</v>
      </c>
      <c r="AB44" t="str">
        <f si="0" t="shared"/>
        <v>Ceylan (01/12/2005 - 01/09/2008)</v>
      </c>
    </row>
    <row r="45" spans="1:29" x14ac:dyDescent="0.2">
      <c r="A45" s="56">
        <v>5</v>
      </c>
      <c r="B45" s="57" t="s">
        <v>57</v>
      </c>
      <c r="C45" s="56">
        <v>11</v>
      </c>
      <c r="D45" s="57" t="s">
        <v>44</v>
      </c>
      <c r="E45" s="58">
        <v>37830</v>
      </c>
      <c r="F45" s="58">
        <v>37953</v>
      </c>
      <c r="G45" s="56">
        <v>410</v>
      </c>
      <c r="H45" s="57" t="s">
        <v>29</v>
      </c>
      <c r="I45" s="57" t="s">
        <v>95</v>
      </c>
      <c r="J45" s="56">
        <v>10</v>
      </c>
      <c r="K45" s="57" t="s">
        <v>96</v>
      </c>
      <c r="L45" s="57" t="s">
        <v>97</v>
      </c>
      <c r="AB45" t="str">
        <f si="0" t="shared"/>
        <v>Burgess (28/07/2003 - 28/11/2003)</v>
      </c>
    </row>
    <row r="46" spans="1:29" x14ac:dyDescent="0.2">
      <c r="A46" s="56">
        <v>73</v>
      </c>
      <c r="B46" s="57" t="s">
        <v>186</v>
      </c>
      <c r="C46" s="56">
        <v>209</v>
      </c>
      <c r="D46" s="57" t="s">
        <v>327</v>
      </c>
      <c r="E46" s="58">
        <v>40914</v>
      </c>
      <c r="F46" s="57"/>
      <c r="G46" s="56">
        <v>580</v>
      </c>
      <c r="H46" s="57" t="s">
        <v>29</v>
      </c>
      <c r="I46" s="57" t="s">
        <v>95</v>
      </c>
      <c r="J46" s="56">
        <v>10</v>
      </c>
      <c r="K46" s="57" t="s">
        <v>96</v>
      </c>
      <c r="L46" s="57" t="s">
        <v>97</v>
      </c>
      <c r="AB46" t="str">
        <f si="0" t="shared"/>
        <v>K Aldridge (06/01/2012 - present)</v>
      </c>
    </row>
    <row r="47" spans="1:29" x14ac:dyDescent="0.2">
      <c r="A47" s="56">
        <v>73</v>
      </c>
      <c r="B47" s="57" t="s">
        <v>186</v>
      </c>
      <c r="C47" s="56">
        <v>206</v>
      </c>
      <c r="D47" s="57" t="s">
        <v>323</v>
      </c>
      <c r="E47" s="58">
        <v>40773</v>
      </c>
      <c r="F47" s="58">
        <v>40848</v>
      </c>
      <c r="G47" s="56">
        <v>580</v>
      </c>
      <c r="H47" s="57" t="s">
        <v>29</v>
      </c>
      <c r="I47" s="57" t="s">
        <v>95</v>
      </c>
      <c r="J47" s="56">
        <v>10</v>
      </c>
      <c r="K47" s="57" t="s">
        <v>96</v>
      </c>
      <c r="L47" s="57" t="s">
        <v>97</v>
      </c>
      <c r="AA47" s="2"/>
      <c r="AB47" t="str">
        <f si="0" t="shared"/>
        <v>Taylor &amp; Outen (18/08/2011 - 01/11/2011)</v>
      </c>
    </row>
    <row r="48" spans="1:29" x14ac:dyDescent="0.2">
      <c r="A48" s="56">
        <v>73</v>
      </c>
      <c r="B48" s="57" t="s">
        <v>186</v>
      </c>
      <c r="C48" s="56">
        <v>174</v>
      </c>
      <c r="D48" s="57" t="s">
        <v>289</v>
      </c>
      <c r="E48" s="58">
        <v>40326</v>
      </c>
      <c r="F48" s="58">
        <v>40752</v>
      </c>
      <c r="G48" s="56">
        <v>625</v>
      </c>
      <c r="H48" s="57" t="s">
        <v>29</v>
      </c>
      <c r="I48" s="57" t="s">
        <v>95</v>
      </c>
      <c r="J48" s="56">
        <v>10</v>
      </c>
      <c r="K48" s="57" t="s">
        <v>96</v>
      </c>
      <c r="L48" s="57" t="s">
        <v>97</v>
      </c>
      <c r="AB48" t="str">
        <f si="0" t="shared"/>
        <v>L Robinson (28/05/2010 - 28/07/2011)</v>
      </c>
    </row>
    <row r="49" spans="1:28" x14ac:dyDescent="0.2">
      <c r="A49" s="56">
        <v>73</v>
      </c>
      <c r="B49" s="57" t="s">
        <v>186</v>
      </c>
      <c r="C49" s="56">
        <v>145</v>
      </c>
      <c r="D49" s="57" t="s">
        <v>290</v>
      </c>
      <c r="E49" s="58">
        <v>39731</v>
      </c>
      <c r="F49" s="58">
        <v>40230</v>
      </c>
      <c r="G49" s="56">
        <v>620</v>
      </c>
      <c r="H49" s="57" t="s">
        <v>29</v>
      </c>
      <c r="I49" s="57" t="s">
        <v>95</v>
      </c>
      <c r="J49" s="56">
        <v>10</v>
      </c>
      <c r="K49" s="57" t="s">
        <v>96</v>
      </c>
      <c r="L49" s="57" t="s">
        <v>97</v>
      </c>
      <c r="AB49" t="str">
        <f si="0" t="shared"/>
        <v>Patterson/Cherie Sallows (10/10/2008 - 21/02/2010)</v>
      </c>
    </row>
    <row r="50" spans="1:28" x14ac:dyDescent="0.2">
      <c r="A50" s="56">
        <v>73</v>
      </c>
      <c r="B50" s="57" t="s">
        <v>186</v>
      </c>
      <c r="C50" s="56">
        <v>105</v>
      </c>
      <c r="D50" s="57" t="s">
        <v>189</v>
      </c>
      <c r="E50" s="58">
        <v>39248</v>
      </c>
      <c r="F50" s="58">
        <v>39719</v>
      </c>
      <c r="G50" s="56">
        <v>620</v>
      </c>
      <c r="H50" s="57" t="s">
        <v>29</v>
      </c>
      <c r="I50" s="57" t="s">
        <v>95</v>
      </c>
      <c r="J50" s="56">
        <v>10</v>
      </c>
      <c r="K50" s="57" t="s">
        <v>96</v>
      </c>
      <c r="L50" s="57" t="s">
        <v>97</v>
      </c>
      <c r="AB50" t="str">
        <f si="0" t="shared"/>
        <v>Meehan (15/06/2007 - 28/09/2008)</v>
      </c>
    </row>
    <row r="51" spans="1:28" x14ac:dyDescent="0.2">
      <c r="A51" s="56">
        <v>1</v>
      </c>
      <c r="B51" s="57" t="s">
        <v>53</v>
      </c>
      <c r="C51" s="56">
        <v>235</v>
      </c>
      <c r="D51" s="57" t="s">
        <v>351</v>
      </c>
      <c r="E51" s="58">
        <v>41516</v>
      </c>
      <c r="F51" s="57"/>
      <c r="G51" s="56">
        <v>500</v>
      </c>
      <c r="H51" s="57" t="s">
        <v>29</v>
      </c>
      <c r="I51" s="57" t="s">
        <v>95</v>
      </c>
      <c r="J51" s="56">
        <v>10</v>
      </c>
      <c r="K51" s="57" t="s">
        <v>96</v>
      </c>
      <c r="L51" s="57" t="s">
        <v>97</v>
      </c>
      <c r="AB51" t="str">
        <f si="0" t="shared"/>
        <v>Mr Connor (30/08/2013 - present)</v>
      </c>
    </row>
    <row r="52" spans="1:28" x14ac:dyDescent="0.2">
      <c r="A52" s="56">
        <v>1</v>
      </c>
      <c r="B52" s="57" t="s">
        <v>53</v>
      </c>
      <c r="C52" s="56">
        <v>226</v>
      </c>
      <c r="D52" s="57" t="s">
        <v>345</v>
      </c>
      <c r="E52" s="58">
        <v>41386</v>
      </c>
      <c r="F52" s="58">
        <v>41539</v>
      </c>
      <c r="G52" s="56">
        <v>500</v>
      </c>
      <c r="H52" s="57" t="s">
        <v>29</v>
      </c>
      <c r="I52" s="57" t="s">
        <v>95</v>
      </c>
      <c r="J52" s="56">
        <v>10</v>
      </c>
      <c r="K52" s="57" t="s">
        <v>96</v>
      </c>
      <c r="L52" s="57" t="s">
        <v>97</v>
      </c>
      <c r="AB52" t="str">
        <f si="0" t="shared"/>
        <v>D Copperthwaite (22/04/2013 - 22/09/2013)</v>
      </c>
    </row>
    <row r="53" spans="1:28" x14ac:dyDescent="0.2">
      <c r="A53" s="56">
        <v>1</v>
      </c>
      <c r="B53" s="57" t="s">
        <v>53</v>
      </c>
      <c r="C53" s="56">
        <v>215</v>
      </c>
      <c r="D53" s="57" t="s">
        <v>333</v>
      </c>
      <c r="E53" s="58">
        <v>41030</v>
      </c>
      <c r="F53" s="58">
        <v>41365</v>
      </c>
      <c r="G53" s="56">
        <v>500</v>
      </c>
      <c r="H53" s="57" t="s">
        <v>29</v>
      </c>
      <c r="I53" s="57" t="s">
        <v>95</v>
      </c>
      <c r="J53" s="56">
        <v>10</v>
      </c>
      <c r="K53" s="57" t="s">
        <v>96</v>
      </c>
      <c r="L53" s="57" t="s">
        <v>97</v>
      </c>
      <c r="AB53" t="str">
        <f si="0" t="shared"/>
        <v>W Lamour (01/05/2012 - 01/04/2013)</v>
      </c>
    </row>
    <row r="54" spans="1:28" x14ac:dyDescent="0.2">
      <c r="A54" s="56">
        <v>1</v>
      </c>
      <c r="B54" s="57" t="s">
        <v>53</v>
      </c>
      <c r="C54" s="56">
        <v>191</v>
      </c>
      <c r="D54" s="57" t="s">
        <v>310</v>
      </c>
      <c r="E54" s="58">
        <v>40487</v>
      </c>
      <c r="F54" s="58">
        <v>40638</v>
      </c>
      <c r="G54" s="56">
        <v>500</v>
      </c>
      <c r="H54" s="57" t="s">
        <v>29</v>
      </c>
      <c r="I54" s="57" t="s">
        <v>95</v>
      </c>
      <c r="J54" s="56">
        <v>10</v>
      </c>
      <c r="K54" s="57" t="s">
        <v>96</v>
      </c>
      <c r="L54" s="57" t="s">
        <v>97</v>
      </c>
      <c r="AB54" t="str">
        <f si="0" t="shared"/>
        <v>A Stallard (05/11/2010 - 05/04/2011)</v>
      </c>
    </row>
    <row r="55" spans="1:28" x14ac:dyDescent="0.2">
      <c r="A55" s="56">
        <v>1</v>
      </c>
      <c r="B55" s="57" t="s">
        <v>53</v>
      </c>
      <c r="C55" s="56">
        <v>92</v>
      </c>
      <c r="D55" s="57" t="s">
        <v>37</v>
      </c>
      <c r="E55" s="58">
        <v>39104</v>
      </c>
      <c r="F55" s="58">
        <v>40482</v>
      </c>
      <c r="G55" s="56">
        <v>495</v>
      </c>
      <c r="H55" s="57" t="s">
        <v>29</v>
      </c>
      <c r="I55" s="57" t="s">
        <v>95</v>
      </c>
      <c r="J55" s="56">
        <v>10</v>
      </c>
      <c r="K55" s="57" t="s">
        <v>96</v>
      </c>
      <c r="L55" s="57" t="s">
        <v>97</v>
      </c>
      <c r="AB55" t="str">
        <f si="0" t="shared"/>
        <v>Keirle (22/01/2007 - 31/10/2010)</v>
      </c>
    </row>
    <row r="56" spans="1:28" x14ac:dyDescent="0.2">
      <c r="A56" s="56">
        <v>1</v>
      </c>
      <c r="B56" s="57" t="s">
        <v>53</v>
      </c>
      <c r="C56" s="56">
        <v>20</v>
      </c>
      <c r="D56" s="57" t="s">
        <v>40</v>
      </c>
      <c r="E56" s="58">
        <v>38345</v>
      </c>
      <c r="F56" s="58">
        <v>39075</v>
      </c>
      <c r="G56" s="56">
        <v>392.32</v>
      </c>
      <c r="H56" s="57" t="s">
        <v>28</v>
      </c>
      <c r="I56" s="57" t="s">
        <v>95</v>
      </c>
      <c r="J56" s="56">
        <v>10</v>
      </c>
      <c r="K56" s="57" t="s">
        <v>96</v>
      </c>
      <c r="L56" s="57" t="s">
        <v>97</v>
      </c>
      <c r="AB56" t="str">
        <f si="0" t="shared"/>
        <v>Martin (24/12/2004 - 24/12/2006)</v>
      </c>
    </row>
    <row r="57" spans="1:28" x14ac:dyDescent="0.2">
      <c r="A57" s="56">
        <v>1</v>
      </c>
      <c r="B57" s="57" t="s">
        <v>53</v>
      </c>
      <c r="C57" s="56">
        <v>2</v>
      </c>
      <c r="D57" s="57" t="s">
        <v>41</v>
      </c>
      <c r="E57" s="58">
        <v>38019</v>
      </c>
      <c r="F57" s="58">
        <v>38303</v>
      </c>
      <c r="G57" s="56">
        <v>400</v>
      </c>
      <c r="H57" s="57" t="s">
        <v>29</v>
      </c>
      <c r="I57" s="57" t="s">
        <v>95</v>
      </c>
      <c r="J57" s="56">
        <v>10</v>
      </c>
      <c r="K57" s="57" t="s">
        <v>96</v>
      </c>
      <c r="L57" s="57" t="s">
        <v>97</v>
      </c>
      <c r="AB57" t="str">
        <f si="0" t="shared"/>
        <v>Blake (02/02/2004 - 12/11/2004)</v>
      </c>
    </row>
    <row r="58" spans="1:28" x14ac:dyDescent="0.2">
      <c r="A58" s="56">
        <v>1</v>
      </c>
      <c r="B58" s="57" t="s">
        <v>53</v>
      </c>
      <c r="C58" s="56">
        <v>1</v>
      </c>
      <c r="D58" s="57" t="s">
        <v>42</v>
      </c>
      <c r="E58" s="58">
        <v>37683</v>
      </c>
      <c r="F58" s="58">
        <v>38001</v>
      </c>
      <c r="G58" s="56">
        <v>400</v>
      </c>
      <c r="H58" s="57" t="s">
        <v>29</v>
      </c>
      <c r="I58" s="57" t="s">
        <v>95</v>
      </c>
      <c r="J58" s="56">
        <v>10</v>
      </c>
      <c r="K58" s="57" t="s">
        <v>96</v>
      </c>
      <c r="L58" s="57" t="s">
        <v>97</v>
      </c>
      <c r="AB58" t="str">
        <f si="0" t="shared"/>
        <v>Laver (03/03/2003 - 15/01/2004)</v>
      </c>
    </row>
    <row r="59" spans="1:28" x14ac:dyDescent="0.2">
      <c r="A59" s="56">
        <v>53</v>
      </c>
      <c r="B59" s="57" t="s">
        <v>70</v>
      </c>
      <c r="C59" s="56">
        <v>165</v>
      </c>
      <c r="D59" s="57" t="s">
        <v>285</v>
      </c>
      <c r="E59" s="58">
        <v>40137</v>
      </c>
      <c r="F59" s="57"/>
      <c r="G59" s="56">
        <v>500</v>
      </c>
      <c r="H59" s="57" t="s">
        <v>29</v>
      </c>
      <c r="I59" s="57" t="s">
        <v>95</v>
      </c>
      <c r="J59" s="56">
        <v>10</v>
      </c>
      <c r="K59" s="57" t="s">
        <v>96</v>
      </c>
      <c r="L59" s="57" t="s">
        <v>97</v>
      </c>
      <c r="AB59" t="str">
        <f si="0" t="shared"/>
        <v>Andrew England (20/11/2009 - present)</v>
      </c>
    </row>
    <row r="60" spans="1:28" x14ac:dyDescent="0.2">
      <c r="A60" s="56">
        <v>53</v>
      </c>
      <c r="B60" s="57" t="s">
        <v>70</v>
      </c>
      <c r="C60" s="56">
        <v>151</v>
      </c>
      <c r="D60" s="57" t="s">
        <v>269</v>
      </c>
      <c r="E60" s="58">
        <v>39895</v>
      </c>
      <c r="F60" s="58">
        <v>40081</v>
      </c>
      <c r="G60" s="56">
        <v>500</v>
      </c>
      <c r="H60" s="57" t="s">
        <v>29</v>
      </c>
      <c r="I60" s="57" t="s">
        <v>95</v>
      </c>
      <c r="J60" s="56">
        <v>10</v>
      </c>
      <c r="K60" s="57" t="s">
        <v>96</v>
      </c>
      <c r="L60" s="57" t="s">
        <v>97</v>
      </c>
      <c r="AB60" t="str">
        <f si="0" t="shared"/>
        <v>Lloyd Best (23/03/2009 - 25/09/2009)</v>
      </c>
    </row>
    <row r="61" spans="1:28" x14ac:dyDescent="0.2">
      <c r="A61" s="56">
        <v>53</v>
      </c>
      <c r="B61" s="57" t="s">
        <v>70</v>
      </c>
      <c r="C61" s="56">
        <v>113</v>
      </c>
      <c r="D61" s="57" t="s">
        <v>195</v>
      </c>
      <c r="E61" s="58">
        <v>39384</v>
      </c>
      <c r="F61" s="58">
        <v>39872</v>
      </c>
      <c r="G61" s="56">
        <v>480</v>
      </c>
      <c r="H61" s="57" t="s">
        <v>29</v>
      </c>
      <c r="I61" s="57" t="s">
        <v>95</v>
      </c>
      <c r="J61" s="56">
        <v>10</v>
      </c>
      <c r="K61" s="57" t="s">
        <v>96</v>
      </c>
      <c r="L61" s="57" t="s">
        <v>97</v>
      </c>
      <c r="AB61" t="str">
        <f si="0" t="shared"/>
        <v>Fischer (29/10/2007 - 28/02/2009)</v>
      </c>
    </row>
    <row r="62" spans="1:28" x14ac:dyDescent="0.2">
      <c r="A62" s="56">
        <v>53</v>
      </c>
      <c r="B62" s="57" t="s">
        <v>70</v>
      </c>
      <c r="C62" s="56">
        <v>86</v>
      </c>
      <c r="D62" s="57" t="s">
        <v>13</v>
      </c>
      <c r="E62" s="58">
        <v>39032</v>
      </c>
      <c r="F62" s="58">
        <v>39343</v>
      </c>
      <c r="G62" s="56">
        <v>460</v>
      </c>
      <c r="H62" s="57" t="s">
        <v>29</v>
      </c>
      <c r="I62" s="57" t="s">
        <v>95</v>
      </c>
      <c r="J62" s="56">
        <v>10</v>
      </c>
      <c r="K62" s="57" t="s">
        <v>96</v>
      </c>
      <c r="L62" s="57" t="s">
        <v>97</v>
      </c>
      <c r="AB62" t="str">
        <f si="0" t="shared"/>
        <v>Jepp (11/11/2006 - 18/09/2007)</v>
      </c>
    </row>
    <row r="63" spans="1:28" x14ac:dyDescent="0.2">
      <c r="A63" s="56">
        <v>49</v>
      </c>
      <c r="B63" s="57" t="s">
        <v>231</v>
      </c>
      <c r="C63" s="56">
        <v>248</v>
      </c>
      <c r="D63" s="57" t="s">
        <v>375</v>
      </c>
      <c r="E63" s="58">
        <v>41838</v>
      </c>
      <c r="F63" s="57"/>
      <c r="G63" s="56">
        <v>500</v>
      </c>
      <c r="H63" s="57" t="s">
        <v>29</v>
      </c>
      <c r="I63" s="57" t="s">
        <v>95</v>
      </c>
      <c r="J63" s="56">
        <v>10</v>
      </c>
      <c r="K63" s="57" t="s">
        <v>96</v>
      </c>
      <c r="L63" s="57" t="s">
        <v>97</v>
      </c>
      <c r="AB63" t="str">
        <f si="0" t="shared"/>
        <v>Mr P Oakwell (18/07/2014 - present)</v>
      </c>
    </row>
    <row r="64" spans="1:28" x14ac:dyDescent="0.2">
      <c r="A64" s="56">
        <v>49</v>
      </c>
      <c r="B64" s="57" t="s">
        <v>231</v>
      </c>
      <c r="C64" s="56">
        <v>199</v>
      </c>
      <c r="D64" s="57" t="s">
        <v>318</v>
      </c>
      <c r="E64" s="58">
        <v>40609</v>
      </c>
      <c r="F64" s="58">
        <v>41766</v>
      </c>
      <c r="G64" s="56">
        <v>500</v>
      </c>
      <c r="H64" s="57" t="s">
        <v>29</v>
      </c>
      <c r="I64" s="57" t="s">
        <v>95</v>
      </c>
      <c r="J64" s="56">
        <v>10</v>
      </c>
      <c r="K64" s="57" t="s">
        <v>96</v>
      </c>
      <c r="L64" s="57" t="s">
        <v>97</v>
      </c>
      <c r="AB64" t="str">
        <f si="0" t="shared"/>
        <v>S. Porter (07/03/2011 - 07/05/2014)</v>
      </c>
    </row>
    <row r="65" spans="1:29" x14ac:dyDescent="0.2">
      <c r="A65" s="56">
        <v>49</v>
      </c>
      <c r="B65" s="57" t="s">
        <v>231</v>
      </c>
      <c r="C65" s="56">
        <v>182</v>
      </c>
      <c r="D65" s="57" t="s">
        <v>306</v>
      </c>
      <c r="E65" s="58">
        <v>40387</v>
      </c>
      <c r="F65" s="58">
        <v>40601</v>
      </c>
      <c r="G65" s="56">
        <v>500</v>
      </c>
      <c r="H65" s="57" t="s">
        <v>29</v>
      </c>
      <c r="I65" s="57" t="s">
        <v>95</v>
      </c>
      <c r="J65" s="56">
        <v>10</v>
      </c>
      <c r="K65" s="57" t="s">
        <v>96</v>
      </c>
      <c r="L65" s="57" t="s">
        <v>97</v>
      </c>
      <c r="AB65" t="str">
        <f si="0" t="shared"/>
        <v>Mr I Tewelderbrham (28/07/2010 - 27/02/2011)</v>
      </c>
    </row>
    <row r="66" spans="1:29" x14ac:dyDescent="0.2">
      <c r="A66" s="56">
        <v>49</v>
      </c>
      <c r="B66" s="57" t="s">
        <v>231</v>
      </c>
      <c r="C66" s="56">
        <v>129</v>
      </c>
      <c r="D66" s="57" t="s">
        <v>232</v>
      </c>
      <c r="E66" s="58">
        <v>39508</v>
      </c>
      <c r="F66" s="58">
        <v>40313</v>
      </c>
      <c r="G66" s="56">
        <v>450</v>
      </c>
      <c r="H66" s="57" t="s">
        <v>29</v>
      </c>
      <c r="I66" s="57" t="s">
        <v>197</v>
      </c>
      <c r="J66" s="56">
        <v>0</v>
      </c>
      <c r="K66" s="57" t="s">
        <v>175</v>
      </c>
      <c r="L66" s="57" t="s">
        <v>101</v>
      </c>
      <c r="AB66" t="str">
        <f ref="AB66:AB130" si="1" t="shared"><![CDATA[IF(E66<>"",IF(F66="",D66&" ("&TEXT(E66,"dd/mm/yyyy")&" - present)",D66&" ("&TEXT(E66,"dd/mm/yyyy")&" - "&TEXT(F66,"dd/mm/yyyy")&")"),"")]]></f>
        <v>Oakley (01/03/2008 - 15/05/2010)</v>
      </c>
    </row>
    <row r="67" spans="1:29" x14ac:dyDescent="0.2">
      <c r="A67" s="56">
        <v>64</v>
      </c>
      <c r="B67" s="57" t="s">
        <v>74</v>
      </c>
      <c r="C67" s="56">
        <v>229</v>
      </c>
      <c r="D67" s="57" t="s">
        <v>349</v>
      </c>
      <c r="E67" s="58">
        <v>41387</v>
      </c>
      <c r="F67" s="57"/>
      <c r="G67" s="56">
        <v>500</v>
      </c>
      <c r="H67" s="57" t="s">
        <v>29</v>
      </c>
      <c r="I67" s="57" t="s">
        <v>95</v>
      </c>
      <c r="J67" s="56">
        <v>10</v>
      </c>
      <c r="K67" s="57" t="s">
        <v>96</v>
      </c>
      <c r="L67" s="57" t="s">
        <v>97</v>
      </c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1"/>
      <c r="X67" s="51"/>
      <c r="Y67" s="51"/>
      <c r="Z67" s="51"/>
      <c r="AA67" s="51"/>
      <c r="AB67" s="51" t="str">
        <f si="1" t="shared"/>
        <v>J Flegg (23/04/2013 - present)</v>
      </c>
      <c r="AC67" s="51"/>
    </row>
    <row r="68" spans="1:29" x14ac:dyDescent="0.2">
      <c r="A68" s="56">
        <v>64</v>
      </c>
      <c r="B68" s="57" t="s">
        <v>74</v>
      </c>
      <c r="C68" s="56">
        <v>150</v>
      </c>
      <c r="D68" s="57" t="s">
        <v>267</v>
      </c>
      <c r="E68" s="58">
        <v>39834</v>
      </c>
      <c r="F68" s="58">
        <v>41353</v>
      </c>
      <c r="G68" s="56">
        <v>500</v>
      </c>
      <c r="H68" s="57" t="s">
        <v>29</v>
      </c>
      <c r="I68" s="57" t="s">
        <v>95</v>
      </c>
      <c r="J68" s="56">
        <v>10</v>
      </c>
      <c r="K68" s="57" t="s">
        <v>96</v>
      </c>
      <c r="L68" s="57" t="s">
        <v>97</v>
      </c>
      <c r="AB68" t="str">
        <f si="1" t="shared"/>
        <v>Mrs Collins (21/01/2009 - 20/03/2013)</v>
      </c>
    </row>
    <row r="69" spans="1:29" x14ac:dyDescent="0.2">
      <c r="A69" s="56">
        <v>64</v>
      </c>
      <c r="B69" s="57" t="s">
        <v>74</v>
      </c>
      <c r="C69" s="56">
        <v>75</v>
      </c>
      <c r="D69" s="57" t="s">
        <v>88</v>
      </c>
      <c r="E69" s="58">
        <v>38855</v>
      </c>
      <c r="F69" s="58">
        <v>39833</v>
      </c>
      <c r="G69" s="56">
        <v>475</v>
      </c>
      <c r="H69" s="57" t="s">
        <v>29</v>
      </c>
      <c r="I69" s="57" t="s">
        <v>95</v>
      </c>
      <c r="J69" s="56">
        <v>10</v>
      </c>
      <c r="K69" s="57" t="s">
        <v>96</v>
      </c>
      <c r="L69" s="57" t="s">
        <v>97</v>
      </c>
      <c r="AB69" t="str">
        <f si="1" t="shared"/>
        <v>Russell (18/05/2006 - 20/01/2009)</v>
      </c>
    </row>
    <row r="70" spans="1:29" x14ac:dyDescent="0.2">
      <c r="A70" s="56">
        <v>71</v>
      </c>
      <c r="B70" s="57" t="s">
        <v>118</v>
      </c>
      <c r="C70" s="56">
        <v>277</v>
      </c>
      <c r="D70" s="57" t="s">
        <v>405</v>
      </c>
      <c r="E70" s="58">
        <v>42632</v>
      </c>
      <c r="F70" s="57"/>
      <c r="G70" s="56">
        <v>505</v>
      </c>
      <c r="H70" s="57" t="s">
        <v>29</v>
      </c>
      <c r="I70" s="57" t="s">
        <v>95</v>
      </c>
      <c r="J70" s="56">
        <v>10</v>
      </c>
      <c r="K70" s="57" t="s">
        <v>96</v>
      </c>
      <c r="L70" s="57" t="s">
        <v>97</v>
      </c>
      <c r="AB70" t="str">
        <f si="1" t="shared"/>
        <v>Mr Jason Passmore (19/09/2016 - present)</v>
      </c>
    </row>
    <row r="71" spans="1:29" x14ac:dyDescent="0.2">
      <c r="A71" s="56">
        <v>71</v>
      </c>
      <c r="B71" s="57" t="s">
        <v>118</v>
      </c>
      <c r="C71" s="56">
        <v>214</v>
      </c>
      <c r="D71" s="57" t="s">
        <v>332</v>
      </c>
      <c r="E71" s="58">
        <v>40988</v>
      </c>
      <c r="F71" s="58">
        <v>42582</v>
      </c>
      <c r="G71" s="56">
        <v>500</v>
      </c>
      <c r="H71" s="57" t="s">
        <v>29</v>
      </c>
      <c r="I71" s="57" t="s">
        <v>95</v>
      </c>
      <c r="J71" s="56">
        <v>10</v>
      </c>
      <c r="K71" s="57" t="s">
        <v>96</v>
      </c>
      <c r="L71" s="57" t="s">
        <v>97</v>
      </c>
      <c r="AB71" t="str">
        <f si="1" t="shared"/>
        <v>B Palmer (20/03/2012 - 31/07/2016)</v>
      </c>
    </row>
    <row r="72" spans="1:29" x14ac:dyDescent="0.2">
      <c r="A72" s="56">
        <v>71</v>
      </c>
      <c r="B72" s="57" t="s">
        <v>118</v>
      </c>
      <c r="C72" s="56">
        <v>128</v>
      </c>
      <c r="D72" s="57" t="s">
        <v>173</v>
      </c>
      <c r="E72" s="58">
        <v>39517</v>
      </c>
      <c r="F72" s="58">
        <v>40918</v>
      </c>
      <c r="G72" s="56">
        <v>480</v>
      </c>
      <c r="H72" s="57" t="s">
        <v>29</v>
      </c>
      <c r="I72" s="57" t="s">
        <v>95</v>
      </c>
      <c r="J72" s="56">
        <v>10</v>
      </c>
      <c r="K72" s="57" t="s">
        <v>96</v>
      </c>
      <c r="L72" s="57" t="s">
        <v>97</v>
      </c>
      <c r="AB72" t="str">
        <f si="1" t="shared"/>
        <v>Baldachino (10/03/2008 - 10/01/2012)</v>
      </c>
    </row>
    <row r="73" spans="1:29" x14ac:dyDescent="0.2">
      <c r="A73" s="56">
        <v>71</v>
      </c>
      <c r="B73" s="57" t="s">
        <v>118</v>
      </c>
      <c r="C73" s="56">
        <v>84</v>
      </c>
      <c r="D73" s="57" t="s">
        <v>183</v>
      </c>
      <c r="E73" s="58">
        <v>38862</v>
      </c>
      <c r="F73" s="58">
        <v>39436</v>
      </c>
      <c r="G73" s="56">
        <v>450</v>
      </c>
      <c r="H73" s="57" t="s">
        <v>29</v>
      </c>
      <c r="I73" s="57" t="s">
        <v>116</v>
      </c>
      <c r="J73" s="56">
        <v>10</v>
      </c>
      <c r="K73" s="57" t="s">
        <v>96</v>
      </c>
      <c r="L73" s="57" t="s">
        <v>97</v>
      </c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 t="str">
        <f si="1" t="shared"/>
        <v>Valle (25/05/2006 - 20/12/2007)</v>
      </c>
      <c r="AC73" s="51"/>
    </row>
    <row r="74" spans="1:29" x14ac:dyDescent="0.2">
      <c r="A74" s="56">
        <v>70</v>
      </c>
      <c r="B74" s="57" t="s">
        <v>119</v>
      </c>
      <c r="C74" s="56">
        <v>230</v>
      </c>
      <c r="D74" s="57" t="s">
        <v>350</v>
      </c>
      <c r="E74" s="58">
        <v>41367</v>
      </c>
      <c r="F74" s="57"/>
      <c r="G74" s="56">
        <v>500</v>
      </c>
      <c r="H74" s="57" t="s">
        <v>29</v>
      </c>
      <c r="I74" s="57" t="s">
        <v>95</v>
      </c>
      <c r="J74" s="56">
        <v>10</v>
      </c>
      <c r="K74" s="57" t="s">
        <v>96</v>
      </c>
      <c r="L74" s="57" t="s">
        <v>97</v>
      </c>
      <c r="AB74" t="str">
        <f si="1" t="shared"/>
        <v>Mr Lewis (03/04/2013 - present)</v>
      </c>
    </row>
    <row r="75" spans="1:29" x14ac:dyDescent="0.2">
      <c r="A75" s="56">
        <v>70</v>
      </c>
      <c r="B75" s="57" t="s">
        <v>119</v>
      </c>
      <c r="C75" s="56">
        <v>203</v>
      </c>
      <c r="D75" s="57" t="s">
        <v>322</v>
      </c>
      <c r="E75" s="58">
        <v>40683</v>
      </c>
      <c r="F75" s="58">
        <v>41364</v>
      </c>
      <c r="G75" s="56">
        <v>580</v>
      </c>
      <c r="H75" s="57" t="s">
        <v>29</v>
      </c>
      <c r="I75" s="57" t="s">
        <v>95</v>
      </c>
      <c r="J75" s="56">
        <v>10</v>
      </c>
      <c r="K75" s="57" t="s">
        <v>96</v>
      </c>
      <c r="L75" s="57" t="s">
        <v>97</v>
      </c>
      <c r="AB75" t="str">
        <f si="1" t="shared"/>
        <v>Mr Lewis &amp; Mr Nesler (20/05/2011 - 31/03/2013)</v>
      </c>
    </row>
    <row r="76" spans="1:29" x14ac:dyDescent="0.2">
      <c r="A76" s="56">
        <v>70</v>
      </c>
      <c r="B76" s="57" t="s">
        <v>119</v>
      </c>
      <c r="C76" s="56">
        <v>180</v>
      </c>
      <c r="D76" s="57" t="s">
        <v>309</v>
      </c>
      <c r="E76" s="58">
        <v>40476</v>
      </c>
      <c r="F76" s="58">
        <v>40683</v>
      </c>
      <c r="G76" s="56">
        <v>620</v>
      </c>
      <c r="H76" s="57" t="s">
        <v>29</v>
      </c>
      <c r="I76" s="57" t="s">
        <v>95</v>
      </c>
      <c r="J76" s="56">
        <v>10</v>
      </c>
      <c r="K76" s="57" t="s">
        <v>96</v>
      </c>
      <c r="L76" s="57" t="s">
        <v>97</v>
      </c>
      <c r="AB76" t="str">
        <f si="1" t="shared"/>
        <v>Britten &amp; Grouden (25/10/2010 - 20/05/2011)</v>
      </c>
    </row>
    <row r="77" spans="1:29" x14ac:dyDescent="0.2">
      <c r="A77" s="56">
        <v>70</v>
      </c>
      <c r="B77" s="57" t="s">
        <v>119</v>
      </c>
      <c r="C77" s="56">
        <v>159</v>
      </c>
      <c r="D77" s="57" t="s">
        <v>277</v>
      </c>
      <c r="E77" s="58">
        <v>40087</v>
      </c>
      <c r="F77" s="58">
        <v>40214</v>
      </c>
      <c r="G77" s="56">
        <v>580</v>
      </c>
      <c r="H77" s="57" t="s">
        <v>29</v>
      </c>
      <c r="I77" s="57" t="s">
        <v>95</v>
      </c>
      <c r="J77" s="56">
        <v>10</v>
      </c>
      <c r="K77" s="57" t="s">
        <v>96</v>
      </c>
      <c r="L77" s="57" t="s">
        <v>97</v>
      </c>
      <c r="AB77" t="str">
        <f si="1" t="shared"/>
        <v>Jodie Tipper &amp; Stacey Chamberlain (01/10/2009 - 05/02/2010)</v>
      </c>
    </row>
    <row r="78" spans="1:29" x14ac:dyDescent="0.2">
      <c r="A78" s="56">
        <v>70</v>
      </c>
      <c r="B78" s="57" t="s">
        <v>119</v>
      </c>
      <c r="C78" s="56">
        <v>119</v>
      </c>
      <c r="D78" s="57" t="s">
        <v>209</v>
      </c>
      <c r="E78" s="58">
        <v>39472</v>
      </c>
      <c r="F78" s="58">
        <v>40053</v>
      </c>
      <c r="G78" s="56">
        <v>560</v>
      </c>
      <c r="H78" s="57" t="s">
        <v>29</v>
      </c>
      <c r="I78" s="57" t="s">
        <v>95</v>
      </c>
      <c r="J78" s="56">
        <v>10</v>
      </c>
      <c r="K78" s="57" t="s">
        <v>96</v>
      </c>
      <c r="L78" s="57" t="s">
        <v>97</v>
      </c>
      <c r="AB78" t="str">
        <f si="1" t="shared"/>
        <v>Tracy Fenn (25/01/2008 - 28/08/2009)</v>
      </c>
    </row>
    <row r="79" spans="1:29" x14ac:dyDescent="0.2">
      <c r="A79" s="56">
        <v>70</v>
      </c>
      <c r="B79" s="57" t="s">
        <v>119</v>
      </c>
      <c r="C79" s="56">
        <v>104</v>
      </c>
      <c r="D79" s="57" t="s">
        <v>190</v>
      </c>
      <c r="E79" s="58">
        <v>39251</v>
      </c>
      <c r="F79" s="58">
        <v>39434</v>
      </c>
      <c r="G79" s="56">
        <v>550</v>
      </c>
      <c r="H79" s="57" t="s">
        <v>29</v>
      </c>
      <c r="I79" s="57" t="s">
        <v>95</v>
      </c>
      <c r="J79" s="56">
        <v>10</v>
      </c>
      <c r="K79" s="57" t="s">
        <v>96</v>
      </c>
      <c r="L79" s="57" t="s">
        <v>97</v>
      </c>
      <c r="AB79" t="str">
        <f si="1" t="shared"/>
        <v>Daysh (18/06/2007 - 18/12/2007)</v>
      </c>
    </row>
    <row r="80" spans="1:29" x14ac:dyDescent="0.2">
      <c r="A80" s="56">
        <v>70</v>
      </c>
      <c r="B80" s="57" t="s">
        <v>119</v>
      </c>
      <c r="C80" s="56">
        <v>85</v>
      </c>
      <c r="D80" s="57" t="s">
        <v>120</v>
      </c>
      <c r="E80" s="58">
        <v>39023</v>
      </c>
      <c r="F80" s="58">
        <v>39172</v>
      </c>
      <c r="G80" s="56">
        <v>530</v>
      </c>
      <c r="H80" s="57" t="s">
        <v>29</v>
      </c>
      <c r="I80" s="57" t="s">
        <v>95</v>
      </c>
      <c r="J80" s="56">
        <v>10</v>
      </c>
      <c r="K80" s="57" t="s">
        <v>96</v>
      </c>
      <c r="L80" s="57" t="s">
        <v>97</v>
      </c>
      <c r="AB80" t="str">
        <f si="1" t="shared"/>
        <v>Mohammed  (02/11/2006 - 31/03/2007)</v>
      </c>
    </row>
    <row r="81" spans="1:29" x14ac:dyDescent="0.2">
      <c r="A81" s="56">
        <v>70</v>
      </c>
      <c r="B81" s="57" t="s">
        <v>119</v>
      </c>
      <c r="C81" s="56">
        <v>76</v>
      </c>
      <c r="D81" s="57" t="s">
        <v>121</v>
      </c>
      <c r="E81" s="58">
        <v>38754</v>
      </c>
      <c r="F81" s="58">
        <v>38999</v>
      </c>
      <c r="G81" s="56">
        <v>530</v>
      </c>
      <c r="H81" s="57" t="s">
        <v>29</v>
      </c>
      <c r="I81" s="57" t="s">
        <v>114</v>
      </c>
      <c r="J81" s="56">
        <v>8</v>
      </c>
      <c r="K81" s="57" t="s">
        <v>96</v>
      </c>
      <c r="L81" s="57" t="s">
        <v>101</v>
      </c>
      <c r="AB81" t="str">
        <f si="1" t="shared"/>
        <v>Franks (06/02/2006 - 09/10/2006)</v>
      </c>
    </row>
    <row r="82" spans="1:29" x14ac:dyDescent="0.2">
      <c r="A82" s="56">
        <v>54</v>
      </c>
      <c r="B82" s="57" t="s">
        <v>71</v>
      </c>
      <c r="C82" s="56">
        <v>224</v>
      </c>
      <c r="D82" s="57" t="s">
        <v>344</v>
      </c>
      <c r="E82" s="58">
        <v>41339</v>
      </c>
      <c r="F82" s="57"/>
      <c r="G82" s="56">
        <v>500</v>
      </c>
      <c r="H82" s="57" t="s">
        <v>29</v>
      </c>
      <c r="I82" s="57" t="s">
        <v>95</v>
      </c>
      <c r="J82" s="56">
        <v>10</v>
      </c>
      <c r="K82" s="57" t="s">
        <v>96</v>
      </c>
      <c r="L82" s="57" t="s">
        <v>97</v>
      </c>
      <c r="AB82" t="str">
        <f si="1" t="shared"/>
        <v>McIIwraith (06/03/2013 - present)</v>
      </c>
    </row>
    <row r="83" spans="1:29" x14ac:dyDescent="0.2">
      <c r="A83" s="56">
        <v>54</v>
      </c>
      <c r="B83" s="57" t="s">
        <v>71</v>
      </c>
      <c r="C83" s="56">
        <v>216</v>
      </c>
      <c r="D83" s="57" t="s">
        <v>334</v>
      </c>
      <c r="E83" s="58">
        <v>41033</v>
      </c>
      <c r="F83" s="58">
        <v>41333</v>
      </c>
      <c r="G83" s="56">
        <v>560</v>
      </c>
      <c r="H83" s="57" t="s">
        <v>29</v>
      </c>
      <c r="I83" s="57" t="s">
        <v>95</v>
      </c>
      <c r="J83" s="56">
        <v>10</v>
      </c>
      <c r="K83" s="57" t="s">
        <v>96</v>
      </c>
      <c r="L83" s="57" t="s">
        <v>97</v>
      </c>
      <c r="AB83" t="str">
        <f si="1" t="shared"/>
        <v>N Stephens &amp; S Smith (04/05/2012 - 28/02/2013)</v>
      </c>
    </row>
    <row customFormat="1" r="84" s="51" spans="1:29" x14ac:dyDescent="0.2">
      <c r="A84" s="56">
        <v>54</v>
      </c>
      <c r="B84" s="57" t="s">
        <v>71</v>
      </c>
      <c r="C84" s="56">
        <v>185</v>
      </c>
      <c r="D84" s="57" t="s">
        <v>307</v>
      </c>
      <c r="E84" s="58">
        <v>40449</v>
      </c>
      <c r="F84" s="58">
        <v>40988</v>
      </c>
      <c r="G84" s="56">
        <v>560</v>
      </c>
      <c r="H84" s="57" t="s">
        <v>29</v>
      </c>
      <c r="I84" s="57" t="s">
        <v>95</v>
      </c>
      <c r="J84" s="56">
        <v>10</v>
      </c>
      <c r="K84" s="57" t="s">
        <v>96</v>
      </c>
      <c r="L84" s="57" t="s">
        <v>97</v>
      </c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 t="str">
        <f si="1" t="shared"/>
        <v>Butt (28/09/2010 - 20/03/2012)</v>
      </c>
      <c r="AC84"/>
    </row>
    <row r="85" spans="1:29" x14ac:dyDescent="0.2">
      <c r="A85" s="56">
        <v>54</v>
      </c>
      <c r="B85" s="57" t="s">
        <v>71</v>
      </c>
      <c r="C85" s="56">
        <v>175</v>
      </c>
      <c r="D85" s="57" t="s">
        <v>295</v>
      </c>
      <c r="E85" s="58">
        <v>40319</v>
      </c>
      <c r="F85" s="58">
        <v>40390</v>
      </c>
      <c r="G85" s="56">
        <v>580</v>
      </c>
      <c r="H85" s="57" t="s">
        <v>29</v>
      </c>
      <c r="I85" s="57" t="s">
        <v>95</v>
      </c>
      <c r="J85" s="56">
        <v>10</v>
      </c>
      <c r="K85" s="57" t="s">
        <v>96</v>
      </c>
      <c r="L85" s="57" t="s">
        <v>97</v>
      </c>
      <c r="AB85" t="str">
        <f si="1" t="shared"/>
        <v>Barber &amp; Talley (21/05/2010 - 31/07/2010)</v>
      </c>
    </row>
    <row r="86" spans="1:29" x14ac:dyDescent="0.2">
      <c r="A86" s="56">
        <v>54</v>
      </c>
      <c r="B86" s="57" t="s">
        <v>71</v>
      </c>
      <c r="C86" s="56">
        <v>77</v>
      </c>
      <c r="D86" s="57" t="s">
        <v>14</v>
      </c>
      <c r="E86" s="58">
        <v>39015</v>
      </c>
      <c r="F86" s="58">
        <v>40234</v>
      </c>
      <c r="G86" s="56">
        <v>550</v>
      </c>
      <c r="H86" s="57" t="s">
        <v>29</v>
      </c>
      <c r="I86" s="57" t="s">
        <v>95</v>
      </c>
      <c r="J86" s="56">
        <v>10</v>
      </c>
      <c r="K86" s="57" t="s">
        <v>96</v>
      </c>
      <c r="L86" s="57" t="s">
        <v>97</v>
      </c>
      <c r="AB86" t="str">
        <f si="1" t="shared"/>
        <v>McPake (25/10/2006 - 25/02/2010)</v>
      </c>
    </row>
    <row r="87" spans="1:29" x14ac:dyDescent="0.2">
      <c r="A87" s="56">
        <v>55</v>
      </c>
      <c r="B87" s="57" t="s">
        <v>72</v>
      </c>
      <c r="C87" s="56">
        <v>249</v>
      </c>
      <c r="D87" s="57" t="s">
        <v>367</v>
      </c>
      <c r="E87" s="58">
        <v>42082</v>
      </c>
      <c r="F87" s="57"/>
      <c r="G87" s="56">
        <v>500</v>
      </c>
      <c r="H87" s="57" t="s">
        <v>29</v>
      </c>
      <c r="I87" s="57" t="s">
        <v>95</v>
      </c>
      <c r="J87" s="56">
        <v>10</v>
      </c>
      <c r="K87" s="57" t="s">
        <v>96</v>
      </c>
      <c r="L87" s="57" t="s">
        <v>97</v>
      </c>
      <c r="AB87" t="str">
        <f si="1" t="shared"/>
        <v>Mr Milligan (19/03/2015 - present)</v>
      </c>
    </row>
    <row r="88" spans="1:29" x14ac:dyDescent="0.2">
      <c r="A88" s="56">
        <v>55</v>
      </c>
      <c r="B88" s="57" t="s">
        <v>72</v>
      </c>
      <c r="C88" s="56">
        <v>243</v>
      </c>
      <c r="D88" s="57" t="s">
        <v>361</v>
      </c>
      <c r="E88" s="58">
        <v>41675</v>
      </c>
      <c r="F88" s="58">
        <v>42009</v>
      </c>
      <c r="G88" s="56">
        <v>500</v>
      </c>
      <c r="H88" s="57" t="s">
        <v>29</v>
      </c>
      <c r="I88" s="57" t="s">
        <v>95</v>
      </c>
      <c r="J88" s="56">
        <v>10</v>
      </c>
      <c r="K88" s="57" t="s">
        <v>96</v>
      </c>
      <c r="L88" s="57" t="s">
        <v>97</v>
      </c>
      <c r="AB88" t="str">
        <f si="1" t="shared"/>
        <v>Mr Lodge (05/02/2014 - 05/01/2015)</v>
      </c>
    </row>
    <row r="89" spans="1:29" x14ac:dyDescent="0.2">
      <c r="A89" s="56">
        <v>55</v>
      </c>
      <c r="B89" s="57" t="s">
        <v>72</v>
      </c>
      <c r="C89" s="56">
        <v>231</v>
      </c>
      <c r="D89" s="57" t="s">
        <v>356</v>
      </c>
      <c r="E89" s="58">
        <v>41372</v>
      </c>
      <c r="F89" s="58">
        <v>41639</v>
      </c>
      <c r="G89" s="56">
        <v>500</v>
      </c>
      <c r="H89" s="57" t="s">
        <v>29</v>
      </c>
      <c r="I89" s="57" t="s">
        <v>95</v>
      </c>
      <c r="J89" s="56">
        <v>10</v>
      </c>
      <c r="K89" s="57" t="s">
        <v>96</v>
      </c>
      <c r="L89" s="57" t="s">
        <v>97</v>
      </c>
      <c r="AA89" s="2"/>
      <c r="AB89" t="str">
        <f si="1" t="shared"/>
        <v>Ms McLachlan (08/04/2013 - 31/12/2013)</v>
      </c>
    </row>
    <row customFormat="1" r="90" s="51" spans="1:29" x14ac:dyDescent="0.2">
      <c r="A90" s="56">
        <v>55</v>
      </c>
      <c r="B90" s="57" t="s">
        <v>72</v>
      </c>
      <c r="C90" s="56">
        <v>70</v>
      </c>
      <c r="D90" s="57" t="s">
        <v>15</v>
      </c>
      <c r="E90" s="58">
        <v>38926</v>
      </c>
      <c r="F90" s="58">
        <v>41364</v>
      </c>
      <c r="G90" s="56">
        <v>495</v>
      </c>
      <c r="H90" s="57" t="s">
        <v>29</v>
      </c>
      <c r="I90" s="57" t="s">
        <v>95</v>
      </c>
      <c r="J90" s="56">
        <v>10</v>
      </c>
      <c r="K90" s="57" t="s">
        <v>96</v>
      </c>
      <c r="L90" s="57" t="s">
        <v>97</v>
      </c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 s="2"/>
      <c r="AB90" t="str">
        <f si="1" t="shared"/>
        <v>B. Flemming (28/07/2006 - 31/03/2013)</v>
      </c>
      <c r="AC90"/>
    </row>
    <row r="91" spans="1:29" x14ac:dyDescent="0.2">
      <c r="A91" s="56">
        <v>65</v>
      </c>
      <c r="B91" s="57" t="s">
        <v>75</v>
      </c>
      <c r="C91" s="56">
        <v>97</v>
      </c>
      <c r="D91" s="57" t="s">
        <v>89</v>
      </c>
      <c r="E91" s="58">
        <v>39094</v>
      </c>
      <c r="F91" s="57"/>
      <c r="G91" s="56">
        <v>495</v>
      </c>
      <c r="H91" s="57" t="s">
        <v>29</v>
      </c>
      <c r="I91" s="57" t="s">
        <v>95</v>
      </c>
      <c r="J91" s="56">
        <v>10</v>
      </c>
      <c r="K91" s="57" t="s">
        <v>96</v>
      </c>
      <c r="L91" s="57" t="s">
        <v>97</v>
      </c>
      <c r="AB91" t="str">
        <f si="1" t="shared"/>
        <v>Moran (12/01/2007 - present)</v>
      </c>
    </row>
    <row r="92" spans="1:29" x14ac:dyDescent="0.2">
      <c r="A92" s="56">
        <v>65</v>
      </c>
      <c r="B92" s="57" t="s">
        <v>75</v>
      </c>
      <c r="C92" s="56">
        <v>71</v>
      </c>
      <c r="D92" s="57" t="s">
        <v>17</v>
      </c>
      <c r="E92" s="58">
        <v>38925</v>
      </c>
      <c r="F92" s="58">
        <v>39082</v>
      </c>
      <c r="G92" s="56">
        <v>495</v>
      </c>
      <c r="H92" s="57" t="s">
        <v>29</v>
      </c>
      <c r="I92" s="57" t="s">
        <v>95</v>
      </c>
      <c r="J92" s="56">
        <v>10</v>
      </c>
      <c r="K92" s="57" t="s">
        <v>96</v>
      </c>
      <c r="L92" s="57" t="s">
        <v>97</v>
      </c>
      <c r="AB92" t="str">
        <f si="1" t="shared"/>
        <v>Chalk  (27/07/2006 - 31/12/2006)</v>
      </c>
    </row>
    <row customFormat="1" r="93" s="51" spans="1:29" x14ac:dyDescent="0.2">
      <c r="A93" s="155">
        <v>26</v>
      </c>
      <c r="B93" s="156" t="s">
        <v>224</v>
      </c>
      <c r="C93" s="155"/>
      <c r="D93" s="156" t="s">
        <v>569</v>
      </c>
      <c r="E93" s="157">
        <v>43524</v>
      </c>
      <c r="F93" s="157"/>
      <c r="G93" s="155">
        <v>500</v>
      </c>
      <c r="H93" s="156" t="s">
        <v>29</v>
      </c>
      <c r="I93" s="53" t="s">
        <v>568</v>
      </c>
      <c r="J93" s="155">
        <v>6</v>
      </c>
      <c r="K93" s="53" t="s">
        <v>96</v>
      </c>
      <c r="L93" s="53" t="s">
        <v>97</v>
      </c>
      <c r="AB93" s="135" t="s">
        <v>570</v>
      </c>
    </row>
    <row r="94" spans="1:29" x14ac:dyDescent="0.2">
      <c r="A94" s="56">
        <v>26</v>
      </c>
      <c r="B94" s="57" t="s">
        <v>224</v>
      </c>
      <c r="C94" s="56">
        <v>250</v>
      </c>
      <c r="D94" s="57" t="s">
        <v>372</v>
      </c>
      <c r="E94" s="58">
        <v>42104</v>
      </c>
      <c r="F94" s="57"/>
      <c r="G94" s="56">
        <v>515</v>
      </c>
      <c r="H94" s="57" t="s">
        <v>29</v>
      </c>
      <c r="I94" s="57" t="s">
        <v>95</v>
      </c>
      <c r="J94" s="56">
        <v>10</v>
      </c>
      <c r="K94" s="57" t="s">
        <v>96</v>
      </c>
      <c r="L94" s="57" t="s">
        <v>97</v>
      </c>
      <c r="AB94" t="str">
        <f si="1" t="shared"/>
        <v>J Hill (10/04/2015 - present)</v>
      </c>
    </row>
    <row r="95" spans="1:29" x14ac:dyDescent="0.2">
      <c r="A95" s="56">
        <v>26</v>
      </c>
      <c r="B95" s="57" t="s">
        <v>224</v>
      </c>
      <c r="C95" s="56">
        <v>217</v>
      </c>
      <c r="D95" s="57" t="s">
        <v>336</v>
      </c>
      <c r="E95" s="58">
        <v>41103</v>
      </c>
      <c r="F95" s="58">
        <v>42070</v>
      </c>
      <c r="G95" s="56">
        <v>475</v>
      </c>
      <c r="H95" s="57" t="s">
        <v>29</v>
      </c>
      <c r="I95" s="57" t="s">
        <v>197</v>
      </c>
      <c r="J95" s="56">
        <v>0</v>
      </c>
      <c r="K95" s="57" t="s">
        <v>175</v>
      </c>
      <c r="L95" s="57" t="s">
        <v>101</v>
      </c>
      <c r="AB95" t="str">
        <f si="1" t="shared"/>
        <v>Basam Yacoub (13/07/2012 - 07/03/2015)</v>
      </c>
    </row>
    <row r="96" spans="1:29" x14ac:dyDescent="0.2">
      <c r="A96" s="56">
        <v>26</v>
      </c>
      <c r="B96" s="57" t="s">
        <v>224</v>
      </c>
      <c r="C96" s="56">
        <v>205</v>
      </c>
      <c r="D96" s="57" t="s">
        <v>325</v>
      </c>
      <c r="E96" s="58">
        <v>40763</v>
      </c>
      <c r="F96" s="58">
        <v>41072</v>
      </c>
      <c r="G96" s="56">
        <v>460</v>
      </c>
      <c r="H96" s="57" t="s">
        <v>29</v>
      </c>
      <c r="I96" s="57" t="s">
        <v>197</v>
      </c>
      <c r="J96" s="56">
        <v>0</v>
      </c>
      <c r="K96" s="57" t="s">
        <v>175</v>
      </c>
      <c r="L96" s="57" t="s">
        <v>101</v>
      </c>
      <c r="AA96" s="2"/>
      <c r="AB96" t="str">
        <f si="1" t="shared"/>
        <v>Oliver Williams &amp; Lisa Pearce (08/08/2011 - 12/06/2012)</v>
      </c>
    </row>
    <row r="97" spans="1:29" x14ac:dyDescent="0.2">
      <c r="A97" s="56">
        <v>26</v>
      </c>
      <c r="B97" s="57" t="s">
        <v>224</v>
      </c>
      <c r="C97" s="56">
        <v>183</v>
      </c>
      <c r="D97" s="57" t="s">
        <v>305</v>
      </c>
      <c r="E97" s="58">
        <v>40439</v>
      </c>
      <c r="F97" s="58">
        <v>40636</v>
      </c>
      <c r="G97" s="56">
        <v>460</v>
      </c>
      <c r="H97" s="57" t="s">
        <v>29</v>
      </c>
      <c r="I97" s="57" t="s">
        <v>197</v>
      </c>
      <c r="J97" s="56">
        <v>0</v>
      </c>
      <c r="K97" s="57" t="s">
        <v>175</v>
      </c>
      <c r="L97" s="57" t="s">
        <v>101</v>
      </c>
      <c r="AB97" t="str">
        <f si="1" t="shared"/>
        <v>Olivia Chaffe (18/09/2010 - 03/04/2011)</v>
      </c>
    </row>
    <row r="98" spans="1:29" x14ac:dyDescent="0.2">
      <c r="A98" s="56">
        <v>26</v>
      </c>
      <c r="B98" s="57" t="s">
        <v>224</v>
      </c>
      <c r="C98" s="56">
        <v>147</v>
      </c>
      <c r="D98" s="57" t="s">
        <v>263</v>
      </c>
      <c r="E98" s="58">
        <v>39779</v>
      </c>
      <c r="F98" s="58">
        <v>40386</v>
      </c>
      <c r="G98" s="56">
        <v>450</v>
      </c>
      <c r="H98" s="57" t="s">
        <v>29</v>
      </c>
      <c r="I98" s="57" t="s">
        <v>197</v>
      </c>
      <c r="J98" s="56">
        <v>0</v>
      </c>
      <c r="K98" s="57" t="s">
        <v>175</v>
      </c>
      <c r="L98" s="57" t="s">
        <v>101</v>
      </c>
      <c r="AB98" t="str">
        <f si="1" t="shared"/>
        <v>Wanchai Sribang (27/11/2008 - 27/07/2010)</v>
      </c>
    </row>
    <row r="99" spans="1:29" x14ac:dyDescent="0.2">
      <c r="A99" s="56">
        <v>26</v>
      </c>
      <c r="B99" s="57" t="s">
        <v>224</v>
      </c>
      <c r="C99" s="56">
        <v>125</v>
      </c>
      <c r="D99" s="57" t="s">
        <v>225</v>
      </c>
      <c r="E99" s="58">
        <v>39193</v>
      </c>
      <c r="F99" s="58">
        <v>39745</v>
      </c>
      <c r="G99" s="56">
        <v>400</v>
      </c>
      <c r="H99" s="57" t="s">
        <v>29</v>
      </c>
      <c r="I99" s="57" t="s">
        <v>197</v>
      </c>
      <c r="J99" s="56">
        <v>0</v>
      </c>
      <c r="K99" s="57" t="s">
        <v>175</v>
      </c>
      <c r="L99" s="57" t="s">
        <v>101</v>
      </c>
      <c r="AB99" t="str">
        <f si="1" t="shared"/>
        <v>Mr S Webster (21/04/2007 - 24/10/2008)</v>
      </c>
    </row>
    <row r="100" spans="1:29" x14ac:dyDescent="0.2">
      <c r="A100" s="56">
        <v>22</v>
      </c>
      <c r="B100" s="57" t="s">
        <v>226</v>
      </c>
      <c r="C100" s="56">
        <v>155</v>
      </c>
      <c r="D100" s="57" t="s">
        <v>273</v>
      </c>
      <c r="E100" s="58">
        <v>39990</v>
      </c>
      <c r="F100" s="57"/>
      <c r="G100" s="56">
        <v>500</v>
      </c>
      <c r="H100" s="57" t="s">
        <v>29</v>
      </c>
      <c r="I100" s="57" t="s">
        <v>95</v>
      </c>
      <c r="J100" s="56">
        <v>10</v>
      </c>
      <c r="K100" s="57" t="s">
        <v>96</v>
      </c>
      <c r="L100" s="57" t="s">
        <v>97</v>
      </c>
      <c r="AB100" t="str">
        <f si="1" t="shared"/>
        <v>Dionne McLaughlin (26/06/2009 - present)</v>
      </c>
    </row>
    <row r="101" spans="1:29" x14ac:dyDescent="0.2">
      <c r="A101" s="56">
        <v>22</v>
      </c>
      <c r="B101" s="57" t="s">
        <v>226</v>
      </c>
      <c r="C101" s="56">
        <v>131</v>
      </c>
      <c r="D101" s="57" t="s">
        <v>253</v>
      </c>
      <c r="E101" s="58">
        <v>39626</v>
      </c>
      <c r="F101" s="58">
        <v>39903</v>
      </c>
      <c r="G101" s="56">
        <v>425</v>
      </c>
      <c r="H101" s="57" t="s">
        <v>29</v>
      </c>
      <c r="I101" s="57" t="s">
        <v>197</v>
      </c>
      <c r="J101" s="56">
        <v>0</v>
      </c>
      <c r="K101" s="57" t="s">
        <v>175</v>
      </c>
      <c r="L101" s="57" t="s">
        <v>101</v>
      </c>
      <c r="AB101" t="str">
        <f si="1" t="shared"/>
        <v>Mr Arkadiusz Slowinski &amp; Miss Ewelina Skladanowska (27/06/2008 - 31/03/2009)</v>
      </c>
    </row>
    <row r="102" spans="1:29" x14ac:dyDescent="0.2">
      <c r="A102" s="56">
        <v>22</v>
      </c>
      <c r="B102" s="57" t="s">
        <v>226</v>
      </c>
      <c r="C102" s="56">
        <v>122</v>
      </c>
      <c r="D102" s="57" t="s">
        <v>199</v>
      </c>
      <c r="E102" s="58">
        <v>39508</v>
      </c>
      <c r="F102" s="58">
        <v>39586</v>
      </c>
      <c r="G102" s="56">
        <v>400</v>
      </c>
      <c r="H102" s="57" t="s">
        <v>29</v>
      </c>
      <c r="I102" s="57" t="s">
        <v>197</v>
      </c>
      <c r="J102" s="56">
        <v>0</v>
      </c>
      <c r="K102" s="57" t="s">
        <v>175</v>
      </c>
      <c r="L102" s="57" t="s">
        <v>101</v>
      </c>
      <c r="M102" s="51"/>
      <c r="N102" s="51"/>
      <c r="O102" s="51"/>
      <c r="P102" s="51"/>
      <c r="Q102" s="51"/>
      <c r="R102" s="51"/>
      <c r="S102" s="51"/>
      <c r="T102" s="51"/>
      <c r="U102" s="51"/>
      <c r="V102" s="51"/>
      <c r="W102" s="51"/>
      <c r="X102" s="51"/>
      <c r="Y102" s="51"/>
      <c r="Z102" s="51"/>
      <c r="AA102" s="51"/>
      <c r="AB102" s="51" t="str">
        <f si="1" t="shared"/>
        <v>Hannah Woodhouse (01/03/2008 - 18/05/2008)</v>
      </c>
      <c r="AC102" s="51"/>
    </row>
    <row r="103" spans="1:29" x14ac:dyDescent="0.2">
      <c r="A103" s="56">
        <v>21</v>
      </c>
      <c r="B103" s="57" t="s">
        <v>227</v>
      </c>
      <c r="C103" s="56">
        <v>272</v>
      </c>
      <c r="D103" s="57" t="s">
        <v>390</v>
      </c>
      <c r="E103" s="58">
        <v>42480</v>
      </c>
      <c r="F103" s="57"/>
      <c r="G103" s="56">
        <v>610</v>
      </c>
      <c r="H103" s="57" t="s">
        <v>29</v>
      </c>
      <c r="I103" s="57" t="s">
        <v>95</v>
      </c>
      <c r="J103" s="56">
        <v>10</v>
      </c>
      <c r="K103" s="57" t="s">
        <v>96</v>
      </c>
      <c r="L103" s="57" t="s">
        <v>97</v>
      </c>
      <c r="AB103" t="str">
        <f si="1" t="shared"/>
        <v>Miss S O'Brien (20/04/2016 - present)</v>
      </c>
    </row>
    <row r="104" spans="1:29" x14ac:dyDescent="0.2">
      <c r="A104" s="56">
        <v>21</v>
      </c>
      <c r="B104" s="57" t="s">
        <v>227</v>
      </c>
      <c r="C104" s="56">
        <v>123</v>
      </c>
      <c r="D104" s="57" t="s">
        <v>391</v>
      </c>
      <c r="E104" s="58">
        <v>39508</v>
      </c>
      <c r="F104" s="58">
        <v>42459</v>
      </c>
      <c r="G104" s="56">
        <v>525</v>
      </c>
      <c r="H104" s="57" t="s">
        <v>29</v>
      </c>
      <c r="I104" s="57" t="s">
        <v>197</v>
      </c>
      <c r="J104" s="56">
        <v>0</v>
      </c>
      <c r="K104" s="57" t="s">
        <v>175</v>
      </c>
      <c r="L104" s="57" t="s">
        <v>101</v>
      </c>
      <c r="AB104" t="str">
        <f si="1" t="shared"/>
        <v>Stepek (01/03/2008 - 30/03/2016)</v>
      </c>
    </row>
    <row r="105" spans="1:29" x14ac:dyDescent="0.2">
      <c r="A105" s="56">
        <v>9</v>
      </c>
      <c r="B105" s="57" t="s">
        <v>60</v>
      </c>
      <c r="C105" s="56">
        <v>276</v>
      </c>
      <c r="D105" s="57" t="s">
        <v>403</v>
      </c>
      <c r="E105" s="58">
        <v>42597</v>
      </c>
      <c r="F105" s="57"/>
      <c r="G105" s="56">
        <v>505</v>
      </c>
      <c r="H105" s="57" t="s">
        <v>29</v>
      </c>
      <c r="I105" s="57" t="s">
        <v>95</v>
      </c>
      <c r="J105" s="56">
        <v>10</v>
      </c>
      <c r="K105" s="57" t="s">
        <v>96</v>
      </c>
      <c r="L105" s="57" t="s">
        <v>97</v>
      </c>
      <c r="AB105" t="str">
        <f si="1" t="shared"/>
        <v>Mr Peter Grant (15/08/2016 - present)</v>
      </c>
    </row>
    <row r="106" spans="1:29" x14ac:dyDescent="0.2">
      <c r="A106" s="56">
        <v>9</v>
      </c>
      <c r="B106" s="57" t="s">
        <v>60</v>
      </c>
      <c r="C106" s="56">
        <v>201</v>
      </c>
      <c r="D106" s="57" t="s">
        <v>320</v>
      </c>
      <c r="E106" s="58">
        <v>40695</v>
      </c>
      <c r="F106" s="58">
        <v>42460</v>
      </c>
      <c r="G106" s="56">
        <v>495</v>
      </c>
      <c r="H106" s="57" t="s">
        <v>29</v>
      </c>
      <c r="I106" s="57" t="s">
        <v>95</v>
      </c>
      <c r="J106" s="56">
        <v>10</v>
      </c>
      <c r="K106" s="57" t="s">
        <v>96</v>
      </c>
      <c r="L106" s="57" t="s">
        <v>97</v>
      </c>
      <c r="AB106" t="str">
        <f si="1" t="shared"/>
        <v>Mr I Squires (01/06/2011 - 31/03/2016)</v>
      </c>
    </row>
    <row r="107" spans="1:29" x14ac:dyDescent="0.2">
      <c r="A107" s="56">
        <v>9</v>
      </c>
      <c r="B107" s="57" t="s">
        <v>60</v>
      </c>
      <c r="C107" s="56">
        <v>100</v>
      </c>
      <c r="D107" s="57" t="s">
        <v>98</v>
      </c>
      <c r="E107" s="58">
        <v>39162</v>
      </c>
      <c r="F107" s="58">
        <v>40654</v>
      </c>
      <c r="G107" s="56">
        <v>500</v>
      </c>
      <c r="H107" s="57" t="s">
        <v>29</v>
      </c>
      <c r="I107" s="57" t="s">
        <v>95</v>
      </c>
      <c r="J107" s="56">
        <v>10</v>
      </c>
      <c r="K107" s="57" t="s">
        <v>96</v>
      </c>
      <c r="L107" s="57" t="s">
        <v>97</v>
      </c>
      <c r="AB107" t="str">
        <f si="1" t="shared"/>
        <v>Legg &amp; Thomas (21/03/2007 - 21/04/2011)</v>
      </c>
    </row>
    <row r="108" spans="1:29" x14ac:dyDescent="0.2">
      <c r="A108" s="56">
        <v>9</v>
      </c>
      <c r="B108" s="57" t="s">
        <v>60</v>
      </c>
      <c r="C108" s="56">
        <v>54</v>
      </c>
      <c r="D108" s="57" t="s">
        <v>9</v>
      </c>
      <c r="E108" s="58">
        <v>38887</v>
      </c>
      <c r="F108" s="58">
        <v>39103</v>
      </c>
      <c r="G108" s="56">
        <v>424.64</v>
      </c>
      <c r="H108" s="57" t="s">
        <v>28</v>
      </c>
      <c r="I108" s="57" t="s">
        <v>95</v>
      </c>
      <c r="J108" s="56">
        <v>10</v>
      </c>
      <c r="K108" s="57" t="s">
        <v>96</v>
      </c>
      <c r="L108" s="57" t="s">
        <v>97</v>
      </c>
      <c r="AB108" t="str">
        <f si="1" t="shared"/>
        <v>Williams (19/06/2006 - 21/01/2007)</v>
      </c>
    </row>
    <row r="109" spans="1:29" x14ac:dyDescent="0.2">
      <c r="A109" s="56">
        <v>9</v>
      </c>
      <c r="B109" s="57" t="s">
        <v>60</v>
      </c>
      <c r="C109" s="56">
        <v>25</v>
      </c>
      <c r="D109" s="57" t="s">
        <v>46</v>
      </c>
      <c r="E109" s="58">
        <v>38467</v>
      </c>
      <c r="F109" s="58">
        <v>38852</v>
      </c>
      <c r="G109" s="56">
        <v>415.4</v>
      </c>
      <c r="H109" s="57" t="s">
        <v>28</v>
      </c>
      <c r="I109" s="57" t="s">
        <v>95</v>
      </c>
      <c r="J109" s="56">
        <v>10</v>
      </c>
      <c r="K109" s="57" t="s">
        <v>96</v>
      </c>
      <c r="L109" s="57" t="s">
        <v>97</v>
      </c>
      <c r="AB109" t="str">
        <f si="1" t="shared"/>
        <v>Riley (25/04/2005 - 15/05/2006)</v>
      </c>
    </row>
    <row r="110" spans="1:29" x14ac:dyDescent="0.2">
      <c r="A110" s="56">
        <v>9</v>
      </c>
      <c r="B110" s="57" t="s">
        <v>60</v>
      </c>
      <c r="C110" s="56">
        <v>17</v>
      </c>
      <c r="D110" s="57" t="s">
        <v>47</v>
      </c>
      <c r="E110" s="58">
        <v>38191</v>
      </c>
      <c r="F110" s="58">
        <v>38440</v>
      </c>
      <c r="G110" s="56">
        <v>450</v>
      </c>
      <c r="H110" s="57" t="s">
        <v>29</v>
      </c>
      <c r="I110" s="57" t="s">
        <v>95</v>
      </c>
      <c r="J110" s="56">
        <v>10</v>
      </c>
      <c r="K110" s="57" t="s">
        <v>96</v>
      </c>
      <c r="L110" s="57" t="s">
        <v>97</v>
      </c>
      <c r="AB110" t="str">
        <f si="1" t="shared"/>
        <v>McAvery (23/07/2004 - 29/03/2005)</v>
      </c>
    </row>
    <row r="111" spans="1:29" x14ac:dyDescent="0.2">
      <c r="A111" s="56">
        <v>6</v>
      </c>
      <c r="B111" s="57" t="s">
        <v>58</v>
      </c>
      <c r="C111" s="56">
        <v>244</v>
      </c>
      <c r="D111" s="57" t="s">
        <v>374</v>
      </c>
      <c r="E111" s="58">
        <v>41740</v>
      </c>
      <c r="F111" s="57"/>
      <c r="G111" s="56">
        <v>500</v>
      </c>
      <c r="H111" s="57" t="s">
        <v>29</v>
      </c>
      <c r="I111" s="57" t="s">
        <v>95</v>
      </c>
      <c r="J111" s="56">
        <v>10</v>
      </c>
      <c r="K111" s="57" t="s">
        <v>96</v>
      </c>
      <c r="L111" s="57" t="s">
        <v>97</v>
      </c>
      <c r="AB111" t="str">
        <f si="1" t="shared"/>
        <v>Lee Knowles (11/04/2014 - present)</v>
      </c>
    </row>
    <row customFormat="1" r="112" s="51" spans="1:29" x14ac:dyDescent="0.2">
      <c r="A112" s="56">
        <v>6</v>
      </c>
      <c r="B112" s="57" t="s">
        <v>58</v>
      </c>
      <c r="C112" s="56">
        <v>200</v>
      </c>
      <c r="D112" s="57" t="s">
        <v>319</v>
      </c>
      <c r="E112" s="58">
        <v>40674</v>
      </c>
      <c r="F112" s="58">
        <v>41698</v>
      </c>
      <c r="G112" s="56">
        <v>450</v>
      </c>
      <c r="H112" s="57" t="s">
        <v>29</v>
      </c>
      <c r="I112" s="57" t="s">
        <v>95</v>
      </c>
      <c r="J112" s="56">
        <v>10</v>
      </c>
      <c r="K112" s="57" t="s">
        <v>96</v>
      </c>
      <c r="L112" s="57" t="s">
        <v>97</v>
      </c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 t="str">
        <f si="1" t="shared"/>
        <v>Britten (11/05/2011 - 28/02/2014)</v>
      </c>
      <c r="AC112"/>
    </row>
    <row r="113" spans="1:29" x14ac:dyDescent="0.2">
      <c r="A113" s="56">
        <v>6</v>
      </c>
      <c r="B113" s="57" t="s">
        <v>58</v>
      </c>
      <c r="C113" s="56">
        <v>112</v>
      </c>
      <c r="D113" s="57" t="s">
        <v>194</v>
      </c>
      <c r="E113" s="58">
        <v>39349</v>
      </c>
      <c r="F113" s="58">
        <v>40653</v>
      </c>
      <c r="G113" s="56">
        <v>450</v>
      </c>
      <c r="H113" s="57" t="s">
        <v>29</v>
      </c>
      <c r="I113" s="57" t="s">
        <v>95</v>
      </c>
      <c r="J113" s="56">
        <v>10</v>
      </c>
      <c r="K113" s="57" t="s">
        <v>96</v>
      </c>
      <c r="L113" s="57" t="s">
        <v>97</v>
      </c>
      <c r="AB113" t="str">
        <f si="1" t="shared"/>
        <v>Couldwell (24/09/2007 - 20/04/2011)</v>
      </c>
    </row>
    <row r="114" spans="1:29" x14ac:dyDescent="0.2">
      <c r="A114" s="56">
        <v>6</v>
      </c>
      <c r="B114" s="57" t="s">
        <v>58</v>
      </c>
      <c r="C114" s="56">
        <v>21</v>
      </c>
      <c r="D114" s="57" t="s">
        <v>11</v>
      </c>
      <c r="E114" s="58">
        <v>38285</v>
      </c>
      <c r="F114" s="58">
        <v>39314</v>
      </c>
      <c r="G114" s="56">
        <v>378.48</v>
      </c>
      <c r="H114" s="57" t="s">
        <v>28</v>
      </c>
      <c r="I114" s="57" t="s">
        <v>95</v>
      </c>
      <c r="J114" s="56">
        <v>10</v>
      </c>
      <c r="K114" s="57" t="s">
        <v>96</v>
      </c>
      <c r="L114" s="57" t="s">
        <v>97</v>
      </c>
      <c r="AB114" t="str">
        <f si="1" t="shared"/>
        <v>Barter (25/10/2004 - 20/08/2007)</v>
      </c>
    </row>
    <row r="115" spans="1:29" x14ac:dyDescent="0.2">
      <c r="A115" s="56">
        <v>6</v>
      </c>
      <c r="B115" s="57" t="s">
        <v>58</v>
      </c>
      <c r="C115" s="56">
        <v>13</v>
      </c>
      <c r="D115" s="57" t="s">
        <v>45</v>
      </c>
      <c r="E115" s="58">
        <v>37829</v>
      </c>
      <c r="F115" s="58">
        <v>38549</v>
      </c>
      <c r="G115" s="56">
        <v>410</v>
      </c>
      <c r="H115" s="57" t="s">
        <v>29</v>
      </c>
      <c r="I115" s="57" t="s">
        <v>95</v>
      </c>
      <c r="J115" s="56">
        <v>10</v>
      </c>
      <c r="K115" s="57" t="s">
        <v>96</v>
      </c>
      <c r="L115" s="57" t="s">
        <v>97</v>
      </c>
      <c r="AB115" t="str">
        <f si="1" t="shared"/>
        <v>Woodward (27/07/2003 - 16/07/2005)</v>
      </c>
    </row>
    <row r="116" spans="1:29" x14ac:dyDescent="0.2">
      <c r="A116" s="56">
        <v>74</v>
      </c>
      <c r="B116" s="57" t="s">
        <v>187</v>
      </c>
      <c r="C116" s="56">
        <v>252</v>
      </c>
      <c r="D116" s="57" t="s">
        <v>371</v>
      </c>
      <c r="E116" s="58">
        <v>42096</v>
      </c>
      <c r="F116" s="57"/>
      <c r="G116" s="56">
        <v>500</v>
      </c>
      <c r="H116" s="57" t="s">
        <v>29</v>
      </c>
      <c r="I116" s="57" t="s">
        <v>95</v>
      </c>
      <c r="J116" s="56">
        <v>10</v>
      </c>
      <c r="K116" s="57" t="s">
        <v>96</v>
      </c>
      <c r="L116" s="57" t="s">
        <v>97</v>
      </c>
      <c r="AB116" t="str">
        <f si="1" t="shared"/>
        <v>Mr Pedace (02/04/2015 - present)</v>
      </c>
    </row>
    <row r="117" spans="1:29" x14ac:dyDescent="0.2">
      <c r="A117" s="56">
        <v>74</v>
      </c>
      <c r="B117" s="57" t="s">
        <v>187</v>
      </c>
      <c r="C117" s="56">
        <v>251</v>
      </c>
      <c r="D117" s="57" t="s">
        <v>367</v>
      </c>
      <c r="E117" s="58">
        <v>41901</v>
      </c>
      <c r="F117" s="58">
        <v>42082</v>
      </c>
      <c r="G117" s="56">
        <v>500</v>
      </c>
      <c r="H117" s="57" t="s">
        <v>29</v>
      </c>
      <c r="I117" s="57" t="s">
        <v>95</v>
      </c>
      <c r="J117" s="56">
        <v>10</v>
      </c>
      <c r="K117" s="57" t="s">
        <v>96</v>
      </c>
      <c r="L117" s="57" t="s">
        <v>97</v>
      </c>
      <c r="AB117" t="str">
        <f si="1" t="shared"/>
        <v>Mr Milligan (19/09/2014 - 19/03/2015)</v>
      </c>
    </row>
    <row r="118" spans="1:29" x14ac:dyDescent="0.2">
      <c r="A118" s="56">
        <v>74</v>
      </c>
      <c r="B118" s="57" t="s">
        <v>187</v>
      </c>
      <c r="C118" s="56">
        <v>219</v>
      </c>
      <c r="D118" s="57" t="s">
        <v>338</v>
      </c>
      <c r="E118" s="58">
        <v>41227</v>
      </c>
      <c r="F118" s="58">
        <v>41851</v>
      </c>
      <c r="G118" s="56">
        <v>500</v>
      </c>
      <c r="H118" s="57" t="s">
        <v>29</v>
      </c>
      <c r="I118" s="57" t="s">
        <v>95</v>
      </c>
      <c r="J118" s="56">
        <v>10</v>
      </c>
      <c r="K118" s="57" t="s">
        <v>96</v>
      </c>
      <c r="L118" s="57" t="s">
        <v>97</v>
      </c>
      <c r="AB118" t="str">
        <f si="1" t="shared"/>
        <v>D Williams (14/11/2012 - 31/07/2014)</v>
      </c>
    </row>
    <row r="119" spans="1:29" x14ac:dyDescent="0.2">
      <c r="A119" s="56">
        <v>74</v>
      </c>
      <c r="B119" s="57" t="s">
        <v>187</v>
      </c>
      <c r="C119" s="56">
        <v>106</v>
      </c>
      <c r="D119" s="57" t="s">
        <v>291</v>
      </c>
      <c r="E119" s="58">
        <v>39248</v>
      </c>
      <c r="F119" s="58">
        <v>41197</v>
      </c>
      <c r="G119" s="56">
        <v>525</v>
      </c>
      <c r="H119" s="57" t="s">
        <v>29</v>
      </c>
      <c r="I119" s="57" t="s">
        <v>95</v>
      </c>
      <c r="J119" s="56">
        <v>10</v>
      </c>
      <c r="K119" s="57" t="s">
        <v>96</v>
      </c>
      <c r="L119" s="57" t="s">
        <v>97</v>
      </c>
      <c r="AB119" t="str">
        <f si="1" t="shared"/>
        <v>K. Hughes/D. Corbin (15/06/2007 - 15/10/2012)</v>
      </c>
    </row>
    <row r="120" spans="1:29" x14ac:dyDescent="0.2">
      <c r="A120" s="56">
        <v>14</v>
      </c>
      <c r="B120" s="57" t="s">
        <v>54</v>
      </c>
      <c r="C120" s="56">
        <v>192</v>
      </c>
      <c r="D120" s="57" t="s">
        <v>311</v>
      </c>
      <c r="E120" s="58">
        <v>40485</v>
      </c>
      <c r="F120" s="57"/>
      <c r="G120" s="56">
        <v>500</v>
      </c>
      <c r="H120" s="57" t="s">
        <v>29</v>
      </c>
      <c r="I120" s="57" t="s">
        <v>95</v>
      </c>
      <c r="J120" s="56">
        <v>10</v>
      </c>
      <c r="K120" s="57" t="s">
        <v>96</v>
      </c>
      <c r="L120" s="57" t="s">
        <v>97</v>
      </c>
      <c r="AB120" t="str">
        <f si="1" t="shared"/>
        <v>N Wright (03/11/2010 - present)</v>
      </c>
    </row>
    <row r="121" spans="1:29" x14ac:dyDescent="0.2">
      <c r="A121" s="56">
        <v>14</v>
      </c>
      <c r="B121" s="57" t="s">
        <v>54</v>
      </c>
      <c r="C121" s="56">
        <v>190</v>
      </c>
      <c r="D121" s="57" t="s">
        <v>299</v>
      </c>
      <c r="E121" s="58">
        <v>40452</v>
      </c>
      <c r="F121" s="58">
        <v>40482</v>
      </c>
      <c r="G121" s="56">
        <v>500</v>
      </c>
      <c r="H121" s="57" t="s">
        <v>29</v>
      </c>
      <c r="I121" s="57" t="s">
        <v>95</v>
      </c>
      <c r="J121" s="56">
        <v>10</v>
      </c>
      <c r="K121" s="57" t="s">
        <v>96</v>
      </c>
      <c r="L121" s="57" t="s">
        <v>97</v>
      </c>
      <c r="AB121" t="str">
        <f si="1" t="shared"/>
        <v>TBD (01/10/2010 - 31/10/2010)</v>
      </c>
    </row>
    <row r="122" spans="1:29" x14ac:dyDescent="0.2">
      <c r="A122" s="56">
        <v>14</v>
      </c>
      <c r="B122" s="57" t="s">
        <v>54</v>
      </c>
      <c r="C122" s="56">
        <v>27</v>
      </c>
      <c r="D122" s="57" t="s">
        <v>38</v>
      </c>
      <c r="E122" s="58">
        <v>38561</v>
      </c>
      <c r="F122" s="58">
        <v>40349</v>
      </c>
      <c r="G122" s="56">
        <v>424.62</v>
      </c>
      <c r="H122" s="57" t="s">
        <v>28</v>
      </c>
      <c r="I122" s="57" t="s">
        <v>95</v>
      </c>
      <c r="J122" s="56">
        <v>10</v>
      </c>
      <c r="K122" s="57" t="s">
        <v>96</v>
      </c>
      <c r="L122" s="57" t="s">
        <v>97</v>
      </c>
      <c r="AB122" t="str">
        <f si="1" t="shared"/>
        <v>Lynch (28/07/2005 - 20/06/2010)</v>
      </c>
    </row>
    <row r="123" spans="1:29" x14ac:dyDescent="0.2">
      <c r="A123" s="56">
        <v>14</v>
      </c>
      <c r="B123" s="57" t="s">
        <v>54</v>
      </c>
      <c r="C123" s="56">
        <v>22</v>
      </c>
      <c r="D123" s="57" t="s">
        <v>43</v>
      </c>
      <c r="E123" s="58">
        <v>38310</v>
      </c>
      <c r="F123" s="58">
        <v>38536</v>
      </c>
      <c r="G123" s="56">
        <v>380</v>
      </c>
      <c r="H123" s="57" t="s">
        <v>29</v>
      </c>
      <c r="I123" s="57" t="s">
        <v>95</v>
      </c>
      <c r="J123" s="56">
        <v>10</v>
      </c>
      <c r="K123" s="57" t="s">
        <v>96</v>
      </c>
      <c r="L123" s="57" t="s">
        <v>97</v>
      </c>
      <c r="AB123" t="str">
        <f si="1" t="shared"/>
        <v>Hatfield (19/11/2004 - 03/07/2005)</v>
      </c>
    </row>
    <row r="124" spans="1:29" x14ac:dyDescent="0.2">
      <c r="A124" s="56">
        <v>25</v>
      </c>
      <c r="B124" s="57" t="s">
        <v>228</v>
      </c>
      <c r="C124" s="56">
        <v>264</v>
      </c>
      <c r="D124" s="57" t="s">
        <v>381</v>
      </c>
      <c r="E124" s="58">
        <v>42263</v>
      </c>
      <c r="F124" s="57"/>
      <c r="G124" s="56">
        <v>600</v>
      </c>
      <c r="H124" s="57" t="s">
        <v>29</v>
      </c>
      <c r="I124" s="57" t="s">
        <v>95</v>
      </c>
      <c r="J124" s="56">
        <v>10</v>
      </c>
      <c r="K124" s="57" t="s">
        <v>96</v>
      </c>
      <c r="L124" s="57" t="s">
        <v>97</v>
      </c>
      <c r="AB124" t="str">
        <f si="1" t="shared"/>
        <v>Ms Baziukiene (16/09/2015 - present)</v>
      </c>
    </row>
    <row customFormat="1" r="125" s="51" spans="1:29" x14ac:dyDescent="0.2">
      <c r="A125" s="56">
        <v>25</v>
      </c>
      <c r="B125" s="57" t="s">
        <v>228</v>
      </c>
      <c r="C125" s="56">
        <v>220</v>
      </c>
      <c r="D125" s="57" t="s">
        <v>339</v>
      </c>
      <c r="E125" s="58">
        <v>41264</v>
      </c>
      <c r="F125" s="58">
        <v>42237</v>
      </c>
      <c r="G125" s="56">
        <v>560</v>
      </c>
      <c r="H125" s="57" t="s">
        <v>29</v>
      </c>
      <c r="I125" s="57" t="s">
        <v>95</v>
      </c>
      <c r="J125" s="56">
        <v>10</v>
      </c>
      <c r="K125" s="57" t="s">
        <v>96</v>
      </c>
      <c r="L125" s="57" t="s">
        <v>97</v>
      </c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 t="str">
        <f si="1" t="shared"/>
        <v>L Wilcox (21/12/2012 - 21/08/2015)</v>
      </c>
      <c r="AC125"/>
    </row>
    <row r="126" spans="1:29" x14ac:dyDescent="0.2">
      <c r="A126" s="56">
        <v>25</v>
      </c>
      <c r="B126" s="57" t="s">
        <v>228</v>
      </c>
      <c r="C126" s="56">
        <v>210</v>
      </c>
      <c r="D126" s="57" t="s">
        <v>328</v>
      </c>
      <c r="E126" s="58">
        <v>40914</v>
      </c>
      <c r="F126" s="58">
        <v>41198</v>
      </c>
      <c r="G126" s="56">
        <v>595</v>
      </c>
      <c r="H126" s="57" t="s">
        <v>29</v>
      </c>
      <c r="I126" s="57" t="s">
        <v>95</v>
      </c>
      <c r="J126" s="56">
        <v>10</v>
      </c>
      <c r="K126" s="57" t="s">
        <v>96</v>
      </c>
      <c r="L126" s="57" t="s">
        <v>97</v>
      </c>
      <c r="AB126" t="str">
        <f si="1" t="shared"/>
        <v>C.Stringer (06/01/2012 - 16/10/2012)</v>
      </c>
    </row>
    <row r="127" spans="1:29" x14ac:dyDescent="0.2">
      <c r="A127" s="56">
        <v>25</v>
      </c>
      <c r="B127" s="57" t="s">
        <v>228</v>
      </c>
      <c r="C127" s="56">
        <v>196</v>
      </c>
      <c r="D127" s="57" t="s">
        <v>315</v>
      </c>
      <c r="E127" s="58">
        <v>40490</v>
      </c>
      <c r="F127" s="58">
        <v>40855</v>
      </c>
      <c r="G127" s="56">
        <v>625</v>
      </c>
      <c r="H127" s="57" t="s">
        <v>29</v>
      </c>
      <c r="I127" s="57" t="s">
        <v>95</v>
      </c>
      <c r="J127" s="56">
        <v>10</v>
      </c>
      <c r="K127" s="57" t="s">
        <v>96</v>
      </c>
      <c r="L127" s="57" t="s">
        <v>97</v>
      </c>
      <c r="AB127" t="str">
        <f si="1" t="shared"/>
        <v>R Sharkey (08/11/2010 - 08/11/2011)</v>
      </c>
    </row>
    <row r="128" spans="1:29" x14ac:dyDescent="0.2">
      <c r="A128" s="56">
        <v>25</v>
      </c>
      <c r="B128" s="57" t="s">
        <v>228</v>
      </c>
      <c r="C128" s="56">
        <v>157</v>
      </c>
      <c r="D128" s="57" t="s">
        <v>274</v>
      </c>
      <c r="E128" s="58">
        <v>40058</v>
      </c>
      <c r="F128" s="58">
        <v>40482</v>
      </c>
      <c r="G128" s="56">
        <v>600</v>
      </c>
      <c r="H128" s="57" t="s">
        <v>29</v>
      </c>
      <c r="I128" s="57" t="s">
        <v>95</v>
      </c>
      <c r="J128" s="56">
        <v>10</v>
      </c>
      <c r="K128" s="57" t="s">
        <v>96</v>
      </c>
      <c r="L128" s="57" t="s">
        <v>97</v>
      </c>
      <c r="AB128" t="str">
        <f si="1" t="shared"/>
        <v>Hayley Whitcomb (02/09/2009 - 31/10/2010)</v>
      </c>
    </row>
    <row r="129" spans="1:29" x14ac:dyDescent="0.2">
      <c r="A129" s="56">
        <v>25</v>
      </c>
      <c r="B129" s="57" t="s">
        <v>228</v>
      </c>
      <c r="C129" s="56">
        <v>142</v>
      </c>
      <c r="D129" s="57" t="s">
        <v>261</v>
      </c>
      <c r="E129" s="58">
        <v>39724</v>
      </c>
      <c r="F129" s="58">
        <v>39967</v>
      </c>
      <c r="G129" s="56">
        <v>560</v>
      </c>
      <c r="H129" s="57" t="s">
        <v>29</v>
      </c>
      <c r="I129" s="57" t="s">
        <v>197</v>
      </c>
      <c r="J129" s="56">
        <v>0</v>
      </c>
      <c r="K129" s="57" t="s">
        <v>175</v>
      </c>
      <c r="L129" s="57" t="s">
        <v>101</v>
      </c>
      <c r="AB129" t="str">
        <f si="1" t="shared"/>
        <v>Afsheen Alizadeh (03/10/2008 - 03/06/2009)</v>
      </c>
    </row>
    <row r="130" spans="1:29" x14ac:dyDescent="0.2">
      <c r="A130" s="56">
        <v>25</v>
      </c>
      <c r="B130" s="57" t="s">
        <v>228</v>
      </c>
      <c r="C130" s="56">
        <v>124</v>
      </c>
      <c r="D130" s="57" t="s">
        <v>238</v>
      </c>
      <c r="E130" s="58">
        <v>39539</v>
      </c>
      <c r="F130" s="58">
        <v>39721</v>
      </c>
      <c r="G130" s="56">
        <v>550</v>
      </c>
      <c r="H130" s="57" t="s">
        <v>29</v>
      </c>
      <c r="I130" s="57" t="s">
        <v>197</v>
      </c>
      <c r="J130" s="56">
        <v>0</v>
      </c>
      <c r="K130" s="57" t="s">
        <v>175</v>
      </c>
      <c r="L130" s="57" t="s">
        <v>101</v>
      </c>
      <c r="AB130" t="str">
        <f si="1" t="shared"/>
        <v>Aydin Barus (01/04/2008 - 30/09/2008)</v>
      </c>
    </row>
    <row r="131" spans="1:29" x14ac:dyDescent="0.2">
      <c r="A131" s="56">
        <v>28</v>
      </c>
      <c r="B131" s="57" t="s">
        <v>107</v>
      </c>
      <c r="C131" s="56">
        <v>271</v>
      </c>
      <c r="D131" s="57" t="s">
        <v>392</v>
      </c>
      <c r="E131" s="58">
        <v>42459</v>
      </c>
      <c r="F131" s="57"/>
      <c r="G131" s="56">
        <v>520</v>
      </c>
      <c r="H131" s="57" t="s">
        <v>29</v>
      </c>
      <c r="I131" s="57" t="s">
        <v>95</v>
      </c>
      <c r="J131" s="56">
        <v>10</v>
      </c>
      <c r="K131" s="57" t="s">
        <v>96</v>
      </c>
      <c r="L131" s="57" t="s">
        <v>97</v>
      </c>
      <c r="M131" s="51"/>
      <c r="N131" s="51"/>
      <c r="O131" s="51"/>
      <c r="P131" s="51"/>
      <c r="Q131" s="51"/>
      <c r="R131" s="51"/>
      <c r="S131" s="51"/>
      <c r="T131" s="51"/>
      <c r="U131" s="51"/>
      <c r="V131" s="51"/>
      <c r="W131" s="51"/>
      <c r="X131" s="51"/>
      <c r="Y131" s="51"/>
      <c r="Z131" s="51"/>
      <c r="AA131" s="51"/>
      <c r="AB131" s="51" t="str">
        <f ref="AB131:AB194" si="2" t="shared"><![CDATA[IF(E131<>"",IF(F131="",D131&" ("&TEXT(E131,"dd/mm/yyyy")&" - present)",D131&" ("&TEXT(E131,"dd/mm/yyyy")&" - "&TEXT(F131,"dd/mm/yyyy")&")"),"")]]></f>
        <v>Mr Prior (30/03/2016 - present)</v>
      </c>
      <c r="AC131" s="51"/>
    </row>
    <row r="132" spans="1:29" x14ac:dyDescent="0.2">
      <c r="A132" s="56">
        <v>28</v>
      </c>
      <c r="B132" s="57" t="s">
        <v>107</v>
      </c>
      <c r="C132" s="56">
        <v>266</v>
      </c>
      <c r="D132" s="57" t="s">
        <v>384</v>
      </c>
      <c r="E132" s="58">
        <v>42360</v>
      </c>
      <c r="F132" s="58">
        <v>42458</v>
      </c>
      <c r="G132" s="56">
        <v>520</v>
      </c>
      <c r="H132" s="57" t="s">
        <v>29</v>
      </c>
      <c r="I132" s="57" t="s">
        <v>95</v>
      </c>
      <c r="J132" s="56">
        <v>10</v>
      </c>
      <c r="K132" s="57" t="s">
        <v>96</v>
      </c>
      <c r="L132" s="57" t="s">
        <v>97</v>
      </c>
      <c r="AB132" t="str">
        <f si="2" t="shared"/>
        <v>Ms Jane Marriage (22/12/2015 - 29/03/2016)</v>
      </c>
    </row>
    <row r="133" spans="1:29" x14ac:dyDescent="0.2">
      <c r="A133" s="56">
        <v>28</v>
      </c>
      <c r="B133" s="57" t="s">
        <v>107</v>
      </c>
      <c r="C133" s="56">
        <v>253</v>
      </c>
      <c r="D133" s="57" t="s">
        <v>370</v>
      </c>
      <c r="E133" s="58">
        <v>41969</v>
      </c>
      <c r="F133" s="58">
        <v>42303</v>
      </c>
      <c r="G133" s="56">
        <v>525</v>
      </c>
      <c r="H133" s="57" t="s">
        <v>29</v>
      </c>
      <c r="I133" s="57" t="s">
        <v>95</v>
      </c>
      <c r="J133" s="56">
        <v>10</v>
      </c>
      <c r="K133" s="57" t="s">
        <v>96</v>
      </c>
      <c r="L133" s="57" t="s">
        <v>97</v>
      </c>
      <c r="AB133" t="str">
        <f si="2" t="shared"/>
        <v>G Smith (26/11/2014 - 26/10/2015)</v>
      </c>
    </row>
    <row r="134" spans="1:29" x14ac:dyDescent="0.2">
      <c r="A134" s="56">
        <v>28</v>
      </c>
      <c r="B134" s="57" t="s">
        <v>107</v>
      </c>
      <c r="C134" s="56">
        <v>223</v>
      </c>
      <c r="D134" s="57" t="s">
        <v>343</v>
      </c>
      <c r="E134" s="58">
        <v>41365</v>
      </c>
      <c r="F134" s="58">
        <v>41943</v>
      </c>
      <c r="G134" s="56">
        <v>495</v>
      </c>
      <c r="H134" s="57" t="s">
        <v>29</v>
      </c>
      <c r="I134" s="57" t="s">
        <v>197</v>
      </c>
      <c r="J134" s="56">
        <v>0</v>
      </c>
      <c r="K134" s="57" t="s">
        <v>175</v>
      </c>
      <c r="L134" s="57" t="s">
        <v>101</v>
      </c>
      <c r="AB134" t="str">
        <f si="2" t="shared"/>
        <v>Patricia McCardle (01/04/2013 - 31/10/2014)</v>
      </c>
    </row>
    <row r="135" spans="1:29" x14ac:dyDescent="0.2">
      <c r="A135" s="56">
        <v>28</v>
      </c>
      <c r="B135" s="57" t="s">
        <v>107</v>
      </c>
      <c r="C135" s="56">
        <v>212</v>
      </c>
      <c r="D135" s="57" t="s">
        <v>329</v>
      </c>
      <c r="E135" s="58">
        <v>40855</v>
      </c>
      <c r="F135" s="58">
        <v>41327</v>
      </c>
      <c r="G135" s="56">
        <v>475</v>
      </c>
      <c r="H135" s="57" t="s">
        <v>29</v>
      </c>
      <c r="I135" s="57" t="s">
        <v>197</v>
      </c>
      <c r="J135" s="56">
        <v>0</v>
      </c>
      <c r="K135" s="57" t="s">
        <v>175</v>
      </c>
      <c r="L135" s="57" t="s">
        <v>101</v>
      </c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51" t="str">
        <f si="2" t="shared"/>
        <v>Tom Jones (08/11/2011 - 22/02/2013)</v>
      </c>
      <c r="AC135" s="51"/>
    </row>
    <row r="136" spans="1:29" x14ac:dyDescent="0.2">
      <c r="A136" s="56">
        <v>28</v>
      </c>
      <c r="B136" s="57" t="s">
        <v>107</v>
      </c>
      <c r="C136" s="56">
        <v>65</v>
      </c>
      <c r="D136" s="57" t="s">
        <v>229</v>
      </c>
      <c r="E136" s="58">
        <v>38863</v>
      </c>
      <c r="F136" s="58">
        <v>40848</v>
      </c>
      <c r="G136" s="56">
        <v>400</v>
      </c>
      <c r="H136" s="57" t="s">
        <v>29</v>
      </c>
      <c r="I136" s="57" t="s">
        <v>197</v>
      </c>
      <c r="J136" s="56">
        <v>0</v>
      </c>
      <c r="K136" s="57" t="s">
        <v>175</v>
      </c>
      <c r="L136" s="57" t="s">
        <v>101</v>
      </c>
      <c r="AB136" t="str">
        <f si="2" t="shared"/>
        <v>Mrs Lynne Hedley (26/05/2006 - 01/11/2011)</v>
      </c>
    </row>
    <row r="137" spans="1:29" x14ac:dyDescent="0.2">
      <c r="A137" s="56">
        <v>28</v>
      </c>
      <c r="B137" s="57" t="s">
        <v>107</v>
      </c>
      <c r="C137" s="56">
        <v>30</v>
      </c>
      <c r="D137" s="57" t="s">
        <v>108</v>
      </c>
      <c r="E137" s="58">
        <v>38583</v>
      </c>
      <c r="F137" s="58">
        <v>38825</v>
      </c>
      <c r="G137" s="56">
        <v>450</v>
      </c>
      <c r="H137" s="57" t="s">
        <v>29</v>
      </c>
      <c r="I137" s="57" t="s">
        <v>104</v>
      </c>
      <c r="J137" s="56">
        <v>10</v>
      </c>
      <c r="K137" s="57" t="s">
        <v>96</v>
      </c>
      <c r="L137" s="57" t="s">
        <v>97</v>
      </c>
      <c r="AB137" t="str">
        <f si="2" t="shared"/>
        <v>J Tidball (19/08/2005 - 18/04/2006)</v>
      </c>
    </row>
    <row r="138" spans="1:29" x14ac:dyDescent="0.2">
      <c r="A138" s="56">
        <v>23</v>
      </c>
      <c r="B138" s="57" t="s">
        <v>67</v>
      </c>
      <c r="C138" s="56">
        <v>254</v>
      </c>
      <c r="D138" s="57" t="s">
        <v>364</v>
      </c>
      <c r="E138" s="58">
        <v>41794</v>
      </c>
      <c r="F138" s="57"/>
      <c r="G138" s="56">
        <v>500</v>
      </c>
      <c r="H138" s="57" t="s">
        <v>29</v>
      </c>
      <c r="I138" s="57" t="s">
        <v>95</v>
      </c>
      <c r="J138" s="56">
        <v>10</v>
      </c>
      <c r="K138" s="57" t="s">
        <v>96</v>
      </c>
      <c r="L138" s="57" t="s">
        <v>97</v>
      </c>
      <c r="AB138" t="str">
        <f si="2" t="shared"/>
        <v>Ms Sally Taylor (04/06/2014 - present)</v>
      </c>
    </row>
    <row r="139" spans="1:29" x14ac:dyDescent="0.2">
      <c r="A139" s="56">
        <v>23</v>
      </c>
      <c r="B139" s="57" t="s">
        <v>67</v>
      </c>
      <c r="C139" s="56">
        <v>228</v>
      </c>
      <c r="D139" s="57" t="s">
        <v>348</v>
      </c>
      <c r="E139" s="58">
        <v>41376</v>
      </c>
      <c r="F139" s="58">
        <v>41790</v>
      </c>
      <c r="G139" s="56">
        <v>500</v>
      </c>
      <c r="H139" s="57" t="s">
        <v>29</v>
      </c>
      <c r="I139" s="57" t="s">
        <v>95</v>
      </c>
      <c r="J139" s="56">
        <v>10</v>
      </c>
      <c r="K139" s="57" t="s">
        <v>96</v>
      </c>
      <c r="L139" s="57" t="s">
        <v>97</v>
      </c>
      <c r="AB139" t="str">
        <f si="2" t="shared"/>
        <v>Mr Lamour (12/04/2013 - 31/05/2014)</v>
      </c>
    </row>
    <row r="140" spans="1:29" x14ac:dyDescent="0.2">
      <c r="A140" s="56">
        <v>23</v>
      </c>
      <c r="B140" s="57" t="s">
        <v>67</v>
      </c>
      <c r="C140" s="56">
        <v>213</v>
      </c>
      <c r="D140" s="57" t="s">
        <v>331</v>
      </c>
      <c r="E140" s="58">
        <v>40975</v>
      </c>
      <c r="F140" s="58">
        <v>41364</v>
      </c>
      <c r="G140" s="56">
        <v>510</v>
      </c>
      <c r="H140" s="57" t="s">
        <v>29</v>
      </c>
      <c r="I140" s="57" t="s">
        <v>95</v>
      </c>
      <c r="J140" s="56">
        <v>10</v>
      </c>
      <c r="K140" s="57" t="s">
        <v>96</v>
      </c>
      <c r="L140" s="57" t="s">
        <v>97</v>
      </c>
      <c r="AB140" t="str">
        <f si="2" t="shared"/>
        <v>J Reason (07/03/2012 - 31/03/2013)</v>
      </c>
    </row>
    <row r="141" spans="1:29" x14ac:dyDescent="0.2">
      <c r="A141" s="56">
        <v>23</v>
      </c>
      <c r="B141" s="57" t="s">
        <v>67</v>
      </c>
      <c r="C141" s="56">
        <v>161</v>
      </c>
      <c r="D141" s="57" t="s">
        <v>280</v>
      </c>
      <c r="E141" s="58">
        <v>40114</v>
      </c>
      <c r="F141" s="58">
        <v>40967</v>
      </c>
      <c r="G141" s="56">
        <v>500</v>
      </c>
      <c r="H141" s="57" t="s">
        <v>29</v>
      </c>
      <c r="I141" s="57" t="s">
        <v>95</v>
      </c>
      <c r="J141" s="56">
        <v>10</v>
      </c>
      <c r="K141" s="57" t="s">
        <v>96</v>
      </c>
      <c r="L141" s="57" t="s">
        <v>97</v>
      </c>
      <c r="AB141" t="str">
        <f si="2" t="shared"/>
        <v>Davy Lyons (28/10/2009 - 28/02/2012)</v>
      </c>
    </row>
    <row r="142" spans="1:29" x14ac:dyDescent="0.2">
      <c r="A142" s="56">
        <v>23</v>
      </c>
      <c r="B142" s="57" t="s">
        <v>67</v>
      </c>
      <c r="C142" s="56">
        <v>95</v>
      </c>
      <c r="D142" s="57" t="s">
        <v>87</v>
      </c>
      <c r="E142" s="58">
        <v>39132</v>
      </c>
      <c r="F142" s="58">
        <v>40086</v>
      </c>
      <c r="G142" s="56">
        <v>600</v>
      </c>
      <c r="H142" s="57" t="s">
        <v>29</v>
      </c>
      <c r="I142" s="57" t="s">
        <v>95</v>
      </c>
      <c r="J142" s="56">
        <v>10</v>
      </c>
      <c r="K142" s="57" t="s">
        <v>96</v>
      </c>
      <c r="L142" s="57" t="s">
        <v>97</v>
      </c>
      <c r="AB142" t="str">
        <f si="2" t="shared"/>
        <v>Leggett &amp; Crawford (19/02/2007 - 30/09/2009)</v>
      </c>
    </row>
    <row r="143" spans="1:29" x14ac:dyDescent="0.2">
      <c r="A143" s="56">
        <v>23</v>
      </c>
      <c r="B143" s="57" t="s">
        <v>67</v>
      </c>
      <c r="C143" s="56">
        <v>48</v>
      </c>
      <c r="D143" s="57" t="s">
        <v>51</v>
      </c>
      <c r="E143" s="58">
        <v>38638</v>
      </c>
      <c r="F143" s="58">
        <v>39010</v>
      </c>
      <c r="G143" s="56">
        <v>530</v>
      </c>
      <c r="H143" s="57" t="s">
        <v>29</v>
      </c>
      <c r="I143" s="57" t="s">
        <v>104</v>
      </c>
      <c r="J143" s="56">
        <v>10</v>
      </c>
      <c r="K143" s="57" t="s">
        <v>96</v>
      </c>
      <c r="L143" s="57" t="s">
        <v>97</v>
      </c>
      <c r="AA143" s="2"/>
      <c r="AB143" t="str">
        <f si="2" t="shared"/>
        <v>Li (13/10/2005 - 20/10/2006)</v>
      </c>
    </row>
    <row r="144" spans="1:29" x14ac:dyDescent="0.2">
      <c r="A144" s="56">
        <v>27</v>
      </c>
      <c r="B144" s="57" t="s">
        <v>109</v>
      </c>
      <c r="C144" s="56">
        <v>238</v>
      </c>
      <c r="D144" s="57" t="s">
        <v>355</v>
      </c>
      <c r="E144" s="58">
        <v>41527</v>
      </c>
      <c r="F144" s="57"/>
      <c r="G144" s="56">
        <v>600</v>
      </c>
      <c r="H144" s="57" t="s">
        <v>29</v>
      </c>
      <c r="I144" s="57" t="s">
        <v>95</v>
      </c>
      <c r="J144" s="56">
        <v>10</v>
      </c>
      <c r="K144" s="57" t="s">
        <v>96</v>
      </c>
      <c r="L144" s="57" t="s">
        <v>97</v>
      </c>
      <c r="AB144" t="str">
        <f si="2" t="shared"/>
        <v>Ms S Ryan (10/09/2013 - present)</v>
      </c>
    </row>
    <row r="145" spans="1:29" x14ac:dyDescent="0.2">
      <c r="A145" s="56">
        <v>27</v>
      </c>
      <c r="B145" s="57" t="s">
        <v>109</v>
      </c>
      <c r="C145" s="56">
        <v>197</v>
      </c>
      <c r="D145" s="57" t="s">
        <v>316</v>
      </c>
      <c r="E145" s="58">
        <v>40525</v>
      </c>
      <c r="F145" s="58">
        <v>41499</v>
      </c>
      <c r="G145" s="56">
        <v>580</v>
      </c>
      <c r="H145" s="57" t="s">
        <v>29</v>
      </c>
      <c r="I145" s="57" t="s">
        <v>95</v>
      </c>
      <c r="J145" s="56">
        <v>10</v>
      </c>
      <c r="K145" s="57" t="s">
        <v>96</v>
      </c>
      <c r="L145" s="57" t="s">
        <v>97</v>
      </c>
      <c r="AB145" t="str">
        <f si="2" t="shared"/>
        <v>G Makoselo (13/12/2010 - 13/08/2013)</v>
      </c>
    </row>
    <row r="146" spans="1:29" x14ac:dyDescent="0.2">
      <c r="A146" s="56">
        <v>27</v>
      </c>
      <c r="B146" s="57" t="s">
        <v>109</v>
      </c>
      <c r="C146" s="56">
        <v>162</v>
      </c>
      <c r="D146" s="57" t="s">
        <v>281</v>
      </c>
      <c r="E146" s="58">
        <v>40107</v>
      </c>
      <c r="F146" s="58">
        <v>40482</v>
      </c>
      <c r="G146" s="56">
        <v>625</v>
      </c>
      <c r="H146" s="57" t="s">
        <v>29</v>
      </c>
      <c r="I146" s="57" t="s">
        <v>95</v>
      </c>
      <c r="J146" s="56">
        <v>10</v>
      </c>
      <c r="K146" s="57" t="s">
        <v>96</v>
      </c>
      <c r="L146" s="57" t="s">
        <v>97</v>
      </c>
      <c r="AB146" t="str">
        <f si="2" t="shared"/>
        <v>Tim Blanton &amp; Greg Sotheran (21/10/2009 - 31/10/2010)</v>
      </c>
    </row>
    <row r="147" spans="1:29" x14ac:dyDescent="0.2">
      <c r="A147" s="56">
        <v>27</v>
      </c>
      <c r="B147" s="57" t="s">
        <v>109</v>
      </c>
      <c r="C147" s="56">
        <v>158</v>
      </c>
      <c r="D147" s="57" t="s">
        <v>275</v>
      </c>
      <c r="E147" s="58">
        <v>40050</v>
      </c>
      <c r="F147" s="58">
        <v>40086</v>
      </c>
      <c r="G147" s="56">
        <v>560</v>
      </c>
      <c r="H147" s="57" t="s">
        <v>29</v>
      </c>
      <c r="I147" s="57" t="s">
        <v>95</v>
      </c>
      <c r="J147" s="56">
        <v>10</v>
      </c>
      <c r="K147" s="57" t="s">
        <v>96</v>
      </c>
      <c r="L147" s="57" t="s">
        <v>97</v>
      </c>
      <c r="AB147" t="str">
        <f si="2" t="shared"/>
        <v>Susan Taylor (25/08/2009 - 30/09/2009)</v>
      </c>
    </row>
    <row r="148" spans="1:29" x14ac:dyDescent="0.2">
      <c r="A148" s="56">
        <v>27</v>
      </c>
      <c r="B148" s="57" t="s">
        <v>109</v>
      </c>
      <c r="C148" s="56">
        <v>116</v>
      </c>
      <c r="D148" s="57" t="s">
        <v>200</v>
      </c>
      <c r="E148" s="58">
        <v>39423</v>
      </c>
      <c r="F148" s="58">
        <v>39994</v>
      </c>
      <c r="G148" s="56">
        <v>580</v>
      </c>
      <c r="H148" s="57" t="s">
        <v>29</v>
      </c>
      <c r="I148" s="57" t="s">
        <v>95</v>
      </c>
      <c r="J148" s="56">
        <v>10</v>
      </c>
      <c r="K148" s="57" t="s">
        <v>96</v>
      </c>
      <c r="L148" s="57" t="s">
        <v>97</v>
      </c>
      <c r="AB148" t="str">
        <f si="2" t="shared"/>
        <v>Wiggins &amp; Jones (07/12/2007 - 30/06/2009)</v>
      </c>
    </row>
    <row r="149" spans="1:29" x14ac:dyDescent="0.2">
      <c r="A149" s="56">
        <v>27</v>
      </c>
      <c r="B149" s="57" t="s">
        <v>109</v>
      </c>
      <c r="C149" s="56">
        <v>37</v>
      </c>
      <c r="D149" s="57" t="s">
        <v>110</v>
      </c>
      <c r="E149" s="58">
        <v>38540</v>
      </c>
      <c r="F149" s="58">
        <v>39362</v>
      </c>
      <c r="G149" s="56">
        <v>575</v>
      </c>
      <c r="H149" s="57" t="s">
        <v>29</v>
      </c>
      <c r="I149" s="57" t="s">
        <v>104</v>
      </c>
      <c r="J149" s="56">
        <v>10</v>
      </c>
      <c r="K149" s="57" t="s">
        <v>96</v>
      </c>
      <c r="L149" s="57" t="s">
        <v>97</v>
      </c>
      <c r="AA149" s="2"/>
      <c r="AB149" t="str">
        <f si="2" t="shared"/>
        <v xml:space="preserve"> Matthews (07/07/2005 - 07/10/2007)</v>
      </c>
    </row>
    <row r="150" spans="1:29" x14ac:dyDescent="0.2">
      <c r="A150" s="56">
        <v>46</v>
      </c>
      <c r="B150" s="57" t="s">
        <v>68</v>
      </c>
      <c r="C150" s="56">
        <v>275</v>
      </c>
      <c r="D150" s="57" t="s">
        <v>394</v>
      </c>
      <c r="E150" s="58">
        <v>42559</v>
      </c>
      <c r="F150" s="57"/>
      <c r="G150" s="56">
        <v>505</v>
      </c>
      <c r="H150" s="57" t="s">
        <v>29</v>
      </c>
      <c r="I150" s="57" t="s">
        <v>95</v>
      </c>
      <c r="J150" s="56">
        <v>10</v>
      </c>
      <c r="K150" s="57" t="s">
        <v>96</v>
      </c>
      <c r="L150" s="57" t="s">
        <v>97</v>
      </c>
      <c r="AB150" t="str">
        <f si="2" t="shared"/>
        <v>Mr Tudor (08/07/2016 - present)</v>
      </c>
    </row>
    <row r="151" spans="1:29" x14ac:dyDescent="0.2">
      <c r="A151" s="56">
        <v>46</v>
      </c>
      <c r="B151" s="57" t="s">
        <v>68</v>
      </c>
      <c r="C151" s="56">
        <v>138</v>
      </c>
      <c r="D151" s="57" t="s">
        <v>159</v>
      </c>
      <c r="E151" s="58">
        <v>39654</v>
      </c>
      <c r="F151" s="58">
        <v>42459</v>
      </c>
      <c r="G151" s="56">
        <v>480</v>
      </c>
      <c r="H151" s="57" t="s">
        <v>29</v>
      </c>
      <c r="I151" s="57" t="s">
        <v>95</v>
      </c>
      <c r="J151" s="56">
        <v>10</v>
      </c>
      <c r="K151" s="57" t="s">
        <v>96</v>
      </c>
      <c r="L151" s="57" t="s">
        <v>97</v>
      </c>
      <c r="AB151" t="str">
        <f si="2" t="shared"/>
        <v>Jones (25/07/2008 - 30/03/2016)</v>
      </c>
    </row>
    <row r="152" spans="1:29" x14ac:dyDescent="0.2">
      <c r="A152" s="56">
        <v>46</v>
      </c>
      <c r="B152" s="57" t="s">
        <v>68</v>
      </c>
      <c r="C152" s="56">
        <v>137</v>
      </c>
      <c r="D152" s="57" t="s">
        <v>256</v>
      </c>
      <c r="E152" s="58">
        <v>39588</v>
      </c>
      <c r="F152" s="58">
        <v>39638</v>
      </c>
      <c r="G152" s="56">
        <v>480</v>
      </c>
      <c r="H152" s="57" t="s">
        <v>29</v>
      </c>
      <c r="I152" s="57" t="s">
        <v>95</v>
      </c>
      <c r="J152" s="56">
        <v>10</v>
      </c>
      <c r="K152" s="57" t="s">
        <v>96</v>
      </c>
      <c r="L152" s="57" t="s">
        <v>97</v>
      </c>
      <c r="AB152" t="str">
        <f si="2" t="shared"/>
        <v>James (20/05/2008 - 09/07/2008)</v>
      </c>
    </row>
    <row r="153" spans="1:29" x14ac:dyDescent="0.2">
      <c r="A153" s="56">
        <v>46</v>
      </c>
      <c r="B153" s="57" t="s">
        <v>68</v>
      </c>
      <c r="C153" s="56">
        <v>87</v>
      </c>
      <c r="D153" s="57" t="s">
        <v>16</v>
      </c>
      <c r="E153" s="58">
        <v>38971</v>
      </c>
      <c r="F153" s="58">
        <v>39588</v>
      </c>
      <c r="G153" s="56">
        <v>460</v>
      </c>
      <c r="H153" s="57" t="s">
        <v>29</v>
      </c>
      <c r="I153" s="57" t="s">
        <v>95</v>
      </c>
      <c r="J153" s="56">
        <v>10</v>
      </c>
      <c r="K153" s="57" t="s">
        <v>96</v>
      </c>
      <c r="L153" s="57" t="s">
        <v>97</v>
      </c>
      <c r="M153" s="51"/>
      <c r="N153" s="51"/>
      <c r="O153" s="51"/>
      <c r="P153" s="51"/>
      <c r="Q153" s="51"/>
      <c r="R153" s="51"/>
      <c r="S153" s="51"/>
      <c r="T153" s="51"/>
      <c r="U153" s="51"/>
      <c r="V153" s="51"/>
      <c r="W153" s="51"/>
      <c r="X153" s="51"/>
      <c r="Y153" s="51"/>
      <c r="Z153" s="51"/>
      <c r="AA153" s="53"/>
      <c r="AB153" s="51" t="str">
        <f si="2" t="shared"/>
        <v>Mallinson (11/09/2006 - 20/05/2008)</v>
      </c>
      <c r="AC153" s="51"/>
    </row>
    <row r="154" spans="1:29" x14ac:dyDescent="0.2">
      <c r="A154" s="56">
        <v>46</v>
      </c>
      <c r="B154" s="57" t="s">
        <v>68</v>
      </c>
      <c r="C154" s="56">
        <v>69</v>
      </c>
      <c r="D154" s="57" t="s">
        <v>52</v>
      </c>
      <c r="E154" s="58">
        <v>38839</v>
      </c>
      <c r="F154" s="58">
        <v>38961</v>
      </c>
      <c r="G154" s="56">
        <v>460</v>
      </c>
      <c r="H154" s="57" t="s">
        <v>29</v>
      </c>
      <c r="I154" s="57" t="s">
        <v>95</v>
      </c>
      <c r="J154" s="56">
        <v>10</v>
      </c>
      <c r="K154" s="57" t="s">
        <v>96</v>
      </c>
      <c r="L154" s="57" t="s">
        <v>97</v>
      </c>
      <c r="AA154" s="2"/>
      <c r="AB154" t="str">
        <f si="2" t="shared"/>
        <v>Henderson (02/05/2006 - 01/09/2006)</v>
      </c>
    </row>
    <row r="155" spans="1:29" x14ac:dyDescent="0.2">
      <c r="A155" s="56">
        <v>67</v>
      </c>
      <c r="B155" s="57" t="s">
        <v>112</v>
      </c>
      <c r="C155" s="56">
        <v>179</v>
      </c>
      <c r="D155" s="57" t="s">
        <v>298</v>
      </c>
      <c r="E155" s="58">
        <v>40350</v>
      </c>
      <c r="F155" s="57"/>
      <c r="G155" s="56">
        <v>500</v>
      </c>
      <c r="H155" s="57" t="s">
        <v>29</v>
      </c>
      <c r="I155" s="57" t="s">
        <v>95</v>
      </c>
      <c r="J155" s="56">
        <v>10</v>
      </c>
      <c r="K155" s="57" t="s">
        <v>96</v>
      </c>
      <c r="L155" s="57" t="s">
        <v>97</v>
      </c>
      <c r="AB155" t="str">
        <f si="2" t="shared"/>
        <v>C Stark (21/06/2010 - present)</v>
      </c>
    </row>
    <row r="156" spans="1:29" x14ac:dyDescent="0.2">
      <c r="A156" s="56">
        <v>67</v>
      </c>
      <c r="B156" s="57" t="s">
        <v>112</v>
      </c>
      <c r="C156" s="56">
        <v>114</v>
      </c>
      <c r="D156" s="57" t="s">
        <v>198</v>
      </c>
      <c r="E156" s="58">
        <v>39396</v>
      </c>
      <c r="F156" s="58">
        <v>40339</v>
      </c>
      <c r="G156" s="56">
        <v>425</v>
      </c>
      <c r="H156" s="57" t="s">
        <v>29</v>
      </c>
      <c r="I156" s="57" t="s">
        <v>197</v>
      </c>
      <c r="J156" s="56">
        <v>0</v>
      </c>
      <c r="K156" s="57" t="s">
        <v>175</v>
      </c>
      <c r="L156" s="57" t="s">
        <v>101</v>
      </c>
      <c r="AB156" t="str">
        <f si="2" t="shared"/>
        <v>Holly Reeves (10/11/2007 - 10/06/2010)</v>
      </c>
    </row>
    <row r="157" spans="1:29" x14ac:dyDescent="0.2">
      <c r="A157" s="56">
        <v>67</v>
      </c>
      <c r="B157" s="57" t="s">
        <v>112</v>
      </c>
      <c r="C157" s="56">
        <v>81</v>
      </c>
      <c r="D157" s="57" t="s">
        <v>113</v>
      </c>
      <c r="E157" s="58">
        <v>38485</v>
      </c>
      <c r="F157" s="58">
        <v>39355</v>
      </c>
      <c r="G157" s="56">
        <v>395</v>
      </c>
      <c r="H157" s="57" t="s">
        <v>29</v>
      </c>
      <c r="I157" s="57" t="s">
        <v>116</v>
      </c>
      <c r="J157" s="56">
        <v>10</v>
      </c>
      <c r="K157" s="57" t="s">
        <v>96</v>
      </c>
      <c r="L157" s="57" t="s">
        <v>97</v>
      </c>
      <c r="AB157" t="str">
        <f si="2" t="shared"/>
        <v>Moss (13/05/2005 - 30/09/2007)</v>
      </c>
    </row>
    <row r="158" spans="1:29" x14ac:dyDescent="0.2">
      <c r="A158" s="56">
        <v>10</v>
      </c>
      <c r="B158" s="57" t="s">
        <v>61</v>
      </c>
      <c r="C158" s="56">
        <v>176</v>
      </c>
      <c r="D158" s="57" t="s">
        <v>292</v>
      </c>
      <c r="E158" s="58">
        <v>40282</v>
      </c>
      <c r="F158" s="57"/>
      <c r="G158" s="56">
        <v>450</v>
      </c>
      <c r="H158" s="57" t="s">
        <v>29</v>
      </c>
      <c r="I158" s="57" t="s">
        <v>95</v>
      </c>
      <c r="J158" s="56">
        <v>10</v>
      </c>
      <c r="K158" s="57" t="s">
        <v>96</v>
      </c>
      <c r="L158" s="57" t="s">
        <v>97</v>
      </c>
      <c r="AA158" s="2"/>
      <c r="AB158" t="str">
        <f si="2" t="shared"/>
        <v>Martin Brett (14/04/2010 - present)</v>
      </c>
    </row>
    <row r="159" spans="1:29" x14ac:dyDescent="0.2">
      <c r="A159" s="56">
        <v>10</v>
      </c>
      <c r="B159" s="57" t="s">
        <v>61</v>
      </c>
      <c r="C159" s="56">
        <v>170</v>
      </c>
      <c r="D159" s="57" t="s">
        <v>260</v>
      </c>
      <c r="E159" s="58">
        <v>40148</v>
      </c>
      <c r="F159" s="58">
        <v>40254</v>
      </c>
      <c r="G159" s="56">
        <v>460</v>
      </c>
      <c r="H159" s="57" t="s">
        <v>29</v>
      </c>
      <c r="I159" s="57" t="s">
        <v>95</v>
      </c>
      <c r="J159" s="56">
        <v>10</v>
      </c>
      <c r="K159" s="57" t="s">
        <v>96</v>
      </c>
      <c r="L159" s="57" t="s">
        <v>97</v>
      </c>
      <c r="AB159" t="str">
        <f si="2" t="shared"/>
        <v>Toombs (01/12/2009 - 17/03/2010)</v>
      </c>
    </row>
    <row r="160" spans="1:29" x14ac:dyDescent="0.2">
      <c r="A160" s="56">
        <v>10</v>
      </c>
      <c r="B160" s="57" t="s">
        <v>61</v>
      </c>
      <c r="C160" s="56">
        <v>111</v>
      </c>
      <c r="D160" s="57" t="s">
        <v>193</v>
      </c>
      <c r="E160" s="58">
        <v>39325</v>
      </c>
      <c r="F160" s="58">
        <v>40147</v>
      </c>
      <c r="G160" s="56">
        <v>450</v>
      </c>
      <c r="H160" s="57" t="s">
        <v>29</v>
      </c>
      <c r="I160" s="57" t="s">
        <v>95</v>
      </c>
      <c r="J160" s="56">
        <v>10</v>
      </c>
      <c r="K160" s="57" t="s">
        <v>96</v>
      </c>
      <c r="L160" s="57" t="s">
        <v>97</v>
      </c>
      <c r="AB160" t="str">
        <f si="2" t="shared"/>
        <v>Scouarnec (31/08/2007 - 30/11/2009)</v>
      </c>
    </row>
    <row r="161" spans="1:28" x14ac:dyDescent="0.2">
      <c r="A161" s="56">
        <v>10</v>
      </c>
      <c r="B161" s="57" t="s">
        <v>61</v>
      </c>
      <c r="C161" s="56">
        <v>43</v>
      </c>
      <c r="D161" s="57" t="s">
        <v>10</v>
      </c>
      <c r="E161" s="58">
        <v>38394</v>
      </c>
      <c r="F161" s="58">
        <v>39314</v>
      </c>
      <c r="G161" s="56">
        <v>392.32</v>
      </c>
      <c r="H161" s="57" t="s">
        <v>28</v>
      </c>
      <c r="I161" s="57" t="s">
        <v>95</v>
      </c>
      <c r="J161" s="56">
        <v>10</v>
      </c>
      <c r="K161" s="57" t="s">
        <v>96</v>
      </c>
      <c r="L161" s="57" t="s">
        <v>97</v>
      </c>
      <c r="AB161" t="str">
        <f si="2" t="shared"/>
        <v>Hall (11/02/2005 - 20/08/2007)</v>
      </c>
    </row>
    <row r="162" spans="1:28" x14ac:dyDescent="0.2">
      <c r="A162" s="56">
        <v>10</v>
      </c>
      <c r="B162" s="57" t="s">
        <v>61</v>
      </c>
      <c r="C162" s="56">
        <v>18</v>
      </c>
      <c r="D162" s="57" t="s">
        <v>48</v>
      </c>
      <c r="E162" s="58">
        <v>38205</v>
      </c>
      <c r="F162" s="58">
        <v>38364</v>
      </c>
      <c r="G162" s="56">
        <v>400</v>
      </c>
      <c r="H162" s="57" t="s">
        <v>29</v>
      </c>
      <c r="I162" s="57" t="s">
        <v>95</v>
      </c>
      <c r="J162" s="56">
        <v>10</v>
      </c>
      <c r="K162" s="57" t="s">
        <v>96</v>
      </c>
      <c r="L162" s="57" t="s">
        <v>97</v>
      </c>
      <c r="AA162" s="2"/>
      <c r="AB162" t="str">
        <f si="2" t="shared"/>
        <v>Bilham (06/08/2004 - 12/01/2005)</v>
      </c>
    </row>
    <row r="163" spans="1:28" x14ac:dyDescent="0.2">
      <c r="A163" s="56">
        <v>8</v>
      </c>
      <c r="B163" s="57" t="s">
        <v>59</v>
      </c>
      <c r="C163" s="56">
        <v>234</v>
      </c>
      <c r="D163" s="57" t="s">
        <v>346</v>
      </c>
      <c r="E163" s="58">
        <v>41409</v>
      </c>
      <c r="F163" s="57"/>
      <c r="G163" s="56">
        <v>500</v>
      </c>
      <c r="H163" s="57" t="s">
        <v>29</v>
      </c>
      <c r="I163" s="57" t="s">
        <v>95</v>
      </c>
      <c r="J163" s="56">
        <v>10</v>
      </c>
      <c r="K163" s="57" t="s">
        <v>96</v>
      </c>
      <c r="L163" s="57" t="s">
        <v>97</v>
      </c>
      <c r="AB163" t="str">
        <f si="2" t="shared"/>
        <v>Mr Robinson (15/05/2013 - present)</v>
      </c>
    </row>
    <row r="164" spans="1:28" x14ac:dyDescent="0.2">
      <c r="A164" s="56">
        <v>8</v>
      </c>
      <c r="B164" s="57" t="s">
        <v>59</v>
      </c>
      <c r="C164" s="56">
        <v>168</v>
      </c>
      <c r="D164" s="57" t="s">
        <v>283</v>
      </c>
      <c r="E164" s="58">
        <v>40235</v>
      </c>
      <c r="F164" s="58">
        <v>41359</v>
      </c>
      <c r="G164" s="56">
        <v>450</v>
      </c>
      <c r="H164" s="57" t="s">
        <v>29</v>
      </c>
      <c r="I164" s="57" t="s">
        <v>95</v>
      </c>
      <c r="J164" s="56">
        <v>10</v>
      </c>
      <c r="K164" s="57" t="s">
        <v>96</v>
      </c>
      <c r="L164" s="57" t="s">
        <v>97</v>
      </c>
      <c r="AB164" t="str">
        <f si="2" t="shared"/>
        <v>Grant Philliben (26/02/2010 - 26/03/2013)</v>
      </c>
    </row>
    <row r="165" spans="1:28" x14ac:dyDescent="0.2">
      <c r="A165" s="56">
        <v>8</v>
      </c>
      <c r="B165" s="57" t="s">
        <v>59</v>
      </c>
      <c r="C165" s="56">
        <v>14</v>
      </c>
      <c r="D165" s="57" t="s">
        <v>12</v>
      </c>
      <c r="E165" s="58">
        <v>37829</v>
      </c>
      <c r="F165" s="58">
        <v>40203</v>
      </c>
      <c r="G165" s="56">
        <v>360</v>
      </c>
      <c r="H165" s="57" t="s">
        <v>28</v>
      </c>
      <c r="I165" s="57" t="s">
        <v>95</v>
      </c>
      <c r="J165" s="56">
        <v>10</v>
      </c>
      <c r="K165" s="57" t="s">
        <v>96</v>
      </c>
      <c r="L165" s="57" t="s">
        <v>97</v>
      </c>
      <c r="AB165" t="str">
        <f si="2" t="shared"/>
        <v>Carrick (27/07/2003 - 25/01/2010)</v>
      </c>
    </row>
    <row r="166" spans="1:28" x14ac:dyDescent="0.2">
      <c r="A166" s="56">
        <v>75</v>
      </c>
      <c r="B166" s="57" t="s">
        <v>188</v>
      </c>
      <c r="C166" s="56">
        <v>255</v>
      </c>
      <c r="D166" s="57" t="s">
        <v>362</v>
      </c>
      <c r="E166" s="58">
        <v>41799</v>
      </c>
      <c r="F166" s="57"/>
      <c r="G166" s="56">
        <v>500</v>
      </c>
      <c r="H166" s="57" t="s">
        <v>29</v>
      </c>
      <c r="I166" s="57" t="s">
        <v>95</v>
      </c>
      <c r="J166" s="56">
        <v>10</v>
      </c>
      <c r="K166" s="57" t="s">
        <v>96</v>
      </c>
      <c r="L166" s="57" t="s">
        <v>97</v>
      </c>
      <c r="AA166" s="2"/>
      <c r="AB166" t="str">
        <f si="2" t="shared"/>
        <v>Mr N Olsen (09/06/2014 - present)</v>
      </c>
    </row>
    <row r="167" spans="1:28" x14ac:dyDescent="0.2">
      <c r="A167" s="56">
        <v>75</v>
      </c>
      <c r="B167" s="57" t="s">
        <v>188</v>
      </c>
      <c r="C167" s="56">
        <v>227</v>
      </c>
      <c r="D167" s="57" t="s">
        <v>346</v>
      </c>
      <c r="E167" s="58">
        <v>41409</v>
      </c>
      <c r="F167" s="58">
        <v>41409</v>
      </c>
      <c r="G167" s="56">
        <v>500</v>
      </c>
      <c r="H167" s="57" t="s">
        <v>29</v>
      </c>
      <c r="I167" s="57" t="s">
        <v>95</v>
      </c>
      <c r="J167" s="56">
        <v>10</v>
      </c>
      <c r="K167" s="57" t="s">
        <v>96</v>
      </c>
      <c r="L167" s="57" t="s">
        <v>97</v>
      </c>
      <c r="AB167" t="str">
        <f si="2" t="shared"/>
        <v>Mr Robinson (15/05/2013 - 15/05/2013)</v>
      </c>
    </row>
    <row r="168" spans="1:28" x14ac:dyDescent="0.2">
      <c r="A168" s="56">
        <v>75</v>
      </c>
      <c r="B168" s="57" t="s">
        <v>188</v>
      </c>
      <c r="C168" s="56">
        <v>241</v>
      </c>
      <c r="D168" s="57" t="s">
        <v>360</v>
      </c>
      <c r="E168" s="58">
        <v>41390</v>
      </c>
      <c r="F168" s="58">
        <v>41683</v>
      </c>
      <c r="G168" s="56">
        <v>500</v>
      </c>
      <c r="H168" s="57" t="s">
        <v>29</v>
      </c>
      <c r="I168" s="57" t="s">
        <v>95</v>
      </c>
      <c r="J168" s="56">
        <v>10</v>
      </c>
      <c r="K168" s="57" t="s">
        <v>96</v>
      </c>
      <c r="L168" s="57" t="s">
        <v>97</v>
      </c>
      <c r="AA168" s="2"/>
      <c r="AB168" t="str">
        <f si="2" t="shared"/>
        <v>Anthony Heather (26/04/2013 - 13/02/2014)</v>
      </c>
    </row>
    <row r="169" spans="1:28" x14ac:dyDescent="0.2">
      <c r="A169" s="56">
        <v>75</v>
      </c>
      <c r="B169" s="57" t="s">
        <v>188</v>
      </c>
      <c r="C169" s="56">
        <v>108</v>
      </c>
      <c r="D169" s="57" t="s">
        <v>191</v>
      </c>
      <c r="E169" s="58">
        <v>39288</v>
      </c>
      <c r="F169" s="58">
        <v>41333</v>
      </c>
      <c r="G169" s="56">
        <v>530</v>
      </c>
      <c r="H169" s="57" t="s">
        <v>29</v>
      </c>
      <c r="I169" s="57" t="s">
        <v>95</v>
      </c>
      <c r="J169" s="56">
        <v>10</v>
      </c>
      <c r="K169" s="57" t="s">
        <v>96</v>
      </c>
      <c r="L169" s="57" t="s">
        <v>97</v>
      </c>
      <c r="AB169" t="str">
        <f si="2" t="shared"/>
        <v>Matthews &amp; Ward (25/07/2007 - 28/02/2013)</v>
      </c>
    </row>
    <row r="170" spans="1:28" x14ac:dyDescent="0.2">
      <c r="A170" s="56">
        <v>3</v>
      </c>
      <c r="B170" s="57" t="s">
        <v>55</v>
      </c>
      <c r="C170" s="56">
        <v>269</v>
      </c>
      <c r="D170" s="57" t="s">
        <v>387</v>
      </c>
      <c r="E170" s="58">
        <v>42493</v>
      </c>
      <c r="F170" s="57"/>
      <c r="G170" s="56">
        <v>600</v>
      </c>
      <c r="H170" s="57" t="s">
        <v>29</v>
      </c>
      <c r="I170" s="57" t="s">
        <v>95</v>
      </c>
      <c r="J170" s="56">
        <v>10</v>
      </c>
      <c r="K170" s="57" t="s">
        <v>96</v>
      </c>
      <c r="L170" s="57" t="s">
        <v>97</v>
      </c>
      <c r="AB170" t="str">
        <f si="2" t="shared"/>
        <v>Mr J Brown (03/05/2016 - present)</v>
      </c>
    </row>
    <row r="171" spans="1:28" x14ac:dyDescent="0.2">
      <c r="A171" s="56">
        <v>3</v>
      </c>
      <c r="B171" s="57" t="s">
        <v>55</v>
      </c>
      <c r="C171" s="56">
        <v>242</v>
      </c>
      <c r="D171" s="57" t="s">
        <v>359</v>
      </c>
      <c r="E171" s="58">
        <v>41655</v>
      </c>
      <c r="F171" s="58">
        <v>42465</v>
      </c>
      <c r="G171" s="56">
        <v>550</v>
      </c>
      <c r="H171" s="57" t="s">
        <v>29</v>
      </c>
      <c r="I171" s="57" t="s">
        <v>95</v>
      </c>
      <c r="J171" s="56">
        <v>10</v>
      </c>
      <c r="K171" s="57" t="s">
        <v>96</v>
      </c>
      <c r="L171" s="57" t="s">
        <v>97</v>
      </c>
      <c r="AB171" t="str">
        <f si="2" t="shared"/>
        <v>Mr Barnett &amp; Ms Elvenny (16/01/2014 - 05/04/2016)</v>
      </c>
    </row>
    <row r="172" spans="1:28" x14ac:dyDescent="0.2">
      <c r="A172" s="56">
        <v>3</v>
      </c>
      <c r="B172" s="57" t="s">
        <v>55</v>
      </c>
      <c r="C172" s="56">
        <v>207</v>
      </c>
      <c r="D172" s="57" t="s">
        <v>326</v>
      </c>
      <c r="E172" s="58">
        <v>40839</v>
      </c>
      <c r="F172" s="58">
        <v>41578</v>
      </c>
      <c r="G172" s="56">
        <v>550</v>
      </c>
      <c r="H172" s="57" t="s">
        <v>29</v>
      </c>
      <c r="I172" s="57" t="s">
        <v>95</v>
      </c>
      <c r="J172" s="56">
        <v>10</v>
      </c>
      <c r="K172" s="57" t="s">
        <v>96</v>
      </c>
      <c r="L172" s="57" t="s">
        <v>97</v>
      </c>
      <c r="AB172" t="str">
        <f si="2" t="shared"/>
        <v>S Briscoe (23/10/2011 - 31/10/2013)</v>
      </c>
    </row>
    <row r="173" spans="1:28" x14ac:dyDescent="0.2">
      <c r="A173" s="56">
        <v>3</v>
      </c>
      <c r="B173" s="57" t="s">
        <v>55</v>
      </c>
      <c r="C173" s="56">
        <v>188</v>
      </c>
      <c r="D173" s="57" t="s">
        <v>300</v>
      </c>
      <c r="E173" s="58">
        <v>40448</v>
      </c>
      <c r="F173" s="58">
        <v>40838</v>
      </c>
      <c r="G173" s="56">
        <v>550</v>
      </c>
      <c r="H173" s="57" t="s">
        <v>29</v>
      </c>
      <c r="I173" s="57" t="s">
        <v>95</v>
      </c>
      <c r="J173" s="56">
        <v>10</v>
      </c>
      <c r="K173" s="57" t="s">
        <v>96</v>
      </c>
      <c r="L173" s="57" t="s">
        <v>97</v>
      </c>
      <c r="AB173" t="str">
        <f si="2" t="shared"/>
        <v>Newing &amp; Thompson (27/09/2010 - 22/10/2011)</v>
      </c>
    </row>
    <row r="174" spans="1:28" x14ac:dyDescent="0.2">
      <c r="A174" s="56">
        <v>3</v>
      </c>
      <c r="B174" s="57" t="s">
        <v>55</v>
      </c>
      <c r="C174" s="56">
        <v>160</v>
      </c>
      <c r="D174" s="57" t="s">
        <v>278</v>
      </c>
      <c r="E174" s="58">
        <v>40120</v>
      </c>
      <c r="F174" s="58">
        <v>40300</v>
      </c>
      <c r="G174" s="56">
        <v>620</v>
      </c>
      <c r="H174" s="57" t="s">
        <v>29</v>
      </c>
      <c r="I174" s="57" t="s">
        <v>95</v>
      </c>
      <c r="J174" s="56">
        <v>10</v>
      </c>
      <c r="K174" s="57" t="s">
        <v>96</v>
      </c>
      <c r="L174" s="57" t="s">
        <v>97</v>
      </c>
      <c r="AB174" t="str">
        <f si="2" t="shared"/>
        <v>Kevin &amp; Charyn Carter (03/11/2009 - 02/05/2010)</v>
      </c>
    </row>
    <row r="175" spans="1:28" x14ac:dyDescent="0.2">
      <c r="A175" s="56">
        <v>3</v>
      </c>
      <c r="B175" s="57" t="s">
        <v>55</v>
      </c>
      <c r="C175" s="56">
        <v>152</v>
      </c>
      <c r="D175" s="57" t="s">
        <v>268</v>
      </c>
      <c r="E175" s="58">
        <v>39879</v>
      </c>
      <c r="F175" s="58">
        <v>40086</v>
      </c>
      <c r="G175" s="56">
        <v>625</v>
      </c>
      <c r="H175" s="57" t="s">
        <v>29</v>
      </c>
      <c r="I175" s="57" t="s">
        <v>95</v>
      </c>
      <c r="J175" s="56">
        <v>10</v>
      </c>
      <c r="K175" s="57" t="s">
        <v>96</v>
      </c>
      <c r="L175" s="57" t="s">
        <v>97</v>
      </c>
      <c r="AB175" t="str">
        <f si="2" t="shared"/>
        <v>Saunders &amp; Lavery (07/03/2009 - 30/09/2009)</v>
      </c>
    </row>
    <row r="176" spans="1:28" x14ac:dyDescent="0.2">
      <c r="A176" s="56">
        <v>3</v>
      </c>
      <c r="B176" s="57" t="s">
        <v>55</v>
      </c>
      <c r="C176" s="56">
        <v>130</v>
      </c>
      <c r="D176" s="57" t="s">
        <v>236</v>
      </c>
      <c r="E176" s="58">
        <v>39535</v>
      </c>
      <c r="F176" s="58">
        <v>39849</v>
      </c>
      <c r="G176" s="56">
        <v>625</v>
      </c>
      <c r="H176" s="57" t="s">
        <v>29</v>
      </c>
      <c r="I176" s="57" t="s">
        <v>95</v>
      </c>
      <c r="J176" s="56">
        <v>10</v>
      </c>
      <c r="K176" s="57" t="s">
        <v>96</v>
      </c>
      <c r="L176" s="57" t="s">
        <v>97</v>
      </c>
      <c r="AB176" t="str">
        <f si="2" t="shared"/>
        <v>Williams &amp; Green (28/03/2008 - 05/02/2009)</v>
      </c>
    </row>
    <row r="177" spans="1:28" x14ac:dyDescent="0.2">
      <c r="A177" s="56">
        <v>3</v>
      </c>
      <c r="B177" s="57" t="s">
        <v>55</v>
      </c>
      <c r="C177" s="56">
        <v>93</v>
      </c>
      <c r="D177" s="57" t="s">
        <v>151</v>
      </c>
      <c r="E177" s="58">
        <v>39013</v>
      </c>
      <c r="F177" s="58">
        <v>39507</v>
      </c>
      <c r="G177" s="56">
        <v>575</v>
      </c>
      <c r="H177" s="57" t="s">
        <v>29</v>
      </c>
      <c r="I177" s="57" t="s">
        <v>95</v>
      </c>
      <c r="J177" s="56">
        <v>10</v>
      </c>
      <c r="K177" s="57" t="s">
        <v>96</v>
      </c>
      <c r="L177" s="57" t="s">
        <v>97</v>
      </c>
      <c r="AB177" t="str">
        <f si="2" t="shared"/>
        <v>Thompson (23/10/2006 - 29/02/2008)</v>
      </c>
    </row>
    <row r="178" spans="1:28" x14ac:dyDescent="0.2">
      <c r="A178" s="56">
        <v>3</v>
      </c>
      <c r="B178" s="57" t="s">
        <v>55</v>
      </c>
      <c r="C178" s="56">
        <v>56</v>
      </c>
      <c r="D178" s="57" t="s">
        <v>152</v>
      </c>
      <c r="E178" s="58">
        <v>38961</v>
      </c>
      <c r="F178" s="58">
        <v>39052</v>
      </c>
      <c r="G178" s="56">
        <v>625</v>
      </c>
      <c r="H178" s="57" t="s">
        <v>29</v>
      </c>
      <c r="I178" s="57" t="s">
        <v>95</v>
      </c>
      <c r="J178" s="56">
        <v>10</v>
      </c>
      <c r="K178" s="57" t="s">
        <v>96</v>
      </c>
      <c r="L178" s="57" t="s">
        <v>97</v>
      </c>
      <c r="AB178" t="str">
        <f si="2" t="shared"/>
        <v>Bowie  (01/09/2006 - 01/12/2006)</v>
      </c>
    </row>
    <row r="179" spans="1:28" x14ac:dyDescent="0.2">
      <c r="A179" s="56">
        <v>3</v>
      </c>
      <c r="B179" s="57" t="s">
        <v>55</v>
      </c>
      <c r="C179" s="56">
        <v>15</v>
      </c>
      <c r="D179" s="57" t="s">
        <v>153</v>
      </c>
      <c r="E179" s="58">
        <v>38229</v>
      </c>
      <c r="F179" s="58">
        <v>38929</v>
      </c>
      <c r="G179" s="56">
        <v>500</v>
      </c>
      <c r="H179" s="57" t="s">
        <v>29</v>
      </c>
      <c r="I179" s="57" t="s">
        <v>95</v>
      </c>
      <c r="J179" s="56">
        <v>10</v>
      </c>
      <c r="K179" s="57" t="s">
        <v>96</v>
      </c>
      <c r="L179" s="57" t="s">
        <v>97</v>
      </c>
      <c r="AB179" t="str">
        <f si="2" t="shared"/>
        <v>Fleming (30/08/2004 - 31/07/2006)</v>
      </c>
    </row>
    <row r="180" spans="1:28" x14ac:dyDescent="0.2">
      <c r="A180" s="56">
        <v>3</v>
      </c>
      <c r="B180" s="57" t="s">
        <v>55</v>
      </c>
      <c r="C180" s="56">
        <v>10</v>
      </c>
      <c r="D180" s="57" t="s">
        <v>42</v>
      </c>
      <c r="E180" s="58">
        <v>38002</v>
      </c>
      <c r="F180" s="58">
        <v>38152</v>
      </c>
      <c r="G180" s="56">
        <v>525</v>
      </c>
      <c r="H180" s="57" t="s">
        <v>29</v>
      </c>
      <c r="I180" s="57" t="s">
        <v>95</v>
      </c>
      <c r="J180" s="56">
        <v>10</v>
      </c>
      <c r="K180" s="57" t="s">
        <v>96</v>
      </c>
      <c r="L180" s="57" t="s">
        <v>97</v>
      </c>
      <c r="AB180" t="str">
        <f si="2" t="shared"/>
        <v>Laver (16/01/2004 - 14/06/2004)</v>
      </c>
    </row>
    <row r="181" spans="1:28" x14ac:dyDescent="0.2">
      <c r="A181" s="56">
        <v>3</v>
      </c>
      <c r="B181" s="57" t="s">
        <v>55</v>
      </c>
      <c r="C181" s="56">
        <v>8</v>
      </c>
      <c r="D181" s="57" t="s">
        <v>154</v>
      </c>
      <c r="E181" s="58">
        <v>37802</v>
      </c>
      <c r="F181" s="58">
        <v>37968</v>
      </c>
      <c r="G181" s="56">
        <v>500</v>
      </c>
      <c r="H181" s="57" t="s">
        <v>29</v>
      </c>
      <c r="I181" s="57" t="s">
        <v>95</v>
      </c>
      <c r="J181" s="56">
        <v>10</v>
      </c>
      <c r="K181" s="57" t="s">
        <v>96</v>
      </c>
      <c r="L181" s="57" t="s">
        <v>97</v>
      </c>
      <c r="AB181" t="str">
        <f si="2" t="shared"/>
        <v>Mpofu (30/06/2003 - 13/12/2003)</v>
      </c>
    </row>
    <row r="182" spans="1:28" x14ac:dyDescent="0.2">
      <c r="A182" s="56">
        <v>3</v>
      </c>
      <c r="B182" s="57" t="s">
        <v>55</v>
      </c>
      <c r="C182" s="56">
        <v>7</v>
      </c>
      <c r="D182" s="57" t="s">
        <v>155</v>
      </c>
      <c r="E182" s="58">
        <v>37670</v>
      </c>
      <c r="F182" s="58">
        <v>38547</v>
      </c>
      <c r="G182" s="56">
        <v>505</v>
      </c>
      <c r="H182" s="57" t="s">
        <v>29</v>
      </c>
      <c r="I182" s="57" t="s">
        <v>95</v>
      </c>
      <c r="J182" s="56">
        <v>10</v>
      </c>
      <c r="K182" s="57" t="s">
        <v>96</v>
      </c>
      <c r="L182" s="57" t="s">
        <v>97</v>
      </c>
      <c r="AB182" t="str">
        <f si="2" t="shared"/>
        <v>Glace (18/02/2003 - 14/07/2005)</v>
      </c>
    </row>
    <row r="183" spans="1:28" x14ac:dyDescent="0.2">
      <c r="A183" s="56">
        <v>52</v>
      </c>
      <c r="B183" s="57" t="s">
        <v>69</v>
      </c>
      <c r="C183" s="56">
        <v>267</v>
      </c>
      <c r="D183" s="57" t="s">
        <v>386</v>
      </c>
      <c r="E183" s="58">
        <v>42377</v>
      </c>
      <c r="F183" s="57"/>
      <c r="G183" s="56">
        <v>505</v>
      </c>
      <c r="H183" s="57" t="s">
        <v>29</v>
      </c>
      <c r="I183" s="57" t="s">
        <v>95</v>
      </c>
      <c r="J183" s="56">
        <v>10</v>
      </c>
      <c r="K183" s="57" t="s">
        <v>96</v>
      </c>
      <c r="L183" s="57" t="s">
        <v>97</v>
      </c>
      <c r="AB183" t="str">
        <f si="2" t="shared"/>
        <v>Mr Hopkinson (08/01/2016 - present)</v>
      </c>
    </row>
    <row r="184" spans="1:28" x14ac:dyDescent="0.2">
      <c r="A184" s="56">
        <v>52</v>
      </c>
      <c r="B184" s="57" t="s">
        <v>69</v>
      </c>
      <c r="C184" s="56">
        <v>256</v>
      </c>
      <c r="D184" s="57" t="s">
        <v>365</v>
      </c>
      <c r="E184" s="58">
        <v>41824</v>
      </c>
      <c r="F184" s="58">
        <v>42338</v>
      </c>
      <c r="G184" s="56">
        <v>500</v>
      </c>
      <c r="H184" s="57" t="s">
        <v>29</v>
      </c>
      <c r="I184" s="57" t="s">
        <v>95</v>
      </c>
      <c r="J184" s="56">
        <v>10</v>
      </c>
      <c r="K184" s="57" t="s">
        <v>96</v>
      </c>
      <c r="L184" s="57" t="s">
        <v>97</v>
      </c>
      <c r="AA184" s="2"/>
      <c r="AB184" t="str">
        <f si="2" t="shared"/>
        <v>Mr D Cooper (04/07/2014 - 30/11/2015)</v>
      </c>
    </row>
    <row r="185" spans="1:28" x14ac:dyDescent="0.2">
      <c r="A185" s="56">
        <v>52</v>
      </c>
      <c r="B185" s="57" t="s">
        <v>69</v>
      </c>
      <c r="C185" s="56">
        <v>211</v>
      </c>
      <c r="D185" s="57" t="s">
        <v>330</v>
      </c>
      <c r="E185" s="58">
        <v>40871</v>
      </c>
      <c r="F185" s="58">
        <v>41814</v>
      </c>
      <c r="G185" s="56">
        <v>500</v>
      </c>
      <c r="H185" s="57" t="s">
        <v>29</v>
      </c>
      <c r="I185" s="57" t="s">
        <v>95</v>
      </c>
      <c r="J185" s="56">
        <v>10</v>
      </c>
      <c r="K185" s="57" t="s">
        <v>96</v>
      </c>
      <c r="L185" s="57" t="s">
        <v>97</v>
      </c>
      <c r="AB185" t="str">
        <f si="2" t="shared"/>
        <v>A Drummond (24/11/2011 - 24/06/2014)</v>
      </c>
    </row>
    <row r="186" spans="1:28" x14ac:dyDescent="0.2">
      <c r="A186" s="56">
        <v>52</v>
      </c>
      <c r="B186" s="57" t="s">
        <v>69</v>
      </c>
      <c r="C186" s="56">
        <v>89</v>
      </c>
      <c r="D186" s="57" t="s">
        <v>156</v>
      </c>
      <c r="E186" s="58">
        <v>39101</v>
      </c>
      <c r="F186" s="58">
        <v>40866</v>
      </c>
      <c r="G186" s="56">
        <v>495</v>
      </c>
      <c r="H186" s="57" t="s">
        <v>29</v>
      </c>
      <c r="I186" s="57" t="s">
        <v>95</v>
      </c>
      <c r="J186" s="56">
        <v>10</v>
      </c>
      <c r="K186" s="57" t="s">
        <v>96</v>
      </c>
      <c r="L186" s="57" t="s">
        <v>97</v>
      </c>
      <c r="AA186" s="2"/>
      <c r="AB186" t="str">
        <f si="2" t="shared"/>
        <v>Dunn (19/01/2007 - 19/11/2011)</v>
      </c>
    </row>
    <row r="187" spans="1:28" x14ac:dyDescent="0.2">
      <c r="A187" s="56">
        <v>52</v>
      </c>
      <c r="B187" s="57" t="s">
        <v>69</v>
      </c>
      <c r="C187" s="56">
        <v>74</v>
      </c>
      <c r="D187" s="57" t="s">
        <v>157</v>
      </c>
      <c r="E187" s="58">
        <v>38880</v>
      </c>
      <c r="F187" s="58">
        <v>39048</v>
      </c>
      <c r="G187" s="56">
        <v>475</v>
      </c>
      <c r="H187" s="57" t="s">
        <v>29</v>
      </c>
      <c r="I187" s="57" t="s">
        <v>104</v>
      </c>
      <c r="J187" s="56">
        <v>10</v>
      </c>
      <c r="K187" s="57" t="s">
        <v>96</v>
      </c>
      <c r="L187" s="57" t="s">
        <v>97</v>
      </c>
      <c r="AB187" t="str">
        <f si="2" t="shared"/>
        <v>Nieniarowski (12/06/2006 - 27/11/2006)</v>
      </c>
    </row>
    <row r="188" spans="1:28" x14ac:dyDescent="0.2">
      <c r="A188" s="56">
        <v>11</v>
      </c>
      <c r="B188" s="57" t="s">
        <v>62</v>
      </c>
      <c r="C188" s="56">
        <v>225</v>
      </c>
      <c r="D188" s="57" t="s">
        <v>340</v>
      </c>
      <c r="E188" s="58">
        <v>41291</v>
      </c>
      <c r="F188" s="57"/>
      <c r="G188" s="56">
        <v>395</v>
      </c>
      <c r="H188" s="57" t="s">
        <v>29</v>
      </c>
      <c r="I188" s="57" t="s">
        <v>95</v>
      </c>
      <c r="J188" s="56">
        <v>10</v>
      </c>
      <c r="K188" s="57" t="s">
        <v>96</v>
      </c>
      <c r="L188" s="57" t="s">
        <v>97</v>
      </c>
      <c r="AB188" t="str">
        <f si="2" t="shared"/>
        <v>Wright (17/01/2013 - present)</v>
      </c>
    </row>
    <row r="189" spans="1:28" x14ac:dyDescent="0.2">
      <c r="A189" s="56">
        <v>11</v>
      </c>
      <c r="B189" s="57" t="s">
        <v>62</v>
      </c>
      <c r="C189" s="56">
        <v>195</v>
      </c>
      <c r="D189" s="57" t="s">
        <v>314</v>
      </c>
      <c r="E189" s="58">
        <v>40525</v>
      </c>
      <c r="F189" s="58">
        <v>41591</v>
      </c>
      <c r="G189" s="56">
        <v>380</v>
      </c>
      <c r="H189" s="57" t="s">
        <v>29</v>
      </c>
      <c r="I189" s="57" t="s">
        <v>95</v>
      </c>
      <c r="J189" s="56">
        <v>10</v>
      </c>
      <c r="K189" s="57" t="s">
        <v>96</v>
      </c>
      <c r="L189" s="57" t="s">
        <v>97</v>
      </c>
      <c r="AA189" s="2"/>
      <c r="AB189" t="str">
        <f si="2" t="shared"/>
        <v>J Fraser (13/12/2010 - 13/11/2013)</v>
      </c>
    </row>
    <row r="190" spans="1:28" x14ac:dyDescent="0.2">
      <c r="A190" s="56">
        <v>11</v>
      </c>
      <c r="B190" s="57" t="s">
        <v>62</v>
      </c>
      <c r="C190" s="56">
        <v>181</v>
      </c>
      <c r="D190" s="57" t="s">
        <v>301</v>
      </c>
      <c r="E190" s="58">
        <v>40408</v>
      </c>
      <c r="F190" s="58">
        <v>40508</v>
      </c>
      <c r="G190" s="56">
        <v>380</v>
      </c>
      <c r="H190" s="57" t="s">
        <v>29</v>
      </c>
      <c r="I190" s="57" t="s">
        <v>95</v>
      </c>
      <c r="J190" s="56">
        <v>10</v>
      </c>
      <c r="K190" s="57" t="s">
        <v>96</v>
      </c>
      <c r="L190" s="57" t="s">
        <v>97</v>
      </c>
      <c r="AB190" t="str">
        <f si="2" t="shared"/>
        <v>Mrs C Carrington (18/08/2010 - 26/11/2010)</v>
      </c>
    </row>
    <row r="191" spans="1:28" x14ac:dyDescent="0.2">
      <c r="A191" s="56">
        <v>11</v>
      </c>
      <c r="B191" s="57" t="s">
        <v>62</v>
      </c>
      <c r="C191" s="56">
        <v>166</v>
      </c>
      <c r="D191" s="57" t="s">
        <v>284</v>
      </c>
      <c r="E191" s="58">
        <v>40151</v>
      </c>
      <c r="F191" s="58">
        <v>40334</v>
      </c>
      <c r="G191" s="56">
        <v>390</v>
      </c>
      <c r="H191" s="57" t="s">
        <v>29</v>
      </c>
      <c r="I191" s="57" t="s">
        <v>95</v>
      </c>
      <c r="J191" s="56">
        <v>10</v>
      </c>
      <c r="K191" s="57" t="s">
        <v>96</v>
      </c>
      <c r="L191" s="57" t="s">
        <v>97</v>
      </c>
      <c r="AB191" t="str">
        <f si="2" t="shared"/>
        <v>P Chatfield (04/12/2009 - 05/06/2010)</v>
      </c>
    </row>
    <row r="192" spans="1:28" x14ac:dyDescent="0.2">
      <c r="A192" s="56">
        <v>11</v>
      </c>
      <c r="B192" s="57" t="s">
        <v>62</v>
      </c>
      <c r="C192" s="56">
        <v>144</v>
      </c>
      <c r="D192" s="57" t="s">
        <v>260</v>
      </c>
      <c r="E192" s="58">
        <v>39709</v>
      </c>
      <c r="F192" s="58">
        <v>40147</v>
      </c>
      <c r="G192" s="56">
        <v>380</v>
      </c>
      <c r="H192" s="57" t="s">
        <v>29</v>
      </c>
      <c r="I192" s="57" t="s">
        <v>95</v>
      </c>
      <c r="J192" s="56">
        <v>10</v>
      </c>
      <c r="K192" s="57" t="s">
        <v>96</v>
      </c>
      <c r="L192" s="57" t="s">
        <v>97</v>
      </c>
      <c r="AB192" t="str">
        <f si="2" t="shared"/>
        <v>Toombs (18/09/2008 - 30/11/2009)</v>
      </c>
    </row>
    <row r="193" spans="1:29" x14ac:dyDescent="0.2">
      <c r="A193" s="56">
        <v>11</v>
      </c>
      <c r="B193" s="57" t="s">
        <v>62</v>
      </c>
      <c r="C193" s="56">
        <v>23</v>
      </c>
      <c r="D193" s="57" t="s">
        <v>158</v>
      </c>
      <c r="E193" s="58">
        <v>38324</v>
      </c>
      <c r="F193" s="58">
        <v>39695</v>
      </c>
      <c r="G193" s="56">
        <v>346.16</v>
      </c>
      <c r="H193" s="57" t="s">
        <v>28</v>
      </c>
      <c r="I193" s="57" t="s">
        <v>95</v>
      </c>
      <c r="J193" s="56">
        <v>10</v>
      </c>
      <c r="K193" s="57" t="s">
        <v>96</v>
      </c>
      <c r="L193" s="57" t="s">
        <v>97</v>
      </c>
      <c r="AB193" t="str">
        <f si="2" t="shared"/>
        <v>Coombs (03/12/2004 - 04/09/2008)</v>
      </c>
    </row>
    <row r="194" spans="1:29" x14ac:dyDescent="0.2">
      <c r="A194" s="56">
        <v>4</v>
      </c>
      <c r="B194" s="57" t="s">
        <v>56</v>
      </c>
      <c r="C194" s="56">
        <v>193</v>
      </c>
      <c r="D194" s="57" t="s">
        <v>312</v>
      </c>
      <c r="E194" s="58">
        <v>40508</v>
      </c>
      <c r="F194" s="57"/>
      <c r="G194" s="56">
        <v>500</v>
      </c>
      <c r="H194" s="57" t="s">
        <v>29</v>
      </c>
      <c r="I194" s="57" t="s">
        <v>95</v>
      </c>
      <c r="J194" s="56">
        <v>10</v>
      </c>
      <c r="K194" s="57" t="s">
        <v>96</v>
      </c>
      <c r="L194" s="57" t="s">
        <v>97</v>
      </c>
      <c r="AB194" t="str">
        <f si="2" t="shared"/>
        <v>Carrington (26/11/2010 - present)</v>
      </c>
    </row>
    <row r="195" spans="1:29" x14ac:dyDescent="0.2">
      <c r="A195" s="56">
        <v>4</v>
      </c>
      <c r="B195" s="57" t="s">
        <v>56</v>
      </c>
      <c r="C195" s="56">
        <v>120</v>
      </c>
      <c r="D195" s="57" t="s">
        <v>237</v>
      </c>
      <c r="E195" s="58">
        <v>39535</v>
      </c>
      <c r="F195" s="58">
        <v>40483</v>
      </c>
      <c r="G195" s="56">
        <v>500</v>
      </c>
      <c r="H195" s="57" t="s">
        <v>29</v>
      </c>
      <c r="I195" s="57" t="s">
        <v>95</v>
      </c>
      <c r="J195" s="56">
        <v>10</v>
      </c>
      <c r="K195" s="57" t="s">
        <v>96</v>
      </c>
      <c r="L195" s="57" t="s">
        <v>97</v>
      </c>
      <c r="AB195" t="str">
        <f ref="AB195:AB258" si="3" t="shared"><![CDATA[IF(E195<>"",IF(F195="",D195&" ("&TEXT(E195,"dd/mm/yyyy")&" - present)",D195&" ("&TEXT(E195,"dd/mm/yyyy")&" - "&TEXT(F195,"dd/mm/yyyy")&")"),"")]]></f>
        <v>Simpson-Stevens &amp; Scott (28/03/2008 - 01/11/2010)</v>
      </c>
    </row>
    <row r="196" spans="1:29" x14ac:dyDescent="0.2">
      <c r="A196" s="56">
        <v>4</v>
      </c>
      <c r="B196" s="57" t="s">
        <v>56</v>
      </c>
      <c r="C196" s="56">
        <v>101</v>
      </c>
      <c r="D196" s="57" t="s">
        <v>159</v>
      </c>
      <c r="E196" s="58">
        <v>39153</v>
      </c>
      <c r="F196" s="58">
        <v>39447</v>
      </c>
      <c r="G196" s="56">
        <v>490</v>
      </c>
      <c r="H196" s="57" t="s">
        <v>29</v>
      </c>
      <c r="I196" s="57" t="s">
        <v>95</v>
      </c>
      <c r="J196" s="56">
        <v>10</v>
      </c>
      <c r="K196" s="57" t="s">
        <v>96</v>
      </c>
      <c r="L196" s="57" t="s">
        <v>97</v>
      </c>
      <c r="AB196" t="str">
        <f si="3" t="shared"/>
        <v>Jones (12/03/2007 - 31/12/2007)</v>
      </c>
    </row>
    <row r="197" spans="1:29" x14ac:dyDescent="0.2">
      <c r="A197" s="56">
        <v>4</v>
      </c>
      <c r="B197" s="57" t="s">
        <v>56</v>
      </c>
      <c r="C197" s="56">
        <v>55</v>
      </c>
      <c r="D197" s="57" t="s">
        <v>160</v>
      </c>
      <c r="E197" s="58">
        <v>38950</v>
      </c>
      <c r="F197" s="58">
        <v>39136</v>
      </c>
      <c r="G197" s="56">
        <v>447.68</v>
      </c>
      <c r="H197" s="57" t="s">
        <v>28</v>
      </c>
      <c r="I197" s="57" t="s">
        <v>95</v>
      </c>
      <c r="J197" s="56">
        <v>10</v>
      </c>
      <c r="K197" s="57" t="s">
        <v>96</v>
      </c>
      <c r="L197" s="57" t="s">
        <v>97</v>
      </c>
      <c r="AB197" t="str">
        <f si="3" t="shared"/>
        <v>Coalbran (21/08/2006 - 23/02/2007)</v>
      </c>
    </row>
    <row r="198" spans="1:29" x14ac:dyDescent="0.2">
      <c r="A198" s="56">
        <v>4</v>
      </c>
      <c r="B198" s="57" t="s">
        <v>56</v>
      </c>
      <c r="C198" s="56">
        <v>45</v>
      </c>
      <c r="D198" s="57" t="s">
        <v>161</v>
      </c>
      <c r="E198" s="58">
        <v>38705</v>
      </c>
      <c r="F198" s="58">
        <v>38929</v>
      </c>
      <c r="G198" s="56">
        <v>443.08</v>
      </c>
      <c r="H198" s="57" t="s">
        <v>28</v>
      </c>
      <c r="I198" s="57" t="s">
        <v>95</v>
      </c>
      <c r="J198" s="56">
        <v>10</v>
      </c>
      <c r="K198" s="57" t="s">
        <v>96</v>
      </c>
      <c r="L198" s="57" t="s">
        <v>97</v>
      </c>
      <c r="AB198" t="str">
        <f si="3" t="shared"/>
        <v>Larkins/Allen (19/12/2005 - 31/07/2006)</v>
      </c>
    </row>
    <row r="199" spans="1:29" x14ac:dyDescent="0.2">
      <c r="A199" s="56">
        <v>4</v>
      </c>
      <c r="B199" s="57" t="s">
        <v>56</v>
      </c>
      <c r="C199" s="56">
        <v>26</v>
      </c>
      <c r="D199" s="57" t="s">
        <v>162</v>
      </c>
      <c r="E199" s="58">
        <v>38389</v>
      </c>
      <c r="F199" s="58">
        <v>38698</v>
      </c>
      <c r="G199" s="56">
        <v>450</v>
      </c>
      <c r="H199" s="57" t="s">
        <v>29</v>
      </c>
      <c r="I199" s="57" t="s">
        <v>95</v>
      </c>
      <c r="J199" s="56">
        <v>10</v>
      </c>
      <c r="K199" s="57" t="s">
        <v>96</v>
      </c>
      <c r="L199" s="57" t="s">
        <v>97</v>
      </c>
      <c r="AB199" t="str">
        <f si="3" t="shared"/>
        <v>Emptage/Robson (06/02/2005 - 12/12/2005)</v>
      </c>
    </row>
    <row r="200" spans="1:29" x14ac:dyDescent="0.2">
      <c r="A200" s="56">
        <v>4</v>
      </c>
      <c r="B200" s="57" t="s">
        <v>56</v>
      </c>
      <c r="C200" s="56">
        <v>6</v>
      </c>
      <c r="D200" s="57" t="s">
        <v>10</v>
      </c>
      <c r="E200" s="58">
        <v>37958</v>
      </c>
      <c r="F200" s="58">
        <v>38547</v>
      </c>
      <c r="G200" s="56">
        <v>400</v>
      </c>
      <c r="H200" s="57" t="s">
        <v>29</v>
      </c>
      <c r="I200" s="57" t="s">
        <v>95</v>
      </c>
      <c r="J200" s="56">
        <v>10</v>
      </c>
      <c r="K200" s="57" t="s">
        <v>96</v>
      </c>
      <c r="L200" s="57" t="s">
        <v>97</v>
      </c>
      <c r="AB200" t="str">
        <f si="3" t="shared"/>
        <v>Hall (03/12/2003 - 14/07/2005)</v>
      </c>
    </row>
    <row r="201" spans="1:29" x14ac:dyDescent="0.2">
      <c r="A201" s="56">
        <v>4</v>
      </c>
      <c r="B201" s="57" t="s">
        <v>56</v>
      </c>
      <c r="C201" s="56">
        <v>5</v>
      </c>
      <c r="D201" s="57" t="s">
        <v>163</v>
      </c>
      <c r="E201" s="58">
        <v>37778</v>
      </c>
      <c r="F201" s="58">
        <v>37900</v>
      </c>
      <c r="G201" s="56">
        <v>399</v>
      </c>
      <c r="H201" s="57" t="s">
        <v>29</v>
      </c>
      <c r="I201" s="57" t="s">
        <v>95</v>
      </c>
      <c r="J201" s="56">
        <v>10</v>
      </c>
      <c r="K201" s="57" t="s">
        <v>96</v>
      </c>
      <c r="L201" s="57" t="s">
        <v>97</v>
      </c>
      <c r="M201" s="51"/>
      <c r="N201" s="51"/>
      <c r="O201" s="51"/>
      <c r="P201" s="51"/>
      <c r="Q201" s="51"/>
      <c r="R201" s="51"/>
      <c r="S201" s="51"/>
      <c r="T201" s="51"/>
      <c r="U201" s="51"/>
      <c r="V201" s="51"/>
      <c r="W201" s="51"/>
      <c r="X201" s="51"/>
      <c r="Y201" s="51"/>
      <c r="Z201" s="51"/>
      <c r="AA201" s="51"/>
      <c r="AB201" s="51" t="str">
        <f si="3" t="shared"/>
        <v>Dixon (06/06/2003 - 06/10/2003)</v>
      </c>
      <c r="AC201" s="51"/>
    </row>
    <row r="202" spans="1:29" x14ac:dyDescent="0.2">
      <c r="A202" s="56">
        <v>4</v>
      </c>
      <c r="B202" s="57" t="s">
        <v>56</v>
      </c>
      <c r="C202" s="56">
        <v>4</v>
      </c>
      <c r="D202" s="57" t="s">
        <v>164</v>
      </c>
      <c r="E202" s="58">
        <v>37603</v>
      </c>
      <c r="F202" s="58">
        <v>37754</v>
      </c>
      <c r="G202" s="56">
        <v>395</v>
      </c>
      <c r="H202" s="57" t="s">
        <v>29</v>
      </c>
      <c r="I202" s="57" t="s">
        <v>95</v>
      </c>
      <c r="J202" s="56">
        <v>10</v>
      </c>
      <c r="K202" s="57" t="s">
        <v>96</v>
      </c>
      <c r="L202" s="57" t="s">
        <v>97</v>
      </c>
      <c r="AB202" t="str">
        <f si="3" t="shared"/>
        <v>Raven (13/12/2002 - 13/05/2003)</v>
      </c>
    </row>
    <row r="203" spans="1:29" x14ac:dyDescent="0.2">
      <c r="A203" s="56">
        <v>47</v>
      </c>
      <c r="B203" s="57" t="s">
        <v>86</v>
      </c>
      <c r="C203" s="56">
        <v>96</v>
      </c>
      <c r="D203" s="57" t="s">
        <v>165</v>
      </c>
      <c r="E203" s="58">
        <v>39136</v>
      </c>
      <c r="F203" s="57"/>
      <c r="G203" s="56">
        <v>490</v>
      </c>
      <c r="H203" s="57" t="s">
        <v>29</v>
      </c>
      <c r="I203" s="57" t="s">
        <v>95</v>
      </c>
      <c r="J203" s="56">
        <v>10</v>
      </c>
      <c r="K203" s="57" t="s">
        <v>96</v>
      </c>
      <c r="L203" s="57" t="s">
        <v>97</v>
      </c>
      <c r="AB203" t="str">
        <f si="3" t="shared"/>
        <v>Valverde (23/02/2007 - present)</v>
      </c>
    </row>
    <row r="204" spans="1:29" x14ac:dyDescent="0.2">
      <c r="A204" s="56">
        <v>47</v>
      </c>
      <c r="B204" s="57" t="s">
        <v>86</v>
      </c>
      <c r="C204" s="56">
        <v>73</v>
      </c>
      <c r="D204" s="57" t="s">
        <v>166</v>
      </c>
      <c r="E204" s="58">
        <v>38208</v>
      </c>
      <c r="F204" s="58">
        <v>39059</v>
      </c>
      <c r="G204" s="56">
        <v>438.48</v>
      </c>
      <c r="H204" s="57" t="s">
        <v>28</v>
      </c>
      <c r="I204" s="57" t="s">
        <v>104</v>
      </c>
      <c r="J204" s="56">
        <v>10</v>
      </c>
      <c r="K204" s="57" t="s">
        <v>96</v>
      </c>
      <c r="L204" s="57" t="s">
        <v>97</v>
      </c>
      <c r="AA204" s="2"/>
      <c r="AB204" t="str">
        <f si="3" t="shared"/>
        <v>Penfold (09/08/2004 - 08/12/2006)</v>
      </c>
    </row>
    <row r="205" spans="1:29" x14ac:dyDescent="0.2">
      <c r="A205" s="56">
        <v>31</v>
      </c>
      <c r="B205" s="57" t="s">
        <v>103</v>
      </c>
      <c r="C205" s="56">
        <v>278</v>
      </c>
      <c r="D205" s="57" t="s">
        <v>404</v>
      </c>
      <c r="E205" s="58">
        <v>42657</v>
      </c>
      <c r="F205" s="57"/>
      <c r="G205" s="56">
        <v>505</v>
      </c>
      <c r="H205" s="57" t="s">
        <v>29</v>
      </c>
      <c r="I205" s="57" t="s">
        <v>95</v>
      </c>
      <c r="J205" s="56">
        <v>10</v>
      </c>
      <c r="K205" s="57" t="s">
        <v>96</v>
      </c>
      <c r="L205" s="57" t="s">
        <v>97</v>
      </c>
      <c r="AB205" t="str">
        <f si="3" t="shared"/>
        <v>Miss S Smith (14/10/2016 - present)</v>
      </c>
    </row>
    <row r="206" spans="1:29" x14ac:dyDescent="0.2">
      <c r="A206" s="56">
        <v>31</v>
      </c>
      <c r="B206" s="57" t="s">
        <v>103</v>
      </c>
      <c r="C206" s="56">
        <v>273</v>
      </c>
      <c r="D206" s="57" t="s">
        <v>389</v>
      </c>
      <c r="E206" s="58">
        <v>42474</v>
      </c>
      <c r="F206" s="58">
        <v>42657</v>
      </c>
      <c r="G206" s="56">
        <v>505</v>
      </c>
      <c r="H206" s="57" t="s">
        <v>29</v>
      </c>
      <c r="I206" s="57" t="s">
        <v>95</v>
      </c>
      <c r="J206" s="56">
        <v>10</v>
      </c>
      <c r="K206" s="57" t="s">
        <v>96</v>
      </c>
      <c r="L206" s="57" t="s">
        <v>97</v>
      </c>
      <c r="AB206" t="str">
        <f si="3" t="shared"/>
        <v>Ms H Daniels (14/04/2016 - 14/10/2016)</v>
      </c>
    </row>
    <row r="207" spans="1:29" x14ac:dyDescent="0.2">
      <c r="A207" s="56">
        <v>31</v>
      </c>
      <c r="B207" s="57" t="s">
        <v>103</v>
      </c>
      <c r="C207" s="56">
        <v>126</v>
      </c>
      <c r="D207" s="57" t="s">
        <v>221</v>
      </c>
      <c r="E207" s="58">
        <v>39524</v>
      </c>
      <c r="F207" s="58">
        <v>42460</v>
      </c>
      <c r="G207" s="56">
        <v>490</v>
      </c>
      <c r="H207" s="57" t="s">
        <v>29</v>
      </c>
      <c r="I207" s="57" t="s">
        <v>95</v>
      </c>
      <c r="J207" s="56">
        <v>10</v>
      </c>
      <c r="K207" s="57" t="s">
        <v>96</v>
      </c>
      <c r="L207" s="57" t="s">
        <v>97</v>
      </c>
      <c r="AB207" t="str">
        <f si="3" t="shared"/>
        <v>Parieira (17/03/2008 - 31/03/2016)</v>
      </c>
    </row>
    <row r="208" spans="1:29" x14ac:dyDescent="0.2">
      <c r="A208" s="56">
        <v>31</v>
      </c>
      <c r="B208" s="57" t="s">
        <v>103</v>
      </c>
      <c r="C208" s="56">
        <v>34</v>
      </c>
      <c r="D208" s="57" t="s">
        <v>167</v>
      </c>
      <c r="E208" s="58">
        <v>38668</v>
      </c>
      <c r="F208" s="58">
        <v>39507</v>
      </c>
      <c r="G208" s="56">
        <v>400</v>
      </c>
      <c r="H208" s="57" t="s">
        <v>29</v>
      </c>
      <c r="I208" s="57" t="s">
        <v>104</v>
      </c>
      <c r="J208" s="56">
        <v>10</v>
      </c>
      <c r="K208" s="57" t="s">
        <v>96</v>
      </c>
      <c r="L208" s="57" t="s">
        <v>97</v>
      </c>
      <c r="M208" s="51"/>
      <c r="N208" s="51"/>
      <c r="O208" s="51"/>
      <c r="P208" s="51"/>
      <c r="Q208" s="51"/>
      <c r="R208" s="51"/>
      <c r="S208" s="51"/>
      <c r="T208" s="51"/>
      <c r="U208" s="51"/>
      <c r="V208" s="51"/>
      <c r="W208" s="51"/>
      <c r="X208" s="51"/>
      <c r="Y208" s="51"/>
      <c r="Z208" s="51"/>
      <c r="AA208" s="51"/>
      <c r="AB208" s="51" t="str">
        <f si="3" t="shared"/>
        <v>Nerantzoula Klelousi (12/11/2005 - 29/02/2008)</v>
      </c>
      <c r="AC208" s="51"/>
    </row>
    <row r="209" spans="1:28" x14ac:dyDescent="0.2">
      <c r="A209" s="56">
        <v>63</v>
      </c>
      <c r="B209" s="57" t="s">
        <v>115</v>
      </c>
      <c r="C209" s="56">
        <v>167</v>
      </c>
      <c r="D209" s="57" t="s">
        <v>286</v>
      </c>
      <c r="E209" s="58">
        <v>40158</v>
      </c>
      <c r="F209" s="57"/>
      <c r="G209" s="56">
        <v>500</v>
      </c>
      <c r="H209" s="57" t="s">
        <v>29</v>
      </c>
      <c r="I209" s="57" t="s">
        <v>95</v>
      </c>
      <c r="J209" s="56">
        <v>10</v>
      </c>
      <c r="K209" s="57" t="s">
        <v>96</v>
      </c>
      <c r="L209" s="57" t="s">
        <v>97</v>
      </c>
      <c r="AA209" s="2"/>
      <c r="AB209" t="str">
        <f si="3" t="shared"/>
        <v>Taperek (11/12/2009 - present)</v>
      </c>
    </row>
    <row r="210" spans="1:28" x14ac:dyDescent="0.2">
      <c r="A210" s="56">
        <v>63</v>
      </c>
      <c r="B210" s="57" t="s">
        <v>115</v>
      </c>
      <c r="C210" s="56">
        <v>148</v>
      </c>
      <c r="D210" s="57" t="s">
        <v>265</v>
      </c>
      <c r="E210" s="58">
        <v>39787</v>
      </c>
      <c r="F210" s="58">
        <v>40127</v>
      </c>
      <c r="G210" s="56">
        <v>500</v>
      </c>
      <c r="H210" s="57" t="s">
        <v>29</v>
      </c>
      <c r="I210" s="57" t="s">
        <v>95</v>
      </c>
      <c r="J210" s="56">
        <v>10</v>
      </c>
      <c r="K210" s="57" t="s">
        <v>96</v>
      </c>
      <c r="L210" s="57" t="s">
        <v>97</v>
      </c>
      <c r="AB210" t="str">
        <f si="3" t="shared"/>
        <v>Sally Miller (05/12/2008 - 10/11/2009)</v>
      </c>
    </row>
    <row r="211" spans="1:28" x14ac:dyDescent="0.2">
      <c r="A211" s="56">
        <v>63</v>
      </c>
      <c r="B211" s="57" t="s">
        <v>115</v>
      </c>
      <c r="C211" s="56">
        <v>109</v>
      </c>
      <c r="D211" s="57" t="s">
        <v>192</v>
      </c>
      <c r="E211" s="58">
        <v>39304</v>
      </c>
      <c r="F211" s="58">
        <v>39761</v>
      </c>
      <c r="G211" s="56">
        <v>470</v>
      </c>
      <c r="H211" s="57" t="s">
        <v>29</v>
      </c>
      <c r="I211" s="57" t="s">
        <v>95</v>
      </c>
      <c r="J211" s="56">
        <v>10</v>
      </c>
      <c r="K211" s="57" t="s">
        <v>96</v>
      </c>
      <c r="L211" s="57" t="s">
        <v>97</v>
      </c>
      <c r="AB211" t="str">
        <f si="3" t="shared"/>
        <v>Thidar (10/08/2007 - 09/11/2008)</v>
      </c>
    </row>
    <row r="212" spans="1:28" x14ac:dyDescent="0.2">
      <c r="A212" s="56">
        <v>63</v>
      </c>
      <c r="B212" s="57" t="s">
        <v>115</v>
      </c>
      <c r="C212" s="56">
        <v>83</v>
      </c>
      <c r="D212" s="57" t="s">
        <v>182</v>
      </c>
      <c r="E212" s="58">
        <v>38848</v>
      </c>
      <c r="F212" s="58">
        <v>39247</v>
      </c>
      <c r="G212" s="56">
        <v>475</v>
      </c>
      <c r="H212" s="57" t="s">
        <v>29</v>
      </c>
      <c r="I212" s="57" t="s">
        <v>116</v>
      </c>
      <c r="J212" s="56">
        <v>10</v>
      </c>
      <c r="K212" s="57" t="s">
        <v>96</v>
      </c>
      <c r="L212" s="57" t="s">
        <v>97</v>
      </c>
      <c r="AA212" s="2"/>
      <c r="AB212" t="str">
        <f si="3" t="shared"/>
        <v>Barckowski (11/05/2006 - 14/06/2007)</v>
      </c>
    </row>
    <row r="213" spans="1:28" x14ac:dyDescent="0.2">
      <c r="A213" s="56">
        <v>30</v>
      </c>
      <c r="B213" s="57" t="s">
        <v>66</v>
      </c>
      <c r="C213" s="56">
        <v>240</v>
      </c>
      <c r="D213" s="57" t="s">
        <v>357</v>
      </c>
      <c r="E213" s="58">
        <v>41586</v>
      </c>
      <c r="F213" s="57"/>
      <c r="G213" s="56">
        <v>500</v>
      </c>
      <c r="H213" s="57" t="s">
        <v>29</v>
      </c>
      <c r="I213" s="57" t="s">
        <v>95</v>
      </c>
      <c r="J213" s="56">
        <v>10</v>
      </c>
      <c r="K213" s="57" t="s">
        <v>96</v>
      </c>
      <c r="L213" s="57" t="s">
        <v>97</v>
      </c>
      <c r="AB213" t="str">
        <f si="3" t="shared"/>
        <v>Mr Hinks (08/11/2013 - present)</v>
      </c>
    </row>
    <row r="214" spans="1:28" x14ac:dyDescent="0.2">
      <c r="A214" s="56">
        <v>30</v>
      </c>
      <c r="B214" s="57" t="s">
        <v>66</v>
      </c>
      <c r="C214" s="56">
        <v>221</v>
      </c>
      <c r="D214" s="57" t="s">
        <v>341</v>
      </c>
      <c r="E214" s="58">
        <v>41331</v>
      </c>
      <c r="F214" s="58">
        <v>41546</v>
      </c>
      <c r="G214" s="56">
        <v>500</v>
      </c>
      <c r="H214" s="57" t="s">
        <v>29</v>
      </c>
      <c r="I214" s="57" t="s">
        <v>95</v>
      </c>
      <c r="J214" s="56">
        <v>10</v>
      </c>
      <c r="K214" s="57" t="s">
        <v>96</v>
      </c>
      <c r="L214" s="57" t="s">
        <v>97</v>
      </c>
      <c r="AB214" t="str">
        <f si="3" t="shared"/>
        <v>A Thomas (26/02/2013 - 29/09/2013)</v>
      </c>
    </row>
    <row r="215" spans="1:28" x14ac:dyDescent="0.2">
      <c r="A215" s="56">
        <v>30</v>
      </c>
      <c r="B215" s="57" t="s">
        <v>66</v>
      </c>
      <c r="C215" s="56">
        <v>173</v>
      </c>
      <c r="D215" s="57" t="s">
        <v>294</v>
      </c>
      <c r="E215" s="58">
        <v>40268</v>
      </c>
      <c r="F215" s="58">
        <v>41305</v>
      </c>
      <c r="G215" s="56">
        <v>480</v>
      </c>
      <c r="H215" s="57" t="s">
        <v>29</v>
      </c>
      <c r="I215" s="57" t="s">
        <v>95</v>
      </c>
      <c r="J215" s="56">
        <v>10</v>
      </c>
      <c r="K215" s="57" t="s">
        <v>96</v>
      </c>
      <c r="L215" s="57" t="s">
        <v>97</v>
      </c>
      <c r="AB215" t="str">
        <f si="3" t="shared"/>
        <v>Long &amp; Emptage (31/03/2010 - 31/01/2013)</v>
      </c>
    </row>
    <row r="216" spans="1:28" x14ac:dyDescent="0.2">
      <c r="A216" s="56">
        <v>30</v>
      </c>
      <c r="B216" s="57" t="s">
        <v>66</v>
      </c>
      <c r="C216" s="56">
        <v>163</v>
      </c>
      <c r="D216" s="57" t="s">
        <v>279</v>
      </c>
      <c r="E216" s="58">
        <v>40046</v>
      </c>
      <c r="F216" s="58">
        <v>40230</v>
      </c>
      <c r="G216" s="56">
        <v>510</v>
      </c>
      <c r="H216" s="57" t="s">
        <v>29</v>
      </c>
      <c r="I216" s="57" t="s">
        <v>95</v>
      </c>
      <c r="J216" s="56">
        <v>10</v>
      </c>
      <c r="K216" s="57" t="s">
        <v>96</v>
      </c>
      <c r="L216" s="57" t="s">
        <v>97</v>
      </c>
      <c r="AB216" t="str">
        <f si="3" t="shared"/>
        <v>Arrabbetou (21/08/2009 - 21/02/2010)</v>
      </c>
    </row>
    <row r="217" spans="1:28" x14ac:dyDescent="0.2">
      <c r="A217" s="56">
        <v>30</v>
      </c>
      <c r="B217" s="57" t="s">
        <v>66</v>
      </c>
      <c r="C217" s="56">
        <v>134</v>
      </c>
      <c r="D217" s="57" t="s">
        <v>251</v>
      </c>
      <c r="E217" s="58">
        <v>39556</v>
      </c>
      <c r="F217" s="58">
        <v>40024</v>
      </c>
      <c r="G217" s="56">
        <v>520</v>
      </c>
      <c r="H217" s="57" t="s">
        <v>29</v>
      </c>
      <c r="I217" s="57" t="s">
        <v>95</v>
      </c>
      <c r="J217" s="56">
        <v>10</v>
      </c>
      <c r="K217" s="57" t="s">
        <v>96</v>
      </c>
      <c r="L217" s="57" t="s">
        <v>97</v>
      </c>
      <c r="AA217" s="2"/>
      <c r="AB217" t="str">
        <f si="3" t="shared"/>
        <v>Mr D Moore (18/04/2008 - 30/07/2009)</v>
      </c>
    </row>
    <row r="218" spans="1:28" x14ac:dyDescent="0.2">
      <c r="A218" s="56">
        <v>30</v>
      </c>
      <c r="B218" s="57" t="s">
        <v>66</v>
      </c>
      <c r="C218" s="56">
        <v>90</v>
      </c>
      <c r="D218" s="57" t="s">
        <v>151</v>
      </c>
      <c r="E218" s="58">
        <v>39054</v>
      </c>
      <c r="F218" s="58">
        <v>39538</v>
      </c>
      <c r="G218" s="56">
        <v>480</v>
      </c>
      <c r="H218" s="57" t="s">
        <v>29</v>
      </c>
      <c r="I218" s="57" t="s">
        <v>95</v>
      </c>
      <c r="J218" s="56">
        <v>10</v>
      </c>
      <c r="K218" s="57" t="s">
        <v>96</v>
      </c>
      <c r="L218" s="57" t="s">
        <v>97</v>
      </c>
      <c r="AB218" t="str">
        <f si="3" t="shared"/>
        <v>Thompson (03/12/2006 - 31/03/2008)</v>
      </c>
    </row>
    <row r="219" spans="1:28" x14ac:dyDescent="0.2">
      <c r="A219" s="56">
        <v>30</v>
      </c>
      <c r="B219" s="57" t="s">
        <v>66</v>
      </c>
      <c r="C219" s="56">
        <v>63</v>
      </c>
      <c r="D219" s="57" t="s">
        <v>168</v>
      </c>
      <c r="E219" s="58">
        <v>38863</v>
      </c>
      <c r="F219" s="58">
        <v>39046</v>
      </c>
      <c r="G219" s="56">
        <v>470</v>
      </c>
      <c r="H219" s="57" t="s">
        <v>29</v>
      </c>
      <c r="I219" s="57" t="s">
        <v>104</v>
      </c>
      <c r="J219" s="56">
        <v>10</v>
      </c>
      <c r="K219" s="57" t="s">
        <v>96</v>
      </c>
      <c r="L219" s="57" t="s">
        <v>97</v>
      </c>
      <c r="AB219" t="str">
        <f si="3" t="shared"/>
        <v>Tuckley (26/05/2006 - 25/11/2006)</v>
      </c>
    </row>
    <row customFormat="1" r="220" s="51" spans="1:28" x14ac:dyDescent="0.2">
      <c r="A220" s="56">
        <v>30</v>
      </c>
      <c r="B220" s="57" t="s">
        <v>66</v>
      </c>
      <c r="C220" s="56">
        <v>41</v>
      </c>
      <c r="D220" s="57" t="s">
        <v>169</v>
      </c>
      <c r="E220" s="58">
        <v>38506</v>
      </c>
      <c r="F220" s="58">
        <v>38688</v>
      </c>
      <c r="G220" s="56">
        <v>500</v>
      </c>
      <c r="H220" s="57" t="s">
        <v>29</v>
      </c>
      <c r="I220" s="57" t="s">
        <v>104</v>
      </c>
      <c r="J220" s="56">
        <v>10</v>
      </c>
      <c r="K220" s="57" t="s">
        <v>96</v>
      </c>
      <c r="L220" s="57" t="s">
        <v>97</v>
      </c>
      <c r="AB220" s="51" t="str">
        <f si="3" t="shared"/>
        <v xml:space="preserve"> Hickman (03/06/2005 - 02/12/2005)</v>
      </c>
    </row>
    <row r="221" spans="1:28" x14ac:dyDescent="0.2">
      <c r="A221" s="56">
        <v>48</v>
      </c>
      <c r="B221" s="57" t="s">
        <v>111</v>
      </c>
      <c r="C221" s="56">
        <v>239</v>
      </c>
      <c r="D221" s="57" t="s">
        <v>358</v>
      </c>
      <c r="E221" s="58">
        <v>41561</v>
      </c>
      <c r="F221" s="57"/>
      <c r="G221" s="56">
        <v>500</v>
      </c>
      <c r="H221" s="57" t="s">
        <v>29</v>
      </c>
      <c r="I221" s="57" t="s">
        <v>95</v>
      </c>
      <c r="J221" s="56">
        <v>10</v>
      </c>
      <c r="K221" s="57" t="s">
        <v>96</v>
      </c>
      <c r="L221" s="57" t="s">
        <v>97</v>
      </c>
      <c r="AB221" t="str">
        <f si="3" t="shared"/>
        <v>Mr Radzevics (14/10/2013 - present)</v>
      </c>
    </row>
    <row r="222" spans="1:28" x14ac:dyDescent="0.2">
      <c r="A222" s="56">
        <v>48</v>
      </c>
      <c r="B222" s="57" t="s">
        <v>111</v>
      </c>
      <c r="C222" s="56">
        <v>177</v>
      </c>
      <c r="D222" s="57" t="s">
        <v>297</v>
      </c>
      <c r="E222" s="58">
        <v>40338</v>
      </c>
      <c r="F222" s="58">
        <v>41495</v>
      </c>
      <c r="G222" s="56">
        <v>500</v>
      </c>
      <c r="H222" s="57" t="s">
        <v>29</v>
      </c>
      <c r="I222" s="57" t="s">
        <v>95</v>
      </c>
      <c r="J222" s="56">
        <v>10</v>
      </c>
      <c r="K222" s="57" t="s">
        <v>96</v>
      </c>
      <c r="L222" s="57" t="s">
        <v>97</v>
      </c>
      <c r="AB222" t="str">
        <f si="3" t="shared"/>
        <v>J Dee (09/06/2010 - 09/08/2013)</v>
      </c>
    </row>
    <row r="223" spans="1:28" x14ac:dyDescent="0.2">
      <c r="A223" s="56">
        <v>48</v>
      </c>
      <c r="B223" s="57" t="s">
        <v>111</v>
      </c>
      <c r="C223" s="56">
        <v>153</v>
      </c>
      <c r="D223" s="57" t="s">
        <v>270</v>
      </c>
      <c r="E223" s="58">
        <v>39940</v>
      </c>
      <c r="F223" s="58">
        <v>40123</v>
      </c>
      <c r="G223" s="56">
        <v>500</v>
      </c>
      <c r="H223" s="57" t="s">
        <v>29</v>
      </c>
      <c r="I223" s="57" t="s">
        <v>95</v>
      </c>
      <c r="J223" s="56">
        <v>10</v>
      </c>
      <c r="K223" s="57" t="s">
        <v>96</v>
      </c>
      <c r="L223" s="57" t="s">
        <v>97</v>
      </c>
      <c r="AB223" t="str">
        <f si="3" t="shared"/>
        <v>Miss Misson &amp; Mr Plummer (07/05/2009 - 06/11/2009)</v>
      </c>
    </row>
    <row r="224" spans="1:28" x14ac:dyDescent="0.2">
      <c r="A224" s="56">
        <v>48</v>
      </c>
      <c r="B224" s="57" t="s">
        <v>111</v>
      </c>
      <c r="C224" s="56">
        <v>139</v>
      </c>
      <c r="D224" s="57" t="s">
        <v>271</v>
      </c>
      <c r="E224" s="58">
        <v>39701</v>
      </c>
      <c r="F224" s="58">
        <v>39913</v>
      </c>
      <c r="G224" s="56">
        <v>460</v>
      </c>
      <c r="H224" s="57" t="s">
        <v>29</v>
      </c>
      <c r="I224" s="57" t="s">
        <v>197</v>
      </c>
      <c r="J224" s="56">
        <v>0</v>
      </c>
      <c r="K224" s="57" t="s">
        <v>175</v>
      </c>
      <c r="L224" s="57" t="s">
        <v>101</v>
      </c>
      <c r="AB224" t="str">
        <f si="3" t="shared"/>
        <v>Alex Asagba (10/09/2008 - 10/04/2009)</v>
      </c>
    </row>
    <row r="225" spans="1:29" x14ac:dyDescent="0.2">
      <c r="A225" s="56">
        <v>48</v>
      </c>
      <c r="B225" s="57" t="s">
        <v>111</v>
      </c>
      <c r="C225" s="56">
        <v>66</v>
      </c>
      <c r="D225" s="57" t="s">
        <v>230</v>
      </c>
      <c r="E225" s="58">
        <v>37639</v>
      </c>
      <c r="F225" s="58">
        <v>39645</v>
      </c>
      <c r="G225" s="56">
        <v>475</v>
      </c>
      <c r="H225" s="57" t="s">
        <v>29</v>
      </c>
      <c r="I225" s="57" t="s">
        <v>197</v>
      </c>
      <c r="J225" s="56">
        <v>0</v>
      </c>
      <c r="K225" s="57" t="s">
        <v>175</v>
      </c>
      <c r="L225" s="57" t="s">
        <v>101</v>
      </c>
      <c r="AB225" t="str">
        <f si="3" t="shared"/>
        <v>Miss Claire Butcher (18/01/2003 - 16/07/2008)</v>
      </c>
    </row>
    <row r="226" spans="1:29" x14ac:dyDescent="0.2">
      <c r="A226" s="56">
        <v>68</v>
      </c>
      <c r="B226" s="57" t="s">
        <v>117</v>
      </c>
      <c r="C226" s="56">
        <v>135</v>
      </c>
      <c r="D226" s="57" t="s">
        <v>254</v>
      </c>
      <c r="E226" s="58">
        <v>39546</v>
      </c>
      <c r="F226" s="57"/>
      <c r="G226" s="56">
        <v>500</v>
      </c>
      <c r="H226" s="57" t="s">
        <v>29</v>
      </c>
      <c r="I226" s="57" t="s">
        <v>95</v>
      </c>
      <c r="J226" s="56">
        <v>10</v>
      </c>
      <c r="K226" s="57" t="s">
        <v>96</v>
      </c>
      <c r="L226" s="57" t="s">
        <v>97</v>
      </c>
      <c r="AB226" t="str">
        <f si="3" t="shared"/>
        <v>Mr A Young (08/04/2008 - present)</v>
      </c>
    </row>
    <row r="227" spans="1:29" x14ac:dyDescent="0.2">
      <c r="A227" s="56">
        <v>68</v>
      </c>
      <c r="B227" s="57" t="s">
        <v>117</v>
      </c>
      <c r="C227" s="56">
        <v>99</v>
      </c>
      <c r="D227" s="57" t="s">
        <v>170</v>
      </c>
      <c r="E227" s="58">
        <v>39177</v>
      </c>
      <c r="F227" s="58">
        <v>39512</v>
      </c>
      <c r="G227" s="56">
        <v>500</v>
      </c>
      <c r="H227" s="57" t="s">
        <v>29</v>
      </c>
      <c r="I227" s="57" t="s">
        <v>95</v>
      </c>
      <c r="J227" s="56">
        <v>10</v>
      </c>
      <c r="K227" s="57" t="s">
        <v>96</v>
      </c>
      <c r="L227" s="57" t="s">
        <v>97</v>
      </c>
      <c r="AB227" t="str">
        <f si="3" t="shared"/>
        <v>Hughes (05/04/2007 - 05/03/2008)</v>
      </c>
    </row>
    <row r="228" spans="1:29" x14ac:dyDescent="0.2">
      <c r="A228" s="56">
        <v>68</v>
      </c>
      <c r="B228" s="57" t="s">
        <v>117</v>
      </c>
      <c r="C228" s="56">
        <v>82</v>
      </c>
      <c r="D228" s="57" t="s">
        <v>171</v>
      </c>
      <c r="E228" s="58">
        <v>38490</v>
      </c>
      <c r="F228" s="58">
        <v>39132</v>
      </c>
      <c r="G228" s="56">
        <v>425</v>
      </c>
      <c r="H228" s="57" t="s">
        <v>29</v>
      </c>
      <c r="I228" s="57" t="s">
        <v>114</v>
      </c>
      <c r="J228" s="56">
        <v>8</v>
      </c>
      <c r="K228" s="57" t="s">
        <v>96</v>
      </c>
      <c r="L228" s="57" t="s">
        <v>101</v>
      </c>
      <c r="AB228" t="str">
        <f si="3" t="shared"/>
        <v>Hough (18/05/2005 - 19/02/2007)</v>
      </c>
    </row>
    <row r="229" spans="1:29" x14ac:dyDescent="0.2">
      <c r="A229" s="56">
        <v>33</v>
      </c>
      <c r="B229" s="57" t="s">
        <v>105</v>
      </c>
      <c r="C229" s="56">
        <v>274</v>
      </c>
      <c r="D229" s="57" t="s">
        <v>393</v>
      </c>
      <c r="E229" s="58">
        <v>42587</v>
      </c>
      <c r="F229" s="57"/>
      <c r="G229" s="56">
        <v>505</v>
      </c>
      <c r="H229" s="57" t="s">
        <v>29</v>
      </c>
      <c r="I229" s="57" t="s">
        <v>95</v>
      </c>
      <c r="J229" s="56">
        <v>10</v>
      </c>
      <c r="K229" s="57" t="s">
        <v>96</v>
      </c>
      <c r="L229" s="57" t="s">
        <v>97</v>
      </c>
      <c r="AB229" t="str">
        <f si="3" t="shared"/>
        <v>Miss F Booker (05/08/2016 - present)</v>
      </c>
    </row>
    <row r="230" spans="1:29" x14ac:dyDescent="0.2">
      <c r="A230" s="56">
        <v>33</v>
      </c>
      <c r="B230" s="57" t="s">
        <v>105</v>
      </c>
      <c r="C230" s="56">
        <v>178</v>
      </c>
      <c r="D230" s="57" t="s">
        <v>296</v>
      </c>
      <c r="E230" s="58">
        <v>40334</v>
      </c>
      <c r="F230" s="58">
        <v>42560</v>
      </c>
      <c r="G230" s="56">
        <v>425</v>
      </c>
      <c r="H230" s="57" t="s">
        <v>29</v>
      </c>
      <c r="I230" s="57" t="s">
        <v>197</v>
      </c>
      <c r="J230" s="56">
        <v>0</v>
      </c>
      <c r="K230" s="57" t="s">
        <v>175</v>
      </c>
      <c r="L230" s="57" t="s">
        <v>101</v>
      </c>
      <c r="AB230" t="str">
        <f si="3" t="shared"/>
        <v>Oyibo Nwosu (05/06/2010 - 09/07/2016)</v>
      </c>
    </row>
    <row r="231" spans="1:29" x14ac:dyDescent="0.2">
      <c r="A231" s="56">
        <v>33</v>
      </c>
      <c r="B231" s="57" t="s">
        <v>105</v>
      </c>
      <c r="C231" s="56">
        <v>149</v>
      </c>
      <c r="D231" s="57" t="s">
        <v>266</v>
      </c>
      <c r="E231" s="58">
        <v>39843</v>
      </c>
      <c r="F231" s="58">
        <v>40327</v>
      </c>
      <c r="G231" s="56">
        <v>410</v>
      </c>
      <c r="H231" s="57" t="s">
        <v>29</v>
      </c>
      <c r="I231" s="57" t="s">
        <v>197</v>
      </c>
      <c r="J231" s="56">
        <v>0</v>
      </c>
      <c r="K231" s="57" t="s">
        <v>175</v>
      </c>
      <c r="L231" s="57" t="s">
        <v>101</v>
      </c>
      <c r="AA231" s="2"/>
      <c r="AB231" t="str">
        <f si="3" t="shared"/>
        <v>Eugene De Beer (30/01/2009 - 29/05/2010)</v>
      </c>
    </row>
    <row r="232" spans="1:29" x14ac:dyDescent="0.2">
      <c r="A232" s="56">
        <v>33</v>
      </c>
      <c r="B232" s="57" t="s">
        <v>105</v>
      </c>
      <c r="C232" s="56">
        <v>107</v>
      </c>
      <c r="D232" s="57" t="s">
        <v>222</v>
      </c>
      <c r="E232" s="58">
        <v>39286</v>
      </c>
      <c r="F232" s="58">
        <v>39809</v>
      </c>
      <c r="G232" s="56">
        <v>400</v>
      </c>
      <c r="H232" s="57" t="s">
        <v>29</v>
      </c>
      <c r="I232" s="57" t="s">
        <v>197</v>
      </c>
      <c r="J232" s="56">
        <v>0</v>
      </c>
      <c r="K232" s="57" t="s">
        <v>175</v>
      </c>
      <c r="L232" s="57" t="s">
        <v>101</v>
      </c>
      <c r="AB232" t="str">
        <f si="3" t="shared"/>
        <v>Miss Rita Palmieri (23/07/2007 - 27/12/2008)</v>
      </c>
    </row>
    <row r="233" spans="1:29" x14ac:dyDescent="0.2">
      <c r="A233" s="56">
        <v>33</v>
      </c>
      <c r="B233" s="57" t="s">
        <v>105</v>
      </c>
      <c r="C233" s="56">
        <v>50</v>
      </c>
      <c r="D233" s="57" t="s">
        <v>172</v>
      </c>
      <c r="E233" s="58">
        <v>38631</v>
      </c>
      <c r="F233" s="58">
        <v>39268</v>
      </c>
      <c r="G233" s="56">
        <v>400</v>
      </c>
      <c r="H233" s="57" t="s">
        <v>29</v>
      </c>
      <c r="I233" s="57" t="s">
        <v>104</v>
      </c>
      <c r="J233" s="56">
        <v>10</v>
      </c>
      <c r="K233" s="57" t="s">
        <v>96</v>
      </c>
      <c r="L233" s="57" t="s">
        <v>97</v>
      </c>
      <c r="AB233" t="str">
        <f si="3" t="shared"/>
        <v>Hill/Gerard/Hlyton (06/10/2005 - 05/07/2007)</v>
      </c>
    </row>
    <row r="234" spans="1:29" x14ac:dyDescent="0.2">
      <c r="A234" s="56">
        <v>32</v>
      </c>
      <c r="B234" s="57" t="s">
        <v>106</v>
      </c>
      <c r="C234" s="56">
        <v>261</v>
      </c>
      <c r="D234" s="57" t="s">
        <v>378</v>
      </c>
      <c r="E234" s="58">
        <v>42242</v>
      </c>
      <c r="F234" s="57"/>
      <c r="G234" s="56">
        <v>505</v>
      </c>
      <c r="H234" s="57" t="s">
        <v>29</v>
      </c>
      <c r="I234" s="57" t="s">
        <v>95</v>
      </c>
      <c r="J234" s="56">
        <v>10</v>
      </c>
      <c r="K234" s="57" t="s">
        <v>96</v>
      </c>
      <c r="L234" s="57" t="s">
        <v>97</v>
      </c>
      <c r="AB234" t="str">
        <f si="3" t="shared"/>
        <v>Ms Pegg (26/08/2015 - present)</v>
      </c>
    </row>
    <row r="235" spans="1:29" x14ac:dyDescent="0.2">
      <c r="A235" s="56">
        <v>32</v>
      </c>
      <c r="B235" s="57" t="s">
        <v>106</v>
      </c>
      <c r="C235" s="56">
        <v>260</v>
      </c>
      <c r="D235" s="57" t="s">
        <v>379</v>
      </c>
      <c r="E235" s="58">
        <v>42205</v>
      </c>
      <c r="F235" s="58">
        <v>42236</v>
      </c>
      <c r="G235" s="56">
        <v>505</v>
      </c>
      <c r="H235" s="57" t="s">
        <v>29</v>
      </c>
      <c r="I235" s="57" t="s">
        <v>95</v>
      </c>
      <c r="J235" s="56">
        <v>10</v>
      </c>
      <c r="K235" s="57" t="s">
        <v>96</v>
      </c>
      <c r="L235" s="57" t="s">
        <v>97</v>
      </c>
      <c r="AB235" t="str">
        <f si="3" t="shared"/>
        <v>Mr Hussain (20/07/2015 - 20/08/2015)</v>
      </c>
    </row>
    <row customFormat="1" r="236" s="51" spans="1:29" x14ac:dyDescent="0.2">
      <c r="A236" s="56">
        <v>32</v>
      </c>
      <c r="B236" s="57" t="s">
        <v>106</v>
      </c>
      <c r="C236" s="56">
        <v>222</v>
      </c>
      <c r="D236" s="57" t="s">
        <v>342</v>
      </c>
      <c r="E236" s="58">
        <v>41311</v>
      </c>
      <c r="F236" s="58">
        <v>42161</v>
      </c>
      <c r="G236" s="56">
        <v>500</v>
      </c>
      <c r="H236" s="57" t="s">
        <v>29</v>
      </c>
      <c r="I236" s="57" t="s">
        <v>95</v>
      </c>
      <c r="J236" s="56">
        <v>10</v>
      </c>
      <c r="K236" s="57" t="s">
        <v>96</v>
      </c>
      <c r="L236" s="57" t="s">
        <v>97</v>
      </c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 t="str">
        <f si="3" t="shared"/>
        <v>Restall &amp; Byng (06/02/2013 - 06/06/2015)</v>
      </c>
      <c r="AC236"/>
    </row>
    <row r="237" spans="1:29" x14ac:dyDescent="0.2">
      <c r="A237" s="56">
        <v>32</v>
      </c>
      <c r="B237" s="57" t="s">
        <v>106</v>
      </c>
      <c r="C237" s="56">
        <v>169</v>
      </c>
      <c r="D237" s="57" t="s">
        <v>287</v>
      </c>
      <c r="E237" s="58">
        <v>40240</v>
      </c>
      <c r="F237" s="58">
        <v>41305</v>
      </c>
      <c r="G237" s="56">
        <v>495</v>
      </c>
      <c r="H237" s="57" t="s">
        <v>29</v>
      </c>
      <c r="I237" s="57" t="s">
        <v>95</v>
      </c>
      <c r="J237" s="56">
        <v>10</v>
      </c>
      <c r="K237" s="57" t="s">
        <v>96</v>
      </c>
      <c r="L237" s="57" t="s">
        <v>97</v>
      </c>
      <c r="AB237" t="str">
        <f si="3" t="shared"/>
        <v>Lewis Cranston (03/03/2010 - 31/01/2013)</v>
      </c>
    </row>
    <row r="238" spans="1:29" x14ac:dyDescent="0.2">
      <c r="A238" s="56">
        <v>32</v>
      </c>
      <c r="B238" s="57" t="s">
        <v>106</v>
      </c>
      <c r="C238" s="56">
        <v>133</v>
      </c>
      <c r="D238" s="57" t="s">
        <v>252</v>
      </c>
      <c r="E238" s="58">
        <v>39592</v>
      </c>
      <c r="F238" s="58">
        <v>40140</v>
      </c>
      <c r="G238" s="56">
        <v>495</v>
      </c>
      <c r="H238" s="57" t="s">
        <v>29</v>
      </c>
      <c r="I238" s="57" t="s">
        <v>197</v>
      </c>
      <c r="J238" s="56">
        <v>0</v>
      </c>
      <c r="K238" s="57" t="s">
        <v>175</v>
      </c>
      <c r="L238" s="57" t="s">
        <v>101</v>
      </c>
      <c r="AB238" t="str">
        <f si="3" t="shared"/>
        <v>Anna Schubert &amp; Maciej Schubert (24/05/2008 - 23/11/2009)</v>
      </c>
    </row>
    <row r="239" spans="1:29" x14ac:dyDescent="0.2">
      <c r="A239" s="56">
        <v>32</v>
      </c>
      <c r="B239" s="57" t="s">
        <v>106</v>
      </c>
      <c r="C239" s="56">
        <v>42</v>
      </c>
      <c r="D239" s="57" t="s">
        <v>223</v>
      </c>
      <c r="E239" s="58">
        <v>38534</v>
      </c>
      <c r="F239" s="58">
        <v>39568</v>
      </c>
      <c r="G239" s="56">
        <v>495</v>
      </c>
      <c r="H239" s="57" t="s">
        <v>29</v>
      </c>
      <c r="I239" s="57" t="s">
        <v>197</v>
      </c>
      <c r="J239" s="56">
        <v>0</v>
      </c>
      <c r="K239" s="57" t="s">
        <v>175</v>
      </c>
      <c r="L239" s="57" t="s">
        <v>101</v>
      </c>
      <c r="AB239" t="str">
        <f si="3" t="shared"/>
        <v>Mr Taylor/Miss Clark (01/07/2005 - 30/04/2008)</v>
      </c>
    </row>
    <row r="240" spans="1:29" x14ac:dyDescent="0.2">
      <c r="A240" s="56">
        <v>37</v>
      </c>
      <c r="B240" s="57" t="s">
        <v>123</v>
      </c>
      <c r="C240" s="57"/>
      <c r="D240" s="57"/>
      <c r="E240" s="57"/>
      <c r="F240" s="57"/>
      <c r="G240" s="57"/>
      <c r="H240" s="57"/>
      <c r="I240" s="57"/>
      <c r="J240" s="57"/>
      <c r="K240" s="57"/>
      <c r="L240" s="57"/>
      <c r="AB240" t="str">
        <f si="3" t="shared"/>
        <v/>
      </c>
    </row>
    <row r="241" spans="1:29" x14ac:dyDescent="0.2">
      <c r="A241" s="56">
        <v>39</v>
      </c>
      <c r="B241" s="57" t="s">
        <v>126</v>
      </c>
      <c r="C241" s="57"/>
      <c r="D241" s="57"/>
      <c r="E241" s="57"/>
      <c r="F241" s="57"/>
      <c r="G241" s="57"/>
      <c r="H241" s="57"/>
      <c r="I241" s="57"/>
      <c r="J241" s="57"/>
      <c r="K241" s="57"/>
      <c r="L241" s="57"/>
      <c r="AB241" t="str">
        <f si="3" t="shared"/>
        <v/>
      </c>
    </row>
    <row r="242" spans="1:29" x14ac:dyDescent="0.2">
      <c r="A242" s="56">
        <v>38</v>
      </c>
      <c r="B242" s="57" t="s">
        <v>124</v>
      </c>
      <c r="C242" s="57"/>
      <c r="D242" s="57"/>
      <c r="E242" s="57"/>
      <c r="F242" s="57"/>
      <c r="G242" s="57"/>
      <c r="H242" s="57"/>
      <c r="I242" s="57"/>
      <c r="J242" s="57"/>
      <c r="K242" s="57"/>
      <c r="L242" s="57"/>
      <c r="M242" s="51"/>
      <c r="N242" s="51"/>
      <c r="O242" s="51"/>
      <c r="P242" s="51"/>
      <c r="Q242" s="51"/>
      <c r="R242" s="51"/>
      <c r="S242" s="51"/>
      <c r="T242" s="51"/>
      <c r="U242" s="51"/>
      <c r="V242" s="51"/>
      <c r="W242" s="51"/>
      <c r="X242" s="51"/>
      <c r="Y242" s="51"/>
      <c r="Z242" s="51"/>
      <c r="AA242" s="51"/>
      <c r="AB242" s="51" t="str">
        <f si="3" t="shared"/>
        <v/>
      </c>
      <c r="AC242" s="51"/>
    </row>
    <row r="243" spans="1:29" x14ac:dyDescent="0.2">
      <c r="A243" s="56">
        <v>19</v>
      </c>
      <c r="B243" s="57" t="s">
        <v>99</v>
      </c>
      <c r="C243" s="56">
        <v>262</v>
      </c>
      <c r="D243" s="57" t="s">
        <v>382</v>
      </c>
      <c r="E243" s="58">
        <v>42261</v>
      </c>
      <c r="F243" s="57"/>
      <c r="G243" s="56">
        <v>660</v>
      </c>
      <c r="H243" s="57" t="s">
        <v>29</v>
      </c>
      <c r="I243" s="57" t="s">
        <v>95</v>
      </c>
      <c r="J243" s="56">
        <v>10</v>
      </c>
      <c r="K243" s="57" t="s">
        <v>96</v>
      </c>
      <c r="L243" s="57" t="s">
        <v>97</v>
      </c>
      <c r="AB243" t="str">
        <f si="3" t="shared"/>
        <v>Miss Syasya Aristoteles &amp; Miss Firzanah Sufri (14/09/2015 - present)</v>
      </c>
    </row>
    <row r="244" spans="1:29" x14ac:dyDescent="0.2">
      <c r="A244" s="56">
        <v>19</v>
      </c>
      <c r="B244" s="57" t="s">
        <v>99</v>
      </c>
      <c r="C244" s="56">
        <v>258</v>
      </c>
      <c r="D244" s="57" t="s">
        <v>368</v>
      </c>
      <c r="E244" s="58">
        <v>41883</v>
      </c>
      <c r="F244" s="58">
        <v>42156</v>
      </c>
      <c r="G244" s="56">
        <v>600</v>
      </c>
      <c r="H244" s="57" t="s">
        <v>29</v>
      </c>
      <c r="I244" s="57" t="s">
        <v>95</v>
      </c>
      <c r="J244" s="56">
        <v>10</v>
      </c>
      <c r="K244" s="57" t="s">
        <v>96</v>
      </c>
      <c r="L244" s="57" t="s">
        <v>97</v>
      </c>
      <c r="AB244" t="str">
        <f si="3" t="shared"/>
        <v>Jessica Hastings &amp; Chloe Chen (01/09/2014 - 01/06/2015)</v>
      </c>
    </row>
    <row r="245" spans="1:29" x14ac:dyDescent="0.2">
      <c r="A245" s="56">
        <v>19</v>
      </c>
      <c r="B245" s="57" t="s">
        <v>99</v>
      </c>
      <c r="C245" s="56">
        <v>257</v>
      </c>
      <c r="D245" s="57" t="s">
        <v>368</v>
      </c>
      <c r="E245" s="58">
        <v>41821</v>
      </c>
      <c r="F245" s="58">
        <v>41883</v>
      </c>
      <c r="G245" s="56">
        <v>300</v>
      </c>
      <c r="H245" s="57" t="s">
        <v>29</v>
      </c>
      <c r="I245" s="57" t="s">
        <v>95</v>
      </c>
      <c r="J245" s="56">
        <v>10</v>
      </c>
      <c r="K245" s="57" t="s">
        <v>96</v>
      </c>
      <c r="L245" s="57" t="s">
        <v>97</v>
      </c>
      <c r="M245" s="51"/>
      <c r="N245" s="51"/>
      <c r="O245" s="51"/>
      <c r="P245" s="51"/>
      <c r="Q245" s="51"/>
      <c r="R245" s="51"/>
      <c r="S245" s="51"/>
      <c r="T245" s="51"/>
      <c r="U245" s="51"/>
      <c r="V245" s="51"/>
      <c r="W245" s="51"/>
      <c r="X245" s="51"/>
      <c r="Y245" s="51"/>
      <c r="Z245" s="51"/>
      <c r="AA245" s="53"/>
      <c r="AB245" s="51" t="str">
        <f si="3" t="shared"/>
        <v>Jessica Hastings &amp; Chloe Chen (01/07/2014 - 01/09/2014)</v>
      </c>
      <c r="AC245" s="51"/>
    </row>
    <row r="246" spans="1:29" x14ac:dyDescent="0.2">
      <c r="A246" s="56">
        <v>19</v>
      </c>
      <c r="B246" s="57" t="s">
        <v>99</v>
      </c>
      <c r="C246" s="56">
        <v>233</v>
      </c>
      <c r="D246" s="57" t="s">
        <v>352</v>
      </c>
      <c r="E246" s="58">
        <v>41518</v>
      </c>
      <c r="F246" s="58">
        <v>41821</v>
      </c>
      <c r="G246" s="56">
        <v>600</v>
      </c>
      <c r="H246" s="57" t="s">
        <v>29</v>
      </c>
      <c r="I246" s="57" t="s">
        <v>95</v>
      </c>
      <c r="J246" s="56">
        <v>10</v>
      </c>
      <c r="K246" s="57" t="s">
        <v>96</v>
      </c>
      <c r="L246" s="57" t="s">
        <v>97</v>
      </c>
      <c r="AB246" t="str">
        <f si="3" t="shared"/>
        <v>Ms Bird &amp; Ms Cornish (01/09/2013 - 01/07/2014)</v>
      </c>
    </row>
    <row r="247" spans="1:29" x14ac:dyDescent="0.2">
      <c r="A247" s="56">
        <v>19</v>
      </c>
      <c r="B247" s="57" t="s">
        <v>99</v>
      </c>
      <c r="C247" s="56">
        <v>236</v>
      </c>
      <c r="D247" s="57" t="s">
        <v>353</v>
      </c>
      <c r="E247" s="58">
        <v>41153</v>
      </c>
      <c r="F247" s="58">
        <v>41442</v>
      </c>
      <c r="G247" s="56">
        <v>600</v>
      </c>
      <c r="H247" s="57" t="s">
        <v>29</v>
      </c>
      <c r="I247" s="57" t="s">
        <v>95</v>
      </c>
      <c r="J247" s="56">
        <v>10</v>
      </c>
      <c r="K247" s="57" t="s">
        <v>96</v>
      </c>
      <c r="L247" s="57" t="s">
        <v>97</v>
      </c>
      <c r="AB247" t="str">
        <f si="3" t="shared"/>
        <v>Ms Varsani &amp; Miss Wokey (01/09/2012 - 17/06/2013)</v>
      </c>
    </row>
    <row r="248" spans="1:29" x14ac:dyDescent="0.2">
      <c r="A248" s="56">
        <v>19</v>
      </c>
      <c r="B248" s="57" t="s">
        <v>99</v>
      </c>
      <c r="C248" s="56">
        <v>186</v>
      </c>
      <c r="D248" s="57" t="s">
        <v>303</v>
      </c>
      <c r="E248" s="58">
        <v>40432</v>
      </c>
      <c r="F248" s="58">
        <v>40705</v>
      </c>
      <c r="G248" s="56">
        <v>600</v>
      </c>
      <c r="H248" s="57" t="s">
        <v>29</v>
      </c>
      <c r="I248" s="57" t="s">
        <v>95</v>
      </c>
      <c r="J248" s="56">
        <v>10</v>
      </c>
      <c r="K248" s="57" t="s">
        <v>96</v>
      </c>
      <c r="L248" s="57" t="s">
        <v>97</v>
      </c>
      <c r="AB248" t="str">
        <f si="3" t="shared"/>
        <v>P. Vara &amp; M. Varsani (11/09/2010 - 11/06/2011)</v>
      </c>
    </row>
    <row r="249" spans="1:29" x14ac:dyDescent="0.2">
      <c r="A249" s="56">
        <v>19</v>
      </c>
      <c r="B249" s="57" t="s">
        <v>99</v>
      </c>
      <c r="C249" s="56">
        <v>154</v>
      </c>
      <c r="D249" s="57" t="s">
        <v>272</v>
      </c>
      <c r="E249" s="58">
        <v>39927</v>
      </c>
      <c r="F249" s="58">
        <v>40323</v>
      </c>
      <c r="G249" s="56">
        <v>620</v>
      </c>
      <c r="H249" s="57" t="s">
        <v>29</v>
      </c>
      <c r="I249" s="57" t="s">
        <v>95</v>
      </c>
      <c r="J249" s="56">
        <v>10</v>
      </c>
      <c r="K249" s="57" t="s">
        <v>96</v>
      </c>
      <c r="L249" s="57" t="s">
        <v>97</v>
      </c>
      <c r="AB249" t="str">
        <f si="3" t="shared"/>
        <v>Glenn Wallace &amp; Gary Hanna (24/04/2009 - 25/05/2010)</v>
      </c>
    </row>
    <row customFormat="1" r="250" s="51" spans="1:29" x14ac:dyDescent="0.2">
      <c r="A250" s="56">
        <v>19</v>
      </c>
      <c r="B250" s="57" t="s">
        <v>99</v>
      </c>
      <c r="C250" s="56">
        <v>121</v>
      </c>
      <c r="D250" s="57" t="s">
        <v>220</v>
      </c>
      <c r="E250" s="58">
        <v>39507</v>
      </c>
      <c r="F250" s="58">
        <v>39754</v>
      </c>
      <c r="G250" s="56">
        <v>620</v>
      </c>
      <c r="H250" s="57" t="s">
        <v>29</v>
      </c>
      <c r="I250" s="57" t="s">
        <v>95</v>
      </c>
      <c r="J250" s="56">
        <v>10</v>
      </c>
      <c r="K250" s="57" t="s">
        <v>96</v>
      </c>
      <c r="L250" s="57" t="s">
        <v>97</v>
      </c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 t="str">
        <f si="3" t="shared"/>
        <v>Mabe &amp; Hodgkins   (29/02/2008 - 02/11/2008)</v>
      </c>
      <c r="AC250"/>
    </row>
    <row customFormat="1" r="251" s="51" spans="1:29" x14ac:dyDescent="0.2">
      <c r="A251" s="56">
        <v>19</v>
      </c>
      <c r="B251" s="57" t="s">
        <v>99</v>
      </c>
      <c r="C251" s="56">
        <v>32</v>
      </c>
      <c r="D251" s="57" t="s">
        <v>174</v>
      </c>
      <c r="E251" s="58">
        <v>38638</v>
      </c>
      <c r="F251" s="58">
        <v>39275</v>
      </c>
      <c r="G251" s="56">
        <v>625</v>
      </c>
      <c r="H251" s="57" t="s">
        <v>29</v>
      </c>
      <c r="I251" s="57" t="s">
        <v>100</v>
      </c>
      <c r="J251" s="56">
        <v>65</v>
      </c>
      <c r="K251" s="57" t="s">
        <v>175</v>
      </c>
      <c r="L251" s="57" t="s">
        <v>97</v>
      </c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 t="str">
        <f si="3" t="shared"/>
        <v>Boctor/Bhatti (13/10/2005 - 12/07/2007)</v>
      </c>
      <c r="AC251"/>
    </row>
    <row customFormat="1" r="252" s="51" spans="1:29" x14ac:dyDescent="0.2">
      <c r="A252" s="56">
        <v>19</v>
      </c>
      <c r="B252" s="57" t="s">
        <v>99</v>
      </c>
      <c r="C252" s="56">
        <v>28</v>
      </c>
      <c r="D252" s="57" t="s">
        <v>176</v>
      </c>
      <c r="E252" s="58">
        <v>38423</v>
      </c>
      <c r="F252" s="58">
        <v>38629</v>
      </c>
      <c r="G252" s="56">
        <v>565</v>
      </c>
      <c r="H252" s="57" t="s">
        <v>29</v>
      </c>
      <c r="I252" s="57" t="s">
        <v>95</v>
      </c>
      <c r="J252" s="56">
        <v>10</v>
      </c>
      <c r="K252" s="57" t="s">
        <v>96</v>
      </c>
      <c r="L252" s="57" t="s">
        <v>97</v>
      </c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 t="str">
        <f si="3" t="shared"/>
        <v>Lebbon/Ravensdale (12/03/2005 - 04/10/2005)</v>
      </c>
      <c r="AC252"/>
    </row>
    <row customFormat="1" r="253" s="51" spans="1:29" x14ac:dyDescent="0.2">
      <c r="A253" s="56">
        <v>34</v>
      </c>
      <c r="B253" s="57" t="s">
        <v>102</v>
      </c>
      <c r="C253" s="56">
        <v>263</v>
      </c>
      <c r="D253" s="57" t="s">
        <v>383</v>
      </c>
      <c r="E253" s="58">
        <v>42248</v>
      </c>
      <c r="F253" s="57"/>
      <c r="G253" s="56">
        <v>660</v>
      </c>
      <c r="H253" s="57" t="s">
        <v>29</v>
      </c>
      <c r="I253" s="57" t="s">
        <v>95</v>
      </c>
      <c r="J253" s="56">
        <v>10</v>
      </c>
      <c r="K253" s="57" t="s">
        <v>96</v>
      </c>
      <c r="L253" s="57" t="s">
        <v>97</v>
      </c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 t="str">
        <f si="3" t="shared"/>
        <v>Miss Sandra Namataka &amp; Miss Leilah Nakamaanya (01/09/2015 - present)</v>
      </c>
      <c r="AC253"/>
    </row>
    <row customFormat="1" r="254" s="51" spans="1:29" x14ac:dyDescent="0.2">
      <c r="A254" s="56">
        <v>34</v>
      </c>
      <c r="B254" s="57" t="s">
        <v>102</v>
      </c>
      <c r="C254" s="56">
        <v>259</v>
      </c>
      <c r="D254" s="57" t="s">
        <v>369</v>
      </c>
      <c r="E254" s="58">
        <v>41890</v>
      </c>
      <c r="F254" s="58">
        <v>42193</v>
      </c>
      <c r="G254" s="56">
        <v>620</v>
      </c>
      <c r="H254" s="57" t="s">
        <v>29</v>
      </c>
      <c r="I254" s="57" t="s">
        <v>95</v>
      </c>
      <c r="J254" s="56">
        <v>10</v>
      </c>
      <c r="K254" s="57" t="s">
        <v>96</v>
      </c>
      <c r="L254" s="57" t="s">
        <v>97</v>
      </c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 t="str">
        <f si="3" t="shared"/>
        <v>Jade Parrett-Harris &amp; Robbyn McCarthy (08/09/2014 - 08/07/2015)</v>
      </c>
      <c r="AC254"/>
    </row>
    <row customFormat="1" r="255" s="51" spans="1:29" x14ac:dyDescent="0.2">
      <c r="A255" s="56">
        <v>34</v>
      </c>
      <c r="B255" s="57" t="s">
        <v>102</v>
      </c>
      <c r="C255" s="56">
        <v>237</v>
      </c>
      <c r="D255" s="57" t="s">
        <v>354</v>
      </c>
      <c r="E255" s="58">
        <v>41487</v>
      </c>
      <c r="F255" s="58">
        <v>41790</v>
      </c>
      <c r="G255" s="56">
        <v>620</v>
      </c>
      <c r="H255" s="57" t="s">
        <v>29</v>
      </c>
      <c r="I255" s="57" t="s">
        <v>197</v>
      </c>
      <c r="J255" s="56">
        <v>0</v>
      </c>
      <c r="K255" s="57" t="s">
        <v>175</v>
      </c>
      <c r="L255" s="57" t="s">
        <v>101</v>
      </c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 t="str">
        <f si="3" t="shared"/>
        <v>Meena Flora &amp; Chloe Fisher (01/08/2013 - 31/05/2014)</v>
      </c>
      <c r="AC255"/>
    </row>
    <row customFormat="1" r="256" s="51" spans="1:29" x14ac:dyDescent="0.2">
      <c r="A256" s="56">
        <v>34</v>
      </c>
      <c r="B256" s="57" t="s">
        <v>102</v>
      </c>
      <c r="C256" s="56">
        <v>218</v>
      </c>
      <c r="D256" s="57" t="s">
        <v>337</v>
      </c>
      <c r="E256" s="58">
        <v>41122</v>
      </c>
      <c r="F256" s="58">
        <v>41425</v>
      </c>
      <c r="G256" s="56">
        <v>595</v>
      </c>
      <c r="H256" s="57" t="s">
        <v>29</v>
      </c>
      <c r="I256" s="57" t="s">
        <v>197</v>
      </c>
      <c r="J256" s="56">
        <v>0</v>
      </c>
      <c r="K256" s="57" t="s">
        <v>175</v>
      </c>
      <c r="L256" s="57" t="s">
        <v>101</v>
      </c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 t="str">
        <f si="3" t="shared"/>
        <v>Katie Nichols &amp; Sara Edwards (01/08/2012 - 31/05/2013)</v>
      </c>
      <c r="AC256"/>
    </row>
    <row r="257" spans="1:29" x14ac:dyDescent="0.2">
      <c r="A257" s="56">
        <v>34</v>
      </c>
      <c r="B257" s="57" t="s">
        <v>102</v>
      </c>
      <c r="C257" s="56">
        <v>204</v>
      </c>
      <c r="D257" s="57" t="s">
        <v>324</v>
      </c>
      <c r="E257" s="58">
        <v>40770</v>
      </c>
      <c r="F257" s="58">
        <v>41074</v>
      </c>
      <c r="G257" s="56">
        <v>595</v>
      </c>
      <c r="H257" s="57" t="s">
        <v>29</v>
      </c>
      <c r="I257" s="57" t="s">
        <v>197</v>
      </c>
      <c r="J257" s="56">
        <v>0</v>
      </c>
      <c r="K257" s="57" t="s">
        <v>175</v>
      </c>
      <c r="L257" s="57" t="s">
        <v>101</v>
      </c>
      <c r="AB257" t="str">
        <f si="3" t="shared"/>
        <v>Dipali Patel &amp; Meera Patel (15/08/2011 - 14/06/2012)</v>
      </c>
    </row>
    <row r="258" spans="1:29" x14ac:dyDescent="0.2">
      <c r="A258" s="56">
        <v>34</v>
      </c>
      <c r="B258" s="57" t="s">
        <v>102</v>
      </c>
      <c r="C258" s="56">
        <v>184</v>
      </c>
      <c r="D258" s="57" t="s">
        <v>304</v>
      </c>
      <c r="E258" s="58">
        <v>40458</v>
      </c>
      <c r="F258" s="58">
        <v>40731</v>
      </c>
      <c r="G258" s="56">
        <v>595</v>
      </c>
      <c r="H258" s="57" t="s">
        <v>29</v>
      </c>
      <c r="I258" s="57" t="s">
        <v>197</v>
      </c>
      <c r="J258" s="56">
        <v>0</v>
      </c>
      <c r="K258" s="57" t="s">
        <v>175</v>
      </c>
      <c r="L258" s="57" t="s">
        <v>101</v>
      </c>
      <c r="AB258" t="str">
        <f si="3" t="shared"/>
        <v>Ru Jia (Nick) (07/10/2010 - 07/07/2011)</v>
      </c>
    </row>
    <row r="259" spans="1:29" x14ac:dyDescent="0.2">
      <c r="A259" s="56">
        <v>34</v>
      </c>
      <c r="B259" s="57" t="s">
        <v>102</v>
      </c>
      <c r="C259" s="56">
        <v>164</v>
      </c>
      <c r="D259" s="57" t="s">
        <v>282</v>
      </c>
      <c r="E259" s="58">
        <v>40151</v>
      </c>
      <c r="F259" s="58">
        <v>40454</v>
      </c>
      <c r="G259" s="56">
        <v>575</v>
      </c>
      <c r="H259" s="57" t="s">
        <v>29</v>
      </c>
      <c r="I259" s="57" t="s">
        <v>197</v>
      </c>
      <c r="J259" s="56">
        <v>0</v>
      </c>
      <c r="K259" s="57" t="s">
        <v>175</v>
      </c>
      <c r="L259" s="57" t="s">
        <v>101</v>
      </c>
      <c r="AB259" t="str">
        <f ref="AB259:AB275" si="4" t="shared"><![CDATA[IF(E259<>"",IF(F259="",D259&" ("&TEXT(E259,"dd/mm/yyyy")&" - present)",D259&" ("&TEXT(E259,"dd/mm/yyyy")&" - "&TEXT(F259,"dd/mm/yyyy")&")"),"")]]></f>
        <v>Georgina Shepherd (04/12/2009 - 03/10/2010)</v>
      </c>
    </row>
    <row r="260" spans="1:29" x14ac:dyDescent="0.2">
      <c r="A260" s="56">
        <v>34</v>
      </c>
      <c r="B260" s="57" t="s">
        <v>102</v>
      </c>
      <c r="C260" s="56">
        <v>146</v>
      </c>
      <c r="D260" s="57" t="s">
        <v>264</v>
      </c>
      <c r="E260" s="58">
        <v>39816</v>
      </c>
      <c r="F260" s="58">
        <v>40149</v>
      </c>
      <c r="G260" s="56">
        <v>575</v>
      </c>
      <c r="H260" s="57" t="s">
        <v>29</v>
      </c>
      <c r="I260" s="57" t="s">
        <v>197</v>
      </c>
      <c r="J260" s="56">
        <v>0</v>
      </c>
      <c r="K260" s="57" t="s">
        <v>175</v>
      </c>
      <c r="L260" s="57" t="s">
        <v>101</v>
      </c>
      <c r="AB260" t="str">
        <f si="4" t="shared"/>
        <v>Marius Giulverzan &amp; Ann Tudor (03/01/2009 - 02/12/2009)</v>
      </c>
    </row>
    <row r="261" spans="1:29" x14ac:dyDescent="0.2">
      <c r="A261" s="56">
        <v>34</v>
      </c>
      <c r="B261" s="57" t="s">
        <v>102</v>
      </c>
      <c r="C261" s="56">
        <v>132</v>
      </c>
      <c r="D261" s="57" t="s">
        <v>250</v>
      </c>
      <c r="E261" s="58">
        <v>39602</v>
      </c>
      <c r="F261" s="58">
        <v>39815</v>
      </c>
      <c r="G261" s="56">
        <v>575</v>
      </c>
      <c r="H261" s="57" t="s">
        <v>29</v>
      </c>
      <c r="I261" s="57" t="s">
        <v>197</v>
      </c>
      <c r="J261" s="56">
        <v>0</v>
      </c>
      <c r="K261" s="57" t="s">
        <v>175</v>
      </c>
      <c r="L261" s="57" t="s">
        <v>101</v>
      </c>
      <c r="AB261" t="str">
        <f si="4" t="shared"/>
        <v>Adrian Mattei &amp; Elena Matei (03/06/2008 - 02/01/2009)</v>
      </c>
    </row>
    <row r="262" spans="1:29" x14ac:dyDescent="0.2">
      <c r="A262" s="56">
        <v>34</v>
      </c>
      <c r="B262" s="57" t="s">
        <v>102</v>
      </c>
      <c r="C262" s="56">
        <v>127</v>
      </c>
      <c r="D262" s="57" t="s">
        <v>39</v>
      </c>
      <c r="E262" s="58">
        <v>39517</v>
      </c>
      <c r="F262" s="58">
        <v>39532</v>
      </c>
      <c r="G262" s="56">
        <v>600</v>
      </c>
      <c r="H262" s="57" t="s">
        <v>29</v>
      </c>
      <c r="I262" s="57" t="s">
        <v>95</v>
      </c>
      <c r="J262" s="56">
        <v>10</v>
      </c>
      <c r="K262" s="57" t="s">
        <v>96</v>
      </c>
      <c r="L262" s="57" t="s">
        <v>97</v>
      </c>
      <c r="AB262" t="str">
        <f si="4" t="shared"/>
        <v>Urry (10/03/2008 - 25/03/2008)</v>
      </c>
    </row>
    <row r="263" spans="1:29" x14ac:dyDescent="0.2">
      <c r="A263" s="56">
        <v>34</v>
      </c>
      <c r="B263" s="57" t="s">
        <v>102</v>
      </c>
      <c r="C263" s="56">
        <v>80</v>
      </c>
      <c r="D263" s="57" t="s">
        <v>177</v>
      </c>
      <c r="E263" s="58">
        <v>38932</v>
      </c>
      <c r="F263" s="58">
        <v>39417</v>
      </c>
      <c r="G263" s="56">
        <v>550</v>
      </c>
      <c r="H263" s="57" t="s">
        <v>29</v>
      </c>
      <c r="I263" s="57" t="s">
        <v>100</v>
      </c>
      <c r="J263" s="56">
        <v>65</v>
      </c>
      <c r="K263" s="57" t="s">
        <v>175</v>
      </c>
      <c r="L263" s="57" t="s">
        <v>97</v>
      </c>
      <c r="AB263" t="str">
        <f si="4" t="shared"/>
        <v>Diejomoah  (03/08/2006 - 01/12/2007)</v>
      </c>
    </row>
    <row r="264" spans="1:29" x14ac:dyDescent="0.2">
      <c r="A264" s="56">
        <v>34</v>
      </c>
      <c r="B264" s="57" t="s">
        <v>102</v>
      </c>
      <c r="C264" s="56">
        <v>44</v>
      </c>
      <c r="D264" s="57" t="s">
        <v>178</v>
      </c>
      <c r="E264" s="58">
        <v>38636</v>
      </c>
      <c r="F264" s="58">
        <v>38885</v>
      </c>
      <c r="G264" s="56">
        <v>595</v>
      </c>
      <c r="H264" s="57" t="s">
        <v>29</v>
      </c>
      <c r="I264" s="57" t="s">
        <v>100</v>
      </c>
      <c r="J264" s="56">
        <v>65</v>
      </c>
      <c r="K264" s="57" t="s">
        <v>175</v>
      </c>
      <c r="L264" s="57" t="s">
        <v>101</v>
      </c>
      <c r="AB264" t="str">
        <f si="4" t="shared"/>
        <v>Ampelas/Zachariou (11/10/2005 - 17/06/2006)</v>
      </c>
    </row>
    <row r="265" spans="1:29" x14ac:dyDescent="0.2">
      <c r="A265" s="56">
        <v>34</v>
      </c>
      <c r="B265" s="57" t="s">
        <v>102</v>
      </c>
      <c r="C265" s="56">
        <v>35</v>
      </c>
      <c r="D265" s="57" t="s">
        <v>179</v>
      </c>
      <c r="E265" s="58">
        <v>38507</v>
      </c>
      <c r="F265" s="58">
        <v>38625</v>
      </c>
      <c r="G265" s="56">
        <v>575</v>
      </c>
      <c r="H265" s="57" t="s">
        <v>29</v>
      </c>
      <c r="I265" s="57" t="s">
        <v>100</v>
      </c>
      <c r="J265" s="56">
        <v>65</v>
      </c>
      <c r="K265" s="57" t="s">
        <v>175</v>
      </c>
      <c r="L265" s="57" t="s">
        <v>101</v>
      </c>
      <c r="M265" s="51"/>
      <c r="N265" s="51"/>
      <c r="O265" s="51"/>
      <c r="P265" s="51"/>
      <c r="Q265" s="51"/>
      <c r="R265" s="51"/>
      <c r="S265" s="51"/>
      <c r="T265" s="51"/>
      <c r="U265" s="51"/>
      <c r="V265" s="51"/>
      <c r="W265" s="51"/>
      <c r="X265" s="51"/>
      <c r="Y265" s="51"/>
      <c r="Z265" s="51"/>
      <c r="AA265" s="53"/>
      <c r="AB265" s="51" t="str">
        <f si="4" t="shared"/>
        <v xml:space="preserve"> Wells/Brooks (04/06/2005 - 30/09/2005)</v>
      </c>
      <c r="AC265" s="51"/>
    </row>
    <row r="266" spans="1:29" x14ac:dyDescent="0.2">
      <c r="A266" s="56">
        <v>44</v>
      </c>
      <c r="B266" s="57" t="s">
        <v>64</v>
      </c>
      <c r="C266" s="56">
        <v>268</v>
      </c>
      <c r="D266" s="57" t="s">
        <v>385</v>
      </c>
      <c r="E266" s="58">
        <v>42401</v>
      </c>
      <c r="F266" s="57"/>
      <c r="G266" s="56">
        <v>520</v>
      </c>
      <c r="H266" s="57" t="s">
        <v>29</v>
      </c>
      <c r="I266" s="57" t="s">
        <v>95</v>
      </c>
      <c r="J266" s="56">
        <v>10</v>
      </c>
      <c r="K266" s="57" t="s">
        <v>96</v>
      </c>
      <c r="L266" s="57" t="s">
        <v>97</v>
      </c>
      <c r="AB266" t="str">
        <f si="4" t="shared"/>
        <v>Ms J Henson (01/02/2016 - present)</v>
      </c>
    </row>
    <row r="267" spans="1:29" x14ac:dyDescent="0.2">
      <c r="A267" s="56">
        <v>44</v>
      </c>
      <c r="B267" s="57" t="s">
        <v>64</v>
      </c>
      <c r="C267" s="56">
        <v>57</v>
      </c>
      <c r="D267" s="57" t="s">
        <v>207</v>
      </c>
      <c r="E267" s="58">
        <v>38999</v>
      </c>
      <c r="F267" s="58">
        <v>42369</v>
      </c>
      <c r="G267" s="56">
        <v>460</v>
      </c>
      <c r="H267" s="57" t="s">
        <v>29</v>
      </c>
      <c r="I267" s="57" t="s">
        <v>95</v>
      </c>
      <c r="J267" s="56">
        <v>10</v>
      </c>
      <c r="K267" s="57" t="s">
        <v>96</v>
      </c>
      <c r="L267" s="57" t="s">
        <v>97</v>
      </c>
      <c r="AB267" t="str">
        <f si="4" t="shared"/>
        <v>Noble (prev Tombs) (09/10/2006 - 31/12/2015)</v>
      </c>
    </row>
    <row r="268" spans="1:29" x14ac:dyDescent="0.2">
      <c r="A268" s="56">
        <v>44</v>
      </c>
      <c r="B268" s="57" t="s">
        <v>64</v>
      </c>
      <c r="C268" s="56">
        <v>61</v>
      </c>
      <c r="D268" s="57" t="s">
        <v>180</v>
      </c>
      <c r="E268" s="58">
        <v>38849</v>
      </c>
      <c r="F268" s="58">
        <v>38972</v>
      </c>
      <c r="G268" s="56">
        <v>460</v>
      </c>
      <c r="H268" s="57" t="s">
        <v>29</v>
      </c>
      <c r="I268" s="57" t="s">
        <v>95</v>
      </c>
      <c r="J268" s="56">
        <v>10</v>
      </c>
      <c r="K268" s="57" t="s">
        <v>96</v>
      </c>
      <c r="L268" s="57" t="s">
        <v>97</v>
      </c>
      <c r="AB268" t="str">
        <f si="4" t="shared"/>
        <v>E. Long (12/05/2006 - 12/09/2006)</v>
      </c>
    </row>
    <row r="269" spans="1:29" x14ac:dyDescent="0.2">
      <c r="A269" s="56">
        <v>17</v>
      </c>
      <c r="B269" s="57" t="s">
        <v>63</v>
      </c>
      <c r="C269" s="56">
        <v>198</v>
      </c>
      <c r="D269" s="57" t="s">
        <v>317</v>
      </c>
      <c r="E269" s="58">
        <v>40651</v>
      </c>
      <c r="F269" s="57"/>
      <c r="G269" s="56">
        <v>300</v>
      </c>
      <c r="H269" s="57" t="s">
        <v>29</v>
      </c>
      <c r="I269" s="57" t="s">
        <v>95</v>
      </c>
      <c r="J269" s="56">
        <v>10</v>
      </c>
      <c r="K269" s="57" t="s">
        <v>96</v>
      </c>
      <c r="L269" s="57" t="s">
        <v>97</v>
      </c>
      <c r="AB269" t="str">
        <f si="4" t="shared"/>
        <v>Martin Gliszczynski (18/04/2011 - present)</v>
      </c>
    </row>
    <row r="270" spans="1:29" x14ac:dyDescent="0.2">
      <c r="A270" s="56">
        <v>17</v>
      </c>
      <c r="B270" s="57" t="s">
        <v>63</v>
      </c>
      <c r="C270" s="56">
        <v>187</v>
      </c>
      <c r="D270" s="57" t="s">
        <v>302</v>
      </c>
      <c r="E270" s="58">
        <v>40438</v>
      </c>
      <c r="F270" s="58">
        <v>40438</v>
      </c>
      <c r="G270" s="56">
        <v>0</v>
      </c>
      <c r="H270" s="57" t="s">
        <v>29</v>
      </c>
      <c r="I270" s="57" t="s">
        <v>95</v>
      </c>
      <c r="J270" s="56">
        <v>10</v>
      </c>
      <c r="K270" s="57" t="s">
        <v>96</v>
      </c>
      <c r="L270" s="57" t="s">
        <v>97</v>
      </c>
      <c r="AB270" t="str">
        <f si="4" t="shared"/>
        <v>P Adams (17/09/2010 - 17/09/2010)</v>
      </c>
    </row>
    <row r="271" spans="1:29" x14ac:dyDescent="0.2">
      <c r="A271" s="56">
        <v>17</v>
      </c>
      <c r="B271" s="57" t="s">
        <v>63</v>
      </c>
      <c r="C271" s="56">
        <v>171</v>
      </c>
      <c r="D271" s="57" t="s">
        <v>293</v>
      </c>
      <c r="E271" s="58">
        <v>40179</v>
      </c>
      <c r="F271" s="58">
        <v>40390</v>
      </c>
      <c r="G271" s="56">
        <v>380</v>
      </c>
      <c r="H271" s="57" t="s">
        <v>29</v>
      </c>
      <c r="I271" s="57" t="s">
        <v>95</v>
      </c>
      <c r="J271" s="56">
        <v>10</v>
      </c>
      <c r="K271" s="57" t="s">
        <v>96</v>
      </c>
      <c r="L271" s="57" t="s">
        <v>97</v>
      </c>
      <c r="AB271" t="str">
        <f si="4" t="shared"/>
        <v>S. Amin (01/01/2010 - 31/07/2010)</v>
      </c>
    </row>
    <row r="272" spans="1:29" x14ac:dyDescent="0.2">
      <c r="A272" s="56">
        <v>17</v>
      </c>
      <c r="B272" s="57" t="s">
        <v>63</v>
      </c>
      <c r="C272" s="56">
        <v>117</v>
      </c>
      <c r="D272" s="57" t="s">
        <v>204</v>
      </c>
      <c r="E272" s="58">
        <v>39479</v>
      </c>
      <c r="F272" s="58">
        <v>40025</v>
      </c>
      <c r="G272" s="56">
        <v>400</v>
      </c>
      <c r="H272" s="57" t="s">
        <v>29</v>
      </c>
      <c r="I272" s="57" t="s">
        <v>95</v>
      </c>
      <c r="J272" s="56">
        <v>10</v>
      </c>
      <c r="K272" s="57" t="s">
        <v>96</v>
      </c>
      <c r="L272" s="57" t="s">
        <v>97</v>
      </c>
      <c r="AB272" t="str">
        <f si="4" t="shared"/>
        <v>Oleg Korenev (01/02/2008 - 31/07/2009)</v>
      </c>
    </row>
    <row r="273" spans="1:28" x14ac:dyDescent="0.2">
      <c r="A273" s="56">
        <v>17</v>
      </c>
      <c r="B273" s="57" t="s">
        <v>63</v>
      </c>
      <c r="C273" s="56">
        <v>60</v>
      </c>
      <c r="D273" s="57" t="s">
        <v>181</v>
      </c>
      <c r="E273" s="58">
        <v>38909</v>
      </c>
      <c r="F273" s="58">
        <v>39458</v>
      </c>
      <c r="G273" s="56">
        <v>385</v>
      </c>
      <c r="H273" s="57" t="s">
        <v>29</v>
      </c>
      <c r="I273" s="57" t="s">
        <v>95</v>
      </c>
      <c r="J273" s="56">
        <v>10</v>
      </c>
      <c r="K273" s="57" t="s">
        <v>96</v>
      </c>
      <c r="L273" s="57" t="s">
        <v>97</v>
      </c>
      <c r="AB273" t="str">
        <f si="4" t="shared"/>
        <v>Yuppie Puppiez (11/07/2006 - 11/01/2008)</v>
      </c>
    </row>
    <row r="274" spans="1:28" x14ac:dyDescent="0.2">
      <c r="A274" s="56">
        <v>40</v>
      </c>
      <c r="B274" s="57" t="s">
        <v>122</v>
      </c>
      <c r="C274" s="57"/>
      <c r="D274" s="57"/>
      <c r="E274" s="57"/>
      <c r="F274" s="57"/>
      <c r="G274" s="57"/>
      <c r="H274" s="57"/>
      <c r="I274" s="57"/>
      <c r="J274" s="57"/>
      <c r="K274" s="57"/>
      <c r="L274" s="57"/>
      <c r="AB274" t="str">
        <f si="4" t="shared"/>
        <v/>
      </c>
    </row>
    <row r="275" spans="1:28" x14ac:dyDescent="0.2">
      <c r="A275" s="56">
        <v>41</v>
      </c>
      <c r="B275" s="57" t="s">
        <v>125</v>
      </c>
      <c r="C275" s="57"/>
      <c r="D275" s="57"/>
      <c r="E275" s="57"/>
      <c r="F275" s="57"/>
      <c r="G275" s="57"/>
      <c r="H275" s="57"/>
      <c r="I275" s="57"/>
      <c r="J275" s="57"/>
      <c r="K275" s="57"/>
      <c r="L275" s="57"/>
      <c r="AB275" t="str">
        <f si="4" t="shared"/>
        <v/>
      </c>
    </row>
    <row r="276" spans="1:28" x14ac:dyDescent="0.2">
      <c r="AB276" t="str">
        <f ref="AB276:AB331" si="5" t="shared"><![CDATA[IF(E276<>"",IF(F276="",D276&" ("&TEXT(E276,"dd/mm/yyyy")&" - present)",D276&" ("&TEXT(E276,"dd/mm/yyyy")&" - "&TEXT(F276,"dd/mm/yyyy")&")"),"")]]></f>
        <v/>
      </c>
    </row>
    <row r="277" spans="1:28" x14ac:dyDescent="0.2">
      <c r="AB277" t="str">
        <f si="5" t="shared"/>
        <v/>
      </c>
    </row>
    <row r="278" spans="1:28" x14ac:dyDescent="0.2">
      <c r="AB278" t="str">
        <f si="5" t="shared"/>
        <v/>
      </c>
    </row>
    <row r="279" spans="1:28" x14ac:dyDescent="0.2">
      <c r="AB279" t="str">
        <f si="5" t="shared"/>
        <v/>
      </c>
    </row>
    <row r="280" spans="1:28" x14ac:dyDescent="0.2">
      <c r="AB280" t="str">
        <f si="5" t="shared"/>
        <v/>
      </c>
    </row>
    <row r="281" spans="1:28" x14ac:dyDescent="0.2">
      <c r="AB281" t="str">
        <f si="5" t="shared"/>
        <v/>
      </c>
    </row>
    <row r="282" spans="1:28" x14ac:dyDescent="0.2">
      <c r="AB282" t="str">
        <f si="5" t="shared"/>
        <v/>
      </c>
    </row>
    <row r="283" spans="1:28" x14ac:dyDescent="0.2">
      <c r="AB283" t="str">
        <f si="5" t="shared"/>
        <v/>
      </c>
    </row>
    <row r="284" spans="1:28" x14ac:dyDescent="0.2">
      <c r="AB284" t="str">
        <f si="5" t="shared"/>
        <v/>
      </c>
    </row>
    <row r="285" spans="1:28" x14ac:dyDescent="0.2">
      <c r="AB285" t="str">
        <f si="5" t="shared"/>
        <v/>
      </c>
    </row>
    <row r="286" spans="1:28" x14ac:dyDescent="0.2">
      <c r="AB286" t="str">
        <f si="5" t="shared"/>
        <v/>
      </c>
    </row>
    <row r="287" spans="1:28" x14ac:dyDescent="0.2">
      <c r="AB287" t="str">
        <f si="5" t="shared"/>
        <v/>
      </c>
    </row>
    <row r="288" spans="1:28" x14ac:dyDescent="0.2">
      <c r="AB288" t="str">
        <f si="5" t="shared"/>
        <v/>
      </c>
    </row>
    <row r="289" spans="28:28" x14ac:dyDescent="0.2">
      <c r="AB289" t="str">
        <f si="5" t="shared"/>
        <v/>
      </c>
    </row>
    <row r="290" spans="28:28" x14ac:dyDescent="0.2">
      <c r="AB290" t="str">
        <f si="5" t="shared"/>
        <v/>
      </c>
    </row>
    <row r="291" spans="28:28" x14ac:dyDescent="0.2">
      <c r="AB291" t="str">
        <f si="5" t="shared"/>
        <v/>
      </c>
    </row>
    <row r="292" spans="28:28" x14ac:dyDescent="0.2">
      <c r="AB292" t="str">
        <f si="5" t="shared"/>
        <v/>
      </c>
    </row>
    <row r="293" spans="28:28" x14ac:dyDescent="0.2">
      <c r="AB293" t="str">
        <f si="5" t="shared"/>
        <v/>
      </c>
    </row>
    <row r="294" spans="28:28" x14ac:dyDescent="0.2">
      <c r="AB294" t="str">
        <f si="5" t="shared"/>
        <v/>
      </c>
    </row>
    <row r="295" spans="28:28" x14ac:dyDescent="0.2">
      <c r="AB295" t="str">
        <f si="5" t="shared"/>
        <v/>
      </c>
    </row>
    <row r="296" spans="28:28" x14ac:dyDescent="0.2">
      <c r="AB296" t="str">
        <f si="5" t="shared"/>
        <v/>
      </c>
    </row>
    <row r="297" spans="28:28" x14ac:dyDescent="0.2">
      <c r="AB297" t="str">
        <f si="5" t="shared"/>
        <v/>
      </c>
    </row>
    <row r="298" spans="28:28" x14ac:dyDescent="0.2">
      <c r="AB298" t="str">
        <f si="5" t="shared"/>
        <v/>
      </c>
    </row>
    <row r="299" spans="28:28" x14ac:dyDescent="0.2">
      <c r="AB299" t="str">
        <f si="5" t="shared"/>
        <v/>
      </c>
    </row>
    <row r="300" spans="28:28" x14ac:dyDescent="0.2">
      <c r="AB300" t="str">
        <f si="5" t="shared"/>
        <v/>
      </c>
    </row>
    <row r="301" spans="28:28" x14ac:dyDescent="0.2">
      <c r="AB301" t="str">
        <f si="5" t="shared"/>
        <v/>
      </c>
    </row>
    <row r="302" spans="28:28" x14ac:dyDescent="0.2">
      <c r="AB302" t="str">
        <f si="5" t="shared"/>
        <v/>
      </c>
    </row>
    <row r="303" spans="28:28" x14ac:dyDescent="0.2">
      <c r="AB303" t="str">
        <f si="5" t="shared"/>
        <v/>
      </c>
    </row>
    <row r="304" spans="28:28" x14ac:dyDescent="0.2">
      <c r="AB304" t="str">
        <f si="5" t="shared"/>
        <v/>
      </c>
    </row>
    <row r="305" spans="28:28" x14ac:dyDescent="0.2">
      <c r="AB305" t="str">
        <f si="5" t="shared"/>
        <v/>
      </c>
    </row>
    <row r="306" spans="28:28" x14ac:dyDescent="0.2">
      <c r="AB306" t="str">
        <f si="5" t="shared"/>
        <v/>
      </c>
    </row>
    <row r="307" spans="28:28" x14ac:dyDescent="0.2">
      <c r="AB307" t="str">
        <f si="5" t="shared"/>
        <v/>
      </c>
    </row>
    <row r="308" spans="28:28" x14ac:dyDescent="0.2">
      <c r="AB308" t="str">
        <f si="5" t="shared"/>
        <v/>
      </c>
    </row>
    <row r="309" spans="28:28" x14ac:dyDescent="0.2">
      <c r="AB309" t="str">
        <f si="5" t="shared"/>
        <v/>
      </c>
    </row>
    <row r="310" spans="28:28" x14ac:dyDescent="0.2">
      <c r="AB310" t="str">
        <f si="5" t="shared"/>
        <v/>
      </c>
    </row>
    <row r="311" spans="28:28" x14ac:dyDescent="0.2">
      <c r="AB311" t="str">
        <f si="5" t="shared"/>
        <v/>
      </c>
    </row>
    <row r="312" spans="28:28" x14ac:dyDescent="0.2">
      <c r="AB312" t="str">
        <f si="5" t="shared"/>
        <v/>
      </c>
    </row>
    <row r="313" spans="28:28" x14ac:dyDescent="0.2">
      <c r="AB313" t="str">
        <f si="5" t="shared"/>
        <v/>
      </c>
    </row>
    <row r="314" spans="28:28" x14ac:dyDescent="0.2">
      <c r="AB314" t="str">
        <f si="5" t="shared"/>
        <v/>
      </c>
    </row>
    <row r="315" spans="28:28" x14ac:dyDescent="0.2">
      <c r="AB315" t="str">
        <f si="5" t="shared"/>
        <v/>
      </c>
    </row>
    <row r="316" spans="28:28" x14ac:dyDescent="0.2">
      <c r="AB316" t="str">
        <f si="5" t="shared"/>
        <v/>
      </c>
    </row>
    <row r="317" spans="28:28" x14ac:dyDescent="0.2">
      <c r="AB317" t="str">
        <f si="5" t="shared"/>
        <v/>
      </c>
    </row>
    <row r="318" spans="28:28" x14ac:dyDescent="0.2">
      <c r="AB318" t="str">
        <f si="5" t="shared"/>
        <v/>
      </c>
    </row>
    <row r="319" spans="28:28" x14ac:dyDescent="0.2">
      <c r="AB319" t="str">
        <f si="5" t="shared"/>
        <v/>
      </c>
    </row>
    <row r="320" spans="28:28" x14ac:dyDescent="0.2">
      <c r="AB320" t="str">
        <f si="5" t="shared"/>
        <v/>
      </c>
    </row>
    <row r="321" spans="28:28" x14ac:dyDescent="0.2">
      <c r="AB321" t="str">
        <f si="5" t="shared"/>
        <v/>
      </c>
    </row>
    <row r="322" spans="28:28" x14ac:dyDescent="0.2">
      <c r="AB322" t="str">
        <f si="5" t="shared"/>
        <v/>
      </c>
    </row>
    <row r="323" spans="28:28" x14ac:dyDescent="0.2">
      <c r="AB323" t="str">
        <f si="5" t="shared"/>
        <v/>
      </c>
    </row>
    <row r="324" spans="28:28" x14ac:dyDescent="0.2">
      <c r="AB324" t="str">
        <f si="5" t="shared"/>
        <v/>
      </c>
    </row>
    <row r="325" spans="28:28" x14ac:dyDescent="0.2">
      <c r="AB325" t="str">
        <f si="5" t="shared"/>
        <v/>
      </c>
    </row>
    <row r="326" spans="28:28" x14ac:dyDescent="0.2">
      <c r="AB326" t="str">
        <f si="5" t="shared"/>
        <v/>
      </c>
    </row>
    <row r="327" spans="28:28" x14ac:dyDescent="0.2">
      <c r="AB327" t="str">
        <f si="5" t="shared"/>
        <v/>
      </c>
    </row>
    <row r="328" spans="28:28" x14ac:dyDescent="0.2">
      <c r="AB328" t="str">
        <f si="5" t="shared"/>
        <v/>
      </c>
    </row>
    <row r="329" spans="28:28" x14ac:dyDescent="0.2">
      <c r="AB329" t="str">
        <f si="5" t="shared"/>
        <v/>
      </c>
    </row>
    <row r="330" spans="28:28" x14ac:dyDescent="0.2">
      <c r="AB330" t="str">
        <f si="5" t="shared"/>
        <v/>
      </c>
    </row>
    <row r="331" spans="28:28" x14ac:dyDescent="0.2">
      <c r="AB331" t="str">
        <f si="5" t="shared"/>
        <v/>
      </c>
    </row>
    <row r="332" spans="28:28" x14ac:dyDescent="0.2">
      <c r="AB332" t="str">
        <f ref="AB332:AB395" si="6" t="shared"><![CDATA[IF(E332<>"",IF(F332="",D332&" ("&TEXT(E332,"dd/mm/yyyy")&" - present)",D332&" ("&TEXT(E332,"dd/mm/yyyy")&" - "&TEXT(F332,"dd/mm/yyyy")&")"),"")]]></f>
        <v/>
      </c>
    </row>
    <row r="333" spans="28:28" x14ac:dyDescent="0.2">
      <c r="AB333" t="str">
        <f si="6" t="shared"/>
        <v/>
      </c>
    </row>
    <row r="334" spans="28:28" x14ac:dyDescent="0.2">
      <c r="AB334" t="str">
        <f si="6" t="shared"/>
        <v/>
      </c>
    </row>
    <row r="335" spans="28:28" x14ac:dyDescent="0.2">
      <c r="AB335" t="str">
        <f si="6" t="shared"/>
        <v/>
      </c>
    </row>
    <row r="336" spans="28:28" x14ac:dyDescent="0.2">
      <c r="AB336" t="str">
        <f si="6" t="shared"/>
        <v/>
      </c>
    </row>
    <row r="337" spans="28:28" x14ac:dyDescent="0.2">
      <c r="AB337" t="str">
        <f si="6" t="shared"/>
        <v/>
      </c>
    </row>
    <row r="338" spans="28:28" x14ac:dyDescent="0.2">
      <c r="AB338" t="str">
        <f si="6" t="shared"/>
        <v/>
      </c>
    </row>
    <row r="339" spans="28:28" x14ac:dyDescent="0.2">
      <c r="AB339" t="str">
        <f si="6" t="shared"/>
        <v/>
      </c>
    </row>
    <row r="340" spans="28:28" x14ac:dyDescent="0.2">
      <c r="AB340" t="str">
        <f si="6" t="shared"/>
        <v/>
      </c>
    </row>
    <row r="341" spans="28:28" x14ac:dyDescent="0.2">
      <c r="AB341" t="str">
        <f si="6" t="shared"/>
        <v/>
      </c>
    </row>
    <row r="342" spans="28:28" x14ac:dyDescent="0.2">
      <c r="AB342" t="str">
        <f si="6" t="shared"/>
        <v/>
      </c>
    </row>
    <row r="343" spans="28:28" x14ac:dyDescent="0.2">
      <c r="AB343" t="str">
        <f si="6" t="shared"/>
        <v/>
      </c>
    </row>
    <row r="344" spans="28:28" x14ac:dyDescent="0.2">
      <c r="AB344" t="str">
        <f si="6" t="shared"/>
        <v/>
      </c>
    </row>
    <row r="345" spans="28:28" x14ac:dyDescent="0.2">
      <c r="AB345" t="str">
        <f si="6" t="shared"/>
        <v/>
      </c>
    </row>
    <row r="346" spans="28:28" x14ac:dyDescent="0.2">
      <c r="AB346" t="str">
        <f si="6" t="shared"/>
        <v/>
      </c>
    </row>
    <row r="347" spans="28:28" x14ac:dyDescent="0.2">
      <c r="AB347" t="str">
        <f si="6" t="shared"/>
        <v/>
      </c>
    </row>
    <row r="348" spans="28:28" x14ac:dyDescent="0.2">
      <c r="AB348" t="str">
        <f si="6" t="shared"/>
        <v/>
      </c>
    </row>
    <row r="349" spans="28:28" x14ac:dyDescent="0.2">
      <c r="AB349" t="str">
        <f si="6" t="shared"/>
        <v/>
      </c>
    </row>
    <row r="350" spans="28:28" x14ac:dyDescent="0.2">
      <c r="AB350" t="str">
        <f si="6" t="shared"/>
        <v/>
      </c>
    </row>
    <row r="351" spans="28:28" x14ac:dyDescent="0.2">
      <c r="AB351" t="str">
        <f si="6" t="shared"/>
        <v/>
      </c>
    </row>
    <row r="352" spans="28:28" x14ac:dyDescent="0.2">
      <c r="AB352" t="str">
        <f si="6" t="shared"/>
        <v/>
      </c>
    </row>
    <row r="353" spans="28:28" x14ac:dyDescent="0.2">
      <c r="AB353" t="str">
        <f si="6" t="shared"/>
        <v/>
      </c>
    </row>
    <row r="354" spans="28:28" x14ac:dyDescent="0.2">
      <c r="AB354" t="str">
        <f si="6" t="shared"/>
        <v/>
      </c>
    </row>
    <row r="355" spans="28:28" x14ac:dyDescent="0.2">
      <c r="AB355" t="str">
        <f si="6" t="shared"/>
        <v/>
      </c>
    </row>
    <row r="356" spans="28:28" x14ac:dyDescent="0.2">
      <c r="AB356" t="str">
        <f si="6" t="shared"/>
        <v/>
      </c>
    </row>
    <row r="357" spans="28:28" x14ac:dyDescent="0.2">
      <c r="AB357" t="str">
        <f si="6" t="shared"/>
        <v/>
      </c>
    </row>
    <row r="358" spans="28:28" x14ac:dyDescent="0.2">
      <c r="AB358" t="str">
        <f si="6" t="shared"/>
        <v/>
      </c>
    </row>
    <row r="359" spans="28:28" x14ac:dyDescent="0.2">
      <c r="AB359" t="str">
        <f si="6" t="shared"/>
        <v/>
      </c>
    </row>
    <row r="360" spans="28:28" x14ac:dyDescent="0.2">
      <c r="AB360" t="str">
        <f si="6" t="shared"/>
        <v/>
      </c>
    </row>
    <row r="361" spans="28:28" x14ac:dyDescent="0.2">
      <c r="AB361" t="str">
        <f si="6" t="shared"/>
        <v/>
      </c>
    </row>
    <row r="362" spans="28:28" x14ac:dyDescent="0.2">
      <c r="AB362" t="str">
        <f si="6" t="shared"/>
        <v/>
      </c>
    </row>
    <row r="363" spans="28:28" x14ac:dyDescent="0.2">
      <c r="AB363" t="str">
        <f si="6" t="shared"/>
        <v/>
      </c>
    </row>
    <row r="364" spans="28:28" x14ac:dyDescent="0.2">
      <c r="AB364" t="str">
        <f si="6" t="shared"/>
        <v/>
      </c>
    </row>
    <row r="365" spans="28:28" x14ac:dyDescent="0.2">
      <c r="AB365" t="str">
        <f si="6" t="shared"/>
        <v/>
      </c>
    </row>
    <row r="366" spans="28:28" x14ac:dyDescent="0.2">
      <c r="AB366" t="str">
        <f si="6" t="shared"/>
        <v/>
      </c>
    </row>
    <row r="367" spans="28:28" x14ac:dyDescent="0.2">
      <c r="AB367" t="str">
        <f si="6" t="shared"/>
        <v/>
      </c>
    </row>
    <row r="368" spans="28:28" x14ac:dyDescent="0.2">
      <c r="AB368" t="str">
        <f si="6" t="shared"/>
        <v/>
      </c>
    </row>
    <row r="369" spans="28:28" x14ac:dyDescent="0.2">
      <c r="AB369" t="str">
        <f si="6" t="shared"/>
        <v/>
      </c>
    </row>
    <row r="370" spans="28:28" x14ac:dyDescent="0.2">
      <c r="AB370" t="str">
        <f si="6" t="shared"/>
        <v/>
      </c>
    </row>
    <row r="371" spans="28:28" x14ac:dyDescent="0.2">
      <c r="AB371" t="str">
        <f si="6" t="shared"/>
        <v/>
      </c>
    </row>
    <row r="372" spans="28:28" x14ac:dyDescent="0.2">
      <c r="AB372" t="str">
        <f si="6" t="shared"/>
        <v/>
      </c>
    </row>
    <row r="373" spans="28:28" x14ac:dyDescent="0.2">
      <c r="AB373" t="str">
        <f si="6" t="shared"/>
        <v/>
      </c>
    </row>
    <row r="374" spans="28:28" x14ac:dyDescent="0.2">
      <c r="AB374" t="str">
        <f si="6" t="shared"/>
        <v/>
      </c>
    </row>
    <row r="375" spans="28:28" x14ac:dyDescent="0.2">
      <c r="AB375" t="str">
        <f si="6" t="shared"/>
        <v/>
      </c>
    </row>
    <row r="376" spans="28:28" x14ac:dyDescent="0.2">
      <c r="AB376" t="str">
        <f si="6" t="shared"/>
        <v/>
      </c>
    </row>
    <row r="377" spans="28:28" x14ac:dyDescent="0.2">
      <c r="AB377" t="str">
        <f si="6" t="shared"/>
        <v/>
      </c>
    </row>
    <row r="378" spans="28:28" x14ac:dyDescent="0.2">
      <c r="AB378" t="str">
        <f si="6" t="shared"/>
        <v/>
      </c>
    </row>
    <row r="379" spans="28:28" x14ac:dyDescent="0.2">
      <c r="AB379" t="str">
        <f si="6" t="shared"/>
        <v/>
      </c>
    </row>
    <row r="380" spans="28:28" x14ac:dyDescent="0.2">
      <c r="AB380" t="str">
        <f si="6" t="shared"/>
        <v/>
      </c>
    </row>
    <row r="381" spans="28:28" x14ac:dyDescent="0.2">
      <c r="AB381" t="str">
        <f si="6" t="shared"/>
        <v/>
      </c>
    </row>
    <row r="382" spans="28:28" x14ac:dyDescent="0.2">
      <c r="AB382" t="str">
        <f si="6" t="shared"/>
        <v/>
      </c>
    </row>
    <row r="383" spans="28:28" x14ac:dyDescent="0.2">
      <c r="AB383" t="str">
        <f si="6" t="shared"/>
        <v/>
      </c>
    </row>
    <row r="384" spans="28:28" x14ac:dyDescent="0.2">
      <c r="AB384" t="str">
        <f si="6" t="shared"/>
        <v/>
      </c>
    </row>
    <row r="385" spans="28:28" x14ac:dyDescent="0.2">
      <c r="AB385" t="str">
        <f si="6" t="shared"/>
        <v/>
      </c>
    </row>
    <row r="386" spans="28:28" x14ac:dyDescent="0.2">
      <c r="AB386" t="str">
        <f si="6" t="shared"/>
        <v/>
      </c>
    </row>
    <row r="387" spans="28:28" x14ac:dyDescent="0.2">
      <c r="AB387" t="str">
        <f si="6" t="shared"/>
        <v/>
      </c>
    </row>
    <row r="388" spans="28:28" x14ac:dyDescent="0.2">
      <c r="AB388" t="str">
        <f si="6" t="shared"/>
        <v/>
      </c>
    </row>
    <row r="389" spans="28:28" x14ac:dyDescent="0.2">
      <c r="AB389" t="str">
        <f si="6" t="shared"/>
        <v/>
      </c>
    </row>
    <row r="390" spans="28:28" x14ac:dyDescent="0.2">
      <c r="AB390" t="str">
        <f si="6" t="shared"/>
        <v/>
      </c>
    </row>
    <row r="391" spans="28:28" x14ac:dyDescent="0.2">
      <c r="AB391" t="str">
        <f si="6" t="shared"/>
        <v/>
      </c>
    </row>
    <row r="392" spans="28:28" x14ac:dyDescent="0.2">
      <c r="AB392" t="str">
        <f si="6" t="shared"/>
        <v/>
      </c>
    </row>
    <row r="393" spans="28:28" x14ac:dyDescent="0.2">
      <c r="AB393" t="str">
        <f si="6" t="shared"/>
        <v/>
      </c>
    </row>
    <row r="394" spans="28:28" x14ac:dyDescent="0.2">
      <c r="AB394" t="str">
        <f si="6" t="shared"/>
        <v/>
      </c>
    </row>
    <row r="395" spans="28:28" x14ac:dyDescent="0.2">
      <c r="AB395" t="str">
        <f si="6" t="shared"/>
        <v/>
      </c>
    </row>
    <row r="396" spans="28:28" x14ac:dyDescent="0.2">
      <c r="AB396" t="str">
        <f ref="AB396:AB459" si="7" t="shared"><![CDATA[IF(E396<>"",IF(F396="",D396&" ("&TEXT(E396,"dd/mm/yyyy")&" - present)",D396&" ("&TEXT(E396,"dd/mm/yyyy")&" - "&TEXT(F396,"dd/mm/yyyy")&")"),"")]]></f>
        <v/>
      </c>
    </row>
    <row r="397" spans="28:28" x14ac:dyDescent="0.2">
      <c r="AB397" t="str">
        <f si="7" t="shared"/>
        <v/>
      </c>
    </row>
    <row r="398" spans="28:28" x14ac:dyDescent="0.2">
      <c r="AB398" t="str">
        <f si="7" t="shared"/>
        <v/>
      </c>
    </row>
    <row r="399" spans="28:28" x14ac:dyDescent="0.2">
      <c r="AB399" t="str">
        <f si="7" t="shared"/>
        <v/>
      </c>
    </row>
    <row r="400" spans="28:28" x14ac:dyDescent="0.2">
      <c r="AB400" t="str">
        <f si="7" t="shared"/>
        <v/>
      </c>
    </row>
    <row r="401" spans="28:28" x14ac:dyDescent="0.2">
      <c r="AB401" t="str">
        <f si="7" t="shared"/>
        <v/>
      </c>
    </row>
    <row r="402" spans="28:28" x14ac:dyDescent="0.2">
      <c r="AB402" t="str">
        <f si="7" t="shared"/>
        <v/>
      </c>
    </row>
    <row r="403" spans="28:28" x14ac:dyDescent="0.2">
      <c r="AB403" t="str">
        <f si="7" t="shared"/>
        <v/>
      </c>
    </row>
    <row r="404" spans="28:28" x14ac:dyDescent="0.2">
      <c r="AB404" t="str">
        <f si="7" t="shared"/>
        <v/>
      </c>
    </row>
    <row r="405" spans="28:28" x14ac:dyDescent="0.2">
      <c r="AB405" t="str">
        <f si="7" t="shared"/>
        <v/>
      </c>
    </row>
    <row r="406" spans="28:28" x14ac:dyDescent="0.2">
      <c r="AB406" t="str">
        <f si="7" t="shared"/>
        <v/>
      </c>
    </row>
    <row r="407" spans="28:28" x14ac:dyDescent="0.2">
      <c r="AB407" t="str">
        <f si="7" t="shared"/>
        <v/>
      </c>
    </row>
    <row r="408" spans="28:28" x14ac:dyDescent="0.2">
      <c r="AB408" t="str">
        <f si="7" t="shared"/>
        <v/>
      </c>
    </row>
    <row r="409" spans="28:28" x14ac:dyDescent="0.2">
      <c r="AB409" t="str">
        <f si="7" t="shared"/>
        <v/>
      </c>
    </row>
    <row r="410" spans="28:28" x14ac:dyDescent="0.2">
      <c r="AB410" t="str">
        <f si="7" t="shared"/>
        <v/>
      </c>
    </row>
    <row r="411" spans="28:28" x14ac:dyDescent="0.2">
      <c r="AB411" t="str">
        <f si="7" t="shared"/>
        <v/>
      </c>
    </row>
    <row r="412" spans="28:28" x14ac:dyDescent="0.2">
      <c r="AB412" t="str">
        <f si="7" t="shared"/>
        <v/>
      </c>
    </row>
    <row r="413" spans="28:28" x14ac:dyDescent="0.2">
      <c r="AB413" t="str">
        <f si="7" t="shared"/>
        <v/>
      </c>
    </row>
    <row r="414" spans="28:28" x14ac:dyDescent="0.2">
      <c r="AB414" t="str">
        <f si="7" t="shared"/>
        <v/>
      </c>
    </row>
    <row r="415" spans="28:28" x14ac:dyDescent="0.2">
      <c r="AB415" t="str">
        <f si="7" t="shared"/>
        <v/>
      </c>
    </row>
    <row r="416" spans="28:28" x14ac:dyDescent="0.2">
      <c r="AB416" t="str">
        <f si="7" t="shared"/>
        <v/>
      </c>
    </row>
    <row r="417" spans="28:28" x14ac:dyDescent="0.2">
      <c r="AB417" t="str">
        <f si="7" t="shared"/>
        <v/>
      </c>
    </row>
    <row r="418" spans="28:28" x14ac:dyDescent="0.2">
      <c r="AB418" t="str">
        <f si="7" t="shared"/>
        <v/>
      </c>
    </row>
    <row r="419" spans="28:28" x14ac:dyDescent="0.2">
      <c r="AB419" t="str">
        <f si="7" t="shared"/>
        <v/>
      </c>
    </row>
    <row r="420" spans="28:28" x14ac:dyDescent="0.2">
      <c r="AB420" t="str">
        <f si="7" t="shared"/>
        <v/>
      </c>
    </row>
    <row r="421" spans="28:28" x14ac:dyDescent="0.2">
      <c r="AB421" t="str">
        <f si="7" t="shared"/>
        <v/>
      </c>
    </row>
    <row r="422" spans="28:28" x14ac:dyDescent="0.2">
      <c r="AB422" t="str">
        <f si="7" t="shared"/>
        <v/>
      </c>
    </row>
    <row r="423" spans="28:28" x14ac:dyDescent="0.2">
      <c r="AB423" t="str">
        <f si="7" t="shared"/>
        <v/>
      </c>
    </row>
    <row r="424" spans="28:28" x14ac:dyDescent="0.2">
      <c r="AB424" t="str">
        <f si="7" t="shared"/>
        <v/>
      </c>
    </row>
    <row r="425" spans="28:28" x14ac:dyDescent="0.2">
      <c r="AB425" t="str">
        <f si="7" t="shared"/>
        <v/>
      </c>
    </row>
    <row r="426" spans="28:28" x14ac:dyDescent="0.2">
      <c r="AB426" t="str">
        <f si="7" t="shared"/>
        <v/>
      </c>
    </row>
    <row r="427" spans="28:28" x14ac:dyDescent="0.2">
      <c r="AB427" t="str">
        <f si="7" t="shared"/>
        <v/>
      </c>
    </row>
    <row r="428" spans="28:28" x14ac:dyDescent="0.2">
      <c r="AB428" t="str">
        <f si="7" t="shared"/>
        <v/>
      </c>
    </row>
    <row r="429" spans="28:28" x14ac:dyDescent="0.2">
      <c r="AB429" t="str">
        <f si="7" t="shared"/>
        <v/>
      </c>
    </row>
    <row r="430" spans="28:28" x14ac:dyDescent="0.2">
      <c r="AB430" t="str">
        <f si="7" t="shared"/>
        <v/>
      </c>
    </row>
    <row r="431" spans="28:28" x14ac:dyDescent="0.2">
      <c r="AB431" t="str">
        <f si="7" t="shared"/>
        <v/>
      </c>
    </row>
    <row r="432" spans="28:28" x14ac:dyDescent="0.2">
      <c r="AB432" t="str">
        <f si="7" t="shared"/>
        <v/>
      </c>
    </row>
    <row r="433" spans="28:28" x14ac:dyDescent="0.2">
      <c r="AB433" t="str">
        <f si="7" t="shared"/>
        <v/>
      </c>
    </row>
    <row r="434" spans="28:28" x14ac:dyDescent="0.2">
      <c r="AB434" t="str">
        <f si="7" t="shared"/>
        <v/>
      </c>
    </row>
    <row r="435" spans="28:28" x14ac:dyDescent="0.2">
      <c r="AB435" t="str">
        <f si="7" t="shared"/>
        <v/>
      </c>
    </row>
    <row r="436" spans="28:28" x14ac:dyDescent="0.2">
      <c r="AB436" t="str">
        <f si="7" t="shared"/>
        <v/>
      </c>
    </row>
    <row r="437" spans="28:28" x14ac:dyDescent="0.2">
      <c r="AB437" t="str">
        <f si="7" t="shared"/>
        <v/>
      </c>
    </row>
    <row r="438" spans="28:28" x14ac:dyDescent="0.2">
      <c r="AB438" t="str">
        <f si="7" t="shared"/>
        <v/>
      </c>
    </row>
    <row r="439" spans="28:28" x14ac:dyDescent="0.2">
      <c r="AB439" t="str">
        <f si="7" t="shared"/>
        <v/>
      </c>
    </row>
    <row r="440" spans="28:28" x14ac:dyDescent="0.2">
      <c r="AB440" t="str">
        <f si="7" t="shared"/>
        <v/>
      </c>
    </row>
    <row r="441" spans="28:28" x14ac:dyDescent="0.2">
      <c r="AB441" t="str">
        <f si="7" t="shared"/>
        <v/>
      </c>
    </row>
    <row r="442" spans="28:28" x14ac:dyDescent="0.2">
      <c r="AB442" t="str">
        <f si="7" t="shared"/>
        <v/>
      </c>
    </row>
    <row r="443" spans="28:28" x14ac:dyDescent="0.2">
      <c r="AB443" t="str">
        <f si="7" t="shared"/>
        <v/>
      </c>
    </row>
    <row r="444" spans="28:28" x14ac:dyDescent="0.2">
      <c r="AB444" t="str">
        <f si="7" t="shared"/>
        <v/>
      </c>
    </row>
    <row r="445" spans="28:28" x14ac:dyDescent="0.2">
      <c r="AB445" t="str">
        <f si="7" t="shared"/>
        <v/>
      </c>
    </row>
    <row r="446" spans="28:28" x14ac:dyDescent="0.2">
      <c r="AB446" t="str">
        <f si="7" t="shared"/>
        <v/>
      </c>
    </row>
    <row r="447" spans="28:28" x14ac:dyDescent="0.2">
      <c r="AB447" t="str">
        <f si="7" t="shared"/>
        <v/>
      </c>
    </row>
    <row r="448" spans="28:28" x14ac:dyDescent="0.2">
      <c r="AB448" t="str">
        <f si="7" t="shared"/>
        <v/>
      </c>
    </row>
    <row r="449" spans="28:28" x14ac:dyDescent="0.2">
      <c r="AB449" t="str">
        <f si="7" t="shared"/>
        <v/>
      </c>
    </row>
    <row r="450" spans="28:28" x14ac:dyDescent="0.2">
      <c r="AB450" t="str">
        <f si="7" t="shared"/>
        <v/>
      </c>
    </row>
    <row r="451" spans="28:28" x14ac:dyDescent="0.2">
      <c r="AB451" t="str">
        <f si="7" t="shared"/>
        <v/>
      </c>
    </row>
    <row r="452" spans="28:28" x14ac:dyDescent="0.2">
      <c r="AB452" t="str">
        <f si="7" t="shared"/>
        <v/>
      </c>
    </row>
    <row r="453" spans="28:28" x14ac:dyDescent="0.2">
      <c r="AB453" t="str">
        <f si="7" t="shared"/>
        <v/>
      </c>
    </row>
    <row r="454" spans="28:28" x14ac:dyDescent="0.2">
      <c r="AB454" t="str">
        <f si="7" t="shared"/>
        <v/>
      </c>
    </row>
    <row r="455" spans="28:28" x14ac:dyDescent="0.2">
      <c r="AB455" t="str">
        <f si="7" t="shared"/>
        <v/>
      </c>
    </row>
    <row r="456" spans="28:28" x14ac:dyDescent="0.2">
      <c r="AB456" t="str">
        <f si="7" t="shared"/>
        <v/>
      </c>
    </row>
    <row r="457" spans="28:28" x14ac:dyDescent="0.2">
      <c r="AB457" t="str">
        <f si="7" t="shared"/>
        <v/>
      </c>
    </row>
    <row r="458" spans="28:28" x14ac:dyDescent="0.2">
      <c r="AB458" t="str">
        <f si="7" t="shared"/>
        <v/>
      </c>
    </row>
    <row r="459" spans="28:28" x14ac:dyDescent="0.2">
      <c r="AB459" t="str">
        <f si="7" t="shared"/>
        <v/>
      </c>
    </row>
    <row r="460" spans="28:28" x14ac:dyDescent="0.2">
      <c r="AB460" t="str">
        <f ref="AB460:AB510" si="8" t="shared"><![CDATA[IF(E460<>"",IF(F460="",D460&" ("&TEXT(E460,"dd/mm/yyyy")&" - present)",D460&" ("&TEXT(E460,"dd/mm/yyyy")&" - "&TEXT(F460,"dd/mm/yyyy")&")"),"")]]></f>
        <v/>
      </c>
    </row>
    <row r="461" spans="28:28" x14ac:dyDescent="0.2">
      <c r="AB461" t="str">
        <f si="8" t="shared"/>
        <v/>
      </c>
    </row>
    <row r="462" spans="28:28" x14ac:dyDescent="0.2">
      <c r="AB462" t="str">
        <f si="8" t="shared"/>
        <v/>
      </c>
    </row>
    <row r="463" spans="28:28" x14ac:dyDescent="0.2">
      <c r="AB463" t="str">
        <f si="8" t="shared"/>
        <v/>
      </c>
    </row>
    <row r="464" spans="28:28" x14ac:dyDescent="0.2">
      <c r="AB464" t="str">
        <f si="8" t="shared"/>
        <v/>
      </c>
    </row>
    <row r="465" spans="28:28" x14ac:dyDescent="0.2">
      <c r="AB465" t="str">
        <f si="8" t="shared"/>
        <v/>
      </c>
    </row>
    <row r="466" spans="28:28" x14ac:dyDescent="0.2">
      <c r="AB466" t="str">
        <f si="8" t="shared"/>
        <v/>
      </c>
    </row>
    <row r="467" spans="28:28" x14ac:dyDescent="0.2">
      <c r="AB467" t="str">
        <f si="8" t="shared"/>
        <v/>
      </c>
    </row>
    <row r="468" spans="28:28" x14ac:dyDescent="0.2">
      <c r="AB468" t="str">
        <f si="8" t="shared"/>
        <v/>
      </c>
    </row>
    <row r="469" spans="28:28" x14ac:dyDescent="0.2">
      <c r="AB469" t="str">
        <f si="8" t="shared"/>
        <v/>
      </c>
    </row>
    <row r="470" spans="28:28" x14ac:dyDescent="0.2">
      <c r="AB470" t="str">
        <f si="8" t="shared"/>
        <v/>
      </c>
    </row>
    <row r="471" spans="28:28" x14ac:dyDescent="0.2">
      <c r="AB471" t="str">
        <f si="8" t="shared"/>
        <v/>
      </c>
    </row>
    <row r="472" spans="28:28" x14ac:dyDescent="0.2">
      <c r="AB472" t="str">
        <f si="8" t="shared"/>
        <v/>
      </c>
    </row>
    <row r="473" spans="28:28" x14ac:dyDescent="0.2">
      <c r="AB473" t="str">
        <f si="8" t="shared"/>
        <v/>
      </c>
    </row>
    <row r="474" spans="28:28" x14ac:dyDescent="0.2">
      <c r="AB474" t="str">
        <f si="8" t="shared"/>
        <v/>
      </c>
    </row>
    <row r="475" spans="28:28" x14ac:dyDescent="0.2">
      <c r="AB475" t="str">
        <f si="8" t="shared"/>
        <v/>
      </c>
    </row>
    <row r="476" spans="28:28" x14ac:dyDescent="0.2">
      <c r="AB476" t="str">
        <f si="8" t="shared"/>
        <v/>
      </c>
    </row>
    <row r="477" spans="28:28" x14ac:dyDescent="0.2">
      <c r="AB477" t="str">
        <f si="8" t="shared"/>
        <v/>
      </c>
    </row>
    <row r="478" spans="28:28" x14ac:dyDescent="0.2">
      <c r="AB478" t="str">
        <f si="8" t="shared"/>
        <v/>
      </c>
    </row>
    <row r="479" spans="28:28" x14ac:dyDescent="0.2">
      <c r="AB479" t="str">
        <f si="8" t="shared"/>
        <v/>
      </c>
    </row>
    <row r="480" spans="28:28" x14ac:dyDescent="0.2">
      <c r="AB480" t="str">
        <f si="8" t="shared"/>
        <v/>
      </c>
    </row>
    <row r="481" spans="28:28" x14ac:dyDescent="0.2">
      <c r="AB481" t="str">
        <f si="8" t="shared"/>
        <v/>
      </c>
    </row>
    <row r="482" spans="28:28" x14ac:dyDescent="0.2">
      <c r="AB482" t="str">
        <f si="8" t="shared"/>
        <v/>
      </c>
    </row>
    <row r="483" spans="28:28" x14ac:dyDescent="0.2">
      <c r="AB483" t="str">
        <f si="8" t="shared"/>
        <v/>
      </c>
    </row>
    <row r="484" spans="28:28" x14ac:dyDescent="0.2">
      <c r="AB484" t="str">
        <f si="8" t="shared"/>
        <v/>
      </c>
    </row>
    <row r="485" spans="28:28" x14ac:dyDescent="0.2">
      <c r="AB485" t="str">
        <f si="8" t="shared"/>
        <v/>
      </c>
    </row>
    <row r="486" spans="28:28" x14ac:dyDescent="0.2">
      <c r="AB486" t="str">
        <f si="8" t="shared"/>
        <v/>
      </c>
    </row>
    <row r="487" spans="28:28" x14ac:dyDescent="0.2">
      <c r="AB487" t="str">
        <f si="8" t="shared"/>
        <v/>
      </c>
    </row>
    <row r="488" spans="28:28" x14ac:dyDescent="0.2">
      <c r="AB488" t="str">
        <f si="8" t="shared"/>
        <v/>
      </c>
    </row>
    <row r="489" spans="28:28" x14ac:dyDescent="0.2">
      <c r="AB489" t="str">
        <f si="8" t="shared"/>
        <v/>
      </c>
    </row>
    <row r="490" spans="28:28" x14ac:dyDescent="0.2">
      <c r="AB490" t="str">
        <f si="8" t="shared"/>
        <v/>
      </c>
    </row>
    <row r="491" spans="28:28" x14ac:dyDescent="0.2">
      <c r="AB491" t="str">
        <f si="8" t="shared"/>
        <v/>
      </c>
    </row>
    <row r="492" spans="28:28" x14ac:dyDescent="0.2">
      <c r="AB492" t="str">
        <f si="8" t="shared"/>
        <v/>
      </c>
    </row>
    <row r="493" spans="28:28" x14ac:dyDescent="0.2">
      <c r="AB493" t="str">
        <f si="8" t="shared"/>
        <v/>
      </c>
    </row>
    <row r="494" spans="28:28" x14ac:dyDescent="0.2">
      <c r="AB494" t="str">
        <f si="8" t="shared"/>
        <v/>
      </c>
    </row>
    <row r="495" spans="28:28" x14ac:dyDescent="0.2">
      <c r="AB495" t="str">
        <f si="8" t="shared"/>
        <v/>
      </c>
    </row>
    <row r="496" spans="28:28" x14ac:dyDescent="0.2">
      <c r="AB496" t="str">
        <f si="8" t="shared"/>
        <v/>
      </c>
    </row>
    <row r="497" spans="28:28" x14ac:dyDescent="0.2">
      <c r="AB497" t="str">
        <f si="8" t="shared"/>
        <v/>
      </c>
    </row>
    <row r="498" spans="28:28" x14ac:dyDescent="0.2">
      <c r="AB498" t="str">
        <f si="8" t="shared"/>
        <v/>
      </c>
    </row>
    <row r="499" spans="28:28" x14ac:dyDescent="0.2">
      <c r="AB499" t="str">
        <f si="8" t="shared"/>
        <v/>
      </c>
    </row>
    <row r="500" spans="28:28" x14ac:dyDescent="0.2">
      <c r="AB500" t="str">
        <f si="8" t="shared"/>
        <v/>
      </c>
    </row>
    <row r="501" spans="28:28" x14ac:dyDescent="0.2">
      <c r="AB501" t="str">
        <f si="8" t="shared"/>
        <v/>
      </c>
    </row>
    <row r="502" spans="28:28" x14ac:dyDescent="0.2">
      <c r="AB502" t="str">
        <f si="8" t="shared"/>
        <v/>
      </c>
    </row>
    <row r="503" spans="28:28" x14ac:dyDescent="0.2">
      <c r="AB503" t="str">
        <f si="8" t="shared"/>
        <v/>
      </c>
    </row>
    <row r="504" spans="28:28" x14ac:dyDescent="0.2">
      <c r="AB504" t="str">
        <f si="8" t="shared"/>
        <v/>
      </c>
    </row>
    <row r="505" spans="28:28" x14ac:dyDescent="0.2">
      <c r="AB505" t="str">
        <f si="8" t="shared"/>
        <v/>
      </c>
    </row>
    <row r="506" spans="28:28" x14ac:dyDescent="0.2">
      <c r="AB506" t="str">
        <f si="8" t="shared"/>
        <v/>
      </c>
    </row>
    <row r="507" spans="28:28" x14ac:dyDescent="0.2">
      <c r="AB507" t="str">
        <f si="8" t="shared"/>
        <v/>
      </c>
    </row>
    <row r="508" spans="28:28" x14ac:dyDescent="0.2">
      <c r="AB508" t="str">
        <f si="8" t="shared"/>
        <v/>
      </c>
    </row>
    <row r="509" spans="28:28" x14ac:dyDescent="0.2">
      <c r="AB509" t="str">
        <f si="8" t="shared"/>
        <v/>
      </c>
    </row>
    <row r="510" spans="28:28" x14ac:dyDescent="0.2">
      <c r="AB510" t="str">
        <f si="8" t="shared"/>
        <v/>
      </c>
    </row>
  </sheetData>
  <autoFilter ref="A1:L256" xr:uid="{00000000-0009-0000-0000-000008000000}"/>
  <phoneticPr fontId="0" type="noConversion"/>
  <pageMargins bottom="1" footer="0.5" header="0.5" left="0.75" right="0.75" top="1"/>
  <pageSetup horizontalDpi="4294967293" orientation="portrait" paperSize="9" r:id="rId1" verticalDpi="200"/>
  <headerFooter alignWithMargins="0"/>
  <drawing r:id="rId2"/>
  <legacyDrawing r:id="rId3"/>
  <mc:AlternateContent>
    <mc:Choice Requires="x14">
      <controls>
        <mc:AlternateContent>
          <mc:Choice Requires="x14">
            <control name="Button 1" r:id="rId4" shapeId="5121">
              <controlPr autoFill="0" autoPict="0" defaultSize="0" macro="[0]!SortAndRedefineTenancyData" print="0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1:C25"/>
  <sheetViews>
    <sheetView workbookViewId="0">
      <selection activeCell="C17" sqref="C17"/>
    </sheetView>
  </sheetViews>
  <sheetFormatPr defaultRowHeight="12.75" x14ac:dyDescent="0.2"/>
  <sheetData>
    <row r="1" spans="1:3" x14ac:dyDescent="0.2">
      <c r="C1" t="s">
        <v>34</v>
      </c>
    </row>
    <row r="2" spans="1:3" x14ac:dyDescent="0.2">
      <c r="A2" s="3">
        <v>28</v>
      </c>
      <c r="B2" s="3">
        <v>53</v>
      </c>
      <c r="C2" s="2" t="s">
        <v>239</v>
      </c>
    </row>
    <row r="3" spans="1:3" x14ac:dyDescent="0.2">
      <c r="A3" s="3">
        <v>28</v>
      </c>
      <c r="B3" s="3">
        <v>52</v>
      </c>
      <c r="C3" s="2" t="s">
        <v>240</v>
      </c>
    </row>
    <row r="4" spans="1:3" x14ac:dyDescent="0.2">
      <c r="A4" s="3">
        <v>28</v>
      </c>
      <c r="B4" s="3">
        <v>62</v>
      </c>
      <c r="C4" s="2" t="s">
        <v>196</v>
      </c>
    </row>
    <row r="5" spans="1:3" x14ac:dyDescent="0.2">
      <c r="A5" s="3">
        <v>28</v>
      </c>
      <c r="B5" s="3">
        <v>54</v>
      </c>
      <c r="C5" s="2" t="s">
        <v>241</v>
      </c>
    </row>
    <row r="6" spans="1:3" x14ac:dyDescent="0.2">
      <c r="A6" s="3">
        <v>28</v>
      </c>
      <c r="B6" s="3">
        <v>55</v>
      </c>
      <c r="C6" s="2" t="s">
        <v>242</v>
      </c>
    </row>
    <row r="7" spans="1:3" x14ac:dyDescent="0.2">
      <c r="A7" s="3">
        <v>30</v>
      </c>
      <c r="B7" s="3">
        <v>75</v>
      </c>
      <c r="C7" s="2" t="s">
        <v>243</v>
      </c>
    </row>
    <row r="8" spans="1:3" x14ac:dyDescent="0.2">
      <c r="A8" s="3">
        <v>30</v>
      </c>
      <c r="B8" s="3">
        <v>86</v>
      </c>
      <c r="C8" s="2" t="s">
        <v>244</v>
      </c>
    </row>
    <row r="9" spans="1:3" x14ac:dyDescent="0.2">
      <c r="A9" s="3">
        <v>30</v>
      </c>
      <c r="B9" s="3">
        <v>87</v>
      </c>
      <c r="C9" s="2" t="s">
        <v>245</v>
      </c>
    </row>
    <row r="10" spans="1:3" x14ac:dyDescent="0.2">
      <c r="A10" s="3">
        <v>30</v>
      </c>
      <c r="B10" s="3">
        <v>58</v>
      </c>
      <c r="C10" s="2" t="s">
        <v>246</v>
      </c>
    </row>
    <row r="11" spans="1:3" x14ac:dyDescent="0.2">
      <c r="A11" s="3">
        <v>3</v>
      </c>
      <c r="B11" s="3">
        <v>8</v>
      </c>
      <c r="C11" s="2" t="s">
        <v>76</v>
      </c>
    </row>
    <row r="12" spans="1:3" x14ac:dyDescent="0.2">
      <c r="A12" s="3">
        <v>3</v>
      </c>
      <c r="B12" s="3">
        <v>9</v>
      </c>
      <c r="C12" s="2" t="s">
        <v>77</v>
      </c>
    </row>
    <row r="13" spans="1:3" x14ac:dyDescent="0.2">
      <c r="A13" s="3">
        <v>3</v>
      </c>
      <c r="B13" s="3">
        <v>63</v>
      </c>
      <c r="C13" s="2" t="s">
        <v>78</v>
      </c>
    </row>
    <row r="14" spans="1:3" x14ac:dyDescent="0.2">
      <c r="A14" s="3">
        <v>3</v>
      </c>
      <c r="B14" s="3">
        <v>7</v>
      </c>
      <c r="C14" s="2" t="s">
        <v>79</v>
      </c>
    </row>
    <row r="15" spans="1:3" x14ac:dyDescent="0.2">
      <c r="A15" s="3">
        <v>3</v>
      </c>
      <c r="B15" s="3">
        <v>12</v>
      </c>
      <c r="C15" s="2" t="s">
        <v>80</v>
      </c>
    </row>
    <row r="16" spans="1:3" x14ac:dyDescent="0.2">
      <c r="A16" s="3">
        <v>3</v>
      </c>
      <c r="B16" s="3">
        <v>71</v>
      </c>
      <c r="C16" s="2" t="s">
        <v>81</v>
      </c>
    </row>
    <row r="17" spans="1:3" x14ac:dyDescent="0.2">
      <c r="A17" s="3">
        <v>3</v>
      </c>
      <c r="B17" s="3">
        <v>11</v>
      </c>
      <c r="C17" s="2" t="s">
        <v>82</v>
      </c>
    </row>
    <row r="18" spans="1:3" x14ac:dyDescent="0.2">
      <c r="A18" s="3">
        <v>4</v>
      </c>
      <c r="B18" s="3">
        <v>15</v>
      </c>
      <c r="C18" s="2" t="s">
        <v>247</v>
      </c>
    </row>
    <row r="19" spans="1:3" x14ac:dyDescent="0.2">
      <c r="A19" s="3">
        <v>4</v>
      </c>
      <c r="B19" s="3">
        <v>14</v>
      </c>
      <c r="C19" s="2" t="s">
        <v>248</v>
      </c>
    </row>
    <row r="20" spans="1:3" x14ac:dyDescent="0.2">
      <c r="A20" s="3">
        <v>4</v>
      </c>
      <c r="B20" s="3">
        <v>13</v>
      </c>
      <c r="C20" s="2" t="s">
        <v>249</v>
      </c>
    </row>
    <row r="21" spans="1:3" x14ac:dyDescent="0.2">
      <c r="A21" s="3">
        <v>31</v>
      </c>
      <c r="B21" s="3">
        <v>59</v>
      </c>
      <c r="C21" s="2" t="s">
        <v>83</v>
      </c>
    </row>
    <row r="22" spans="1:3" x14ac:dyDescent="0.2">
      <c r="A22" s="3">
        <v>31</v>
      </c>
      <c r="B22" s="3">
        <v>61</v>
      </c>
      <c r="C22" s="2" t="s">
        <v>84</v>
      </c>
    </row>
    <row r="23" spans="1:3" x14ac:dyDescent="0.2">
      <c r="A23" s="3">
        <v>31</v>
      </c>
      <c r="B23" s="3">
        <v>60</v>
      </c>
      <c r="C23" s="2" t="s">
        <v>85</v>
      </c>
    </row>
    <row r="24" spans="1:3" x14ac:dyDescent="0.2">
      <c r="A24" s="3">
        <v>34</v>
      </c>
      <c r="B24" s="3">
        <v>72</v>
      </c>
      <c r="C24" s="2" t="s">
        <v>376</v>
      </c>
    </row>
    <row r="25" spans="1:3" x14ac:dyDescent="0.2">
      <c r="A25" s="3">
        <v>34</v>
      </c>
      <c r="B25" s="3">
        <v>88</v>
      </c>
      <c r="C25" s="2" t="s">
        <v>377</v>
      </c>
    </row>
  </sheetData>
  <phoneticPr fontId="0" type="noConversion"/>
  <pageMargins bottom="1" footer="0.5" header="0.5" left="0.75" right="0.75" top="1"/>
  <headerFooter alignWithMargins="0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2:A7"/>
  <sheetViews>
    <sheetView workbookViewId="0">
      <selection activeCell="H35" sqref="H35"/>
    </sheetView>
  </sheetViews>
  <sheetFormatPr defaultRowHeight="12.75" x14ac:dyDescent="0.2"/>
  <sheetData>
    <row r="2" spans="1:1" x14ac:dyDescent="0.2">
      <c r="A2" t="s">
        <v>6</v>
      </c>
    </row>
    <row r="3" spans="1:1" x14ac:dyDescent="0.2">
      <c r="A3" t="s">
        <v>258</v>
      </c>
    </row>
    <row r="4" spans="1:1" x14ac:dyDescent="0.2">
      <c r="A4" t="s">
        <v>203</v>
      </c>
    </row>
    <row r="5" spans="1:1" x14ac:dyDescent="0.2">
      <c r="A5" t="s">
        <v>259</v>
      </c>
    </row>
    <row r="6" spans="1:1" x14ac:dyDescent="0.2">
      <c r="A6" t="s">
        <v>206</v>
      </c>
    </row>
    <row r="7" spans="1:1" x14ac:dyDescent="0.2">
      <c r="A7" t="s">
        <v>202</v>
      </c>
    </row>
  </sheetData>
  <phoneticPr fontId="16" type="noConversion"/>
  <pageMargins bottom="1" footer="0.5" header="0.5" left="0.75" right="0.75" top="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11</vt:i4>
      </vt:variant>
      <vt:variant>
        <vt:lpstr>Named Ranges</vt:lpstr>
      </vt:variant>
      <vt:variant>
        <vt:i4>29</vt:i4>
      </vt:variant>
    </vt:vector>
  </HeadingPairs>
  <TitlesOfParts>
    <vt:vector baseType="lpstr" size="40">
      <vt:lpstr>Rent Statement</vt:lpstr>
      <vt:lpstr>Statistics</vt:lpstr>
      <vt:lpstr>Import</vt:lpstr>
      <vt:lpstr>MT</vt:lpstr>
      <vt:lpstr>IV</vt:lpstr>
      <vt:lpstr>IV (4040)</vt:lpstr>
      <vt:lpstr>Managed Properties</vt:lpstr>
      <vt:lpstr>Beals</vt:lpstr>
      <vt:lpstr>Tenancies</vt:lpstr>
      <vt:lpstr>Expense Categories</vt:lpstr>
      <vt:lpstr>Rent Status</vt:lpstr>
      <vt:lpstr>Cleaning</vt:lpstr>
      <vt:lpstr>ExpenseCategoryList</vt:lpstr>
      <vt:lpstr>IV_Amount</vt:lpstr>
      <vt:lpstr>IV_Amount_4040</vt:lpstr>
      <vt:lpstr>IV_BankRef</vt:lpstr>
      <vt:lpstr>IV_BankRef_4040</vt:lpstr>
      <vt:lpstr>MT_Amount</vt:lpstr>
      <vt:lpstr>MT_BankRef</vt:lpstr>
      <vt:lpstr>MT_Desc</vt:lpstr>
      <vt:lpstr>MT_Include</vt:lpstr>
      <vt:lpstr>ProfitLossList</vt:lpstr>
      <vt:lpstr>PropertyList</vt:lpstr>
      <vt:lpstr>PropertyListStart</vt:lpstr>
      <vt:lpstr>PropertyStatusList</vt:lpstr>
      <vt:lpstr>rsBillPaymentList</vt:lpstr>
      <vt:lpstr>rsCommentList</vt:lpstr>
      <vt:lpstr>rsFeePaymentList</vt:lpstr>
      <vt:lpstr>rsFeeVatPaymentList</vt:lpstr>
      <vt:lpstr>rsMortgagePaymentList</vt:lpstr>
      <vt:lpstr>rsNetPaymentList</vt:lpstr>
      <vt:lpstr>rsProfitLossList</vt:lpstr>
      <vt:lpstr>rsPropertyList</vt:lpstr>
      <vt:lpstr>rsReconciledPaymentList</vt:lpstr>
      <vt:lpstr>rsRentStatusList</vt:lpstr>
      <vt:lpstr>TenancyDisplayList</vt:lpstr>
      <vt:lpstr>TenancyList</vt:lpstr>
      <vt:lpstr>TenancyPropertyList</vt:lpstr>
      <vt:lpstr>TenancyPropertyListStart</vt:lpstr>
      <vt:lpstr>Total_Rent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2007-01-07T18:12:56Z</dcterms:created>
  <dc:creator>Mat</dc:creator>
  <cp:lastModifiedBy>MSTDTP21</cp:lastModifiedBy>
  <cp:lastPrinted>2018-10-20T08:45:10Z</cp:lastPrinted>
  <dcterms:modified xsi:type="dcterms:W3CDTF">2020-04-05T09:42:04Z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_AdHocReviewCycleID" pid="2">
    <vt:i4>-12652153</vt:i4>
  </property>
  <property fmtid="{D5CDD505-2E9C-101B-9397-08002B2CF9AE}" name="_EmailSubject" pid="3">
    <vt:lpwstr>April statement</vt:lpwstr>
  </property>
  <property fmtid="{D5CDD505-2E9C-101B-9397-08002B2CF9AE}" name="_AuthorEmail" pid="4">
    <vt:lpwstr>Mathew.Tucker@t-mobile.co.uk</vt:lpwstr>
  </property>
  <property fmtid="{D5CDD505-2E9C-101B-9397-08002B2CF9AE}" name="_AuthorEmailDisplayName" pid="5">
    <vt:lpwstr>Mathew Tucker (External)</vt:lpwstr>
  </property>
  <property fmtid="{D5CDD505-2E9C-101B-9397-08002B2CF9AE}" name="_PreviousAdHocReviewCycleID" pid="6">
    <vt:i4>682748960</vt:i4>
  </property>
  <property fmtid="{D5CDD505-2E9C-101B-9397-08002B2CF9AE}" name="_ReviewingToolsShownOnce" pid="7">
    <vt:lpwstr/>
  </property>
</Properties>
</file>