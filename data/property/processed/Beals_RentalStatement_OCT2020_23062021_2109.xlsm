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E1540E9C-22C8-4135-B69A-2EE14F919857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Beals!$A$1:$L$1</definedName>
    <definedName name="_xlnm._FilterDatabase" localSheetId="4" hidden="1">IV!$A$1:$I$90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IV!$D$2:$D$380</definedName>
    <definedName name="IV_Amount_4040">'IV (4040)'!$D$2:$D$490</definedName>
    <definedName name="IV_BankRef">IV!$F$2:$F$380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E39" i="31690"/>
  <c r="C21" i="31690"/>
  <c r="B29" i="31690"/>
  <c r="C18" i="31690"/>
  <c r="C30" i="31690"/>
  <c r="C34" i="31690"/>
  <c r="C24" i="31690"/>
  <c r="C17" i="31690"/>
  <c r="B18" i="31690"/>
  <c r="B26" i="31690"/>
  <c r="C22" i="31690"/>
  <c r="B17" i="31690"/>
  <c r="C29" i="31690"/>
  <c r="B31" i="31690"/>
  <c r="B21" i="31690"/>
  <c r="B22" i="31690"/>
  <c r="C25" i="31690"/>
  <c r="B30" i="31690"/>
  <c r="C31" i="31690"/>
  <c r="C32" i="31690"/>
  <c r="C33" i="31690"/>
  <c r="B25" i="31690"/>
  <c r="B34" i="31690"/>
  <c r="B24" i="31690"/>
  <c r="B32" i="31690"/>
  <c r="C26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<sst xmlns="http://schemas.openxmlformats.org/spreadsheetml/2006/main" count="4454" uniqueCount="1118">
  <si>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</si>
  <si>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</si>
  <si>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</si>
  <si>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</si>
  <si>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</si>
  <si>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</si>
  <si>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</si>
  <si>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</si>
  <si>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</si>
  <si>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</si>
  <si>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</si>
  <si>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</si>
  <si>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</si>
  <si>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</si>
  <si>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</si>
  <si>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</si>
  <si>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</si>
  <si>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</si>
  <si>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</si>
  <si>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</si>
  <si>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</si>
  <si>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</si>
  <si>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</si>
  <si>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</si>
  <si>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</si>
  <si>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</si>
  <si>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</si>
  <si>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</si>
  <si>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</si>
  <si>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</si>
  <si>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</si>
  <si>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</si>
  <si>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</si>
  <si>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</si>
  <si>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</si>
  <si>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</si>
  <si>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</si>
  <si>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</si>
  <si>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</si>
  <si>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</si>
  <si>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</si>
  <si>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</si>
  <si>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</si>
  <si>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</si>
  <si>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</si>
  <si>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</si>
  <si>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</si>
  <si>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</si>
  <si>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</si>
  <si>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</si>
  <si>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</si>
  <si>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</si>
  <si>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</si>
  <si>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</si>
  <si>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</si>
  <si>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</si>
  <si>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</si>
  <si>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</si>
  <si>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</si>
  <si>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</si>
  <si>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</si>
  <si>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</si>
  <si>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</si>
  <si>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</si>
  <si>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</si>
  <si>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</si>
  <si>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</si>
  <si>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</si>
  <si>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</si>
  <si>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</si>
  <si>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</si>
  <si>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</si>
  <si>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</si>
  <si>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</si>
  <si>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</si>
  <si>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</si>
  <si>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</si>
  <si>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</si>
  <si>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</si>
  <si>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</si>
  <si>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</si>
  <si>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</si>
  <si>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</si>
  <si>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</si>
  <si>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</si>
  <si>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</si>
  <si>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</si>
  <si>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</si>
  <si>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</si>
  <si>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</si>
  <si>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</si>
  <si>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</si>
  <si>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</si>
  <si>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</si>
  <si>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</si>
  <si>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</si>
  <si>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</si>
  <si>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</si>
  <si>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</si>
  <si>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</si>
  <si>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</si>
  <si>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</si>
  <si>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</si>
  <si>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</si>
  <si>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</si>
  <si>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</si>
  <si>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</si>
  <si>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</si>
  <si>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</si>
  <si>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</si>
  <si>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</si>
  <si>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</si>
  <si>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</si>
  <si>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</si>
  <si>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</si>
  <si>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</si>
  <si>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</si>
  <si>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</si>
  <si>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</si>
  <si>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</si>
  <si>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</si>
  <si>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</si>
  <si>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</si>
  <si>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</si>
  <si>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</si>
  <si>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</si>
  <si>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</si>
  <si>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</si>
  <si>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</si>
  <si>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</si>
  <si>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</si>
  <si>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</si>
  <si>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</si>
  <si>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</si>
  <si>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</si>
  <si>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</si>
  <si>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</si>
  <si>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</si>
  <si>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</si>
  <si>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</si>
  <si>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</si>
  <si>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</si>
  <si>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</si>
  <si>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</si>
  <si>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</si>
  <si>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</si>
  <si>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</si>
  <si>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</si>
  <si>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</si>
  <si>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</si>
  <si>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</si>
  <si>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</si>
  <si>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</si>
  <si>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</si>
  <si>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</si>
  <si>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</si>
  <si>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</si>
  <si>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</si>
  <si>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</si>
  <si>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</si>
  <si>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</si>
  <si>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</si>
  <si>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</si>
  <si>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</si>
  <si>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</si>
  <si>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</si>
  <si>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</si>
  <si>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</si>
  <si>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</si>
  <si>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</si>
  <si>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</si>
  <si>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</si>
  <si>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</si>
  <si>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</si>
  <si>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</si>
  <si>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</si>
  <si>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</si>
  <si>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</si>
  <si>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</si>
  <si>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</si>
  <si>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</si>
  <si>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</si>
  <si>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</si>
  <si>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</si>
  <si>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</si>
  <si>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</si>
  <si>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</si>
  <si>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</si>
  <si>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</si>
  <si>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</si>
  <si>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</si>
  <si>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</si>
  <si>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</si>
  <si>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</si>
  <si>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</si>
  <si>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</si>
  <si>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</si>
  <si>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</si>
  <si>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</si>
  <si>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</si>
  <si>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</si>
  <si>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</si>
  <si>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</si>
  <si>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</si>
  <si>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</si>
  <si>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</si>
  <si>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</si>
  <si>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</si>
  <si>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</si>
  <si>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</si>
  <si>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</si>
  <si>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</si>
  <si>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</si>
  <si>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</si>
  <si>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</si>
  <si>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</si>
  <si>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</si>
  <si>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</si>
  <si>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</si>
  <si>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</si>
  <si>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</si>
  <si>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</si>
  <si>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</si>
  <si>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</si>
  <si>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</si>
  <si>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</si>
  <si>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</si>
  <si>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</si>
  <si>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</si>
  <si>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</si>
  <si>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</si>
  <si>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</si>
  <si>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</si>
  <si>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</si>
  <si>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</si>
  <si>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</si>
  <si>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</si>
  <si>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</si>
  <si>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</si>
  <si>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</si>
  <si>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</si>
  <si>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</si>
  <si>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</si>
  <si>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</si>
  <si>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</si>
  <si>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</si>
  <si>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</si>
  <si>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</si>
  <si>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</si>
  <si>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</si>
  <si>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</si>
  <si>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</si>
  <si>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</si>
  <si>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</si>
  <si>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</si>
  <si>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</si>
  <si>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</si>
  <si>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</si>
  <si>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</si>
  <si>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</si>
  <si>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</si>
  <si>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</si>
  <si>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</si>
  <si>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</si>
  <si>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</si>
  <si>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</si>
  <si>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</si>
  <si>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</si>
  <si>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</si>
  <si>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</si>
  <si>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</si>
  <si>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</si>
  <si>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</si>
  <si>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</si>
  <si>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</si>
  <si>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</si>
  <si>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</si>
  <si>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</si>
  <si>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</si>
  <si>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</si>
  <si>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</si>
  <si>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</si>
  <si>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</si>
  <si>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</si>
  <si>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</si>
  <si>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</si>
  <si>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</si>
  <si>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</si>
  <si>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</si>
  <si>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</si>
  <si>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</si>
  <si>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</si>
  <si>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</si>
  <si>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</si>
  <si>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</si>
  <si>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</si>
  <si>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</si>
  <si>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</si>
  <si>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</si>
  <si>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</si>
  <si>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</si>
  <si>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</si>
  <si>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</si>
  <si>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</si>
  <si>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</si>
  <si>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</si>
  <si>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</si>
  <si>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</si>
  <si>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</si>
  <si>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</si>
  <si>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</si>
  <si>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</si>
  <si>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</si>
  <si>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</si>
  <si>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</si>
  <si>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</si>
  <si>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</si>
  <si>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</si>
  <si>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</si>
  <si>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</si>
  <si>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</si>
  <si>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</si>
  <si>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</si>
  <si>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</si>
  <si>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</si>
  <si>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</si>
  <si>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</si>
  <si>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</si>
  <si>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</si>
  <si>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</si>
  <si>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</si>
  <si>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</si>
  <si>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</si>
  <si>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</si>
  <si>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</si>
  <si>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</si>
  <si>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</si>
  <si>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</si>
  <si>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</si>
  <si>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</si>
  <si>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</si>
  <si>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</si>
  <si>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</si>
  <si>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</si>
  <si>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</si>
  <si>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</si>
  <si>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</si>
  <si>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</si>
  <si>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</si>
  <si>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</si>
  <si>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</si>
  <si>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</si>
  <si>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</si>
  <si>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</si>
  <si>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</si>
  <si>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</si>
  <si>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</si>
  <si>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</si>
  <si>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</si>
  <si>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</si>
  <si>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</si>
  <si>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</si>
  <si>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</si>
  <si>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</si>
  <si>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</si>
  <si>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</si>
  <si>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</si>
  <si>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</si>
  <si>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</si>
  <si>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</si>
  <si>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</si>
  <si>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</si>
  <si>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</si>
  <si>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</si>
  <si>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</si>
  <si>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</si>
  <si>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</si>
  <si>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</si>
  <si>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</si>
  <si>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</si>
  <si>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</si>
  <si>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</si>
  <si>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</si>
  <si>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</si>
  <si>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</si>
  <si>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</si>
  <si>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</si>
  <si>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</si>
  <si>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</si>
  <si>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</si>
  <si>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</si>
  <si>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</si>
  <si>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</si>
  <si>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</si>
  <si>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</si>
  <si>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</si>
  <si>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</si>
  <si>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</si>
  <si>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</si>
  <si>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</si>
  <si>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</si>
  <si>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</si>
  <si>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</si>
  <si>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</si>
  <si>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</si>
  <si>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</si>
  <si>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</si>
  <si>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</si>
  <si>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</si>
  <si>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</si>
  <si>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</si>
  <si>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</si>
  <si>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</si>
  <si>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</si>
  <si>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</si>
  <si>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</si>
  <si>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</si>
  <si>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</si>
  <si>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</si>
  <si>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</si>
  <si>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</si>
  <si>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</si>
  <si>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</si>
  <si>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</si>
  <si>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</si>
  <si>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</si>
  <si>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</si>
  <si>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</si>
  <si>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</si>
  <si>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</si>
  <si>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</si>
  <si>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</si>
  <si>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</si>
  <si>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</si>
  <si>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</si>
  <si>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</si>
  <si>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</si>
  <si>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</si>
  <si>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</si>
  <si>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</si>
  <si>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</si>
  <si>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</si>
  <si>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</si>
  <si>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</si>
  <si>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</si>
  <si>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</si>
  <si>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</si>
  <si>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</si>
  <si>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</si>
  <si>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</si>
  <si>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</si>
  <si>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</si>
  <si>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</si>
  <si>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</si>
  <si>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</si>
  <si>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</si>
  <si>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</si>
  <si>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</si>
  <si>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</si>
  <si>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</si>
  <si>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</si>
  <si>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</si>
  <si>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</si>
  <si>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</si>
  <si>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</si>
  <si>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</si>
  <si>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</si>
  <si>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</si>
  <si>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</si>
  <si>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</si>
  <si>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</si>
  <si>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</si>
  <si>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</si>
  <si>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</si>
  <si>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</si>
  <si>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</si>
  <si>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</si>
  <si>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</si>
  <si>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</si>
  <si>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</si>
  <si>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</si>
  <si>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</si>
  <si>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</si>
  <si>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</si>
  <si>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</si>
  <si>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</si>
  <si>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</si>
  <si>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</si>
  <si>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</si>
  <si>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</si>
  <si>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</si>
  <si>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</si>
  <si>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</si>
  <si>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</si>
  <si>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</si>
  <si>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</si>
  <si>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</si>
  <si>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</si>
  <si>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</si>
  <si>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</si>
  <si>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</si>
  <si>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</si>
  <si>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</si>
  <si>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</si>
  <si>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</si>
  <si>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</si>
  <si>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</si>
  <si>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</si>
  <si>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</si>
  <si>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</si>
  <si>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</si>
  <si>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</si>
  <si>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</si>
  <si>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</si>
  <si>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</si>
  <si>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</si>
  <si>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</si>
  <si>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</si>
  <si>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</si>
  <si>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</si>
  <si>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</si>
  <si>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</si>
  <si>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</si>
  <si>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</si>
  <si>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</si>
  <si>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</si>
  <si>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</si>
  <si>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</si>
  <si>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</si>
  <si>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</si>
  <si>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</si>
  <si>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</si>
  <si>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</si>
  <si>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</si>
  <si>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</si>
  <si>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</si>
  <si>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</si>
  <si>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</si>
  <si>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</si>
  <si>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</si>
  <si>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</si>
  <si>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</si>
  <si>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</si>
  <si>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</si>
  <si>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</si>
  <si>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</si>
  <si>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</si>
  <si>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</si>
  <si>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</si>
  <si>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</si>
  <si>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</si>
  <si>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</si>
  <si>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</si>
  <si>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</si>
  <si>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</si>
  <si>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</si>
  <si>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</si>
  <si>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</si>
  <si>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</si>
  <si>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</si>
  <si>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</si>
  <si>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</si>
  <si>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</si>
  <si>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</si>
  <si>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</si>
  <si>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</si>
  <si>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</si>
  <si>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</si>
  <si>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</si>
  <si>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</si>
  <si>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</si>
  <si>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</si>
  <si>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</si>
  <si>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</si>
  <si>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</si>
  <si>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Not paid in April 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</si>
  <si>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</si>
  <si>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</si>
  <si>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</si>
  <si>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</si>
  <si>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</si>
  <si>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</si>
  <si>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</si>
  <si>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</si>
  <si>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</si>
  <si>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</si>
  <si>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</si>
  <si>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</si>
  <si>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</si>
  <si>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</si>
  <si>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</si>
  <si>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</si>
  <si>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</si>
  <si>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</si>
  <si>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</si>
  <si>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</si>
  <si>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</si>
  <si>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</si>
  <si>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</si>
  <si>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</si>
  <si>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</si>
  <si>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</si>
  <si>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</si>
  <si>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</si>
  <si>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</si>
  <si>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</si>
  <si>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</si>
  <si>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</si>
  <si>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</si>
  <si>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</si>
  <si>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</si>
  <si>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</si>
  <si>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</si>
  <si>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</si>
  <si>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</si>
  <si>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</si>
  <si>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</si>
  <si>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</si>
  <si>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</si>
  <si>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</si>
  <si>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</si>
  <si>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</si>
  <si>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</si>
  <si>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</si>
  <si>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</si>
  <si>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</si>
  <si>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</si>
  <si>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</si>
  <si>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</si>
  <si>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</si>
  <si>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</si>
  <si>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</si>
  <si>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</si>
  <si>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</si>
  <si>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</si>
  <si>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</si>
  <si>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</si>
  <si>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</si>
  <si>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</si>
  <si>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</si>
  <si>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</si>
  <si>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</si>
  <si>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EE LIMITED            Q13077400159339342 DDR</t>
  </si>
  <si>
    <t>CHL HOME LOAN         CHL00002/907372200 DDR</t>
  </si>
  <si>
    <t>CHL HOME LOAN         CHL00002/907371904 DDR</t>
  </si>
  <si>
    <t>PIC RE ARGOS PET      PETAG934657920001  DDR</t>
  </si>
  <si>
    <t>PCC COLLECTION ACC    104889166          DDR</t>
  </si>
  <si>
    <t>PCC COLLECTION ACC    104884490          DDR</t>
  </si>
  <si>
    <t>PCC COLLECTION ACC    104768994          DDR</t>
  </si>
  <si>
    <t>PCC COLLECTION ACC    104808162          DDR</t>
  </si>
  <si>
    <t>PCC COLLECTION ACC    104820717          DDR</t>
  </si>
  <si>
    <t>PLATFORM FUNDING      01050230313307     DDR</t>
  </si>
  <si>
    <t>PLATFORM FUNDING      01050229961082     DDR</t>
  </si>
  <si>
    <t>DIRECTDEP</t>
  </si>
  <si>
    <t>BEALS ESTATE AGENT    FLAT 1316-18 ALHAM BGC</t>
  </si>
  <si>
    <t>PAYMENT</t>
  </si>
  <si>
    <t>BOOTS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</si>
  <si>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</si>
  <si>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</si>
  <si>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</si>
  <si>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</si>
  <si>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</si>
  <si>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</si>
  <si>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</si>
  <si>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</si>
  <si>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</si>
  <si>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</si>
  <si>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</si>
  <si>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KWIK FIT              ON 05 OCT          BCC</t>
  </si>
  <si>
    <t>CREATION.CO.UK        X1011563/A008360   DDR</t>
  </si>
  <si>
    <t>BEALS ESTATE AGENT    FLAT 2171 FAWCETT  BGC</t>
  </si>
  <si>
    <t>BEALS ESTATE AGENT    196A KINGSTON ROAD BGC</t>
  </si>
  <si>
    <t>BEALS ESTATE AGENT    FLAT 412-14 ALHAMB BGC</t>
  </si>
  <si>
    <t>BEALS ESTATE AGENT    FLAT 1412-14 ALHAM BGC</t>
  </si>
  <si>
    <t>BHAM MIDSHIRES        020010556389/35299 DDR</t>
  </si>
  <si>
    <t>CASH</t>
  </si>
  <si>
    <t xml:space="preserve">CARDTRONICS UK LTD    THE COOPERATIVE FO    </t>
  </si>
  <si>
    <t>STO</t>
  </si>
  <si>
    <t>K PARSON              RENT               STO</t>
  </si>
  <si>
    <t>BEALS ESTATE AGENT    FLAT 68 ALHAMBRA R BGC</t>
  </si>
  <si>
    <t>BHAM MIDSHIRES        020000389757/37175 DDR</t>
  </si>
  <si>
    <t>BHAM MIDSHIRES        020009309942/35735 DDR</t>
  </si>
  <si>
    <t>FT</t>
  </si>
  <si>
    <t xml:space="preserve">207409 40406538       TRF                FT </t>
  </si>
  <si>
    <t>LOCKFORCE PORTSMOU    6423241            BBP</t>
  </si>
  <si>
    <t>Spotify UK            ON 13 OCT          BCC</t>
  </si>
  <si>
    <t xml:space="preserve">INGOLDSBY K A         FLAT 19 ALHAMBRA   FT </t>
  </si>
  <si>
    <t>A BECK PLUMBING       8177 1 171  PUMP   BBP</t>
  </si>
  <si>
    <t>NOWTV.COM/BILLINGH    ON 14 OCT          BCC</t>
  </si>
  <si>
    <t xml:space="preserve">HAJEK V               169 FAWCET RD.     FT </t>
  </si>
  <si>
    <t>BEALS ESTATE AGENT    FLAT 616-18 ALHAMB BGC</t>
  </si>
  <si>
    <t>BEALS ESTATE AGENT    FLAT 1116-18 ALHAM BGC</t>
  </si>
  <si>
    <t>BEALS ESTATE AGENT    SHOP196 KINGSTON R BGC</t>
  </si>
  <si>
    <t xml:space="preserve">TIDBURY M             RENT               FT </t>
  </si>
  <si>
    <t>PLATFORM FUNDING      01050228979115     DDR</t>
  </si>
  <si>
    <t>PLATFORM FUNDING      01050228957650     DDR</t>
  </si>
  <si>
    <t>PCC COLLECTION ACC    104776257          DDR</t>
  </si>
  <si>
    <t>PCC COLLECTION ACC    104785310          DDR</t>
  </si>
  <si>
    <t>LAND ROVER FS         579452160          DDR</t>
  </si>
  <si>
    <t>FLAT 5 8 ALHAMBRA     SEQUENCE LPOOL A   BGC</t>
  </si>
  <si>
    <t>SSE SOUTHERN ELECT    6882766014         STO</t>
  </si>
  <si>
    <t>BHAM MIDSHIRES        020010557032/41445 DDR</t>
  </si>
  <si>
    <t>BHAM MIDSHIRES        020004110676/41435 DDR</t>
  </si>
  <si>
    <t>BHAM MIDSHIRES        020003649652/41838 DDR</t>
  </si>
  <si>
    <t>LA AUTO SERVICES      ON 16 OCT          BCC</t>
  </si>
  <si>
    <t>M L TIDBURY           4 163 FRAT TAPS BQ BBP</t>
  </si>
  <si>
    <t>M L TIDBURY           4 321 STOPCOCK     BBP</t>
  </si>
  <si>
    <t>CIPRIAN GEORGESCU     F2 321 LONDON ROAD BGC</t>
  </si>
  <si>
    <t>THE HARPUR TRUST      GVALS1             BBP</t>
  </si>
  <si>
    <t xml:space="preserve">205397 30728691       SCHOOL FEES        FT </t>
  </si>
  <si>
    <t>A BECK PLUMBING       8241 19 4-6 BOILER BBP</t>
  </si>
  <si>
    <t>BEALS ESTATE AGENT    FLAT 3163 FRATTON  BGC</t>
  </si>
  <si>
    <t>BEALS ESTATE AGENT    FLAT 712-14 ALHAMB BGC</t>
  </si>
  <si>
    <t>BEALS ESTATE AGENT    FLAT 1169 FAWCETT  BGC</t>
  </si>
  <si>
    <t>BEALS ESTATE AGENT    FLAT 1012-14 ALHAM BGC</t>
  </si>
  <si>
    <t>BHAM MIDSHIRES        020007882432/46801 DDR</t>
  </si>
  <si>
    <t>PAYPAL                PPWDL5CM222223RCHN BGC</t>
  </si>
  <si>
    <t xml:space="preserve">200574 63796884       ERROR TRF          FT </t>
  </si>
  <si>
    <t xml:space="preserve">200574 63796884       TRF                FT </t>
  </si>
  <si>
    <t>CURRYS ONLINE         ON 22 OCT          BCC</t>
  </si>
  <si>
    <t>WAITROSE              ON 25 OCT          BCC</t>
  </si>
  <si>
    <t>G&amp;F VALENTINO         MTUCKER            STO</t>
  </si>
  <si>
    <t>WWW.JOHNLEWIS.COM     ON 23 OCT          BCC</t>
  </si>
  <si>
    <t>JEWSONS               ON 23 OCT          BCC</t>
  </si>
  <si>
    <t>A BECK PLUMBING       8284 5 8 PUMP      BBP</t>
  </si>
  <si>
    <t>BCC</t>
  </si>
  <si>
    <t>JEWSONS               ON 26 OCT          BCC</t>
  </si>
  <si>
    <t>POST OFFICE COUNTE    ON 26 OCT          CLP</t>
  </si>
  <si>
    <t>DMZ CLEANING          3211 1 171 WINDOW  BBP</t>
  </si>
  <si>
    <t>DMZ CLEANING          3210 1 171 SHWR    BBP</t>
  </si>
  <si>
    <t>DMZ CLEANING          3207 5 8 OVEN      BBP</t>
  </si>
  <si>
    <t>MISS BIANCA-CRISTI    FL1 16-18 ALHAMBRA STO</t>
  </si>
  <si>
    <t>PAYPAL PAYMENT        5CM22229DF5GW      DDR</t>
  </si>
  <si>
    <t>Jake Lindemere        Sent from Monzo    BGC</t>
  </si>
  <si>
    <t>BEALS ESTATE AGENT    FLAT 1321 LONDON R BGC</t>
  </si>
  <si>
    <t>BEALS ESTATE AGENT    FLAT 4321 LONDON R BGC</t>
  </si>
  <si>
    <t>BEALS ESTATE AGENT    FLAT 1171 FAWCETT  BGC</t>
  </si>
  <si>
    <t>BEALS ESTATE AGENT    FLAT 3169 FAWCETT  BGC</t>
  </si>
  <si>
    <t>BHAM MIDSHIRES        020002731371/28015 DDR</t>
  </si>
  <si>
    <t>MORTGAGE TRUST        002186357 10112620 DDR</t>
  </si>
  <si>
    <t>MORTGAGE TRUST        002186356 10112620 DDR</t>
  </si>
  <si>
    <t>MORTGAGE TRUST        002186317 10112620 DDR</t>
  </si>
  <si>
    <t>MORTGAGE TRUST        002197389 10112620 DDR</t>
  </si>
  <si>
    <t>20-53-97 30728691</t>
  </si>
  <si>
    <t>A BECK  PLUMBING      8061 3 1618 VALVE  BBP</t>
  </si>
  <si>
    <t>A BECK  PLUMBING      8047 196B GS CO2   BBP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</si>
  <si>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</si>
  <si>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</si>
  <si>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</si>
  <si>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</si>
  <si>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</si>
  <si>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THE HARPUR TRUST D    TUCKM8  BVALR8     DDR</t>
  </si>
  <si>
    <t>TOPAZ RE SIBERITE     SIB00001/480016104 DDR</t>
  </si>
  <si>
    <t>NRAM                  NRD00001/631516204 DDR</t>
  </si>
  <si>
    <t>AMBER HOMELOANS       AHG00001/480441702 DDR</t>
  </si>
  <si>
    <t>TOPAZ FIN JASPER      PRU00010/190859005 DDR</t>
  </si>
  <si>
    <t>PCC COLLECTION ACC    104953685          DDR</t>
  </si>
  <si>
    <t>PCC COLLECTION ACC    104922516          DDR</t>
  </si>
  <si>
    <t>PCC COLLECTION ACC    104808663          DDR</t>
  </si>
  <si>
    <t>PLATFORM FUNDING      01050229961090     DDR</t>
  </si>
  <si>
    <t>PLATFORM FUNDING      01050228964703     DDR</t>
  </si>
  <si>
    <t>MARSTON GROUP LIMI    ON 01 OCT          BCC</t>
  </si>
  <si>
    <t>LEGAL &amp; GEN MI C/L    011439921-5        DDR</t>
  </si>
  <si>
    <t>KINGSTON UNITY        PL684048A VALENTNO STO</t>
  </si>
  <si>
    <t>SHEPHERDS FS          PN026484A          DDR</t>
  </si>
  <si>
    <t>TOPAZ FIN JASPER      PRU00010/191462710 DDR</t>
  </si>
  <si>
    <t>M Doyle               23B HAMPSHIRE TER. BGC</t>
  </si>
  <si>
    <t xml:space="preserve">STANCU E              RENT               FT </t>
  </si>
  <si>
    <t>HUGHES JD             RENT FLAT 8</t>
  </si>
  <si>
    <t>BHAM MIDSHIRES        020007900597/59348 DDR</t>
  </si>
  <si>
    <t>AVIVA LIFE            014033997          DDR</t>
  </si>
  <si>
    <t>A BECK  PLUMBING      8142 3 12-14GS     BBP</t>
  </si>
  <si>
    <t>Barber Bria           DEPOSIT            BGC</t>
  </si>
  <si>
    <t>BT GROUP PLC          GB14092007-000073  DDR</t>
  </si>
  <si>
    <t xml:space="preserve">MARIA C               RENT-FLAT23-4.6    FT 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</si>
  <si>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</si>
  <si>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</si>
  <si>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</si>
  <si>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</si>
  <si>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</si>
  <si>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</si>
  <si>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</si>
  <si>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PLATFORM FUNDING      01050228957685     DDR</t>
  </si>
  <si>
    <t>PCC COLLECTION ACC    104797266          DDR</t>
  </si>
  <si>
    <t>SEQUENCE UK LIMITE    3 171 FAWC FEES    BBP</t>
  </si>
  <si>
    <t>SEQUENCE UK LIMITE    23C HAMPSHIRE TERR BBP</t>
  </si>
  <si>
    <t>A Barton              RENT FLAT 3 171    BGC</t>
  </si>
  <si>
    <t>ONECALL INSURANCE     OIP-5-3104389      DDR</t>
  </si>
  <si>
    <t>STUKAS G              FLAT 21 RENT       BGC</t>
  </si>
  <si>
    <t>BEALS ESTATE AGENT    FLAT 1216-18 ALHAM BGC</t>
  </si>
  <si>
    <t xml:space="preserve">207409 60458872       SCHOOL FEES        FT </t>
  </si>
  <si>
    <t>BEALS ESTATE AGENT    FLAT 312-14 ALHAMB BGC</t>
  </si>
  <si>
    <t>BEALS ESTATE AGENT    FLAT 1612-14 ALHAM BGC</t>
  </si>
  <si>
    <t>ID MOBILE LIMITED     11245718/001       DDR</t>
  </si>
  <si>
    <t>P TAPEREK             ELECTRIC 5 12-14   BBP</t>
  </si>
  <si>
    <t>ID MOBILE LIMITED     11888885/001       DDR</t>
  </si>
  <si>
    <t>MR MICHAEL BETTS      FT11 12-14ALHAMBRA STO</t>
  </si>
  <si>
    <t>H3G                   980404269602221020 DDR</t>
  </si>
  <si>
    <t>A BECK  PLUMBING      8283 19 4-6 PUMP   BBP</t>
  </si>
  <si>
    <t>BEALS ESTATE AGENT    FLAT 512-14 ALHAMB BGC</t>
  </si>
  <si>
    <t>N RAJA MOHAMMAD       RENT FOR 23C       STO</t>
  </si>
  <si>
    <t>MR MATTHEW STUART     207409 40406538    STO</t>
  </si>
  <si>
    <t>LOCKFORCE PORTSMOU    653331 7 16-18     BBP</t>
  </si>
  <si>
    <t>DMZ GROUP             RETURNED           BGC</t>
  </si>
  <si>
    <t>DMZ GROUP UK          653331 7 16-18 L   BBP</t>
  </si>
  <si>
    <t>DMZ GROUP UK          3212 7 16-18 ENFOR BBP</t>
  </si>
  <si>
    <t>BOOTS REWARDSCHEME    A45028400000736    DDR</t>
  </si>
  <si>
    <t>M Williams            RENT               BGC</t>
  </si>
  <si>
    <t>BEALS ESTATE AGENT    FLAT 1616-18 ALHAM BGC</t>
  </si>
  <si>
    <t>20-74-09 40406538</t>
  </si>
  <si>
    <t>LIDL GB BEDFORD       ON 30 SEP          CLP</t>
  </si>
  <si>
    <t>COSTA COFFEE 43035    ON 30 SEP          CLP</t>
  </si>
  <si>
    <t>BP BEDFORD EXPRESS    ON 29 SEP          CLP</t>
  </si>
  <si>
    <t xml:space="preserve">NOTEMACHINE           KASH'S BUDGENS        </t>
  </si>
  <si>
    <t>IZ *THE PAVILION T    ON 01 OCT          CLP</t>
  </si>
  <si>
    <t>A1 FOODS              ON 01 OCT          CLP</t>
  </si>
  <si>
    <t>BP BEDFORD EXPRESS    ON 03 OCT          CLP</t>
  </si>
  <si>
    <t>ZARA                  ON 04 OCT          BCC</t>
  </si>
  <si>
    <t>WILKO RETAIL LIMIT    ON 04 OCT          BCC</t>
  </si>
  <si>
    <t>PARKING FEE           ON 04 OCT          BCC</t>
  </si>
  <si>
    <t>MARKS&amp;SPENCER PLC     ON 04 OCT          BCC</t>
  </si>
  <si>
    <t>COSTA COFFEE 43035    ON 03 OCT          CLP</t>
  </si>
  <si>
    <t>BP BEDFORD EXPRESS    ON 02 OCT          CLP</t>
  </si>
  <si>
    <t>WIXAMS STORES LTD     ON 02 OCT          CLP</t>
  </si>
  <si>
    <t>MARKS&amp;SPENCER PLC     ON 02 OCT          CLP</t>
  </si>
  <si>
    <t>CLIFTON CUISINE       ON 02 OCT          CLP</t>
  </si>
  <si>
    <t>BP BEDFORD EXPRESS    ON 01 OCT          BCC</t>
  </si>
  <si>
    <t>MERCEDES BENZ PART    ON 05 OCT          CLP</t>
  </si>
  <si>
    <t>MARKS&amp;SPENCER PLC     ON 06 OCT          CLP</t>
  </si>
  <si>
    <t>IZ *THE PAVILION T    ON 06 OCT          CLP</t>
  </si>
  <si>
    <t>CO OPERATIVE FOOD     ON 06 OCT          CLP</t>
  </si>
  <si>
    <t>BP NEWHAM AVENUE C    ON 05 OCT          CLP</t>
  </si>
  <si>
    <t>MARKS&amp;SPENCER PLC     ON 07 OCT          CLP</t>
  </si>
  <si>
    <t>IZ *THE PAVILION T    ON 07 OCT          CLP</t>
  </si>
  <si>
    <t>CO OPERATIVE FOOD     ON 07 OCT          CLP</t>
  </si>
  <si>
    <t xml:space="preserve">TESCO                 TESCO BE BR DR EXP    </t>
  </si>
  <si>
    <t>TESCO STORE 2105      ON 08 OCT          BCC</t>
  </si>
  <si>
    <t>TESCO STORE 2105      ON 10 OCT          CLP</t>
  </si>
  <si>
    <t>CO OPERATIVE FOOD     ON 11 OCT          CLP</t>
  </si>
  <si>
    <t>MARKS&amp;SPENCER PLC     ON 11 OCT          BCC</t>
  </si>
  <si>
    <t>BP BEDFORD EXPRESS    ON 10 OCT          BCC</t>
  </si>
  <si>
    <t>TESCO STORE 2105      ON 09 OCT          CLP</t>
  </si>
  <si>
    <t xml:space="preserve">207409 60458872       TRF                FT </t>
  </si>
  <si>
    <t>MARKS&amp;SPENCER PLC     ON 12 OCT          BCC</t>
  </si>
  <si>
    <t>COSTA COFFEE 43035    ON 12 OCT          CLP</t>
  </si>
  <si>
    <t>CO OPERATIVE FOOD     ON 12 OCT          CLP</t>
  </si>
  <si>
    <t>TESCO STORE 2105      ON 12 OCT          BCC</t>
  </si>
  <si>
    <t>MARKS&amp;SPENCER PLC     ON 13 OCT          CLP</t>
  </si>
  <si>
    <t>IZ *THE PAVILION T    ON 13 OCT          CLP</t>
  </si>
  <si>
    <t>IZ *THE PAVILION T    ON 14 OCT          CLP</t>
  </si>
  <si>
    <t>COSTA COFFEE 43035    ON 14 OCT          CLP</t>
  </si>
  <si>
    <t>TESCO PAY AT PUMP     ON 13 OCT          BCC</t>
  </si>
  <si>
    <t>MARKS&amp;SPENCER PLC     ON 15 OCT          CLP</t>
  </si>
  <si>
    <t>CO OPERATIVE FOOD     ON 15 OCT          CLP</t>
  </si>
  <si>
    <t>BOOTS 6407            ON 15 OCT          BCC</t>
  </si>
  <si>
    <t xml:space="preserve">CARDTRONICS UK LTD    BP - ELSTOW INTERC    </t>
  </si>
  <si>
    <t>BP NEWHAM AVENUE C    ON 16 OCT          CLP</t>
  </si>
  <si>
    <t>TESCO STORES 6579     ON 16 OCT          CLP</t>
  </si>
  <si>
    <t>IZ *THE PAVILION T    ON 16 OCT          CLP</t>
  </si>
  <si>
    <t>CO OPERATIVE FOOD     ON 16 OCT          CLP</t>
  </si>
  <si>
    <t>MARKS&amp;SPENCER PLC     ON 19 OCT          CLP</t>
  </si>
  <si>
    <t>IZ *THE PAVILION T    ON 19 OCT          CLP</t>
  </si>
  <si>
    <t>BP BEDFORD EXPRESS    ON 19 OCT          CLP</t>
  </si>
  <si>
    <t xml:space="preserve">NATIONWIDE B.S.       SILBURY ARCADE        </t>
  </si>
  <si>
    <t>PRET A MANGER         ON 21 OCT          CLP</t>
  </si>
  <si>
    <t>POST OFFICE COUNTE    ON 21 OCT          CLP</t>
  </si>
  <si>
    <t>CO OPERATIVE FOOD     ON 21 OCT          CLP</t>
  </si>
  <si>
    <t>T K MAXX              ON 21 OCT          BCC</t>
  </si>
  <si>
    <t>PARKING FEE           ON 21 OCT          BCC</t>
  </si>
  <si>
    <t>MARKS&amp;SPENCER PLC     ON 21 OCT          BCC</t>
  </si>
  <si>
    <t>BOOTS 6407            ON 21 OCT          BCC</t>
  </si>
  <si>
    <t>WATERSTONES           ON 22 OCT          CLP</t>
  </si>
  <si>
    <t>SPECSAVERS            ON 22 OCT          CLP</t>
  </si>
  <si>
    <t>MARKS&amp;SPENCER PLC     ON 22 OCT          CLP</t>
  </si>
  <si>
    <t>COSTA COFFEE          ON 22 OCT          CLP</t>
  </si>
  <si>
    <t>CHURROS MEXICANOS     ON 22 OCT          CLP</t>
  </si>
  <si>
    <t>PARKING FEE           ON 22 OCT          BCC</t>
  </si>
  <si>
    <t>COSTCO WHOLESALE #    ON 24 OCT          CLP</t>
  </si>
  <si>
    <t>BP BEDFORD EXPRESS    ON 24 OCT          CLP</t>
  </si>
  <si>
    <t>PARKING FEE           ON 24 OCT          BCC</t>
  </si>
  <si>
    <t>JOHN LEWIS            ON 24 OCT          CLP</t>
  </si>
  <si>
    <t>BP WAVENDON GATE S    ON 23 OCT          CLP</t>
  </si>
  <si>
    <t>JOHN LEWIS            ON 24 OCT          BCC</t>
  </si>
  <si>
    <t>MARKS&amp;SPENCER PLC     ON 23 OCT          CLP</t>
  </si>
  <si>
    <t>CHURROS MEXICANOS     ON 23 OCT          CLP</t>
  </si>
  <si>
    <t>PARKING FEE           ON 23 OCT          BCC</t>
  </si>
  <si>
    <t>PETS AT HOME          ON 26 OCT          CLP</t>
  </si>
  <si>
    <t>MCDONALDS             ON 26 OCT          CLP</t>
  </si>
  <si>
    <t>CO OPERATIVE FOOD     ON 26 OCT          CLP</t>
  </si>
  <si>
    <t>TUCK&amp;VALEN HSE%0 P    207409 40406538    STO</t>
  </si>
  <si>
    <t>CO OPERATIVE FOOD     ON 27 OCT          CLP</t>
  </si>
  <si>
    <t>BP BEDFORD EXPRESS    ON 26 OCT          CLP</t>
  </si>
  <si>
    <t>BOOTS 6407            ON 27 OCT          BCC</t>
  </si>
  <si>
    <t>BP BEDFORD EXPRESS    ON 27 OCT          CLP</t>
  </si>
  <si>
    <t>MARKS&amp;SPENCER PLC     ON 29 OCT          BCC</t>
  </si>
  <si>
    <t>MARKS&amp;SPENCER PLC     ON 29 OCT          CLP</t>
  </si>
  <si>
    <t>BURGERKING- MILTON    ON 29 OCT          CLP</t>
  </si>
  <si>
    <t>PARKING FEE           ON 29 OCT          BCC</t>
  </si>
  <si>
    <t>NATIONAL LOTTERY I    ON 29 OCT          BCC</t>
  </si>
  <si>
    <t>Entry attempt to AY flat</t>
  </si>
  <si>
    <t xml:space="preserve">Pump </t>
  </si>
  <si>
    <t>Finders fee</t>
  </si>
  <si>
    <t>plumbing</t>
  </si>
  <si>
    <t>Boiler  parts</t>
  </si>
  <si>
    <t>new oven</t>
  </si>
  <si>
    <t>Humidifier for rent complaint</t>
  </si>
  <si>
    <t>Waterheating pump</t>
  </si>
  <si>
    <t>spare keys</t>
  </si>
  <si>
    <t>Window repair</t>
  </si>
  <si>
    <t>Shower repair</t>
  </si>
  <si>
    <t>Fitting of oven</t>
  </si>
  <si>
    <t>Gas safety plus £25 gas top up Andrew Greer</t>
  </si>
  <si>
    <t>Rent for period 20/10/2020 - 19/11/2020 from Mr Andrew England - Flat 10, 12-14 Alhambra Road, Southsea</t>
  </si>
  <si>
    <t>Management Fee at 6% - Flat 10, 12-14 Alhambra Road, Southsea</t>
  </si>
  <si>
    <t>Invoice</t>
  </si>
  <si>
    <t>Amount payable to Mr Mathew Tucker - Flat 10, 12-14 Alhambra Road, Southsea</t>
  </si>
  <si>
    <t>Statement</t>
  </si>
  <si>
    <t>Legislation &amp; Compliance  - Flat 10, 12-14 Alhambra Road, Southsea</t>
  </si>
  <si>
    <t>Rent for period 06/10/2020 - 05/11/2020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</si>
  <si>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</si>
  <si>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</si>
  <si>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</si>
  <si>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06/10/2020 - 05/11/2020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</si>
  <si>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</si>
  <si>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</si>
  <si>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</si>
  <si>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12/10/2020 - 11/11/2020 from Mr Peter Taperek - Flat 6, 16-18 Alhambra Road, Southsea</t>
  </si>
  <si>
    <t>Management Fee at 7%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</si>
  <si>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</si>
  <si>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</si>
  <si>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12/10/2020 - 11/11/2020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</si>
  <si>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</si>
  <si>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</si>
  <si>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</si>
  <si>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</si>
  <si>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28/10/2020 - 27/11/2020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</si>
  <si>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</si>
  <si>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</si>
  <si>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Rent for period 25/10/2020 - 24/11/2020 from Ms Sharon Briscoe - Flat 1, 321 London Road, Portsmouth</t>
  </si>
  <si>
    <t>Management Fee at 7% - Flat 1, 321 London Road, Portsmouth</t>
  </si>
  <si>
    <t>Amount payable to Mr Mathew Tucker - Flat 1, 321 London Road, Portsmouth</t>
  </si>
  <si>
    <t>Legislation &amp; Compliance  - Flat 1, 321 London Road, Portsmouth</t>
  </si>
  <si>
    <t>Legislation &amp; Compliance  - Flat 3, 321 London Road, Portsmouth</t>
  </si>
  <si>
    <t>Rent for period 26/10/2020 - 25/11/2020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</si>
  <si>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</si>
  <si>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</si>
  <si>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Legislation &amp; Compliance  - Flat 4, 321 London Road, Portsmouth</t>
  </si>
  <si>
    <t>Rent for period 02/10/2020 - 01/11/2020 from Mr Michael Pedace - Flat 2, 171 Fawcett Road, Southsea</t>
  </si>
  <si>
    <t>Management Fee at 6% - Flat 2, 171 Fawcett Road, Southsea</t>
  </si>
  <si>
    <t>Amount payable to Mr Mathew Tucker - Flat 2, 171 Fawcett Road, Southsea</t>
  </si>
  <si>
    <t>Legislation &amp; Compliance  - Flat 2, 171 Fawcett Road, Southsea</t>
  </si>
  <si>
    <t>Rent for period 15/10/2020 - 14/11/2020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</si>
  <si>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</si>
  <si>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</si>
  <si>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</si>
  <si>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06/09/2020 - 05/10/2020 from Ms Susan Parkinson - Flat 1, 169 Fawcett Road, Southsea</t>
  </si>
  <si>
    <t>Management Fee at 6% - Flat 1, 169 Fawcett Road, Southsea</t>
  </si>
  <si>
    <t>Rent for period 06/10/2020 - 05/11/2020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</si>
  <si>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</si>
  <si>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</si>
  <si>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11/10/2020 - 10/11/2020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</si>
  <si>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</si>
  <si>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</si>
  <si>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</si>
  <si>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01/10/2020 - 31/10/2020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</si>
  <si>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</si>
  <si>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</si>
  <si>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</si>
  <si>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08/10/2020 - 07/11/2020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</si>
  <si>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</si>
  <si>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</si>
  <si>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</si>
  <si>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14/10/2020 - 13/11/2020 from Mr Martin Brett - Flat 3, 163 Fratton Road, Portsmouth</t>
  </si>
  <si>
    <t>Management Fee at 6%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</si>
  <si>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</si>
  <si>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</si>
  <si>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14/09/2020 - 13/10/2020 from Mr Aleksandra Radzevics - Flat 7, 12-14 Alhambra Road, Southsea</t>
  </si>
  <si>
    <t>Management Fee at 7% - Flat 7, 12-14 Alhambra Road, Southsea</t>
  </si>
  <si>
    <t>Rent for period 14/10/2020 - 13/11/2020 from Mr Aleksandra Radzevics - Flat 7, 12-14 Alhambra Road, Southsea</t>
  </si>
  <si>
    <t>Amount payable to Mr Mathew Tucker - Flat 7, 12-14 Alhambra Road, Southsea</t>
  </si>
  <si>
    <t>Legislation &amp; Compliance  - Flat 7, 12-14 Alhambra Road, Southsea</t>
  </si>
  <si>
    <t>Rent for period 06/10/2020 - 05/11/2020 from Ms Kirstine Aldridge - Flat 1, 171 Fawcett Road, Southsea</t>
  </si>
  <si>
    <t>Management Fee at 6% - Flat 1, 171 Fawcett Road, Southsea</t>
  </si>
  <si>
    <t>Amount payable to Mr Mathew Tucker - Flat 1, 171 Fawcett Road, Southsea</t>
  </si>
  <si>
    <t>Legislation &amp; Compliance  - Flat 1, 171 Fawcett Road, Southsea</t>
  </si>
  <si>
    <t>Legislation &amp; Compliance  - Flat 7, 8 Alhambra Road, Southsea</t>
  </si>
  <si>
    <t>Rent for period 30/10/2020 - 29/11/2020 from Mr Andrew Austin - Flat 7, 8 Alhambra Road, Southsea</t>
  </si>
  <si>
    <t>Management Fee at 6% - Flat 7, 8 Alhambra Road, Southsea</t>
  </si>
  <si>
    <t>Amount payable to Ms Ivana Valentino - Flat 7, 8 Alhambra Road, Southsea</t>
  </si>
  <si>
    <t>Rent for period 18/09/2020 - 17/10/2020 from Mr Andrew Greer - Flat 3, 12-14 Alhambra Road, Southsea</t>
  </si>
  <si>
    <t>Management Fee at 6% - Flat 3, 12-14 Alhambra Road, Southsea</t>
  </si>
  <si>
    <t>Rent for period 18/10/2020 - 17/11/2020 from Mr Andrew Greer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</si>
  <si>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</si>
  <si>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</si>
  <si>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23/10/2020 - 22/11/2020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</si>
  <si>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</si>
  <si>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</si>
  <si>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Legislation &amp; Compliance  - Flat 5, 12-14 Alhambra Road, Southsea</t>
  </si>
  <si>
    <t>Rent for period 19/09/2020 - 18/10/2020 from Mr Aubrey Milligan - Flat 16, 12-14 Alhambra Road, Southsea</t>
  </si>
  <si>
    <t>Management Fee at 6% - Flat 16, 12-14 Alhambra Road, Southsea</t>
  </si>
  <si>
    <t>Rent for period 19/10/2020 - 18/11/2020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</si>
  <si>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</si>
  <si>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</si>
  <si>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19/10/2020 - 18/11/2020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</si>
  <si>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</si>
  <si>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</si>
  <si>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Legislation &amp; Compliance  - Flat 12, 16-18 Alhambra Road, Southsea</t>
  </si>
  <si>
    <t>Legislation &amp; Compliance  - Flat 16, 16-18 Alhambra Road, Southsea</t>
  </si>
  <si>
    <t>Rent for period 28/10/2020 - 27/11/2020 from Mr Peter Gradon - Flat 16, 16-18 Alhambra Road, Southsea</t>
  </si>
  <si>
    <t>Management Fee at 7% - Flat 16, 16-18 Alhambra Road, Southsea</t>
  </si>
  <si>
    <t>Amount payable to Ms Ivana Valentino - Flat 16, 16-18 Alhambra Road, Southsea</t>
  </si>
  <si>
    <t>Letting Fees</t>
  </si>
  <si>
    <t>Top up Electric for damp extractor council reported</t>
  </si>
  <si>
    <t>Heating pump</t>
  </si>
  <si>
    <t>Eviction</t>
  </si>
  <si>
    <t>Error</t>
  </si>
  <si>
    <t>Council Tax</t>
  </si>
  <si>
    <t>Rent for period 12/10/2020 - 11/11/2020 from Miss Katherine Parson - Flat 18, 4-6 Alhambra Road</t>
  </si>
  <si>
    <t>Rent for period 14/09/2020 - 13/10/2020 from Miss Katie Ingoldsby - Flat 19, 4-6 Alhambra Road, Southsea</t>
  </si>
  <si>
    <t>Rent for period 10/09/2020 - 11/10/2020 from Mr Vaclav Hajek - Flat 2, 169 Fawcett Road, Southsea</t>
  </si>
  <si>
    <t>TIDBURY M             RENT               FT PLUS £300 RENT ARREARS</t>
  </si>
  <si>
    <t>Rent for period 07/08/2020 - 06/10/2020 from Mr Matthew Tidbury - Flat 4, 163 Fratton Road, Portsmouth</t>
  </si>
  <si>
    <t>Rent for period 18/09/2020 - 17/10/2020 from Mr Ciprian Georgescu - Flat 2, 321 London Rd</t>
  </si>
  <si>
    <t>Rent for period 30/10/2020 -29/11/2020 from Miss Bianca Vintila - Flat 1, 16-18 Alhambra Rd, Southsea</t>
  </si>
  <si>
    <t>Rent for period 24/10/2020 - 23/11/2020 from Mr Jake Lindemere - Flat 20, 4-6 Alhambra Road</t>
  </si>
  <si>
    <t>Electric</t>
  </si>
  <si>
    <t>A Beck</t>
  </si>
  <si>
    <t>Rent for period 04/10/2020 - 03/11/2020 from Mr Marut Doyle and Miss Thunyakan Chewwaiyaphat - 23B Hampshire Terrace</t>
  </si>
  <si>
    <t>Rent for period 03/10/2020 - 03/11/2020 from Mr A Stancu - Flat 22, 4-6 Alhambra Road, Southsea</t>
  </si>
  <si>
    <t>Rent for period 10/10/2020 - 09/11/2020 from Ms Jade Hughes - Flat 8, 8 Alhambra Road, Southsea</t>
  </si>
  <si>
    <t>Rent for period 15/10/2020 - 14/11/2020 from Miss Bria Barber and Mr Shawn Griffiths - Flat 3, 16-18 Alhambra Road, Southsea</t>
  </si>
  <si>
    <t>Rent for period 15/10/2020 - 14/11/2020 from Miss Andreea Maria and Mr Cosmin Maria - Flat 23, 4-6 Alhambra Road, Southsea</t>
  </si>
  <si>
    <t>Rent for period 15/10/2020 - 14/11/2020 from Miss Ania Barton - Flat 3, 171 Fawcett Road, Southsea</t>
  </si>
  <si>
    <t>Rent for period 22/10/2020 - 21/11/2020 from Mr G Stukas - Flat 21, Alhambra Road</t>
  </si>
  <si>
    <t>Rent for period 25/10/2020 - 24/11/2020 from Mr Michael Betts - Flat 11, 12-14 Alhambra Road, Southsea</t>
  </si>
  <si>
    <t>Rent for period 30/10/2020 - 29/11/2020 from Mr Raja Numanunnain and Miss Hortenzia Kulcsar - 23C Hampshire Terrace</t>
  </si>
  <si>
    <t>Rent for period 25/08/2019 - 24/09/2020 from Mr Mark Williams - First Floor Flat, 196 Kingston Road</t>
  </si>
  <si>
    <t>Council Tax - baliffs</t>
  </si>
  <si>
    <t>Transfer from one of kids? This is a positve amount, not an expense</t>
  </si>
  <si>
    <t/>
  </si>
  <si>
    <t>BK</t>
  </si>
  <si>
    <t>BK,PM,EX</t>
  </si>
  <si>
    <t>BK,MT</t>
  </si>
  <si>
    <t>BK,PM,RT</t>
  </si>
  <si>
    <t>RT</t>
  </si>
  <si>
    <t>MF</t>
  </si>
  <si>
    <t>PM</t>
  </si>
  <si>
    <t>EX</t>
  </si>
  <si>
    <t>Sharon Briscoe (25/01/2019 - present)</t>
  </si>
  <si>
    <t>Cipran Georgescu (18/01/2020 -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</si>
  <si>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</si>
  <si>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</si>
  <si>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</si>
  <si>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</si>
  <si>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</si>
  <si>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</si>
  <si>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</si>
  <si>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Ania Barton (15/07/2020 -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</si>
  <si>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</si>
  <si>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</si>
  <si>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</si>
  <si>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</si>
  <si>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</si>
  <si>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</si>
  <si>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</si>
  <si>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Mr Hinks (08/11/2013 - present)</t>
  </si>
  <si>
    <t>Andrew Austin (30/04/2018 - present)</t>
  </si>
  <si>
    <t>Jade Hughes (10/12/2019 -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</si>
  <si>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</si>
  <si>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</si>
  <si>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</si>
  <si>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</si>
  <si>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</si>
  <si>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</si>
  <si>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</si>
  <si>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</si>
  <si>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</si>
  <si>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</si>
  <si>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</si>
  <si>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</si>
  <si>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(06/08/2020 -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</si>
  <si>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</si>
  <si>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</si>
  <si>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</si>
  <si>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</si>
  <si>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</si>
  <si>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</si>
  <si>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(28/08/2020 -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</si>
  <si>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</si>
  <si>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</si>
  <si>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</si>
  <si>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</si>
  <si>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</si>
  <si>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</si>
  <si>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</si>
  <si>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</si>
  <si>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</si>
  <si>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</si>
  <si>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</si>
  <si>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</si>
  <si>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</si>
  <si>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</si>
  <si>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</si>
  <si>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</si>
  <si>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</si>
  <si>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</si>
  <si>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</si>
  <si>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</si>
  <si>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Arrears from SEP 20</t>
  </si>
  <si>
    <t>Paid to 10/03/21</t>
  </si>
  <si>
    <t>Where is rent for shop? - Need to get rent statement for shop</t>
  </si>
  <si>
    <t>Check arrears</t>
  </si>
  <si>
    <t>Bruen move out date</t>
  </si>
  <si>
    <t>Arrears from Nov 19, Half payment again in Feb 20 and May 20, Aug 20 - Check statement</t>
  </si>
  <si>
    <t>Paid to 28/06/21</t>
  </si>
  <si>
    <t>Sophie Bedford (29/06/2020 - present)</t>
  </si>
  <si>
    <t>Chris Clark (11/09/2020 - present)</t>
  </si>
  <si>
    <t>Alan Young move out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</si>
</sst>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69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0" fontId="27" fillId="0" borderId="0" xfId="0" applyFont="1"/>
    <xf numFmtId="14" fontId="0" fillId="0" borderId="0" xfId="0" applyNumberFormat="1"/>
    <xf numFmtId="164" fontId="0" fillId="13" borderId="0" xfId="0" applyNumberFormat="1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8" zoomScale="70" zoomScaleNormal="70" workbookViewId="0">
      <selection activeCell="O33" sqref="O33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44135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8"/>
      <c r="B9" s="37"/>
      <c r="C9" s="38"/>
      <c r="D9" s="66"/>
      <c r="E9" s="66"/>
      <c r="F9" s="67"/>
      <c r="G9" s="68"/>
      <c r="H9" s="68"/>
      <c r="I9" s="69"/>
      <c r="J9" s="72"/>
      <c r="K9" s="70"/>
      <c r="L9" s="69"/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1048</v>
      </c>
      <c r="C10" s="20" t="s">
        <v>567</v>
      </c>
      <c r="D10" s="66">
        <v>44129</v>
      </c>
      <c r="E10" s="70">
        <v>44159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44130.533333333333</v>
      </c>
      <c r="L10" s="69">
        <v>117</v>
      </c>
      <c r="M10" s="102">
        <f t="shared" ref="M10:M63" si="1">IF(F10-G10-H10-I10-L10&lt;&gt;0, F10-G10-H10-I10-L10,"")</f>
        <v>329</v>
      </c>
      <c r="N10" s="40" t="s">
        <v>258</v>
      </c>
      <c r="O10" s="71">
        <v>131.62</v>
      </c>
      <c r="P10" s="39">
        <f t="shared" si="0"/>
        <v>197.38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1" t="s">
        <v>54</v>
      </c>
      <c r="B11" s="16" t="s">
        <v>1049</v>
      </c>
      <c r="C11" s="20" t="s">
        <v>130</v>
      </c>
      <c r="D11" s="66">
        <v>44092</v>
      </c>
      <c r="E11" s="70">
        <v>44121</v>
      </c>
      <c r="F11" s="71">
        <v>550</v>
      </c>
      <c r="G11" s="68"/>
      <c r="H11" s="68"/>
      <c r="I11" s="69"/>
      <c r="J11" s="72">
        <v>550</v>
      </c>
      <c r="K11" s="70">
        <v>44124</v>
      </c>
      <c r="L11" s="69">
        <v>31</v>
      </c>
      <c r="M11" s="102">
        <f t="shared" si="1"/>
        <v>519</v>
      </c>
      <c r="N11" s="40" t="s">
        <v>258</v>
      </c>
      <c r="O11" s="71">
        <v>124.19</v>
      </c>
      <c r="P11" s="39">
        <f t="shared" si="0"/>
        <v>394.81</v>
      </c>
      <c r="Q11" s="118">
        <f t="shared" si="2"/>
        <v>0</v>
      </c>
      <c r="R11" s="122" t="s">
        <v>1108</v>
      </c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61" t="s">
        <v>55</v>
      </c>
      <c r="B12" s="16" t="s">
        <v>1116</v>
      </c>
      <c r="C12" s="20"/>
      <c r="D12" s="66"/>
      <c r="E12" s="70"/>
      <c r="F12" s="71"/>
      <c r="G12" s="68"/>
      <c r="H12" s="68"/>
      <c r="I12" s="69"/>
      <c r="J12" s="72"/>
      <c r="K12" s="70"/>
      <c r="L12" s="69"/>
      <c r="M12" s="102" t="str">
        <f t="shared" si="1"/>
        <v/>
      </c>
      <c r="N12" s="40" t="s">
        <v>6</v>
      </c>
      <c r="O12" s="123">
        <v>85.92</v>
      </c>
      <c r="P12" s="39">
        <f t="shared" si="0"/>
        <v>-85.92</v>
      </c>
      <c r="Q12" s="118">
        <f t="shared" si="2"/>
        <v>0</v>
      </c>
      <c r="R12" s="54" t="s">
        <v>1109</v>
      </c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1050</v>
      </c>
      <c r="C13" s="20" t="s">
        <v>95</v>
      </c>
      <c r="D13" s="66">
        <v>44130</v>
      </c>
      <c r="E13" s="70">
        <v>44160</v>
      </c>
      <c r="F13" s="71">
        <v>499.52</v>
      </c>
      <c r="G13" s="68">
        <v>29.97</v>
      </c>
      <c r="H13" s="68">
        <v>5.99</v>
      </c>
      <c r="I13" s="69"/>
      <c r="J13" s="72">
        <v>463.56</v>
      </c>
      <c r="K13" s="70">
        <v>44130.533333333333</v>
      </c>
      <c r="L13" s="69"/>
      <c r="M13" s="102">
        <f t="shared" si="1"/>
        <v>463.55999999999995</v>
      </c>
      <c r="N13" s="40" t="s">
        <v>6</v>
      </c>
      <c r="O13" s="71">
        <v>131.65</v>
      </c>
      <c r="P13" s="39">
        <f t="shared" si="0"/>
        <v>331.90999999999997</v>
      </c>
      <c r="Q13" s="118">
        <f t="shared" si="2"/>
        <v>5.6843418860808015E-14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8" t="s">
        <v>1051</v>
      </c>
      <c r="B14" s="37" t="s">
        <v>1039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1052</v>
      </c>
      <c r="C15" s="20" t="s">
        <v>567</v>
      </c>
      <c r="D15" s="66">
        <v>44080</v>
      </c>
      <c r="E15" s="66">
        <v>44140</v>
      </c>
      <c r="F15" s="71">
        <v>466.12</v>
      </c>
      <c r="G15" s="68">
        <v>27.97</v>
      </c>
      <c r="H15" s="68">
        <v>5.59</v>
      </c>
      <c r="I15" s="69">
        <v>6</v>
      </c>
      <c r="J15" s="72">
        <v>426.56</v>
      </c>
      <c r="K15" s="70">
        <v>44124.797222222223</v>
      </c>
      <c r="L15" s="69"/>
      <c r="M15" s="102">
        <f t="shared" si="1"/>
        <v>426.56</v>
      </c>
      <c r="N15" s="40" t="s">
        <v>6</v>
      </c>
      <c r="O15" s="71">
        <v>118.58</v>
      </c>
      <c r="P15" s="39">
        <f t="shared" si="0"/>
        <v>307.98</v>
      </c>
      <c r="Q15" s="118">
        <f t="shared" si="2"/>
        <v>0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1" t="s">
        <v>58</v>
      </c>
      <c r="B16" s="16" t="s">
        <v>1053</v>
      </c>
      <c r="C16" s="20" t="s">
        <v>130</v>
      </c>
      <c r="D16" s="66">
        <v>44084</v>
      </c>
      <c r="E16" s="70">
        <v>44115</v>
      </c>
      <c r="F16" s="71">
        <v>495</v>
      </c>
      <c r="G16" s="68"/>
      <c r="H16" s="68"/>
      <c r="I16" s="69"/>
      <c r="J16" s="72">
        <v>495</v>
      </c>
      <c r="K16" s="70">
        <v>44119</v>
      </c>
      <c r="L16" s="69">
        <v>46</v>
      </c>
      <c r="M16" s="102">
        <f t="shared" si="1"/>
        <v>449</v>
      </c>
      <c r="N16" s="40" t="s">
        <v>6</v>
      </c>
      <c r="O16" s="123">
        <v>86.43</v>
      </c>
      <c r="P16" s="39">
        <f t="shared" si="0"/>
        <v>362.57</v>
      </c>
      <c r="Q16" s="118">
        <f t="shared" si="2"/>
        <v>0</v>
      </c>
      <c r="R16" s="54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1054</v>
      </c>
      <c r="C17" s="20" t="s">
        <v>95</v>
      </c>
      <c r="D17" s="66">
        <v>44119</v>
      </c>
      <c r="E17" s="70">
        <v>44149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44131.568749999999</v>
      </c>
      <c r="L17" s="69">
        <v>13</v>
      </c>
      <c r="M17" s="102">
        <f t="shared" si="1"/>
        <v>439</v>
      </c>
      <c r="N17" s="40" t="s">
        <v>6</v>
      </c>
      <c r="O17" s="71">
        <v>120.94</v>
      </c>
      <c r="P17" s="39">
        <f t="shared" si="0"/>
        <v>318.06</v>
      </c>
      <c r="Q17" s="118">
        <f t="shared" si="2"/>
        <v>0</v>
      </c>
      <c r="R17" s="40"/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8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159" t="s">
        <v>186</v>
      </c>
      <c r="B19" s="16" t="s">
        <v>1055</v>
      </c>
      <c r="C19" s="20" t="s">
        <v>95</v>
      </c>
      <c r="D19" s="66">
        <v>44110</v>
      </c>
      <c r="E19" s="66">
        <v>44140</v>
      </c>
      <c r="F19" s="71">
        <v>580</v>
      </c>
      <c r="G19" s="68">
        <v>34.799999999999997</v>
      </c>
      <c r="H19" s="68">
        <v>6.96</v>
      </c>
      <c r="I19" s="69">
        <v>6</v>
      </c>
      <c r="J19" s="72">
        <v>532.24</v>
      </c>
      <c r="K19" s="70">
        <v>44131.568749999999</v>
      </c>
      <c r="L19" s="69">
        <v>739</v>
      </c>
      <c r="M19" s="102">
        <f t="shared" si="1"/>
        <v>-206.76</v>
      </c>
      <c r="N19" s="40" t="s">
        <v>6</v>
      </c>
      <c r="O19" s="71">
        <v>175.77</v>
      </c>
      <c r="P19" s="39">
        <f t="shared" si="0"/>
        <v>-382.53</v>
      </c>
      <c r="Q19" s="118">
        <f t="shared" si="2"/>
        <v>0</v>
      </c>
      <c r="R19" s="52"/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1056</v>
      </c>
      <c r="C20" s="20" t="s">
        <v>95</v>
      </c>
      <c r="D20" s="66">
        <v>44106</v>
      </c>
      <c r="E20" s="70">
        <v>44136</v>
      </c>
      <c r="F20" s="71">
        <v>500</v>
      </c>
      <c r="G20" s="68">
        <v>30</v>
      </c>
      <c r="H20" s="68">
        <v>6</v>
      </c>
      <c r="I20" s="69">
        <v>6</v>
      </c>
      <c r="J20" s="72">
        <v>458</v>
      </c>
      <c r="K20" s="70">
        <v>44109.686111111114</v>
      </c>
      <c r="L20" s="69"/>
      <c r="M20" s="102">
        <f t="shared" si="1"/>
        <v>458</v>
      </c>
      <c r="N20" s="40" t="s">
        <v>6</v>
      </c>
      <c r="O20" s="71">
        <v>155.5</v>
      </c>
      <c r="P20" s="39">
        <f t="shared" si="0"/>
        <v>302.5</v>
      </c>
      <c r="Q20" s="118">
        <f t="shared" si="2"/>
        <v>0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1" t="s">
        <v>188</v>
      </c>
      <c r="B21" s="16" t="s">
        <v>1057</v>
      </c>
      <c r="C21" s="20" t="s">
        <v>130</v>
      </c>
      <c r="D21" s="66">
        <v>44119</v>
      </c>
      <c r="E21" s="70">
        <v>44149</v>
      </c>
      <c r="F21" s="71">
        <v>700</v>
      </c>
      <c r="G21" s="68"/>
      <c r="H21" s="68"/>
      <c r="I21" s="69"/>
      <c r="J21" s="72">
        <v>700</v>
      </c>
      <c r="K21" s="70">
        <v>44120</v>
      </c>
      <c r="L21" s="69">
        <v>60</v>
      </c>
      <c r="M21" s="102">
        <f t="shared" si="1"/>
        <v>640</v>
      </c>
      <c r="N21" s="40" t="s">
        <v>6</v>
      </c>
      <c r="O21" s="71">
        <v>188.99</v>
      </c>
      <c r="P21" s="39">
        <f>IFERROR(IF(M21-O21&lt;&gt;0,M21-O21,""),-O21)</f>
        <v>451.01</v>
      </c>
      <c r="Q21" s="118">
        <f t="shared" si="2"/>
        <v>0</v>
      </c>
      <c r="R21" s="40"/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8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3" customFormat="1" ht="12.75" customHeight="1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2">
      <c r="A24" s="22" t="s">
        <v>61</v>
      </c>
      <c r="B24" s="16" t="s">
        <v>1058</v>
      </c>
      <c r="C24" s="20" t="s">
        <v>95</v>
      </c>
      <c r="D24" s="66">
        <v>44118</v>
      </c>
      <c r="E24" s="70">
        <v>44148</v>
      </c>
      <c r="F24" s="71">
        <v>450</v>
      </c>
      <c r="G24" s="68">
        <v>27</v>
      </c>
      <c r="H24" s="68">
        <v>5.4</v>
      </c>
      <c r="I24" s="69">
        <v>6</v>
      </c>
      <c r="J24" s="72">
        <v>411.6</v>
      </c>
      <c r="K24" s="70">
        <v>44124.797222222223</v>
      </c>
      <c r="L24" s="69"/>
      <c r="M24" s="102">
        <f t="shared" si="1"/>
        <v>411.6</v>
      </c>
      <c r="N24" s="40" t="s">
        <v>6</v>
      </c>
      <c r="O24" s="71">
        <v>120.15</v>
      </c>
      <c r="P24" s="39">
        <f t="shared" si="3"/>
        <v>291.45000000000005</v>
      </c>
      <c r="Q24" s="118">
        <f t="shared" si="2"/>
        <v>0</v>
      </c>
      <c r="R24" s="54"/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1" t="s">
        <v>62</v>
      </c>
      <c r="B25" s="16" t="s">
        <v>1059</v>
      </c>
      <c r="C25" s="20" t="s">
        <v>130</v>
      </c>
      <c r="D25" s="66">
        <v>44050</v>
      </c>
      <c r="E25" s="70">
        <v>44110</v>
      </c>
      <c r="F25" s="71">
        <v>1000</v>
      </c>
      <c r="G25" s="68"/>
      <c r="H25" s="68"/>
      <c r="I25" s="69"/>
      <c r="J25" s="72">
        <v>1000</v>
      </c>
      <c r="K25" s="70">
        <v>44119</v>
      </c>
      <c r="L25" s="69">
        <v>152.47999999999999</v>
      </c>
      <c r="M25" s="102">
        <f t="shared" si="1"/>
        <v>847.52</v>
      </c>
      <c r="N25" s="40" t="s">
        <v>6</v>
      </c>
      <c r="O25" s="71">
        <v>110.93</v>
      </c>
      <c r="P25" s="39">
        <f t="shared" si="3"/>
        <v>736.58999999999992</v>
      </c>
      <c r="Q25" s="118">
        <f t="shared" si="2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8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1060</v>
      </c>
      <c r="C27" s="20" t="s">
        <v>567</v>
      </c>
      <c r="D27" s="66">
        <v>44115</v>
      </c>
      <c r="E27" s="66">
        <v>44145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44117.605555555558</v>
      </c>
      <c r="L27" s="69"/>
      <c r="M27" s="102">
        <f t="shared" si="1"/>
        <v>314.60000000000002</v>
      </c>
      <c r="N27" s="40" t="s">
        <v>258</v>
      </c>
      <c r="O27" s="106">
        <v>196.79</v>
      </c>
      <c r="P27" s="39">
        <f t="shared" si="3"/>
        <v>117.81000000000003</v>
      </c>
      <c r="Q27" s="118">
        <f t="shared" si="2"/>
        <v>0</v>
      </c>
      <c r="R27" s="128" t="s">
        <v>1110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1061</v>
      </c>
      <c r="C28" s="20" t="s">
        <v>95</v>
      </c>
      <c r="D28" s="66">
        <v>44105</v>
      </c>
      <c r="E28" s="66">
        <v>44135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44109.686111111114</v>
      </c>
      <c r="L28" s="69"/>
      <c r="M28" s="102">
        <f t="shared" si="1"/>
        <v>470.32000000000005</v>
      </c>
      <c r="N28" s="40" t="s">
        <v>6</v>
      </c>
      <c r="O28" s="67">
        <v>156.11000000000001</v>
      </c>
      <c r="P28" s="39">
        <f t="shared" si="3"/>
        <v>314.21000000000004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1" t="s">
        <v>65</v>
      </c>
      <c r="B29" s="16" t="s">
        <v>1062</v>
      </c>
      <c r="C29" s="20" t="s">
        <v>130</v>
      </c>
      <c r="D29" s="66">
        <v>43702</v>
      </c>
      <c r="E29" s="66">
        <v>44098</v>
      </c>
      <c r="F29" s="71">
        <v>720</v>
      </c>
      <c r="G29" s="68"/>
      <c r="H29" s="68"/>
      <c r="I29" s="69"/>
      <c r="J29" s="72">
        <v>720</v>
      </c>
      <c r="K29" s="70">
        <v>44134</v>
      </c>
      <c r="L29" s="69">
        <v>141</v>
      </c>
      <c r="M29" s="102">
        <f t="shared" si="1"/>
        <v>579</v>
      </c>
      <c r="N29" s="40" t="s">
        <v>258</v>
      </c>
      <c r="O29" s="71">
        <v>184.24</v>
      </c>
      <c r="P29" s="39">
        <f t="shared" si="3"/>
        <v>394.76</v>
      </c>
      <c r="Q29" s="118">
        <f t="shared" si="2"/>
        <v>0</v>
      </c>
      <c r="R29" s="122" t="s">
        <v>1111</v>
      </c>
      <c r="S29" s="60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2">
      <c r="A30" s="158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61" t="s">
        <v>99</v>
      </c>
      <c r="B31" s="16" t="s">
        <v>1063</v>
      </c>
      <c r="C31" s="20" t="s">
        <v>130</v>
      </c>
      <c r="D31" s="66">
        <v>44108</v>
      </c>
      <c r="E31" s="66">
        <v>44138</v>
      </c>
      <c r="F31" s="67">
        <v>775</v>
      </c>
      <c r="G31" s="68"/>
      <c r="H31" s="68"/>
      <c r="I31" s="69"/>
      <c r="J31" s="72">
        <v>775</v>
      </c>
      <c r="K31" s="70">
        <v>44109</v>
      </c>
      <c r="L31" s="69"/>
      <c r="M31" s="102">
        <f t="shared" si="1"/>
        <v>775</v>
      </c>
      <c r="N31" s="50" t="s">
        <v>6</v>
      </c>
      <c r="O31" s="67">
        <v>149.19999999999999</v>
      </c>
      <c r="P31" s="39">
        <f t="shared" si="3"/>
        <v>625.79999999999995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1" t="s">
        <v>102</v>
      </c>
      <c r="B32" s="16" t="s">
        <v>1064</v>
      </c>
      <c r="C32" s="20" t="s">
        <v>130</v>
      </c>
      <c r="D32" s="66">
        <v>44134</v>
      </c>
      <c r="E32" s="66">
        <v>44164</v>
      </c>
      <c r="F32" s="71">
        <v>775</v>
      </c>
      <c r="G32" s="68"/>
      <c r="H32" s="68"/>
      <c r="I32" s="69"/>
      <c r="J32" s="72">
        <v>775</v>
      </c>
      <c r="K32" s="70">
        <v>44131</v>
      </c>
      <c r="L32" s="69">
        <v>19</v>
      </c>
      <c r="M32" s="102">
        <f t="shared" si="1"/>
        <v>756</v>
      </c>
      <c r="N32" s="50" t="s">
        <v>6</v>
      </c>
      <c r="O32" s="123">
        <v>485.51</v>
      </c>
      <c r="P32" s="39">
        <f t="shared" si="3"/>
        <v>270.49</v>
      </c>
      <c r="Q32" s="118">
        <f t="shared" si="2"/>
        <v>0</v>
      </c>
      <c r="R32" s="54"/>
      <c r="S32" s="60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2">
      <c r="A33" s="158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57" t="s">
        <v>103</v>
      </c>
      <c r="B34" s="16" t="s">
        <v>1039</v>
      </c>
      <c r="C34" s="20"/>
      <c r="D34" s="66"/>
      <c r="E34" s="70"/>
      <c r="F34" s="71"/>
      <c r="G34" s="68"/>
      <c r="H34" s="68"/>
      <c r="I34" s="69"/>
      <c r="J34" s="72"/>
      <c r="K34" s="66"/>
      <c r="L34" s="69">
        <v>487.09</v>
      </c>
      <c r="M34" s="102">
        <f t="shared" si="1"/>
        <v>-487.09</v>
      </c>
      <c r="N34" s="49" t="s">
        <v>202</v>
      </c>
      <c r="O34" s="71">
        <v>157.09</v>
      </c>
      <c r="P34" s="39">
        <f t="shared" si="3"/>
        <v>-644.17999999999995</v>
      </c>
      <c r="Q34" s="118">
        <f t="shared" si="2"/>
        <v>0</v>
      </c>
      <c r="R34" s="122" t="s">
        <v>1112</v>
      </c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1065</v>
      </c>
      <c r="C35" s="20" t="s">
        <v>95</v>
      </c>
      <c r="D35" s="66">
        <v>44112</v>
      </c>
      <c r="E35" s="66">
        <v>44142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44112.552777777775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1066</v>
      </c>
      <c r="C36" s="20" t="s">
        <v>567</v>
      </c>
      <c r="D36" s="70">
        <v>44134</v>
      </c>
      <c r="E36" s="70">
        <v>44164</v>
      </c>
      <c r="F36" s="71">
        <v>500</v>
      </c>
      <c r="G36" s="68">
        <v>30</v>
      </c>
      <c r="H36" s="68">
        <v>6</v>
      </c>
      <c r="I36" s="69">
        <v>6</v>
      </c>
      <c r="J36" s="72">
        <v>458</v>
      </c>
      <c r="K36" s="70">
        <v>44134.549305555556</v>
      </c>
      <c r="L36" s="69"/>
      <c r="M36" s="102">
        <f t="shared" si="1"/>
        <v>458</v>
      </c>
      <c r="N36" s="49" t="s">
        <v>6</v>
      </c>
      <c r="O36" s="71">
        <v>155.44</v>
      </c>
      <c r="P36" s="39">
        <f t="shared" si="3"/>
        <v>302.56</v>
      </c>
      <c r="Q36" s="118">
        <f t="shared" si="2"/>
        <v>0</v>
      </c>
      <c r="R36" s="122" t="s">
        <v>1113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1" t="s">
        <v>106</v>
      </c>
      <c r="B37" s="16" t="s">
        <v>1067</v>
      </c>
      <c r="C37" s="20" t="s">
        <v>130</v>
      </c>
      <c r="D37" s="66">
        <v>44114</v>
      </c>
      <c r="E37" s="66">
        <v>44144</v>
      </c>
      <c r="F37" s="71">
        <v>625</v>
      </c>
      <c r="G37" s="68"/>
      <c r="H37" s="68"/>
      <c r="I37" s="69"/>
      <c r="J37" s="72">
        <v>625</v>
      </c>
      <c r="K37" s="70">
        <v>44110</v>
      </c>
      <c r="L37" s="69">
        <v>20</v>
      </c>
      <c r="M37" s="102">
        <f t="shared" si="1"/>
        <v>605</v>
      </c>
      <c r="N37" s="40" t="s">
        <v>6</v>
      </c>
      <c r="O37" s="71">
        <v>353.23</v>
      </c>
      <c r="P37" s="39">
        <f t="shared" si="3"/>
        <v>251.76999999999998</v>
      </c>
      <c r="Q37" s="118">
        <f t="shared" si="2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2">
      <c r="A38" s="161" t="s">
        <v>224</v>
      </c>
      <c r="B38" s="16" t="s">
        <v>1115</v>
      </c>
      <c r="C38" s="20"/>
      <c r="D38" s="70"/>
      <c r="E38" s="70"/>
      <c r="F38" s="67"/>
      <c r="G38" s="68"/>
      <c r="H38" s="68"/>
      <c r="I38" s="69"/>
      <c r="J38" s="72"/>
      <c r="K38" s="70"/>
      <c r="L38" s="69">
        <v>20</v>
      </c>
      <c r="M38" s="102">
        <f t="shared" si="1"/>
        <v>-20</v>
      </c>
      <c r="N38" s="40" t="s">
        <v>6</v>
      </c>
      <c r="O38" s="67">
        <v>157.09</v>
      </c>
      <c r="P38" s="39">
        <f t="shared" si="3"/>
        <v>-177.09</v>
      </c>
      <c r="Q38" s="118">
        <f t="shared" si="2"/>
        <v>0</v>
      </c>
      <c r="R38" s="50" t="s">
        <v>1114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1" t="s">
        <v>226</v>
      </c>
      <c r="B39" s="16" t="s">
        <v>1068</v>
      </c>
      <c r="C39" s="20" t="s">
        <v>130</v>
      </c>
      <c r="D39" s="70">
        <v>44116</v>
      </c>
      <c r="E39" s="70">
        <v>44146</v>
      </c>
      <c r="F39" s="67">
        <v>615</v>
      </c>
      <c r="G39" s="68"/>
      <c r="H39" s="68"/>
      <c r="I39" s="69"/>
      <c r="J39" s="72">
        <v>615</v>
      </c>
      <c r="K39" s="66">
        <v>44116</v>
      </c>
      <c r="L39" s="69"/>
      <c r="M39" s="102">
        <f t="shared" si="1"/>
        <v>615</v>
      </c>
      <c r="N39" s="40" t="s">
        <v>6</v>
      </c>
      <c r="O39" s="67">
        <v>157.09</v>
      </c>
      <c r="P39" s="39">
        <f t="shared" si="3"/>
        <v>457.90999999999997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1" t="s">
        <v>227</v>
      </c>
      <c r="B40" s="16" t="s">
        <v>1069</v>
      </c>
      <c r="C40" s="20" t="s">
        <v>130</v>
      </c>
      <c r="D40" s="70">
        <v>44088</v>
      </c>
      <c r="E40" s="70">
        <v>44117</v>
      </c>
      <c r="F40" s="71">
        <v>700</v>
      </c>
      <c r="G40" s="68"/>
      <c r="H40" s="68"/>
      <c r="I40" s="69"/>
      <c r="J40" s="72">
        <v>700</v>
      </c>
      <c r="K40" s="70">
        <v>44118</v>
      </c>
      <c r="L40" s="69">
        <v>437.4</v>
      </c>
      <c r="M40" s="102">
        <f t="shared" si="1"/>
        <v>262.60000000000002</v>
      </c>
      <c r="N40" s="40" t="s">
        <v>6</v>
      </c>
      <c r="O40" s="71">
        <v>184.81</v>
      </c>
      <c r="P40" s="39">
        <f t="shared" si="3"/>
        <v>77.79000000000002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1" t="s">
        <v>228</v>
      </c>
      <c r="B41" s="16" t="s">
        <v>1070</v>
      </c>
      <c r="C41" s="20" t="s">
        <v>130</v>
      </c>
      <c r="D41" s="66">
        <v>44128</v>
      </c>
      <c r="E41" s="66">
        <v>44158</v>
      </c>
      <c r="F41" s="67">
        <v>695</v>
      </c>
      <c r="G41" s="68"/>
      <c r="H41" s="68"/>
      <c r="I41" s="69"/>
      <c r="J41" s="72">
        <v>695</v>
      </c>
      <c r="K41" s="66">
        <v>44132</v>
      </c>
      <c r="L41" s="69">
        <v>21</v>
      </c>
      <c r="M41" s="102">
        <f t="shared" si="1"/>
        <v>674</v>
      </c>
      <c r="N41" s="40" t="s">
        <v>6</v>
      </c>
      <c r="O41" s="67">
        <v>183.34</v>
      </c>
      <c r="P41" s="39">
        <f t="shared" si="3"/>
        <v>490.65999999999997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1" t="s">
        <v>107</v>
      </c>
      <c r="B42" s="16" t="s">
        <v>1071</v>
      </c>
      <c r="C42" s="20" t="s">
        <v>130</v>
      </c>
      <c r="D42" s="66">
        <v>44126</v>
      </c>
      <c r="E42" s="66">
        <v>44156</v>
      </c>
      <c r="F42" s="71">
        <v>625</v>
      </c>
      <c r="G42" s="68"/>
      <c r="H42" s="68"/>
      <c r="I42" s="69"/>
      <c r="J42" s="72">
        <v>625</v>
      </c>
      <c r="K42" s="70">
        <v>44125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8">
        <f t="shared" si="2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25">
      <c r="A43" s="161" t="s">
        <v>67</v>
      </c>
      <c r="B43" s="16" t="s">
        <v>1072</v>
      </c>
      <c r="C43" s="20" t="s">
        <v>130</v>
      </c>
      <c r="D43" s="66">
        <v>44107</v>
      </c>
      <c r="E43" s="66">
        <v>44138</v>
      </c>
      <c r="F43" s="71">
        <v>600</v>
      </c>
      <c r="G43" s="68"/>
      <c r="H43" s="68"/>
      <c r="I43" s="69"/>
      <c r="J43" s="72">
        <v>600</v>
      </c>
      <c r="K43" s="70">
        <v>44109</v>
      </c>
      <c r="L43" s="69">
        <v>332.14</v>
      </c>
      <c r="M43" s="102">
        <f t="shared" si="1"/>
        <v>267.86</v>
      </c>
      <c r="N43" s="40" t="s">
        <v>6</v>
      </c>
      <c r="O43" s="71">
        <v>183.02</v>
      </c>
      <c r="P43" s="39">
        <f t="shared" si="3"/>
        <v>84.84</v>
      </c>
      <c r="Q43" s="118">
        <f t="shared" si="2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25">
      <c r="A44" s="161" t="s">
        <v>109</v>
      </c>
      <c r="B44" s="16" t="s">
        <v>1073</v>
      </c>
      <c r="C44" s="20" t="s">
        <v>130</v>
      </c>
      <c r="D44" s="66">
        <v>44119</v>
      </c>
      <c r="E44" s="66">
        <v>44149</v>
      </c>
      <c r="F44" s="71">
        <v>700</v>
      </c>
      <c r="G44" s="68"/>
      <c r="H44" s="68"/>
      <c r="I44" s="69"/>
      <c r="J44" s="72">
        <v>700</v>
      </c>
      <c r="K44" s="70">
        <v>44119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8">
        <f t="shared" si="2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2">
      <c r="A45" s="158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1074</v>
      </c>
      <c r="C46" s="20" t="s">
        <v>567</v>
      </c>
      <c r="D46" s="66">
        <v>44092</v>
      </c>
      <c r="E46" s="66">
        <v>44152</v>
      </c>
      <c r="F46" s="71">
        <v>484.6</v>
      </c>
      <c r="G46" s="68">
        <v>29.08</v>
      </c>
      <c r="H46" s="68">
        <v>5.81</v>
      </c>
      <c r="I46" s="69">
        <v>6</v>
      </c>
      <c r="J46" s="72">
        <v>443.71</v>
      </c>
      <c r="K46" s="70">
        <v>44124.797222222223</v>
      </c>
      <c r="L46" s="69">
        <v>110</v>
      </c>
      <c r="M46" s="102">
        <f t="shared" si="1"/>
        <v>333.71000000000004</v>
      </c>
      <c r="N46" s="40" t="s">
        <v>6</v>
      </c>
      <c r="O46" s="71">
        <v>153.77000000000001</v>
      </c>
      <c r="P46" s="39">
        <f t="shared" si="3"/>
        <v>179.94000000000003</v>
      </c>
      <c r="Q46" s="118">
        <f t="shared" si="2"/>
        <v>-5.6843418860808015E-14</v>
      </c>
      <c r="R46" s="50" t="s">
        <v>575</v>
      </c>
      <c r="S46" s="60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2">
      <c r="A47" s="22" t="s">
        <v>69</v>
      </c>
      <c r="B47" s="16" t="s">
        <v>1075</v>
      </c>
      <c r="C47" s="20" t="s">
        <v>567</v>
      </c>
      <c r="D47" s="66">
        <v>44110</v>
      </c>
      <c r="E47" s="66">
        <v>44140</v>
      </c>
      <c r="F47" s="67">
        <v>525</v>
      </c>
      <c r="G47" s="68">
        <v>36.75</v>
      </c>
      <c r="H47" s="68">
        <v>7.35</v>
      </c>
      <c r="I47" s="69">
        <v>6</v>
      </c>
      <c r="J47" s="72">
        <v>474.9</v>
      </c>
      <c r="K47" s="70">
        <v>44110.617361111108</v>
      </c>
      <c r="L47" s="69"/>
      <c r="M47" s="102">
        <f t="shared" si="1"/>
        <v>474.9</v>
      </c>
      <c r="N47" s="40" t="s">
        <v>6</v>
      </c>
      <c r="O47" s="67">
        <v>50.05</v>
      </c>
      <c r="P47" s="39">
        <f t="shared" si="3"/>
        <v>424.84999999999997</v>
      </c>
      <c r="Q47" s="118">
        <f t="shared" si="2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59" t="s">
        <v>86</v>
      </c>
      <c r="B48" s="16" t="s">
        <v>1076</v>
      </c>
      <c r="C48" s="20" t="s">
        <v>95</v>
      </c>
      <c r="D48" s="66">
        <v>44127</v>
      </c>
      <c r="E48" s="66">
        <v>44157</v>
      </c>
      <c r="F48" s="71">
        <v>453.28</v>
      </c>
      <c r="G48" s="68">
        <v>27.2</v>
      </c>
      <c r="H48" s="68">
        <v>5.44</v>
      </c>
      <c r="I48" s="69">
        <v>6</v>
      </c>
      <c r="J48" s="72">
        <v>414.64</v>
      </c>
      <c r="K48" s="70">
        <v>44127.544444444444</v>
      </c>
      <c r="L48" s="69">
        <v>92.82</v>
      </c>
      <c r="M48" s="102">
        <f t="shared" si="1"/>
        <v>321.82</v>
      </c>
      <c r="N48" s="40" t="s">
        <v>6</v>
      </c>
      <c r="O48" s="71">
        <v>153.74</v>
      </c>
      <c r="P48" s="39">
        <f t="shared" si="3"/>
        <v>168.07999999999998</v>
      </c>
      <c r="Q48" s="118">
        <f t="shared" si="2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1077</v>
      </c>
      <c r="C49" s="20" t="s">
        <v>95</v>
      </c>
      <c r="D49" s="70">
        <v>44088</v>
      </c>
      <c r="E49" s="70">
        <v>44148</v>
      </c>
      <c r="F49" s="71">
        <v>461.52</v>
      </c>
      <c r="G49" s="68">
        <v>32.299999999999997</v>
      </c>
      <c r="H49" s="68">
        <v>6.46</v>
      </c>
      <c r="I49" s="69">
        <v>6</v>
      </c>
      <c r="J49" s="72">
        <v>416.76</v>
      </c>
      <c r="K49" s="70">
        <v>44124.797222222223</v>
      </c>
      <c r="L49" s="69"/>
      <c r="M49" s="102">
        <f t="shared" si="1"/>
        <v>416.76</v>
      </c>
      <c r="N49" s="40" t="s">
        <v>6</v>
      </c>
      <c r="O49" s="71">
        <v>148.72999999999999</v>
      </c>
      <c r="P49" s="39">
        <f t="shared" si="3"/>
        <v>268.02999999999997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1" t="s">
        <v>231</v>
      </c>
      <c r="B50" s="16" t="s">
        <v>1078</v>
      </c>
      <c r="C50" s="20" t="s">
        <v>567</v>
      </c>
      <c r="D50" s="66">
        <v>44129</v>
      </c>
      <c r="E50" s="66">
        <v>44159</v>
      </c>
      <c r="F50" s="67">
        <v>600</v>
      </c>
      <c r="G50" s="68"/>
      <c r="H50" s="68"/>
      <c r="I50" s="69"/>
      <c r="J50" s="72">
        <v>600</v>
      </c>
      <c r="K50" s="70">
        <v>44130</v>
      </c>
      <c r="L50" s="69"/>
      <c r="M50" s="102">
        <f t="shared" si="1"/>
        <v>600</v>
      </c>
      <c r="N50" s="40" t="s">
        <v>6</v>
      </c>
      <c r="O50" s="67">
        <v>153.74</v>
      </c>
      <c r="P50" s="39">
        <f t="shared" si="3"/>
        <v>446.26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1079</v>
      </c>
      <c r="C51" s="20" t="s">
        <v>95</v>
      </c>
      <c r="D51" s="66">
        <v>44124</v>
      </c>
      <c r="E51" s="66">
        <v>44154</v>
      </c>
      <c r="F51" s="71">
        <v>461.52</v>
      </c>
      <c r="G51" s="68">
        <v>27.69</v>
      </c>
      <c r="H51" s="68">
        <v>5.54</v>
      </c>
      <c r="I51" s="69">
        <v>6</v>
      </c>
      <c r="J51" s="72">
        <v>422.29</v>
      </c>
      <c r="K51" s="70">
        <v>44124.797222222223</v>
      </c>
      <c r="L51" s="69"/>
      <c r="M51" s="102">
        <f t="shared" si="1"/>
        <v>422.28999999999996</v>
      </c>
      <c r="N51" s="40" t="s">
        <v>258</v>
      </c>
      <c r="O51" s="71">
        <v>153.75</v>
      </c>
      <c r="P51" s="39">
        <f t="shared" si="3"/>
        <v>268.53999999999996</v>
      </c>
      <c r="Q51" s="118">
        <f t="shared" si="2"/>
        <v>5.6843418860808015E-14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2">
      <c r="A52" s="22" t="s">
        <v>71</v>
      </c>
      <c r="B52" s="16" t="s">
        <v>1080</v>
      </c>
      <c r="C52" s="20" t="s">
        <v>567</v>
      </c>
      <c r="D52" s="66">
        <v>44110</v>
      </c>
      <c r="E52" s="66">
        <v>44140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44110.617361111108</v>
      </c>
      <c r="L52" s="69"/>
      <c r="M52" s="102">
        <f t="shared" si="1"/>
        <v>452</v>
      </c>
      <c r="N52" s="40" t="s">
        <v>6</v>
      </c>
      <c r="O52" s="67">
        <v>194.02</v>
      </c>
      <c r="P52" s="39">
        <f t="shared" si="3"/>
        <v>257.98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1081</v>
      </c>
      <c r="C53" s="20" t="s">
        <v>95</v>
      </c>
      <c r="D53" s="66">
        <v>44093</v>
      </c>
      <c r="E53" s="66">
        <v>44153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44124.797222222223</v>
      </c>
      <c r="L53" s="69"/>
      <c r="M53" s="102">
        <f t="shared" si="1"/>
        <v>422.28999999999996</v>
      </c>
      <c r="N53" s="40" t="s">
        <v>6</v>
      </c>
      <c r="O53" s="71">
        <v>159.08000000000001</v>
      </c>
      <c r="P53" s="39">
        <f t="shared" si="3"/>
        <v>263.20999999999992</v>
      </c>
      <c r="Q53" s="118">
        <f t="shared" si="2"/>
        <v>5.6843418860808015E-14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2">
      <c r="A54" s="158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61" t="s">
        <v>73</v>
      </c>
      <c r="B55" s="16" t="s">
        <v>1082</v>
      </c>
      <c r="C55" s="20" t="s">
        <v>130</v>
      </c>
      <c r="D55" s="66">
        <v>44134</v>
      </c>
      <c r="E55" s="66">
        <v>44164</v>
      </c>
      <c r="F55" s="67">
        <v>675</v>
      </c>
      <c r="G55" s="68"/>
      <c r="H55" s="68"/>
      <c r="I55" s="69"/>
      <c r="J55" s="72">
        <v>675</v>
      </c>
      <c r="K55" s="70">
        <v>44131</v>
      </c>
      <c r="L55" s="69"/>
      <c r="M55" s="102">
        <f t="shared" si="1"/>
        <v>675</v>
      </c>
      <c r="N55" s="40" t="s">
        <v>6</v>
      </c>
      <c r="O55" s="67">
        <v>187.18</v>
      </c>
      <c r="P55" s="39">
        <f t="shared" si="3"/>
        <v>487.82</v>
      </c>
      <c r="Q55" s="118">
        <f t="shared" si="2"/>
        <v>0</v>
      </c>
      <c r="R55" s="50"/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1" t="s">
        <v>112</v>
      </c>
      <c r="B56" s="16" t="s">
        <v>1083</v>
      </c>
      <c r="C56" s="20" t="s">
        <v>130</v>
      </c>
      <c r="D56" s="66">
        <v>44119</v>
      </c>
      <c r="E56" s="66">
        <v>44149</v>
      </c>
      <c r="F56" s="71">
        <v>600</v>
      </c>
      <c r="G56" s="68"/>
      <c r="H56" s="68"/>
      <c r="I56" s="69"/>
      <c r="J56" s="72">
        <v>600</v>
      </c>
      <c r="K56" s="70">
        <v>44118</v>
      </c>
      <c r="L56" s="69">
        <v>142</v>
      </c>
      <c r="M56" s="102">
        <f t="shared" si="1"/>
        <v>458</v>
      </c>
      <c r="N56" s="40" t="s">
        <v>6</v>
      </c>
      <c r="O56" s="71">
        <v>153.76</v>
      </c>
      <c r="P56" s="39">
        <f t="shared" si="3"/>
        <v>304.24</v>
      </c>
      <c r="Q56" s="118">
        <f t="shared" si="2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2">
      <c r="A57" s="22" t="s">
        <v>115</v>
      </c>
      <c r="B57" s="16" t="s">
        <v>1084</v>
      </c>
      <c r="C57" s="20" t="s">
        <v>95</v>
      </c>
      <c r="D57" s="66">
        <v>44116</v>
      </c>
      <c r="E57" s="66">
        <v>44146</v>
      </c>
      <c r="F57" s="67">
        <v>500</v>
      </c>
      <c r="G57" s="68">
        <v>35</v>
      </c>
      <c r="H57" s="68">
        <v>7</v>
      </c>
      <c r="I57" s="69">
        <v>6</v>
      </c>
      <c r="J57" s="72">
        <v>452</v>
      </c>
      <c r="K57" s="70">
        <v>44117.605555555558</v>
      </c>
      <c r="L57" s="69"/>
      <c r="M57" s="102">
        <f t="shared" si="1"/>
        <v>452</v>
      </c>
      <c r="N57" s="40" t="s">
        <v>6</v>
      </c>
      <c r="O57" s="67">
        <v>168.95</v>
      </c>
      <c r="P57" s="39">
        <f t="shared" si="3"/>
        <v>283.05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68" t="s">
        <v>117</v>
      </c>
      <c r="B58" s="16" t="s">
        <v>1039</v>
      </c>
      <c r="C58" s="20"/>
      <c r="D58" s="66"/>
      <c r="E58" s="66"/>
      <c r="F58" s="71"/>
      <c r="G58" s="68"/>
      <c r="H58" s="68"/>
      <c r="I58" s="69"/>
      <c r="J58" s="72"/>
      <c r="K58" s="70"/>
      <c r="L58" s="69">
        <v>195</v>
      </c>
      <c r="M58" s="102">
        <f t="shared" si="1"/>
        <v>-195</v>
      </c>
      <c r="N58" s="40" t="s">
        <v>259</v>
      </c>
      <c r="O58" s="71">
        <v>153.72</v>
      </c>
      <c r="P58" s="39">
        <f t="shared" si="3"/>
        <v>-348.72</v>
      </c>
      <c r="Q58" s="118">
        <f t="shared" si="2"/>
        <v>0</v>
      </c>
      <c r="R58" s="122" t="s">
        <v>1117</v>
      </c>
      <c r="S58" s="60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2">
      <c r="A59" s="22" t="s">
        <v>74</v>
      </c>
      <c r="B59" s="16" t="s">
        <v>1085</v>
      </c>
      <c r="C59" s="20" t="s">
        <v>567</v>
      </c>
      <c r="D59" s="66">
        <v>44116</v>
      </c>
      <c r="E59" s="66">
        <v>44146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44117.605555555558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1086</v>
      </c>
      <c r="C60" s="20" t="s">
        <v>95</v>
      </c>
      <c r="D60" s="66">
        <v>44123</v>
      </c>
      <c r="E60" s="66">
        <v>44153</v>
      </c>
      <c r="F60" s="71">
        <v>505</v>
      </c>
      <c r="G60" s="68">
        <v>30.3</v>
      </c>
      <c r="H60" s="68">
        <v>6.06</v>
      </c>
      <c r="I60" s="69">
        <v>6</v>
      </c>
      <c r="J60" s="72">
        <v>462.64</v>
      </c>
      <c r="K60" s="70">
        <v>44123.527083333334</v>
      </c>
      <c r="L60" s="69"/>
      <c r="M60" s="102">
        <f t="shared" si="1"/>
        <v>462.64</v>
      </c>
      <c r="N60" s="40" t="s">
        <v>6</v>
      </c>
      <c r="O60" s="71">
        <v>153.72</v>
      </c>
      <c r="P60" s="39">
        <f t="shared" si="3"/>
        <v>308.91999999999996</v>
      </c>
      <c r="Q60" s="118">
        <f t="shared" si="2"/>
        <v>0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2">
      <c r="A61" s="22" t="s">
        <v>119</v>
      </c>
      <c r="B61" s="16" t="s">
        <v>1087</v>
      </c>
      <c r="C61" s="33" t="s">
        <v>567</v>
      </c>
      <c r="D61" s="66">
        <v>44132</v>
      </c>
      <c r="E61" s="66">
        <v>44162</v>
      </c>
      <c r="F61" s="67">
        <v>550</v>
      </c>
      <c r="G61" s="68">
        <v>38.5</v>
      </c>
      <c r="H61" s="68">
        <v>7.7</v>
      </c>
      <c r="I61" s="69">
        <v>6</v>
      </c>
      <c r="J61" s="72">
        <v>497.8</v>
      </c>
      <c r="K61" s="70">
        <v>44132.56527777778</v>
      </c>
      <c r="L61" s="69"/>
      <c r="M61" s="102">
        <f t="shared" si="1"/>
        <v>497.8</v>
      </c>
      <c r="N61" s="40" t="s">
        <v>6</v>
      </c>
      <c r="O61" s="67">
        <v>187.31</v>
      </c>
      <c r="P61" s="39">
        <f t="shared" si="3"/>
        <v>310.49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59" t="s">
        <v>75</v>
      </c>
      <c r="B62" s="16" t="s">
        <v>1088</v>
      </c>
      <c r="C62" s="20" t="s">
        <v>567</v>
      </c>
      <c r="D62" s="66">
        <v>44132</v>
      </c>
      <c r="E62" s="66">
        <v>44162</v>
      </c>
      <c r="F62" s="71">
        <v>525</v>
      </c>
      <c r="G62" s="68">
        <v>36.75</v>
      </c>
      <c r="H62" s="68">
        <v>7.35</v>
      </c>
      <c r="I62" s="69">
        <v>6</v>
      </c>
      <c r="J62" s="72">
        <v>474.9</v>
      </c>
      <c r="K62" s="70">
        <v>44132.56527777778</v>
      </c>
      <c r="L62" s="69"/>
      <c r="M62" s="102">
        <f t="shared" si="1"/>
        <v>474.9</v>
      </c>
      <c r="N62" s="40" t="s">
        <v>6</v>
      </c>
      <c r="O62" s="71">
        <v>159.08000000000001</v>
      </c>
      <c r="P62" s="39">
        <f t="shared" si="3"/>
        <v>315.81999999999994</v>
      </c>
      <c r="Q62" s="118">
        <f t="shared" si="2"/>
        <v>0</v>
      </c>
      <c r="R62" s="40"/>
      <c r="S62" s="60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59">
        <v>4</v>
      </c>
      <c r="B65" s="160" t="s">
        <v>571</v>
      </c>
      <c r="C65" s="11"/>
      <c r="E65" s="12" t="s">
        <v>19</v>
      </c>
      <c r="F65" s="35">
        <f>SUM(F9:F63)</f>
        <v>22793.08</v>
      </c>
      <c r="G65" s="35">
        <f>SUM(G9:G63)</f>
        <v>740.4</v>
      </c>
      <c r="H65" s="35">
        <f>SUM(H9:H63)</f>
        <v>148.07</v>
      </c>
      <c r="I65" s="35">
        <f>SUM(I9:I63)</f>
        <v>138</v>
      </c>
      <c r="J65" s="35">
        <f>SUM(J9:J63)</f>
        <v>21766.61</v>
      </c>
      <c r="K65" s="34"/>
      <c r="L65" s="35">
        <f>SUM(L9:L63)</f>
        <v>3190.93</v>
      </c>
      <c r="M65" s="35">
        <f>SUM(M9:M63)</f>
        <v>18575.68</v>
      </c>
      <c r="N65" s="34"/>
      <c r="O65" s="35">
        <f>SUM(O9:O63)</f>
        <v>7418.6200000000035</v>
      </c>
      <c r="P65" s="35">
        <f>SUM(P9:P63)</f>
        <v>11157.059999999996</v>
      </c>
      <c r="R65" s="34"/>
    </row>
    <row r="66" spans="1:18" ht="13.5" thickTop="1" x14ac:dyDescent="0.2">
      <c r="A66" s="157">
        <v>2</v>
      </c>
      <c r="B66" s="163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1">
        <v>19</v>
      </c>
      <c r="B67" s="163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4">
        <v>24</v>
      </c>
      <c r="B68" s="163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119CD455-29E8-44B9-A448-8217E5177D77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22793.08</v>
      </c>
      <c r="E5" s="34">
        <f>SUMIF('Rent Statement'!S9:S63,"=Mathew Tucker", 'Rent Statement'!F9:F63)</f>
        <v>14057.16</v>
      </c>
      <c r="H5" s="34">
        <f>SUMIF('Rent Statement'!S9:S63,"Ivana Valentino", 'Rent Statement'!F9:F63)</f>
        <v>8735.92</v>
      </c>
    </row>
    <row r="6" spans="1:9" x14ac:dyDescent="0.2">
      <c r="A6" t="s">
        <v>214</v>
      </c>
      <c r="C6" s="45">
        <f>-SUM('Rent Statement'!O9:O63)</f>
        <v>-7418.6200000000035</v>
      </c>
      <c r="F6" s="45">
        <f>-SUMIF('Rent Statement'!S9:S63,"Mathew Tucker",'Rent Statement'!O9:O63)</f>
        <v>-4102.4500000000007</v>
      </c>
      <c r="I6" s="45">
        <f>-SUMIF('Rent Statement'!S9:S63,"Ivana Valentino",'Rent Statement'!O9:O63)</f>
        <v>-3316.17</v>
      </c>
    </row>
    <row r="7" spans="1:9" x14ac:dyDescent="0.2">
      <c r="A7" t="s">
        <v>213</v>
      </c>
      <c r="C7" s="45">
        <f>-SUM('Rent Statement'!G9:G63)</f>
        <v>-740.4</v>
      </c>
      <c r="F7" s="45">
        <f>-SUMIF('Rent Statement'!S9:S63,"Mathew Tucker",'Rent Statement'!G9:G63)</f>
        <v>-531.69000000000005</v>
      </c>
      <c r="I7" s="45">
        <f>-SUMIF('Rent Statement'!S9:S63,"Ivana Valentino",'Rent Statement'!G9:G63)</f>
        <v>-208.71</v>
      </c>
    </row>
    <row r="8" spans="1:9" x14ac:dyDescent="0.2">
      <c r="A8" t="s">
        <v>212</v>
      </c>
      <c r="C8" s="45">
        <f>-SUM('Rent Statement'!H9:H63)</f>
        <v>-148.07</v>
      </c>
      <c r="F8" s="45">
        <f>-SUMIF('Rent Statement'!S9:S63,"Mathew Tucker",'Rent Statement'!H9:H63)</f>
        <v>-106.33</v>
      </c>
      <c r="I8" s="45">
        <f>-SUMIF('Rent Statement'!S9:S63,"Ivana Valentino",'Rent Statement'!H9:H63)</f>
        <v>-41.74</v>
      </c>
    </row>
    <row r="9" spans="1:9" x14ac:dyDescent="0.2">
      <c r="A9" t="s">
        <v>211</v>
      </c>
      <c r="C9" s="45">
        <f>-SUM('Rent Statement'!I9:I63)-SUM('Rent Statement'!L9:L63)</f>
        <v>-3328.93</v>
      </c>
      <c r="F9" s="45">
        <f>-SUMIF('Rent Statement'!S9:S63,"Mathew Tucker",'Rent Statement'!I9:I63)-SUMIF('Rent Statement'!S9:S63,"Mathew Tucker",'Rent Statement'!L9:L63)</f>
        <v>-2174.9699999999998</v>
      </c>
      <c r="I9" s="45">
        <f>-SUMIF('Rent Statement'!S9:S63,"Ivana Valentino",'Rent Statement'!I9:I63)-SUMIF('Rent Statement'!S9:S63,"Ivana Valentino",'Rent Statement'!L9:L63)</f>
        <v>-1153.96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11157.059999999998</v>
      </c>
      <c r="D12" s="43"/>
      <c r="E12" s="109">
        <f>E5+SUM(F6:F10)</f>
        <v>7141.7199999999993</v>
      </c>
      <c r="H12" s="109">
        <f>H5+SUM(I6:I10)</f>
        <v>4015.34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7141.7199999999993</v>
      </c>
      <c r="C15" s="82">
        <f>H12</f>
        <v>4015.34</v>
      </c>
      <c r="D15" s="89"/>
      <c r="E15" s="154">
        <v>0.5</v>
      </c>
      <c r="F15" s="155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-3762.52</v>
      </c>
      <c r="C17" s="82">
        <f>EVAL("SUM(SUMIFS(IV_Amount, IV_BankRef," &amp;$H17&amp; "))")</f>
        <v>-3316.17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7069.33</v>
      </c>
      <c r="C18" s="82">
        <f>EVAL("SUM(SUMIFS(IV_Amount, IV_BankRef," &amp;$H18&amp; "))")</f>
        <v>2200.35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3306.81</v>
      </c>
      <c r="C19" s="83">
        <f>SUM(C17:C18)</f>
        <v>-1115.8200000000002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125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-20.48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-102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0</v>
      </c>
      <c r="C29" s="83">
        <f>EVAL("SUM(SUMIFS(IV_Amount, IV_BankRef," &amp;$H29&amp; "))")</f>
        <v>-200</v>
      </c>
      <c r="D29" s="111">
        <f t="shared" ref="D29:D35" si="1">B29+C29</f>
        <v>-200</v>
      </c>
      <c r="E29" s="112">
        <f>IFERROR(($D29)*E$15,"")</f>
        <v>-100</v>
      </c>
      <c r="F29" s="113">
        <f>IFERROR(($D29)*F$15,"")</f>
        <v>-100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-1872</v>
      </c>
      <c r="D30" s="94">
        <f t="shared" si="1"/>
        <v>-1872</v>
      </c>
      <c r="E30" s="95">
        <f t="shared" ref="E30:F35" si="2">IFERROR(($D30)*E$15,"")</f>
        <v>-936</v>
      </c>
      <c r="F30" s="96">
        <f t="shared" si="2"/>
        <v>-936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t="shared" si="1"/>
        <v>-37.950000000000003</v>
      </c>
      <c r="E31" s="95">
        <f t="shared" si="2"/>
        <v>-18.975000000000001</v>
      </c>
      <c r="F31" s="96">
        <f t="shared" si="2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-58.99</v>
      </c>
      <c r="D32" s="94">
        <f t="shared" si="1"/>
        <v>-58.99</v>
      </c>
      <c r="E32" s="95">
        <f t="shared" si="2"/>
        <v>-29.495000000000001</v>
      </c>
      <c r="F32" s="96">
        <f t="shared" si="2"/>
        <v>-29.495000000000001</v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-1533</v>
      </c>
      <c r="D33" s="94">
        <f t="shared" si="1"/>
        <v>-1533</v>
      </c>
      <c r="E33" s="95">
        <f t="shared" si="2"/>
        <v>-766.5</v>
      </c>
      <c r="F33" s="96">
        <f t="shared" si="2"/>
        <v>-766.5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-3701.9399999999996</v>
      </c>
      <c r="D36" s="98">
        <f>SUBTOTAL(9,D20:D35)</f>
        <v>-3701.9399999999996</v>
      </c>
      <c r="E36" s="99">
        <f>SUBTOTAL(9,E29:E35)</f>
        <v>-1850.9699999999998</v>
      </c>
      <c r="F36" s="97">
        <f>SUBTOTAL(9,F29:F35)</f>
        <v>-1850.9699999999998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-3701.9399999999996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-650.9699999999998</v>
      </c>
      <c r="F41" s="99">
        <f>F36-F38-F39</f>
        <v>650.9699999999998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1613.69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6" t="s">
        <v>1089</v>
      </c>
    </row>
    <row r="4" spans="1:9" x14ac:dyDescent="0.2">
      <c r="A4" t="s">
        <v>1090</v>
      </c>
      <c r="B4">
        <v>24</v>
      </c>
    </row>
    <row r="5" spans="1:9" x14ac:dyDescent="0.2">
      <c r="A5" t="s">
        <v>1091</v>
      </c>
      <c r="B5">
        <v>32</v>
      </c>
    </row>
    <row r="6" spans="1:9" x14ac:dyDescent="0.2">
      <c r="A6" t="s">
        <v>1092</v>
      </c>
      <c r="B6">
        <v>32</v>
      </c>
    </row>
    <row r="7" spans="1:9" x14ac:dyDescent="0.2">
      <c r="A7" t="s">
        <v>1093</v>
      </c>
      <c r="B7">
        <v>28</v>
      </c>
    </row>
    <row r="8" spans="1:9" x14ac:dyDescent="0.2">
      <c r="A8" t="s">
        <v>1094</v>
      </c>
      <c r="B8">
        <v>19</v>
      </c>
    </row>
    <row r="9" spans="1:9" x14ac:dyDescent="0.2">
      <c r="A9" t="s">
        <v>1095</v>
      </c>
      <c r="B9">
        <v>21</v>
      </c>
    </row>
    <row r="11" spans="1:9" ht="15" x14ac:dyDescent="0.25">
      <c r="A11" s="166" t="s">
        <v>24</v>
      </c>
      <c r="B11" s="166" t="s">
        <v>512</v>
      </c>
      <c r="C11" s="166" t="s">
        <v>514</v>
      </c>
      <c r="D11" s="166" t="s">
        <v>547</v>
      </c>
      <c r="E11" s="166" t="s">
        <v>1096</v>
      </c>
      <c r="F11" s="166" t="s">
        <v>1097</v>
      </c>
    </row>
    <row r="12" spans="1:9" x14ac:dyDescent="0.2">
      <c r="A12" t="s">
        <v>70</v>
      </c>
      <c r="B12" s="167">
        <v>44102.022916666669</v>
      </c>
      <c r="C12">
        <v>-6</v>
      </c>
      <c r="D12" t="s">
        <v>917</v>
      </c>
      <c r="E12">
        <v>222840</v>
      </c>
      <c r="F12" t="s">
        <v>1098</v>
      </c>
    </row>
    <row r="13" spans="1:9" x14ac:dyDescent="0.2">
      <c r="A13" t="s">
        <v>71</v>
      </c>
      <c r="B13" s="167">
        <v>44102.022916666669</v>
      </c>
      <c r="C13">
        <v>-6</v>
      </c>
      <c r="D13" t="s">
        <v>921</v>
      </c>
      <c r="E13">
        <v>222844</v>
      </c>
      <c r="F13" t="s">
        <v>1098</v>
      </c>
    </row>
    <row r="14" spans="1:9" x14ac:dyDescent="0.2">
      <c r="A14" t="s">
        <v>69</v>
      </c>
      <c r="B14" s="167">
        <v>44102.022916666669</v>
      </c>
      <c r="C14">
        <v>-6</v>
      </c>
      <c r="D14" t="s">
        <v>925</v>
      </c>
      <c r="E14">
        <v>222851</v>
      </c>
      <c r="F14" t="s">
        <v>1098</v>
      </c>
    </row>
    <row r="15" spans="1:9" x14ac:dyDescent="0.2">
      <c r="A15" t="s">
        <v>115</v>
      </c>
      <c r="B15" s="167">
        <v>44102.022916666669</v>
      </c>
      <c r="C15">
        <v>-6</v>
      </c>
      <c r="D15" t="s">
        <v>929</v>
      </c>
      <c r="E15">
        <v>222858</v>
      </c>
      <c r="F15" t="s">
        <v>1098</v>
      </c>
    </row>
    <row r="16" spans="1:9" x14ac:dyDescent="0.2">
      <c r="A16" t="s">
        <v>74</v>
      </c>
      <c r="B16" s="167">
        <v>44102.022916666669</v>
      </c>
      <c r="C16">
        <v>-6</v>
      </c>
      <c r="D16" t="s">
        <v>933</v>
      </c>
      <c r="E16">
        <v>222862</v>
      </c>
      <c r="F16" t="s">
        <v>1098</v>
      </c>
    </row>
    <row r="17" spans="1:6" x14ac:dyDescent="0.2">
      <c r="A17" t="s">
        <v>53</v>
      </c>
      <c r="B17" s="167">
        <v>44102.022916666669</v>
      </c>
      <c r="C17">
        <v>-12</v>
      </c>
      <c r="D17" t="s">
        <v>941</v>
      </c>
      <c r="E17">
        <v>222870</v>
      </c>
      <c r="F17" t="s">
        <v>1098</v>
      </c>
    </row>
    <row r="18" spans="1:6" x14ac:dyDescent="0.2">
      <c r="A18" t="s">
        <v>187</v>
      </c>
      <c r="B18" s="167">
        <v>44102.022916666669</v>
      </c>
      <c r="C18">
        <v>-6</v>
      </c>
      <c r="D18" t="s">
        <v>950</v>
      </c>
      <c r="E18">
        <v>222881</v>
      </c>
      <c r="F18" t="s">
        <v>1098</v>
      </c>
    </row>
    <row r="19" spans="1:6" x14ac:dyDescent="0.2">
      <c r="A19" t="s">
        <v>59</v>
      </c>
      <c r="B19" s="167">
        <v>44102.022916666669</v>
      </c>
      <c r="C19">
        <v>-6</v>
      </c>
      <c r="D19" t="s">
        <v>954</v>
      </c>
      <c r="E19">
        <v>222885</v>
      </c>
      <c r="F19" t="s">
        <v>1098</v>
      </c>
    </row>
    <row r="20" spans="1:6" x14ac:dyDescent="0.2">
      <c r="A20" t="s">
        <v>57</v>
      </c>
      <c r="B20" s="167">
        <v>44102.022916666669</v>
      </c>
      <c r="C20">
        <v>-6</v>
      </c>
      <c r="D20" t="s">
        <v>959</v>
      </c>
      <c r="E20">
        <v>222891</v>
      </c>
      <c r="F20" t="s">
        <v>1098</v>
      </c>
    </row>
    <row r="21" spans="1:6" x14ac:dyDescent="0.2">
      <c r="A21" t="s">
        <v>63</v>
      </c>
      <c r="B21" s="167">
        <v>44102.022916666669</v>
      </c>
      <c r="C21">
        <v>-6</v>
      </c>
      <c r="D21" t="s">
        <v>963</v>
      </c>
      <c r="E21">
        <v>222898</v>
      </c>
      <c r="F21" t="s">
        <v>1098</v>
      </c>
    </row>
    <row r="22" spans="1:6" x14ac:dyDescent="0.2">
      <c r="A22" t="s">
        <v>64</v>
      </c>
      <c r="B22" s="167">
        <v>44102.022916666669</v>
      </c>
      <c r="C22">
        <v>-6</v>
      </c>
      <c r="D22" t="s">
        <v>967</v>
      </c>
      <c r="E22">
        <v>222902</v>
      </c>
      <c r="F22" t="s">
        <v>1098</v>
      </c>
    </row>
    <row r="23" spans="1:6" x14ac:dyDescent="0.2">
      <c r="A23" t="s">
        <v>66</v>
      </c>
      <c r="B23" s="167">
        <v>44102.022916666669</v>
      </c>
      <c r="C23">
        <v>-6</v>
      </c>
      <c r="D23" t="s">
        <v>971</v>
      </c>
      <c r="E23">
        <v>222909</v>
      </c>
      <c r="F23" t="s">
        <v>1098</v>
      </c>
    </row>
    <row r="24" spans="1:6" x14ac:dyDescent="0.2">
      <c r="A24" t="s">
        <v>61</v>
      </c>
      <c r="B24" s="167">
        <v>44102.022916666669</v>
      </c>
      <c r="C24">
        <v>-6</v>
      </c>
      <c r="D24" t="s">
        <v>975</v>
      </c>
      <c r="E24">
        <v>222916</v>
      </c>
      <c r="F24" t="s">
        <v>1098</v>
      </c>
    </row>
    <row r="25" spans="1:6" x14ac:dyDescent="0.2">
      <c r="A25" t="s">
        <v>111</v>
      </c>
      <c r="B25" s="167">
        <v>44102.022916666669</v>
      </c>
      <c r="C25">
        <v>-6</v>
      </c>
      <c r="D25" t="s">
        <v>980</v>
      </c>
      <c r="E25">
        <v>222923</v>
      </c>
      <c r="F25" t="s">
        <v>1098</v>
      </c>
    </row>
    <row r="26" spans="1:6" x14ac:dyDescent="0.2">
      <c r="A26" t="s">
        <v>186</v>
      </c>
      <c r="B26" s="167">
        <v>44102.022916666669</v>
      </c>
      <c r="C26">
        <v>-6</v>
      </c>
      <c r="D26" t="s">
        <v>984</v>
      </c>
      <c r="E26">
        <v>222927</v>
      </c>
      <c r="F26" t="s">
        <v>1098</v>
      </c>
    </row>
    <row r="27" spans="1:6" x14ac:dyDescent="0.2">
      <c r="A27" t="s">
        <v>68</v>
      </c>
      <c r="B27" s="167">
        <v>44102.022916666669</v>
      </c>
      <c r="C27">
        <v>-6</v>
      </c>
      <c r="D27" t="s">
        <v>993</v>
      </c>
      <c r="E27">
        <v>222940</v>
      </c>
      <c r="F27" t="s">
        <v>1098</v>
      </c>
    </row>
    <row r="28" spans="1:6" x14ac:dyDescent="0.2">
      <c r="A28" t="s">
        <v>86</v>
      </c>
      <c r="B28" s="167">
        <v>44102.022916666669</v>
      </c>
      <c r="C28">
        <v>-6</v>
      </c>
      <c r="D28" t="s">
        <v>997</v>
      </c>
      <c r="E28">
        <v>222944</v>
      </c>
      <c r="F28" t="s">
        <v>1098</v>
      </c>
    </row>
    <row r="29" spans="1:6" x14ac:dyDescent="0.2">
      <c r="A29" t="s">
        <v>72</v>
      </c>
      <c r="B29" s="167">
        <v>44102.022916666669</v>
      </c>
      <c r="C29">
        <v>-6</v>
      </c>
      <c r="D29" t="s">
        <v>1002</v>
      </c>
      <c r="E29">
        <v>222950</v>
      </c>
      <c r="F29" t="s">
        <v>1098</v>
      </c>
    </row>
    <row r="30" spans="1:6" x14ac:dyDescent="0.2">
      <c r="A30" t="s">
        <v>118</v>
      </c>
      <c r="B30" s="167">
        <v>44102.022916666669</v>
      </c>
      <c r="C30">
        <v>-6</v>
      </c>
      <c r="D30" t="s">
        <v>1006</v>
      </c>
      <c r="E30">
        <v>222957</v>
      </c>
      <c r="F30" t="s">
        <v>1098</v>
      </c>
    </row>
    <row r="31" spans="1:6" x14ac:dyDescent="0.2">
      <c r="A31" t="s">
        <v>70</v>
      </c>
      <c r="B31" s="167">
        <v>44132.022916666669</v>
      </c>
      <c r="C31">
        <v>-6</v>
      </c>
      <c r="D31" t="s">
        <v>917</v>
      </c>
      <c r="E31">
        <v>224503</v>
      </c>
      <c r="F31" t="s">
        <v>1099</v>
      </c>
    </row>
    <row r="32" spans="1:6" x14ac:dyDescent="0.2">
      <c r="A32" t="s">
        <v>71</v>
      </c>
      <c r="B32" s="167">
        <v>44132.022916666669</v>
      </c>
      <c r="C32">
        <v>-6</v>
      </c>
      <c r="D32" t="s">
        <v>921</v>
      </c>
      <c r="E32">
        <v>224507</v>
      </c>
      <c r="F32" t="s">
        <v>1099</v>
      </c>
    </row>
    <row r="33" spans="1:6" x14ac:dyDescent="0.2">
      <c r="A33" t="s">
        <v>69</v>
      </c>
      <c r="B33" s="167">
        <v>44132.022916666669</v>
      </c>
      <c r="C33">
        <v>-6</v>
      </c>
      <c r="D33" t="s">
        <v>925</v>
      </c>
      <c r="E33">
        <v>224514</v>
      </c>
      <c r="F33" t="s">
        <v>1099</v>
      </c>
    </row>
    <row r="34" spans="1:6" x14ac:dyDescent="0.2">
      <c r="A34" t="s">
        <v>115</v>
      </c>
      <c r="B34" s="167">
        <v>44132.022916666669</v>
      </c>
      <c r="C34">
        <v>-6</v>
      </c>
      <c r="D34" t="s">
        <v>929</v>
      </c>
      <c r="E34">
        <v>224521</v>
      </c>
      <c r="F34" t="s">
        <v>1099</v>
      </c>
    </row>
    <row r="35" spans="1:6" x14ac:dyDescent="0.2">
      <c r="A35" t="s">
        <v>74</v>
      </c>
      <c r="B35" s="167">
        <v>44132.022916666669</v>
      </c>
      <c r="C35">
        <v>-6</v>
      </c>
      <c r="D35" t="s">
        <v>933</v>
      </c>
      <c r="E35">
        <v>224525</v>
      </c>
      <c r="F35" t="s">
        <v>1099</v>
      </c>
    </row>
    <row r="36" spans="1:6" x14ac:dyDescent="0.2">
      <c r="A36" t="s">
        <v>53</v>
      </c>
      <c r="B36" s="167">
        <v>44132.022916666669</v>
      </c>
      <c r="C36">
        <v>-12</v>
      </c>
      <c r="D36" t="s">
        <v>941</v>
      </c>
      <c r="E36">
        <v>224533</v>
      </c>
      <c r="F36" t="s">
        <v>1099</v>
      </c>
    </row>
    <row r="37" spans="1:6" x14ac:dyDescent="0.2">
      <c r="A37" t="s">
        <v>55</v>
      </c>
      <c r="B37" s="167">
        <v>44132.022916666669</v>
      </c>
      <c r="C37">
        <v>-6</v>
      </c>
      <c r="D37" t="s">
        <v>942</v>
      </c>
      <c r="E37">
        <v>224534</v>
      </c>
      <c r="F37" t="s">
        <v>1099</v>
      </c>
    </row>
    <row r="38" spans="1:6" x14ac:dyDescent="0.2">
      <c r="A38" t="s">
        <v>56</v>
      </c>
      <c r="B38" s="167">
        <v>44132.022916666669</v>
      </c>
      <c r="C38">
        <v>-6</v>
      </c>
      <c r="D38" t="s">
        <v>946</v>
      </c>
      <c r="E38">
        <v>224538</v>
      </c>
      <c r="F38" t="s">
        <v>1099</v>
      </c>
    </row>
    <row r="39" spans="1:6" x14ac:dyDescent="0.2">
      <c r="A39" t="s">
        <v>187</v>
      </c>
      <c r="B39" s="167">
        <v>44132.022916666669</v>
      </c>
      <c r="C39">
        <v>-6</v>
      </c>
      <c r="D39" t="s">
        <v>950</v>
      </c>
      <c r="E39">
        <v>224545</v>
      </c>
      <c r="F39" t="s">
        <v>1099</v>
      </c>
    </row>
    <row r="40" spans="1:6" x14ac:dyDescent="0.2">
      <c r="A40" t="s">
        <v>59</v>
      </c>
      <c r="B40" s="167">
        <v>44132.022916666669</v>
      </c>
      <c r="C40">
        <v>-6</v>
      </c>
      <c r="D40" t="s">
        <v>954</v>
      </c>
      <c r="E40">
        <v>224549</v>
      </c>
      <c r="F40" t="s">
        <v>1099</v>
      </c>
    </row>
    <row r="41" spans="1:6" x14ac:dyDescent="0.2">
      <c r="A41" t="s">
        <v>57</v>
      </c>
      <c r="B41" s="167">
        <v>44132.022916666669</v>
      </c>
      <c r="C41">
        <v>-6</v>
      </c>
      <c r="D41" t="s">
        <v>959</v>
      </c>
      <c r="E41">
        <v>224555</v>
      </c>
      <c r="F41" t="s">
        <v>1099</v>
      </c>
    </row>
    <row r="42" spans="1:6" x14ac:dyDescent="0.2">
      <c r="A42" t="s">
        <v>63</v>
      </c>
      <c r="B42" s="167">
        <v>44132.022916666669</v>
      </c>
      <c r="C42">
        <v>-6</v>
      </c>
      <c r="D42" t="s">
        <v>963</v>
      </c>
      <c r="E42">
        <v>224559</v>
      </c>
      <c r="F42" t="s">
        <v>1099</v>
      </c>
    </row>
    <row r="43" spans="1:6" x14ac:dyDescent="0.2">
      <c r="A43" t="s">
        <v>64</v>
      </c>
      <c r="B43" s="167">
        <v>44132.022916666669</v>
      </c>
      <c r="C43">
        <v>-6</v>
      </c>
      <c r="D43" t="s">
        <v>967</v>
      </c>
      <c r="E43">
        <v>224563</v>
      </c>
      <c r="F43" t="s">
        <v>1099</v>
      </c>
    </row>
    <row r="44" spans="1:6" x14ac:dyDescent="0.2">
      <c r="A44" t="s">
        <v>66</v>
      </c>
      <c r="B44" s="167">
        <v>44132.022916666669</v>
      </c>
      <c r="C44">
        <v>-6</v>
      </c>
      <c r="D44" t="s">
        <v>971</v>
      </c>
      <c r="E44">
        <v>224570</v>
      </c>
      <c r="F44" t="s">
        <v>1099</v>
      </c>
    </row>
    <row r="45" spans="1:6" x14ac:dyDescent="0.2">
      <c r="A45" t="s">
        <v>61</v>
      </c>
      <c r="B45" s="167">
        <v>44132.022916666669</v>
      </c>
      <c r="C45">
        <v>-6</v>
      </c>
      <c r="D45" t="s">
        <v>975</v>
      </c>
      <c r="E45">
        <v>224574</v>
      </c>
      <c r="F45" t="s">
        <v>1099</v>
      </c>
    </row>
    <row r="46" spans="1:6" x14ac:dyDescent="0.2">
      <c r="A46" t="s">
        <v>111</v>
      </c>
      <c r="B46" s="167">
        <v>44132.022916666669</v>
      </c>
      <c r="C46">
        <v>-6</v>
      </c>
      <c r="D46" t="s">
        <v>980</v>
      </c>
      <c r="E46">
        <v>224580</v>
      </c>
      <c r="F46" t="s">
        <v>1099</v>
      </c>
    </row>
    <row r="47" spans="1:6" x14ac:dyDescent="0.2">
      <c r="A47" t="s">
        <v>186</v>
      </c>
      <c r="B47" s="167">
        <v>44132.022916666669</v>
      </c>
      <c r="C47">
        <v>-6</v>
      </c>
      <c r="D47" t="s">
        <v>984</v>
      </c>
      <c r="E47">
        <v>224584</v>
      </c>
      <c r="F47" t="s">
        <v>1099</v>
      </c>
    </row>
    <row r="48" spans="1:6" x14ac:dyDescent="0.2">
      <c r="A48" t="s">
        <v>68</v>
      </c>
      <c r="B48" s="167">
        <v>44132.022916666669</v>
      </c>
      <c r="C48">
        <v>-6</v>
      </c>
      <c r="D48" t="s">
        <v>993</v>
      </c>
      <c r="E48">
        <v>224594</v>
      </c>
      <c r="F48" t="s">
        <v>1099</v>
      </c>
    </row>
    <row r="49" spans="1:6" x14ac:dyDescent="0.2">
      <c r="A49" t="s">
        <v>86</v>
      </c>
      <c r="B49" s="167">
        <v>44132.022916666669</v>
      </c>
      <c r="C49">
        <v>-6</v>
      </c>
      <c r="D49" t="s">
        <v>997</v>
      </c>
      <c r="E49">
        <v>224598</v>
      </c>
      <c r="F49" t="s">
        <v>1099</v>
      </c>
    </row>
    <row r="50" spans="1:6" x14ac:dyDescent="0.2">
      <c r="A50" t="s">
        <v>72</v>
      </c>
      <c r="B50" s="167">
        <v>44132.022916666669</v>
      </c>
      <c r="C50">
        <v>-6</v>
      </c>
      <c r="D50" t="s">
        <v>1002</v>
      </c>
      <c r="E50">
        <v>224604</v>
      </c>
      <c r="F50" t="s">
        <v>1099</v>
      </c>
    </row>
    <row r="51" spans="1:6" x14ac:dyDescent="0.2">
      <c r="A51" t="s">
        <v>118</v>
      </c>
      <c r="B51" s="167">
        <v>44132.022916666669</v>
      </c>
      <c r="C51">
        <v>-6</v>
      </c>
      <c r="D51" t="s">
        <v>1006</v>
      </c>
      <c r="E51">
        <v>224611</v>
      </c>
      <c r="F51" t="s">
        <v>1099</v>
      </c>
    </row>
    <row r="52" spans="1:6" x14ac:dyDescent="0.2">
      <c r="B52" s="156"/>
    </row>
    <row r="53" spans="1:6" ht="15" x14ac:dyDescent="0.25">
      <c r="A53" s="166" t="s">
        <v>1100</v>
      </c>
    </row>
    <row r="54" spans="1:6" x14ac:dyDescent="0.2">
      <c r="A54" t="s">
        <v>1101</v>
      </c>
      <c r="B54" t="s">
        <v>520</v>
      </c>
    </row>
    <row r="55" spans="1:6" x14ac:dyDescent="0.2">
      <c r="A55" t="s">
        <v>1102</v>
      </c>
      <c r="B55">
        <v>111</v>
      </c>
    </row>
    <row r="56" spans="1:6" x14ac:dyDescent="0.2">
      <c r="A56" t="s">
        <v>1103</v>
      </c>
      <c r="B56">
        <v>111</v>
      </c>
    </row>
    <row r="57" spans="1:6" x14ac:dyDescent="0.2">
      <c r="A57" t="s">
        <v>1104</v>
      </c>
      <c r="B57">
        <v>0</v>
      </c>
    </row>
    <row r="58" spans="1:6" x14ac:dyDescent="0.2">
      <c r="A58" t="s">
        <v>1105</v>
      </c>
      <c r="B58">
        <v>111</v>
      </c>
      <c r="C58">
        <v>111</v>
      </c>
    </row>
    <row r="59" spans="1:6" x14ac:dyDescent="0.2">
      <c r="A59" t="s">
        <v>1106</v>
      </c>
      <c r="B59">
        <v>24</v>
      </c>
      <c r="C59">
        <v>24</v>
      </c>
    </row>
    <row r="60" spans="1:6" x14ac:dyDescent="0.2">
      <c r="A60" t="s">
        <v>1107</v>
      </c>
      <c r="B60">
        <v>27</v>
      </c>
      <c r="C60">
        <v>27</v>
      </c>
    </row>
    <row r="61" spans="1:6" x14ac:dyDescent="0.2">
      <c r="B61" s="136"/>
    </row>
    <row r="62" spans="1:6" x14ac:dyDescent="0.2">
      <c r="A62" t="s">
        <v>1101</v>
      </c>
      <c r="B62" t="s">
        <v>521</v>
      </c>
    </row>
    <row r="63" spans="1:6" x14ac:dyDescent="0.2">
      <c r="A63" t="s">
        <v>1102</v>
      </c>
      <c r="B63">
        <v>67</v>
      </c>
    </row>
    <row r="64" spans="1:6" x14ac:dyDescent="0.2">
      <c r="A64" t="s">
        <v>1103</v>
      </c>
      <c r="B64">
        <v>67</v>
      </c>
    </row>
    <row r="65" spans="1:3" x14ac:dyDescent="0.2">
      <c r="A65" t="s">
        <v>1104</v>
      </c>
      <c r="B65">
        <v>0</v>
      </c>
    </row>
    <row r="66" spans="1:3" x14ac:dyDescent="0.2">
      <c r="A66" t="s">
        <v>1105</v>
      </c>
      <c r="B66">
        <v>67</v>
      </c>
      <c r="C66">
        <v>67</v>
      </c>
    </row>
    <row r="67" spans="1:3" x14ac:dyDescent="0.2">
      <c r="A67" t="s">
        <v>1106</v>
      </c>
      <c r="B67">
        <v>16</v>
      </c>
      <c r="C67">
        <v>16</v>
      </c>
    </row>
    <row r="68" spans="1:3" x14ac:dyDescent="0.2">
      <c r="A68" t="s">
        <v>1107</v>
      </c>
      <c r="B68">
        <v>16</v>
      </c>
      <c r="C68">
        <v>16</v>
      </c>
    </row>
    <row r="70" spans="1:3" x14ac:dyDescent="0.2">
      <c r="B70" s="136"/>
    </row>
    <row r="78" spans="1:3" x14ac:dyDescent="0.2">
      <c r="B78" s="136"/>
    </row>
    <row r="79" spans="1:3" x14ac:dyDescent="0.2">
      <c r="B79" s="136"/>
    </row>
    <row r="80" spans="1:3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r="101" spans="1:2" ht="15" x14ac:dyDescent="0.2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topLeftCell="A70" zoomScale="85" zoomScaleNormal="85" workbookViewId="0">
      <selection activeCell="G63" sqref="G63:H63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12.85546875" style="129" bestFit="1" customWidth="1"/>
    <col min="5" max="5" width="14.28515625" style="129" bestFit="1" customWidth="1"/>
    <col min="6" max="6" width="50.140625" style="129" bestFit="1" customWidth="1"/>
    <col min="7" max="7" width="10.7109375" style="129" bestFit="1" customWidth="1"/>
    <col min="8" max="8" width="25.5703125" style="129" customWidth="1"/>
    <col min="9" max="9" width="8.7109375" style="129" bestFit="1" customWidth="1"/>
    <col min="10" max="16384" width="9.140625" style="129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x14ac:dyDescent="0.2">
      <c r="A2" t="s">
        <v>1039</v>
      </c>
      <c r="B2" s="156">
        <v>44105</v>
      </c>
      <c r="C2" t="s">
        <v>632</v>
      </c>
      <c r="D2">
        <v>-1200</v>
      </c>
      <c r="E2" t="s">
        <v>633</v>
      </c>
      <c r="F2" t="s">
        <v>634</v>
      </c>
      <c r="G2"/>
      <c r="H2"/>
      <c r="I2" t="s">
        <v>1040</v>
      </c>
      <c r="J2"/>
    </row>
    <row r="3" spans="1:10" x14ac:dyDescent="0.2">
      <c r="A3" t="s">
        <v>1039</v>
      </c>
      <c r="B3" s="156">
        <v>44105</v>
      </c>
      <c r="C3" t="s">
        <v>632</v>
      </c>
      <c r="D3">
        <v>-196.79</v>
      </c>
      <c r="E3" t="s">
        <v>633</v>
      </c>
      <c r="F3" t="s">
        <v>635</v>
      </c>
      <c r="G3"/>
      <c r="H3"/>
      <c r="I3" t="s">
        <v>1040</v>
      </c>
      <c r="J3"/>
    </row>
    <row r="4" spans="1:10" x14ac:dyDescent="0.2">
      <c r="A4" t="s">
        <v>1039</v>
      </c>
      <c r="B4" s="156">
        <v>44105</v>
      </c>
      <c r="C4" t="s">
        <v>632</v>
      </c>
      <c r="D4">
        <v>-50</v>
      </c>
      <c r="E4" t="s">
        <v>633</v>
      </c>
      <c r="F4" t="s">
        <v>636</v>
      </c>
      <c r="G4"/>
      <c r="H4"/>
      <c r="I4" t="s">
        <v>1040</v>
      </c>
      <c r="J4"/>
    </row>
    <row r="5" spans="1:10" x14ac:dyDescent="0.2">
      <c r="A5" t="s">
        <v>1039</v>
      </c>
      <c r="B5" s="156">
        <v>44105</v>
      </c>
      <c r="C5" t="s">
        <v>632</v>
      </c>
      <c r="D5">
        <v>-50</v>
      </c>
      <c r="E5" t="s">
        <v>633</v>
      </c>
      <c r="F5" t="s">
        <v>637</v>
      </c>
      <c r="G5"/>
      <c r="H5"/>
      <c r="I5" t="s">
        <v>1040</v>
      </c>
      <c r="J5"/>
    </row>
    <row r="6" spans="1:10" x14ac:dyDescent="0.2">
      <c r="A6" t="s">
        <v>1039</v>
      </c>
      <c r="B6" s="156">
        <v>44105</v>
      </c>
      <c r="C6" t="s">
        <v>632</v>
      </c>
      <c r="D6">
        <v>-160</v>
      </c>
      <c r="E6" t="s">
        <v>633</v>
      </c>
      <c r="F6" t="s">
        <v>638</v>
      </c>
      <c r="G6"/>
      <c r="H6"/>
      <c r="I6" t="s">
        <v>1040</v>
      </c>
      <c r="J6"/>
    </row>
    <row r="7" spans="1:10" x14ac:dyDescent="0.2">
      <c r="A7" t="s">
        <v>1039</v>
      </c>
      <c r="B7" s="156">
        <v>44105</v>
      </c>
      <c r="C7" t="s">
        <v>632</v>
      </c>
      <c r="D7">
        <v>-157.5</v>
      </c>
      <c r="E7" t="s">
        <v>633</v>
      </c>
      <c r="F7" t="s">
        <v>639</v>
      </c>
      <c r="G7"/>
      <c r="H7"/>
      <c r="I7" t="s">
        <v>1040</v>
      </c>
      <c r="J7"/>
    </row>
    <row r="8" spans="1:10" x14ac:dyDescent="0.2">
      <c r="A8" t="s">
        <v>1039</v>
      </c>
      <c r="B8" s="156">
        <v>44105</v>
      </c>
      <c r="C8" t="s">
        <v>632</v>
      </c>
      <c r="D8">
        <v>-232.5</v>
      </c>
      <c r="E8" t="s">
        <v>633</v>
      </c>
      <c r="F8" t="s">
        <v>640</v>
      </c>
      <c r="G8"/>
      <c r="H8"/>
      <c r="I8" t="s">
        <v>1040</v>
      </c>
      <c r="J8"/>
    </row>
    <row r="9" spans="1:10" x14ac:dyDescent="0.2">
      <c r="A9" t="s">
        <v>1039</v>
      </c>
      <c r="B9" s="156">
        <v>44105</v>
      </c>
      <c r="C9" t="s">
        <v>632</v>
      </c>
      <c r="D9">
        <v>-20.48</v>
      </c>
      <c r="E9" t="s">
        <v>641</v>
      </c>
      <c r="F9" t="s">
        <v>642</v>
      </c>
      <c r="G9"/>
      <c r="H9"/>
      <c r="I9" t="s">
        <v>1040</v>
      </c>
      <c r="J9"/>
    </row>
    <row r="10" spans="1:10" x14ac:dyDescent="0.2">
      <c r="A10" t="s">
        <v>1039</v>
      </c>
      <c r="B10" s="156">
        <v>44105</v>
      </c>
      <c r="C10" t="s">
        <v>632</v>
      </c>
      <c r="D10">
        <v>-85.92</v>
      </c>
      <c r="E10" t="s">
        <v>641</v>
      </c>
      <c r="F10" t="s">
        <v>643</v>
      </c>
      <c r="G10"/>
      <c r="H10"/>
      <c r="I10" t="s">
        <v>1040</v>
      </c>
      <c r="J10"/>
    </row>
    <row r="11" spans="1:10" x14ac:dyDescent="0.2">
      <c r="A11" t="s">
        <v>1039</v>
      </c>
      <c r="B11" s="156">
        <v>44105</v>
      </c>
      <c r="C11" t="s">
        <v>632</v>
      </c>
      <c r="D11">
        <v>-86.43</v>
      </c>
      <c r="E11" t="s">
        <v>641</v>
      </c>
      <c r="F11" t="s">
        <v>644</v>
      </c>
      <c r="G11"/>
      <c r="H11"/>
      <c r="I11" t="s">
        <v>1040</v>
      </c>
      <c r="J11"/>
    </row>
    <row r="12" spans="1:10" x14ac:dyDescent="0.2">
      <c r="A12" t="s">
        <v>1039</v>
      </c>
      <c r="B12" s="156">
        <v>44105</v>
      </c>
      <c r="C12" t="s">
        <v>632</v>
      </c>
      <c r="D12">
        <v>-27.09</v>
      </c>
      <c r="E12" t="s">
        <v>641</v>
      </c>
      <c r="F12" t="s">
        <v>645</v>
      </c>
      <c r="G12"/>
      <c r="H12"/>
      <c r="I12" t="s">
        <v>1040</v>
      </c>
      <c r="J12"/>
    </row>
    <row r="13" spans="1:10" x14ac:dyDescent="0.2">
      <c r="A13" t="s">
        <v>1039</v>
      </c>
      <c r="B13" s="156">
        <v>44105</v>
      </c>
      <c r="C13" t="s">
        <v>632</v>
      </c>
      <c r="D13">
        <v>-21</v>
      </c>
      <c r="E13" t="s">
        <v>641</v>
      </c>
      <c r="F13" t="s">
        <v>646</v>
      </c>
      <c r="G13" s="46" t="s">
        <v>489</v>
      </c>
      <c r="H13" s="46" t="s">
        <v>1016</v>
      </c>
      <c r="I13" t="s">
        <v>1041</v>
      </c>
      <c r="J13"/>
    </row>
    <row r="14" spans="1:10" x14ac:dyDescent="0.2">
      <c r="A14" t="s">
        <v>1039</v>
      </c>
      <c r="B14" s="156">
        <v>44105</v>
      </c>
      <c r="C14" t="s">
        <v>632</v>
      </c>
      <c r="D14">
        <v>-20</v>
      </c>
      <c r="E14" t="s">
        <v>641</v>
      </c>
      <c r="F14" t="s">
        <v>647</v>
      </c>
      <c r="G14" s="46" t="s">
        <v>486</v>
      </c>
      <c r="H14" s="46" t="s">
        <v>1016</v>
      </c>
      <c r="I14" t="s">
        <v>1041</v>
      </c>
      <c r="J14"/>
    </row>
    <row r="15" spans="1:10" x14ac:dyDescent="0.2">
      <c r="A15" t="s">
        <v>1039</v>
      </c>
      <c r="B15" s="156">
        <v>44105</v>
      </c>
      <c r="C15" t="s">
        <v>632</v>
      </c>
      <c r="D15">
        <v>-46</v>
      </c>
      <c r="E15" t="s">
        <v>641</v>
      </c>
      <c r="F15" t="s">
        <v>648</v>
      </c>
      <c r="G15" s="46" t="s">
        <v>472</v>
      </c>
      <c r="H15" s="46" t="s">
        <v>1016</v>
      </c>
      <c r="I15" t="s">
        <v>1041</v>
      </c>
      <c r="J15"/>
    </row>
    <row r="16" spans="1:10" x14ac:dyDescent="0.2">
      <c r="A16" t="s">
        <v>1039</v>
      </c>
      <c r="B16" s="156">
        <v>44105</v>
      </c>
      <c r="C16" t="s">
        <v>632</v>
      </c>
      <c r="D16">
        <v>-30</v>
      </c>
      <c r="E16" t="s">
        <v>641</v>
      </c>
      <c r="F16" t="s">
        <v>649</v>
      </c>
      <c r="G16" s="46" t="s">
        <v>488</v>
      </c>
      <c r="H16" s="46" t="s">
        <v>1016</v>
      </c>
      <c r="I16" t="s">
        <v>1041</v>
      </c>
      <c r="J16"/>
    </row>
    <row r="17" spans="1:10" x14ac:dyDescent="0.2">
      <c r="A17" t="s">
        <v>1039</v>
      </c>
      <c r="B17" s="156">
        <v>44105</v>
      </c>
      <c r="C17" t="s">
        <v>632</v>
      </c>
      <c r="D17">
        <v>-85</v>
      </c>
      <c r="E17" t="s">
        <v>641</v>
      </c>
      <c r="F17" t="s">
        <v>650</v>
      </c>
      <c r="G17" s="46" t="s">
        <v>477</v>
      </c>
      <c r="H17" s="46" t="s">
        <v>1016</v>
      </c>
      <c r="I17" t="s">
        <v>1041</v>
      </c>
      <c r="J17"/>
    </row>
    <row r="18" spans="1:10" x14ac:dyDescent="0.2">
      <c r="A18" t="s">
        <v>1039</v>
      </c>
      <c r="B18" s="156">
        <v>44105</v>
      </c>
      <c r="C18" t="s">
        <v>632</v>
      </c>
      <c r="D18">
        <v>-168.95</v>
      </c>
      <c r="E18" t="s">
        <v>641</v>
      </c>
      <c r="F18" t="s">
        <v>651</v>
      </c>
      <c r="G18"/>
      <c r="H18"/>
      <c r="I18" t="s">
        <v>1042</v>
      </c>
      <c r="J18"/>
    </row>
    <row r="19" spans="1:10" x14ac:dyDescent="0.2">
      <c r="A19" t="s">
        <v>1039</v>
      </c>
      <c r="B19" s="156">
        <v>44105</v>
      </c>
      <c r="C19" t="s">
        <v>632</v>
      </c>
      <c r="D19">
        <v>-183.34</v>
      </c>
      <c r="E19" t="s">
        <v>641</v>
      </c>
      <c r="F19" t="s">
        <v>652</v>
      </c>
      <c r="G19"/>
      <c r="H19"/>
      <c r="I19" t="s">
        <v>1042</v>
      </c>
      <c r="J19"/>
    </row>
    <row r="20" spans="1:10" x14ac:dyDescent="0.2">
      <c r="A20" t="s">
        <v>1039</v>
      </c>
      <c r="B20" s="156">
        <v>44106</v>
      </c>
      <c r="C20" t="s">
        <v>632</v>
      </c>
      <c r="D20">
        <v>491.8</v>
      </c>
      <c r="E20" t="s">
        <v>653</v>
      </c>
      <c r="F20" t="s">
        <v>654</v>
      </c>
      <c r="G20"/>
      <c r="H20"/>
      <c r="I20" t="s">
        <v>1040</v>
      </c>
      <c r="J20"/>
    </row>
    <row r="21" spans="1:10" x14ac:dyDescent="0.2">
      <c r="A21" t="s">
        <v>1039</v>
      </c>
      <c r="B21" s="156">
        <v>44109</v>
      </c>
      <c r="C21" t="s">
        <v>632</v>
      </c>
      <c r="D21">
        <v>-70.75</v>
      </c>
      <c r="E21" t="s">
        <v>655</v>
      </c>
      <c r="F21" t="s">
        <v>656</v>
      </c>
      <c r="G21"/>
      <c r="H21"/>
      <c r="I21" t="s">
        <v>1040</v>
      </c>
      <c r="J21"/>
    </row>
    <row r="22" spans="1:10" x14ac:dyDescent="0.2">
      <c r="A22" t="s">
        <v>1039</v>
      </c>
      <c r="B22" s="156">
        <v>44109</v>
      </c>
      <c r="C22" t="s">
        <v>632</v>
      </c>
      <c r="D22">
        <v>-155.5</v>
      </c>
      <c r="E22" t="s">
        <v>641</v>
      </c>
      <c r="F22" t="s">
        <v>657</v>
      </c>
      <c r="G22"/>
      <c r="H22"/>
      <c r="I22" t="s">
        <v>1042</v>
      </c>
      <c r="J22"/>
    </row>
    <row r="23" spans="1:10" x14ac:dyDescent="0.2">
      <c r="A23" t="s">
        <v>1039</v>
      </c>
      <c r="B23" s="156">
        <v>44109</v>
      </c>
      <c r="C23" t="s">
        <v>632</v>
      </c>
      <c r="D23">
        <v>-175.77</v>
      </c>
      <c r="E23" t="s">
        <v>641</v>
      </c>
      <c r="F23" t="s">
        <v>658</v>
      </c>
      <c r="G23"/>
      <c r="H23"/>
      <c r="I23" t="s">
        <v>1042</v>
      </c>
      <c r="J23"/>
    </row>
    <row r="24" spans="1:10" x14ac:dyDescent="0.2">
      <c r="A24" t="s">
        <v>1039</v>
      </c>
      <c r="B24" s="156">
        <v>44109</v>
      </c>
      <c r="C24" t="s">
        <v>632</v>
      </c>
      <c r="D24">
        <v>-194.02</v>
      </c>
      <c r="E24" t="s">
        <v>641</v>
      </c>
      <c r="F24" t="s">
        <v>659</v>
      </c>
      <c r="G24"/>
      <c r="H24"/>
      <c r="I24" t="s">
        <v>1042</v>
      </c>
      <c r="J24"/>
    </row>
    <row r="25" spans="1:10" x14ac:dyDescent="0.2">
      <c r="A25" t="s">
        <v>1039</v>
      </c>
      <c r="B25" s="156">
        <v>44109</v>
      </c>
      <c r="C25" t="s">
        <v>632</v>
      </c>
      <c r="D25">
        <v>-187.31</v>
      </c>
      <c r="E25" t="s">
        <v>641</v>
      </c>
      <c r="F25" t="s">
        <v>660</v>
      </c>
      <c r="G25"/>
      <c r="H25"/>
      <c r="I25" t="s">
        <v>1042</v>
      </c>
      <c r="J25"/>
    </row>
    <row r="26" spans="1:10" x14ac:dyDescent="0.2">
      <c r="A26" t="s">
        <v>1039</v>
      </c>
      <c r="B26" s="156">
        <v>44109</v>
      </c>
      <c r="C26" t="s">
        <v>632</v>
      </c>
      <c r="D26">
        <v>-153.83000000000001</v>
      </c>
      <c r="E26" t="s">
        <v>641</v>
      </c>
      <c r="F26" t="s">
        <v>661</v>
      </c>
      <c r="G26"/>
      <c r="H26"/>
      <c r="I26" t="s">
        <v>1042</v>
      </c>
      <c r="J26"/>
    </row>
    <row r="27" spans="1:10" x14ac:dyDescent="0.2">
      <c r="A27" t="s">
        <v>1039</v>
      </c>
      <c r="B27" s="156">
        <v>44109</v>
      </c>
      <c r="C27" t="s">
        <v>632</v>
      </c>
      <c r="D27">
        <v>-187.18</v>
      </c>
      <c r="E27" t="s">
        <v>641</v>
      </c>
      <c r="F27" t="s">
        <v>662</v>
      </c>
      <c r="G27"/>
      <c r="H27"/>
      <c r="I27" t="s">
        <v>1042</v>
      </c>
      <c r="J27"/>
    </row>
    <row r="28" spans="1:10" x14ac:dyDescent="0.2">
      <c r="A28" t="s">
        <v>1039</v>
      </c>
      <c r="B28" s="156">
        <v>44109</v>
      </c>
      <c r="C28" t="s">
        <v>632</v>
      </c>
      <c r="D28">
        <v>-153.74</v>
      </c>
      <c r="E28" t="s">
        <v>641</v>
      </c>
      <c r="F28" t="s">
        <v>663</v>
      </c>
      <c r="G28"/>
      <c r="H28"/>
      <c r="I28" t="s">
        <v>1042</v>
      </c>
      <c r="J28"/>
    </row>
    <row r="29" spans="1:10" x14ac:dyDescent="0.2">
      <c r="A29" t="s">
        <v>1039</v>
      </c>
      <c r="B29" s="156">
        <v>44109</v>
      </c>
      <c r="C29" t="s">
        <v>632</v>
      </c>
      <c r="D29">
        <v>-118.58</v>
      </c>
      <c r="E29" t="s">
        <v>641</v>
      </c>
      <c r="F29" t="s">
        <v>664</v>
      </c>
      <c r="G29"/>
      <c r="H29"/>
      <c r="I29" t="s">
        <v>1042</v>
      </c>
      <c r="J29"/>
    </row>
    <row r="30" spans="1:10" x14ac:dyDescent="0.2">
      <c r="A30" t="s">
        <v>1039</v>
      </c>
      <c r="B30" s="156">
        <v>44109</v>
      </c>
      <c r="C30" t="s">
        <v>632</v>
      </c>
      <c r="D30">
        <v>-131.62</v>
      </c>
      <c r="E30" t="s">
        <v>641</v>
      </c>
      <c r="F30" t="s">
        <v>665</v>
      </c>
      <c r="G30"/>
      <c r="H30"/>
      <c r="I30" t="s">
        <v>1042</v>
      </c>
      <c r="J30"/>
    </row>
    <row r="31" spans="1:10" x14ac:dyDescent="0.2">
      <c r="A31" t="s">
        <v>1039</v>
      </c>
      <c r="B31" s="156">
        <v>44109</v>
      </c>
      <c r="C31" t="s">
        <v>632</v>
      </c>
      <c r="D31">
        <v>-131.65</v>
      </c>
      <c r="E31" t="s">
        <v>641</v>
      </c>
      <c r="F31" t="s">
        <v>666</v>
      </c>
      <c r="G31"/>
      <c r="H31"/>
      <c r="I31" t="s">
        <v>1042</v>
      </c>
      <c r="J31"/>
    </row>
    <row r="32" spans="1:10" x14ac:dyDescent="0.2">
      <c r="A32" t="s">
        <v>1039</v>
      </c>
      <c r="B32" s="156">
        <v>44109</v>
      </c>
      <c r="C32" t="s">
        <v>632</v>
      </c>
      <c r="D32">
        <v>-120.15</v>
      </c>
      <c r="E32" t="s">
        <v>641</v>
      </c>
      <c r="F32" t="s">
        <v>667</v>
      </c>
      <c r="G32"/>
      <c r="H32"/>
      <c r="I32" t="s">
        <v>1042</v>
      </c>
      <c r="J32"/>
    </row>
    <row r="33" spans="1:10" x14ac:dyDescent="0.2">
      <c r="A33" t="s">
        <v>1039</v>
      </c>
      <c r="B33" s="156">
        <v>44110</v>
      </c>
      <c r="C33" t="s">
        <v>632</v>
      </c>
      <c r="D33">
        <v>-300</v>
      </c>
      <c r="E33" t="s">
        <v>655</v>
      </c>
      <c r="F33" t="s">
        <v>668</v>
      </c>
      <c r="G33"/>
      <c r="H33"/>
      <c r="I33" t="s">
        <v>1040</v>
      </c>
      <c r="J33"/>
    </row>
    <row r="34" spans="1:10" x14ac:dyDescent="0.2">
      <c r="A34" t="s">
        <v>1039</v>
      </c>
      <c r="B34" s="156">
        <v>44110</v>
      </c>
      <c r="C34" t="s">
        <v>632</v>
      </c>
      <c r="D34">
        <v>-61.64</v>
      </c>
      <c r="E34" t="s">
        <v>641</v>
      </c>
      <c r="F34" t="s">
        <v>669</v>
      </c>
      <c r="G34"/>
      <c r="H34"/>
      <c r="I34" t="s">
        <v>1040</v>
      </c>
      <c r="J34"/>
    </row>
    <row r="35" spans="1:10" x14ac:dyDescent="0.2">
      <c r="A35" t="s">
        <v>1039</v>
      </c>
      <c r="B35" s="156">
        <v>44111</v>
      </c>
      <c r="C35" t="s">
        <v>632</v>
      </c>
      <c r="D35">
        <v>64.97</v>
      </c>
      <c r="E35" t="s">
        <v>653</v>
      </c>
      <c r="F35" t="s">
        <v>670</v>
      </c>
      <c r="G35"/>
      <c r="H35"/>
      <c r="I35" t="s">
        <v>1040</v>
      </c>
      <c r="J35"/>
    </row>
    <row r="36" spans="1:10" x14ac:dyDescent="0.2">
      <c r="A36" t="s">
        <v>1039</v>
      </c>
      <c r="B36" s="156">
        <v>44111</v>
      </c>
      <c r="C36" t="s">
        <v>632</v>
      </c>
      <c r="D36">
        <v>470.32</v>
      </c>
      <c r="E36" t="s">
        <v>653</v>
      </c>
      <c r="F36" t="s">
        <v>671</v>
      </c>
      <c r="G36"/>
      <c r="H36"/>
      <c r="I36" t="s">
        <v>1040</v>
      </c>
      <c r="J36"/>
    </row>
    <row r="37" spans="1:10" x14ac:dyDescent="0.2">
      <c r="A37" t="s">
        <v>1039</v>
      </c>
      <c r="B37" s="156">
        <v>44112</v>
      </c>
      <c r="C37" t="s">
        <v>632</v>
      </c>
      <c r="D37">
        <v>431.86</v>
      </c>
      <c r="E37" t="s">
        <v>653</v>
      </c>
      <c r="F37" t="s">
        <v>672</v>
      </c>
      <c r="G37"/>
      <c r="H37"/>
      <c r="I37" t="s">
        <v>1040</v>
      </c>
      <c r="J37"/>
    </row>
    <row r="38" spans="1:10" x14ac:dyDescent="0.2">
      <c r="A38" t="s">
        <v>1039</v>
      </c>
      <c r="B38" s="156">
        <v>44112</v>
      </c>
      <c r="C38" t="s">
        <v>632</v>
      </c>
      <c r="D38">
        <v>452</v>
      </c>
      <c r="E38" t="s">
        <v>653</v>
      </c>
      <c r="F38" t="s">
        <v>673</v>
      </c>
      <c r="G38"/>
      <c r="H38"/>
      <c r="I38" t="s">
        <v>1040</v>
      </c>
      <c r="J38"/>
    </row>
    <row r="39" spans="1:10" x14ac:dyDescent="0.2">
      <c r="A39" t="s">
        <v>1039</v>
      </c>
      <c r="B39" s="156">
        <v>44113</v>
      </c>
      <c r="C39" t="s">
        <v>632</v>
      </c>
      <c r="D39">
        <v>-16.940000000000001</v>
      </c>
      <c r="E39" t="s">
        <v>641</v>
      </c>
      <c r="F39" t="s">
        <v>674</v>
      </c>
      <c r="G39"/>
      <c r="H39"/>
      <c r="I39" t="s">
        <v>1042</v>
      </c>
      <c r="J39"/>
    </row>
    <row r="40" spans="1:10" x14ac:dyDescent="0.2">
      <c r="A40" t="s">
        <v>1039</v>
      </c>
      <c r="B40" s="156">
        <v>44116</v>
      </c>
      <c r="C40" t="s">
        <v>632</v>
      </c>
      <c r="D40">
        <v>-250</v>
      </c>
      <c r="E40" t="s">
        <v>675</v>
      </c>
      <c r="F40" t="s">
        <v>676</v>
      </c>
      <c r="G40"/>
      <c r="H40"/>
      <c r="I40" t="s">
        <v>1040</v>
      </c>
      <c r="J40"/>
    </row>
    <row r="41" spans="1:10" x14ac:dyDescent="0.2">
      <c r="A41" t="s">
        <v>1039</v>
      </c>
      <c r="B41" s="156">
        <v>44116</v>
      </c>
      <c r="C41" t="s">
        <v>632</v>
      </c>
      <c r="D41">
        <v>615</v>
      </c>
      <c r="E41" t="s">
        <v>677</v>
      </c>
      <c r="F41" t="s">
        <v>678</v>
      </c>
      <c r="G41" s="46" t="s">
        <v>487</v>
      </c>
      <c r="H41" s="46" t="s">
        <v>1017</v>
      </c>
      <c r="I41" t="s">
        <v>1043</v>
      </c>
      <c r="J41"/>
    </row>
    <row r="42" spans="1:10" x14ac:dyDescent="0.2">
      <c r="A42" t="s">
        <v>1039</v>
      </c>
      <c r="B42" s="156">
        <v>44116</v>
      </c>
      <c r="C42" t="s">
        <v>632</v>
      </c>
      <c r="D42">
        <v>292.94</v>
      </c>
      <c r="E42" t="s">
        <v>653</v>
      </c>
      <c r="F42" t="s">
        <v>679</v>
      </c>
      <c r="G42"/>
      <c r="H42"/>
      <c r="I42" t="s">
        <v>1040</v>
      </c>
      <c r="J42"/>
    </row>
    <row r="43" spans="1:10" x14ac:dyDescent="0.2">
      <c r="A43" t="s">
        <v>1039</v>
      </c>
      <c r="B43" s="156">
        <v>44116</v>
      </c>
      <c r="C43" t="s">
        <v>632</v>
      </c>
      <c r="D43">
        <v>-120.94</v>
      </c>
      <c r="E43" t="s">
        <v>641</v>
      </c>
      <c r="F43" t="s">
        <v>680</v>
      </c>
      <c r="G43"/>
      <c r="H43"/>
      <c r="I43" t="s">
        <v>1042</v>
      </c>
      <c r="J43"/>
    </row>
    <row r="44" spans="1:10" x14ac:dyDescent="0.2">
      <c r="A44" t="s">
        <v>1039</v>
      </c>
      <c r="B44" s="156">
        <v>44116</v>
      </c>
      <c r="C44" t="s">
        <v>632</v>
      </c>
      <c r="D44">
        <v>-50.05</v>
      </c>
      <c r="E44" t="s">
        <v>641</v>
      </c>
      <c r="F44" t="s">
        <v>681</v>
      </c>
      <c r="G44"/>
      <c r="H44"/>
      <c r="I44" t="s">
        <v>1042</v>
      </c>
      <c r="J44"/>
    </row>
    <row r="45" spans="1:10" x14ac:dyDescent="0.2">
      <c r="A45" t="s">
        <v>1039</v>
      </c>
      <c r="B45" s="156">
        <v>44117</v>
      </c>
      <c r="C45" t="s">
        <v>632</v>
      </c>
      <c r="D45">
        <v>-300</v>
      </c>
      <c r="E45" t="s">
        <v>682</v>
      </c>
      <c r="F45" t="s">
        <v>683</v>
      </c>
      <c r="G45"/>
      <c r="H45"/>
      <c r="I45" t="s">
        <v>1040</v>
      </c>
      <c r="J45"/>
    </row>
    <row r="46" spans="1:10" x14ac:dyDescent="0.2">
      <c r="A46" t="s">
        <v>1039</v>
      </c>
      <c r="B46" s="156">
        <v>44117</v>
      </c>
      <c r="C46" t="s">
        <v>632</v>
      </c>
      <c r="D46">
        <v>-10</v>
      </c>
      <c r="E46" t="s">
        <v>655</v>
      </c>
      <c r="F46" t="s">
        <v>684</v>
      </c>
      <c r="G46" s="46" t="s">
        <v>502</v>
      </c>
      <c r="H46" s="46" t="s">
        <v>899</v>
      </c>
      <c r="I46" t="s">
        <v>1041</v>
      </c>
      <c r="J46"/>
    </row>
    <row r="47" spans="1:10" x14ac:dyDescent="0.2">
      <c r="A47" t="s">
        <v>1039</v>
      </c>
      <c r="B47" s="156">
        <v>44117</v>
      </c>
      <c r="C47" t="s">
        <v>632</v>
      </c>
      <c r="D47">
        <v>-40</v>
      </c>
      <c r="E47" t="s">
        <v>655</v>
      </c>
      <c r="F47" t="s">
        <v>684</v>
      </c>
      <c r="G47" s="46" t="s">
        <v>502</v>
      </c>
      <c r="H47" s="46" t="s">
        <v>899</v>
      </c>
      <c r="I47" t="s">
        <v>1041</v>
      </c>
      <c r="J47"/>
    </row>
    <row r="48" spans="1:10" x14ac:dyDescent="0.2">
      <c r="A48" t="s">
        <v>1039</v>
      </c>
      <c r="B48" s="156">
        <v>44118</v>
      </c>
      <c r="C48" t="s">
        <v>632</v>
      </c>
      <c r="D48">
        <v>-14.99</v>
      </c>
      <c r="E48" t="s">
        <v>655</v>
      </c>
      <c r="F48" t="s">
        <v>685</v>
      </c>
      <c r="G48"/>
      <c r="H48"/>
      <c r="I48" t="s">
        <v>1040</v>
      </c>
      <c r="J48"/>
    </row>
    <row r="49" spans="1:10" x14ac:dyDescent="0.2">
      <c r="A49" t="s">
        <v>1039</v>
      </c>
      <c r="B49" s="156">
        <v>44118</v>
      </c>
      <c r="C49" t="s">
        <v>632</v>
      </c>
      <c r="D49">
        <v>700</v>
      </c>
      <c r="E49" t="s">
        <v>682</v>
      </c>
      <c r="F49" t="s">
        <v>686</v>
      </c>
      <c r="G49" s="46" t="s">
        <v>488</v>
      </c>
      <c r="H49" s="46" t="s">
        <v>1018</v>
      </c>
      <c r="I49" t="s">
        <v>1043</v>
      </c>
      <c r="J49"/>
    </row>
    <row r="50" spans="1:10" x14ac:dyDescent="0.2">
      <c r="A50" t="s">
        <v>1039</v>
      </c>
      <c r="B50" s="156">
        <v>44119</v>
      </c>
      <c r="C50" t="s">
        <v>632</v>
      </c>
      <c r="D50">
        <v>-480</v>
      </c>
      <c r="E50" t="s">
        <v>655</v>
      </c>
      <c r="F50" t="s">
        <v>687</v>
      </c>
      <c r="G50" s="46" t="s">
        <v>560</v>
      </c>
      <c r="H50" s="46" t="s">
        <v>900</v>
      </c>
      <c r="I50" t="s">
        <v>1041</v>
      </c>
      <c r="J50"/>
    </row>
    <row r="51" spans="1:10" x14ac:dyDescent="0.2">
      <c r="A51" t="s">
        <v>1039</v>
      </c>
      <c r="B51" s="156">
        <v>44119</v>
      </c>
      <c r="C51" t="s">
        <v>632</v>
      </c>
      <c r="D51">
        <v>-9.99</v>
      </c>
      <c r="E51" t="s">
        <v>655</v>
      </c>
      <c r="F51" t="s">
        <v>688</v>
      </c>
      <c r="G51"/>
      <c r="H51"/>
      <c r="I51" t="s">
        <v>1040</v>
      </c>
      <c r="J51"/>
    </row>
    <row r="52" spans="1:10" x14ac:dyDescent="0.2">
      <c r="A52" t="s">
        <v>1039</v>
      </c>
      <c r="B52" s="156">
        <v>44119</v>
      </c>
      <c r="C52" t="s">
        <v>632</v>
      </c>
      <c r="D52">
        <v>495</v>
      </c>
      <c r="E52" t="s">
        <v>682</v>
      </c>
      <c r="F52" t="s">
        <v>689</v>
      </c>
      <c r="G52" s="46" t="s">
        <v>472</v>
      </c>
      <c r="H52" s="46" t="s">
        <v>1019</v>
      </c>
      <c r="I52" t="s">
        <v>1043</v>
      </c>
      <c r="J52"/>
    </row>
    <row r="53" spans="1:10" x14ac:dyDescent="0.2">
      <c r="A53" t="s">
        <v>1039</v>
      </c>
      <c r="B53" s="156">
        <v>44119</v>
      </c>
      <c r="C53" t="s">
        <v>632</v>
      </c>
      <c r="D53">
        <v>167.64</v>
      </c>
      <c r="E53" t="s">
        <v>653</v>
      </c>
      <c r="F53" t="s">
        <v>690</v>
      </c>
      <c r="G53"/>
      <c r="H53"/>
      <c r="I53" t="s">
        <v>1040</v>
      </c>
      <c r="J53"/>
    </row>
    <row r="54" spans="1:10" x14ac:dyDescent="0.2">
      <c r="A54" t="s">
        <v>1039</v>
      </c>
      <c r="B54" s="156">
        <v>44119</v>
      </c>
      <c r="C54" t="s">
        <v>632</v>
      </c>
      <c r="D54">
        <v>497.8</v>
      </c>
      <c r="E54" t="s">
        <v>653</v>
      </c>
      <c r="F54" t="s">
        <v>691</v>
      </c>
      <c r="G54"/>
      <c r="H54"/>
      <c r="I54" t="s">
        <v>1040</v>
      </c>
      <c r="J54"/>
    </row>
    <row r="55" spans="1:10" x14ac:dyDescent="0.2">
      <c r="A55" t="s">
        <v>1039</v>
      </c>
      <c r="B55" s="156">
        <v>44119</v>
      </c>
      <c r="C55" t="s">
        <v>632</v>
      </c>
      <c r="D55">
        <v>314.60000000000002</v>
      </c>
      <c r="E55" t="s">
        <v>653</v>
      </c>
      <c r="F55" t="s">
        <v>692</v>
      </c>
      <c r="G55"/>
      <c r="H55"/>
      <c r="I55" t="s">
        <v>1040</v>
      </c>
      <c r="J55"/>
    </row>
    <row r="56" spans="1:10" x14ac:dyDescent="0.2">
      <c r="A56" t="s">
        <v>1039</v>
      </c>
      <c r="B56" s="156">
        <v>44119</v>
      </c>
      <c r="C56" t="s">
        <v>632</v>
      </c>
      <c r="D56">
        <v>800</v>
      </c>
      <c r="E56" t="s">
        <v>682</v>
      </c>
      <c r="F56" s="46" t="s">
        <v>1020</v>
      </c>
      <c r="G56" s="46" t="s">
        <v>477</v>
      </c>
      <c r="H56" s="46" t="s">
        <v>1021</v>
      </c>
      <c r="I56" t="s">
        <v>1043</v>
      </c>
      <c r="J56"/>
    </row>
    <row r="57" spans="1:10" x14ac:dyDescent="0.2">
      <c r="A57" t="s">
        <v>1039</v>
      </c>
      <c r="B57" s="156">
        <v>44119</v>
      </c>
      <c r="C57" t="s">
        <v>632</v>
      </c>
      <c r="D57">
        <v>-184.81</v>
      </c>
      <c r="E57" t="s">
        <v>641</v>
      </c>
      <c r="F57" t="s">
        <v>694</v>
      </c>
      <c r="G57"/>
      <c r="H57"/>
      <c r="I57" t="s">
        <v>1042</v>
      </c>
      <c r="J57"/>
    </row>
    <row r="58" spans="1:10" x14ac:dyDescent="0.2">
      <c r="A58" t="s">
        <v>1039</v>
      </c>
      <c r="B58" s="156">
        <v>44119</v>
      </c>
      <c r="C58" t="s">
        <v>632</v>
      </c>
      <c r="D58">
        <v>-155.44</v>
      </c>
      <c r="E58" t="s">
        <v>641</v>
      </c>
      <c r="F58" t="s">
        <v>695</v>
      </c>
      <c r="G58"/>
      <c r="H58"/>
      <c r="I58" t="s">
        <v>1042</v>
      </c>
      <c r="J58"/>
    </row>
    <row r="59" spans="1:10" x14ac:dyDescent="0.2">
      <c r="A59" t="s">
        <v>1039</v>
      </c>
      <c r="B59" s="156">
        <v>44119</v>
      </c>
      <c r="C59" t="s">
        <v>632</v>
      </c>
      <c r="D59">
        <v>-117</v>
      </c>
      <c r="E59" t="s">
        <v>641</v>
      </c>
      <c r="F59" t="s">
        <v>696</v>
      </c>
      <c r="G59" s="46" t="s">
        <v>468</v>
      </c>
      <c r="H59" s="46" t="s">
        <v>1016</v>
      </c>
      <c r="I59" t="s">
        <v>1041</v>
      </c>
      <c r="J59"/>
    </row>
    <row r="60" spans="1:10" x14ac:dyDescent="0.2">
      <c r="A60" t="s">
        <v>1039</v>
      </c>
      <c r="B60" s="156">
        <v>44119</v>
      </c>
      <c r="C60" t="s">
        <v>632</v>
      </c>
      <c r="D60">
        <v>-31</v>
      </c>
      <c r="E60" t="s">
        <v>641</v>
      </c>
      <c r="F60" t="s">
        <v>697</v>
      </c>
      <c r="G60" s="46" t="s">
        <v>558</v>
      </c>
      <c r="H60" s="46" t="s">
        <v>1016</v>
      </c>
      <c r="I60" t="s">
        <v>1041</v>
      </c>
      <c r="J60"/>
    </row>
    <row r="61" spans="1:10" x14ac:dyDescent="0.2">
      <c r="A61" t="s">
        <v>1039</v>
      </c>
      <c r="B61" s="156">
        <v>44119</v>
      </c>
      <c r="C61" t="s">
        <v>632</v>
      </c>
      <c r="D61">
        <v>-366.23</v>
      </c>
      <c r="E61" t="s">
        <v>641</v>
      </c>
      <c r="F61" t="s">
        <v>698</v>
      </c>
      <c r="G61"/>
      <c r="H61"/>
      <c r="I61" t="s">
        <v>1040</v>
      </c>
      <c r="J61"/>
    </row>
    <row r="62" spans="1:10" x14ac:dyDescent="0.2">
      <c r="A62" t="s">
        <v>1039</v>
      </c>
      <c r="B62" s="156">
        <v>44119</v>
      </c>
      <c r="C62" t="s">
        <v>632</v>
      </c>
      <c r="D62">
        <v>10</v>
      </c>
      <c r="E62" t="s">
        <v>653</v>
      </c>
      <c r="F62" t="s">
        <v>699</v>
      </c>
      <c r="G62" s="46" t="s">
        <v>482</v>
      </c>
      <c r="H62" s="46" t="s">
        <v>901</v>
      </c>
      <c r="I62" t="s">
        <v>1041</v>
      </c>
      <c r="J62"/>
    </row>
    <row r="63" spans="1:10" x14ac:dyDescent="0.2">
      <c r="A63" t="s">
        <v>1039</v>
      </c>
      <c r="B63" s="156">
        <v>44120</v>
      </c>
      <c r="C63" t="s">
        <v>632</v>
      </c>
      <c r="D63">
        <v>-15</v>
      </c>
      <c r="E63" t="s">
        <v>633</v>
      </c>
      <c r="F63" s="46" t="s">
        <v>700</v>
      </c>
      <c r="G63" s="2" t="s">
        <v>557</v>
      </c>
      <c r="H63" s="46" t="s">
        <v>1025</v>
      </c>
      <c r="I63" t="s">
        <v>1041</v>
      </c>
      <c r="J63"/>
    </row>
    <row r="64" spans="1:10" x14ac:dyDescent="0.2">
      <c r="A64" t="s">
        <v>1039</v>
      </c>
      <c r="B64" s="156">
        <v>44120</v>
      </c>
      <c r="C64" t="s">
        <v>632</v>
      </c>
      <c r="D64">
        <v>-12.27</v>
      </c>
      <c r="E64" t="s">
        <v>641</v>
      </c>
      <c r="F64" t="s">
        <v>701</v>
      </c>
      <c r="G64"/>
      <c r="H64"/>
      <c r="I64" t="s">
        <v>1042</v>
      </c>
      <c r="J64"/>
    </row>
    <row r="65" spans="1:10" x14ac:dyDescent="0.2">
      <c r="A65" t="s">
        <v>1039</v>
      </c>
      <c r="B65" s="156">
        <v>44120</v>
      </c>
      <c r="C65" t="s">
        <v>632</v>
      </c>
      <c r="D65">
        <v>-149.19999999999999</v>
      </c>
      <c r="E65" t="s">
        <v>641</v>
      </c>
      <c r="F65" t="s">
        <v>702</v>
      </c>
      <c r="G65"/>
      <c r="H65"/>
      <c r="I65" t="s">
        <v>1042</v>
      </c>
      <c r="J65"/>
    </row>
    <row r="66" spans="1:10" x14ac:dyDescent="0.2">
      <c r="A66" t="s">
        <v>1039</v>
      </c>
      <c r="B66" s="156">
        <v>44123</v>
      </c>
      <c r="C66" t="s">
        <v>632</v>
      </c>
      <c r="D66">
        <v>-124.19</v>
      </c>
      <c r="E66" t="s">
        <v>641</v>
      </c>
      <c r="F66" t="s">
        <v>703</v>
      </c>
      <c r="G66"/>
      <c r="H66"/>
      <c r="I66" t="s">
        <v>1042</v>
      </c>
      <c r="J66"/>
    </row>
    <row r="67" spans="1:10" x14ac:dyDescent="0.2">
      <c r="A67" t="s">
        <v>1039</v>
      </c>
      <c r="B67" s="156">
        <v>44123</v>
      </c>
      <c r="C67" t="s">
        <v>632</v>
      </c>
      <c r="D67">
        <v>-139.91999999999999</v>
      </c>
      <c r="E67" t="s">
        <v>655</v>
      </c>
      <c r="F67" t="s">
        <v>704</v>
      </c>
      <c r="G67"/>
      <c r="H67"/>
      <c r="I67" t="s">
        <v>1040</v>
      </c>
      <c r="J67"/>
    </row>
    <row r="68" spans="1:10" x14ac:dyDescent="0.2">
      <c r="A68" t="s">
        <v>1039</v>
      </c>
      <c r="B68" s="156">
        <v>44123</v>
      </c>
      <c r="C68" t="s">
        <v>632</v>
      </c>
      <c r="D68">
        <v>200</v>
      </c>
      <c r="E68" t="s">
        <v>682</v>
      </c>
      <c r="F68" t="s">
        <v>693</v>
      </c>
      <c r="G68" s="46" t="s">
        <v>477</v>
      </c>
      <c r="H68" s="46" t="s">
        <v>1021</v>
      </c>
      <c r="I68" t="s">
        <v>1043</v>
      </c>
      <c r="J68"/>
    </row>
    <row r="69" spans="1:10" x14ac:dyDescent="0.2">
      <c r="A69" t="s">
        <v>1039</v>
      </c>
      <c r="B69" s="156">
        <v>44124</v>
      </c>
      <c r="C69" t="s">
        <v>632</v>
      </c>
      <c r="D69">
        <v>-52</v>
      </c>
      <c r="E69" t="s">
        <v>655</v>
      </c>
      <c r="F69" t="s">
        <v>705</v>
      </c>
      <c r="G69" s="46" t="s">
        <v>477</v>
      </c>
      <c r="H69" s="46" t="s">
        <v>902</v>
      </c>
      <c r="I69" t="s">
        <v>1041</v>
      </c>
      <c r="J69"/>
    </row>
    <row r="70" spans="1:10" x14ac:dyDescent="0.2">
      <c r="A70" t="s">
        <v>1039</v>
      </c>
      <c r="B70" s="156">
        <v>44124</v>
      </c>
      <c r="C70" t="s">
        <v>632</v>
      </c>
      <c r="D70">
        <v>-15.48</v>
      </c>
      <c r="E70" t="s">
        <v>655</v>
      </c>
      <c r="F70" t="s">
        <v>706</v>
      </c>
      <c r="G70" s="46" t="s">
        <v>477</v>
      </c>
      <c r="H70" s="46" t="s">
        <v>902</v>
      </c>
      <c r="I70" t="s">
        <v>1041</v>
      </c>
      <c r="J70"/>
    </row>
    <row r="71" spans="1:10" x14ac:dyDescent="0.2">
      <c r="A71" t="s">
        <v>1039</v>
      </c>
      <c r="B71" s="156">
        <v>44124</v>
      </c>
      <c r="C71" t="s">
        <v>632</v>
      </c>
      <c r="D71">
        <v>550</v>
      </c>
      <c r="E71" t="s">
        <v>653</v>
      </c>
      <c r="F71" t="s">
        <v>707</v>
      </c>
      <c r="G71" s="46" t="s">
        <v>558</v>
      </c>
      <c r="H71" s="46" t="s">
        <v>1022</v>
      </c>
      <c r="I71" t="s">
        <v>1043</v>
      </c>
      <c r="J71"/>
    </row>
    <row r="72" spans="1:10" x14ac:dyDescent="0.2">
      <c r="A72" t="s">
        <v>1039</v>
      </c>
      <c r="B72" s="156">
        <v>44125</v>
      </c>
      <c r="C72" t="s">
        <v>632</v>
      </c>
      <c r="D72">
        <v>-4558</v>
      </c>
      <c r="E72" t="s">
        <v>655</v>
      </c>
      <c r="F72" t="s">
        <v>708</v>
      </c>
      <c r="G72"/>
      <c r="H72"/>
      <c r="I72" t="s">
        <v>1040</v>
      </c>
      <c r="J72"/>
    </row>
    <row r="73" spans="1:10" x14ac:dyDescent="0.2">
      <c r="A73" t="s">
        <v>1039</v>
      </c>
      <c r="B73" s="156">
        <v>44126</v>
      </c>
      <c r="C73" t="s">
        <v>632</v>
      </c>
      <c r="D73">
        <v>2279</v>
      </c>
      <c r="E73" t="s">
        <v>682</v>
      </c>
      <c r="F73" t="s">
        <v>709</v>
      </c>
      <c r="G73"/>
      <c r="H73"/>
      <c r="I73" t="s">
        <v>1040</v>
      </c>
      <c r="J73"/>
    </row>
    <row r="74" spans="1:10" x14ac:dyDescent="0.2">
      <c r="A74" t="s">
        <v>1039</v>
      </c>
      <c r="B74" s="156">
        <v>44126</v>
      </c>
      <c r="C74" t="s">
        <v>632</v>
      </c>
      <c r="D74">
        <v>-155.4</v>
      </c>
      <c r="E74" t="s">
        <v>655</v>
      </c>
      <c r="F74" t="s">
        <v>710</v>
      </c>
      <c r="G74" s="46" t="s">
        <v>488</v>
      </c>
      <c r="H74" s="46" t="s">
        <v>903</v>
      </c>
      <c r="I74" t="s">
        <v>1041</v>
      </c>
      <c r="J74"/>
    </row>
    <row r="75" spans="1:10" x14ac:dyDescent="0.2">
      <c r="A75" t="s">
        <v>1039</v>
      </c>
      <c r="B75" s="156">
        <v>44126</v>
      </c>
      <c r="C75" t="s">
        <v>632</v>
      </c>
      <c r="D75">
        <v>43.04</v>
      </c>
      <c r="E75" t="s">
        <v>653</v>
      </c>
      <c r="F75" t="s">
        <v>672</v>
      </c>
      <c r="G75"/>
      <c r="H75"/>
      <c r="I75" t="s">
        <v>1040</v>
      </c>
      <c r="J75"/>
    </row>
    <row r="76" spans="1:10" x14ac:dyDescent="0.2">
      <c r="A76" t="s">
        <v>1039</v>
      </c>
      <c r="B76" s="156">
        <v>44126</v>
      </c>
      <c r="C76" t="s">
        <v>632</v>
      </c>
      <c r="D76">
        <v>411.6</v>
      </c>
      <c r="E76" t="s">
        <v>653</v>
      </c>
      <c r="F76" t="s">
        <v>711</v>
      </c>
      <c r="G76"/>
      <c r="H76"/>
      <c r="I76" t="s">
        <v>1040</v>
      </c>
      <c r="J76"/>
    </row>
    <row r="77" spans="1:10" x14ac:dyDescent="0.2">
      <c r="A77" t="s">
        <v>1039</v>
      </c>
      <c r="B77" s="156">
        <v>44126</v>
      </c>
      <c r="C77" t="s">
        <v>632</v>
      </c>
      <c r="D77">
        <v>284.36</v>
      </c>
      <c r="E77" t="s">
        <v>653</v>
      </c>
      <c r="F77" t="s">
        <v>690</v>
      </c>
      <c r="G77"/>
      <c r="H77"/>
      <c r="I77" t="s">
        <v>1040</v>
      </c>
      <c r="J77"/>
    </row>
    <row r="78" spans="1:10" x14ac:dyDescent="0.2">
      <c r="A78" t="s">
        <v>1039</v>
      </c>
      <c r="B78" s="156">
        <v>44126</v>
      </c>
      <c r="C78" t="s">
        <v>632</v>
      </c>
      <c r="D78">
        <v>416.76</v>
      </c>
      <c r="E78" t="s">
        <v>653</v>
      </c>
      <c r="F78" t="s">
        <v>712</v>
      </c>
      <c r="G78"/>
      <c r="H78"/>
      <c r="I78" t="s">
        <v>1040</v>
      </c>
      <c r="J78"/>
    </row>
    <row r="79" spans="1:10" x14ac:dyDescent="0.2">
      <c r="A79" t="s">
        <v>1039</v>
      </c>
      <c r="B79" s="156">
        <v>44126</v>
      </c>
      <c r="C79" t="s">
        <v>632</v>
      </c>
      <c r="D79">
        <v>393.03</v>
      </c>
      <c r="E79" t="s">
        <v>653</v>
      </c>
      <c r="F79" t="s">
        <v>670</v>
      </c>
      <c r="G79"/>
      <c r="H79"/>
      <c r="I79" t="s">
        <v>1040</v>
      </c>
      <c r="J79"/>
    </row>
    <row r="80" spans="1:10" x14ac:dyDescent="0.2">
      <c r="A80" t="s">
        <v>1039</v>
      </c>
      <c r="B80" s="156">
        <v>44126</v>
      </c>
      <c r="C80" t="s">
        <v>632</v>
      </c>
      <c r="D80">
        <v>159.06</v>
      </c>
      <c r="E80" t="s">
        <v>653</v>
      </c>
      <c r="F80" t="s">
        <v>679</v>
      </c>
      <c r="G80"/>
      <c r="H80"/>
      <c r="I80" t="s">
        <v>1040</v>
      </c>
      <c r="J80"/>
    </row>
    <row r="81" spans="1:10" x14ac:dyDescent="0.2">
      <c r="A81" t="s">
        <v>1039</v>
      </c>
      <c r="B81" s="156">
        <v>44126</v>
      </c>
      <c r="C81" t="s">
        <v>632</v>
      </c>
      <c r="D81">
        <v>426.56</v>
      </c>
      <c r="E81" t="s">
        <v>653</v>
      </c>
      <c r="F81" t="s">
        <v>713</v>
      </c>
      <c r="G81"/>
      <c r="H81"/>
      <c r="I81" t="s">
        <v>1040</v>
      </c>
      <c r="J81"/>
    </row>
    <row r="82" spans="1:10" x14ac:dyDescent="0.2">
      <c r="A82" t="s">
        <v>1039</v>
      </c>
      <c r="B82" s="156">
        <v>44126</v>
      </c>
      <c r="C82" t="s">
        <v>632</v>
      </c>
      <c r="D82">
        <v>422.29</v>
      </c>
      <c r="E82" t="s">
        <v>653</v>
      </c>
      <c r="F82" t="s">
        <v>714</v>
      </c>
      <c r="G82"/>
      <c r="H82"/>
      <c r="I82" t="s">
        <v>1040</v>
      </c>
      <c r="J82"/>
    </row>
    <row r="83" spans="1:10" x14ac:dyDescent="0.2">
      <c r="A83" t="s">
        <v>1039</v>
      </c>
      <c r="B83" s="156">
        <v>44126</v>
      </c>
      <c r="C83" t="s">
        <v>632</v>
      </c>
      <c r="D83">
        <v>-156.11000000000001</v>
      </c>
      <c r="E83" t="s">
        <v>641</v>
      </c>
      <c r="F83" t="s">
        <v>715</v>
      </c>
      <c r="G83"/>
      <c r="H83"/>
      <c r="I83" t="s">
        <v>1042</v>
      </c>
      <c r="J83"/>
    </row>
    <row r="84" spans="1:10" x14ac:dyDescent="0.2">
      <c r="A84" t="s">
        <v>1039</v>
      </c>
      <c r="B84" s="156">
        <v>44127</v>
      </c>
      <c r="C84" t="s">
        <v>632</v>
      </c>
      <c r="D84">
        <v>561.91</v>
      </c>
      <c r="E84" t="s">
        <v>653</v>
      </c>
      <c r="F84" t="s">
        <v>716</v>
      </c>
      <c r="G84"/>
      <c r="H84" s="46" t="s">
        <v>1038</v>
      </c>
      <c r="I84" t="s">
        <v>1040</v>
      </c>
      <c r="J84"/>
    </row>
    <row r="85" spans="1:10" x14ac:dyDescent="0.2">
      <c r="A85" t="s">
        <v>1039</v>
      </c>
      <c r="B85" s="156">
        <v>44127</v>
      </c>
      <c r="C85" t="s">
        <v>632</v>
      </c>
      <c r="D85">
        <v>-700</v>
      </c>
      <c r="E85" t="s">
        <v>682</v>
      </c>
      <c r="F85" t="s">
        <v>683</v>
      </c>
      <c r="G85"/>
      <c r="H85"/>
      <c r="I85" t="s">
        <v>1040</v>
      </c>
      <c r="J85"/>
    </row>
    <row r="86" spans="1:10" x14ac:dyDescent="0.2">
      <c r="A86" t="s">
        <v>1039</v>
      </c>
      <c r="B86" s="156">
        <v>44127</v>
      </c>
      <c r="C86" t="s">
        <v>632</v>
      </c>
      <c r="D86">
        <v>700</v>
      </c>
      <c r="E86" t="s">
        <v>682</v>
      </c>
      <c r="F86" t="s">
        <v>717</v>
      </c>
      <c r="G86"/>
      <c r="H86"/>
      <c r="I86" t="s">
        <v>1040</v>
      </c>
      <c r="J86"/>
    </row>
    <row r="87" spans="1:10" x14ac:dyDescent="0.2">
      <c r="A87" t="s">
        <v>1039</v>
      </c>
      <c r="B87" s="156">
        <v>44127</v>
      </c>
      <c r="C87" t="s">
        <v>632</v>
      </c>
      <c r="D87">
        <v>-700</v>
      </c>
      <c r="E87" t="s">
        <v>682</v>
      </c>
      <c r="F87" t="s">
        <v>718</v>
      </c>
      <c r="G87"/>
      <c r="H87"/>
      <c r="I87" t="s">
        <v>1040</v>
      </c>
      <c r="J87"/>
    </row>
    <row r="88" spans="1:10" x14ac:dyDescent="0.2">
      <c r="A88" t="s">
        <v>1039</v>
      </c>
      <c r="B88" s="156">
        <v>44127</v>
      </c>
      <c r="C88" t="s">
        <v>632</v>
      </c>
      <c r="D88">
        <v>-149.99</v>
      </c>
      <c r="E88" t="s">
        <v>655</v>
      </c>
      <c r="F88" t="s">
        <v>719</v>
      </c>
      <c r="G88" s="46" t="s">
        <v>482</v>
      </c>
      <c r="H88" s="46" t="s">
        <v>904</v>
      </c>
      <c r="I88" t="s">
        <v>1041</v>
      </c>
      <c r="J88"/>
    </row>
    <row r="89" spans="1:10" x14ac:dyDescent="0.2">
      <c r="A89" t="s">
        <v>1039</v>
      </c>
      <c r="B89" s="156">
        <v>44130</v>
      </c>
      <c r="C89" t="s">
        <v>632</v>
      </c>
      <c r="D89">
        <v>-132.99</v>
      </c>
      <c r="E89" t="s">
        <v>655</v>
      </c>
      <c r="F89" t="s">
        <v>720</v>
      </c>
      <c r="G89"/>
      <c r="H89"/>
      <c r="I89" t="s">
        <v>1040</v>
      </c>
      <c r="J89"/>
    </row>
    <row r="90" spans="1:10" x14ac:dyDescent="0.2">
      <c r="A90" t="s">
        <v>1039</v>
      </c>
      <c r="B90" s="156">
        <v>44130</v>
      </c>
      <c r="C90" t="s">
        <v>632</v>
      </c>
      <c r="D90">
        <v>-102</v>
      </c>
      <c r="E90" t="s">
        <v>633</v>
      </c>
      <c r="F90" t="s">
        <v>721</v>
      </c>
      <c r="G90"/>
      <c r="H90"/>
      <c r="I90" t="s">
        <v>1040</v>
      </c>
      <c r="J90"/>
    </row>
    <row r="91" spans="1:10" x14ac:dyDescent="0.2">
      <c r="A91" t="s">
        <v>1039</v>
      </c>
      <c r="B91" s="156">
        <v>44130</v>
      </c>
      <c r="C91" t="s">
        <v>632</v>
      </c>
      <c r="D91">
        <v>-799</v>
      </c>
      <c r="E91" t="s">
        <v>655</v>
      </c>
      <c r="F91" t="s">
        <v>722</v>
      </c>
      <c r="G91"/>
      <c r="H91"/>
      <c r="I91" t="s">
        <v>1040</v>
      </c>
      <c r="J91"/>
    </row>
    <row r="92" spans="1:10" x14ac:dyDescent="0.2">
      <c r="A92" t="s">
        <v>1039</v>
      </c>
      <c r="B92" s="156">
        <v>44130</v>
      </c>
      <c r="C92" t="s">
        <v>632</v>
      </c>
      <c r="D92">
        <v>-240</v>
      </c>
      <c r="E92" t="s">
        <v>655</v>
      </c>
      <c r="F92" t="s">
        <v>723</v>
      </c>
      <c r="G92" s="46" t="s">
        <v>493</v>
      </c>
      <c r="H92" s="46" t="s">
        <v>905</v>
      </c>
      <c r="I92" t="s">
        <v>1041</v>
      </c>
      <c r="J92"/>
    </row>
    <row r="93" spans="1:10" x14ac:dyDescent="0.2">
      <c r="A93" t="s">
        <v>1039</v>
      </c>
      <c r="B93" s="156">
        <v>44131</v>
      </c>
      <c r="C93" t="s">
        <v>632</v>
      </c>
      <c r="D93">
        <v>-252</v>
      </c>
      <c r="E93" t="s">
        <v>655</v>
      </c>
      <c r="F93" t="s">
        <v>724</v>
      </c>
      <c r="G93" s="46" t="s">
        <v>482</v>
      </c>
      <c r="H93" s="46" t="s">
        <v>906</v>
      </c>
      <c r="I93" t="s">
        <v>1041</v>
      </c>
      <c r="J93"/>
    </row>
    <row r="94" spans="1:10" x14ac:dyDescent="0.2">
      <c r="A94" t="s">
        <v>1039</v>
      </c>
      <c r="B94" s="156">
        <v>44131</v>
      </c>
      <c r="C94" t="s">
        <v>632</v>
      </c>
      <c r="D94">
        <v>147.18</v>
      </c>
      <c r="E94" t="s">
        <v>725</v>
      </c>
      <c r="F94" t="s">
        <v>726</v>
      </c>
      <c r="G94" s="46" t="s">
        <v>493</v>
      </c>
      <c r="H94" s="46" t="s">
        <v>905</v>
      </c>
      <c r="I94" t="s">
        <v>1041</v>
      </c>
      <c r="J94"/>
    </row>
    <row r="95" spans="1:10" x14ac:dyDescent="0.2">
      <c r="A95" t="s">
        <v>1039</v>
      </c>
      <c r="B95" s="156">
        <v>44131</v>
      </c>
      <c r="C95" t="s">
        <v>632</v>
      </c>
      <c r="D95">
        <v>-13.4</v>
      </c>
      <c r="E95" t="s">
        <v>655</v>
      </c>
      <c r="F95" t="s">
        <v>727</v>
      </c>
      <c r="G95" s="46" t="s">
        <v>482</v>
      </c>
      <c r="H95" s="46" t="s">
        <v>907</v>
      </c>
      <c r="I95" t="s">
        <v>1041</v>
      </c>
      <c r="J95"/>
    </row>
    <row r="96" spans="1:10" x14ac:dyDescent="0.2">
      <c r="A96" t="s">
        <v>1039</v>
      </c>
      <c r="B96" s="156">
        <v>44131</v>
      </c>
      <c r="C96" t="s">
        <v>632</v>
      </c>
      <c r="D96">
        <v>-6.7</v>
      </c>
      <c r="E96" t="s">
        <v>655</v>
      </c>
      <c r="F96" t="s">
        <v>727</v>
      </c>
      <c r="G96" s="46" t="s">
        <v>482</v>
      </c>
      <c r="H96" s="46" t="s">
        <v>907</v>
      </c>
      <c r="I96" t="s">
        <v>1041</v>
      </c>
      <c r="J96"/>
    </row>
    <row r="97" spans="1:10" x14ac:dyDescent="0.2">
      <c r="A97" t="s">
        <v>1039</v>
      </c>
      <c r="B97" s="156">
        <v>44131</v>
      </c>
      <c r="C97" t="s">
        <v>632</v>
      </c>
      <c r="D97">
        <v>-59</v>
      </c>
      <c r="E97" t="s">
        <v>655</v>
      </c>
      <c r="F97" t="s">
        <v>728</v>
      </c>
      <c r="G97" s="46" t="s">
        <v>560</v>
      </c>
      <c r="H97" s="46" t="s">
        <v>908</v>
      </c>
      <c r="I97" t="s">
        <v>1041</v>
      </c>
      <c r="J97"/>
    </row>
    <row r="98" spans="1:10" x14ac:dyDescent="0.2">
      <c r="A98" t="s">
        <v>1039</v>
      </c>
      <c r="B98" s="156">
        <v>44131</v>
      </c>
      <c r="C98" t="s">
        <v>632</v>
      </c>
      <c r="D98">
        <v>-200</v>
      </c>
      <c r="E98" t="s">
        <v>655</v>
      </c>
      <c r="F98" t="s">
        <v>729</v>
      </c>
      <c r="G98" s="46" t="s">
        <v>560</v>
      </c>
      <c r="H98" s="46" t="s">
        <v>909</v>
      </c>
      <c r="I98" t="s">
        <v>1041</v>
      </c>
      <c r="J98"/>
    </row>
    <row r="99" spans="1:10" x14ac:dyDescent="0.2">
      <c r="A99" t="s">
        <v>1039</v>
      </c>
      <c r="B99" s="156">
        <v>44131</v>
      </c>
      <c r="C99" t="s">
        <v>632</v>
      </c>
      <c r="D99">
        <v>-75</v>
      </c>
      <c r="E99" t="s">
        <v>655</v>
      </c>
      <c r="F99" t="s">
        <v>730</v>
      </c>
      <c r="G99" s="46" t="s">
        <v>482</v>
      </c>
      <c r="H99" s="46" t="s">
        <v>910</v>
      </c>
      <c r="I99" t="s">
        <v>1041</v>
      </c>
      <c r="J99"/>
    </row>
    <row r="100" spans="1:10" x14ac:dyDescent="0.2">
      <c r="A100" t="s">
        <v>1039</v>
      </c>
      <c r="B100" s="156">
        <v>44131</v>
      </c>
      <c r="C100" t="s">
        <v>632</v>
      </c>
      <c r="D100">
        <v>675</v>
      </c>
      <c r="E100" t="s">
        <v>677</v>
      </c>
      <c r="F100" t="s">
        <v>731</v>
      </c>
      <c r="G100" s="46" t="s">
        <v>499</v>
      </c>
      <c r="H100" s="46" t="s">
        <v>1023</v>
      </c>
      <c r="I100" t="s">
        <v>1043</v>
      </c>
      <c r="J100"/>
    </row>
    <row r="101" spans="1:10" x14ac:dyDescent="0.2">
      <c r="A101" t="s">
        <v>1039</v>
      </c>
      <c r="B101" s="156">
        <v>44131</v>
      </c>
      <c r="C101" t="s">
        <v>632</v>
      </c>
      <c r="D101">
        <v>-30.99</v>
      </c>
      <c r="E101" t="s">
        <v>641</v>
      </c>
      <c r="F101" t="s">
        <v>732</v>
      </c>
      <c r="G101"/>
      <c r="H101"/>
      <c r="I101" t="s">
        <v>1040</v>
      </c>
      <c r="J101"/>
    </row>
    <row r="102" spans="1:10" x14ac:dyDescent="0.2">
      <c r="A102" t="s">
        <v>1039</v>
      </c>
      <c r="B102" s="156">
        <v>44132</v>
      </c>
      <c r="C102" t="s">
        <v>632</v>
      </c>
      <c r="D102">
        <v>695</v>
      </c>
      <c r="E102" t="s">
        <v>653</v>
      </c>
      <c r="F102" t="s">
        <v>733</v>
      </c>
      <c r="G102" s="46" t="s">
        <v>489</v>
      </c>
      <c r="H102" s="46" t="s">
        <v>1024</v>
      </c>
      <c r="I102" t="s">
        <v>1043</v>
      </c>
      <c r="J102"/>
    </row>
    <row r="103" spans="1:10" x14ac:dyDescent="0.2">
      <c r="A103" t="s">
        <v>1039</v>
      </c>
      <c r="B103" s="156">
        <v>44132</v>
      </c>
      <c r="C103" t="s">
        <v>632</v>
      </c>
      <c r="D103">
        <v>446</v>
      </c>
      <c r="E103" t="s">
        <v>653</v>
      </c>
      <c r="F103" t="s">
        <v>734</v>
      </c>
      <c r="G103"/>
      <c r="H103"/>
      <c r="I103" t="s">
        <v>1040</v>
      </c>
      <c r="J103"/>
    </row>
    <row r="104" spans="1:10" x14ac:dyDescent="0.2">
      <c r="A104" t="s">
        <v>1039</v>
      </c>
      <c r="B104" s="156">
        <v>44132</v>
      </c>
      <c r="C104" t="s">
        <v>632</v>
      </c>
      <c r="D104">
        <v>463.56</v>
      </c>
      <c r="E104" t="s">
        <v>653</v>
      </c>
      <c r="F104" t="s">
        <v>735</v>
      </c>
      <c r="G104"/>
      <c r="H104"/>
      <c r="I104" t="s">
        <v>1040</v>
      </c>
      <c r="J104"/>
    </row>
    <row r="105" spans="1:10" x14ac:dyDescent="0.2">
      <c r="A105" t="s">
        <v>1039</v>
      </c>
      <c r="B105" s="156">
        <v>44133</v>
      </c>
      <c r="C105" t="s">
        <v>632</v>
      </c>
      <c r="D105">
        <v>532.24</v>
      </c>
      <c r="E105" t="s">
        <v>653</v>
      </c>
      <c r="F105" t="s">
        <v>736</v>
      </c>
      <c r="G105"/>
      <c r="H105"/>
      <c r="I105" t="s">
        <v>1040</v>
      </c>
      <c r="J105"/>
    </row>
    <row r="106" spans="1:10" x14ac:dyDescent="0.2">
      <c r="A106" t="s">
        <v>1039</v>
      </c>
      <c r="B106" s="156">
        <v>44133</v>
      </c>
      <c r="C106" t="s">
        <v>632</v>
      </c>
      <c r="D106">
        <v>452</v>
      </c>
      <c r="E106" t="s">
        <v>653</v>
      </c>
      <c r="F106" t="s">
        <v>737</v>
      </c>
      <c r="G106"/>
      <c r="H106"/>
      <c r="I106" t="s">
        <v>1040</v>
      </c>
      <c r="J106"/>
    </row>
    <row r="107" spans="1:10" x14ac:dyDescent="0.2">
      <c r="A107" t="s">
        <v>1039</v>
      </c>
      <c r="B107" s="156">
        <v>44133</v>
      </c>
      <c r="C107" t="s">
        <v>632</v>
      </c>
      <c r="D107">
        <v>-110.93</v>
      </c>
      <c r="E107" t="s">
        <v>641</v>
      </c>
      <c r="F107" t="s">
        <v>738</v>
      </c>
      <c r="G107"/>
      <c r="H107"/>
      <c r="I107" t="s">
        <v>1042</v>
      </c>
      <c r="J107"/>
    </row>
    <row r="108" spans="1:10" x14ac:dyDescent="0.2">
      <c r="A108" t="s">
        <v>1039</v>
      </c>
      <c r="B108" s="156">
        <v>44134</v>
      </c>
      <c r="C108" t="s">
        <v>632</v>
      </c>
      <c r="D108">
        <v>497.8</v>
      </c>
      <c r="E108" t="s">
        <v>653</v>
      </c>
      <c r="F108" t="s">
        <v>654</v>
      </c>
      <c r="G108"/>
      <c r="H108"/>
      <c r="I108" t="s">
        <v>1040</v>
      </c>
      <c r="J108"/>
    </row>
    <row r="109" spans="1:10" x14ac:dyDescent="0.2">
      <c r="A109" t="s">
        <v>1039</v>
      </c>
      <c r="B109" s="156">
        <v>44134</v>
      </c>
      <c r="C109" t="s">
        <v>632</v>
      </c>
      <c r="D109">
        <v>-157.09</v>
      </c>
      <c r="E109" t="s">
        <v>641</v>
      </c>
      <c r="F109" t="s">
        <v>739</v>
      </c>
      <c r="G109"/>
      <c r="H109"/>
      <c r="I109" t="s">
        <v>1042</v>
      </c>
      <c r="J109"/>
    </row>
    <row r="110" spans="1:10" x14ac:dyDescent="0.2">
      <c r="A110" t="s">
        <v>1039</v>
      </c>
      <c r="B110" s="156">
        <v>44134</v>
      </c>
      <c r="C110" t="s">
        <v>632</v>
      </c>
      <c r="D110">
        <v>-157.09</v>
      </c>
      <c r="E110" t="s">
        <v>641</v>
      </c>
      <c r="F110" t="s">
        <v>740</v>
      </c>
      <c r="G110"/>
      <c r="H110"/>
      <c r="I110" t="s">
        <v>1042</v>
      </c>
      <c r="J110"/>
    </row>
    <row r="111" spans="1:10" x14ac:dyDescent="0.2">
      <c r="A111" t="s">
        <v>1039</v>
      </c>
      <c r="B111" s="156">
        <v>44134</v>
      </c>
      <c r="C111" t="s">
        <v>632</v>
      </c>
      <c r="D111">
        <v>-157.09</v>
      </c>
      <c r="E111" t="s">
        <v>641</v>
      </c>
      <c r="F111" t="s">
        <v>741</v>
      </c>
      <c r="G111"/>
      <c r="H111"/>
      <c r="I111" t="s">
        <v>1042</v>
      </c>
      <c r="J111"/>
    </row>
    <row r="112" spans="1:10" x14ac:dyDescent="0.2">
      <c r="A112" t="s">
        <v>1039</v>
      </c>
      <c r="B112" s="156">
        <v>44134</v>
      </c>
      <c r="C112" t="s">
        <v>632</v>
      </c>
      <c r="D112">
        <v>-148.72999999999999</v>
      </c>
      <c r="E112" t="s">
        <v>641</v>
      </c>
      <c r="F112" t="s">
        <v>742</v>
      </c>
      <c r="G112"/>
      <c r="H112"/>
      <c r="I112" t="s">
        <v>1042</v>
      </c>
      <c r="J112"/>
    </row>
    <row r="113" spans="2:16" x14ac:dyDescent="0.2">
      <c r="B113" s="156"/>
      <c r="C113"/>
      <c r="D113"/>
      <c r="E113" s="46"/>
      <c r="F113" s="46"/>
      <c r="G113" s="46"/>
      <c r="H113" s="46"/>
    </row>
    <row r="114" spans="2:16" x14ac:dyDescent="0.2">
      <c r="B114" s="156"/>
      <c r="C114"/>
      <c r="D114"/>
      <c r="E114" s="46"/>
      <c r="F114" s="46"/>
      <c r="G114" s="46"/>
      <c r="H114" s="46"/>
    </row>
    <row r="115" spans="2:16" x14ac:dyDescent="0.2">
      <c r="B115" s="156"/>
      <c r="C115"/>
      <c r="D115"/>
      <c r="E115" s="46"/>
      <c r="F115" s="46"/>
      <c r="G115" s="46"/>
      <c r="H115" s="46"/>
    </row>
    <row r="116" spans="2:16" x14ac:dyDescent="0.2">
      <c r="B116" s="156"/>
      <c r="C116"/>
      <c r="D116"/>
      <c r="E116" s="46"/>
      <c r="F116" s="46"/>
      <c r="G116" s="46"/>
      <c r="H116" s="46"/>
    </row>
    <row r="117" spans="2:16" x14ac:dyDescent="0.2">
      <c r="B117" s="156"/>
      <c r="C117"/>
      <c r="D117"/>
      <c r="E117" s="46"/>
      <c r="F117" s="46"/>
      <c r="G117" s="46"/>
      <c r="H117" s="46"/>
    </row>
    <row r="118" spans="2:16" x14ac:dyDescent="0.2">
      <c r="B118" s="156"/>
      <c r="C118"/>
      <c r="D118"/>
      <c r="E118"/>
      <c r="F118"/>
      <c r="G118"/>
      <c r="H118" s="131"/>
      <c r="J118" s="131"/>
    </row>
    <row r="119" spans="2:16" x14ac:dyDescent="0.2">
      <c r="B119" s="156"/>
      <c r="C119"/>
      <c r="D119"/>
      <c r="E119"/>
      <c r="F119"/>
      <c r="G119"/>
      <c r="J119" s="131"/>
    </row>
    <row r="120" spans="2:16" x14ac:dyDescent="0.2">
      <c r="B120" s="156"/>
      <c r="C120"/>
      <c r="D120"/>
      <c r="E120"/>
      <c r="F120"/>
      <c r="G120"/>
      <c r="H120" s="131"/>
      <c r="J120" s="131"/>
    </row>
    <row r="121" spans="2:16" x14ac:dyDescent="0.2">
      <c r="B121" s="156"/>
      <c r="C121"/>
      <c r="D121"/>
      <c r="E121"/>
      <c r="F121"/>
      <c r="G121"/>
      <c r="H121" s="133"/>
    </row>
    <row r="122" spans="2:16" x14ac:dyDescent="0.2">
      <c r="B122" s="156"/>
      <c r="C122"/>
      <c r="D122"/>
      <c r="E122"/>
      <c r="F122"/>
      <c r="G122" s="131"/>
      <c r="H122" s="131"/>
      <c r="P122" s="131"/>
    </row>
    <row r="123" spans="2:16" x14ac:dyDescent="0.2">
      <c r="B123" s="156"/>
      <c r="C123"/>
      <c r="D123"/>
      <c r="E123"/>
      <c r="F123"/>
      <c r="G123"/>
      <c r="H123" s="131"/>
    </row>
    <row r="124" spans="2:16" x14ac:dyDescent="0.2">
      <c r="B124" s="156"/>
      <c r="C124"/>
      <c r="D124"/>
      <c r="E124"/>
      <c r="F124"/>
      <c r="G124"/>
      <c r="H124" s="133"/>
    </row>
    <row r="125" spans="2:16" x14ac:dyDescent="0.2">
      <c r="B125" s="156"/>
      <c r="C125"/>
      <c r="D125"/>
      <c r="E125"/>
      <c r="F125"/>
      <c r="G125"/>
      <c r="H125" s="131"/>
      <c r="J125" s="131"/>
    </row>
    <row r="126" spans="2:16" x14ac:dyDescent="0.2">
      <c r="B126" s="156"/>
      <c r="C126"/>
      <c r="D126"/>
      <c r="E126"/>
      <c r="F126"/>
      <c r="G126"/>
      <c r="H126" s="133"/>
      <c r="J126" s="131"/>
    </row>
    <row r="127" spans="2:16" x14ac:dyDescent="0.2">
      <c r="B127" s="156"/>
      <c r="C127"/>
      <c r="D127"/>
      <c r="E127"/>
      <c r="F127"/>
      <c r="G127"/>
    </row>
    <row r="128" spans="2:16" x14ac:dyDescent="0.2">
      <c r="B128" s="156"/>
      <c r="C128"/>
      <c r="D128"/>
      <c r="E128"/>
      <c r="F128"/>
      <c r="G128"/>
      <c r="H128" s="131"/>
    </row>
    <row r="129" spans="2:10" x14ac:dyDescent="0.2">
      <c r="B129" s="156"/>
      <c r="C129"/>
      <c r="D129"/>
      <c r="E129"/>
      <c r="F129"/>
      <c r="G129"/>
      <c r="H129" s="133"/>
      <c r="J129" s="133"/>
    </row>
    <row r="130" spans="2:10" x14ac:dyDescent="0.2">
      <c r="B130" s="156"/>
      <c r="C130"/>
      <c r="D130"/>
      <c r="E130"/>
      <c r="F130"/>
      <c r="G130"/>
      <c r="H130" s="133"/>
      <c r="J130" s="133"/>
    </row>
    <row r="131" spans="2:10" x14ac:dyDescent="0.2">
      <c r="B131" s="156"/>
      <c r="C131"/>
      <c r="D131"/>
      <c r="E131"/>
      <c r="F131"/>
      <c r="G131"/>
      <c r="J131" s="131"/>
    </row>
    <row r="132" spans="2:10" x14ac:dyDescent="0.2">
      <c r="B132" s="156"/>
      <c r="C132"/>
      <c r="D132"/>
      <c r="E132"/>
      <c r="F132"/>
      <c r="G132"/>
      <c r="J132" s="131"/>
    </row>
    <row r="133" spans="2:10" x14ac:dyDescent="0.2">
      <c r="B133" s="156"/>
      <c r="C133"/>
      <c r="D133"/>
      <c r="E133"/>
      <c r="F133"/>
      <c r="G133"/>
    </row>
    <row r="134" spans="2:10" x14ac:dyDescent="0.2">
      <c r="B134" s="156"/>
      <c r="C134"/>
      <c r="D134"/>
      <c r="E134"/>
      <c r="F134"/>
      <c r="G134" s="131"/>
      <c r="H134" s="131"/>
      <c r="J134" s="131"/>
    </row>
    <row r="135" spans="2:10" x14ac:dyDescent="0.2">
      <c r="B135" s="156"/>
      <c r="C135"/>
      <c r="D135"/>
      <c r="E135"/>
      <c r="F135"/>
      <c r="G135"/>
      <c r="H135" s="131"/>
      <c r="J135" s="131"/>
    </row>
    <row r="136" spans="2:10" x14ac:dyDescent="0.2">
      <c r="B136" s="156"/>
      <c r="C136"/>
      <c r="D136"/>
      <c r="E136"/>
      <c r="F136"/>
      <c r="G136" s="46"/>
      <c r="H136" s="46"/>
      <c r="J136" s="131"/>
    </row>
    <row r="137" spans="2:10" x14ac:dyDescent="0.2">
      <c r="B137" s="156"/>
      <c r="C137"/>
      <c r="D137"/>
      <c r="E137"/>
      <c r="F137"/>
      <c r="G137"/>
      <c r="H137" s="131"/>
    </row>
    <row r="138" spans="2:10" x14ac:dyDescent="0.2">
      <c r="B138" s="156"/>
      <c r="C138"/>
      <c r="D138"/>
      <c r="E138"/>
      <c r="F138"/>
      <c r="G138"/>
      <c r="H138" s="133"/>
      <c r="J138" s="131"/>
    </row>
    <row r="139" spans="2:10" x14ac:dyDescent="0.2">
      <c r="B139" s="156"/>
      <c r="C139"/>
      <c r="D139"/>
      <c r="E139"/>
      <c r="F139"/>
      <c r="G139"/>
    </row>
    <row r="140" spans="2:10" x14ac:dyDescent="0.2">
      <c r="B140" s="156"/>
      <c r="C140"/>
      <c r="D140"/>
      <c r="E140"/>
      <c r="F140"/>
      <c r="G140"/>
      <c r="H140" s="133"/>
      <c r="J140" s="131"/>
    </row>
    <row r="141" spans="2:10" x14ac:dyDescent="0.2">
      <c r="B141" s="156"/>
      <c r="C141"/>
      <c r="D141"/>
      <c r="E141"/>
      <c r="F141"/>
      <c r="G141"/>
      <c r="H141" s="133"/>
    </row>
    <row r="142" spans="2:10" x14ac:dyDescent="0.2">
      <c r="B142" s="156"/>
      <c r="C142"/>
      <c r="D142"/>
      <c r="E142"/>
      <c r="F142"/>
      <c r="G142"/>
      <c r="H142" s="133"/>
    </row>
    <row r="143" spans="2:10" x14ac:dyDescent="0.2">
      <c r="B143" s="130"/>
      <c r="H143" s="133"/>
    </row>
    <row r="144" spans="2:10" x14ac:dyDescent="0.2">
      <c r="B144" s="130"/>
    </row>
    <row r="145" spans="2:10" x14ac:dyDescent="0.2">
      <c r="B145" s="130"/>
      <c r="H145" s="133"/>
      <c r="J145" s="133"/>
    </row>
    <row r="146" spans="2:10" x14ac:dyDescent="0.2">
      <c r="B146" s="130"/>
      <c r="H146" s="133"/>
    </row>
    <row r="147" spans="2:10" x14ac:dyDescent="0.2">
      <c r="B147" s="130"/>
      <c r="J147" s="131"/>
    </row>
    <row r="148" spans="2:10" x14ac:dyDescent="0.2">
      <c r="B148" s="130"/>
      <c r="H148" s="133"/>
    </row>
    <row r="149" spans="2:10" x14ac:dyDescent="0.2">
      <c r="B149" s="130"/>
    </row>
    <row r="150" spans="2:10" x14ac:dyDescent="0.2">
      <c r="B150" s="130"/>
      <c r="H150" s="133"/>
      <c r="J150" s="131"/>
    </row>
    <row r="151" spans="2:10" x14ac:dyDescent="0.2">
      <c r="B151" s="130"/>
      <c r="G151" s="131"/>
      <c r="H151" s="131"/>
      <c r="J151" s="131"/>
    </row>
    <row r="152" spans="2:10" x14ac:dyDescent="0.2">
      <c r="B152" s="130"/>
      <c r="H152" s="133"/>
      <c r="J152" s="131"/>
    </row>
    <row r="153" spans="2:10" x14ac:dyDescent="0.2">
      <c r="B153" s="130"/>
    </row>
    <row r="154" spans="2:10" x14ac:dyDescent="0.2">
      <c r="B154" s="130"/>
      <c r="F154" s="131"/>
    </row>
    <row r="155" spans="2:10" x14ac:dyDescent="0.2">
      <c r="B155" s="130"/>
    </row>
    <row r="156" spans="2:10" x14ac:dyDescent="0.2">
      <c r="B156" s="130"/>
      <c r="H156" s="131"/>
    </row>
    <row r="157" spans="2:10" x14ac:dyDescent="0.2">
      <c r="B157" s="130"/>
    </row>
    <row r="158" spans="2:10" x14ac:dyDescent="0.2">
      <c r="B158" s="130"/>
    </row>
    <row r="159" spans="2:10" x14ac:dyDescent="0.2">
      <c r="B159" s="130"/>
    </row>
    <row r="160" spans="2:10" x14ac:dyDescent="0.2">
      <c r="B160" s="130"/>
    </row>
    <row r="161" spans="2:10" x14ac:dyDescent="0.2">
      <c r="B161" s="130"/>
    </row>
    <row r="162" spans="2:10" x14ac:dyDescent="0.2">
      <c r="B162" s="130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  <c r="H165" s="131"/>
      <c r="J165" s="131"/>
    </row>
    <row r="166" spans="2:10" x14ac:dyDescent="0.2">
      <c r="B166" s="130"/>
      <c r="J166" s="131"/>
    </row>
    <row r="167" spans="2:10" x14ac:dyDescent="0.2">
      <c r="B167" s="130"/>
      <c r="H167" s="133"/>
      <c r="J167" s="133"/>
    </row>
    <row r="168" spans="2:10" x14ac:dyDescent="0.2">
      <c r="B168" s="130"/>
    </row>
    <row r="169" spans="2:10" x14ac:dyDescent="0.2">
      <c r="B169" s="130"/>
      <c r="J169" s="131"/>
    </row>
    <row r="170" spans="2:10" x14ac:dyDescent="0.2">
      <c r="B170" s="130"/>
      <c r="H170" s="133"/>
      <c r="J170" s="131"/>
    </row>
    <row r="171" spans="2:10" x14ac:dyDescent="0.2">
      <c r="B171" s="130"/>
      <c r="J171" s="131"/>
    </row>
    <row r="172" spans="2:10" x14ac:dyDescent="0.2">
      <c r="B172" s="130"/>
    </row>
    <row r="173" spans="2:10" x14ac:dyDescent="0.2">
      <c r="B173" s="130"/>
    </row>
    <row r="174" spans="2:10" x14ac:dyDescent="0.2">
      <c r="B174" s="130"/>
      <c r="H174" s="133"/>
    </row>
    <row r="175" spans="2:10" x14ac:dyDescent="0.2">
      <c r="B175" s="130"/>
      <c r="H175" s="133"/>
      <c r="J175" s="131"/>
    </row>
    <row r="176" spans="2:10" x14ac:dyDescent="0.2">
      <c r="B176" s="130"/>
      <c r="G176" s="131"/>
      <c r="H176" s="133"/>
      <c r="J176" s="131"/>
    </row>
    <row r="177" spans="2:10" x14ac:dyDescent="0.2">
      <c r="B177" s="130"/>
      <c r="J177" s="131"/>
    </row>
    <row r="178" spans="2:10" x14ac:dyDescent="0.2">
      <c r="B178" s="130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F181" s="131"/>
      <c r="G181" s="131"/>
      <c r="H181" s="131"/>
      <c r="J181" s="131"/>
    </row>
    <row r="182" spans="2:10" x14ac:dyDescent="0.2">
      <c r="B182" s="130"/>
      <c r="F182" s="131"/>
      <c r="G182" s="132"/>
    </row>
    <row r="183" spans="2:10" x14ac:dyDescent="0.2">
      <c r="B183" s="130"/>
      <c r="J183" s="131"/>
    </row>
    <row r="184" spans="2:10" x14ac:dyDescent="0.2">
      <c r="B184" s="130"/>
      <c r="H184" s="131"/>
      <c r="J184" s="131"/>
    </row>
    <row r="185" spans="2:10" x14ac:dyDescent="0.2">
      <c r="B185" s="130"/>
      <c r="H185" s="131"/>
      <c r="J185" s="131"/>
    </row>
    <row r="186" spans="2:10" x14ac:dyDescent="0.2">
      <c r="B186" s="130"/>
      <c r="J186" s="131"/>
    </row>
    <row r="187" spans="2:10" x14ac:dyDescent="0.2">
      <c r="B187" s="130"/>
      <c r="J187" s="131"/>
    </row>
    <row r="188" spans="2:10" x14ac:dyDescent="0.2">
      <c r="B188" s="130"/>
      <c r="J188" s="131"/>
    </row>
    <row r="189" spans="2:10" x14ac:dyDescent="0.2">
      <c r="B189" s="130"/>
      <c r="J189" s="131"/>
    </row>
    <row r="190" spans="2:10" x14ac:dyDescent="0.2">
      <c r="B190" s="130"/>
      <c r="G190" s="131"/>
      <c r="H190" s="131"/>
    </row>
    <row r="191" spans="2:10" x14ac:dyDescent="0.2">
      <c r="B191" s="130"/>
      <c r="G191" s="131"/>
      <c r="H191" s="131"/>
    </row>
    <row r="192" spans="2:10" x14ac:dyDescent="0.2">
      <c r="B192" s="130"/>
      <c r="G192" s="131"/>
      <c r="H192" s="131"/>
    </row>
    <row r="193" spans="2:10" x14ac:dyDescent="0.2">
      <c r="B193" s="130"/>
      <c r="G193" s="131"/>
      <c r="H193" s="131"/>
    </row>
    <row r="194" spans="2:10" x14ac:dyDescent="0.2">
      <c r="B194" s="130"/>
      <c r="H194" s="131"/>
    </row>
    <row r="195" spans="2:10" x14ac:dyDescent="0.2">
      <c r="B195" s="130"/>
      <c r="H195" s="133"/>
      <c r="J195" s="131"/>
    </row>
    <row r="196" spans="2:10" x14ac:dyDescent="0.2">
      <c r="B196" s="130"/>
      <c r="J196" s="131"/>
    </row>
    <row r="197" spans="2:10" x14ac:dyDescent="0.2">
      <c r="B197" s="130"/>
    </row>
    <row r="198" spans="2:10" x14ac:dyDescent="0.2">
      <c r="B198" s="130"/>
      <c r="J198" s="131"/>
    </row>
    <row r="199" spans="2:10" x14ac:dyDescent="0.2">
      <c r="B199" s="130"/>
      <c r="H199" s="131"/>
      <c r="J199" s="131"/>
    </row>
    <row r="200" spans="2:10" x14ac:dyDescent="0.2">
      <c r="B200" s="130"/>
      <c r="H200" s="133"/>
    </row>
    <row r="201" spans="2:10" x14ac:dyDescent="0.2">
      <c r="B201" s="130"/>
      <c r="H201" s="133"/>
    </row>
    <row r="202" spans="2:10" x14ac:dyDescent="0.2">
      <c r="B202" s="130"/>
      <c r="H202" s="131"/>
    </row>
    <row r="203" spans="2:10" x14ac:dyDescent="0.2">
      <c r="B203" s="130"/>
      <c r="H203" s="131"/>
    </row>
    <row r="204" spans="2:10" x14ac:dyDescent="0.2">
      <c r="B204" s="130"/>
      <c r="H204" s="131"/>
    </row>
    <row r="205" spans="2:10" x14ac:dyDescent="0.2">
      <c r="B205" s="130"/>
    </row>
    <row r="206" spans="2:10" x14ac:dyDescent="0.2">
      <c r="B206" s="130"/>
    </row>
    <row r="207" spans="2:10" x14ac:dyDescent="0.2">
      <c r="B207" s="130"/>
    </row>
    <row r="208" spans="2:10" x14ac:dyDescent="0.2">
      <c r="B208" s="130"/>
      <c r="H208" s="131"/>
      <c r="J208" s="131"/>
    </row>
    <row r="209" spans="2:10" x14ac:dyDescent="0.2">
      <c r="B209" s="130"/>
      <c r="H209" s="131"/>
    </row>
    <row r="210" spans="2:10" x14ac:dyDescent="0.2">
      <c r="B210" s="130"/>
    </row>
    <row r="211" spans="2:10" x14ac:dyDescent="0.2">
      <c r="B211" s="130"/>
    </row>
    <row r="212" spans="2:10" x14ac:dyDescent="0.2">
      <c r="B212" s="130"/>
      <c r="H212" s="131"/>
      <c r="J212" s="131"/>
    </row>
    <row r="213" spans="2:10" x14ac:dyDescent="0.2">
      <c r="B213" s="130"/>
      <c r="H213" s="131"/>
      <c r="J213" s="131"/>
    </row>
    <row r="214" spans="2:10" x14ac:dyDescent="0.2">
      <c r="B214" s="130"/>
    </row>
    <row r="215" spans="2:10" x14ac:dyDescent="0.2">
      <c r="B215" s="130"/>
    </row>
    <row r="216" spans="2:10" x14ac:dyDescent="0.2">
      <c r="B216" s="130"/>
      <c r="H216" s="131"/>
    </row>
    <row r="217" spans="2:10" x14ac:dyDescent="0.2">
      <c r="B217" s="130"/>
    </row>
    <row r="218" spans="2:10" x14ac:dyDescent="0.2">
      <c r="B218" s="130"/>
      <c r="H218" s="131"/>
    </row>
    <row r="219" spans="2:10" x14ac:dyDescent="0.2">
      <c r="B219" s="130"/>
    </row>
    <row r="220" spans="2:10" x14ac:dyDescent="0.2">
      <c r="B220" s="130"/>
      <c r="H220" s="131"/>
    </row>
    <row r="221" spans="2:10" x14ac:dyDescent="0.2">
      <c r="B221" s="130"/>
      <c r="G221" s="131"/>
      <c r="H221" s="131"/>
    </row>
    <row r="222" spans="2:10" x14ac:dyDescent="0.2">
      <c r="B222" s="130"/>
      <c r="H222" s="133"/>
    </row>
    <row r="223" spans="2:10" x14ac:dyDescent="0.2">
      <c r="B223" s="130"/>
      <c r="J223" s="131"/>
    </row>
    <row r="224" spans="2:10" x14ac:dyDescent="0.2">
      <c r="B224" s="130"/>
      <c r="J224" s="131"/>
    </row>
    <row r="225" spans="2:10" x14ac:dyDescent="0.2">
      <c r="B225" s="130"/>
      <c r="G225" s="131"/>
    </row>
    <row r="226" spans="2:10" x14ac:dyDescent="0.2">
      <c r="B226" s="130"/>
      <c r="H226" s="131"/>
      <c r="J226" s="131"/>
    </row>
    <row r="227" spans="2:10" x14ac:dyDescent="0.2">
      <c r="B227" s="130"/>
      <c r="H227" s="131"/>
      <c r="J227" s="131"/>
    </row>
    <row r="228" spans="2:10" x14ac:dyDescent="0.2">
      <c r="B228" s="130"/>
    </row>
    <row r="229" spans="2:10" x14ac:dyDescent="0.2">
      <c r="B229" s="130"/>
    </row>
    <row r="230" spans="2:10" x14ac:dyDescent="0.2">
      <c r="B230" s="130"/>
      <c r="F230" s="131"/>
    </row>
    <row r="231" spans="2:10" x14ac:dyDescent="0.2">
      <c r="B231" s="130"/>
      <c r="H231" s="131"/>
    </row>
    <row r="232" spans="2:10" x14ac:dyDescent="0.2">
      <c r="B232" s="130"/>
      <c r="J232" s="131"/>
    </row>
    <row r="233" spans="2:10" x14ac:dyDescent="0.2">
      <c r="B233" s="130"/>
      <c r="H233" s="133"/>
      <c r="J233" s="133"/>
    </row>
    <row r="234" spans="2:10" x14ac:dyDescent="0.2">
      <c r="B234" s="130"/>
    </row>
    <row r="235" spans="2:10" x14ac:dyDescent="0.2">
      <c r="B235" s="130"/>
      <c r="J235" s="131"/>
    </row>
    <row r="236" spans="2:10" x14ac:dyDescent="0.2">
      <c r="B236" s="130"/>
      <c r="H236" s="131"/>
      <c r="J236" s="131"/>
    </row>
    <row r="237" spans="2:10" x14ac:dyDescent="0.2">
      <c r="B237" s="130"/>
    </row>
    <row r="238" spans="2:10" x14ac:dyDescent="0.2">
      <c r="B238" s="130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  <c r="J242" s="131"/>
    </row>
    <row r="243" spans="2:10" x14ac:dyDescent="0.2">
      <c r="B243" s="130"/>
      <c r="J243" s="131"/>
    </row>
    <row r="244" spans="2:10" x14ac:dyDescent="0.2">
      <c r="B244" s="130"/>
    </row>
    <row r="245" spans="2:10" x14ac:dyDescent="0.2">
      <c r="B245" s="130"/>
      <c r="H245" s="131"/>
    </row>
    <row r="246" spans="2:10" x14ac:dyDescent="0.2">
      <c r="B246" s="130"/>
    </row>
    <row r="247" spans="2:10" x14ac:dyDescent="0.2">
      <c r="B247" s="130"/>
    </row>
    <row r="248" spans="2:10" x14ac:dyDescent="0.2">
      <c r="B248" s="130"/>
    </row>
    <row r="249" spans="2:10" x14ac:dyDescent="0.2">
      <c r="B249" s="130"/>
    </row>
    <row r="250" spans="2:10" x14ac:dyDescent="0.2">
      <c r="B250" s="130"/>
    </row>
    <row r="251" spans="2:10" x14ac:dyDescent="0.2">
      <c r="B251" s="130"/>
    </row>
    <row r="252" spans="2:10" x14ac:dyDescent="0.2">
      <c r="B252" s="130"/>
    </row>
    <row r="253" spans="2:10" x14ac:dyDescent="0.2">
      <c r="B253" s="130"/>
    </row>
    <row r="254" spans="2:10" x14ac:dyDescent="0.2">
      <c r="B254" s="130"/>
      <c r="H254" s="131"/>
    </row>
    <row r="255" spans="2:10" x14ac:dyDescent="0.2">
      <c r="B255" s="130"/>
      <c r="H255" s="131"/>
      <c r="J255" s="131"/>
    </row>
    <row r="256" spans="2:10" x14ac:dyDescent="0.2">
      <c r="B256" s="130"/>
      <c r="H256" s="131"/>
      <c r="J256" s="131"/>
    </row>
    <row r="257" spans="2:10" x14ac:dyDescent="0.2">
      <c r="B257" s="130"/>
      <c r="J257" s="131"/>
    </row>
    <row r="258" spans="2:10" x14ac:dyDescent="0.2">
      <c r="B258" s="130"/>
      <c r="J258" s="131"/>
    </row>
    <row r="259" spans="2:10" x14ac:dyDescent="0.2">
      <c r="B259" s="130"/>
      <c r="G259" s="131"/>
      <c r="H259" s="131"/>
    </row>
    <row r="260" spans="2:10" x14ac:dyDescent="0.2">
      <c r="B260" s="130"/>
      <c r="J260" s="131"/>
    </row>
    <row r="261" spans="2:10" x14ac:dyDescent="0.2">
      <c r="B261" s="130"/>
      <c r="J261" s="131"/>
    </row>
    <row r="262" spans="2:10" x14ac:dyDescent="0.2">
      <c r="B262" s="130"/>
    </row>
    <row r="263" spans="2:10" x14ac:dyDescent="0.2">
      <c r="B263" s="130"/>
    </row>
    <row r="264" spans="2:10" x14ac:dyDescent="0.2">
      <c r="B264" s="130"/>
    </row>
    <row r="265" spans="2:10" x14ac:dyDescent="0.2">
      <c r="B265" s="130"/>
    </row>
    <row r="266" spans="2:10" x14ac:dyDescent="0.2">
      <c r="B266" s="130"/>
    </row>
    <row r="267" spans="2:10" x14ac:dyDescent="0.2">
      <c r="B267" s="130"/>
    </row>
    <row r="268" spans="2:10" x14ac:dyDescent="0.2">
      <c r="B268" s="130"/>
    </row>
    <row r="269" spans="2:10" x14ac:dyDescent="0.2">
      <c r="B269" s="130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0"/>
  <sheetViews>
    <sheetView zoomScale="85" zoomScaleNormal="85" workbookViewId="0">
      <selection activeCell="F12" sqref="F12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8.85546875" style="129" bestFit="1" customWidth="1"/>
    <col min="5" max="5" width="12.85546875" style="129" customWidth="1"/>
    <col min="6" max="6" width="50.140625" style="129" bestFit="1" customWidth="1"/>
    <col min="7" max="7" width="12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A2" t="s">
        <v>1039</v>
      </c>
      <c r="B2" s="156">
        <v>44105</v>
      </c>
      <c r="C2" t="s">
        <v>743</v>
      </c>
      <c r="D2">
        <v>-78</v>
      </c>
      <c r="E2" t="s">
        <v>655</v>
      </c>
      <c r="F2" t="s">
        <v>744</v>
      </c>
      <c r="G2" s="46" t="s">
        <v>500</v>
      </c>
      <c r="H2" s="46" t="s">
        <v>1026</v>
      </c>
      <c r="I2" t="s">
        <v>1041</v>
      </c>
      <c r="J2"/>
    </row>
    <row r="3" spans="1:15" x14ac:dyDescent="0.2">
      <c r="A3" t="s">
        <v>1039</v>
      </c>
      <c r="B3" s="156">
        <v>44105</v>
      </c>
      <c r="C3" t="s">
        <v>743</v>
      </c>
      <c r="D3">
        <v>-102</v>
      </c>
      <c r="E3" t="s">
        <v>655</v>
      </c>
      <c r="F3" t="s">
        <v>745</v>
      </c>
      <c r="G3" s="46" t="s">
        <v>479</v>
      </c>
      <c r="H3" s="46" t="s">
        <v>1026</v>
      </c>
      <c r="I3" t="s">
        <v>1041</v>
      </c>
      <c r="J3"/>
    </row>
    <row r="4" spans="1:15" x14ac:dyDescent="0.2">
      <c r="A4" t="s">
        <v>1039</v>
      </c>
      <c r="B4" s="156">
        <v>44105</v>
      </c>
      <c r="C4" t="s">
        <v>743</v>
      </c>
      <c r="D4">
        <v>1200</v>
      </c>
      <c r="E4" t="s">
        <v>677</v>
      </c>
      <c r="F4" t="s">
        <v>746</v>
      </c>
      <c r="G4"/>
      <c r="H4"/>
      <c r="I4" t="s">
        <v>1040</v>
      </c>
      <c r="J4"/>
      <c r="O4" s="131"/>
    </row>
    <row r="5" spans="1:15" x14ac:dyDescent="0.2">
      <c r="A5" t="s">
        <v>1039</v>
      </c>
      <c r="B5" s="156">
        <v>44105</v>
      </c>
      <c r="C5" t="s">
        <v>743</v>
      </c>
      <c r="D5">
        <v>-50</v>
      </c>
      <c r="E5" t="s">
        <v>633</v>
      </c>
      <c r="F5" t="s">
        <v>747</v>
      </c>
      <c r="G5"/>
      <c r="H5"/>
      <c r="I5" t="s">
        <v>1040</v>
      </c>
      <c r="J5"/>
    </row>
    <row r="6" spans="1:15" x14ac:dyDescent="0.2">
      <c r="A6" t="s">
        <v>1039</v>
      </c>
      <c r="B6" s="156">
        <v>44105</v>
      </c>
      <c r="C6" t="s">
        <v>743</v>
      </c>
      <c r="D6">
        <v>-50</v>
      </c>
      <c r="E6" t="s">
        <v>633</v>
      </c>
      <c r="F6" t="s">
        <v>637</v>
      </c>
      <c r="G6"/>
      <c r="H6"/>
      <c r="I6" t="s">
        <v>1040</v>
      </c>
      <c r="J6"/>
    </row>
    <row r="7" spans="1:15" x14ac:dyDescent="0.2">
      <c r="A7" t="s">
        <v>1039</v>
      </c>
      <c r="B7" s="156">
        <v>44105</v>
      </c>
      <c r="C7" t="s">
        <v>743</v>
      </c>
      <c r="D7">
        <v>-160</v>
      </c>
      <c r="E7" t="s">
        <v>633</v>
      </c>
      <c r="F7" t="s">
        <v>748</v>
      </c>
      <c r="G7"/>
      <c r="H7"/>
      <c r="I7" t="s">
        <v>1040</v>
      </c>
      <c r="J7"/>
    </row>
    <row r="8" spans="1:15" x14ac:dyDescent="0.2">
      <c r="A8" t="s">
        <v>1039</v>
      </c>
      <c r="B8" s="156">
        <v>44105</v>
      </c>
      <c r="C8" t="s">
        <v>743</v>
      </c>
      <c r="D8">
        <v>-157.5</v>
      </c>
      <c r="E8" t="s">
        <v>633</v>
      </c>
      <c r="F8" t="s">
        <v>749</v>
      </c>
      <c r="G8"/>
      <c r="H8"/>
      <c r="I8" t="s">
        <v>1040</v>
      </c>
      <c r="J8"/>
    </row>
    <row r="9" spans="1:15" x14ac:dyDescent="0.2">
      <c r="A9" t="s">
        <v>1039</v>
      </c>
      <c r="B9" s="156">
        <v>44105</v>
      </c>
      <c r="C9" t="s">
        <v>743</v>
      </c>
      <c r="D9">
        <v>-232.5</v>
      </c>
      <c r="E9" t="s">
        <v>633</v>
      </c>
      <c r="F9" t="s">
        <v>750</v>
      </c>
      <c r="G9"/>
      <c r="H9"/>
      <c r="I9" t="s">
        <v>1040</v>
      </c>
      <c r="J9"/>
    </row>
    <row r="10" spans="1:15" x14ac:dyDescent="0.2">
      <c r="A10" t="s">
        <v>1039</v>
      </c>
      <c r="B10" s="156">
        <v>44105</v>
      </c>
      <c r="C10" t="s">
        <v>743</v>
      </c>
      <c r="D10">
        <v>-1872</v>
      </c>
      <c r="E10" t="s">
        <v>641</v>
      </c>
      <c r="F10" t="s">
        <v>751</v>
      </c>
      <c r="G10"/>
      <c r="H10"/>
      <c r="I10" t="s">
        <v>1040</v>
      </c>
      <c r="J10"/>
    </row>
    <row r="11" spans="1:15" x14ac:dyDescent="0.2">
      <c r="A11" t="s">
        <v>1039</v>
      </c>
      <c r="B11" s="156">
        <v>44105</v>
      </c>
      <c r="C11" t="s">
        <v>743</v>
      </c>
      <c r="D11">
        <v>-340.6</v>
      </c>
      <c r="E11" t="s">
        <v>641</v>
      </c>
      <c r="F11" t="s">
        <v>752</v>
      </c>
      <c r="G11"/>
      <c r="H11"/>
      <c r="I11" t="s">
        <v>1042</v>
      </c>
      <c r="J11"/>
    </row>
    <row r="12" spans="1:15" x14ac:dyDescent="0.2">
      <c r="A12" t="s">
        <v>1039</v>
      </c>
      <c r="B12" s="156">
        <v>44105</v>
      </c>
      <c r="C12" t="s">
        <v>743</v>
      </c>
      <c r="D12">
        <v>-485.51</v>
      </c>
      <c r="E12" t="s">
        <v>641</v>
      </c>
      <c r="F12" t="s">
        <v>753</v>
      </c>
      <c r="G12"/>
      <c r="H12"/>
      <c r="I12" t="s">
        <v>1042</v>
      </c>
      <c r="J12"/>
    </row>
    <row r="13" spans="1:15" x14ac:dyDescent="0.2">
      <c r="A13" t="s">
        <v>1039</v>
      </c>
      <c r="B13" s="156">
        <v>44105</v>
      </c>
      <c r="C13" t="s">
        <v>743</v>
      </c>
      <c r="D13">
        <v>-353.23</v>
      </c>
      <c r="E13" t="s">
        <v>641</v>
      </c>
      <c r="F13" t="s">
        <v>754</v>
      </c>
      <c r="G13"/>
      <c r="H13"/>
      <c r="I13" t="s">
        <v>1042</v>
      </c>
      <c r="J13"/>
    </row>
    <row r="14" spans="1:15" x14ac:dyDescent="0.2">
      <c r="A14" t="s">
        <v>1039</v>
      </c>
      <c r="B14" s="156">
        <v>44105</v>
      </c>
      <c r="C14" t="s">
        <v>743</v>
      </c>
      <c r="D14">
        <v>-153.76</v>
      </c>
      <c r="E14" t="s">
        <v>641</v>
      </c>
      <c r="F14" t="s">
        <v>755</v>
      </c>
      <c r="G14"/>
      <c r="H14"/>
      <c r="I14" t="s">
        <v>1042</v>
      </c>
      <c r="J14"/>
    </row>
    <row r="15" spans="1:15" x14ac:dyDescent="0.2">
      <c r="A15" t="s">
        <v>1039</v>
      </c>
      <c r="B15" s="156">
        <v>44105</v>
      </c>
      <c r="C15" t="s">
        <v>743</v>
      </c>
      <c r="D15">
        <v>-13</v>
      </c>
      <c r="E15" t="s">
        <v>641</v>
      </c>
      <c r="F15" t="s">
        <v>756</v>
      </c>
      <c r="G15" t="s">
        <v>508</v>
      </c>
      <c r="H15" s="46" t="s">
        <v>1016</v>
      </c>
      <c r="I15" t="s">
        <v>1041</v>
      </c>
      <c r="J15"/>
    </row>
    <row r="16" spans="1:15" x14ac:dyDescent="0.2">
      <c r="A16" t="s">
        <v>1039</v>
      </c>
      <c r="B16" s="156">
        <v>44105</v>
      </c>
      <c r="C16" t="s">
        <v>743</v>
      </c>
      <c r="D16">
        <v>-20</v>
      </c>
      <c r="E16" t="s">
        <v>641</v>
      </c>
      <c r="F16" t="s">
        <v>757</v>
      </c>
      <c r="G16" s="46" t="s">
        <v>485</v>
      </c>
      <c r="H16" s="46" t="s">
        <v>1016</v>
      </c>
      <c r="I16" t="s">
        <v>1041</v>
      </c>
      <c r="J16"/>
    </row>
    <row r="17" spans="1:10" x14ac:dyDescent="0.2">
      <c r="A17" t="s">
        <v>1039</v>
      </c>
      <c r="B17" s="156">
        <v>44105</v>
      </c>
      <c r="C17" t="s">
        <v>743</v>
      </c>
      <c r="D17">
        <v>-39</v>
      </c>
      <c r="E17" t="s">
        <v>641</v>
      </c>
      <c r="F17" t="s">
        <v>758</v>
      </c>
      <c r="G17" s="46" t="s">
        <v>479</v>
      </c>
      <c r="H17" s="46" t="s">
        <v>1016</v>
      </c>
      <c r="I17" t="s">
        <v>1041</v>
      </c>
      <c r="J17"/>
    </row>
    <row r="18" spans="1:10" x14ac:dyDescent="0.2">
      <c r="A18" t="s">
        <v>1039</v>
      </c>
      <c r="B18" s="156">
        <v>44105</v>
      </c>
      <c r="C18" t="s">
        <v>743</v>
      </c>
      <c r="D18">
        <v>-183.02</v>
      </c>
      <c r="E18" t="s">
        <v>641</v>
      </c>
      <c r="F18" t="s">
        <v>759</v>
      </c>
      <c r="G18"/>
      <c r="H18"/>
      <c r="I18" t="s">
        <v>1042</v>
      </c>
      <c r="J18"/>
    </row>
    <row r="19" spans="1:10" x14ac:dyDescent="0.2">
      <c r="A19" t="s">
        <v>1039</v>
      </c>
      <c r="B19" s="156">
        <v>44105</v>
      </c>
      <c r="C19" t="s">
        <v>743</v>
      </c>
      <c r="D19">
        <v>-184.52</v>
      </c>
      <c r="E19" t="s">
        <v>641</v>
      </c>
      <c r="F19" t="s">
        <v>760</v>
      </c>
      <c r="G19"/>
      <c r="H19"/>
      <c r="I19" t="s">
        <v>1042</v>
      </c>
      <c r="J19"/>
    </row>
    <row r="20" spans="1:10" x14ac:dyDescent="0.2">
      <c r="A20" t="s">
        <v>1039</v>
      </c>
      <c r="B20" s="156">
        <v>44106</v>
      </c>
      <c r="C20" t="s">
        <v>743</v>
      </c>
      <c r="D20">
        <v>-332.14</v>
      </c>
      <c r="E20" t="s">
        <v>655</v>
      </c>
      <c r="F20" t="s">
        <v>761</v>
      </c>
      <c r="G20" s="46" t="s">
        <v>491</v>
      </c>
      <c r="H20" s="46" t="s">
        <v>1037</v>
      </c>
      <c r="I20" t="s">
        <v>1041</v>
      </c>
      <c r="J20"/>
    </row>
    <row r="21" spans="1:10" x14ac:dyDescent="0.2">
      <c r="A21" t="s">
        <v>1039</v>
      </c>
      <c r="B21" s="156">
        <v>44106</v>
      </c>
      <c r="C21" t="s">
        <v>743</v>
      </c>
      <c r="D21">
        <v>-37.950000000000003</v>
      </c>
      <c r="E21" t="s">
        <v>641</v>
      </c>
      <c r="F21" t="s">
        <v>762</v>
      </c>
      <c r="G21"/>
      <c r="H21"/>
      <c r="I21" t="s">
        <v>1040</v>
      </c>
      <c r="J21"/>
    </row>
    <row r="22" spans="1:10" x14ac:dyDescent="0.2">
      <c r="A22" t="s">
        <v>1039</v>
      </c>
      <c r="B22" s="156">
        <v>44109</v>
      </c>
      <c r="C22" t="s">
        <v>743</v>
      </c>
      <c r="D22">
        <v>-75</v>
      </c>
      <c r="E22" t="s">
        <v>633</v>
      </c>
      <c r="F22" t="s">
        <v>763</v>
      </c>
      <c r="G22"/>
      <c r="H22"/>
      <c r="I22" t="s">
        <v>1040</v>
      </c>
      <c r="J22"/>
    </row>
    <row r="23" spans="1:10" x14ac:dyDescent="0.2">
      <c r="A23" t="s">
        <v>1039</v>
      </c>
      <c r="B23" s="156">
        <v>44109</v>
      </c>
      <c r="C23" t="s">
        <v>743</v>
      </c>
      <c r="D23">
        <v>-75</v>
      </c>
      <c r="E23" t="s">
        <v>641</v>
      </c>
      <c r="F23" t="s">
        <v>764</v>
      </c>
      <c r="G23"/>
      <c r="H23"/>
      <c r="I23" t="s">
        <v>1040</v>
      </c>
      <c r="J23"/>
    </row>
    <row r="24" spans="1:10" x14ac:dyDescent="0.2">
      <c r="A24" t="s">
        <v>1039</v>
      </c>
      <c r="B24" s="156">
        <v>44109</v>
      </c>
      <c r="C24" t="s">
        <v>743</v>
      </c>
      <c r="D24">
        <v>-188.99</v>
      </c>
      <c r="E24" t="s">
        <v>641</v>
      </c>
      <c r="F24" t="s">
        <v>765</v>
      </c>
      <c r="G24"/>
      <c r="H24"/>
      <c r="I24" t="s">
        <v>1042</v>
      </c>
      <c r="J24"/>
    </row>
    <row r="25" spans="1:10" x14ac:dyDescent="0.2">
      <c r="A25" t="s">
        <v>1039</v>
      </c>
      <c r="B25" s="156">
        <v>44109</v>
      </c>
      <c r="C25" t="s">
        <v>743</v>
      </c>
      <c r="D25">
        <v>775</v>
      </c>
      <c r="E25" t="s">
        <v>653</v>
      </c>
      <c r="F25" t="s">
        <v>766</v>
      </c>
      <c r="G25" s="134" t="s">
        <v>480</v>
      </c>
      <c r="H25" s="46" t="s">
        <v>1027</v>
      </c>
      <c r="I25" t="s">
        <v>1043</v>
      </c>
      <c r="J25"/>
    </row>
    <row r="26" spans="1:10" x14ac:dyDescent="0.2">
      <c r="A26" t="s">
        <v>1039</v>
      </c>
      <c r="B26" s="156">
        <v>44109</v>
      </c>
      <c r="C26" t="s">
        <v>743</v>
      </c>
      <c r="D26">
        <v>600</v>
      </c>
      <c r="E26" t="s">
        <v>682</v>
      </c>
      <c r="F26" t="s">
        <v>767</v>
      </c>
      <c r="G26" s="46" t="s">
        <v>491</v>
      </c>
      <c r="H26" s="46" t="s">
        <v>1028</v>
      </c>
      <c r="I26" t="s">
        <v>1043</v>
      </c>
      <c r="J26"/>
    </row>
    <row r="27" spans="1:10" x14ac:dyDescent="0.2">
      <c r="A27" t="s">
        <v>1039</v>
      </c>
      <c r="B27" s="156">
        <v>44110</v>
      </c>
      <c r="C27" t="s">
        <v>743</v>
      </c>
      <c r="D27">
        <v>625</v>
      </c>
      <c r="E27" t="s">
        <v>653</v>
      </c>
      <c r="F27" t="s">
        <v>768</v>
      </c>
      <c r="G27" s="46" t="s">
        <v>485</v>
      </c>
      <c r="H27" s="46" t="s">
        <v>1029</v>
      </c>
      <c r="I27" t="s">
        <v>1043</v>
      </c>
      <c r="J27"/>
    </row>
    <row r="28" spans="1:10" x14ac:dyDescent="0.2">
      <c r="A28" t="s">
        <v>1039</v>
      </c>
      <c r="B28" s="156">
        <v>44112</v>
      </c>
      <c r="C28" t="s">
        <v>743</v>
      </c>
      <c r="D28">
        <v>-184.24</v>
      </c>
      <c r="E28" t="s">
        <v>641</v>
      </c>
      <c r="F28" t="s">
        <v>769</v>
      </c>
      <c r="G28"/>
      <c r="H28"/>
      <c r="I28" t="s">
        <v>1042</v>
      </c>
      <c r="J28"/>
    </row>
    <row r="29" spans="1:10" x14ac:dyDescent="0.2">
      <c r="A29" t="s">
        <v>1039</v>
      </c>
      <c r="B29" s="156">
        <v>44116</v>
      </c>
      <c r="C29" t="s">
        <v>743</v>
      </c>
      <c r="D29">
        <v>-37.68</v>
      </c>
      <c r="E29" t="s">
        <v>641</v>
      </c>
      <c r="F29" t="s">
        <v>770</v>
      </c>
      <c r="G29"/>
      <c r="H29"/>
      <c r="I29" t="s">
        <v>1040</v>
      </c>
      <c r="J29"/>
    </row>
    <row r="30" spans="1:10" x14ac:dyDescent="0.2">
      <c r="A30" t="s">
        <v>1039</v>
      </c>
      <c r="B30" s="156">
        <v>44117</v>
      </c>
      <c r="C30" t="s">
        <v>743</v>
      </c>
      <c r="D30">
        <v>-90</v>
      </c>
      <c r="E30" t="s">
        <v>655</v>
      </c>
      <c r="F30" t="s">
        <v>771</v>
      </c>
      <c r="G30" s="46" t="s">
        <v>492</v>
      </c>
      <c r="H30" s="46" t="s">
        <v>911</v>
      </c>
      <c r="I30" t="s">
        <v>1041</v>
      </c>
      <c r="J30"/>
    </row>
    <row r="31" spans="1:10" x14ac:dyDescent="0.2">
      <c r="A31" t="s">
        <v>1039</v>
      </c>
      <c r="B31" s="156">
        <v>44118</v>
      </c>
      <c r="C31" t="s">
        <v>743</v>
      </c>
      <c r="D31">
        <v>600</v>
      </c>
      <c r="E31" t="s">
        <v>653</v>
      </c>
      <c r="F31" t="s">
        <v>772</v>
      </c>
      <c r="G31" s="46" t="s">
        <v>500</v>
      </c>
      <c r="H31" s="46" t="s">
        <v>1030</v>
      </c>
      <c r="I31" t="s">
        <v>1043</v>
      </c>
      <c r="J31"/>
    </row>
    <row r="32" spans="1:10" x14ac:dyDescent="0.2">
      <c r="A32" t="s">
        <v>1039</v>
      </c>
      <c r="B32" s="156">
        <v>44118</v>
      </c>
      <c r="C32" t="s">
        <v>743</v>
      </c>
      <c r="D32">
        <v>-58.99</v>
      </c>
      <c r="E32" t="s">
        <v>641</v>
      </c>
      <c r="F32" t="s">
        <v>773</v>
      </c>
      <c r="G32"/>
      <c r="H32"/>
      <c r="I32" t="s">
        <v>1040</v>
      </c>
      <c r="J32"/>
    </row>
    <row r="33" spans="1:10" x14ac:dyDescent="0.2">
      <c r="A33" t="s">
        <v>1039</v>
      </c>
      <c r="B33" s="156">
        <v>44119</v>
      </c>
      <c r="C33" t="s">
        <v>743</v>
      </c>
      <c r="D33">
        <v>700</v>
      </c>
      <c r="E33" t="s">
        <v>682</v>
      </c>
      <c r="F33" t="s">
        <v>774</v>
      </c>
      <c r="G33" s="46" t="s">
        <v>509</v>
      </c>
      <c r="H33" s="46" t="s">
        <v>1031</v>
      </c>
      <c r="I33" t="s">
        <v>1043</v>
      </c>
      <c r="J33"/>
    </row>
    <row r="34" spans="1:10" x14ac:dyDescent="0.2">
      <c r="A34" t="s">
        <v>1039</v>
      </c>
      <c r="B34" s="156">
        <v>44119</v>
      </c>
      <c r="C34" t="s">
        <v>743</v>
      </c>
      <c r="D34">
        <v>-153.72</v>
      </c>
      <c r="E34" t="s">
        <v>641</v>
      </c>
      <c r="F34" t="s">
        <v>775</v>
      </c>
      <c r="G34"/>
      <c r="H34"/>
      <c r="I34" t="s">
        <v>1042</v>
      </c>
      <c r="J34"/>
    </row>
    <row r="35" spans="1:10" x14ac:dyDescent="0.2">
      <c r="A35" t="s">
        <v>1039</v>
      </c>
      <c r="B35" s="156">
        <v>44119</v>
      </c>
      <c r="C35" t="s">
        <v>743</v>
      </c>
      <c r="D35">
        <v>-159.08000000000001</v>
      </c>
      <c r="E35" t="s">
        <v>641</v>
      </c>
      <c r="F35" t="s">
        <v>776</v>
      </c>
      <c r="G35"/>
      <c r="H35"/>
      <c r="I35" t="s">
        <v>1042</v>
      </c>
      <c r="J35"/>
    </row>
    <row r="36" spans="1:10" x14ac:dyDescent="0.2">
      <c r="A36" t="s">
        <v>1039</v>
      </c>
      <c r="B36" s="156">
        <v>44119</v>
      </c>
      <c r="C36" t="s">
        <v>743</v>
      </c>
      <c r="D36">
        <v>-159.08000000000001</v>
      </c>
      <c r="E36" t="s">
        <v>641</v>
      </c>
      <c r="F36" t="s">
        <v>777</v>
      </c>
      <c r="G36"/>
      <c r="H36"/>
      <c r="I36" t="s">
        <v>1042</v>
      </c>
      <c r="J36"/>
    </row>
    <row r="37" spans="1:10" x14ac:dyDescent="0.2">
      <c r="A37" t="s">
        <v>1039</v>
      </c>
      <c r="B37" s="156">
        <v>44119</v>
      </c>
      <c r="C37" t="s">
        <v>743</v>
      </c>
      <c r="D37">
        <v>-153.75</v>
      </c>
      <c r="E37" t="s">
        <v>641</v>
      </c>
      <c r="F37" t="s">
        <v>778</v>
      </c>
      <c r="G37"/>
      <c r="H37"/>
      <c r="I37" t="s">
        <v>1042</v>
      </c>
      <c r="J37"/>
    </row>
    <row r="38" spans="1:10" x14ac:dyDescent="0.2">
      <c r="A38" t="s">
        <v>1039</v>
      </c>
      <c r="B38" s="156">
        <v>44119</v>
      </c>
      <c r="C38" t="s">
        <v>743</v>
      </c>
      <c r="D38">
        <v>-153.72</v>
      </c>
      <c r="E38" t="s">
        <v>641</v>
      </c>
      <c r="F38" t="s">
        <v>779</v>
      </c>
      <c r="G38"/>
      <c r="H38"/>
      <c r="I38" t="s">
        <v>1042</v>
      </c>
      <c r="J38"/>
    </row>
    <row r="39" spans="1:10" x14ac:dyDescent="0.2">
      <c r="A39" t="s">
        <v>1039</v>
      </c>
      <c r="B39" s="156">
        <v>44119</v>
      </c>
      <c r="C39" t="s">
        <v>743</v>
      </c>
      <c r="D39">
        <v>-153.77000000000001</v>
      </c>
      <c r="E39" t="s">
        <v>641</v>
      </c>
      <c r="F39" t="s">
        <v>780</v>
      </c>
      <c r="G39"/>
      <c r="H39"/>
      <c r="I39" t="s">
        <v>1042</v>
      </c>
      <c r="J39"/>
    </row>
    <row r="40" spans="1:10" x14ac:dyDescent="0.2">
      <c r="A40" t="s">
        <v>1039</v>
      </c>
      <c r="B40" s="156">
        <v>44119</v>
      </c>
      <c r="C40" t="s">
        <v>743</v>
      </c>
      <c r="D40">
        <v>-153.74</v>
      </c>
      <c r="E40" t="s">
        <v>641</v>
      </c>
      <c r="F40" t="s">
        <v>781</v>
      </c>
      <c r="G40"/>
      <c r="H40"/>
      <c r="I40" t="s">
        <v>1042</v>
      </c>
      <c r="J40"/>
    </row>
    <row r="41" spans="1:10" x14ac:dyDescent="0.2">
      <c r="A41" t="s">
        <v>1039</v>
      </c>
      <c r="B41" s="156">
        <v>44119</v>
      </c>
      <c r="C41" t="s">
        <v>743</v>
      </c>
      <c r="D41">
        <v>-155.44</v>
      </c>
      <c r="E41" t="s">
        <v>641</v>
      </c>
      <c r="F41" t="s">
        <v>782</v>
      </c>
      <c r="G41"/>
      <c r="H41"/>
      <c r="I41" t="s">
        <v>1042</v>
      </c>
      <c r="J41"/>
    </row>
    <row r="42" spans="1:10" x14ac:dyDescent="0.2">
      <c r="A42" t="s">
        <v>1039</v>
      </c>
      <c r="B42" s="156">
        <v>44119</v>
      </c>
      <c r="C42" t="s">
        <v>743</v>
      </c>
      <c r="D42">
        <v>-64</v>
      </c>
      <c r="E42" t="s">
        <v>641</v>
      </c>
      <c r="F42" t="s">
        <v>783</v>
      </c>
      <c r="G42" s="46" t="s">
        <v>500</v>
      </c>
      <c r="H42" s="46" t="s">
        <v>1016</v>
      </c>
      <c r="I42" t="s">
        <v>1041</v>
      </c>
      <c r="J42"/>
    </row>
    <row r="43" spans="1:10" x14ac:dyDescent="0.2">
      <c r="A43" t="s">
        <v>1039</v>
      </c>
      <c r="B43" s="156">
        <v>44120</v>
      </c>
      <c r="C43" t="s">
        <v>743</v>
      </c>
      <c r="D43">
        <v>-60</v>
      </c>
      <c r="E43" t="s">
        <v>655</v>
      </c>
      <c r="F43" t="s">
        <v>784</v>
      </c>
      <c r="G43" s="46" t="s">
        <v>474</v>
      </c>
      <c r="H43" s="46" t="s">
        <v>1011</v>
      </c>
      <c r="I43" t="s">
        <v>1041</v>
      </c>
      <c r="J43"/>
    </row>
    <row r="44" spans="1:10" x14ac:dyDescent="0.2">
      <c r="A44" t="s">
        <v>1039</v>
      </c>
      <c r="B44" s="156">
        <v>44120</v>
      </c>
      <c r="C44" t="s">
        <v>743</v>
      </c>
      <c r="D44">
        <v>-19</v>
      </c>
      <c r="E44" t="s">
        <v>655</v>
      </c>
      <c r="F44" t="s">
        <v>785</v>
      </c>
      <c r="G44" s="46" t="s">
        <v>481</v>
      </c>
      <c r="H44" s="46" t="s">
        <v>1011</v>
      </c>
      <c r="I44" t="s">
        <v>1041</v>
      </c>
      <c r="J44"/>
    </row>
    <row r="45" spans="1:10" x14ac:dyDescent="0.2">
      <c r="A45" t="s">
        <v>1039</v>
      </c>
      <c r="B45" s="156">
        <v>44120</v>
      </c>
      <c r="C45" t="s">
        <v>743</v>
      </c>
      <c r="D45">
        <v>700</v>
      </c>
      <c r="E45" t="s">
        <v>653</v>
      </c>
      <c r="F45" t="s">
        <v>786</v>
      </c>
      <c r="G45" s="46" t="s">
        <v>474</v>
      </c>
      <c r="H45" s="46" t="s">
        <v>1032</v>
      </c>
      <c r="I45" t="s">
        <v>1043</v>
      </c>
      <c r="J45"/>
    </row>
    <row r="46" spans="1:10" x14ac:dyDescent="0.2">
      <c r="A46" t="s">
        <v>1039</v>
      </c>
      <c r="B46" s="156">
        <v>44124</v>
      </c>
      <c r="C46" t="s">
        <v>743</v>
      </c>
      <c r="D46">
        <v>-31.88</v>
      </c>
      <c r="E46" t="s">
        <v>641</v>
      </c>
      <c r="F46" t="s">
        <v>787</v>
      </c>
      <c r="G46"/>
      <c r="H46"/>
      <c r="I46" t="s">
        <v>1040</v>
      </c>
      <c r="J46"/>
    </row>
    <row r="47" spans="1:10" x14ac:dyDescent="0.2">
      <c r="A47" t="s">
        <v>1039</v>
      </c>
      <c r="B47" s="156">
        <v>44125</v>
      </c>
      <c r="C47" t="s">
        <v>743</v>
      </c>
      <c r="D47">
        <v>625</v>
      </c>
      <c r="E47" t="s">
        <v>653</v>
      </c>
      <c r="F47" t="s">
        <v>788</v>
      </c>
      <c r="G47" s="46" t="s">
        <v>490</v>
      </c>
      <c r="H47" s="46" t="s">
        <v>1033</v>
      </c>
      <c r="I47" t="s">
        <v>1043</v>
      </c>
      <c r="J47"/>
    </row>
    <row r="48" spans="1:10" x14ac:dyDescent="0.2">
      <c r="A48" t="s">
        <v>1039</v>
      </c>
      <c r="B48" s="156">
        <v>44125</v>
      </c>
      <c r="C48" t="s">
        <v>743</v>
      </c>
      <c r="D48">
        <v>66.06</v>
      </c>
      <c r="E48" t="s">
        <v>653</v>
      </c>
      <c r="F48" t="s">
        <v>789</v>
      </c>
      <c r="G48"/>
      <c r="H48"/>
      <c r="I48" t="s">
        <v>1040</v>
      </c>
      <c r="J48"/>
    </row>
    <row r="49" spans="1:10" x14ac:dyDescent="0.2">
      <c r="A49" t="s">
        <v>1039</v>
      </c>
      <c r="B49" s="156">
        <v>44126</v>
      </c>
      <c r="C49" t="s">
        <v>743</v>
      </c>
      <c r="D49">
        <v>-2279</v>
      </c>
      <c r="E49" t="s">
        <v>682</v>
      </c>
      <c r="F49" t="s">
        <v>790</v>
      </c>
      <c r="G49"/>
      <c r="H49"/>
      <c r="I49" t="s">
        <v>1040</v>
      </c>
      <c r="J49"/>
    </row>
    <row r="50" spans="1:10" x14ac:dyDescent="0.2">
      <c r="A50" t="s">
        <v>1039</v>
      </c>
      <c r="B50" s="156">
        <v>44126</v>
      </c>
      <c r="C50" t="s">
        <v>743</v>
      </c>
      <c r="D50">
        <v>443.71</v>
      </c>
      <c r="E50" t="s">
        <v>653</v>
      </c>
      <c r="F50" t="s">
        <v>791</v>
      </c>
      <c r="G50"/>
      <c r="H50"/>
      <c r="I50" t="s">
        <v>1040</v>
      </c>
      <c r="J50"/>
    </row>
    <row r="51" spans="1:10" x14ac:dyDescent="0.2">
      <c r="A51" t="s">
        <v>1039</v>
      </c>
      <c r="B51" s="156">
        <v>44126</v>
      </c>
      <c r="C51" t="s">
        <v>743</v>
      </c>
      <c r="D51">
        <v>422.29</v>
      </c>
      <c r="E51" t="s">
        <v>653</v>
      </c>
      <c r="F51" t="s">
        <v>792</v>
      </c>
      <c r="G51"/>
      <c r="H51"/>
      <c r="I51" t="s">
        <v>1040</v>
      </c>
      <c r="J51"/>
    </row>
    <row r="52" spans="1:10" x14ac:dyDescent="0.2">
      <c r="A52" t="s">
        <v>1039</v>
      </c>
      <c r="B52" s="156">
        <v>44126</v>
      </c>
      <c r="C52" t="s">
        <v>743</v>
      </c>
      <c r="D52">
        <v>396.58</v>
      </c>
      <c r="E52" t="s">
        <v>653</v>
      </c>
      <c r="F52" t="s">
        <v>789</v>
      </c>
      <c r="G52"/>
      <c r="H52"/>
      <c r="I52" t="s">
        <v>1040</v>
      </c>
      <c r="J52"/>
    </row>
    <row r="53" spans="1:10" x14ac:dyDescent="0.2">
      <c r="A53" t="s">
        <v>1039</v>
      </c>
      <c r="B53" s="156">
        <v>44126</v>
      </c>
      <c r="C53" t="s">
        <v>743</v>
      </c>
      <c r="D53">
        <v>-11.88</v>
      </c>
      <c r="E53" t="s">
        <v>641</v>
      </c>
      <c r="F53" t="s">
        <v>793</v>
      </c>
      <c r="G53"/>
      <c r="H53"/>
      <c r="I53" t="s">
        <v>1040</v>
      </c>
      <c r="J53"/>
    </row>
    <row r="54" spans="1:10" x14ac:dyDescent="0.2">
      <c r="A54" t="s">
        <v>1039</v>
      </c>
      <c r="B54" s="156">
        <v>44127</v>
      </c>
      <c r="C54" t="s">
        <v>743</v>
      </c>
      <c r="D54">
        <v>-20</v>
      </c>
      <c r="E54" t="s">
        <v>655</v>
      </c>
      <c r="F54" t="s">
        <v>794</v>
      </c>
      <c r="G54" s="46" t="s">
        <v>492</v>
      </c>
      <c r="H54" s="46" t="s">
        <v>1012</v>
      </c>
      <c r="I54" t="s">
        <v>1041</v>
      </c>
      <c r="J54"/>
    </row>
    <row r="55" spans="1:10" x14ac:dyDescent="0.2">
      <c r="A55" t="s">
        <v>1039</v>
      </c>
      <c r="B55" s="156">
        <v>44127</v>
      </c>
      <c r="C55" t="s">
        <v>743</v>
      </c>
      <c r="D55">
        <v>-11.97</v>
      </c>
      <c r="E55" t="s">
        <v>641</v>
      </c>
      <c r="F55" t="s">
        <v>795</v>
      </c>
      <c r="G55"/>
      <c r="H55"/>
      <c r="I55" t="s">
        <v>1040</v>
      </c>
      <c r="J55"/>
    </row>
    <row r="56" spans="1:10" x14ac:dyDescent="0.2">
      <c r="A56" t="s">
        <v>1039</v>
      </c>
      <c r="B56" s="156">
        <v>44130</v>
      </c>
      <c r="C56" t="s">
        <v>743</v>
      </c>
      <c r="D56">
        <v>600</v>
      </c>
      <c r="E56" t="s">
        <v>677</v>
      </c>
      <c r="F56" t="s">
        <v>796</v>
      </c>
      <c r="G56" s="46" t="s">
        <v>496</v>
      </c>
      <c r="H56" s="46" t="s">
        <v>1034</v>
      </c>
      <c r="I56" t="s">
        <v>1043</v>
      </c>
      <c r="J56"/>
    </row>
    <row r="57" spans="1:10" x14ac:dyDescent="0.2">
      <c r="A57" t="s">
        <v>1039</v>
      </c>
      <c r="B57" s="156">
        <v>44130</v>
      </c>
      <c r="C57" t="s">
        <v>743</v>
      </c>
      <c r="D57">
        <v>-18</v>
      </c>
      <c r="E57" t="s">
        <v>641</v>
      </c>
      <c r="F57" t="s">
        <v>797</v>
      </c>
      <c r="G57"/>
      <c r="H57"/>
      <c r="I57" t="s">
        <v>1040</v>
      </c>
      <c r="J57"/>
    </row>
    <row r="58" spans="1:10" x14ac:dyDescent="0.2">
      <c r="A58" t="s">
        <v>1039</v>
      </c>
      <c r="B58" s="156">
        <v>44131</v>
      </c>
      <c r="C58" t="s">
        <v>743</v>
      </c>
      <c r="D58">
        <v>-252</v>
      </c>
      <c r="E58" t="s">
        <v>655</v>
      </c>
      <c r="F58" t="s">
        <v>798</v>
      </c>
      <c r="G58" s="46" t="s">
        <v>488</v>
      </c>
      <c r="H58" s="46" t="s">
        <v>1013</v>
      </c>
      <c r="I58" t="s">
        <v>1041</v>
      </c>
      <c r="J58"/>
    </row>
    <row r="59" spans="1:10" x14ac:dyDescent="0.2">
      <c r="A59" t="s">
        <v>1039</v>
      </c>
      <c r="B59" s="156">
        <v>44131</v>
      </c>
      <c r="C59" t="s">
        <v>743</v>
      </c>
      <c r="D59">
        <v>414.64</v>
      </c>
      <c r="E59" t="s">
        <v>653</v>
      </c>
      <c r="F59" t="s">
        <v>799</v>
      </c>
      <c r="G59"/>
      <c r="H59"/>
      <c r="I59" t="s">
        <v>1040</v>
      </c>
      <c r="J59"/>
    </row>
    <row r="60" spans="1:10" x14ac:dyDescent="0.2">
      <c r="A60" t="s">
        <v>1039</v>
      </c>
      <c r="B60" s="156">
        <v>44131</v>
      </c>
      <c r="C60" t="s">
        <v>743</v>
      </c>
      <c r="D60">
        <v>775</v>
      </c>
      <c r="E60" t="s">
        <v>677</v>
      </c>
      <c r="F60" t="s">
        <v>800</v>
      </c>
      <c r="G60" s="46" t="s">
        <v>481</v>
      </c>
      <c r="H60" s="46" t="s">
        <v>1035</v>
      </c>
      <c r="I60" t="s">
        <v>1043</v>
      </c>
      <c r="J60"/>
    </row>
    <row r="61" spans="1:10" x14ac:dyDescent="0.2">
      <c r="A61" t="s">
        <v>1039</v>
      </c>
      <c r="B61" s="156">
        <v>44131</v>
      </c>
      <c r="C61" t="s">
        <v>743</v>
      </c>
      <c r="D61">
        <v>-1200</v>
      </c>
      <c r="E61" t="s">
        <v>633</v>
      </c>
      <c r="F61" t="s">
        <v>801</v>
      </c>
      <c r="G61"/>
      <c r="H61"/>
      <c r="I61" t="s">
        <v>1040</v>
      </c>
      <c r="J61"/>
    </row>
    <row r="62" spans="1:10" x14ac:dyDescent="0.2">
      <c r="A62" t="s">
        <v>1039</v>
      </c>
      <c r="B62" s="156">
        <v>44132</v>
      </c>
      <c r="C62" t="s">
        <v>743</v>
      </c>
      <c r="D62">
        <v>-105</v>
      </c>
      <c r="E62" t="s">
        <v>655</v>
      </c>
      <c r="F62" t="s">
        <v>802</v>
      </c>
      <c r="G62" s="46" t="s">
        <v>502</v>
      </c>
      <c r="H62" s="46" t="s">
        <v>1014</v>
      </c>
      <c r="I62" t="s">
        <v>1041</v>
      </c>
      <c r="J62"/>
    </row>
    <row r="63" spans="1:10" x14ac:dyDescent="0.2">
      <c r="A63" t="s">
        <v>1039</v>
      </c>
      <c r="B63" s="156">
        <v>44132</v>
      </c>
      <c r="C63" t="s">
        <v>743</v>
      </c>
      <c r="D63">
        <v>105</v>
      </c>
      <c r="E63" t="s">
        <v>653</v>
      </c>
      <c r="F63" t="s">
        <v>803</v>
      </c>
      <c r="G63" s="46" t="s">
        <v>502</v>
      </c>
      <c r="H63" s="46" t="s">
        <v>1015</v>
      </c>
      <c r="I63" t="s">
        <v>1041</v>
      </c>
      <c r="J63"/>
    </row>
    <row r="64" spans="1:10" x14ac:dyDescent="0.2">
      <c r="A64" t="s">
        <v>1039</v>
      </c>
      <c r="B64" s="156">
        <v>44132</v>
      </c>
      <c r="C64" t="s">
        <v>743</v>
      </c>
      <c r="D64">
        <v>-105</v>
      </c>
      <c r="E64" t="s">
        <v>655</v>
      </c>
      <c r="F64" t="s">
        <v>804</v>
      </c>
      <c r="G64" s="46" t="s">
        <v>502</v>
      </c>
      <c r="H64" s="46" t="s">
        <v>1015</v>
      </c>
      <c r="I64" t="s">
        <v>1041</v>
      </c>
      <c r="J64"/>
    </row>
    <row r="65" spans="1:10" x14ac:dyDescent="0.2">
      <c r="A65" t="s">
        <v>1039</v>
      </c>
      <c r="B65" s="156">
        <v>44132</v>
      </c>
      <c r="C65" t="s">
        <v>743</v>
      </c>
      <c r="D65">
        <v>-40</v>
      </c>
      <c r="E65" t="s">
        <v>655</v>
      </c>
      <c r="F65" t="s">
        <v>805</v>
      </c>
      <c r="G65" s="46" t="s">
        <v>502</v>
      </c>
      <c r="H65" s="46" t="s">
        <v>1014</v>
      </c>
      <c r="I65" t="s">
        <v>1041</v>
      </c>
      <c r="J65"/>
    </row>
    <row r="66" spans="1:10" x14ac:dyDescent="0.2">
      <c r="A66" t="s">
        <v>1039</v>
      </c>
      <c r="B66" s="156">
        <v>44132</v>
      </c>
      <c r="C66" t="s">
        <v>743</v>
      </c>
      <c r="D66">
        <v>-33</v>
      </c>
      <c r="E66" t="s">
        <v>641</v>
      </c>
      <c r="F66" t="s">
        <v>806</v>
      </c>
      <c r="G66"/>
      <c r="H66"/>
      <c r="I66" t="s">
        <v>1040</v>
      </c>
      <c r="J66"/>
    </row>
    <row r="67" spans="1:10" x14ac:dyDescent="0.2">
      <c r="A67" t="s">
        <v>1039</v>
      </c>
      <c r="B67" s="156">
        <v>44134</v>
      </c>
      <c r="C67" t="s">
        <v>743</v>
      </c>
      <c r="D67">
        <v>720</v>
      </c>
      <c r="E67" t="s">
        <v>653</v>
      </c>
      <c r="F67" t="s">
        <v>807</v>
      </c>
      <c r="G67" s="46" t="s">
        <v>479</v>
      </c>
      <c r="H67" s="46" t="s">
        <v>1036</v>
      </c>
      <c r="I67" t="s">
        <v>1043</v>
      </c>
      <c r="J67"/>
    </row>
    <row r="68" spans="1:10" x14ac:dyDescent="0.2">
      <c r="A68" t="s">
        <v>1039</v>
      </c>
      <c r="B68" s="156">
        <v>44134</v>
      </c>
      <c r="C68" t="s">
        <v>743</v>
      </c>
      <c r="D68">
        <v>474.9</v>
      </c>
      <c r="E68" t="s">
        <v>653</v>
      </c>
      <c r="F68" t="s">
        <v>808</v>
      </c>
      <c r="G68"/>
      <c r="H68"/>
      <c r="I68" t="s">
        <v>1040</v>
      </c>
      <c r="J68"/>
    </row>
    <row r="69" spans="1:10" x14ac:dyDescent="0.2">
      <c r="B69" s="130"/>
      <c r="G69" s="46"/>
      <c r="H69" s="131"/>
    </row>
    <row r="70" spans="1:10" x14ac:dyDescent="0.2">
      <c r="B70" s="130"/>
      <c r="G70" s="131"/>
      <c r="H70" s="133"/>
    </row>
    <row r="71" spans="1:10" x14ac:dyDescent="0.2">
      <c r="B71" s="130"/>
      <c r="H71" s="131"/>
    </row>
    <row r="72" spans="1:10" x14ac:dyDescent="0.2">
      <c r="B72" s="130"/>
    </row>
    <row r="73" spans="1:10" x14ac:dyDescent="0.2">
      <c r="A73" s="130"/>
      <c r="B73" s="130"/>
      <c r="G73" s="131"/>
      <c r="H73" s="131"/>
    </row>
    <row r="74" spans="1:10" x14ac:dyDescent="0.2">
      <c r="A74" s="130"/>
      <c r="B74" s="130"/>
    </row>
    <row r="75" spans="1:10" x14ac:dyDescent="0.2">
      <c r="A75" s="130"/>
      <c r="B75" s="130"/>
    </row>
    <row r="76" spans="1:10" x14ac:dyDescent="0.2">
      <c r="A76" s="130"/>
      <c r="B76" s="130"/>
    </row>
    <row r="77" spans="1:10" x14ac:dyDescent="0.2">
      <c r="B77" s="130"/>
    </row>
    <row r="78" spans="1:10" x14ac:dyDescent="0.2">
      <c r="B78" s="130"/>
    </row>
    <row r="79" spans="1:10" x14ac:dyDescent="0.2">
      <c r="B79" s="130"/>
    </row>
    <row r="80" spans="1:10" x14ac:dyDescent="0.2">
      <c r="B80" s="130"/>
    </row>
    <row r="81" spans="2:14" x14ac:dyDescent="0.2">
      <c r="B81" s="130"/>
      <c r="G81" s="131"/>
      <c r="H81" s="131"/>
    </row>
    <row r="82" spans="2:14" x14ac:dyDescent="0.2">
      <c r="B82" s="130"/>
      <c r="G82" s="131"/>
      <c r="H82" s="131"/>
    </row>
    <row r="83" spans="2:14" x14ac:dyDescent="0.2">
      <c r="B83" s="130"/>
    </row>
    <row r="84" spans="2:14" x14ac:dyDescent="0.2">
      <c r="B84" s="130"/>
      <c r="G84" s="131"/>
      <c r="H84" s="131"/>
    </row>
    <row r="85" spans="2:14" x14ac:dyDescent="0.2">
      <c r="B85" s="130"/>
      <c r="G85" s="131"/>
      <c r="H85" s="133"/>
      <c r="N85" s="131"/>
    </row>
    <row r="86" spans="2:14" x14ac:dyDescent="0.2">
      <c r="B86" s="130"/>
      <c r="G86" s="131"/>
      <c r="H86" s="133"/>
    </row>
    <row r="87" spans="2:14" x14ac:dyDescent="0.2">
      <c r="B87" s="130"/>
    </row>
    <row r="88" spans="2:14" x14ac:dyDescent="0.2">
      <c r="B88" s="130"/>
    </row>
    <row r="89" spans="2:14" x14ac:dyDescent="0.2">
      <c r="B89" s="130"/>
    </row>
    <row r="90" spans="2:14" x14ac:dyDescent="0.2">
      <c r="B90" s="130"/>
      <c r="G90" s="131"/>
      <c r="H90" s="131"/>
    </row>
  </sheetData>
  <autoFilter ref="A1:I90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topLeftCell="A67" zoomScale="85" zoomScaleNormal="85" workbookViewId="0">
      <selection activeCell="D2" sqref="D2:D103"/>
    </sheetView>
  </sheetViews>
  <sheetFormatPr defaultColWidth="9.140625" defaultRowHeight="12.75" x14ac:dyDescent="0.2"/>
  <cols>
    <col min="1" max="1" width="9.140625" style="129"/>
    <col min="2" max="2" width="10.140625" style="129" bestFit="1" customWidth="1"/>
    <col min="3" max="3" width="17.28515625" style="129" bestFit="1" customWidth="1"/>
    <col min="4" max="4" width="9.140625" style="129"/>
    <col min="5" max="5" width="12.85546875" style="129" customWidth="1"/>
    <col min="6" max="6" width="50.140625" style="129" bestFit="1" customWidth="1"/>
    <col min="7" max="7" width="10.7109375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A2"/>
      <c r="B2" s="156">
        <v>44105</v>
      </c>
      <c r="C2" t="s">
        <v>809</v>
      </c>
      <c r="D2">
        <v>-28.6</v>
      </c>
      <c r="E2" t="s">
        <v>655</v>
      </c>
      <c r="F2" t="s">
        <v>810</v>
      </c>
      <c r="G2"/>
      <c r="H2"/>
      <c r="I2"/>
    </row>
    <row r="3" spans="1:9" x14ac:dyDescent="0.2">
      <c r="A3"/>
      <c r="B3" s="156">
        <v>44105</v>
      </c>
      <c r="C3" t="s">
        <v>809</v>
      </c>
      <c r="D3">
        <v>-1.84</v>
      </c>
      <c r="E3" t="s">
        <v>655</v>
      </c>
      <c r="F3" t="s">
        <v>811</v>
      </c>
      <c r="G3"/>
      <c r="H3"/>
      <c r="I3"/>
    </row>
    <row r="4" spans="1:9" x14ac:dyDescent="0.2">
      <c r="A4"/>
      <c r="B4" s="156">
        <v>44105</v>
      </c>
      <c r="C4" t="s">
        <v>809</v>
      </c>
      <c r="D4">
        <v>-19.8</v>
      </c>
      <c r="E4" t="s">
        <v>655</v>
      </c>
      <c r="F4" t="s">
        <v>812</v>
      </c>
      <c r="G4"/>
      <c r="H4"/>
      <c r="I4"/>
    </row>
    <row r="5" spans="1:9" x14ac:dyDescent="0.2">
      <c r="A5"/>
      <c r="B5" s="156">
        <v>44106</v>
      </c>
      <c r="C5" t="s">
        <v>809</v>
      </c>
      <c r="D5">
        <v>-40</v>
      </c>
      <c r="E5" t="s">
        <v>675</v>
      </c>
      <c r="F5" t="s">
        <v>813</v>
      </c>
      <c r="G5"/>
      <c r="H5"/>
      <c r="I5"/>
    </row>
    <row r="6" spans="1:9" x14ac:dyDescent="0.2">
      <c r="A6"/>
      <c r="B6" s="156">
        <v>44106</v>
      </c>
      <c r="C6" t="s">
        <v>809</v>
      </c>
      <c r="D6">
        <v>-6.8</v>
      </c>
      <c r="E6" t="s">
        <v>655</v>
      </c>
      <c r="F6" t="s">
        <v>814</v>
      </c>
      <c r="G6"/>
      <c r="H6"/>
      <c r="I6"/>
    </row>
    <row r="7" spans="1:9" x14ac:dyDescent="0.2">
      <c r="A7"/>
      <c r="B7" s="156">
        <v>44106</v>
      </c>
      <c r="C7" t="s">
        <v>809</v>
      </c>
      <c r="D7">
        <v>-19.47</v>
      </c>
      <c r="E7" t="s">
        <v>655</v>
      </c>
      <c r="F7" t="s">
        <v>815</v>
      </c>
      <c r="G7"/>
      <c r="H7"/>
      <c r="I7"/>
    </row>
    <row r="8" spans="1:9" x14ac:dyDescent="0.2">
      <c r="A8"/>
      <c r="B8" s="156">
        <v>44109</v>
      </c>
      <c r="C8" t="s">
        <v>809</v>
      </c>
      <c r="D8">
        <v>-3.95</v>
      </c>
      <c r="E8" t="s">
        <v>655</v>
      </c>
      <c r="F8" t="s">
        <v>816</v>
      </c>
      <c r="G8"/>
      <c r="H8"/>
      <c r="I8"/>
    </row>
    <row r="9" spans="1:9" x14ac:dyDescent="0.2">
      <c r="A9"/>
      <c r="B9" s="156">
        <v>44109</v>
      </c>
      <c r="C9" t="s">
        <v>809</v>
      </c>
      <c r="D9">
        <v>-69.98</v>
      </c>
      <c r="E9" t="s">
        <v>655</v>
      </c>
      <c r="F9" t="s">
        <v>817</v>
      </c>
      <c r="G9"/>
      <c r="H9"/>
      <c r="I9"/>
    </row>
    <row r="10" spans="1:9" x14ac:dyDescent="0.2">
      <c r="A10"/>
      <c r="B10" s="156">
        <v>44109</v>
      </c>
      <c r="C10" t="s">
        <v>809</v>
      </c>
      <c r="D10">
        <v>-50</v>
      </c>
      <c r="E10" t="s">
        <v>655</v>
      </c>
      <c r="F10" t="s">
        <v>817</v>
      </c>
      <c r="G10"/>
      <c r="H10"/>
      <c r="I10"/>
    </row>
    <row r="11" spans="1:9" x14ac:dyDescent="0.2">
      <c r="A11"/>
      <c r="B11" s="156">
        <v>44109</v>
      </c>
      <c r="C11" t="s">
        <v>809</v>
      </c>
      <c r="D11">
        <v>-49.55</v>
      </c>
      <c r="E11" t="s">
        <v>655</v>
      </c>
      <c r="F11" t="s">
        <v>818</v>
      </c>
      <c r="G11"/>
      <c r="H11"/>
      <c r="I11"/>
    </row>
    <row r="12" spans="1:9" x14ac:dyDescent="0.2">
      <c r="A12"/>
      <c r="B12" s="156">
        <v>44109</v>
      </c>
      <c r="C12" t="s">
        <v>809</v>
      </c>
      <c r="D12">
        <v>-3.5</v>
      </c>
      <c r="E12" t="s">
        <v>655</v>
      </c>
      <c r="F12" t="s">
        <v>819</v>
      </c>
      <c r="G12"/>
      <c r="H12"/>
      <c r="I12"/>
    </row>
    <row r="13" spans="1:9" x14ac:dyDescent="0.2">
      <c r="A13"/>
      <c r="B13" s="156">
        <v>44109</v>
      </c>
      <c r="C13" t="s">
        <v>809</v>
      </c>
      <c r="D13">
        <v>-69.41</v>
      </c>
      <c r="E13" t="s">
        <v>655</v>
      </c>
      <c r="F13" t="s">
        <v>820</v>
      </c>
      <c r="G13"/>
      <c r="H13"/>
      <c r="I13"/>
    </row>
    <row r="14" spans="1:9" x14ac:dyDescent="0.2">
      <c r="A14"/>
      <c r="B14" s="156">
        <v>44109</v>
      </c>
      <c r="C14" t="s">
        <v>809</v>
      </c>
      <c r="D14">
        <v>-12.22</v>
      </c>
      <c r="E14" t="s">
        <v>655</v>
      </c>
      <c r="F14" t="s">
        <v>821</v>
      </c>
      <c r="G14"/>
      <c r="H14"/>
      <c r="I14"/>
    </row>
    <row r="15" spans="1:9" x14ac:dyDescent="0.2">
      <c r="A15"/>
      <c r="B15" s="156">
        <v>44109</v>
      </c>
      <c r="C15" t="s">
        <v>809</v>
      </c>
      <c r="D15">
        <v>-8.1</v>
      </c>
      <c r="E15" t="s">
        <v>655</v>
      </c>
      <c r="F15" t="s">
        <v>822</v>
      </c>
      <c r="G15"/>
      <c r="H15"/>
      <c r="I15"/>
    </row>
    <row r="16" spans="1:9" x14ac:dyDescent="0.2">
      <c r="A16"/>
      <c r="B16" s="156">
        <v>44109</v>
      </c>
      <c r="C16" t="s">
        <v>809</v>
      </c>
      <c r="D16">
        <v>-5.14</v>
      </c>
      <c r="E16" t="s">
        <v>655</v>
      </c>
      <c r="F16" t="s">
        <v>823</v>
      </c>
      <c r="G16"/>
      <c r="H16"/>
      <c r="I16"/>
    </row>
    <row r="17" spans="1:9" x14ac:dyDescent="0.2">
      <c r="A17"/>
      <c r="B17" s="156">
        <v>44109</v>
      </c>
      <c r="C17" t="s">
        <v>809</v>
      </c>
      <c r="D17">
        <v>-18</v>
      </c>
      <c r="E17" t="s">
        <v>655</v>
      </c>
      <c r="F17" t="s">
        <v>824</v>
      </c>
      <c r="G17"/>
      <c r="H17"/>
      <c r="I17"/>
    </row>
    <row r="18" spans="1:9" x14ac:dyDescent="0.2">
      <c r="A18"/>
      <c r="B18" s="156">
        <v>44109</v>
      </c>
      <c r="C18" t="s">
        <v>809</v>
      </c>
      <c r="D18">
        <v>-11.25</v>
      </c>
      <c r="E18" t="s">
        <v>655</v>
      </c>
      <c r="F18" t="s">
        <v>825</v>
      </c>
      <c r="G18"/>
      <c r="H18"/>
      <c r="I18"/>
    </row>
    <row r="19" spans="1:9" x14ac:dyDescent="0.2">
      <c r="A19"/>
      <c r="B19" s="156">
        <v>44109</v>
      </c>
      <c r="C19" t="s">
        <v>809</v>
      </c>
      <c r="D19">
        <v>-89.52</v>
      </c>
      <c r="E19" t="s">
        <v>655</v>
      </c>
      <c r="F19" t="s">
        <v>826</v>
      </c>
      <c r="G19"/>
      <c r="H19"/>
      <c r="I19"/>
    </row>
    <row r="20" spans="1:9" x14ac:dyDescent="0.2">
      <c r="A20"/>
      <c r="B20" s="156">
        <v>44110</v>
      </c>
      <c r="C20" t="s">
        <v>809</v>
      </c>
      <c r="D20">
        <v>-25.44</v>
      </c>
      <c r="E20" t="s">
        <v>655</v>
      </c>
      <c r="F20" t="s">
        <v>827</v>
      </c>
      <c r="G20"/>
      <c r="H20"/>
      <c r="I20"/>
    </row>
    <row r="21" spans="1:9" x14ac:dyDescent="0.2">
      <c r="A21"/>
      <c r="B21" s="156">
        <v>44111</v>
      </c>
      <c r="C21" t="s">
        <v>809</v>
      </c>
      <c r="D21">
        <v>-19.55</v>
      </c>
      <c r="E21" t="s">
        <v>655</v>
      </c>
      <c r="F21" t="s">
        <v>828</v>
      </c>
      <c r="G21"/>
      <c r="H21"/>
      <c r="I21"/>
    </row>
    <row r="22" spans="1:9" x14ac:dyDescent="0.2">
      <c r="A22"/>
      <c r="B22" s="156">
        <v>44111</v>
      </c>
      <c r="C22" t="s">
        <v>809</v>
      </c>
      <c r="D22">
        <v>-6.5</v>
      </c>
      <c r="E22" t="s">
        <v>655</v>
      </c>
      <c r="F22" t="s">
        <v>828</v>
      </c>
      <c r="G22"/>
      <c r="H22"/>
      <c r="I22"/>
    </row>
    <row r="23" spans="1:9" x14ac:dyDescent="0.2">
      <c r="A23"/>
      <c r="B23" s="156">
        <v>44111</v>
      </c>
      <c r="C23" t="s">
        <v>809</v>
      </c>
      <c r="D23">
        <v>-15.5</v>
      </c>
      <c r="E23" t="s">
        <v>655</v>
      </c>
      <c r="F23" t="s">
        <v>829</v>
      </c>
      <c r="G23"/>
      <c r="H23"/>
      <c r="I23"/>
    </row>
    <row r="24" spans="1:9" x14ac:dyDescent="0.2">
      <c r="A24"/>
      <c r="B24" s="156">
        <v>44111</v>
      </c>
      <c r="C24" t="s">
        <v>809</v>
      </c>
      <c r="D24">
        <v>-29.44</v>
      </c>
      <c r="E24" t="s">
        <v>655</v>
      </c>
      <c r="F24" t="s">
        <v>830</v>
      </c>
      <c r="G24"/>
      <c r="H24"/>
      <c r="I24"/>
    </row>
    <row r="25" spans="1:9" x14ac:dyDescent="0.2">
      <c r="A25"/>
      <c r="B25" s="156">
        <v>44111</v>
      </c>
      <c r="C25" t="s">
        <v>809</v>
      </c>
      <c r="D25">
        <v>-22.95</v>
      </c>
      <c r="E25" t="s">
        <v>655</v>
      </c>
      <c r="F25" t="s">
        <v>831</v>
      </c>
      <c r="G25"/>
      <c r="H25"/>
      <c r="I25"/>
    </row>
    <row r="26" spans="1:9" x14ac:dyDescent="0.2">
      <c r="A26"/>
      <c r="B26" s="156">
        <v>44111</v>
      </c>
      <c r="C26" t="s">
        <v>809</v>
      </c>
      <c r="D26">
        <v>-3.97</v>
      </c>
      <c r="E26" t="s">
        <v>655</v>
      </c>
      <c r="F26" t="s">
        <v>831</v>
      </c>
      <c r="G26"/>
      <c r="H26"/>
      <c r="I26"/>
    </row>
    <row r="27" spans="1:9" x14ac:dyDescent="0.2">
      <c r="A27"/>
      <c r="B27" s="156">
        <v>44112</v>
      </c>
      <c r="C27" t="s">
        <v>809</v>
      </c>
      <c r="D27">
        <v>-24</v>
      </c>
      <c r="E27" t="s">
        <v>655</v>
      </c>
      <c r="F27" t="s">
        <v>832</v>
      </c>
      <c r="G27"/>
      <c r="H27"/>
      <c r="I27"/>
    </row>
    <row r="28" spans="1:9" x14ac:dyDescent="0.2">
      <c r="A28"/>
      <c r="B28" s="156">
        <v>44112</v>
      </c>
      <c r="C28" t="s">
        <v>809</v>
      </c>
      <c r="D28">
        <v>-4.7</v>
      </c>
      <c r="E28" t="s">
        <v>655</v>
      </c>
      <c r="F28" t="s">
        <v>833</v>
      </c>
      <c r="G28"/>
      <c r="H28"/>
      <c r="I28"/>
    </row>
    <row r="29" spans="1:9" x14ac:dyDescent="0.2">
      <c r="A29"/>
      <c r="B29" s="156">
        <v>44112</v>
      </c>
      <c r="C29" t="s">
        <v>809</v>
      </c>
      <c r="D29">
        <v>-16.39</v>
      </c>
      <c r="E29" t="s">
        <v>655</v>
      </c>
      <c r="F29" t="s">
        <v>834</v>
      </c>
      <c r="G29"/>
      <c r="H29"/>
      <c r="I29"/>
    </row>
    <row r="30" spans="1:9" x14ac:dyDescent="0.2">
      <c r="A30"/>
      <c r="B30" s="156">
        <v>44112</v>
      </c>
      <c r="C30" t="s">
        <v>809</v>
      </c>
      <c r="D30">
        <v>-30</v>
      </c>
      <c r="E30" t="s">
        <v>675</v>
      </c>
      <c r="F30" t="s">
        <v>835</v>
      </c>
      <c r="G30"/>
      <c r="H30"/>
      <c r="I30"/>
    </row>
    <row r="31" spans="1:9" x14ac:dyDescent="0.2">
      <c r="A31"/>
      <c r="B31" s="156">
        <v>44113</v>
      </c>
      <c r="C31" t="s">
        <v>809</v>
      </c>
      <c r="D31">
        <v>-104.05</v>
      </c>
      <c r="E31" t="s">
        <v>655</v>
      </c>
      <c r="F31" t="s">
        <v>836</v>
      </c>
      <c r="G31"/>
      <c r="H31"/>
      <c r="I31"/>
    </row>
    <row r="32" spans="1:9" x14ac:dyDescent="0.2">
      <c r="A32"/>
      <c r="B32" s="156">
        <v>44116</v>
      </c>
      <c r="C32" t="s">
        <v>809</v>
      </c>
      <c r="D32">
        <v>-33.799999999999997</v>
      </c>
      <c r="E32" t="s">
        <v>655</v>
      </c>
      <c r="F32" t="s">
        <v>837</v>
      </c>
      <c r="G32"/>
      <c r="H32"/>
      <c r="I32"/>
    </row>
    <row r="33" spans="1:9" x14ac:dyDescent="0.2">
      <c r="A33"/>
      <c r="B33" s="156">
        <v>44116</v>
      </c>
      <c r="C33" t="s">
        <v>809</v>
      </c>
      <c r="D33">
        <v>-35.21</v>
      </c>
      <c r="E33" t="s">
        <v>655</v>
      </c>
      <c r="F33" t="s">
        <v>838</v>
      </c>
      <c r="G33"/>
      <c r="H33"/>
      <c r="I33"/>
    </row>
    <row r="34" spans="1:9" x14ac:dyDescent="0.2">
      <c r="A34"/>
      <c r="B34" s="156">
        <v>44116</v>
      </c>
      <c r="C34" t="s">
        <v>809</v>
      </c>
      <c r="D34">
        <v>-67.489999999999995</v>
      </c>
      <c r="E34" t="s">
        <v>655</v>
      </c>
      <c r="F34" t="s">
        <v>839</v>
      </c>
      <c r="G34"/>
      <c r="H34"/>
      <c r="I34"/>
    </row>
    <row r="35" spans="1:9" x14ac:dyDescent="0.2">
      <c r="A35"/>
      <c r="B35" s="156">
        <v>44116</v>
      </c>
      <c r="C35" t="s">
        <v>809</v>
      </c>
      <c r="D35">
        <v>-58.33</v>
      </c>
      <c r="E35" t="s">
        <v>655</v>
      </c>
      <c r="F35" t="s">
        <v>840</v>
      </c>
      <c r="G35"/>
      <c r="H35"/>
      <c r="I35"/>
    </row>
    <row r="36" spans="1:9" x14ac:dyDescent="0.2">
      <c r="A36"/>
      <c r="B36" s="156">
        <v>44116</v>
      </c>
      <c r="C36" t="s">
        <v>809</v>
      </c>
      <c r="D36">
        <v>-38.549999999999997</v>
      </c>
      <c r="E36" t="s">
        <v>655</v>
      </c>
      <c r="F36" t="s">
        <v>841</v>
      </c>
      <c r="G36"/>
      <c r="H36"/>
      <c r="I36"/>
    </row>
    <row r="37" spans="1:9" x14ac:dyDescent="0.2">
      <c r="A37"/>
      <c r="B37" s="156">
        <v>44117</v>
      </c>
      <c r="C37" t="s">
        <v>809</v>
      </c>
      <c r="D37">
        <v>300</v>
      </c>
      <c r="E37" t="s">
        <v>682</v>
      </c>
      <c r="F37" t="s">
        <v>842</v>
      </c>
      <c r="G37"/>
      <c r="H37"/>
      <c r="I37"/>
    </row>
    <row r="38" spans="1:9" x14ac:dyDescent="0.2">
      <c r="A38"/>
      <c r="B38" s="156">
        <v>44117</v>
      </c>
      <c r="C38" t="s">
        <v>809</v>
      </c>
      <c r="D38">
        <v>4.99</v>
      </c>
      <c r="E38" t="s">
        <v>725</v>
      </c>
      <c r="F38" t="s">
        <v>843</v>
      </c>
      <c r="G38"/>
      <c r="H38"/>
      <c r="I38"/>
    </row>
    <row r="39" spans="1:9" x14ac:dyDescent="0.2">
      <c r="A39"/>
      <c r="B39" s="156">
        <v>44117</v>
      </c>
      <c r="C39" t="s">
        <v>809</v>
      </c>
      <c r="D39">
        <v>-6.14</v>
      </c>
      <c r="E39" t="s">
        <v>655</v>
      </c>
      <c r="F39" t="s">
        <v>844</v>
      </c>
      <c r="G39"/>
      <c r="H39"/>
      <c r="I39"/>
    </row>
    <row r="40" spans="1:9" x14ac:dyDescent="0.2">
      <c r="A40"/>
      <c r="B40" s="156">
        <v>44117</v>
      </c>
      <c r="C40" t="s">
        <v>809</v>
      </c>
      <c r="D40">
        <v>-31.2</v>
      </c>
      <c r="E40" t="s">
        <v>655</v>
      </c>
      <c r="F40" t="s">
        <v>845</v>
      </c>
      <c r="G40"/>
      <c r="H40"/>
      <c r="I40"/>
    </row>
    <row r="41" spans="1:9" x14ac:dyDescent="0.2">
      <c r="A41"/>
      <c r="B41" s="156">
        <v>44117</v>
      </c>
      <c r="C41" t="s">
        <v>809</v>
      </c>
      <c r="D41">
        <v>-46.79</v>
      </c>
      <c r="E41" t="s">
        <v>655</v>
      </c>
      <c r="F41" t="s">
        <v>846</v>
      </c>
      <c r="G41"/>
      <c r="H41"/>
      <c r="I41"/>
    </row>
    <row r="42" spans="1:9" x14ac:dyDescent="0.2">
      <c r="A42"/>
      <c r="B42" s="156">
        <v>44118</v>
      </c>
      <c r="C42" t="s">
        <v>809</v>
      </c>
      <c r="D42">
        <v>-29.47</v>
      </c>
      <c r="E42" t="s">
        <v>655</v>
      </c>
      <c r="F42" t="s">
        <v>847</v>
      </c>
      <c r="G42"/>
      <c r="H42"/>
      <c r="I42"/>
    </row>
    <row r="43" spans="1:9" x14ac:dyDescent="0.2">
      <c r="A43"/>
      <c r="B43" s="156">
        <v>44118</v>
      </c>
      <c r="C43" t="s">
        <v>809</v>
      </c>
      <c r="D43">
        <v>-4.7</v>
      </c>
      <c r="E43" t="s">
        <v>655</v>
      </c>
      <c r="F43" t="s">
        <v>848</v>
      </c>
      <c r="G43"/>
      <c r="H43"/>
      <c r="I43"/>
    </row>
    <row r="44" spans="1:9" x14ac:dyDescent="0.2">
      <c r="A44"/>
      <c r="B44" s="156">
        <v>44119</v>
      </c>
      <c r="C44" t="s">
        <v>809</v>
      </c>
      <c r="D44">
        <v>-2.1</v>
      </c>
      <c r="E44" t="s">
        <v>655</v>
      </c>
      <c r="F44" t="s">
        <v>849</v>
      </c>
      <c r="G44"/>
      <c r="H44"/>
      <c r="I44"/>
    </row>
    <row r="45" spans="1:9" x14ac:dyDescent="0.2">
      <c r="A45"/>
      <c r="B45" s="156">
        <v>44119</v>
      </c>
      <c r="C45" t="s">
        <v>809</v>
      </c>
      <c r="D45">
        <v>-3.84</v>
      </c>
      <c r="E45" t="s">
        <v>655</v>
      </c>
      <c r="F45" t="s">
        <v>850</v>
      </c>
      <c r="G45"/>
      <c r="H45"/>
      <c r="I45"/>
    </row>
    <row r="46" spans="1:9" x14ac:dyDescent="0.2">
      <c r="A46"/>
      <c r="B46" s="156">
        <v>44119</v>
      </c>
      <c r="C46" t="s">
        <v>809</v>
      </c>
      <c r="D46">
        <v>-30.44</v>
      </c>
      <c r="E46" t="s">
        <v>655</v>
      </c>
      <c r="F46" t="s">
        <v>851</v>
      </c>
      <c r="G46"/>
      <c r="H46"/>
      <c r="I46"/>
    </row>
    <row r="47" spans="1:9" x14ac:dyDescent="0.2">
      <c r="A47"/>
      <c r="B47" s="156">
        <v>44120</v>
      </c>
      <c r="C47" t="s">
        <v>809</v>
      </c>
      <c r="D47">
        <v>-30</v>
      </c>
      <c r="E47" t="s">
        <v>675</v>
      </c>
      <c r="F47" t="s">
        <v>835</v>
      </c>
      <c r="G47"/>
      <c r="H47"/>
      <c r="I47"/>
    </row>
    <row r="48" spans="1:9" x14ac:dyDescent="0.2">
      <c r="A48"/>
      <c r="B48" s="156">
        <v>44120</v>
      </c>
      <c r="C48" t="s">
        <v>809</v>
      </c>
      <c r="D48">
        <v>-20.88</v>
      </c>
      <c r="E48" t="s">
        <v>655</v>
      </c>
      <c r="F48" t="s">
        <v>852</v>
      </c>
      <c r="G48"/>
      <c r="H48"/>
      <c r="I48"/>
    </row>
    <row r="49" spans="1:9" x14ac:dyDescent="0.2">
      <c r="A49"/>
      <c r="B49" s="156">
        <v>44120</v>
      </c>
      <c r="C49" t="s">
        <v>809</v>
      </c>
      <c r="D49">
        <v>-13.49</v>
      </c>
      <c r="E49" t="s">
        <v>655</v>
      </c>
      <c r="F49" t="s">
        <v>853</v>
      </c>
      <c r="G49"/>
      <c r="H49"/>
      <c r="I49"/>
    </row>
    <row r="50" spans="1:9" x14ac:dyDescent="0.2">
      <c r="A50"/>
      <c r="B50" s="156">
        <v>44120</v>
      </c>
      <c r="C50" t="s">
        <v>809</v>
      </c>
      <c r="D50">
        <v>-63.3</v>
      </c>
      <c r="E50" t="s">
        <v>655</v>
      </c>
      <c r="F50" t="s">
        <v>854</v>
      </c>
      <c r="G50"/>
      <c r="H50"/>
      <c r="I50"/>
    </row>
    <row r="51" spans="1:9" x14ac:dyDescent="0.2">
      <c r="A51"/>
      <c r="B51" s="156">
        <v>44123</v>
      </c>
      <c r="C51" t="s">
        <v>809</v>
      </c>
      <c r="D51">
        <v>-10</v>
      </c>
      <c r="E51" t="s">
        <v>675</v>
      </c>
      <c r="F51" t="s">
        <v>855</v>
      </c>
      <c r="G51"/>
      <c r="H51"/>
      <c r="I51"/>
    </row>
    <row r="52" spans="1:9" x14ac:dyDescent="0.2">
      <c r="A52"/>
      <c r="B52" s="156">
        <v>44123</v>
      </c>
      <c r="C52" t="s">
        <v>809</v>
      </c>
      <c r="D52">
        <v>-13.05</v>
      </c>
      <c r="E52" t="s">
        <v>655</v>
      </c>
      <c r="F52" t="s">
        <v>856</v>
      </c>
      <c r="G52"/>
      <c r="H52"/>
      <c r="I52"/>
    </row>
    <row r="53" spans="1:9" x14ac:dyDescent="0.2">
      <c r="A53"/>
      <c r="B53" s="156">
        <v>44123</v>
      </c>
      <c r="C53" t="s">
        <v>809</v>
      </c>
      <c r="D53">
        <v>-24.03</v>
      </c>
      <c r="E53" t="s">
        <v>655</v>
      </c>
      <c r="F53" t="s">
        <v>857</v>
      </c>
      <c r="G53"/>
      <c r="H53"/>
      <c r="I53"/>
    </row>
    <row r="54" spans="1:9" x14ac:dyDescent="0.2">
      <c r="A54"/>
      <c r="B54" s="156">
        <v>44123</v>
      </c>
      <c r="C54" t="s">
        <v>809</v>
      </c>
      <c r="D54">
        <v>-4.7</v>
      </c>
      <c r="E54" t="s">
        <v>655</v>
      </c>
      <c r="F54" t="s">
        <v>858</v>
      </c>
      <c r="G54"/>
      <c r="H54"/>
      <c r="I54"/>
    </row>
    <row r="55" spans="1:9" x14ac:dyDescent="0.2">
      <c r="A55"/>
      <c r="B55" s="156">
        <v>44123</v>
      </c>
      <c r="C55" t="s">
        <v>809</v>
      </c>
      <c r="D55">
        <v>-7.19</v>
      </c>
      <c r="E55" t="s">
        <v>655</v>
      </c>
      <c r="F55" t="s">
        <v>859</v>
      </c>
      <c r="G55"/>
      <c r="H55"/>
      <c r="I55"/>
    </row>
    <row r="56" spans="1:9" x14ac:dyDescent="0.2">
      <c r="A56"/>
      <c r="B56" s="156">
        <v>44123</v>
      </c>
      <c r="C56" t="s">
        <v>809</v>
      </c>
      <c r="D56">
        <v>-6.78</v>
      </c>
      <c r="E56" t="s">
        <v>655</v>
      </c>
      <c r="F56" t="s">
        <v>859</v>
      </c>
      <c r="G56"/>
      <c r="H56"/>
      <c r="I56"/>
    </row>
    <row r="57" spans="1:9" x14ac:dyDescent="0.2">
      <c r="A57"/>
      <c r="B57" s="156">
        <v>44124</v>
      </c>
      <c r="C57" t="s">
        <v>809</v>
      </c>
      <c r="D57">
        <v>-16.350000000000001</v>
      </c>
      <c r="E57" t="s">
        <v>655</v>
      </c>
      <c r="F57" t="s">
        <v>860</v>
      </c>
      <c r="G57"/>
      <c r="H57"/>
      <c r="I57"/>
    </row>
    <row r="58" spans="1:9" x14ac:dyDescent="0.2">
      <c r="A58"/>
      <c r="B58" s="156">
        <v>44124</v>
      </c>
      <c r="C58" t="s">
        <v>809</v>
      </c>
      <c r="D58">
        <v>-4.5999999999999996</v>
      </c>
      <c r="E58" t="s">
        <v>655</v>
      </c>
      <c r="F58" t="s">
        <v>861</v>
      </c>
      <c r="G58"/>
      <c r="H58"/>
      <c r="I58"/>
    </row>
    <row r="59" spans="1:9" x14ac:dyDescent="0.2">
      <c r="A59"/>
      <c r="B59" s="156">
        <v>44125</v>
      </c>
      <c r="C59" t="s">
        <v>809</v>
      </c>
      <c r="D59">
        <v>-3.25</v>
      </c>
      <c r="E59" t="s">
        <v>655</v>
      </c>
      <c r="F59" t="s">
        <v>862</v>
      </c>
      <c r="G59"/>
      <c r="H59"/>
      <c r="I59"/>
    </row>
    <row r="60" spans="1:9" x14ac:dyDescent="0.2">
      <c r="A60"/>
      <c r="B60" s="156">
        <v>44125</v>
      </c>
      <c r="C60" t="s">
        <v>809</v>
      </c>
      <c r="D60">
        <v>-20</v>
      </c>
      <c r="E60" t="s">
        <v>675</v>
      </c>
      <c r="F60" t="s">
        <v>863</v>
      </c>
      <c r="G60"/>
      <c r="H60"/>
      <c r="I60"/>
    </row>
    <row r="61" spans="1:9" x14ac:dyDescent="0.2">
      <c r="A61"/>
      <c r="B61" s="156">
        <v>44126</v>
      </c>
      <c r="C61" t="s">
        <v>809</v>
      </c>
      <c r="D61">
        <v>-6</v>
      </c>
      <c r="E61" t="s">
        <v>655</v>
      </c>
      <c r="F61" t="s">
        <v>864</v>
      </c>
      <c r="G61"/>
      <c r="H61"/>
      <c r="I61"/>
    </row>
    <row r="62" spans="1:9" x14ac:dyDescent="0.2">
      <c r="A62"/>
      <c r="B62" s="156">
        <v>44126</v>
      </c>
      <c r="C62" t="s">
        <v>809</v>
      </c>
      <c r="D62">
        <v>-7.5</v>
      </c>
      <c r="E62" t="s">
        <v>655</v>
      </c>
      <c r="F62" t="s">
        <v>865</v>
      </c>
      <c r="G62"/>
      <c r="H62"/>
      <c r="I62"/>
    </row>
    <row r="63" spans="1:9" x14ac:dyDescent="0.2">
      <c r="A63"/>
      <c r="B63" s="156">
        <v>44126</v>
      </c>
      <c r="C63" t="s">
        <v>809</v>
      </c>
      <c r="D63">
        <v>-11.54</v>
      </c>
      <c r="E63" t="s">
        <v>655</v>
      </c>
      <c r="F63" t="s">
        <v>866</v>
      </c>
      <c r="G63"/>
      <c r="H63"/>
      <c r="I63"/>
    </row>
    <row r="64" spans="1:9" x14ac:dyDescent="0.2">
      <c r="A64"/>
      <c r="B64" s="156">
        <v>44126</v>
      </c>
      <c r="C64" t="s">
        <v>809</v>
      </c>
      <c r="D64">
        <v>-57.16</v>
      </c>
      <c r="E64" t="s">
        <v>655</v>
      </c>
      <c r="F64" t="s">
        <v>867</v>
      </c>
      <c r="G64"/>
      <c r="H64"/>
      <c r="I64"/>
    </row>
    <row r="65" spans="1:9" x14ac:dyDescent="0.2">
      <c r="A65"/>
      <c r="B65" s="156">
        <v>44126</v>
      </c>
      <c r="C65" t="s">
        <v>809</v>
      </c>
      <c r="D65">
        <v>-4.5</v>
      </c>
      <c r="E65" t="s">
        <v>655</v>
      </c>
      <c r="F65" t="s">
        <v>868</v>
      </c>
      <c r="G65"/>
      <c r="H65"/>
      <c r="I65"/>
    </row>
    <row r="66" spans="1:9" x14ac:dyDescent="0.2">
      <c r="A66"/>
      <c r="B66" s="156">
        <v>44126</v>
      </c>
      <c r="C66" t="s">
        <v>809</v>
      </c>
      <c r="D66">
        <v>-121.99</v>
      </c>
      <c r="E66" t="s">
        <v>655</v>
      </c>
      <c r="F66" t="s">
        <v>869</v>
      </c>
      <c r="G66"/>
      <c r="H66"/>
      <c r="I66"/>
    </row>
    <row r="67" spans="1:9" x14ac:dyDescent="0.2">
      <c r="A67"/>
      <c r="B67" s="156">
        <v>44126</v>
      </c>
      <c r="C67" t="s">
        <v>809</v>
      </c>
      <c r="D67">
        <v>-43.15</v>
      </c>
      <c r="E67" t="s">
        <v>655</v>
      </c>
      <c r="F67" t="s">
        <v>869</v>
      </c>
      <c r="G67"/>
      <c r="H67"/>
      <c r="I67"/>
    </row>
    <row r="68" spans="1:9" x14ac:dyDescent="0.2">
      <c r="A68"/>
      <c r="B68" s="156">
        <v>44126</v>
      </c>
      <c r="C68" t="s">
        <v>809</v>
      </c>
      <c r="D68">
        <v>-66.03</v>
      </c>
      <c r="E68" t="s">
        <v>655</v>
      </c>
      <c r="F68" t="s">
        <v>870</v>
      </c>
      <c r="G68"/>
      <c r="H68"/>
      <c r="I68"/>
    </row>
    <row r="69" spans="1:9" x14ac:dyDescent="0.2">
      <c r="A69"/>
      <c r="B69" s="156">
        <v>44127</v>
      </c>
      <c r="C69" t="s">
        <v>809</v>
      </c>
      <c r="D69">
        <v>700</v>
      </c>
      <c r="E69" t="s">
        <v>682</v>
      </c>
      <c r="F69" t="s">
        <v>842</v>
      </c>
      <c r="G69"/>
      <c r="H69"/>
      <c r="I69"/>
    </row>
    <row r="70" spans="1:9" x14ac:dyDescent="0.2">
      <c r="A70"/>
      <c r="B70" s="156">
        <v>44127</v>
      </c>
      <c r="C70" t="s">
        <v>809</v>
      </c>
      <c r="D70">
        <v>-23.89</v>
      </c>
      <c r="E70" t="s">
        <v>655</v>
      </c>
      <c r="F70" t="s">
        <v>871</v>
      </c>
      <c r="G70"/>
      <c r="H70"/>
      <c r="I70"/>
    </row>
    <row r="71" spans="1:9" x14ac:dyDescent="0.2">
      <c r="A71"/>
      <c r="B71" s="156">
        <v>44127</v>
      </c>
      <c r="C71" t="s">
        <v>809</v>
      </c>
      <c r="D71">
        <v>-33.5</v>
      </c>
      <c r="E71" t="s">
        <v>655</v>
      </c>
      <c r="F71" t="s">
        <v>872</v>
      </c>
      <c r="G71"/>
      <c r="H71"/>
      <c r="I71"/>
    </row>
    <row r="72" spans="1:9" x14ac:dyDescent="0.2">
      <c r="A72"/>
      <c r="B72" s="156">
        <v>44127</v>
      </c>
      <c r="C72" t="s">
        <v>809</v>
      </c>
      <c r="D72">
        <v>-24.35</v>
      </c>
      <c r="E72" t="s">
        <v>655</v>
      </c>
      <c r="F72" t="s">
        <v>873</v>
      </c>
      <c r="G72"/>
      <c r="H72"/>
      <c r="I72"/>
    </row>
    <row r="73" spans="1:9" x14ac:dyDescent="0.2">
      <c r="A73"/>
      <c r="B73" s="156">
        <v>44127</v>
      </c>
      <c r="C73" t="s">
        <v>809</v>
      </c>
      <c r="D73">
        <v>-7.72</v>
      </c>
      <c r="E73" t="s">
        <v>655</v>
      </c>
      <c r="F73" t="s">
        <v>874</v>
      </c>
      <c r="G73"/>
      <c r="H73"/>
      <c r="I73"/>
    </row>
    <row r="74" spans="1:9" x14ac:dyDescent="0.2">
      <c r="A74"/>
      <c r="B74" s="156">
        <v>44127</v>
      </c>
      <c r="C74" t="s">
        <v>809</v>
      </c>
      <c r="D74">
        <v>-5.5</v>
      </c>
      <c r="E74" t="s">
        <v>655</v>
      </c>
      <c r="F74" t="s">
        <v>875</v>
      </c>
      <c r="G74"/>
      <c r="H74"/>
      <c r="I74"/>
    </row>
    <row r="75" spans="1:9" x14ac:dyDescent="0.2">
      <c r="A75"/>
      <c r="B75" s="156">
        <v>44127</v>
      </c>
      <c r="C75" t="s">
        <v>809</v>
      </c>
      <c r="D75">
        <v>-3</v>
      </c>
      <c r="E75" t="s">
        <v>655</v>
      </c>
      <c r="F75" t="s">
        <v>876</v>
      </c>
      <c r="G75"/>
      <c r="H75"/>
      <c r="I75"/>
    </row>
    <row r="76" spans="1:9" x14ac:dyDescent="0.2">
      <c r="A76"/>
      <c r="B76" s="156">
        <v>44127</v>
      </c>
      <c r="C76" t="s">
        <v>809</v>
      </c>
      <c r="D76">
        <v>-2</v>
      </c>
      <c r="E76" t="s">
        <v>655</v>
      </c>
      <c r="F76" t="s">
        <v>876</v>
      </c>
      <c r="G76"/>
      <c r="H76"/>
      <c r="I76"/>
    </row>
    <row r="77" spans="1:9" x14ac:dyDescent="0.2">
      <c r="A77"/>
      <c r="B77" s="156">
        <v>44130</v>
      </c>
      <c r="C77" t="s">
        <v>809</v>
      </c>
      <c r="D77">
        <v>-39.43</v>
      </c>
      <c r="E77" t="s">
        <v>655</v>
      </c>
      <c r="F77" t="s">
        <v>877</v>
      </c>
      <c r="G77"/>
      <c r="H77"/>
      <c r="I77"/>
    </row>
    <row r="78" spans="1:9" x14ac:dyDescent="0.2">
      <c r="A78"/>
      <c r="B78" s="156">
        <v>44130</v>
      </c>
      <c r="C78" t="s">
        <v>809</v>
      </c>
      <c r="D78">
        <v>-1</v>
      </c>
      <c r="E78" t="s">
        <v>655</v>
      </c>
      <c r="F78" t="s">
        <v>877</v>
      </c>
      <c r="G78"/>
      <c r="H78"/>
      <c r="I78"/>
    </row>
    <row r="79" spans="1:9" x14ac:dyDescent="0.2">
      <c r="A79"/>
      <c r="B79" s="156">
        <v>44130</v>
      </c>
      <c r="C79" t="s">
        <v>809</v>
      </c>
      <c r="D79">
        <v>-11.9</v>
      </c>
      <c r="E79" t="s">
        <v>655</v>
      </c>
      <c r="F79" t="s">
        <v>878</v>
      </c>
      <c r="G79"/>
      <c r="H79"/>
      <c r="I79"/>
    </row>
    <row r="80" spans="1:9" x14ac:dyDescent="0.2">
      <c r="A80"/>
      <c r="B80" s="156">
        <v>44130</v>
      </c>
      <c r="C80" t="s">
        <v>809</v>
      </c>
      <c r="D80">
        <v>-1.5</v>
      </c>
      <c r="E80" t="s">
        <v>655</v>
      </c>
      <c r="F80" t="s">
        <v>879</v>
      </c>
      <c r="G80"/>
      <c r="H80"/>
      <c r="I80"/>
    </row>
    <row r="81" spans="1:9" x14ac:dyDescent="0.2">
      <c r="A81"/>
      <c r="B81" s="156">
        <v>44130</v>
      </c>
      <c r="C81" t="s">
        <v>809</v>
      </c>
      <c r="D81">
        <v>-21.25</v>
      </c>
      <c r="E81" t="s">
        <v>655</v>
      </c>
      <c r="F81" t="s">
        <v>880</v>
      </c>
      <c r="G81"/>
      <c r="H81"/>
      <c r="I81"/>
    </row>
    <row r="82" spans="1:9" x14ac:dyDescent="0.2">
      <c r="A82"/>
      <c r="B82" s="156">
        <v>44130</v>
      </c>
      <c r="C82" t="s">
        <v>809</v>
      </c>
      <c r="D82">
        <v>-40.380000000000003</v>
      </c>
      <c r="E82" t="s">
        <v>655</v>
      </c>
      <c r="F82" t="s">
        <v>881</v>
      </c>
      <c r="G82"/>
      <c r="H82"/>
      <c r="I82"/>
    </row>
    <row r="83" spans="1:9" x14ac:dyDescent="0.2">
      <c r="A83"/>
      <c r="B83" s="156">
        <v>44130</v>
      </c>
      <c r="C83" t="s">
        <v>809</v>
      </c>
      <c r="D83">
        <v>-75</v>
      </c>
      <c r="E83" t="s">
        <v>655</v>
      </c>
      <c r="F83" t="s">
        <v>882</v>
      </c>
      <c r="G83"/>
      <c r="H83"/>
      <c r="I83"/>
    </row>
    <row r="84" spans="1:9" x14ac:dyDescent="0.2">
      <c r="A84"/>
      <c r="B84" s="156">
        <v>44130</v>
      </c>
      <c r="C84" t="s">
        <v>809</v>
      </c>
      <c r="D84">
        <v>-25.7</v>
      </c>
      <c r="E84" t="s">
        <v>655</v>
      </c>
      <c r="F84" t="s">
        <v>883</v>
      </c>
      <c r="G84"/>
      <c r="H84"/>
      <c r="I84"/>
    </row>
    <row r="85" spans="1:9" x14ac:dyDescent="0.2">
      <c r="A85"/>
      <c r="B85" s="156">
        <v>44130</v>
      </c>
      <c r="C85" t="s">
        <v>809</v>
      </c>
      <c r="D85">
        <v>-10</v>
      </c>
      <c r="E85" t="s">
        <v>655</v>
      </c>
      <c r="F85" t="s">
        <v>884</v>
      </c>
      <c r="G85"/>
      <c r="H85"/>
      <c r="I85"/>
    </row>
    <row r="86" spans="1:9" x14ac:dyDescent="0.2">
      <c r="A86"/>
      <c r="B86" s="156">
        <v>44130</v>
      </c>
      <c r="C86" t="s">
        <v>809</v>
      </c>
      <c r="D86">
        <v>-2</v>
      </c>
      <c r="E86" t="s">
        <v>655</v>
      </c>
      <c r="F86" t="s">
        <v>885</v>
      </c>
      <c r="G86"/>
      <c r="H86"/>
      <c r="I86"/>
    </row>
    <row r="87" spans="1:9" x14ac:dyDescent="0.2">
      <c r="A87"/>
      <c r="B87" s="156">
        <v>44131</v>
      </c>
      <c r="C87" t="s">
        <v>809</v>
      </c>
      <c r="D87">
        <v>-26.47</v>
      </c>
      <c r="E87" t="s">
        <v>655</v>
      </c>
      <c r="F87" t="s">
        <v>886</v>
      </c>
      <c r="G87"/>
      <c r="H87"/>
      <c r="I87"/>
    </row>
    <row r="88" spans="1:9" x14ac:dyDescent="0.2">
      <c r="A88"/>
      <c r="B88" s="156">
        <v>44131</v>
      </c>
      <c r="C88" t="s">
        <v>809</v>
      </c>
      <c r="D88">
        <v>-5.07</v>
      </c>
      <c r="E88" t="s">
        <v>655</v>
      </c>
      <c r="F88" t="s">
        <v>887</v>
      </c>
      <c r="G88"/>
      <c r="H88"/>
      <c r="I88"/>
    </row>
    <row r="89" spans="1:9" x14ac:dyDescent="0.2">
      <c r="A89"/>
      <c r="B89" s="156">
        <v>44131</v>
      </c>
      <c r="C89" t="s">
        <v>809</v>
      </c>
      <c r="D89">
        <v>-17.47</v>
      </c>
      <c r="E89" t="s">
        <v>655</v>
      </c>
      <c r="F89" t="s">
        <v>888</v>
      </c>
      <c r="G89"/>
      <c r="H89"/>
      <c r="I89"/>
    </row>
    <row r="90" spans="1:9" x14ac:dyDescent="0.2">
      <c r="A90"/>
      <c r="B90" s="156">
        <v>44131</v>
      </c>
      <c r="C90" t="s">
        <v>809</v>
      </c>
      <c r="D90">
        <v>-1.84</v>
      </c>
      <c r="E90" t="s">
        <v>655</v>
      </c>
      <c r="F90" t="s">
        <v>888</v>
      </c>
      <c r="G90"/>
      <c r="H90"/>
      <c r="I90"/>
    </row>
    <row r="91" spans="1:9" x14ac:dyDescent="0.2">
      <c r="A91"/>
      <c r="B91" s="156">
        <v>44131</v>
      </c>
      <c r="C91" t="s">
        <v>809</v>
      </c>
      <c r="D91">
        <v>1200</v>
      </c>
      <c r="E91" t="s">
        <v>677</v>
      </c>
      <c r="F91" t="s">
        <v>889</v>
      </c>
      <c r="G91"/>
      <c r="H91"/>
      <c r="I91"/>
    </row>
    <row r="92" spans="1:9" x14ac:dyDescent="0.2">
      <c r="A92"/>
      <c r="B92" s="156">
        <v>44132</v>
      </c>
      <c r="C92" t="s">
        <v>809</v>
      </c>
      <c r="D92">
        <v>-15.21</v>
      </c>
      <c r="E92" t="s">
        <v>655</v>
      </c>
      <c r="F92" t="s">
        <v>890</v>
      </c>
      <c r="G92"/>
      <c r="H92"/>
      <c r="I92"/>
    </row>
    <row r="93" spans="1:9" x14ac:dyDescent="0.2">
      <c r="A93"/>
      <c r="B93" s="156">
        <v>44132</v>
      </c>
      <c r="C93" t="s">
        <v>809</v>
      </c>
      <c r="D93">
        <v>-4.7</v>
      </c>
      <c r="E93" t="s">
        <v>655</v>
      </c>
      <c r="F93" t="s">
        <v>890</v>
      </c>
      <c r="G93"/>
      <c r="H93"/>
      <c r="I93"/>
    </row>
    <row r="94" spans="1:9" x14ac:dyDescent="0.2">
      <c r="A94"/>
      <c r="B94" s="156">
        <v>44132</v>
      </c>
      <c r="C94" t="s">
        <v>809</v>
      </c>
      <c r="D94">
        <v>-7.65</v>
      </c>
      <c r="E94" t="s">
        <v>655</v>
      </c>
      <c r="F94" t="s">
        <v>891</v>
      </c>
      <c r="G94"/>
      <c r="H94"/>
      <c r="I94"/>
    </row>
    <row r="95" spans="1:9" x14ac:dyDescent="0.2">
      <c r="A95"/>
      <c r="B95" s="156">
        <v>44132</v>
      </c>
      <c r="C95" t="s">
        <v>809</v>
      </c>
      <c r="D95">
        <v>-59.98</v>
      </c>
      <c r="E95" t="s">
        <v>655</v>
      </c>
      <c r="F95" t="s">
        <v>892</v>
      </c>
      <c r="G95"/>
      <c r="H95"/>
      <c r="I95"/>
    </row>
    <row r="96" spans="1:9" x14ac:dyDescent="0.2">
      <c r="A96"/>
      <c r="B96" s="156">
        <v>44132</v>
      </c>
      <c r="C96" t="s">
        <v>809</v>
      </c>
      <c r="D96">
        <v>-10</v>
      </c>
      <c r="E96" t="s">
        <v>675</v>
      </c>
      <c r="F96" t="s">
        <v>855</v>
      </c>
      <c r="G96"/>
      <c r="H96"/>
      <c r="I96"/>
    </row>
    <row r="97" spans="1:9" x14ac:dyDescent="0.2">
      <c r="A97"/>
      <c r="B97" s="156">
        <v>44133</v>
      </c>
      <c r="C97" t="s">
        <v>809</v>
      </c>
      <c r="D97">
        <v>-5.5</v>
      </c>
      <c r="E97" t="s">
        <v>655</v>
      </c>
      <c r="F97" t="s">
        <v>893</v>
      </c>
      <c r="G97"/>
      <c r="H97"/>
      <c r="I97"/>
    </row>
    <row r="98" spans="1:9" x14ac:dyDescent="0.2">
      <c r="A98"/>
      <c r="B98" s="156">
        <v>44134</v>
      </c>
      <c r="C98" t="s">
        <v>809</v>
      </c>
      <c r="D98">
        <v>79</v>
      </c>
      <c r="E98" t="s">
        <v>725</v>
      </c>
      <c r="F98" t="s">
        <v>894</v>
      </c>
      <c r="G98"/>
      <c r="H98"/>
      <c r="I98"/>
    </row>
    <row r="99" spans="1:9" x14ac:dyDescent="0.2">
      <c r="A99"/>
      <c r="B99" s="156">
        <v>44134</v>
      </c>
      <c r="C99" t="s">
        <v>809</v>
      </c>
      <c r="D99">
        <v>10.5</v>
      </c>
      <c r="E99" t="s">
        <v>725</v>
      </c>
      <c r="F99" t="s">
        <v>894</v>
      </c>
      <c r="G99"/>
      <c r="H99"/>
      <c r="I99"/>
    </row>
    <row r="100" spans="1:9" x14ac:dyDescent="0.2">
      <c r="A100"/>
      <c r="B100" s="156">
        <v>44134</v>
      </c>
      <c r="C100" t="s">
        <v>809</v>
      </c>
      <c r="D100">
        <v>-31.97</v>
      </c>
      <c r="E100" t="s">
        <v>655</v>
      </c>
      <c r="F100" t="s">
        <v>895</v>
      </c>
      <c r="G100"/>
      <c r="H100"/>
      <c r="I100"/>
    </row>
    <row r="101" spans="1:9" x14ac:dyDescent="0.2">
      <c r="A101"/>
      <c r="B101" s="156">
        <v>44134</v>
      </c>
      <c r="C101" t="s">
        <v>809</v>
      </c>
      <c r="D101">
        <v>-8.57</v>
      </c>
      <c r="E101" t="s">
        <v>655</v>
      </c>
      <c r="F101" t="s">
        <v>896</v>
      </c>
      <c r="G101"/>
      <c r="H101"/>
      <c r="I101"/>
    </row>
    <row r="102" spans="1:9" x14ac:dyDescent="0.2">
      <c r="A102"/>
      <c r="B102" s="156">
        <v>44134</v>
      </c>
      <c r="C102" t="s">
        <v>809</v>
      </c>
      <c r="D102">
        <v>-1.5</v>
      </c>
      <c r="E102" t="s">
        <v>655</v>
      </c>
      <c r="F102" t="s">
        <v>897</v>
      </c>
      <c r="G102"/>
      <c r="H102"/>
      <c r="I102"/>
    </row>
    <row r="103" spans="1:9" x14ac:dyDescent="0.2">
      <c r="A103"/>
      <c r="B103" s="156">
        <v>44134</v>
      </c>
      <c r="C103" t="s">
        <v>809</v>
      </c>
      <c r="D103">
        <v>-25</v>
      </c>
      <c r="E103" t="s">
        <v>655</v>
      </c>
      <c r="F103" t="s">
        <v>898</v>
      </c>
      <c r="G103"/>
      <c r="H103"/>
      <c r="I103"/>
    </row>
    <row r="104" spans="1:9" x14ac:dyDescent="0.2">
      <c r="B104" s="130"/>
    </row>
    <row r="105" spans="1:9" x14ac:dyDescent="0.2">
      <c r="B105" s="130"/>
    </row>
    <row r="106" spans="1:9" x14ac:dyDescent="0.2">
      <c r="B106" s="130"/>
    </row>
    <row r="107" spans="1:9" x14ac:dyDescent="0.2">
      <c r="B107" s="130"/>
    </row>
    <row r="108" spans="1:9" x14ac:dyDescent="0.2">
      <c r="B108" s="130"/>
    </row>
    <row r="109" spans="1:9" x14ac:dyDescent="0.2">
      <c r="B109" s="130"/>
    </row>
    <row r="110" spans="1:9" x14ac:dyDescent="0.2">
      <c r="B110" s="130"/>
    </row>
    <row r="111" spans="1:9" x14ac:dyDescent="0.2">
      <c r="B111" s="130"/>
    </row>
    <row r="112" spans="1:9" x14ac:dyDescent="0.2">
      <c r="B112" s="130"/>
    </row>
    <row r="113" spans="2:8" x14ac:dyDescent="0.2">
      <c r="B113" s="130"/>
      <c r="H113" s="131"/>
    </row>
    <row r="114" spans="2:8" x14ac:dyDescent="0.2">
      <c r="B114" s="130"/>
    </row>
    <row r="115" spans="2:8" x14ac:dyDescent="0.2">
      <c r="B115" s="130"/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2" x14ac:dyDescent="0.2">
      <c r="B129" s="130"/>
    </row>
    <row r="130" spans="2:2" x14ac:dyDescent="0.2">
      <c r="B130" s="130"/>
    </row>
    <row r="131" spans="2:2" x14ac:dyDescent="0.2">
      <c r="B131" s="130"/>
    </row>
    <row r="132" spans="2:2" x14ac:dyDescent="0.2">
      <c r="B132" s="130"/>
    </row>
    <row r="133" spans="2:2" x14ac:dyDescent="0.2">
      <c r="B133" s="130"/>
    </row>
    <row r="134" spans="2:2" x14ac:dyDescent="0.2">
      <c r="B134" s="130"/>
    </row>
    <row r="135" spans="2:2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opLeftCell="A28" zoomScale="85" zoomScaleNormal="85" workbookViewId="0">
      <selection activeCell="D38" sqref="D38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6.1406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0" ht="15" x14ac:dyDescent="0.25">
      <c r="A2" t="s">
        <v>495</v>
      </c>
      <c r="B2">
        <v>754914</v>
      </c>
      <c r="C2" s="65">
        <v>44124.795138888891</v>
      </c>
      <c r="D2" t="s">
        <v>912</v>
      </c>
      <c r="F2">
        <v>0</v>
      </c>
      <c r="G2">
        <v>0</v>
      </c>
      <c r="H2">
        <v>461.52</v>
      </c>
      <c r="I2" s="165"/>
      <c r="J2" t="s">
        <v>1044</v>
      </c>
    </row>
    <row r="3" spans="1:10" ht="15" x14ac:dyDescent="0.25">
      <c r="A3" t="s">
        <v>495</v>
      </c>
      <c r="B3">
        <v>754914</v>
      </c>
      <c r="C3" s="65">
        <v>44124.795138888891</v>
      </c>
      <c r="D3" t="s">
        <v>913</v>
      </c>
      <c r="E3" t="s">
        <v>914</v>
      </c>
      <c r="F3">
        <v>273658</v>
      </c>
      <c r="G3">
        <v>33.229999999999997</v>
      </c>
      <c r="H3">
        <v>0</v>
      </c>
      <c r="I3" s="165"/>
      <c r="J3" t="s">
        <v>1045</v>
      </c>
    </row>
    <row r="4" spans="1:10" ht="15" x14ac:dyDescent="0.25">
      <c r="A4" t="s">
        <v>495</v>
      </c>
      <c r="B4">
        <v>754948</v>
      </c>
      <c r="C4" s="65">
        <v>44124.797222222223</v>
      </c>
      <c r="D4" t="s">
        <v>915</v>
      </c>
      <c r="E4" t="s">
        <v>916</v>
      </c>
      <c r="F4">
        <v>213331</v>
      </c>
      <c r="G4">
        <v>422.29</v>
      </c>
      <c r="H4">
        <v>0</v>
      </c>
      <c r="I4" s="165"/>
      <c r="J4" t="s">
        <v>1046</v>
      </c>
    </row>
    <row r="5" spans="1:10" ht="15" x14ac:dyDescent="0.25">
      <c r="A5" t="s">
        <v>495</v>
      </c>
      <c r="B5">
        <v>756951</v>
      </c>
      <c r="C5" s="65">
        <v>44132.022916666669</v>
      </c>
      <c r="D5" t="s">
        <v>917</v>
      </c>
      <c r="E5" t="s">
        <v>914</v>
      </c>
      <c r="F5">
        <v>275074</v>
      </c>
      <c r="G5">
        <v>6</v>
      </c>
      <c r="H5">
        <v>0</v>
      </c>
      <c r="I5" s="165"/>
      <c r="J5" t="s">
        <v>1047</v>
      </c>
    </row>
    <row r="6" spans="1:10" ht="15" x14ac:dyDescent="0.25">
      <c r="A6" t="s">
        <v>497</v>
      </c>
      <c r="B6">
        <v>751171</v>
      </c>
      <c r="C6" s="65">
        <v>44110.590277777781</v>
      </c>
      <c r="D6" t="s">
        <v>918</v>
      </c>
      <c r="F6">
        <v>0</v>
      </c>
      <c r="G6">
        <v>0</v>
      </c>
      <c r="H6">
        <v>500</v>
      </c>
      <c r="I6" s="165"/>
      <c r="J6" t="s">
        <v>1044</v>
      </c>
    </row>
    <row r="7" spans="1:10" ht="15" x14ac:dyDescent="0.25">
      <c r="A7" t="s">
        <v>497</v>
      </c>
      <c r="B7">
        <v>751171</v>
      </c>
      <c r="C7" s="65">
        <v>44110.590277777781</v>
      </c>
      <c r="D7" t="s">
        <v>919</v>
      </c>
      <c r="E7" t="s">
        <v>914</v>
      </c>
      <c r="F7">
        <v>272238</v>
      </c>
      <c r="G7">
        <v>42</v>
      </c>
      <c r="H7">
        <v>0</v>
      </c>
      <c r="I7" s="165"/>
      <c r="J7" t="s">
        <v>1045</v>
      </c>
    </row>
    <row r="8" spans="1:10" ht="15" x14ac:dyDescent="0.25">
      <c r="A8" t="s">
        <v>497</v>
      </c>
      <c r="B8">
        <v>751208</v>
      </c>
      <c r="C8" s="65">
        <v>44110.617361111108</v>
      </c>
      <c r="D8" t="s">
        <v>920</v>
      </c>
      <c r="E8" t="s">
        <v>916</v>
      </c>
      <c r="F8">
        <v>212163</v>
      </c>
      <c r="G8">
        <v>452</v>
      </c>
      <c r="H8">
        <v>0</v>
      </c>
      <c r="I8" s="165"/>
      <c r="J8" t="s">
        <v>1046</v>
      </c>
    </row>
    <row r="9" spans="1:10" ht="15" x14ac:dyDescent="0.25">
      <c r="A9" t="s">
        <v>497</v>
      </c>
      <c r="B9">
        <v>756951</v>
      </c>
      <c r="C9" s="65">
        <v>44132.022916666669</v>
      </c>
      <c r="D9" t="s">
        <v>921</v>
      </c>
      <c r="E9" t="s">
        <v>914</v>
      </c>
      <c r="F9">
        <v>275081</v>
      </c>
      <c r="G9">
        <v>6</v>
      </c>
      <c r="H9">
        <v>0</v>
      </c>
      <c r="I9" s="165"/>
      <c r="J9" t="s">
        <v>1047</v>
      </c>
    </row>
    <row r="10" spans="1:10" ht="15" x14ac:dyDescent="0.25">
      <c r="A10" t="s">
        <v>510</v>
      </c>
      <c r="B10">
        <v>751176</v>
      </c>
      <c r="C10" s="65">
        <v>44110.590277777781</v>
      </c>
      <c r="D10" t="s">
        <v>922</v>
      </c>
      <c r="F10">
        <v>0</v>
      </c>
      <c r="G10">
        <v>0</v>
      </c>
      <c r="H10">
        <v>478.01</v>
      </c>
      <c r="I10" s="165"/>
      <c r="J10" t="s">
        <v>1044</v>
      </c>
    </row>
    <row r="11" spans="1:10" ht="15" x14ac:dyDescent="0.25">
      <c r="A11" t="s">
        <v>510</v>
      </c>
      <c r="B11">
        <v>751176</v>
      </c>
      <c r="C11" s="65">
        <v>44110.590277777781</v>
      </c>
      <c r="D11" t="s">
        <v>923</v>
      </c>
      <c r="E11" t="s">
        <v>914</v>
      </c>
      <c r="F11">
        <v>272243</v>
      </c>
      <c r="G11">
        <v>40.15</v>
      </c>
      <c r="H11">
        <v>0</v>
      </c>
      <c r="I11" s="165"/>
      <c r="J11" t="s">
        <v>1045</v>
      </c>
    </row>
    <row r="12" spans="1:10" ht="15" x14ac:dyDescent="0.25">
      <c r="A12" t="s">
        <v>510</v>
      </c>
      <c r="B12">
        <v>751208</v>
      </c>
      <c r="C12" s="65">
        <v>44110.617361111108</v>
      </c>
      <c r="D12" t="s">
        <v>924</v>
      </c>
      <c r="E12" t="s">
        <v>916</v>
      </c>
      <c r="F12">
        <v>212168</v>
      </c>
      <c r="G12">
        <v>431.86</v>
      </c>
      <c r="H12">
        <v>0</v>
      </c>
      <c r="I12" s="165"/>
      <c r="J12" t="s">
        <v>1046</v>
      </c>
    </row>
    <row r="13" spans="1:10" ht="15" x14ac:dyDescent="0.25">
      <c r="A13" t="s">
        <v>510</v>
      </c>
      <c r="B13">
        <v>754928</v>
      </c>
      <c r="C13" s="65">
        <v>44124.795138888891</v>
      </c>
      <c r="D13" t="s">
        <v>922</v>
      </c>
      <c r="F13">
        <v>0</v>
      </c>
      <c r="G13">
        <v>0</v>
      </c>
      <c r="H13">
        <v>46.99</v>
      </c>
      <c r="I13" s="165"/>
      <c r="J13" t="s">
        <v>1044</v>
      </c>
    </row>
    <row r="14" spans="1:10" ht="15" x14ac:dyDescent="0.25">
      <c r="A14" t="s">
        <v>510</v>
      </c>
      <c r="B14">
        <v>754928</v>
      </c>
      <c r="C14" s="65">
        <v>44124.795138888891</v>
      </c>
      <c r="D14" t="s">
        <v>923</v>
      </c>
      <c r="E14" t="s">
        <v>914</v>
      </c>
      <c r="F14">
        <v>273669</v>
      </c>
      <c r="G14">
        <v>3.95</v>
      </c>
      <c r="H14">
        <v>0</v>
      </c>
      <c r="I14" s="165"/>
      <c r="J14" t="s">
        <v>1045</v>
      </c>
    </row>
    <row r="15" spans="1:10" ht="15" x14ac:dyDescent="0.25">
      <c r="A15" t="s">
        <v>510</v>
      </c>
      <c r="B15">
        <v>754948</v>
      </c>
      <c r="C15" s="65">
        <v>44124.797222222223</v>
      </c>
      <c r="D15" t="s">
        <v>924</v>
      </c>
      <c r="E15" t="s">
        <v>916</v>
      </c>
      <c r="F15">
        <v>213345</v>
      </c>
      <c r="G15">
        <v>43.04</v>
      </c>
      <c r="H15">
        <v>0</v>
      </c>
      <c r="I15" s="165"/>
      <c r="J15" t="s">
        <v>1046</v>
      </c>
    </row>
    <row r="16" spans="1:10" ht="15" x14ac:dyDescent="0.25">
      <c r="A16" t="s">
        <v>510</v>
      </c>
      <c r="B16">
        <v>756951</v>
      </c>
      <c r="C16" s="65">
        <v>44132.022916666669</v>
      </c>
      <c r="D16" t="s">
        <v>925</v>
      </c>
      <c r="E16" t="s">
        <v>914</v>
      </c>
      <c r="F16">
        <v>275087</v>
      </c>
      <c r="G16">
        <v>6</v>
      </c>
      <c r="H16">
        <v>0</v>
      </c>
      <c r="I16" s="165"/>
      <c r="J16" t="s">
        <v>1047</v>
      </c>
    </row>
    <row r="17" spans="1:10" ht="15" x14ac:dyDescent="0.25">
      <c r="A17" t="s">
        <v>501</v>
      </c>
      <c r="B17">
        <v>752584</v>
      </c>
      <c r="C17" s="65">
        <v>44117.594444444447</v>
      </c>
      <c r="D17" t="s">
        <v>926</v>
      </c>
      <c r="F17">
        <v>0</v>
      </c>
      <c r="G17">
        <v>0</v>
      </c>
      <c r="H17">
        <v>189.56</v>
      </c>
      <c r="I17" s="165"/>
      <c r="J17" t="s">
        <v>1044</v>
      </c>
    </row>
    <row r="18" spans="1:10" ht="15" x14ac:dyDescent="0.25">
      <c r="A18" t="s">
        <v>501</v>
      </c>
      <c r="B18">
        <v>752584</v>
      </c>
      <c r="C18" s="65">
        <v>44117.594444444447</v>
      </c>
      <c r="D18" t="s">
        <v>927</v>
      </c>
      <c r="E18" t="s">
        <v>914</v>
      </c>
      <c r="F18">
        <v>272947</v>
      </c>
      <c r="G18">
        <v>15.92</v>
      </c>
      <c r="H18">
        <v>0</v>
      </c>
      <c r="I18" s="165"/>
      <c r="J18" t="s">
        <v>1045</v>
      </c>
    </row>
    <row r="19" spans="1:10" ht="15" x14ac:dyDescent="0.25">
      <c r="A19" t="s">
        <v>501</v>
      </c>
      <c r="B19">
        <v>752600</v>
      </c>
      <c r="C19" s="65">
        <v>44117.605555555558</v>
      </c>
      <c r="D19" t="s">
        <v>928</v>
      </c>
      <c r="E19" t="s">
        <v>916</v>
      </c>
      <c r="F19">
        <v>212561</v>
      </c>
      <c r="G19">
        <v>167.64</v>
      </c>
      <c r="H19">
        <v>0</v>
      </c>
      <c r="I19" s="165"/>
      <c r="J19" t="s">
        <v>1046</v>
      </c>
    </row>
    <row r="20" spans="1:10" ht="15" x14ac:dyDescent="0.25">
      <c r="A20" t="s">
        <v>501</v>
      </c>
      <c r="B20">
        <v>754932</v>
      </c>
      <c r="C20" s="65">
        <v>44124.795138888891</v>
      </c>
      <c r="D20" t="s">
        <v>926</v>
      </c>
      <c r="F20">
        <v>0</v>
      </c>
      <c r="G20">
        <v>0</v>
      </c>
      <c r="H20">
        <v>310.44</v>
      </c>
      <c r="I20" s="165"/>
      <c r="J20" t="s">
        <v>1044</v>
      </c>
    </row>
    <row r="21" spans="1:10" ht="15" x14ac:dyDescent="0.25">
      <c r="A21" t="s">
        <v>501</v>
      </c>
      <c r="B21">
        <v>754932</v>
      </c>
      <c r="C21" s="65">
        <v>44124.795138888891</v>
      </c>
      <c r="D21" t="s">
        <v>927</v>
      </c>
      <c r="E21" t="s">
        <v>914</v>
      </c>
      <c r="F21">
        <v>273672</v>
      </c>
      <c r="G21">
        <v>26.08</v>
      </c>
      <c r="H21">
        <v>0</v>
      </c>
      <c r="I21" s="165"/>
      <c r="J21" t="s">
        <v>1045</v>
      </c>
    </row>
    <row r="22" spans="1:10" ht="15" x14ac:dyDescent="0.25">
      <c r="A22" t="s">
        <v>501</v>
      </c>
      <c r="B22">
        <v>754948</v>
      </c>
      <c r="C22" s="65">
        <v>44124.797222222223</v>
      </c>
      <c r="D22" t="s">
        <v>928</v>
      </c>
      <c r="E22" t="s">
        <v>916</v>
      </c>
      <c r="F22">
        <v>213349</v>
      </c>
      <c r="G22">
        <v>284.36</v>
      </c>
      <c r="H22">
        <v>0</v>
      </c>
      <c r="I22" s="165"/>
      <c r="J22" t="s">
        <v>1046</v>
      </c>
    </row>
    <row r="23" spans="1:10" ht="15" x14ac:dyDescent="0.25">
      <c r="A23" t="s">
        <v>501</v>
      </c>
      <c r="B23">
        <v>756951</v>
      </c>
      <c r="C23" s="65">
        <v>44132.022916666669</v>
      </c>
      <c r="D23" t="s">
        <v>929</v>
      </c>
      <c r="E23" t="s">
        <v>914</v>
      </c>
      <c r="F23">
        <v>275147</v>
      </c>
      <c r="G23">
        <v>6</v>
      </c>
      <c r="H23">
        <v>0</v>
      </c>
      <c r="I23" s="165"/>
      <c r="J23" t="s">
        <v>1047</v>
      </c>
    </row>
    <row r="24" spans="1:10" ht="15" x14ac:dyDescent="0.25">
      <c r="A24" t="s">
        <v>503</v>
      </c>
      <c r="B24">
        <v>752579</v>
      </c>
      <c r="C24" s="65">
        <v>44117.594444444447</v>
      </c>
      <c r="D24" t="s">
        <v>930</v>
      </c>
      <c r="F24">
        <v>0</v>
      </c>
      <c r="G24">
        <v>0</v>
      </c>
      <c r="H24">
        <v>550</v>
      </c>
      <c r="I24" s="165"/>
      <c r="J24" t="s">
        <v>1044</v>
      </c>
    </row>
    <row r="25" spans="1:10" ht="15" x14ac:dyDescent="0.25">
      <c r="A25" t="s">
        <v>503</v>
      </c>
      <c r="B25">
        <v>752579</v>
      </c>
      <c r="C25" s="65">
        <v>44117.594444444447</v>
      </c>
      <c r="D25" t="s">
        <v>931</v>
      </c>
      <c r="E25" t="s">
        <v>914</v>
      </c>
      <c r="F25">
        <v>272942</v>
      </c>
      <c r="G25">
        <v>46.2</v>
      </c>
      <c r="H25">
        <v>0</v>
      </c>
      <c r="I25" s="165"/>
      <c r="J25" t="s">
        <v>1045</v>
      </c>
    </row>
    <row r="26" spans="1:10" ht="15" x14ac:dyDescent="0.25">
      <c r="A26" t="s">
        <v>503</v>
      </c>
      <c r="B26">
        <v>752600</v>
      </c>
      <c r="C26" s="65">
        <v>44117.605555555558</v>
      </c>
      <c r="D26" t="s">
        <v>932</v>
      </c>
      <c r="E26" t="s">
        <v>916</v>
      </c>
      <c r="F26">
        <v>212556</v>
      </c>
      <c r="G26">
        <v>497.8</v>
      </c>
      <c r="H26">
        <v>0</v>
      </c>
      <c r="I26" s="165"/>
      <c r="J26" t="s">
        <v>1046</v>
      </c>
    </row>
    <row r="27" spans="1:10" ht="15" x14ac:dyDescent="0.25">
      <c r="A27" t="s">
        <v>503</v>
      </c>
      <c r="B27">
        <v>756951</v>
      </c>
      <c r="C27" s="65">
        <v>44132.022916666669</v>
      </c>
      <c r="D27" t="s">
        <v>933</v>
      </c>
      <c r="E27" t="s">
        <v>914</v>
      </c>
      <c r="F27">
        <v>275135</v>
      </c>
      <c r="G27">
        <v>6</v>
      </c>
      <c r="H27">
        <v>0</v>
      </c>
      <c r="I27" s="165"/>
      <c r="J27" t="s">
        <v>1047</v>
      </c>
    </row>
    <row r="28" spans="1:10" ht="15" x14ac:dyDescent="0.25">
      <c r="A28" t="s">
        <v>505</v>
      </c>
      <c r="B28">
        <v>756951</v>
      </c>
      <c r="C28" s="65">
        <v>44132.022916666669</v>
      </c>
      <c r="D28" t="s">
        <v>934</v>
      </c>
      <c r="E28" t="s">
        <v>914</v>
      </c>
      <c r="F28">
        <v>275137</v>
      </c>
      <c r="G28">
        <v>6</v>
      </c>
      <c r="H28">
        <v>0</v>
      </c>
      <c r="I28" s="165"/>
      <c r="J28" t="s">
        <v>1047</v>
      </c>
    </row>
    <row r="29" spans="1:10" ht="15" x14ac:dyDescent="0.25">
      <c r="A29" t="s">
        <v>505</v>
      </c>
      <c r="B29">
        <v>757167</v>
      </c>
      <c r="C29" s="65">
        <v>44132.5625</v>
      </c>
      <c r="D29" t="s">
        <v>935</v>
      </c>
      <c r="F29">
        <v>0</v>
      </c>
      <c r="G29">
        <v>0</v>
      </c>
      <c r="H29">
        <v>550</v>
      </c>
      <c r="I29" s="165"/>
      <c r="J29" t="s">
        <v>1044</v>
      </c>
    </row>
    <row r="30" spans="1:10" ht="15" x14ac:dyDescent="0.25">
      <c r="A30" t="s">
        <v>505</v>
      </c>
      <c r="B30">
        <v>757167</v>
      </c>
      <c r="C30" s="65">
        <v>44132.5625</v>
      </c>
      <c r="D30" t="s">
        <v>936</v>
      </c>
      <c r="E30" t="s">
        <v>914</v>
      </c>
      <c r="F30">
        <v>275460</v>
      </c>
      <c r="G30">
        <v>46.2</v>
      </c>
      <c r="H30">
        <v>0</v>
      </c>
      <c r="I30" s="165"/>
      <c r="J30" t="s">
        <v>1045</v>
      </c>
    </row>
    <row r="31" spans="1:10" ht="15" x14ac:dyDescent="0.25">
      <c r="A31" t="s">
        <v>505</v>
      </c>
      <c r="B31">
        <v>757179</v>
      </c>
      <c r="C31" s="65">
        <v>44132.56527777778</v>
      </c>
      <c r="D31" t="s">
        <v>937</v>
      </c>
      <c r="E31" t="s">
        <v>916</v>
      </c>
      <c r="F31">
        <v>214064</v>
      </c>
      <c r="G31">
        <v>497.8</v>
      </c>
      <c r="H31">
        <v>0</v>
      </c>
      <c r="I31" s="165"/>
      <c r="J31" t="s">
        <v>1046</v>
      </c>
    </row>
    <row r="32" spans="1:10" ht="15" x14ac:dyDescent="0.25">
      <c r="A32" t="s">
        <v>468</v>
      </c>
      <c r="B32">
        <v>756435</v>
      </c>
      <c r="C32" s="65">
        <v>44130.529166666667</v>
      </c>
      <c r="D32" t="s">
        <v>938</v>
      </c>
      <c r="F32">
        <v>0</v>
      </c>
      <c r="G32">
        <v>0</v>
      </c>
      <c r="H32">
        <v>500</v>
      </c>
      <c r="I32" s="165"/>
      <c r="J32" t="s">
        <v>1044</v>
      </c>
    </row>
    <row r="33" spans="1:10" ht="15" x14ac:dyDescent="0.25">
      <c r="A33" t="s">
        <v>468</v>
      </c>
      <c r="B33">
        <v>756435</v>
      </c>
      <c r="C33" s="65">
        <v>44130.529166666667</v>
      </c>
      <c r="D33" t="s">
        <v>939</v>
      </c>
      <c r="E33" t="s">
        <v>914</v>
      </c>
      <c r="F33">
        <v>274030</v>
      </c>
      <c r="G33">
        <v>42</v>
      </c>
      <c r="H33">
        <v>0</v>
      </c>
      <c r="I33" s="165"/>
      <c r="J33" t="s">
        <v>1045</v>
      </c>
    </row>
    <row r="34" spans="1:10" ht="15" x14ac:dyDescent="0.25">
      <c r="A34" t="s">
        <v>468</v>
      </c>
      <c r="B34">
        <v>756450</v>
      </c>
      <c r="C34" s="65">
        <v>44130.533333333333</v>
      </c>
      <c r="D34" t="s">
        <v>940</v>
      </c>
      <c r="E34" t="s">
        <v>916</v>
      </c>
      <c r="F34">
        <v>213880</v>
      </c>
      <c r="G34">
        <v>446</v>
      </c>
      <c r="H34">
        <v>0</v>
      </c>
      <c r="I34" s="165"/>
      <c r="J34" t="s">
        <v>1046</v>
      </c>
    </row>
    <row r="35" spans="1:10" ht="15" x14ac:dyDescent="0.25">
      <c r="A35" t="s">
        <v>468</v>
      </c>
      <c r="B35">
        <v>756951</v>
      </c>
      <c r="C35" s="65">
        <v>44132.022916666669</v>
      </c>
      <c r="D35" t="s">
        <v>941</v>
      </c>
      <c r="E35" t="s">
        <v>914</v>
      </c>
      <c r="F35">
        <v>275246</v>
      </c>
      <c r="G35">
        <v>12</v>
      </c>
      <c r="H35">
        <v>0</v>
      </c>
      <c r="I35" s="165"/>
      <c r="J35" t="s">
        <v>1047</v>
      </c>
    </row>
    <row r="36" spans="1:10" ht="15" x14ac:dyDescent="0.25">
      <c r="A36" s="46" t="s">
        <v>469</v>
      </c>
      <c r="B36">
        <v>756951</v>
      </c>
      <c r="C36" s="65">
        <v>44132.022916666669</v>
      </c>
      <c r="D36" t="s">
        <v>942</v>
      </c>
      <c r="E36" t="s">
        <v>914</v>
      </c>
      <c r="F36">
        <v>275248</v>
      </c>
      <c r="G36">
        <v>6</v>
      </c>
      <c r="H36">
        <v>0</v>
      </c>
      <c r="I36" s="165"/>
      <c r="J36" t="s">
        <v>1047</v>
      </c>
    </row>
    <row r="37" spans="1:10" ht="15" x14ac:dyDescent="0.25">
      <c r="A37" t="s">
        <v>470</v>
      </c>
      <c r="B37">
        <v>756439</v>
      </c>
      <c r="C37" s="65">
        <v>44130.529166666667</v>
      </c>
      <c r="D37" t="s">
        <v>943</v>
      </c>
      <c r="F37">
        <v>0</v>
      </c>
      <c r="G37">
        <v>0</v>
      </c>
      <c r="H37">
        <v>499.52</v>
      </c>
      <c r="I37" s="165"/>
      <c r="J37" t="s">
        <v>1044</v>
      </c>
    </row>
    <row r="38" spans="1:10" ht="15" x14ac:dyDescent="0.25">
      <c r="A38" t="s">
        <v>470</v>
      </c>
      <c r="B38">
        <v>756439</v>
      </c>
      <c r="C38" s="65">
        <v>44130.529166666667</v>
      </c>
      <c r="D38" t="s">
        <v>944</v>
      </c>
      <c r="E38" t="s">
        <v>914</v>
      </c>
      <c r="F38">
        <v>274034</v>
      </c>
      <c r="G38">
        <v>35.96</v>
      </c>
      <c r="H38">
        <v>0</v>
      </c>
      <c r="I38" s="165"/>
      <c r="J38" t="s">
        <v>1045</v>
      </c>
    </row>
    <row r="39" spans="1:10" ht="15" x14ac:dyDescent="0.25">
      <c r="A39" t="s">
        <v>470</v>
      </c>
      <c r="B39">
        <v>756450</v>
      </c>
      <c r="C39" s="65">
        <v>44130.533333333333</v>
      </c>
      <c r="D39" t="s">
        <v>945</v>
      </c>
      <c r="E39" t="s">
        <v>916</v>
      </c>
      <c r="F39">
        <v>213884</v>
      </c>
      <c r="G39">
        <v>463.56</v>
      </c>
      <c r="H39">
        <v>0</v>
      </c>
      <c r="I39" s="165"/>
      <c r="J39" t="s">
        <v>1046</v>
      </c>
    </row>
    <row r="40" spans="1:10" ht="15" x14ac:dyDescent="0.25">
      <c r="A40" t="s">
        <v>470</v>
      </c>
      <c r="B40">
        <v>756951</v>
      </c>
      <c r="C40" s="65">
        <v>44132.022916666669</v>
      </c>
      <c r="D40" t="s">
        <v>946</v>
      </c>
      <c r="E40" t="s">
        <v>914</v>
      </c>
      <c r="F40">
        <v>275250</v>
      </c>
      <c r="G40">
        <v>6</v>
      </c>
      <c r="H40">
        <v>0</v>
      </c>
      <c r="I40" s="165"/>
      <c r="J40" t="s">
        <v>1047</v>
      </c>
    </row>
    <row r="41" spans="1:10" ht="15" x14ac:dyDescent="0.25">
      <c r="A41" t="s">
        <v>473</v>
      </c>
      <c r="B41">
        <v>750727</v>
      </c>
      <c r="C41" s="65">
        <v>44109.684027777781</v>
      </c>
      <c r="D41" t="s">
        <v>947</v>
      </c>
      <c r="F41">
        <v>0</v>
      </c>
      <c r="G41">
        <v>0</v>
      </c>
      <c r="H41">
        <v>76.48</v>
      </c>
      <c r="I41" s="165"/>
      <c r="J41" t="s">
        <v>1044</v>
      </c>
    </row>
    <row r="42" spans="1:10" ht="15" x14ac:dyDescent="0.25">
      <c r="A42" t="s">
        <v>473</v>
      </c>
      <c r="B42">
        <v>750727</v>
      </c>
      <c r="C42" s="65">
        <v>44109.684027777781</v>
      </c>
      <c r="D42" t="s">
        <v>948</v>
      </c>
      <c r="E42" t="s">
        <v>914</v>
      </c>
      <c r="F42">
        <v>272087</v>
      </c>
      <c r="G42">
        <v>5.51</v>
      </c>
      <c r="H42">
        <v>0</v>
      </c>
      <c r="I42" s="165"/>
      <c r="J42" t="s">
        <v>1045</v>
      </c>
    </row>
    <row r="43" spans="1:10" ht="15" x14ac:dyDescent="0.25">
      <c r="A43" t="s">
        <v>473</v>
      </c>
      <c r="B43">
        <v>750752</v>
      </c>
      <c r="C43" s="65">
        <v>44109.686111111114</v>
      </c>
      <c r="D43" t="s">
        <v>949</v>
      </c>
      <c r="E43" t="s">
        <v>916</v>
      </c>
      <c r="F43">
        <v>212012</v>
      </c>
      <c r="G43">
        <v>64.97</v>
      </c>
      <c r="H43">
        <v>0</v>
      </c>
      <c r="I43" s="165"/>
      <c r="J43" t="s">
        <v>1046</v>
      </c>
    </row>
    <row r="44" spans="1:10" ht="15" x14ac:dyDescent="0.25">
      <c r="A44" t="s">
        <v>473</v>
      </c>
      <c r="B44">
        <v>754919</v>
      </c>
      <c r="C44" s="65">
        <v>44124.795138888891</v>
      </c>
      <c r="D44" t="s">
        <v>947</v>
      </c>
      <c r="F44">
        <v>0</v>
      </c>
      <c r="G44">
        <v>0</v>
      </c>
      <c r="H44">
        <v>423.52</v>
      </c>
      <c r="I44" s="165"/>
      <c r="J44" t="s">
        <v>1044</v>
      </c>
    </row>
    <row r="45" spans="1:10" ht="15" x14ac:dyDescent="0.25">
      <c r="A45" t="s">
        <v>473</v>
      </c>
      <c r="B45">
        <v>754919</v>
      </c>
      <c r="C45" s="65">
        <v>44124.795138888891</v>
      </c>
      <c r="D45" t="s">
        <v>948</v>
      </c>
      <c r="E45" t="s">
        <v>914</v>
      </c>
      <c r="F45">
        <v>273662</v>
      </c>
      <c r="G45">
        <v>30.49</v>
      </c>
      <c r="H45">
        <v>0</v>
      </c>
      <c r="I45" s="165"/>
      <c r="J45" t="s">
        <v>1045</v>
      </c>
    </row>
    <row r="46" spans="1:10" ht="15" x14ac:dyDescent="0.25">
      <c r="A46" t="s">
        <v>473</v>
      </c>
      <c r="B46">
        <v>754948</v>
      </c>
      <c r="C46" s="65">
        <v>44124.797222222223</v>
      </c>
      <c r="D46" t="s">
        <v>949</v>
      </c>
      <c r="E46" t="s">
        <v>916</v>
      </c>
      <c r="F46">
        <v>213336</v>
      </c>
      <c r="G46">
        <v>393.03</v>
      </c>
      <c r="H46">
        <v>0</v>
      </c>
      <c r="I46" s="165"/>
      <c r="J46" t="s">
        <v>1046</v>
      </c>
    </row>
    <row r="47" spans="1:10" ht="15" x14ac:dyDescent="0.25">
      <c r="A47" t="s">
        <v>473</v>
      </c>
      <c r="B47">
        <v>756951</v>
      </c>
      <c r="C47" s="65">
        <v>44132.022916666669</v>
      </c>
      <c r="D47" t="s">
        <v>950</v>
      </c>
      <c r="E47" t="s">
        <v>914</v>
      </c>
      <c r="F47">
        <v>275165</v>
      </c>
      <c r="G47">
        <v>6</v>
      </c>
      <c r="H47">
        <v>0</v>
      </c>
      <c r="I47" s="165"/>
      <c r="J47" t="s">
        <v>1047</v>
      </c>
    </row>
    <row r="48" spans="1:10" ht="15" x14ac:dyDescent="0.25">
      <c r="A48" t="s">
        <v>508</v>
      </c>
      <c r="B48">
        <v>756875</v>
      </c>
      <c r="C48" s="65">
        <v>44131.561111111114</v>
      </c>
      <c r="D48" t="s">
        <v>951</v>
      </c>
      <c r="F48">
        <v>0</v>
      </c>
      <c r="G48">
        <v>0</v>
      </c>
      <c r="H48">
        <v>500</v>
      </c>
      <c r="I48" s="165"/>
      <c r="J48" t="s">
        <v>1044</v>
      </c>
    </row>
    <row r="49" spans="1:10" ht="15" x14ac:dyDescent="0.25">
      <c r="A49" t="s">
        <v>508</v>
      </c>
      <c r="B49">
        <v>756875</v>
      </c>
      <c r="C49" s="65">
        <v>44131.561111111114</v>
      </c>
      <c r="D49" t="s">
        <v>952</v>
      </c>
      <c r="E49" t="s">
        <v>914</v>
      </c>
      <c r="F49">
        <v>274159</v>
      </c>
      <c r="G49">
        <v>42</v>
      </c>
      <c r="H49">
        <v>0</v>
      </c>
      <c r="I49" s="165"/>
      <c r="J49" t="s">
        <v>1045</v>
      </c>
    </row>
    <row r="50" spans="1:10" ht="15" x14ac:dyDescent="0.25">
      <c r="A50" t="s">
        <v>508</v>
      </c>
      <c r="B50">
        <v>756891</v>
      </c>
      <c r="C50" s="65">
        <v>44131.568749999999</v>
      </c>
      <c r="D50" t="s">
        <v>953</v>
      </c>
      <c r="E50" t="s">
        <v>916</v>
      </c>
      <c r="F50">
        <v>213995</v>
      </c>
      <c r="G50">
        <v>452</v>
      </c>
      <c r="H50">
        <v>0</v>
      </c>
      <c r="I50" s="165"/>
      <c r="J50" t="s">
        <v>1046</v>
      </c>
    </row>
    <row r="51" spans="1:10" ht="15" x14ac:dyDescent="0.25">
      <c r="A51" t="s">
        <v>508</v>
      </c>
      <c r="B51">
        <v>756951</v>
      </c>
      <c r="C51" s="65">
        <v>44132.022916666669</v>
      </c>
      <c r="D51" t="s">
        <v>954</v>
      </c>
      <c r="E51" t="s">
        <v>914</v>
      </c>
      <c r="F51">
        <v>275160</v>
      </c>
      <c r="G51">
        <v>6</v>
      </c>
      <c r="H51">
        <v>0</v>
      </c>
      <c r="I51" s="165"/>
      <c r="J51" t="s">
        <v>1047</v>
      </c>
    </row>
    <row r="52" spans="1:10" ht="15" x14ac:dyDescent="0.25">
      <c r="A52" t="s">
        <v>471</v>
      </c>
      <c r="B52">
        <v>754913</v>
      </c>
      <c r="C52" s="65">
        <v>44124.795138888891</v>
      </c>
      <c r="D52" t="s">
        <v>955</v>
      </c>
      <c r="F52">
        <v>0</v>
      </c>
      <c r="G52">
        <v>0</v>
      </c>
      <c r="H52">
        <v>151.80000000000001</v>
      </c>
      <c r="I52" s="165"/>
      <c r="J52" t="s">
        <v>1044</v>
      </c>
    </row>
    <row r="53" spans="1:10" ht="15" x14ac:dyDescent="0.25">
      <c r="A53" t="s">
        <v>471</v>
      </c>
      <c r="B53">
        <v>754913</v>
      </c>
      <c r="C53" s="65">
        <v>44124.795138888891</v>
      </c>
      <c r="D53" t="s">
        <v>956</v>
      </c>
      <c r="E53" t="s">
        <v>914</v>
      </c>
      <c r="F53">
        <v>273657</v>
      </c>
      <c r="G53">
        <v>10.93</v>
      </c>
      <c r="H53">
        <v>0</v>
      </c>
      <c r="I53" s="165"/>
      <c r="J53" t="s">
        <v>1045</v>
      </c>
    </row>
    <row r="54" spans="1:10" ht="15" x14ac:dyDescent="0.25">
      <c r="A54" t="s">
        <v>471</v>
      </c>
      <c r="B54">
        <v>754913</v>
      </c>
      <c r="C54" s="65">
        <v>44124.795138888891</v>
      </c>
      <c r="D54" t="s">
        <v>957</v>
      </c>
      <c r="F54">
        <v>0</v>
      </c>
      <c r="G54">
        <v>0</v>
      </c>
      <c r="H54">
        <v>314.32</v>
      </c>
      <c r="I54" s="165"/>
      <c r="J54" t="s">
        <v>1044</v>
      </c>
    </row>
    <row r="55" spans="1:10" ht="15" x14ac:dyDescent="0.25">
      <c r="A55" t="s">
        <v>471</v>
      </c>
      <c r="B55">
        <v>754913</v>
      </c>
      <c r="C55" s="65">
        <v>44124.795138888891</v>
      </c>
      <c r="D55" t="s">
        <v>956</v>
      </c>
      <c r="E55" t="s">
        <v>914</v>
      </c>
      <c r="F55">
        <v>273657</v>
      </c>
      <c r="G55">
        <v>22.63</v>
      </c>
      <c r="H55">
        <v>0</v>
      </c>
      <c r="I55" s="165"/>
      <c r="J55" t="s">
        <v>1045</v>
      </c>
    </row>
    <row r="56" spans="1:10" ht="15" x14ac:dyDescent="0.25">
      <c r="A56" t="s">
        <v>471</v>
      </c>
      <c r="B56">
        <v>754948</v>
      </c>
      <c r="C56" s="65">
        <v>44124.797222222223</v>
      </c>
      <c r="D56" t="s">
        <v>958</v>
      </c>
      <c r="E56" t="s">
        <v>916</v>
      </c>
      <c r="F56">
        <v>213330</v>
      </c>
      <c r="G56">
        <v>426.56</v>
      </c>
      <c r="H56">
        <v>0</v>
      </c>
      <c r="I56" s="165"/>
      <c r="J56" t="s">
        <v>1046</v>
      </c>
    </row>
    <row r="57" spans="1:10" ht="15" x14ac:dyDescent="0.25">
      <c r="A57" t="s">
        <v>471</v>
      </c>
      <c r="B57">
        <v>756951</v>
      </c>
      <c r="C57" s="65">
        <v>44132.022916666669</v>
      </c>
      <c r="D57" t="s">
        <v>959</v>
      </c>
      <c r="E57" t="s">
        <v>914</v>
      </c>
      <c r="F57">
        <v>275158</v>
      </c>
      <c r="G57">
        <v>6</v>
      </c>
      <c r="H57">
        <v>0</v>
      </c>
      <c r="I57" s="165"/>
      <c r="J57" t="s">
        <v>1047</v>
      </c>
    </row>
    <row r="58" spans="1:10" ht="15" x14ac:dyDescent="0.25">
      <c r="A58" s="46" t="s">
        <v>478</v>
      </c>
      <c r="B58">
        <v>752595</v>
      </c>
      <c r="C58" s="65">
        <v>44117.594444444447</v>
      </c>
      <c r="D58" t="s">
        <v>960</v>
      </c>
      <c r="F58">
        <v>0</v>
      </c>
      <c r="G58">
        <v>0</v>
      </c>
      <c r="H58">
        <v>350</v>
      </c>
      <c r="I58" s="165"/>
      <c r="J58" t="s">
        <v>1044</v>
      </c>
    </row>
    <row r="59" spans="1:10" ht="15" x14ac:dyDescent="0.25">
      <c r="A59" s="46" t="s">
        <v>478</v>
      </c>
      <c r="B59">
        <v>752595</v>
      </c>
      <c r="C59" s="65">
        <v>44117.594444444447</v>
      </c>
      <c r="D59" t="s">
        <v>961</v>
      </c>
      <c r="E59" t="s">
        <v>914</v>
      </c>
      <c r="F59">
        <v>272955</v>
      </c>
      <c r="G59">
        <v>29.4</v>
      </c>
      <c r="H59">
        <v>0</v>
      </c>
      <c r="I59" s="165"/>
      <c r="J59" t="s">
        <v>1045</v>
      </c>
    </row>
    <row r="60" spans="1:10" ht="15" x14ac:dyDescent="0.25">
      <c r="A60" s="46" t="s">
        <v>478</v>
      </c>
      <c r="B60">
        <v>752600</v>
      </c>
      <c r="C60" s="65">
        <v>44117.605555555558</v>
      </c>
      <c r="D60" t="s">
        <v>962</v>
      </c>
      <c r="E60" t="s">
        <v>916</v>
      </c>
      <c r="F60">
        <v>212572</v>
      </c>
      <c r="G60">
        <v>314.60000000000002</v>
      </c>
      <c r="H60">
        <v>0</v>
      </c>
      <c r="I60" s="165"/>
      <c r="J60" t="s">
        <v>1046</v>
      </c>
    </row>
    <row r="61" spans="1:10" ht="15" x14ac:dyDescent="0.25">
      <c r="A61" s="46" t="s">
        <v>478</v>
      </c>
      <c r="B61">
        <v>756951</v>
      </c>
      <c r="C61" s="65">
        <v>44132.022916666669</v>
      </c>
      <c r="D61" t="s">
        <v>963</v>
      </c>
      <c r="E61" t="s">
        <v>914</v>
      </c>
      <c r="F61">
        <v>275183</v>
      </c>
      <c r="G61">
        <v>6</v>
      </c>
      <c r="H61">
        <v>0</v>
      </c>
      <c r="I61" s="165"/>
      <c r="J61" t="s">
        <v>1047</v>
      </c>
    </row>
    <row r="62" spans="1:10" ht="15" x14ac:dyDescent="0.25">
      <c r="A62" t="s">
        <v>559</v>
      </c>
      <c r="B62">
        <v>750475</v>
      </c>
      <c r="C62" s="65">
        <v>44109.613888888889</v>
      </c>
      <c r="D62" t="s">
        <v>964</v>
      </c>
      <c r="F62">
        <v>0</v>
      </c>
      <c r="G62">
        <v>0</v>
      </c>
      <c r="H62">
        <v>520</v>
      </c>
      <c r="I62" s="165"/>
      <c r="J62" t="s">
        <v>1044</v>
      </c>
    </row>
    <row r="63" spans="1:10" ht="15" x14ac:dyDescent="0.25">
      <c r="A63" t="s">
        <v>559</v>
      </c>
      <c r="B63">
        <v>750475</v>
      </c>
      <c r="C63" s="65">
        <v>44109.613888888889</v>
      </c>
      <c r="D63" t="s">
        <v>965</v>
      </c>
      <c r="E63" t="s">
        <v>914</v>
      </c>
      <c r="F63">
        <v>271890</v>
      </c>
      <c r="G63">
        <v>43.68</v>
      </c>
      <c r="H63">
        <v>0</v>
      </c>
      <c r="I63" s="165"/>
      <c r="J63" t="s">
        <v>1045</v>
      </c>
    </row>
    <row r="64" spans="1:10" ht="15" x14ac:dyDescent="0.25">
      <c r="A64" t="s">
        <v>559</v>
      </c>
      <c r="B64">
        <v>750752</v>
      </c>
      <c r="C64" s="65">
        <v>44109.686111111114</v>
      </c>
      <c r="D64" t="s">
        <v>966</v>
      </c>
      <c r="E64" t="s">
        <v>916</v>
      </c>
      <c r="F64">
        <v>211798</v>
      </c>
      <c r="G64">
        <v>470.32</v>
      </c>
      <c r="H64">
        <v>0</v>
      </c>
      <c r="I64" s="165"/>
      <c r="J64" t="s">
        <v>1046</v>
      </c>
    </row>
    <row r="65" spans="1:10" ht="15" x14ac:dyDescent="0.25">
      <c r="A65" t="s">
        <v>559</v>
      </c>
      <c r="B65">
        <v>756951</v>
      </c>
      <c r="C65" s="65">
        <v>44132.022916666669</v>
      </c>
      <c r="D65" t="s">
        <v>967</v>
      </c>
      <c r="E65" t="s">
        <v>914</v>
      </c>
      <c r="F65">
        <v>275185</v>
      </c>
      <c r="G65">
        <v>6</v>
      </c>
      <c r="H65">
        <v>0</v>
      </c>
      <c r="I65" s="165"/>
      <c r="J65" t="s">
        <v>1047</v>
      </c>
    </row>
    <row r="66" spans="1:10" ht="15" x14ac:dyDescent="0.25">
      <c r="A66" t="s">
        <v>483</v>
      </c>
      <c r="B66">
        <v>751688</v>
      </c>
      <c r="C66" s="65">
        <v>44112.551388888889</v>
      </c>
      <c r="D66" t="s">
        <v>968</v>
      </c>
      <c r="F66">
        <v>0</v>
      </c>
      <c r="G66">
        <v>0</v>
      </c>
      <c r="H66">
        <v>326.36</v>
      </c>
      <c r="I66" s="165"/>
      <c r="J66" t="s">
        <v>1044</v>
      </c>
    </row>
    <row r="67" spans="1:10" ht="15" x14ac:dyDescent="0.25">
      <c r="A67" t="s">
        <v>483</v>
      </c>
      <c r="B67">
        <v>751688</v>
      </c>
      <c r="C67" s="65">
        <v>44112.551388888889</v>
      </c>
      <c r="D67" t="s">
        <v>969</v>
      </c>
      <c r="E67" t="s">
        <v>914</v>
      </c>
      <c r="F67">
        <v>272414</v>
      </c>
      <c r="G67">
        <v>27.42</v>
      </c>
      <c r="H67">
        <v>0</v>
      </c>
      <c r="I67" s="165"/>
      <c r="J67" t="s">
        <v>1045</v>
      </c>
    </row>
    <row r="68" spans="1:10" ht="15" x14ac:dyDescent="0.25">
      <c r="A68" t="s">
        <v>483</v>
      </c>
      <c r="B68">
        <v>751692</v>
      </c>
      <c r="C68" s="65">
        <v>44112.552777777775</v>
      </c>
      <c r="D68" t="s">
        <v>970</v>
      </c>
      <c r="E68" t="s">
        <v>916</v>
      </c>
      <c r="F68">
        <v>212326</v>
      </c>
      <c r="G68">
        <v>292.94</v>
      </c>
      <c r="H68">
        <v>0</v>
      </c>
      <c r="I68" s="165"/>
      <c r="J68" t="s">
        <v>1046</v>
      </c>
    </row>
    <row r="69" spans="1:10" ht="15" x14ac:dyDescent="0.25">
      <c r="A69" t="s">
        <v>483</v>
      </c>
      <c r="B69">
        <v>754933</v>
      </c>
      <c r="C69" s="65">
        <v>44124.795138888891</v>
      </c>
      <c r="D69" t="s">
        <v>968</v>
      </c>
      <c r="F69">
        <v>0</v>
      </c>
      <c r="G69">
        <v>0</v>
      </c>
      <c r="H69">
        <v>173.64</v>
      </c>
      <c r="I69" s="165"/>
      <c r="J69" t="s">
        <v>1044</v>
      </c>
    </row>
    <row r="70" spans="1:10" ht="15" x14ac:dyDescent="0.25">
      <c r="A70" t="s">
        <v>483</v>
      </c>
      <c r="B70">
        <v>754933</v>
      </c>
      <c r="C70" s="65">
        <v>44124.795138888891</v>
      </c>
      <c r="D70" t="s">
        <v>969</v>
      </c>
      <c r="E70" t="s">
        <v>914</v>
      </c>
      <c r="F70">
        <v>273673</v>
      </c>
      <c r="G70">
        <v>14.58</v>
      </c>
      <c r="H70">
        <v>0</v>
      </c>
      <c r="I70" s="165"/>
      <c r="J70" t="s">
        <v>1045</v>
      </c>
    </row>
    <row r="71" spans="1:10" ht="15" x14ac:dyDescent="0.25">
      <c r="A71" t="s">
        <v>483</v>
      </c>
      <c r="B71">
        <v>754948</v>
      </c>
      <c r="C71" s="65">
        <v>44124.797222222223</v>
      </c>
      <c r="D71" t="s">
        <v>970</v>
      </c>
      <c r="E71" t="s">
        <v>916</v>
      </c>
      <c r="F71">
        <v>213350</v>
      </c>
      <c r="G71">
        <v>159.06</v>
      </c>
      <c r="H71">
        <v>0</v>
      </c>
      <c r="I71" s="165"/>
      <c r="J71" t="s">
        <v>1046</v>
      </c>
    </row>
    <row r="72" spans="1:10" ht="15" x14ac:dyDescent="0.25">
      <c r="A72" t="s">
        <v>483</v>
      </c>
      <c r="B72">
        <v>756951</v>
      </c>
      <c r="C72" s="65">
        <v>44132.022916666669</v>
      </c>
      <c r="D72" t="s">
        <v>971</v>
      </c>
      <c r="E72" t="s">
        <v>914</v>
      </c>
      <c r="F72">
        <v>275322</v>
      </c>
      <c r="G72">
        <v>6</v>
      </c>
      <c r="H72">
        <v>0</v>
      </c>
      <c r="I72" s="165"/>
      <c r="J72" t="s">
        <v>1047</v>
      </c>
    </row>
    <row r="73" spans="1:10" ht="15" x14ac:dyDescent="0.25">
      <c r="A73" t="s">
        <v>476</v>
      </c>
      <c r="B73">
        <v>754924</v>
      </c>
      <c r="C73" s="65">
        <v>44124.795138888891</v>
      </c>
      <c r="D73" t="s">
        <v>972</v>
      </c>
      <c r="F73">
        <v>0</v>
      </c>
      <c r="G73">
        <v>0</v>
      </c>
      <c r="H73">
        <v>450</v>
      </c>
      <c r="I73" s="165"/>
      <c r="J73" t="s">
        <v>1044</v>
      </c>
    </row>
    <row r="74" spans="1:10" ht="15" x14ac:dyDescent="0.25">
      <c r="A74" t="s">
        <v>476</v>
      </c>
      <c r="B74">
        <v>754924</v>
      </c>
      <c r="C74" s="65">
        <v>44124.795138888891</v>
      </c>
      <c r="D74" t="s">
        <v>973</v>
      </c>
      <c r="E74" t="s">
        <v>914</v>
      </c>
      <c r="F74">
        <v>273666</v>
      </c>
      <c r="G74">
        <v>32.4</v>
      </c>
      <c r="H74">
        <v>0</v>
      </c>
      <c r="I74" s="165"/>
      <c r="J74" t="s">
        <v>1045</v>
      </c>
    </row>
    <row r="75" spans="1:10" ht="15" x14ac:dyDescent="0.25">
      <c r="A75" t="s">
        <v>476</v>
      </c>
      <c r="B75">
        <v>754948</v>
      </c>
      <c r="C75" s="65">
        <v>44124.797222222223</v>
      </c>
      <c r="D75" t="s">
        <v>974</v>
      </c>
      <c r="E75" t="s">
        <v>916</v>
      </c>
      <c r="F75">
        <v>213341</v>
      </c>
      <c r="G75">
        <v>411.6</v>
      </c>
      <c r="H75">
        <v>0</v>
      </c>
      <c r="I75" s="165"/>
      <c r="J75" t="s">
        <v>1046</v>
      </c>
    </row>
    <row r="76" spans="1:10" ht="15" x14ac:dyDescent="0.25">
      <c r="A76" t="s">
        <v>476</v>
      </c>
      <c r="B76">
        <v>756951</v>
      </c>
      <c r="C76" s="65">
        <v>44132.022916666669</v>
      </c>
      <c r="D76" t="s">
        <v>975</v>
      </c>
      <c r="E76" t="s">
        <v>914</v>
      </c>
      <c r="F76">
        <v>275149</v>
      </c>
      <c r="G76">
        <v>6</v>
      </c>
      <c r="H76">
        <v>0</v>
      </c>
      <c r="I76" s="165"/>
      <c r="J76" t="s">
        <v>1047</v>
      </c>
    </row>
    <row r="77" spans="1:10" ht="15" x14ac:dyDescent="0.25">
      <c r="A77" t="s">
        <v>494</v>
      </c>
      <c r="B77">
        <v>754934</v>
      </c>
      <c r="C77" s="65">
        <v>44124.795138888891</v>
      </c>
      <c r="D77" t="s">
        <v>976</v>
      </c>
      <c r="F77">
        <v>0</v>
      </c>
      <c r="G77">
        <v>0</v>
      </c>
      <c r="H77">
        <v>0.48</v>
      </c>
      <c r="I77" s="165"/>
      <c r="J77" t="s">
        <v>1044</v>
      </c>
    </row>
    <row r="78" spans="1:10" ht="15" x14ac:dyDescent="0.25">
      <c r="A78" t="s">
        <v>494</v>
      </c>
      <c r="B78">
        <v>754934</v>
      </c>
      <c r="C78" s="65">
        <v>44124.795138888891</v>
      </c>
      <c r="D78" t="s">
        <v>977</v>
      </c>
      <c r="E78" t="s">
        <v>914</v>
      </c>
      <c r="F78">
        <v>273674</v>
      </c>
      <c r="G78">
        <v>0.04</v>
      </c>
      <c r="H78">
        <v>0</v>
      </c>
      <c r="I78" s="165"/>
      <c r="J78" t="s">
        <v>1045</v>
      </c>
    </row>
    <row r="79" spans="1:10" ht="15" x14ac:dyDescent="0.25">
      <c r="A79" t="s">
        <v>494</v>
      </c>
      <c r="B79">
        <v>754934</v>
      </c>
      <c r="C79" s="65">
        <v>44124.795138888891</v>
      </c>
      <c r="D79" t="s">
        <v>978</v>
      </c>
      <c r="F79">
        <v>0</v>
      </c>
      <c r="G79">
        <v>0</v>
      </c>
      <c r="H79">
        <v>461.04</v>
      </c>
      <c r="I79" s="165"/>
      <c r="J79" t="s">
        <v>1044</v>
      </c>
    </row>
    <row r="80" spans="1:10" ht="15" x14ac:dyDescent="0.25">
      <c r="A80" t="s">
        <v>494</v>
      </c>
      <c r="B80">
        <v>754934</v>
      </c>
      <c r="C80" s="65">
        <v>44124.795138888891</v>
      </c>
      <c r="D80" t="s">
        <v>977</v>
      </c>
      <c r="E80" t="s">
        <v>914</v>
      </c>
      <c r="F80">
        <v>273674</v>
      </c>
      <c r="G80">
        <v>38.72</v>
      </c>
      <c r="H80">
        <v>0</v>
      </c>
      <c r="I80" s="165"/>
      <c r="J80" t="s">
        <v>1045</v>
      </c>
    </row>
    <row r="81" spans="1:10" ht="15" x14ac:dyDescent="0.25">
      <c r="A81" t="s">
        <v>494</v>
      </c>
      <c r="B81">
        <v>754948</v>
      </c>
      <c r="C81" s="65">
        <v>44124.797222222223</v>
      </c>
      <c r="D81" t="s">
        <v>979</v>
      </c>
      <c r="E81" t="s">
        <v>916</v>
      </c>
      <c r="F81">
        <v>213351</v>
      </c>
      <c r="G81">
        <v>416.76</v>
      </c>
      <c r="H81">
        <v>0</v>
      </c>
      <c r="I81" s="165"/>
      <c r="J81" t="s">
        <v>1046</v>
      </c>
    </row>
    <row r="82" spans="1:10" ht="15" x14ac:dyDescent="0.25">
      <c r="A82" t="s">
        <v>494</v>
      </c>
      <c r="B82">
        <v>756951</v>
      </c>
      <c r="C82" s="65">
        <v>44132.022916666669</v>
      </c>
      <c r="D82" t="s">
        <v>980</v>
      </c>
      <c r="E82" t="s">
        <v>914</v>
      </c>
      <c r="F82">
        <v>275089</v>
      </c>
      <c r="G82">
        <v>6</v>
      </c>
      <c r="H82">
        <v>0</v>
      </c>
      <c r="I82" s="165"/>
      <c r="J82" t="s">
        <v>1047</v>
      </c>
    </row>
    <row r="83" spans="1:10" ht="15" x14ac:dyDescent="0.25">
      <c r="A83" t="s">
        <v>560</v>
      </c>
      <c r="B83">
        <v>756872</v>
      </c>
      <c r="C83" s="65">
        <v>44131.561111111114</v>
      </c>
      <c r="D83" t="s">
        <v>981</v>
      </c>
      <c r="F83">
        <v>0</v>
      </c>
      <c r="G83">
        <v>0</v>
      </c>
      <c r="H83">
        <v>580</v>
      </c>
      <c r="I83" s="165"/>
      <c r="J83" t="s">
        <v>1044</v>
      </c>
    </row>
    <row r="84" spans="1:10" ht="15" x14ac:dyDescent="0.25">
      <c r="A84" t="s">
        <v>560</v>
      </c>
      <c r="B84">
        <v>756872</v>
      </c>
      <c r="C84" s="65">
        <v>44131.561111111114</v>
      </c>
      <c r="D84" t="s">
        <v>982</v>
      </c>
      <c r="E84" t="s">
        <v>914</v>
      </c>
      <c r="F84">
        <v>274158</v>
      </c>
      <c r="G84">
        <v>41.76</v>
      </c>
      <c r="H84">
        <v>0</v>
      </c>
      <c r="I84" s="165"/>
      <c r="J84" t="s">
        <v>1045</v>
      </c>
    </row>
    <row r="85" spans="1:10" ht="15" x14ac:dyDescent="0.25">
      <c r="A85" t="s">
        <v>560</v>
      </c>
      <c r="B85">
        <v>756891</v>
      </c>
      <c r="C85" s="65">
        <v>44131.568749999999</v>
      </c>
      <c r="D85" t="s">
        <v>983</v>
      </c>
      <c r="E85" t="s">
        <v>916</v>
      </c>
      <c r="F85">
        <v>213992</v>
      </c>
      <c r="G85">
        <v>532.24</v>
      </c>
      <c r="H85">
        <v>0</v>
      </c>
      <c r="I85" s="165"/>
      <c r="J85" t="s">
        <v>1046</v>
      </c>
    </row>
    <row r="86" spans="1:10" ht="15" x14ac:dyDescent="0.25">
      <c r="A86" t="s">
        <v>560</v>
      </c>
      <c r="B86">
        <v>756951</v>
      </c>
      <c r="C86" s="65">
        <v>44132.022916666669</v>
      </c>
      <c r="D86" t="s">
        <v>984</v>
      </c>
      <c r="E86" t="s">
        <v>914</v>
      </c>
      <c r="F86">
        <v>275163</v>
      </c>
      <c r="G86">
        <v>6</v>
      </c>
      <c r="H86">
        <v>0</v>
      </c>
      <c r="I86" s="165"/>
      <c r="J86" t="s">
        <v>1047</v>
      </c>
    </row>
    <row r="87" spans="1:10" ht="15" x14ac:dyDescent="0.25">
      <c r="A87" t="s">
        <v>484</v>
      </c>
      <c r="B87">
        <v>756951</v>
      </c>
      <c r="C87" s="65">
        <v>44132.022916666669</v>
      </c>
      <c r="D87" t="s">
        <v>985</v>
      </c>
      <c r="E87" t="s">
        <v>914</v>
      </c>
      <c r="F87">
        <v>275323</v>
      </c>
      <c r="G87">
        <v>6</v>
      </c>
      <c r="H87">
        <v>0</v>
      </c>
      <c r="I87" s="165"/>
      <c r="J87" t="s">
        <v>1047</v>
      </c>
    </row>
    <row r="88" spans="1:10" ht="15" x14ac:dyDescent="0.25">
      <c r="A88" t="s">
        <v>484</v>
      </c>
      <c r="B88">
        <v>757765</v>
      </c>
      <c r="C88" s="65">
        <v>44134.547222222223</v>
      </c>
      <c r="D88" t="s">
        <v>986</v>
      </c>
      <c r="F88">
        <v>0</v>
      </c>
      <c r="G88">
        <v>0</v>
      </c>
      <c r="H88">
        <v>500</v>
      </c>
      <c r="I88" s="165"/>
      <c r="J88" t="s">
        <v>1044</v>
      </c>
    </row>
    <row r="89" spans="1:10" ht="15" x14ac:dyDescent="0.25">
      <c r="A89" t="s">
        <v>484</v>
      </c>
      <c r="B89">
        <v>757765</v>
      </c>
      <c r="C89" s="65">
        <v>44134.547222222223</v>
      </c>
      <c r="D89" t="s">
        <v>987</v>
      </c>
      <c r="E89" t="s">
        <v>914</v>
      </c>
      <c r="F89">
        <v>275642</v>
      </c>
      <c r="G89">
        <v>36</v>
      </c>
      <c r="H89">
        <v>0</v>
      </c>
      <c r="I89" s="165"/>
      <c r="J89" t="s">
        <v>1045</v>
      </c>
    </row>
    <row r="90" spans="1:10" ht="15" x14ac:dyDescent="0.25">
      <c r="A90" t="s">
        <v>484</v>
      </c>
      <c r="B90">
        <v>757769</v>
      </c>
      <c r="C90" s="65">
        <v>44134.549305555556</v>
      </c>
      <c r="D90" t="s">
        <v>988</v>
      </c>
      <c r="E90" t="s">
        <v>916</v>
      </c>
      <c r="F90">
        <v>214217</v>
      </c>
      <c r="G90">
        <v>458</v>
      </c>
      <c r="H90">
        <v>0</v>
      </c>
      <c r="I90" s="165"/>
      <c r="J90" t="s">
        <v>1046</v>
      </c>
    </row>
    <row r="91" spans="1:10" ht="15" x14ac:dyDescent="0.25">
      <c r="A91" t="s">
        <v>492</v>
      </c>
      <c r="B91">
        <v>754922</v>
      </c>
      <c r="C91" s="65">
        <v>44124.795138888891</v>
      </c>
      <c r="D91" t="s">
        <v>989</v>
      </c>
      <c r="F91">
        <v>0</v>
      </c>
      <c r="G91">
        <v>0</v>
      </c>
      <c r="H91">
        <v>275.11</v>
      </c>
      <c r="I91" s="165"/>
      <c r="J91" t="s">
        <v>1044</v>
      </c>
    </row>
    <row r="92" spans="1:10" ht="15" x14ac:dyDescent="0.25">
      <c r="A92" t="s">
        <v>492</v>
      </c>
      <c r="B92">
        <v>754922</v>
      </c>
      <c r="C92" s="65">
        <v>44124.795138888891</v>
      </c>
      <c r="D92" t="s">
        <v>990</v>
      </c>
      <c r="E92" t="s">
        <v>914</v>
      </c>
      <c r="F92">
        <v>273664</v>
      </c>
      <c r="G92">
        <v>19.809999999999999</v>
      </c>
      <c r="H92">
        <v>0</v>
      </c>
      <c r="I92" s="165"/>
      <c r="J92" t="s">
        <v>1045</v>
      </c>
    </row>
    <row r="93" spans="1:10" ht="15" x14ac:dyDescent="0.25">
      <c r="A93" t="s">
        <v>492</v>
      </c>
      <c r="B93">
        <v>754922</v>
      </c>
      <c r="C93" s="65">
        <v>44124.795138888891</v>
      </c>
      <c r="D93" t="s">
        <v>991</v>
      </c>
      <c r="F93">
        <v>0</v>
      </c>
      <c r="G93">
        <v>0</v>
      </c>
      <c r="H93">
        <v>209.49</v>
      </c>
      <c r="I93" s="165"/>
      <c r="J93" t="s">
        <v>1044</v>
      </c>
    </row>
    <row r="94" spans="1:10" ht="15" x14ac:dyDescent="0.25">
      <c r="A94" t="s">
        <v>492</v>
      </c>
      <c r="B94">
        <v>754922</v>
      </c>
      <c r="C94" s="65">
        <v>44124.795138888891</v>
      </c>
      <c r="D94" t="s">
        <v>990</v>
      </c>
      <c r="E94" t="s">
        <v>914</v>
      </c>
      <c r="F94">
        <v>273664</v>
      </c>
      <c r="G94">
        <v>15.08</v>
      </c>
      <c r="H94">
        <v>0</v>
      </c>
      <c r="I94" s="165"/>
      <c r="J94" t="s">
        <v>1045</v>
      </c>
    </row>
    <row r="95" spans="1:10" ht="15" x14ac:dyDescent="0.25">
      <c r="A95" t="s">
        <v>492</v>
      </c>
      <c r="B95">
        <v>754948</v>
      </c>
      <c r="C95" s="65">
        <v>44124.797222222223</v>
      </c>
      <c r="D95" t="s">
        <v>992</v>
      </c>
      <c r="E95" t="s">
        <v>916</v>
      </c>
      <c r="F95">
        <v>213339</v>
      </c>
      <c r="G95">
        <v>443.71</v>
      </c>
      <c r="H95">
        <v>0</v>
      </c>
      <c r="I95" s="165"/>
      <c r="J95" t="s">
        <v>1046</v>
      </c>
    </row>
    <row r="96" spans="1:10" ht="15" x14ac:dyDescent="0.25">
      <c r="A96" t="s">
        <v>492</v>
      </c>
      <c r="B96">
        <v>756951</v>
      </c>
      <c r="C96" s="65">
        <v>44132.022916666669</v>
      </c>
      <c r="D96" t="s">
        <v>993</v>
      </c>
      <c r="E96" t="s">
        <v>914</v>
      </c>
      <c r="F96">
        <v>275085</v>
      </c>
      <c r="G96">
        <v>6</v>
      </c>
      <c r="H96">
        <v>0</v>
      </c>
      <c r="I96" s="165"/>
      <c r="J96" t="s">
        <v>1047</v>
      </c>
    </row>
    <row r="97" spans="1:10" ht="15" x14ac:dyDescent="0.25">
      <c r="A97" t="s">
        <v>493</v>
      </c>
      <c r="B97">
        <v>756144</v>
      </c>
      <c r="C97" s="65">
        <v>44127.539583333331</v>
      </c>
      <c r="D97" t="s">
        <v>994</v>
      </c>
      <c r="F97">
        <v>0</v>
      </c>
      <c r="G97">
        <v>0</v>
      </c>
      <c r="H97">
        <v>453.28</v>
      </c>
      <c r="I97" s="165"/>
      <c r="J97" t="s">
        <v>1044</v>
      </c>
    </row>
    <row r="98" spans="1:10" ht="15" x14ac:dyDescent="0.25">
      <c r="A98" t="s">
        <v>493</v>
      </c>
      <c r="B98">
        <v>756144</v>
      </c>
      <c r="C98" s="65">
        <v>44127.539583333331</v>
      </c>
      <c r="D98" t="s">
        <v>995</v>
      </c>
      <c r="E98" t="s">
        <v>914</v>
      </c>
      <c r="F98">
        <v>273912</v>
      </c>
      <c r="G98">
        <v>32.64</v>
      </c>
      <c r="H98">
        <v>0</v>
      </c>
      <c r="I98" s="165"/>
      <c r="J98" t="s">
        <v>1045</v>
      </c>
    </row>
    <row r="99" spans="1:10" ht="15" x14ac:dyDescent="0.25">
      <c r="A99" t="s">
        <v>493</v>
      </c>
      <c r="B99">
        <v>756154</v>
      </c>
      <c r="C99" s="65">
        <v>44127.544444444444</v>
      </c>
      <c r="D99" t="s">
        <v>996</v>
      </c>
      <c r="E99" t="s">
        <v>916</v>
      </c>
      <c r="F99">
        <v>213810</v>
      </c>
      <c r="G99">
        <v>414.64</v>
      </c>
      <c r="H99">
        <v>0</v>
      </c>
      <c r="I99" s="165"/>
      <c r="J99" t="s">
        <v>1046</v>
      </c>
    </row>
    <row r="100" spans="1:10" ht="15" x14ac:dyDescent="0.25">
      <c r="A100" t="s">
        <v>493</v>
      </c>
      <c r="B100">
        <v>756951</v>
      </c>
      <c r="C100" s="65">
        <v>44132.022916666669</v>
      </c>
      <c r="D100" t="s">
        <v>997</v>
      </c>
      <c r="E100" t="s">
        <v>914</v>
      </c>
      <c r="F100">
        <v>275088</v>
      </c>
      <c r="G100">
        <v>6</v>
      </c>
      <c r="H100">
        <v>0</v>
      </c>
      <c r="I100" s="165"/>
      <c r="J100" t="s">
        <v>1047</v>
      </c>
    </row>
    <row r="101" spans="1:10" ht="15" x14ac:dyDescent="0.25">
      <c r="A101" t="s">
        <v>498</v>
      </c>
      <c r="B101">
        <v>754918</v>
      </c>
      <c r="C101" s="65">
        <v>44124.795138888891</v>
      </c>
      <c r="D101" t="s">
        <v>998</v>
      </c>
      <c r="F101">
        <v>0</v>
      </c>
      <c r="G101">
        <v>0</v>
      </c>
      <c r="H101">
        <v>270.56</v>
      </c>
      <c r="I101" s="165"/>
      <c r="J101" t="s">
        <v>1044</v>
      </c>
    </row>
    <row r="102" spans="1:10" ht="15" x14ac:dyDescent="0.25">
      <c r="A102" t="s">
        <v>498</v>
      </c>
      <c r="B102">
        <v>754918</v>
      </c>
      <c r="C102" s="65">
        <v>44124.795138888891</v>
      </c>
      <c r="D102" t="s">
        <v>999</v>
      </c>
      <c r="E102" t="s">
        <v>914</v>
      </c>
      <c r="F102">
        <v>273661</v>
      </c>
      <c r="G102">
        <v>19.48</v>
      </c>
      <c r="H102">
        <v>0</v>
      </c>
      <c r="I102" s="165"/>
      <c r="J102" t="s">
        <v>1045</v>
      </c>
    </row>
    <row r="103" spans="1:10" ht="15" x14ac:dyDescent="0.25">
      <c r="A103" t="s">
        <v>498</v>
      </c>
      <c r="B103">
        <v>754918</v>
      </c>
      <c r="C103" s="65">
        <v>44124.795138888891</v>
      </c>
      <c r="D103" t="s">
        <v>1000</v>
      </c>
      <c r="F103">
        <v>0</v>
      </c>
      <c r="G103">
        <v>0</v>
      </c>
      <c r="H103">
        <v>190.96</v>
      </c>
      <c r="I103" s="165"/>
      <c r="J103" t="s">
        <v>1044</v>
      </c>
    </row>
    <row r="104" spans="1:10" ht="15" x14ac:dyDescent="0.25">
      <c r="A104" t="s">
        <v>498</v>
      </c>
      <c r="B104">
        <v>754918</v>
      </c>
      <c r="C104" s="65">
        <v>44124.795138888891</v>
      </c>
      <c r="D104" t="s">
        <v>999</v>
      </c>
      <c r="E104" t="s">
        <v>914</v>
      </c>
      <c r="F104">
        <v>273661</v>
      </c>
      <c r="G104">
        <v>13.75</v>
      </c>
      <c r="H104">
        <v>0</v>
      </c>
      <c r="I104" s="165"/>
      <c r="J104" t="s">
        <v>1045</v>
      </c>
    </row>
    <row r="105" spans="1:10" ht="15" x14ac:dyDescent="0.25">
      <c r="A105" t="s">
        <v>498</v>
      </c>
      <c r="B105">
        <v>754948</v>
      </c>
      <c r="C105" s="65">
        <v>44124.797222222223</v>
      </c>
      <c r="D105" t="s">
        <v>1001</v>
      </c>
      <c r="E105" t="s">
        <v>916</v>
      </c>
      <c r="F105">
        <v>213335</v>
      </c>
      <c r="G105">
        <v>422.29</v>
      </c>
      <c r="H105">
        <v>0</v>
      </c>
      <c r="I105" s="165"/>
      <c r="J105" t="s">
        <v>1046</v>
      </c>
    </row>
    <row r="106" spans="1:10" ht="15" x14ac:dyDescent="0.25">
      <c r="A106" t="s">
        <v>498</v>
      </c>
      <c r="B106">
        <v>756951</v>
      </c>
      <c r="C106" s="65">
        <v>44132.022916666669</v>
      </c>
      <c r="D106" t="s">
        <v>1002</v>
      </c>
      <c r="E106" t="s">
        <v>914</v>
      </c>
      <c r="F106">
        <v>275084</v>
      </c>
      <c r="G106">
        <v>6</v>
      </c>
      <c r="H106">
        <v>0</v>
      </c>
      <c r="I106" s="165"/>
      <c r="J106" t="s">
        <v>1047</v>
      </c>
    </row>
    <row r="107" spans="1:10" ht="15" x14ac:dyDescent="0.25">
      <c r="A107" t="s">
        <v>504</v>
      </c>
      <c r="B107">
        <v>754357</v>
      </c>
      <c r="C107" s="65">
        <v>44123.523611111108</v>
      </c>
      <c r="D107" t="s">
        <v>1003</v>
      </c>
      <c r="F107">
        <v>0</v>
      </c>
      <c r="G107">
        <v>0</v>
      </c>
      <c r="H107">
        <v>77.650000000000006</v>
      </c>
      <c r="I107" s="165"/>
      <c r="J107" t="s">
        <v>1044</v>
      </c>
    </row>
    <row r="108" spans="1:10" ht="15" x14ac:dyDescent="0.25">
      <c r="A108" t="s">
        <v>504</v>
      </c>
      <c r="B108">
        <v>754357</v>
      </c>
      <c r="C108" s="65">
        <v>44123.523611111108</v>
      </c>
      <c r="D108" t="s">
        <v>1004</v>
      </c>
      <c r="E108" t="s">
        <v>914</v>
      </c>
      <c r="F108">
        <v>273517</v>
      </c>
      <c r="G108">
        <v>5.59</v>
      </c>
      <c r="H108">
        <v>0</v>
      </c>
      <c r="I108" s="165"/>
      <c r="J108" t="s">
        <v>1045</v>
      </c>
    </row>
    <row r="109" spans="1:10" ht="15" x14ac:dyDescent="0.25">
      <c r="A109" t="s">
        <v>504</v>
      </c>
      <c r="B109">
        <v>754364</v>
      </c>
      <c r="C109" s="65">
        <v>44123.527083333334</v>
      </c>
      <c r="D109" t="s">
        <v>1005</v>
      </c>
      <c r="E109" t="s">
        <v>916</v>
      </c>
      <c r="F109">
        <v>213220</v>
      </c>
      <c r="G109">
        <v>66.06</v>
      </c>
      <c r="H109">
        <v>0</v>
      </c>
      <c r="I109" s="165"/>
      <c r="J109" t="s">
        <v>1046</v>
      </c>
    </row>
    <row r="110" spans="1:10" ht="15" x14ac:dyDescent="0.25">
      <c r="A110" t="s">
        <v>504</v>
      </c>
      <c r="B110">
        <v>754916</v>
      </c>
      <c r="C110" s="65">
        <v>44124.795138888891</v>
      </c>
      <c r="D110" t="s">
        <v>1003</v>
      </c>
      <c r="F110">
        <v>0</v>
      </c>
      <c r="G110">
        <v>0</v>
      </c>
      <c r="H110">
        <v>427.35</v>
      </c>
      <c r="I110" s="165"/>
      <c r="J110" t="s">
        <v>1044</v>
      </c>
    </row>
    <row r="111" spans="1:10" ht="15" x14ac:dyDescent="0.25">
      <c r="A111" t="s">
        <v>504</v>
      </c>
      <c r="B111">
        <v>754916</v>
      </c>
      <c r="C111" s="65">
        <v>44124.795138888891</v>
      </c>
      <c r="D111" t="s">
        <v>1004</v>
      </c>
      <c r="E111" t="s">
        <v>914</v>
      </c>
      <c r="F111">
        <v>273659</v>
      </c>
      <c r="G111">
        <v>30.77</v>
      </c>
      <c r="H111">
        <v>0</v>
      </c>
      <c r="I111" s="165"/>
      <c r="J111" t="s">
        <v>1045</v>
      </c>
    </row>
    <row r="112" spans="1:10" ht="15" x14ac:dyDescent="0.25">
      <c r="A112" t="s">
        <v>504</v>
      </c>
      <c r="B112">
        <v>754948</v>
      </c>
      <c r="C112" s="65">
        <v>44124.797222222223</v>
      </c>
      <c r="D112" t="s">
        <v>1005</v>
      </c>
      <c r="E112" t="s">
        <v>916</v>
      </c>
      <c r="F112">
        <v>213333</v>
      </c>
      <c r="G112">
        <v>396.58</v>
      </c>
      <c r="H112">
        <v>0</v>
      </c>
      <c r="I112" s="165"/>
      <c r="J112" t="s">
        <v>1046</v>
      </c>
    </row>
    <row r="113" spans="1:10" ht="15" x14ac:dyDescent="0.25">
      <c r="A113" t="s">
        <v>504</v>
      </c>
      <c r="B113">
        <v>756951</v>
      </c>
      <c r="C113" s="65">
        <v>44132.022916666669</v>
      </c>
      <c r="D113" t="s">
        <v>1006</v>
      </c>
      <c r="E113" t="s">
        <v>914</v>
      </c>
      <c r="F113">
        <v>275136</v>
      </c>
      <c r="G113">
        <v>6</v>
      </c>
      <c r="H113">
        <v>0</v>
      </c>
      <c r="I113" s="165"/>
      <c r="J113" t="s">
        <v>1047</v>
      </c>
    </row>
    <row r="114" spans="1:10" ht="15" x14ac:dyDescent="0.25">
      <c r="A114" t="s">
        <v>506</v>
      </c>
      <c r="B114">
        <v>756951</v>
      </c>
      <c r="C114" s="65">
        <v>44132.022916666669</v>
      </c>
      <c r="D114" t="s">
        <v>1007</v>
      </c>
      <c r="E114" t="s">
        <v>914</v>
      </c>
      <c r="F114">
        <v>275138</v>
      </c>
      <c r="G114">
        <v>6</v>
      </c>
      <c r="H114">
        <v>0</v>
      </c>
      <c r="I114" s="165"/>
      <c r="J114" t="s">
        <v>1047</v>
      </c>
    </row>
    <row r="115" spans="1:10" ht="15" x14ac:dyDescent="0.25">
      <c r="A115" t="s">
        <v>506</v>
      </c>
      <c r="B115">
        <v>757168</v>
      </c>
      <c r="C115" s="65">
        <v>44132.5625</v>
      </c>
      <c r="D115" t="s">
        <v>1008</v>
      </c>
      <c r="F115">
        <v>0</v>
      </c>
      <c r="G115">
        <v>0</v>
      </c>
      <c r="H115">
        <v>525</v>
      </c>
      <c r="I115" s="165"/>
      <c r="J115" t="s">
        <v>1044</v>
      </c>
    </row>
    <row r="116" spans="1:10" ht="15" x14ac:dyDescent="0.25">
      <c r="A116" t="s">
        <v>506</v>
      </c>
      <c r="B116">
        <v>757168</v>
      </c>
      <c r="C116" s="65">
        <v>44132.5625</v>
      </c>
      <c r="D116" t="s">
        <v>1009</v>
      </c>
      <c r="E116" t="s">
        <v>914</v>
      </c>
      <c r="F116">
        <v>275461</v>
      </c>
      <c r="G116">
        <v>44.1</v>
      </c>
      <c r="H116">
        <v>0</v>
      </c>
      <c r="I116" s="165"/>
      <c r="J116" t="s">
        <v>1045</v>
      </c>
    </row>
    <row r="117" spans="1:10" ht="15" x14ac:dyDescent="0.25">
      <c r="A117" t="s">
        <v>506</v>
      </c>
      <c r="B117">
        <v>757179</v>
      </c>
      <c r="C117" s="65">
        <v>44132.56527777778</v>
      </c>
      <c r="D117" t="s">
        <v>1010</v>
      </c>
      <c r="E117" t="s">
        <v>916</v>
      </c>
      <c r="F117">
        <v>214065</v>
      </c>
      <c r="G117">
        <v>474.9</v>
      </c>
      <c r="H117">
        <v>0</v>
      </c>
      <c r="I117" s="165"/>
      <c r="J117" t="s">
        <v>1046</v>
      </c>
    </row>
    <row r="118" spans="1:10" x14ac:dyDescent="0.2">
      <c r="A118" s="46"/>
      <c r="C118" s="65"/>
    </row>
    <row r="119" spans="1:10" x14ac:dyDescent="0.2">
      <c r="A119" s="46"/>
      <c r="C119" s="65"/>
    </row>
    <row r="120" spans="1:10" x14ac:dyDescent="0.2">
      <c r="A120" s="46"/>
      <c r="C120" s="65"/>
    </row>
    <row r="121" spans="1:10" x14ac:dyDescent="0.2">
      <c r="A121" s="46"/>
      <c r="C121" s="65"/>
    </row>
    <row r="122" spans="1:10" x14ac:dyDescent="0.2">
      <c r="A122" s="46"/>
      <c r="C122" s="65"/>
    </row>
    <row r="123" spans="1:10" x14ac:dyDescent="0.2">
      <c r="A123" s="46"/>
      <c r="C123" s="65"/>
    </row>
    <row r="124" spans="1:10" x14ac:dyDescent="0.2">
      <c r="A124" s="46"/>
      <c r="C124" s="65"/>
    </row>
    <row r="125" spans="1:10" x14ac:dyDescent="0.2">
      <c r="A125" s="46"/>
      <c r="C125" s="65"/>
    </row>
    <row r="126" spans="1:10" x14ac:dyDescent="0.2">
      <c r="A126" s="46"/>
      <c r="C126" s="65"/>
    </row>
    <row r="127" spans="1:10" x14ac:dyDescent="0.2">
      <c r="A127" s="46"/>
      <c r="C127" s="65"/>
    </row>
    <row r="128" spans="1:10" x14ac:dyDescent="0.2">
      <c r="A128" s="46"/>
      <c r="C128" s="65"/>
    </row>
    <row r="129" spans="1:3" x14ac:dyDescent="0.2">
      <c r="A129" s="46"/>
      <c r="C129" s="65"/>
    </row>
    <row r="130" spans="1:3" x14ac:dyDescent="0.2">
      <c r="A130" s="46"/>
      <c r="C130" s="65"/>
    </row>
    <row r="131" spans="1:3" x14ac:dyDescent="0.2">
      <c r="C131" s="65"/>
    </row>
    <row r="132" spans="1:3" x14ac:dyDescent="0.2">
      <c r="C132" s="65"/>
    </row>
    <row r="133" spans="1:3" x14ac:dyDescent="0.2">
      <c r="C133" s="65"/>
    </row>
    <row r="134" spans="1:3" x14ac:dyDescent="0.2">
      <c r="C134" s="65"/>
    </row>
    <row r="135" spans="1:3" x14ac:dyDescent="0.2">
      <c r="A135" s="46"/>
      <c r="C135" s="65"/>
    </row>
    <row r="136" spans="1:3" x14ac:dyDescent="0.2">
      <c r="A136" s="46"/>
      <c r="C136" s="65"/>
    </row>
    <row r="137" spans="1:3" x14ac:dyDescent="0.2">
      <c r="A137" s="46"/>
      <c r="C137" s="65"/>
    </row>
    <row r="138" spans="1:3" x14ac:dyDescent="0.2">
      <c r="A138" s="46"/>
      <c r="C138" s="65"/>
    </row>
    <row r="139" spans="1:3" x14ac:dyDescent="0.2">
      <c r="A139" s="46"/>
      <c r="C139" s="65"/>
    </row>
    <row r="140" spans="1:3" x14ac:dyDescent="0.2">
      <c r="A140" s="46"/>
      <c r="C140" s="65"/>
    </row>
    <row r="141" spans="1:3" x14ac:dyDescent="0.2">
      <c r="A141" s="46"/>
      <c r="C141" s="65"/>
    </row>
    <row r="142" spans="1:3" x14ac:dyDescent="0.2">
      <c r="C142" s="65"/>
    </row>
    <row r="143" spans="1:3" x14ac:dyDescent="0.2">
      <c r="C143" s="65"/>
    </row>
    <row r="144" spans="1:3" x14ac:dyDescent="0.2">
      <c r="C144" s="65"/>
    </row>
    <row r="145" spans="3:5" x14ac:dyDescent="0.2">
      <c r="C145" s="65"/>
      <c r="E145" s="46"/>
    </row>
    <row r="146" spans="3:5" x14ac:dyDescent="0.2">
      <c r="C146" s="65"/>
    </row>
    <row r="147" spans="3:5" x14ac:dyDescent="0.2">
      <c r="C147" s="65"/>
    </row>
    <row r="148" spans="3:5" x14ac:dyDescent="0.2">
      <c r="C148" s="65"/>
    </row>
    <row r="149" spans="3:5" x14ac:dyDescent="0.2">
      <c r="C149" s="65"/>
    </row>
    <row r="150" spans="3:5" x14ac:dyDescent="0.2">
      <c r="C150" s="65"/>
      <c r="E150" s="46"/>
    </row>
    <row r="151" spans="3:5" x14ac:dyDescent="0.2">
      <c r="C151" s="65"/>
    </row>
    <row r="152" spans="3:5" x14ac:dyDescent="0.2">
      <c r="C152" s="65"/>
    </row>
    <row r="153" spans="3:5" x14ac:dyDescent="0.2">
      <c r="C153" s="65"/>
    </row>
    <row r="154" spans="3:5" x14ac:dyDescent="0.2">
      <c r="C154" s="65"/>
    </row>
    <row r="155" spans="3:5" x14ac:dyDescent="0.2">
      <c r="C155" s="65"/>
    </row>
    <row r="156" spans="3:5" x14ac:dyDescent="0.2">
      <c r="C156" s="65"/>
    </row>
    <row r="157" spans="3:5" x14ac:dyDescent="0.2">
      <c r="C157" s="65"/>
    </row>
    <row r="158" spans="3:5" x14ac:dyDescent="0.2">
      <c r="C158" s="65"/>
    </row>
    <row r="159" spans="3:5" x14ac:dyDescent="0.2">
      <c r="C159" s="65"/>
    </row>
    <row r="160" spans="3:5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L1" xr:uid="{861B2CAA-094C-4C62-A63E-5DD9D2CBF0E2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D10" sqref="D1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576</v>
      </c>
      <c r="E2" s="162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577</v>
      </c>
      <c r="E3" s="162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2">
        <v>41386</v>
      </c>
      <c r="F4" s="162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2">
        <v>41030</v>
      </c>
      <c r="F5" s="162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2">
        <v>40487</v>
      </c>
      <c r="F6" s="162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2">
        <v>39104</v>
      </c>
      <c r="F7" s="162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2">
        <v>38345</v>
      </c>
      <c r="F8" s="162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2">
        <v>38019</v>
      </c>
      <c r="F9" s="162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2">
        <v>37683</v>
      </c>
      <c r="F10" s="162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578</v>
      </c>
      <c r="E11" s="162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576</v>
      </c>
      <c r="E12" s="162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2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2">
        <v>40452</v>
      </c>
      <c r="F14" s="162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2">
        <v>38561</v>
      </c>
      <c r="F15" s="162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2">
        <v>38310</v>
      </c>
      <c r="F16" s="162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579</v>
      </c>
      <c r="E17" s="162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2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2">
        <v>41655</v>
      </c>
      <c r="F19" s="162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2">
        <v>40839</v>
      </c>
      <c r="F20" s="162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2">
        <v>40448</v>
      </c>
      <c r="F21" s="162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2">
        <v>40120</v>
      </c>
      <c r="F22" s="162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2">
        <v>39879</v>
      </c>
      <c r="F23" s="162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2">
        <v>39535</v>
      </c>
      <c r="F24" s="162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2">
        <v>39013</v>
      </c>
      <c r="F25" s="162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2">
        <v>38961</v>
      </c>
      <c r="F26" s="162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2">
        <v>38229</v>
      </c>
      <c r="F27" s="162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2">
        <v>38002</v>
      </c>
      <c r="F28" s="162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2">
        <v>37802</v>
      </c>
      <c r="F29" s="162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2">
        <v>37670</v>
      </c>
      <c r="F30" s="162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579</v>
      </c>
      <c r="E31" s="162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2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62">
        <v>39535</v>
      </c>
      <c r="F33" s="162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62">
        <v>39153</v>
      </c>
      <c r="F34" s="162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2">
        <v>38950</v>
      </c>
      <c r="F35" s="162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2">
        <v>38705</v>
      </c>
      <c r="F36" s="162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2">
        <v>38389</v>
      </c>
      <c r="F37" s="162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62">
        <v>37958</v>
      </c>
      <c r="F38" s="162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2">
        <v>37778</v>
      </c>
      <c r="F39" s="162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2">
        <v>37603</v>
      </c>
      <c r="F40" s="162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580</v>
      </c>
      <c r="E41" s="162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2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2">
        <v>41941</v>
      </c>
      <c r="F43" s="162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2">
        <v>40896</v>
      </c>
      <c r="F44" s="162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2">
        <v>40508</v>
      </c>
      <c r="F45" s="162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2">
        <v>39711</v>
      </c>
      <c r="F46" s="162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2">
        <v>38687</v>
      </c>
      <c r="F47" s="162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2">
        <v>37830</v>
      </c>
      <c r="F48" s="162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581</v>
      </c>
      <c r="E49" s="162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2">
        <v>41740</v>
      </c>
      <c r="F50" s="162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2">
        <v>40674</v>
      </c>
      <c r="F51" s="162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2">
        <v>39349</v>
      </c>
      <c r="F52" s="162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2">
        <v>38285</v>
      </c>
      <c r="F53" s="162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2">
        <v>37829</v>
      </c>
      <c r="F54" s="162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2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2">
        <v>40235</v>
      </c>
      <c r="F56" s="162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2">
        <v>37829</v>
      </c>
      <c r="F57" s="162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2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2">
        <v>40773</v>
      </c>
      <c r="F59" s="162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2">
        <v>40326</v>
      </c>
      <c r="F60" s="162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2">
        <v>39731</v>
      </c>
      <c r="F61" s="162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2">
        <v>39248</v>
      </c>
      <c r="F62" s="162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2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2">
        <v>41901</v>
      </c>
      <c r="F64" s="162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2">
        <v>41227</v>
      </c>
      <c r="F65" s="162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2">
        <v>39248</v>
      </c>
      <c r="F66" s="162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582</v>
      </c>
      <c r="E67" s="162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583</v>
      </c>
      <c r="E68" s="162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2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2">
        <v>41409</v>
      </c>
      <c r="F70" s="162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2">
        <v>41390</v>
      </c>
      <c r="F71" s="162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2">
        <v>39288</v>
      </c>
      <c r="F72" s="162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2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2">
        <v>40695</v>
      </c>
      <c r="F74" s="162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2">
        <v>39162</v>
      </c>
      <c r="F75" s="162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2">
        <v>38887</v>
      </c>
      <c r="F76" s="162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2">
        <v>38467</v>
      </c>
      <c r="F77" s="162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2">
        <v>38191</v>
      </c>
      <c r="F78" s="162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2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2">
        <v>40148</v>
      </c>
      <c r="F80" s="162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2">
        <v>39325</v>
      </c>
      <c r="F81" s="162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2">
        <v>38394</v>
      </c>
      <c r="F82" s="162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2">
        <v>38205</v>
      </c>
      <c r="F83" s="162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2">
      <c r="A84" s="3">
        <v>11</v>
      </c>
      <c r="B84" s="2" t="s">
        <v>62</v>
      </c>
      <c r="C84" s="3">
        <v>806</v>
      </c>
      <c r="D84" s="2" t="s">
        <v>584</v>
      </c>
      <c r="E84" s="162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2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2">
        <v>40525</v>
      </c>
      <c r="F86" s="162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2">
        <v>40408</v>
      </c>
      <c r="F87" s="162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2">
        <v>40151</v>
      </c>
      <c r="F88" s="162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2">
        <v>39709</v>
      </c>
      <c r="F89" s="162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2">
      <c r="A90" s="3">
        <v>11</v>
      </c>
      <c r="B90" s="2" t="s">
        <v>62</v>
      </c>
      <c r="C90" s="3">
        <v>23</v>
      </c>
      <c r="D90" s="2" t="s">
        <v>158</v>
      </c>
      <c r="E90" s="162">
        <v>38324</v>
      </c>
      <c r="F90" s="162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585</v>
      </c>
      <c r="E91" s="162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2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2">
      <c r="A93" s="3">
        <v>17</v>
      </c>
      <c r="B93" s="2" t="s">
        <v>63</v>
      </c>
      <c r="C93" s="3">
        <v>187</v>
      </c>
      <c r="D93" s="2" t="s">
        <v>302</v>
      </c>
      <c r="E93" s="162">
        <v>40438</v>
      </c>
      <c r="F93" s="162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2">
        <v>40179</v>
      </c>
      <c r="F94" s="162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2">
        <v>39479</v>
      </c>
      <c r="F95" s="162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2">
        <v>38909</v>
      </c>
      <c r="F96" s="162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2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2">
        <v>38999</v>
      </c>
      <c r="F98" s="162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2">
        <v>38849</v>
      </c>
      <c r="F99" s="162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586</v>
      </c>
      <c r="E100" s="162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2">
        <v>42291</v>
      </c>
      <c r="F101" s="162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2">
        <v>41803</v>
      </c>
      <c r="F102" s="162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2">
        <v>41456</v>
      </c>
      <c r="F103" s="162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2">
        <v>39367</v>
      </c>
      <c r="F104" s="162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2">
        <v>38999</v>
      </c>
      <c r="F105" s="162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2">
        <v>38849</v>
      </c>
      <c r="F106" s="162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2">
        <v>36977</v>
      </c>
      <c r="F107" s="162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587</v>
      </c>
      <c r="E108" s="162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588</v>
      </c>
      <c r="E109" s="162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589</v>
      </c>
      <c r="E110" s="162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590</v>
      </c>
      <c r="E111" s="162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2">
      <c r="A112" s="3">
        <v>19</v>
      </c>
      <c r="B112" s="2" t="s">
        <v>99</v>
      </c>
      <c r="C112" s="3">
        <v>761</v>
      </c>
      <c r="D112" s="2" t="s">
        <v>591</v>
      </c>
      <c r="E112" s="162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592</v>
      </c>
      <c r="E113" s="162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2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2">
        <v>41883</v>
      </c>
      <c r="F115" s="162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2">
        <v>41821</v>
      </c>
      <c r="F116" s="162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2">
        <v>41518</v>
      </c>
      <c r="F117" s="162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2">
        <v>41153</v>
      </c>
      <c r="F118" s="162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2">
        <v>40432</v>
      </c>
      <c r="F119" s="162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2">
        <v>39927</v>
      </c>
      <c r="F120" s="162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2">
        <v>39507</v>
      </c>
      <c r="F121" s="162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2">
        <v>38638</v>
      </c>
      <c r="F122" s="162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2">
        <v>38423</v>
      </c>
      <c r="F123" s="162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593</v>
      </c>
      <c r="E124" s="162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2">
      <c r="A125" s="3">
        <v>34</v>
      </c>
      <c r="B125" s="2" t="s">
        <v>102</v>
      </c>
      <c r="C125" s="3">
        <v>790</v>
      </c>
      <c r="D125" s="2" t="s">
        <v>594</v>
      </c>
      <c r="E125" s="162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595</v>
      </c>
      <c r="E126" s="162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596</v>
      </c>
      <c r="E127" s="162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597</v>
      </c>
      <c r="E128" s="162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2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2">
        <v>41890</v>
      </c>
      <c r="F130" s="162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2">
        <v>41487</v>
      </c>
      <c r="F131" s="162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2">
        <v>41122</v>
      </c>
      <c r="F132" s="162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2">
        <v>40770</v>
      </c>
      <c r="F133" s="162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2">
        <v>40458</v>
      </c>
      <c r="F134" s="162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2">
        <v>40151</v>
      </c>
      <c r="F135" s="162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2">
        <v>39816</v>
      </c>
      <c r="F136" s="162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2">
        <v>39602</v>
      </c>
      <c r="F137" s="162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2">
        <v>39517</v>
      </c>
      <c r="F138" s="162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2">
        <v>38932</v>
      </c>
      <c r="F139" s="162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2">
        <v>38636</v>
      </c>
      <c r="F140" s="162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2">
        <v>38507</v>
      </c>
      <c r="F141" s="162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598</v>
      </c>
      <c r="E144" s="162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2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2">
        <v>42474</v>
      </c>
      <c r="F146" s="162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2">
        <v>39524</v>
      </c>
      <c r="F147" s="162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2">
        <v>38668</v>
      </c>
      <c r="F148" s="162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2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2">
        <v>41331</v>
      </c>
      <c r="F150" s="162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2">
        <v>40268</v>
      </c>
      <c r="F151" s="162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2">
        <v>40046</v>
      </c>
      <c r="F152" s="162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2">
        <v>39556</v>
      </c>
      <c r="F153" s="162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2">
        <v>39054</v>
      </c>
      <c r="F154" s="162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2">
        <v>38863</v>
      </c>
      <c r="F155" s="162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2">
        <v>38506</v>
      </c>
      <c r="F156" s="162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599</v>
      </c>
      <c r="E157" s="162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600</v>
      </c>
      <c r="E158" s="162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2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2">
        <v>40334</v>
      </c>
      <c r="F160" s="162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2">
        <v>39843</v>
      </c>
      <c r="F161" s="162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2">
        <v>39286</v>
      </c>
      <c r="F162" s="162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2">
        <v>38631</v>
      </c>
      <c r="F163" s="162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601</v>
      </c>
      <c r="E164" s="162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2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2">
        <v>42205</v>
      </c>
      <c r="F166" s="162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2">
        <v>41311</v>
      </c>
      <c r="F167" s="162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2">
        <v>40240</v>
      </c>
      <c r="F168" s="162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2">
        <v>39592</v>
      </c>
      <c r="F169" s="162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2">
        <v>38534</v>
      </c>
      <c r="F170" s="162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602</v>
      </c>
      <c r="E171" s="162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603</v>
      </c>
      <c r="E172" s="162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2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2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2">
        <v>41103</v>
      </c>
      <c r="F175" s="162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2">
        <v>40763</v>
      </c>
      <c r="F176" s="162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2">
        <v>40439</v>
      </c>
      <c r="F177" s="162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2">
        <v>39779</v>
      </c>
      <c r="F178" s="162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2">
        <v>39193</v>
      </c>
      <c r="F179" s="162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604</v>
      </c>
      <c r="E180" s="162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2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2">
        <v>39626</v>
      </c>
      <c r="F182" s="162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2">
        <v>39508</v>
      </c>
      <c r="F183" s="162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605</v>
      </c>
      <c r="E184" s="162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606</v>
      </c>
      <c r="E185" s="162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2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2">
        <v>39508</v>
      </c>
      <c r="F187" s="162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631</v>
      </c>
      <c r="E188" s="162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607</v>
      </c>
      <c r="E189" s="162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2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2">
        <v>41264</v>
      </c>
      <c r="F191" s="162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2">
        <v>40914</v>
      </c>
      <c r="F192" s="162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2">
        <v>40490</v>
      </c>
      <c r="F193" s="162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2">
        <v>40058</v>
      </c>
      <c r="F194" s="162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2">
        <v>39724</v>
      </c>
      <c r="F195" s="162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2">
        <v>39539</v>
      </c>
      <c r="F196" s="162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608</v>
      </c>
      <c r="E197" s="162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609</v>
      </c>
      <c r="E198" s="162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2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2">
        <v>42360</v>
      </c>
      <c r="F200" s="162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2">
        <v>41969</v>
      </c>
      <c r="F201" s="162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2">
        <v>41365</v>
      </c>
      <c r="F202" s="162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2">
        <v>40855</v>
      </c>
      <c r="F203" s="162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2">
        <v>38863</v>
      </c>
      <c r="F204" s="162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2">
        <v>38583</v>
      </c>
      <c r="F205" s="162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610</v>
      </c>
      <c r="E206" s="162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611</v>
      </c>
      <c r="E207" s="162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2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2">
        <v>41376</v>
      </c>
      <c r="F209" s="162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2">
        <v>40975</v>
      </c>
      <c r="F210" s="162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2">
        <v>40114</v>
      </c>
      <c r="F211" s="162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2">
        <v>39132</v>
      </c>
      <c r="F212" s="162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2">
        <v>38638</v>
      </c>
      <c r="F213" s="162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612</v>
      </c>
      <c r="E214" s="162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613</v>
      </c>
      <c r="E215" s="162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614</v>
      </c>
      <c r="E216" s="162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2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2">
        <v>40525</v>
      </c>
      <c r="F218" s="162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2">
        <v>40107</v>
      </c>
      <c r="F219" s="162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2">
        <v>40050</v>
      </c>
      <c r="F220" s="162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2">
        <v>39423</v>
      </c>
      <c r="F221" s="162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2">
        <v>38540</v>
      </c>
      <c r="F222" s="162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615</v>
      </c>
      <c r="E227" s="162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616</v>
      </c>
      <c r="E228" s="162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2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2">
        <v>39654</v>
      </c>
      <c r="F230" s="162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2">
        <v>39588</v>
      </c>
      <c r="F231" s="162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2">
        <v>38971</v>
      </c>
      <c r="F232" s="162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2">
        <v>38839</v>
      </c>
      <c r="F233" s="162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617</v>
      </c>
      <c r="E234" s="162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2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2">
        <v>41824</v>
      </c>
      <c r="F236" s="162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2">
        <v>40871</v>
      </c>
      <c r="F237" s="162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2">
        <v>39101</v>
      </c>
      <c r="F238" s="162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2">
        <v>38880</v>
      </c>
      <c r="F239" s="162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2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2">
        <v>38208</v>
      </c>
      <c r="F241" s="162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618</v>
      </c>
      <c r="E242" s="162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2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2">
        <v>40338</v>
      </c>
      <c r="F244" s="162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2">
        <v>39940</v>
      </c>
      <c r="F245" s="162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2">
        <v>39701</v>
      </c>
      <c r="F246" s="162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2">
        <v>37639</v>
      </c>
      <c r="F247" s="162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619</v>
      </c>
      <c r="E248" s="162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620</v>
      </c>
      <c r="E249" s="162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2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2">
        <v>40609</v>
      </c>
      <c r="F251" s="162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2">
        <v>40387</v>
      </c>
      <c r="F252" s="162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2">
        <v>39508</v>
      </c>
      <c r="F253" s="162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2">
      <c r="A254" s="3">
        <v>53</v>
      </c>
      <c r="B254" s="2" t="s">
        <v>70</v>
      </c>
      <c r="C254" s="3">
        <v>803</v>
      </c>
      <c r="D254" s="2" t="s">
        <v>621</v>
      </c>
      <c r="E254" s="162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2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2">
        <v>39895</v>
      </c>
      <c r="F256" s="162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2">
        <v>39384</v>
      </c>
      <c r="F257" s="162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2">
        <v>39032</v>
      </c>
      <c r="F258" s="162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621</v>
      </c>
      <c r="E259" s="162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2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2">
        <v>41033</v>
      </c>
      <c r="F261" s="162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2">
        <v>40449</v>
      </c>
      <c r="F262" s="162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2">
        <v>40319</v>
      </c>
      <c r="F263" s="162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2">
        <v>39015</v>
      </c>
      <c r="F264" s="162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2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2">
        <v>41675</v>
      </c>
      <c r="F266" s="162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2">
        <v>41372</v>
      </c>
      <c r="F267" s="162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2">
        <v>38926</v>
      </c>
      <c r="F268" s="162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622</v>
      </c>
      <c r="E273" s="162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623</v>
      </c>
      <c r="E274" s="162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2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2">
        <v>40718</v>
      </c>
      <c r="F276" s="162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2">
        <v>40462</v>
      </c>
      <c r="F277" s="162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2">
        <v>40186</v>
      </c>
      <c r="F278" s="162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2">
        <v>38985</v>
      </c>
      <c r="F279" s="162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624</v>
      </c>
      <c r="E280" s="162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625</v>
      </c>
      <c r="E281" s="162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626</v>
      </c>
      <c r="E282" s="162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2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2">
        <v>39396</v>
      </c>
      <c r="F284" s="162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2">
        <v>38485</v>
      </c>
      <c r="F285" s="162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2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2">
        <v>39787</v>
      </c>
      <c r="F287" s="162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2">
        <v>39304</v>
      </c>
      <c r="F288" s="162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2">
        <v>38848</v>
      </c>
      <c r="F289" s="162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2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2">
        <v>39177</v>
      </c>
      <c r="F291" s="162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2">
        <v>38490</v>
      </c>
      <c r="F292" s="162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625</v>
      </c>
      <c r="E293" s="162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627</v>
      </c>
      <c r="E294" s="162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623</v>
      </c>
      <c r="E295" s="162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2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2">
        <v>39834</v>
      </c>
      <c r="F297" s="162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2">
        <v>38855</v>
      </c>
      <c r="F298" s="162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2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2">
        <v>40988</v>
      </c>
      <c r="F300" s="162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2">
        <v>39517</v>
      </c>
      <c r="F301" s="162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2">
        <v>38862</v>
      </c>
      <c r="F302" s="162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625</v>
      </c>
      <c r="E303" s="162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628</v>
      </c>
      <c r="E304" s="162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2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2">
        <v>40683</v>
      </c>
      <c r="F306" s="162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2">
        <v>40476</v>
      </c>
      <c r="F307" s="162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2">
        <v>40087</v>
      </c>
      <c r="F308" s="162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2">
        <v>39472</v>
      </c>
      <c r="F309" s="162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2">
        <v>39251</v>
      </c>
      <c r="F310" s="162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2">
        <v>39023</v>
      </c>
      <c r="F311" s="162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2">
        <v>38754</v>
      </c>
      <c r="F312" s="162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629</v>
      </c>
      <c r="E313" s="162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630</v>
      </c>
      <c r="E314" s="162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2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2">
        <v>38925</v>
      </c>
      <c r="F316" s="162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2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2">
        <v>40032</v>
      </c>
      <c r="F326" s="162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2">
        <v>39604</v>
      </c>
      <c r="F327" s="162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4" zoomScaleNormal="100" workbookViewId="0">
      <selection activeCell="E38" sqref="E38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2021-06-23T14:58:47Z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