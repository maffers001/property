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-15" yWindow="-15" windowWidth="28860" windowHeight="6375" activeTab="7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Beals!$A$1:$H$240</definedName>
    <definedName name="_xlnm._FilterDatabase" localSheetId="5" hidden="1">IV!$A$1:$I$64</definedName>
    <definedName name="_xlnm._FilterDatabase" localSheetId="6" hidden="1">'IV (4040)'!$A$1:$I$135</definedName>
    <definedName name="_xlnm._FilterDatabase" localSheetId="4" hidden="1">MT!$A$1:$I$162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8" i="31690" l="1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I10" i="31690"/>
  <c r="I9" i="31690"/>
  <c r="C34" i="31690"/>
  <c r="B24" i="31690"/>
  <c r="C32" i="31690"/>
  <c r="B30" i="31690"/>
  <c r="B34" i="31690"/>
  <c r="C22" i="31690"/>
  <c r="C25" i="31690"/>
  <c r="C33" i="31690"/>
  <c r="B32" i="31690"/>
  <c r="B31" i="31690"/>
  <c r="C21" i="31690"/>
  <c r="B26" i="31690"/>
  <c r="C17" i="31690"/>
  <c r="B35" i="31690"/>
  <c r="B17" i="31690"/>
  <c r="E39" i="31690"/>
  <c r="B25" i="31690"/>
  <c r="C31" i="31690"/>
  <c r="B29" i="31690"/>
  <c r="C18" i="31690"/>
  <c r="C29" i="31690"/>
  <c r="C24" i="31690"/>
  <c r="B33" i="31690"/>
  <c r="B18" i="31690"/>
  <c r="B22" i="31690"/>
  <c r="B21" i="31690"/>
  <c r="C30" i="31690"/>
  <c r="C26" i="31690"/>
  <c r="B36" i="31690" l="1"/>
  <c r="C19" i="31690"/>
  <c r="B19" i="31690"/>
  <c r="C36" i="31690"/>
  <c r="F38" i="31690"/>
  <c r="E38" i="31690"/>
  <c r="D29" i="31690"/>
  <c r="D30" i="31690"/>
  <c r="D31" i="31690"/>
  <c r="D32" i="31690"/>
  <c r="D33" i="31690"/>
  <c r="D34" i="31690"/>
  <c r="F39" i="31690"/>
  <c r="B12" i="31690"/>
  <c r="E12" i="31690"/>
  <c r="B15" i="31690" s="1"/>
  <c r="H12" i="31690"/>
  <c r="C15" i="31690" s="1"/>
  <c r="D36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<sst xmlns="http://schemas.openxmlformats.org/spreadsheetml/2006/main" count="5002" uniqueCount="1167">
  <si>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</si>
  <si>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</si>
  <si>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</si>
  <si>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</si>
  <si>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</si>
  <si>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</si>
  <si>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</si>
  <si>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</si>
  <si>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</si>
  <si>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</si>
  <si>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</si>
  <si>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</si>
  <si>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</si>
  <si>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</si>
  <si>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</si>
  <si>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</si>
  <si>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</si>
  <si>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</si>
  <si>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</si>
  <si>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</si>
  <si>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</si>
  <si>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</si>
  <si>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</si>
  <si>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</si>
  <si>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</si>
  <si>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</si>
  <si>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</si>
  <si>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</si>
  <si>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</si>
  <si>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</si>
  <si>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</si>
  <si>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</si>
  <si>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</si>
  <si>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</si>
  <si>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</si>
  <si>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</si>
  <si>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</si>
  <si>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</si>
  <si>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</si>
  <si>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</si>
  <si>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</si>
  <si>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</si>
  <si>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</si>
  <si>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</si>
  <si>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</si>
  <si>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</si>
  <si>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</si>
  <si>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</si>
  <si>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</si>
  <si>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</si>
  <si>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</si>
  <si>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</si>
  <si>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</si>
  <si>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</si>
  <si>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</si>
  <si>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</si>
  <si>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</si>
  <si>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</si>
  <si>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</si>
  <si>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</si>
  <si>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</si>
  <si>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</si>
  <si>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</si>
  <si>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</si>
  <si>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</si>
  <si>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</si>
  <si>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</si>
  <si>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</si>
  <si>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</si>
  <si>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</si>
  <si>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</si>
  <si>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</si>
  <si>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</si>
  <si>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</si>
  <si>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</si>
  <si>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</si>
  <si>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</si>
  <si>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</si>
  <si>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</si>
  <si>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</si>
  <si>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</si>
  <si>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</si>
  <si>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</si>
  <si>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</si>
  <si>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</si>
  <si>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</si>
  <si>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</si>
  <si>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</si>
  <si>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</si>
  <si>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</si>
  <si>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</si>
  <si>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</si>
  <si>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</si>
  <si>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</si>
  <si>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</si>
  <si>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</si>
  <si>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</si>
  <si>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</si>
  <si>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</si>
  <si>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</si>
  <si>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</si>
  <si>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</si>
  <si>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</si>
  <si>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</si>
  <si>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</si>
  <si>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</si>
  <si>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</si>
  <si>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</si>
  <si>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</si>
  <si>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</si>
  <si>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</si>
  <si>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</si>
  <si>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</si>
  <si>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</si>
  <si>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</si>
  <si>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</si>
  <si>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</si>
  <si>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</si>
  <si>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</si>
  <si>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</si>
  <si>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</si>
  <si>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</si>
  <si>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</si>
  <si>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</si>
  <si>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</si>
  <si>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</si>
  <si>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</si>
  <si>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</si>
  <si>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</si>
  <si>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</si>
  <si>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</si>
  <si>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</si>
  <si>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</si>
  <si>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</si>
  <si>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</si>
  <si>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</si>
  <si>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</si>
  <si>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</si>
  <si>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</si>
  <si>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</si>
  <si>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</si>
  <si>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</si>
  <si>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</si>
  <si>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</si>
  <si>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</si>
  <si>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</si>
  <si>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</si>
  <si>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</si>
  <si>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</si>
  <si>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</si>
  <si>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</si>
  <si>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</si>
  <si>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</si>
  <si>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</si>
  <si>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</si>
  <si>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</si>
  <si>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</si>
  <si>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</si>
  <si>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</si>
  <si>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</si>
  <si>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</si>
  <si>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</si>
  <si>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</si>
  <si>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</si>
  <si>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</si>
  <si>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</si>
  <si>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</si>
  <si>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</si>
  <si>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</si>
  <si>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</si>
  <si>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</si>
  <si>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</si>
  <si>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</si>
  <si>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</si>
  <si>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</si>
  <si>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</si>
  <si>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</si>
  <si>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</si>
  <si>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</si>
  <si>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</si>
  <si>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</si>
  <si>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</si>
  <si>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</si>
  <si>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</si>
  <si>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</si>
  <si>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</si>
  <si>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</si>
  <si>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</si>
  <si>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</si>
  <si>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</si>
  <si>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</si>
  <si>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</si>
  <si>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</si>
  <si>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</si>
  <si>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</si>
  <si>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</si>
  <si>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</si>
  <si>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</si>
  <si>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</si>
  <si>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</si>
  <si>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</si>
  <si>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</si>
  <si>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</si>
  <si>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</si>
  <si>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</si>
  <si>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</si>
  <si>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</si>
  <si>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</si>
  <si>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</si>
  <si>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</si>
  <si>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</si>
  <si>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</si>
  <si>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</si>
  <si>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</si>
  <si>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</si>
  <si>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</si>
  <si>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</si>
  <si>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</si>
  <si>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</si>
  <si>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</si>
  <si>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</si>
  <si>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</si>
  <si>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</si>
  <si>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</si>
  <si>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</si>
  <si>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</si>
  <si>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</si>
  <si>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</si>
  <si>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</si>
  <si>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</si>
  <si>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</si>
  <si>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</si>
  <si>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</si>
  <si>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</si>
  <si>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</si>
  <si>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</si>
  <si>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</si>
  <si>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</si>
  <si>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</si>
  <si>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</si>
  <si>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</si>
  <si>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</si>
  <si>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</si>
  <si>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</si>
  <si>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</si>
  <si>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</si>
  <si>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</si>
  <si>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</si>
  <si>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</si>
  <si>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</si>
  <si>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</si>
  <si>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</si>
  <si>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</si>
  <si>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</si>
  <si>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</si>
  <si>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</si>
  <si>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</si>
  <si>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</si>
  <si>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</si>
  <si>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</si>
  <si>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</si>
  <si>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</si>
  <si>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</si>
  <si>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</si>
  <si>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</si>
  <si>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</si>
  <si>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</si>
  <si>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</si>
  <si>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</si>
  <si>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</si>
  <si>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</si>
  <si>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</si>
  <si>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</si>
  <si>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</si>
  <si>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</si>
  <si>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</si>
  <si>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</si>
  <si>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</si>
  <si>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</si>
  <si>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</si>
  <si>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</si>
  <si>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</si>
  <si>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</si>
  <si>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</si>
  <si>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</si>
  <si>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</si>
  <si>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</si>
  <si>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</si>
  <si>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</si>
  <si>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</si>
  <si>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</si>
  <si>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</si>
  <si>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</si>
  <si>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</si>
  <si>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</si>
  <si>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</si>
  <si>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</si>
  <si>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</si>
  <si>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</si>
  <si>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</si>
  <si>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</si>
  <si>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</si>
  <si>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</si>
  <si>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</si>
  <si>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</si>
  <si>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</si>
  <si>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</si>
  <si>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</si>
  <si>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</si>
  <si>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</si>
  <si>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</si>
  <si>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</si>
  <si>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</si>
  <si>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</si>
  <si>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</si>
  <si>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</si>
  <si>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</si>
  <si>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</si>
  <si>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</si>
  <si>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</si>
  <si>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</si>
  <si>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</si>
  <si>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</si>
  <si>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</si>
  <si>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</si>
  <si>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</si>
  <si>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</si>
  <si>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</si>
  <si>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</si>
  <si>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</si>
  <si>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</si>
  <si>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</si>
  <si>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</si>
  <si>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</si>
  <si>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</si>
  <si>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</si>
  <si>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</si>
  <si>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</si>
  <si>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</si>
  <si>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</si>
  <si>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</si>
  <si>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</si>
  <si>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</si>
  <si>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</si>
  <si>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</si>
  <si>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</si>
  <si>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</si>
  <si>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</si>
  <si>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</si>
  <si>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</si>
  <si>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</si>
  <si>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</si>
  <si>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</si>
  <si>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</si>
  <si>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</si>
  <si>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</si>
  <si>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</si>
  <si>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</si>
  <si>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</si>
  <si>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</si>
  <si>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</si>
  <si>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</si>
  <si>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</si>
  <si>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</si>
  <si>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</si>
  <si>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</si>
  <si>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</si>
  <si>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</si>
  <si>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</si>
  <si>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</si>
  <si>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</si>
  <si>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</si>
  <si>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</si>
  <si>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</si>
  <si>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</si>
  <si>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</si>
  <si>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</si>
  <si>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</si>
  <si>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</si>
  <si>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</si>
  <si>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</si>
  <si>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</si>
  <si>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</si>
  <si>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</si>
  <si>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</si>
  <si>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</si>
  <si>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</si>
  <si>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</si>
  <si>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</si>
  <si>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</si>
  <si>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</si>
  <si>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</si>
  <si>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</si>
  <si>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</si>
  <si>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</si>
  <si>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</si>
  <si>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</si>
  <si>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</si>
  <si>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</si>
  <si>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</si>
  <si>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</si>
  <si>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</si>
  <si>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</si>
  <si>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</si>
  <si>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</si>
  <si>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</si>
  <si>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</si>
  <si>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</si>
  <si>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</si>
  <si>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</si>
  <si>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</si>
  <si>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</si>
  <si>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</si>
  <si>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</si>
  <si>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</si>
  <si>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</si>
  <si>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</si>
  <si>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</si>
  <si>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</si>
  <si>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</si>
  <si>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</si>
  <si>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</si>
  <si>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</si>
  <si>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</si>
  <si>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</si>
  <si>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</si>
  <si>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</si>
  <si>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</si>
  <si>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</si>
  <si>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</si>
  <si>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</si>
  <si>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</si>
  <si>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</si>
  <si>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</si>
  <si>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</si>
  <si>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</si>
  <si>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</si>
  <si>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</si>
  <si>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</si>
  <si>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</si>
  <si>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</si>
  <si>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</si>
  <si>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</si>
  <si>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</si>
  <si>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</si>
  <si>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</si>
  <si>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</si>
  <si>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</si>
  <si>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</si>
  <si>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</si>
  <si>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</si>
  <si>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</si>
  <si>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</si>
  <si>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</si>
  <si>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</si>
  <si>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</si>
  <si>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</si>
  <si>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</si>
  <si>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</si>
  <si>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</si>
  <si>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</si>
  <si>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</si>
  <si>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</si>
  <si>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</si>
  <si>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</si>
  <si>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</si>
  <si>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</si>
  <si>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</si>
  <si>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</si>
  <si>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</si>
  <si>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</si>
  <si>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</si>
  <si>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</si>
  <si>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</si>
  <si>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F1171FAW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</si>
  <si>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</si>
  <si>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</si>
  <si>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</si>
  <si>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</si>
  <si>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</si>
  <si>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</si>
  <si>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</si>
  <si>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</si>
  <si>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</si>
  <si>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</si>
  <si>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</si>
  <si>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</si>
  <si>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</si>
  <si>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</si>
  <si>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</si>
  <si>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</si>
  <si>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</si>
  <si>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</si>
  <si>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</si>
  <si>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</si>
  <si>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</si>
  <si>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</si>
  <si>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</si>
  <si>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</si>
  <si>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</si>
  <si>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</si>
  <si>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</si>
  <si>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</si>
  <si>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</si>
  <si>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</si>
  <si>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</si>
  <si>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</si>
  <si>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</si>
  <si>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</si>
  <si>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</si>
  <si>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</si>
  <si>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</si>
  <si>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</si>
  <si>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</si>
  <si>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</si>
  <si>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</si>
  <si>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</si>
  <si>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</si>
  <si>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</si>
  <si>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</si>
  <si>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</si>
  <si>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</si>
  <si>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</si>
  <si>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</si>
  <si>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</si>
  <si>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</si>
  <si>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</si>
  <si>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</si>
  <si>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</si>
  <si>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</si>
  <si>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</si>
  <si>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</si>
  <si>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</si>
  <si>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</si>
  <si>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</si>
  <si>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</si>
  <si>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</si>
  <si>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</si>
  <si>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</si>
  <si>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</si>
  <si>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</si>
  <si>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</si>
  <si>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</si>
  <si>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</si>
  <si>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</si>
  <si>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</si>
  <si>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</si>
  <si>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</si>
  <si>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</si>
  <si>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</si>
  <si>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</si>
  <si>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</si>
  <si>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</si>
  <si>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</si>
  <si>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</si>
  <si>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</si>
  <si>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</si>
  <si>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</si>
  <si>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</si>
  <si>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</si>
  <si>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</si>
  <si>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</si>
  <si>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K Aldridge (06/01/2012 - present)</t>
  </si>
  <si>
    <t>Mr Pedace (02/04/2015 -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</si>
  <si>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</si>
  <si>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</si>
  <si>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</si>
  <si>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</si>
  <si>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</si>
  <si>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</si>
  <si>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</si>
  <si>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</si>
  <si>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</si>
  <si>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</si>
  <si>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</si>
  <si>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</si>
  <si>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</si>
  <si>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</si>
  <si>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</si>
  <si>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</si>
  <si>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</si>
  <si>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</si>
  <si>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</si>
  <si>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</si>
  <si>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</si>
  <si>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</si>
  <si>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</si>
  <si>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</si>
  <si>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</si>
  <si>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</si>
  <si>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Mr A Young (08/04/2008 - present)</t>
  </si>
  <si>
    <t>Mr Jason Passmore (19/09/2016 - present)</t>
  </si>
  <si>
    <t>Mr Lewis (03/04/2013 - present)</t>
  </si>
  <si>
    <t>Michala Mason (30/11/2016 - present)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</si>
  <si>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</si>
  <si>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</si>
  <si>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</si>
  <si>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</si>
  <si>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</si>
  <si>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Supplier</t>
  </si>
  <si>
    <t>Management Fee at 6% - Flat 1, 321 London Road, Portsmouth</t>
  </si>
  <si>
    <t>Invoice</t>
  </si>
  <si>
    <t>Statement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</si>
  <si>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</si>
  <si>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</si>
  <si>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</si>
  <si>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</si>
  <si>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</si>
  <si>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</si>
  <si>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1, 169 Fawcett Road, Southsea</t>
  </si>
  <si>
    <t>Amount payable to Mr Mathew Tucker - Flat 1, 169 Fawcett Road, Southsea</t>
  </si>
  <si>
    <t>Management Fee at 6% - Flat 2, 169 Fawcett Road, Southsea</t>
  </si>
  <si>
    <t>Amount payable to Mr Mathew Tucker - Flat 2, 169 Fawcett Road, Southsea</t>
  </si>
  <si>
    <t>Management Fee at 6% - Flat 3, 169 Fawcett Road, Southsea</t>
  </si>
  <si>
    <t>Amount payable to Mr Mathew Tucker - Flat 3, 169 Fawcett Road, Southsea</t>
  </si>
  <si>
    <t>Management Fee at 6% - Flat 1, 171 Fawcett Road, Southsea</t>
  </si>
  <si>
    <t>Amount payable to Mr Mathew Tucker - Flat 1, 171 Fawcett Road, Southsea</t>
  </si>
  <si>
    <t>Management Fee at 6% - Flat 2, 171 Fawcett Road, Southsea</t>
  </si>
  <si>
    <t>Amount payable to Mr Mathew Tucker - Flat 2, 171 Fawcett Road, Southsea</t>
  </si>
  <si>
    <t>Management Fee at 6% - Flat 2, 163 Fratton Road, Portsmouth</t>
  </si>
  <si>
    <t>Amount payable to Mr Mathew Tucker - Flat 2, 163 Fratton Road, Portsmouth</t>
  </si>
  <si>
    <t>Management Fee at 6% - Flat 3, 163 Fratton Road, Portsmouth</t>
  </si>
  <si>
    <t>Amount payable to Mr Mathew Tucker - Flat 3, 163 Fratton Road, Portsmouth</t>
  </si>
  <si>
    <t>Management Fee at 6% - Flat 4, 163 Fratton Road, Portsmouth</t>
  </si>
  <si>
    <t>Amount payable to Mr Mathew Tucker - Flat 4, 163 Fratton Road, Portsmouth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</si>
  <si>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</si>
  <si>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</si>
  <si>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</si>
  <si>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</si>
  <si>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- 196b Kingston Road, Portsmouth</t>
  </si>
  <si>
    <t>Amount payable to Ms Ivana Valentino - 196b Kingston Road, Portsmouth</t>
  </si>
  <si>
    <t>Management Fee at 6% - 23b Hampshire Terrace, Portsmouth</t>
  </si>
  <si>
    <t>Amount payable to Mr Mathew Tucker - 23b Hampshire Terrace, Portsmouth</t>
  </si>
  <si>
    <t>Management Fee at 6% - 23c Hampshire Terrace, Portsmouth</t>
  </si>
  <si>
    <t>Amount payable to Ms Ivana Valentino - 23c Hampshire Terrace, Portsmouth</t>
  </si>
  <si>
    <t>Management Fee at 6% - Flat 5, 8 Alhambra Road, Southsea</t>
  </si>
  <si>
    <t>Amount payable to Mr Mathew Tucker - Flat 5, 8 Alhambra Road, Southsea</t>
  </si>
  <si>
    <t>Management Fee at 6% - Flat 6, 8 Alhambra Road, Southsea</t>
  </si>
  <si>
    <t>Amount payable to Mr Mathew Tucker - Flat 6, 8 Alhambra Road, Southsea</t>
  </si>
  <si>
    <t>Management Fee at 6% - Flat 7, 8 Alhambra Road, Southsea</t>
  </si>
  <si>
    <t>Amount payable to Ms Ivana Valentino - Flat 7, 8 Alhambra Road, Southsea</t>
  </si>
  <si>
    <t>Management Fee at 6% - Flat 8, 8 Alhambra Road, Southsea</t>
  </si>
  <si>
    <t>Amount payable to Ms Ivana Valentino - Flat 8, 8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</si>
  <si>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</si>
  <si>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</si>
  <si>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</si>
  <si>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</si>
  <si>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19, 4-6 Alhambra Road, Southsea</t>
  </si>
  <si>
    <t>Amount payable to Mr Mathew Tucker - Flat 19, 4-6 Alhambra Road, Southsea</t>
  </si>
  <si>
    <t>Management Fee at 6% - Flat 20, 4-6 Alhambra Road, Southsea</t>
  </si>
  <si>
    <t>Amount payable to Mr Mathew Tucker - Flat 20, 4-6 Alhambra Road, Southsea</t>
  </si>
  <si>
    <t>Management Fee at 6% - Flat 22, 4-6 Alhambra Road, Southsea</t>
  </si>
  <si>
    <t>Amount payable to Ms Ivana Valentino - Flat 22, 4-6 Alhambra Road, Southsea</t>
  </si>
  <si>
    <t>Rent for period 06/03/2017 - 05/04/2017 from Ms Sally Taylor - Flat 22, 4-6 Alhambra Road, Southsea</t>
  </si>
  <si>
    <t>Management Fee at 6% - Flat 3, 12-14 Alhambra Road, Southsea</t>
  </si>
  <si>
    <t>Amount payable to Ms Ivana Valentino - Flat 3, 12-14 Alhambra Road, Southsea</t>
  </si>
  <si>
    <t>Management Fee at 6% - Flat 5, 12-14 Alhambra Road, Southsea</t>
  </si>
  <si>
    <t>Amount payable to Ms Ivana Valentino - Flat 5, 12-14 Alhambra Road, Southsea</t>
  </si>
  <si>
    <t>Management Fee at 6% - Flat 7, 12-14 Alhambra Road, Southsea</t>
  </si>
  <si>
    <t>Amount payable to Mr Mathew Tucker - Flat 7, 12-14 Alhambra Road, Southsea</t>
  </si>
  <si>
    <t>Management Fee at 6% - Flat 10, 12-14 Alhambra Road, Southsea</t>
  </si>
  <si>
    <t>Amount payable to Mr Mathew Tucker - Flat 10, 12-14 Alhambra Road, Southsea</t>
  </si>
  <si>
    <t>Management Fee at 6% - Flat 11, 12-14 Alhambra Road, Southsea</t>
  </si>
  <si>
    <t>Amount payable to Ms Ivana Valentino - Flat 11, 12-14 Alhambra Road, Southsea</t>
  </si>
  <si>
    <t>Management Fee at 6% - Flat 14, 12-14 Alhambra Road, Southsea</t>
  </si>
  <si>
    <t>Amount payable to Mr Mathew Tucker - Flat 14, 12-14 Alhambra Road, Southsea</t>
  </si>
  <si>
    <t>Management Fee at 6% - Flat 16, 12-14 Alhambra Road, Southsea</t>
  </si>
  <si>
    <t>Amount payable to Ms Ivana Valentino - Flat 16, 12-14 Alhambra Road, Southsea</t>
  </si>
  <si>
    <t>Management Fee at 6% - Flat 1, 16-18 Alhambra Road, Southsea</t>
  </si>
  <si>
    <t>Amount payable to Mr Mathew Tucker - Flat 1, 16-18 Alhambra Road, Southsea</t>
  </si>
  <si>
    <t>Management Fee at 6% - Flat 3, 16-18 Alhambra Road, Southsea</t>
  </si>
  <si>
    <t>Amount payable to Ms Ivana Valentino - Flat 3, 16-18 Alhambra Road, Southsea</t>
  </si>
  <si>
    <t>Management Fee at 6% - Flat 6, 16-18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</si>
  <si>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</si>
  <si>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</si>
  <si>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</si>
  <si>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</si>
  <si>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13, 16-18 Alhambra Road, Southsea</t>
  </si>
  <si>
    <t>Amount payable to Mr Mathew Tucker - Flat 13, 16-18 Alhambra Road, Southsea</t>
  </si>
  <si>
    <t>Management Fee at 6% - Flat 16, 16-18 Alhambra Road, Southsea</t>
  </si>
  <si>
    <t>Amount payable to Ms Ivana Valentino - Flat 16, 16-18 Alhambra Road, Southsea</t>
  </si>
  <si>
    <t xml:space="preserve"> 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</si>
  <si>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</si>
  <si>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</si>
  <si>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</si>
  <si>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</si>
  <si>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</si>
  <si>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</si>
  <si>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</si>
  <si>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</si>
  <si>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</si>
  <si>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</si>
  <si>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</si>
  <si>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</si>
  <si>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</si>
  <si>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</si>
  <si>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</si>
  <si>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</si>
  <si>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</si>
  <si>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</si>
  <si>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PAYMENT</t>
  </si>
  <si>
    <t>BEALS ESTATE AGENT    196A KINGSTON ROAD BGC</t>
  </si>
  <si>
    <t>BEALS ESTATE AGENT    FLAT 3321 LONDON R BGC</t>
  </si>
  <si>
    <t>BEALS ESTATE AGENT    FLAT 1171 FAWCETT  BGC</t>
  </si>
  <si>
    <t>BEALS ESTATE AGENT    FLAT 1412-14 ALHAM BGC</t>
  </si>
  <si>
    <t>BHAM MIDSHIRES        020010556389/35299 DDR</t>
  </si>
  <si>
    <t>CASH</t>
  </si>
  <si>
    <t xml:space="preserve">CARDTRONICS UK LTD    BP - ELSTOW INTERC    </t>
  </si>
  <si>
    <t>BHAM MIDSHIRES        020009309942/35735 DDR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</si>
  <si>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</si>
  <si>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</si>
  <si>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</si>
  <si>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</si>
  <si>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</si>
  <si>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</si>
  <si>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</si>
  <si>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</si>
  <si>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</si>
  <si>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</si>
  <si>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174-6 ALHAMBR BGC</t>
  </si>
  <si>
    <t>BEALS ESTATE AGENT    FLAT 3163 FRATTON  BGC</t>
  </si>
  <si>
    <t>BEALS ESTATE AGENT    FLAT 712-14 ALHAMB BGC</t>
  </si>
  <si>
    <t>BEALS ESTATE AGENT    23B HAMPSHIRE TERR BGC</t>
  </si>
  <si>
    <t>BEALS ESTATE AGENT    FLAT 1012-14 ALHAM BGC</t>
  </si>
  <si>
    <t xml:space="preserve">FT 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</si>
  <si>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</si>
  <si>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</si>
  <si>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</si>
  <si>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</si>
  <si>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</si>
  <si>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</si>
  <si>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>BHAM MIDSHIRES        020003649652/41838 DDR</t>
  </si>
  <si>
    <t>BEALS ESTATE AGENT    FLAT 4163 FRATTON  BGC</t>
  </si>
  <si>
    <t>BHAM MIDSHIRES        020007882432/46801 DDR</t>
  </si>
  <si>
    <t>BEALS ESTATE AGENT    FLAT 204-6 ALHAMBR BGC</t>
  </si>
  <si>
    <t>G&amp;F VALENTINO         MTUCKER            STO</t>
  </si>
  <si>
    <t>BCC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</si>
  <si>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</si>
  <si>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</si>
  <si>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</si>
  <si>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</si>
  <si>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</si>
  <si>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</si>
  <si>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</si>
  <si>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</si>
  <si>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</si>
  <si>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</si>
  <si>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</si>
  <si>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</si>
  <si>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</si>
  <si>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</si>
  <si>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</si>
  <si>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</si>
  <si>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</si>
  <si>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</si>
  <si>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</si>
  <si>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</si>
  <si>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</si>
  <si>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</si>
  <si>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</si>
  <si>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</si>
  <si>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</si>
  <si>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</si>
  <si>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</si>
  <si>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</si>
  <si>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</si>
  <si>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</si>
  <si>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</si>
  <si>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</si>
  <si>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>BEALS ESTATE AGENT    FLAT 1216-18 ALHAM BGC</t>
  </si>
  <si>
    <t>BEALS ESTATE AGENT    FLAT 1112-14 ALHAM BGC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</si>
  <si>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</si>
  <si>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</si>
  <si>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</si>
  <si>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</si>
  <si>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 xml:space="preserve">205330 30728691       MOBILE-CHANNEL     FT </t>
  </si>
  <si>
    <t>MERCEDES-BENZ CARS    0376305421         DDR</t>
  </si>
  <si>
    <t>TUCK&amp;VALEN HSE%0 P    207409 40406538    STO</t>
  </si>
  <si>
    <t>Mr Robinson (15/05/2013 - present)</t>
  </si>
  <si>
    <t>Rent for period 23/04/2017 - 22/05/2017 from Mr David Connor - Flat 1, 321 London Road, Portsmouth</t>
  </si>
  <si>
    <t>Rent for period 26/04/2017 - 25/05/2017 from Miss Carol Carrington - Flat 4, 321 London Road, Portsmouth</t>
  </si>
  <si>
    <t>Rent for period 06/04/2017 - 05/05/2017 from Ms Susan Parkinson - Flat 1, 169 Fawcett Road, Southsea</t>
  </si>
  <si>
    <t>Rent for period 11/04/2017 - 10/05/2017 from Mr Lee Knowles - Flat 2, 169 Fawcett Road, Southsea</t>
  </si>
  <si>
    <t>Rent for period 02/04/2017 - 01/05/2017 from Mr Michael Pedace - Flat 2, 171 Fawcett Road, Southsea</t>
  </si>
  <si>
    <t>Rent for period 15/04/2017 - 14/05/2017 from Mr Peter Grant - Flat 2, 163 Fratton Road, Portsmouth</t>
  </si>
  <si>
    <t>Rent for period 14/04/2017 - 13/05/2017 from Mr Martin Brett - Flat 3, 163 Fratton Road, Portsmouth</t>
  </si>
  <si>
    <t>Rent for period 17/04/2017 - 16/05/2017 from Mr Nicholas Wright - Flat 4, 163 Fratton Road, Portsmouth</t>
  </si>
  <si>
    <t>Rent for period 14/04/2017 - 13/05/2017 from Ms Sharon Smith - Flat 5, 8 Alhambra Road, Southsea</t>
  </si>
  <si>
    <t>Rent for period 10/04/2017 - 09/05/2017 from Mr Johnathan Hill - Flat 17, 4-6 Alhambra Road, Southsea</t>
  </si>
  <si>
    <t>Rent for period 26/04/2017 - 25/05/2017 from Mrs Dionne McLaughlin - Flat 18, 4-6 Alhambra Road, Southsea</t>
  </si>
  <si>
    <t>Rent for period 20/04/2017 - 19/05/2017 from Miss Sinead OBrien - Flat 19, 4-6 Alhambra Road, Southsea</t>
  </si>
  <si>
    <t>Rent for period 16/03/2017 - 15/04/2017 from Miss Ausra Baziukiene - Flat 20, 4-6 Alhambra Road, Southsea</t>
  </si>
  <si>
    <t>Amount payable to Mr Mathew Tucker - Flat 4, 12-14 Alhambra Road, Southsea</t>
  </si>
  <si>
    <t>Rent for period 23/04/2017 - 22/05/2017 from Mr Michael Valverde - Flat 5, 12-14 Alhambra Road, Southsea</t>
  </si>
  <si>
    <t>Rent for period 14/04/2017 - 13/05/2017 from Mr Aleksandra Raadzevics - Flat 7, 12-14 Alhambra Road, Southsea</t>
  </si>
  <si>
    <t>Rent for period 20/04/2017 - 19/05/2017 from Mr Andrew England - Flat 10, 12-14 Alhambra Road, Southsea</t>
  </si>
  <si>
    <t>Rent for period 19/04/2017 - 18/05/2017 from Mr Peter Oakwell - Flat 11, 12-14 Alhambra Road, Southsea</t>
  </si>
  <si>
    <t>Rent for period 19/03/2017 - 18/04/2017 from Mr Aubrey Milligan - Flat 16, 12-14 Alhambra Road, Southsea</t>
  </si>
  <si>
    <t>Rent for period 05/04/2017 - 04/05/2017 from Mr Kit Conrad - Flat 1, 16-18 Alhambra Road, Southsea</t>
  </si>
  <si>
    <t>Rent for period 19/04/2017 - 18/05/2017 from Mr Jason Passmore - Flat 12, 16-18 Alhambra Road, Southsea</t>
  </si>
  <si>
    <t>Rent for period 03/04/2017 - 02/05/2017 from Mr Andrew Lewis - Flat 13, 16-18 Alhambra Road, Southsea</t>
  </si>
  <si>
    <t>Rent for period 30/12/2016 - 29/01/2017 from Miss Michala Mason - Flat 16, 16-18 Alhambra Road, Southsea</t>
  </si>
  <si>
    <t>Rent for period 21/04/2017 - 20/05/2017 from Ms Cherub Stark - Flat 3, 16-18 Alhambra Road, Southsea</t>
  </si>
  <si>
    <t>Rent for period 12/04/2017 - 11/05/2017 from Mr Peter Taperek - Flat 6, 16-18 Alhambra Road, Southsea</t>
  </si>
  <si>
    <t>tap and light - Ardent Building, Plumbing and Maintenance - Flat 6, 16-18 Alhambra Road, Southsea</t>
  </si>
  <si>
    <t>Rent for period 08/04/2017 - 07/05/2017 from Mr Alan Young - Flat 7, 16-18 Alhambra Road, Southsea</t>
  </si>
  <si>
    <t>BEALS ESTATE AGENT    FLAT 412-14 ALHAMB BGC</t>
  </si>
  <si>
    <t>Rent for period 23/05/2017 - 22/06/2017 from Mr David Connor - Flat 1, 321 London Road, Portsmouth</t>
  </si>
  <si>
    <t>no hot water - Ardent Building, Plumbing and Maintenance - Flat 19, 4-6 Alhambra Road, Southsea</t>
  </si>
  <si>
    <t>Rent for period 20/05/2017 - 19/06/2017 from Miss Sinead OBrien - Flat 19, 4-6 Alhambra Road, Southsea</t>
  </si>
  <si>
    <t>Rent for period 10/05/2017 - 09/06/2017 from Mr Johnathan Hill - Flat 17, 4-6 Alhambra Road, Southsea</t>
  </si>
  <si>
    <t>Rent for period 26/05/2017 - 25/06/2017 from Mrs Dionne McLaughlin - Flat 18, 4-6 Alhambra Road, Southsea</t>
  </si>
  <si>
    <t>Rent for period 20/05/2017 - 19/06/2017 from Mr Andrew England - Flat 10, 12-14 Alhambra Road, Southsea</t>
  </si>
  <si>
    <t>Repair to radiator and exractor fan - S Underwood Property Maintenance LTD - Flat 14, 12-14 Alhambra Road, Southsea</t>
  </si>
  <si>
    <t>Rent for period 06/05/2017 - 05/06/2017 from Mr Paul McIlwraith - Flat 14, 12-14 Alhambra Road, Southsea</t>
  </si>
  <si>
    <t>Deposit Registration Fee - Flat 4, 12-14 Alhambra Road, Southsea</t>
  </si>
  <si>
    <t>Rent for period 06/05/2017 - 05/06/2017 from Mr Tony Di-Marco - Flat 4, 12-14 Alhambra Road, Southsea</t>
  </si>
  <si>
    <t>Management Fee at 6% - Flat 4, 12-14 Alhambra Road, Southsea</t>
  </si>
  <si>
    <t>No Hot Water / Heating - D B Gas Services - Flat 4, 12-14 Alhambra Road, Southsea</t>
  </si>
  <si>
    <t>Investigate heating - Beals Plumbing - Flat 6, 16-18 Alhambra Road, Southsea</t>
  </si>
  <si>
    <t>PL2162</t>
  </si>
  <si>
    <t>Rent for period 12/05/2017 - 11/06/2017 from Mr Peter Taperek - Flat 6, 16-18 Alhambra Road, Southsea</t>
  </si>
  <si>
    <t>Rent for period 05/05/2017 - 04/06/2017 from Mr Kit Conrad - Flat 1, 16-18 Alhambra Road, Southsea</t>
  </si>
  <si>
    <t>Landlord gas safety - Beals Plumbing - Flat 11, 16-18 Alhambra Road, Southsea</t>
  </si>
  <si>
    <t>PL2156</t>
  </si>
  <si>
    <t>Receipt - Flat 11, 16-18 Alhambra Road, Southsea</t>
  </si>
  <si>
    <t>Receipt</t>
  </si>
  <si>
    <t>Rent for period 12/05/2017 - 11/06/2017 from Mr Sam Yates - Flat 11, 16-18 Alhambra Road, Southsea</t>
  </si>
  <si>
    <t>Amount payable to Mr Mathew Tucker - Flat 11, 16-18 Alhambra Road, Southsea</t>
  </si>
  <si>
    <t>Rent for period 03/05/2017 - 02/06/2017 from Mr Andrew Lewis - Flat 13, 16-18 Alhambra Road, Southsea</t>
  </si>
  <si>
    <t>Landlord gas safety - Beals Plumbing - Flat 13, 16-18 Alhambra Road, Southsea</t>
  </si>
  <si>
    <t>PL2186</t>
  </si>
  <si>
    <t>F2321LOND</t>
  </si>
  <si>
    <t>Rent for period 23/04/2017 - 22/05/2017 from Ms Sharon Briscoe - Flat 2, 321 London Road, Portsmouth</t>
  </si>
  <si>
    <t>Rent for period 23/05/2017 - 22/06/2017 from Ms Sharon Briscoe - Flat 2, 321 London Road, Portsmouth</t>
  </si>
  <si>
    <t>Rent for period 03/05/2017 - 02/06/2017 from Mr Joshua Brown - Flat 3, 321 London Road, Portsmouth</t>
  </si>
  <si>
    <t>Monthly Cleaning - FAC Contract Cleaning LTD - Flat 3, 321 London Road, Portsmouth</t>
  </si>
  <si>
    <t>Rent for period 26/05/2017 - 25/06/2017 from Miss Carol Carrington - Flat 4, 321 London Road, Portsmouth</t>
  </si>
  <si>
    <t>Rent for period 17/05/2017 - 16/06/2017 from Mr Nicholas Wright - Flat 4, 163 Fratton Road, Portsmouth</t>
  </si>
  <si>
    <t>Rent for period 02/05/2017 - 01/06/2017 from Mr Michael Pedace - Flat 2, 171 Fawcett Road, Southsea</t>
  </si>
  <si>
    <t>Rent for period 15/05/2017 - 14/06/2017 from Mr Graham Robinson - Flat 3, 169 Fawcett Road, Southsea</t>
  </si>
  <si>
    <t>Rent for period 11/05/2017 - 10/06/2017 from Mr Lee Knowles - Flat 2, 169 Fawcett Road, Southsea</t>
  </si>
  <si>
    <t>Oven ignition issue - Kingston Domestics - Flat 1, 169 Fawcett Road, Southsea</t>
  </si>
  <si>
    <t>Rent for period 06/05/2017 - 05/06/2017 from Ms Susan Parkinson - Flat 1, 169 Fawcett Road, Southsea</t>
  </si>
  <si>
    <t>Rent for period 11/05/2017 - 10/06/2017 from Mr Martin Gliszczynski (SIE-SOF T/A Pol Help) - Shop, 196 Kingston Road, Portsmouth</t>
  </si>
  <si>
    <t>196AKING</t>
  </si>
  <si>
    <t>Rent for period 01/05/2017 - 31/05/2017 from Ms Joyce Henson - 196a Kingston Road, Portsmouth</t>
  </si>
  <si>
    <t>Rent for period 08/05/2017 - 07/06/2017 from Mr Antony Raymond Hinks - Flat 6, 8 Alhambra Road, Southsea</t>
  </si>
  <si>
    <t>Rent for period 14/05/2017 - 13/06/2017 from Ms Sharon Smith - Flat 5, 8 Alhambra Road, Southsea</t>
  </si>
  <si>
    <t>Rent for period 14/05/2017 - 13/06/2017 from Miss Syasya Aristoteies - 23b Hampshire Terrace, Portsmouth</t>
  </si>
  <si>
    <t>Rent for period 14/05/2017 - 13/06/2017 from Mr Martin Brett - Flat 3, 163 Fratton Road, Portsmouth</t>
  </si>
  <si>
    <t>boiler leaking - Ardent Building, Plumbing and Maintenance - Flat 3, 163 Fratton Road, Portsmouth</t>
  </si>
  <si>
    <t>Rent for period 14/05/2017 - 13/06/2017 from Mr Aleksandra Raadzevics - Flat 7, 12-14 Alhambra Road, Southsea</t>
  </si>
  <si>
    <t>Rent for period 15/05/2017 - 14/06/2017 from Mr Peter Grant - Flat 2, 163 Fratton Road, Portsmouth</t>
  </si>
  <si>
    <t>drains - 24/7 Drainage solutions - Flat 2, 163 Fratton Road, Portsmouth</t>
  </si>
  <si>
    <t>Landlord gas safety - Beals Plumbing - Flat 1, 171 Fawcett Road, Southsea</t>
  </si>
  <si>
    <t>PL2164</t>
  </si>
  <si>
    <t>Rent for period 06/05/2017 - 05/06/2017 from Ms Kirstine Aldridge - Flat 1, 171 Fawcett Road, Southsea</t>
  </si>
  <si>
    <t>Rent for period 14/05/2017 - 13/06/2017 from Mr John Sharpe - 196b Kingston Road, Portsmouth</t>
  </si>
  <si>
    <t>broken cistern - Ardent Building, Plumbing and Maintenance - 23c Hampshire Terrace, Portsmouth</t>
  </si>
  <si>
    <t>Rent for period 14/05/2017 - 13/06/2017 from Miss Sandra Namataka - 23c Hampshire Terrace, Portsmouth</t>
  </si>
  <si>
    <t>Rent for period 05/05/2017 - 04/06/2017 from Miss Francis Brooker - Flat 7, 8 Alhambra Road, Southsea</t>
  </si>
  <si>
    <t>Rent for period 26/04/2017 - 25/05/2017 from Ms Lisa Pegg - Flat 8, 8 Alhambra Road, Southsea</t>
  </si>
  <si>
    <t>Rent for period 26/05/2017 - 25/06/2017 from Ms Lisa Pegg - Flat 8, 8 Alhambra Road, Southsea</t>
  </si>
  <si>
    <t>Rent for period 30/04/2017 - 29/05/2017 from Mr Benjamin Prior - Flat 21, 4-6 Alhambra Road, Southsea</t>
  </si>
  <si>
    <t>Management Fee at 6% - Flat 21, 4-6 Alhambra Road, Southsea</t>
  </si>
  <si>
    <t>Amount payable to Ms Ivana Valentino - Flat 21, 4-6 Alhambra Road, Southsea</t>
  </si>
  <si>
    <t>immersion heater - Ardent Building, Plumbing and Maintenance - Flat 21, 4-6 Alhambra Road, Southsea</t>
  </si>
  <si>
    <t>Rent for period 30/05/2017 - 29/06/2017 from Mr Benjamin Prior - Flat 21, 4-6 Alhambra Road, Southsea</t>
  </si>
  <si>
    <t>Rent for period 06/04/2017 - 05/05/2017 from Ms Sally Taylor - Flat 22, 4-6 Alhambra Road, Southsea</t>
  </si>
  <si>
    <t>Rent for period 08/05/2017 - 08/05/2017 from Mr Matt Tudor - Flat 3, 12-14 Alhambra Road, Southsea</t>
  </si>
  <si>
    <t>Rent for period 09/05/2017 - 08/06/2017 from Mr Matt Tudor - Flat 3, 12-14 Alhambra Road, Southsea</t>
  </si>
  <si>
    <t>Smoke Detector - R S Electrical - Flat 3, 12-14 Alhambra Road, Southsea</t>
  </si>
  <si>
    <t>Boiler - D B Gas Services - Flat 3, 12-14 Alhambra Road, Southsea</t>
  </si>
  <si>
    <t>boiler quote (check Out) - D B Gas Services - Flat 3, 12-14 Alhambra Road, Southsea</t>
  </si>
  <si>
    <t>Rent for period 23/05/2017 - 22/06/2017 from Mr Michael Valverde - Flat 5, 12-14 Alhambra Road, Southsea</t>
  </si>
  <si>
    <t>Landlord Gas Safety - Beals Plumbing - Flat 11, 12-14 Alhambra Road, Southsea</t>
  </si>
  <si>
    <t>PL2195</t>
  </si>
  <si>
    <t>Rent for period 19/05/2017 - 18/06/2017 from Mr Peter Oakwell - Flat 11, 12-14 Alhambra Road, Southsea</t>
  </si>
  <si>
    <t>kitchen waste and sink trap - S Underwood Maintenance &amp; Home Improvements - Flat 11, 12-14 Alhambra Road, Southsea</t>
  </si>
  <si>
    <t>Rent for period 19/04/2017 - 18/05/2017 from Mr Aubrey Milligan - Flat 16, 12-14 Alhambra Road, Southsea</t>
  </si>
  <si>
    <t>Rent for period 21/05/2017 - 20/06/2017 from Ms Cherub Stark - Flat 3, 16-18 Alhambra Road, Southsea</t>
  </si>
  <si>
    <t>Rent for period 08/05/2017 - 07/06/2017 from Mr Alan Young - Flat 7, 16-18 Alhambra Road, Southsea</t>
  </si>
  <si>
    <t>Landlord gas safety - Beals Plumbing - Flat 12, 16-18 Alhambra Road, Southsea</t>
  </si>
  <si>
    <t>PL2183</t>
  </si>
  <si>
    <t>Rent for period 19/05/2017 - 18/06/2017 from Mr Jason Passmore - Flat 12, 16-18 Alhambra Road, Southsea</t>
  </si>
  <si>
    <t>Rent for period 09/05/2017 - 08/06/2017 from Mr Nick Olsen - Flat 3, 171 Fawcett Road, Southsea</t>
  </si>
  <si>
    <t>Management Fee at 6% - Flat 3, 171 Fawcett Road, Southsea</t>
  </si>
  <si>
    <t>Amount payable to Ms Ivana Valentino - Flat 3, 171 Fawcett Road, Southsea</t>
  </si>
  <si>
    <t>SPORTSDIRECT.COM      ON 30 APR          BCC</t>
  </si>
  <si>
    <t>PP*AMPTHILLPAR        ON 30 APR          BCC</t>
  </si>
  <si>
    <t>BHAM MIDSHIRES        020002731371/28015 DDR</t>
  </si>
  <si>
    <t>EE &amp; T-MOBILE         Q13077400714678723 DDR</t>
  </si>
  <si>
    <t>T K MAXX              ON 02 MAY          BCC</t>
  </si>
  <si>
    <t>JOHNSON CLEANERS      ON 02 MAY          BCC</t>
  </si>
  <si>
    <t>TESCO STORE 2547      ON 02 MAY          BCC</t>
  </si>
  <si>
    <t>MORTGAGE EXPRESS      2016485130022037   DDR</t>
  </si>
  <si>
    <t>MORTGAGE EXPRESS      2016485040022037   DDR</t>
  </si>
  <si>
    <t>MORTGAGE EXPRESS      2007545250022037   DDR</t>
  </si>
  <si>
    <t>MORTGAGE EXPRESS      2007107760022037   DDR</t>
  </si>
  <si>
    <t>MORTGAGE EXPRESS      2007093450022037   DDR</t>
  </si>
  <si>
    <t>MORTGAGE EXPRESS      2007093360022037   DDR</t>
  </si>
  <si>
    <t>MORTGAGE EXPRESS      2006372640022037   DDR</t>
  </si>
  <si>
    <t>MORTGAGE EXPRESS      0019966240022037   DDR</t>
  </si>
  <si>
    <t>MORTGAGE EXPRESS      0018724700022037   DDR</t>
  </si>
  <si>
    <t>MORTGAGE EXPRESS      0017031550022037   DDR</t>
  </si>
  <si>
    <t>MORTGAGE EXPRESS      0016470530022037   DDR</t>
  </si>
  <si>
    <t>MORTGAGE EXPRESS      0015866140022037   DDR</t>
  </si>
  <si>
    <t>PORTSMOUTH CITY CO    104057864          BBP</t>
  </si>
  <si>
    <t xml:space="preserve">BEALS                 MTUCKER F111618ALH FT </t>
  </si>
  <si>
    <t>JS ONLINE GROCERY     ON 07 MAY          BCC</t>
  </si>
  <si>
    <t>NEW COUNTY SERVICE    ON 06 MAY          BCC</t>
  </si>
  <si>
    <t>BP BEDFORD EXPRESS    ON 06 MAY          BCC</t>
  </si>
  <si>
    <t>PP*AMPTHILLPAR        ON 07 MAY          BCC</t>
  </si>
  <si>
    <t>WWW.JOHNLEWIS.COM     ON 08 MAY          BCC</t>
  </si>
  <si>
    <t>B &amp; Q 1142            ON 08 MAY          BCC</t>
  </si>
  <si>
    <t>K S SAXBY             ON 10 MAY          BCC</t>
  </si>
  <si>
    <t>WINCHESTER SOUTH C    ON 13 MAY          CLP</t>
  </si>
  <si>
    <t>KASSIA                ON 13 MAY          CLP</t>
  </si>
  <si>
    <t>GIN AND OLIVE         ON 14 MAY          CLP</t>
  </si>
  <si>
    <t>FEATHERS 027464       ON 12 MAY          CLP</t>
  </si>
  <si>
    <t>M&amp;S SIMPLY FOOD       ON 13 MAY          CLP</t>
  </si>
  <si>
    <t>NEW COUNTY SERVICE    ON 14 MAY          CLP</t>
  </si>
  <si>
    <t>NEW COUNTY SERVICE    ON 12 MAY          CLP</t>
  </si>
  <si>
    <t xml:space="preserve">CARDTRONICS UK LTD    .                     </t>
  </si>
  <si>
    <t>TSGN                  ON 12 MAY          BCC</t>
  </si>
  <si>
    <t>INDIGO PARK SOLUTI    ON 12 MAY          BCC</t>
  </si>
  <si>
    <t>LAND ROVER FS         579452160          DDR</t>
  </si>
  <si>
    <t>PORTSMOUTH CITY CO    104126834          BBP</t>
  </si>
  <si>
    <t>SOUTHERN ELECTRIC     1410117012         BBP</t>
  </si>
  <si>
    <t>SOUTHERN ELECTRIC     6882766014         BBP</t>
  </si>
  <si>
    <t>GRAFHAM CYCLING       ON 16 MAY          CLP</t>
  </si>
  <si>
    <t>LLOYDS PHARMACY       ON 16 MAY          BCC</t>
  </si>
  <si>
    <t>REM</t>
  </si>
  <si>
    <t>10MILTON KEYNES    REM</t>
  </si>
  <si>
    <t>THE WHEATSHEAF        ON 16 MAY          CLP</t>
  </si>
  <si>
    <t>HERTZ UK LIMITED      ON 16 MAY          BCC</t>
  </si>
  <si>
    <t>MBNA LTD              160517CBR000407934 BGC</t>
  </si>
  <si>
    <t>BEALS ESTATE AGENT    FLAT 1116-18 ALHAM BGC</t>
  </si>
  <si>
    <t>PRET A MANGER         ON 18 MAY          CLP</t>
  </si>
  <si>
    <t>MKC PARKING RINGGO    ON 18 MAY          BCC</t>
  </si>
  <si>
    <t>WWW.JUST-EAT.CO.UK    ON 21 MAY          BCC</t>
  </si>
  <si>
    <t>PP*AMPTHILLPAR        ON 21 MAY          BCC</t>
  </si>
  <si>
    <t>TESCO STORE 2547      ON 22 MAY          CLP</t>
  </si>
  <si>
    <t>NEXT DIRECTORY        ON 20 MAY          BCC</t>
  </si>
  <si>
    <t>TESCO STORE 2105      ON 22 MAY          BCC</t>
  </si>
  <si>
    <t>NEW COUNTY SERVICE    ON 22 MAY          BCC</t>
  </si>
  <si>
    <t>RIVER ISLAND 400      ON 23 MAY          BCC</t>
  </si>
  <si>
    <t>NEXT RETAIL LTD       ON 23 MAY          BCC</t>
  </si>
  <si>
    <t>REBECCA L FARET SO    ON 23 MAY          BCC</t>
  </si>
  <si>
    <t>PUSH DOCTOR PREMIU    ON 23 MAY          BCC</t>
  </si>
  <si>
    <t>PARCELFORCE WORLDW    ON 24 MAY          BCC</t>
  </si>
  <si>
    <t xml:space="preserve">EDEL OPTIC            GERMANY               </t>
  </si>
  <si>
    <t>RIVER ISLAND 252      ON 26 MAY          BCC</t>
  </si>
  <si>
    <t>T K MAXX              ON 29 MAY          BCC</t>
  </si>
  <si>
    <t>NEXT RETAIL LTD       ON 29 MAY          BCC</t>
  </si>
  <si>
    <t>BOOTS 6407            ON 29 MAY          CLP</t>
  </si>
  <si>
    <t>THE WORKS             ON 26 MAY          CLP</t>
  </si>
  <si>
    <t>HUGO BOSS             ON 26 MAY          BCC</t>
  </si>
  <si>
    <t>NEXT MILTON KEYNES    ON 26 MAY          BCC</t>
  </si>
  <si>
    <t>BOOTS OPTICIANS       ON 29 MAY          BCC</t>
  </si>
  <si>
    <t>ARGOS                 ON 29 MAY          BCC</t>
  </si>
  <si>
    <t>PUSHDOCTOR            ON 26 MAY          BCC</t>
  </si>
  <si>
    <t>THE SHUTTLEWORTH      ON 27 MAY          BCC</t>
  </si>
  <si>
    <t>MKC PARKING RINGGO    ON 26 MAY          BCC</t>
  </si>
  <si>
    <t>W H SMITH             ON 30 MAY          CLP</t>
  </si>
  <si>
    <t>PRET A MANGER         ON 30 MAY          BCC</t>
  </si>
  <si>
    <t>MORTGAGE TRUST        002197389 10100130 DDR</t>
  </si>
  <si>
    <t>MORTGAGE TRUST        002186357 10100130 DDR</t>
  </si>
  <si>
    <t>MORTGAGE TRUST        002186356 10100130 DDR</t>
  </si>
  <si>
    <t>MORTGAGE TRUST        002186317 10100130 DDR</t>
  </si>
  <si>
    <t>MORTGAGE EXPRESS      2007093270022036   DDR</t>
  </si>
  <si>
    <t>THE HARPUR TRUST D    TUCKM8  PVALA1     DDR</t>
  </si>
  <si>
    <t>THE HARPUR TRUST D    TUCKM8  BVALR8     DDR</t>
  </si>
  <si>
    <t>THE HARPUR TRUST D    TUCKMS  GVALS1     DDR</t>
  </si>
  <si>
    <t>MORTGAGE EXPRESS      2016485220022037   DDR</t>
  </si>
  <si>
    <t>OTH</t>
  </si>
  <si>
    <t xml:space="preserve">41FLITWICK            </t>
  </si>
  <si>
    <t xml:space="preserve">44FLITWICK            </t>
  </si>
  <si>
    <t>EE &amp; T-MOBILE         Q20664165718453618 DDR</t>
  </si>
  <si>
    <t>MORTGAGE EXPRESS      2008784100022049   DDR</t>
  </si>
  <si>
    <t>MORTGAGE EXPRESS      2007664780022049   DDR</t>
  </si>
  <si>
    <t>MORTGAGE EXPRESS      2007545340022049   DDR</t>
  </si>
  <si>
    <t>MORTGAGE EXPRESS      2007544710022049   DDR</t>
  </si>
  <si>
    <t>MORTGAGE EXPRESS      2007107670022049   DDR</t>
  </si>
  <si>
    <t>MORTGAGE EXPRESS      2006332310022049   DDR</t>
  </si>
  <si>
    <t>MORTGAGE EXPRESS      2005787290022049   DDR</t>
  </si>
  <si>
    <t>BT GROUP PLC          GB14092007-000032  DDR</t>
  </si>
  <si>
    <t>MARKS&amp;SPENCER PLC     ON 29 APR          CLP</t>
  </si>
  <si>
    <t>BP BEDFORD EXPRESS    ON 27 APR          CLP</t>
  </si>
  <si>
    <t>TESCO STORE 2105      ON 01 MAY          CLP</t>
  </si>
  <si>
    <t>CO-OP GROUP 310252    ON 30 APR          CLP</t>
  </si>
  <si>
    <t>CO-OP GROUP 310244    ON 30 APR          CLP</t>
  </si>
  <si>
    <t>BP BEDFORD EXPRESS    ON 28 APR          CLP</t>
  </si>
  <si>
    <t>COSTA COFFEE          ON 28 APR          CLP</t>
  </si>
  <si>
    <t>TESCO STORES 6579     ON 28 APR          CLP</t>
  </si>
  <si>
    <t>BP BEDFORD EXPRESS    ON 29 APR          BCC</t>
  </si>
  <si>
    <t>JOHN LEWIS            ON 28 APR          BCC</t>
  </si>
  <si>
    <t>CURRYS S/S            ON 01 MAY          BCC</t>
  </si>
  <si>
    <t>BODY FLIGHT LTD       ON 29 APR          BCC</t>
  </si>
  <si>
    <t>MKC PARKING RINGGO    ON 28 APR          BCC</t>
  </si>
  <si>
    <t>H3G                   976046856201270417 DDR</t>
  </si>
  <si>
    <t>TESCO STORE 2105      ON 02 MAY          CLP</t>
  </si>
  <si>
    <t>ONE CALL INSURANCE    ON 02 MAY          BCC</t>
  </si>
  <si>
    <t>WAITROSE 722          ON 02 MAY          BCC</t>
  </si>
  <si>
    <t>BP BEDFORD EXPRESS    ON 02 MAY          CLP</t>
  </si>
  <si>
    <t xml:space="preserve">S BARNES              ROCCO              FT </t>
  </si>
  <si>
    <t>WIXAMS STORES LTD     ON 03 MAY          CLP</t>
  </si>
  <si>
    <t>WM MORRISON PETROL    ON 04 MAY          BCC</t>
  </si>
  <si>
    <t>BP BEDFORD EXPRESS    ON 04 MAY          CLP</t>
  </si>
  <si>
    <t>WILSTEAD TANDOORI     ON 06 MAY          CLP</t>
  </si>
  <si>
    <t>MARKS&amp;SPENCER PLC     ON 05 MAY          BCC</t>
  </si>
  <si>
    <t>OUTFIT                ON 05 MAY          BCC</t>
  </si>
  <si>
    <t>WIXAMS STORES LTD     ON 08 MAY          CLP</t>
  </si>
  <si>
    <t>POST OFFICE COUNTE    ON 08 MAY          CLP</t>
  </si>
  <si>
    <t>LIDL UK               ON 08 MAY          CLP</t>
  </si>
  <si>
    <t>CLOPHILL P O &amp; STO    ON 08 MAY          BCC</t>
  </si>
  <si>
    <t>WM MORRISON PLC       ON 09 MAY          CLP</t>
  </si>
  <si>
    <t>D'PARYS               ON 09 MAY          CLP</t>
  </si>
  <si>
    <t>COSTA COFFEE 43035    ON 09 MAY          CLP</t>
  </si>
  <si>
    <t>CURRYS S/S            ON 09 MAY          BCC</t>
  </si>
  <si>
    <t>TESCO STORE 2105      ON 09 MAY          BCC</t>
  </si>
  <si>
    <t>MARKS&amp;SPENCER PLC     ON 10 MAY          CLP</t>
  </si>
  <si>
    <t>MCDONALDS             ON 10 MAY          CLP</t>
  </si>
  <si>
    <t>SPORTSDIRECT 233      ON 11 MAY          CLP</t>
  </si>
  <si>
    <t>TESCO STORE 2105      ON 11 MAY          CLP</t>
  </si>
  <si>
    <t>MARKS&amp;SPENCER PLC     ON 11 MAY          CLP</t>
  </si>
  <si>
    <t>IZ *THE PAVILION T    ON 11 MAY          CLP</t>
  </si>
  <si>
    <t>TESCO STORE 2105      ON 11 MAY          BCC</t>
  </si>
  <si>
    <t>MARKS&amp;SPENCER PLC     ON 11 MAY          BCC</t>
  </si>
  <si>
    <t>MARKS&amp;SPENCER PLC     ON 14 MAY          CLP</t>
  </si>
  <si>
    <t>T K MAXX              ON 13 MAY          CLP</t>
  </si>
  <si>
    <t>BP BEDFORD EXPRESS    ON 11 MAY          CLP</t>
  </si>
  <si>
    <t>MARKS&amp;SPENCER PLC     ON 12 MAY          CLP</t>
  </si>
  <si>
    <t>BP BEDFORD EXPRESS    ON 13 MAY          CLP</t>
  </si>
  <si>
    <t>COSTA COFFEE 43035    ON 12 MAY          CLP</t>
  </si>
  <si>
    <t>WIXAMS STORES LTD     ON 13 MAY          CLP</t>
  </si>
  <si>
    <t>BP BEDFORD EXPRESS    ON 12 MAY          CLP</t>
  </si>
  <si>
    <t xml:space="preserve">NOTEMACHINE           KASH'S BUDGENS        </t>
  </si>
  <si>
    <t>PRIMARK               ON 13 MAY          BCC</t>
  </si>
  <si>
    <t>CLAIRE'S ACCESSORI    ON 13 MAY          BCC</t>
  </si>
  <si>
    <t>BP BEDFORD EXPRESS    ON 14 MAY          BCC</t>
  </si>
  <si>
    <t>SPORTSDIRECT 233      ON 16 MAY          BCC</t>
  </si>
  <si>
    <t>BP BEDFORD EXPRESS    ON 16 MAY          CLP</t>
  </si>
  <si>
    <t>WIXAMS STORES LTD     ON 17 MAY          CLP</t>
  </si>
  <si>
    <t>MCDONALDS             ON 17 MAY          CLP</t>
  </si>
  <si>
    <t>TESCO STORES-2105     ON 17 MAY          BCC</t>
  </si>
  <si>
    <t>BOOTS 6407            ON 18 MAY          CLP</t>
  </si>
  <si>
    <t>TESCO STORE 2105      ON 18 MAY          CLP</t>
  </si>
  <si>
    <t>NEW COUNTY SERVICE    ON 18 MAY          CLP</t>
  </si>
  <si>
    <t>COSTA COFFEE 43035    ON 18 MAY          CLP</t>
  </si>
  <si>
    <t>GO OUTDOORS           ON 18 MAY          BCC</t>
  </si>
  <si>
    <t>NEXT RETAIL LTD       ON 18 MAY          BCC</t>
  </si>
  <si>
    <t>NEW COUNTY SERVICE    ON 18 MAY          BCC</t>
  </si>
  <si>
    <t>THE CLARKS SHOP       ON 18 MAY          BCC</t>
  </si>
  <si>
    <t>TESCO STORE 2105      ON 18 MAY          BCC</t>
  </si>
  <si>
    <t>MARKS&amp;SPENCER PLC     ON 19 MAY          CLP</t>
  </si>
  <si>
    <t>BOOTS 6407            ON 19 MAY          CLP</t>
  </si>
  <si>
    <t>TESCO STORES 6579     ON 19 MAY          CLP</t>
  </si>
  <si>
    <t>T K MAXX              ON 19 MAY          CLP</t>
  </si>
  <si>
    <t>JOHN LEWIS            ON 21 MAY          BCC</t>
  </si>
  <si>
    <t>T K MAXX              ON 19 MAY          BCC</t>
  </si>
  <si>
    <t>PIZZA HUT 329         ON 20 MAY          BCC</t>
  </si>
  <si>
    <t>NEXT MILTON KEYNES    ON 21 MAY          BCC</t>
  </si>
  <si>
    <t>INDIGO PARK SVS UK    ON 21 MAY          BCC</t>
  </si>
  <si>
    <t>MARKS&amp;SPENCER PLC     ON 22 MAY          CLP</t>
  </si>
  <si>
    <t>BOOTS 6407            ON 22 MAY          CLP</t>
  </si>
  <si>
    <t>COSTA COFFEE 43035    ON 22 MAY          CLP</t>
  </si>
  <si>
    <t>TESCO STORES 6579     ON 22 MAY          CLP</t>
  </si>
  <si>
    <t>WWW.JOHNLEWIS.COM     ON 22 MAY          BCC</t>
  </si>
  <si>
    <t>BOOTS 6407            ON 22 MAY          BCC</t>
  </si>
  <si>
    <t>MARKS&amp;SPENCER PLC     ON 23 MAY          CLP</t>
  </si>
  <si>
    <t>BP NEWHAM AVENUE C    ON 22 MAY          BCC</t>
  </si>
  <si>
    <t>T K MAXX              ON 23 MAY          BCC</t>
  </si>
  <si>
    <t>JOHN LEWIS            ON 24 MAY          BCC</t>
  </si>
  <si>
    <t>DUNELM (SOFT FURNI    ON 24 MAY          BCC</t>
  </si>
  <si>
    <t>MCDONALDS             ON 24 MAY          CLP</t>
  </si>
  <si>
    <t>THE NEWSAGENT         ON 24 MAY          CLP</t>
  </si>
  <si>
    <t>MKC PARKING RINGGO    ON 24 MAY          BCC</t>
  </si>
  <si>
    <t>BP BEDFORD EXPRESS    ON 24 MAY          CLP</t>
  </si>
  <si>
    <t>IZ *THE PAVILION T    ON 25 MAY          CLP</t>
  </si>
  <si>
    <t>MCDONALDS             ON 25 MAY          CLP</t>
  </si>
  <si>
    <t>MARKS&amp;SPENCER PLC     ON 25 MAY          BCC</t>
  </si>
  <si>
    <t>DUNELM (SOFT FURNI    ON 26 MAY          BCC</t>
  </si>
  <si>
    <t>MARKS&amp;SPENCER PLC     ON 28 MAY          BCC</t>
  </si>
  <si>
    <t>CMT (UK) LTD - GLA    ON 27 MAY          CLP</t>
  </si>
  <si>
    <t>CMT (UK) LTD - GLA    ON 28 MAY          CLP</t>
  </si>
  <si>
    <t>MARKS&amp;SPENCER PLC     ON 28 MAY          CLP</t>
  </si>
  <si>
    <t>PRET A MANGER         ON 28 MAY          CLP</t>
  </si>
  <si>
    <t>MARKS&amp;SPENCER PLC     ON 29 MAY          CLP</t>
  </si>
  <si>
    <t>MCDONALDS             ON 26 MAY          CLP</t>
  </si>
  <si>
    <t>MARKS&amp;SPENCER PLC     ON 27 MAY          CLP</t>
  </si>
  <si>
    <t>CRAVIN                ON 27 MAY          CLP</t>
  </si>
  <si>
    <t>Indigo Park Servic    ON 28 MAY          CLP</t>
  </si>
  <si>
    <t>BP BEDFORD EXPRESS    ON 26 MAY          CLP</t>
  </si>
  <si>
    <t>WM MORRISON STORE     ON 26 MAY          BCC</t>
  </si>
  <si>
    <t>MARKS&amp;SPENCER PLC     ON 27 MAY          BCC</t>
  </si>
  <si>
    <t>BOOTS 6407            ON 29 MAY          BCC</t>
  </si>
  <si>
    <t>TESCO STORE 2547      ON 27 MAY          BCC</t>
  </si>
  <si>
    <t>BP BEDFORD EXPRESS    ON 26 MAY          BCC</t>
  </si>
  <si>
    <t>MKC PARKING RINGGO    ON 28 MAY          BCC</t>
  </si>
  <si>
    <t>H3G                   976046856201250517 DDR</t>
  </si>
  <si>
    <t>decoration - S Underwood Property Maintenance LTD - Flat 11, 16-18 Alhambra Road, Southsea</t>
  </si>
  <si>
    <t>Landlords 321 London Rd</t>
  </si>
  <si>
    <t>Landlords 169 Fawcett Rd</t>
  </si>
  <si>
    <t>Flat 11 16-18</t>
  </si>
  <si>
    <t>Flat 4 12-14</t>
  </si>
  <si>
    <t>321LON</t>
  </si>
  <si>
    <t>169FAW</t>
  </si>
  <si>
    <t>X</t>
  </si>
  <si>
    <t>BK</t>
  </si>
  <si>
    <t>BK,MT</t>
  </si>
  <si>
    <t>BK,PM,EX</t>
  </si>
  <si>
    <t>RT</t>
  </si>
  <si>
    <t>MF</t>
  </si>
  <si>
    <t>PM</t>
  </si>
  <si>
    <t>EX</t>
  </si>
  <si>
    <t>321 London Rd</t>
  </si>
  <si>
    <t>169 Fawcett Rd</t>
  </si>
  <si>
    <t>Mr N Olsen (09/06/2014 - present)</t>
  </si>
  <si>
    <t>Mr Prior (30/03/2016 - present)</t>
  </si>
  <si>
    <t>Tony Di-Marco (06/05/2017 - present)</t>
  </si>
  <si>
    <t>Sam Yates (12/05/2017 -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</si>
  <si>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</si>
  <si>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</si>
  <si>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</si>
  <si>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</si>
  <si>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</si>
  <si>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</si>
  <si>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</si>
  <si>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</si>
  <si>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</si>
  <si>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Communal Clean for 31st March 2017 - Dab Hand Cleaning - Flat 10, 12-14 Alhambra Road, Southsea</t>
  </si>
  <si>
    <t>JOINED</t>
  </si>
  <si>
    <t>Cash transfer - Refund for Court Summons on Flat 4 12-14 Alhambra Road</t>
  </si>
  <si>
    <t>Refund Fees: Refund for Court Summons on Flat 4 12-14 Alhambra Road - Flat 14, 12-14 Alhambra Road, Southsea</t>
  </si>
  <si>
    <t>Refund Fees: Refund for Court Summons - Flat 4, 12-14 Alhambra Road, Southsea</t>
  </si>
  <si>
    <t>Fire alarm mainteannce and emergency lighting - Express Electrical - Flat 4, 12-14 Alhambra Road, Southsea</t>
  </si>
  <si>
    <t>fridge issues - Kingston Domestics - Flat 2, 171 Fawcett Road, Southsea</t>
  </si>
  <si>
    <t>communal lights - Express Electrical - Flat 2, 171 Fawcett Road, Southsea</t>
  </si>
  <si>
    <t>Curtain pole to be put back up  - S Underwood Property Maintenance LTD - Flat 2, 171 Fawcett Road, Southsea</t>
  </si>
  <si>
    <t>Communal Clean for 31st March 2017 - Dab Hand Cleaning - 23b Hampshire Terrace, Portsmouth</t>
  </si>
  <si>
    <t>Communal Clean for 31st March 2017 - Dab Hand Cleaning - Flat 3,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</si>
  <si>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</si>
  <si>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</si>
  <si>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</si>
  <si>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</si>
  <si>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</si>
  <si>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</si>
  <si>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</si>
  <si>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</si>
  <si>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</si>
  <si>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Kids</t>
  </si>
  <si>
    <t>?</t>
  </si>
  <si>
    <t>Doctor</t>
  </si>
  <si>
    <t>Clothes</t>
  </si>
  <si>
    <t>Me</t>
  </si>
  <si>
    <t>Park kids</t>
  </si>
  <si>
    <t>Duvet</t>
  </si>
  <si>
    <t>Sports clothes</t>
  </si>
  <si>
    <t>Dentist Penalty</t>
  </si>
  <si>
    <t>Rail</t>
  </si>
  <si>
    <t>Rail parking</t>
  </si>
  <si>
    <t>Customs</t>
  </si>
  <si>
    <t>Holiday</t>
  </si>
  <si>
    <t>{"Holiday","Kids"}</t>
  </si>
  <si>
    <t>{"*4040*","NEW COUNTY*","TESCO STORE*","BP BEDFORD EXPRESS*","JS ONLINE*","CO-OP*","*BOOTS OPTICIANS*","*SHUTTLEWORTH*","*AMPTHILL*"}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</si>
</sst>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0" fontId="22" fillId="0" borderId="0" xfId="0" applyFont="1"/>
    <xf numFmtId="14" fontId="0" fillId="0" borderId="0" xfId="0" applyNumberFormat="1"/>
    <xf numFmtId="0" fontId="0" fillId="0" borderId="0" xfId="0" applyFont="1" applyFill="1"/>
    <xf numFmtId="0" fontId="0" fillId="8" borderId="0" xfId="0" applyFill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zoomScale="70" zoomScaleNormal="70" workbookViewId="0">
      <selection activeCell="B41" sqref="B41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42886</v>
      </c>
    </row>
    <row r="4" spans="1:22" ht="14.25" x14ac:dyDescent="0.2">
      <c r="A4" s="9"/>
      <c r="B4" s="9"/>
    </row>
    <row r="5" spans="1:22" ht="14.25" customHeight="1" x14ac:dyDescent="0.2">
      <c r="A5" s="61" t="s">
        <v>550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553</v>
      </c>
      <c r="M7" s="31" t="s">
        <v>554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1117</v>
      </c>
      <c r="B9" s="44" t="s">
        <v>555</v>
      </c>
      <c r="C9" s="45"/>
      <c r="D9" s="81"/>
      <c r="E9" s="81"/>
      <c r="F9" s="82"/>
      <c r="G9" s="83"/>
      <c r="H9" s="83"/>
      <c r="I9" s="84"/>
      <c r="J9" s="87"/>
      <c r="K9" s="85"/>
      <c r="L9" s="84">
        <v>66.14</v>
      </c>
      <c r="M9" s="128">
        <f>IF(F9-G9-H9-I9-L9&lt;&gt;0, F9-G9-H9-I9-L9,"")</f>
        <v>-66.14</v>
      </c>
      <c r="N9" s="47"/>
      <c r="O9" s="82"/>
      <c r="P9" s="46">
        <f t="shared" ref="P9:P20" si="0">IFERROR(IF(M9-O9&lt;&gt;0,M9-O9,""),-O9)</f>
        <v>-66.14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555</v>
      </c>
      <c r="C10" s="27"/>
      <c r="D10" s="81"/>
      <c r="E10" s="85"/>
      <c r="F10" s="86"/>
      <c r="G10" s="83"/>
      <c r="H10" s="83"/>
      <c r="I10" s="84"/>
      <c r="J10" s="87"/>
      <c r="K10" s="85"/>
      <c r="L10" s="84"/>
      <c r="M10" s="128" t="str">
        <f t="shared" ref="M10:M63" si="1">IF(F10-G10-H10-I10-L10&lt;&gt;0, F10-G10-H10-I10-L10,"")</f>
        <v/>
      </c>
      <c r="N10" s="47" t="s">
        <v>259</v>
      </c>
      <c r="O10" s="86">
        <v>141.63</v>
      </c>
      <c r="P10" s="46">
        <f t="shared" si="0"/>
        <v>-141.63</v>
      </c>
      <c r="Q10" s="96"/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556</v>
      </c>
      <c r="C11" s="27" t="s">
        <v>557</v>
      </c>
      <c r="D11" s="81">
        <v>42848</v>
      </c>
      <c r="E11" s="85">
        <v>42908</v>
      </c>
      <c r="F11" s="86">
        <v>598.92999999999995</v>
      </c>
      <c r="G11" s="83">
        <v>35.94</v>
      </c>
      <c r="H11" s="83">
        <v>7.19</v>
      </c>
      <c r="I11" s="84"/>
      <c r="J11" s="87">
        <v>555.79999999999995</v>
      </c>
      <c r="K11" s="85">
        <v>42864.64162037037</v>
      </c>
      <c r="L11" s="84"/>
      <c r="M11" s="128">
        <f t="shared" si="1"/>
        <v>555.79999999999995</v>
      </c>
      <c r="N11" s="47" t="s">
        <v>6</v>
      </c>
      <c r="O11" s="86">
        <v>130.22999999999999</v>
      </c>
      <c r="P11" s="46">
        <f t="shared" si="0"/>
        <v>425.56999999999994</v>
      </c>
      <c r="Q11" s="96"/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558</v>
      </c>
      <c r="C12" s="27" t="s">
        <v>95</v>
      </c>
      <c r="D12" s="81">
        <v>42858</v>
      </c>
      <c r="E12" s="85">
        <v>42888</v>
      </c>
      <c r="F12" s="86">
        <v>495.9</v>
      </c>
      <c r="G12" s="83">
        <v>29.75</v>
      </c>
      <c r="H12" s="83">
        <v>5.95</v>
      </c>
      <c r="I12" s="84"/>
      <c r="J12" s="87">
        <v>460.2</v>
      </c>
      <c r="K12" s="85">
        <v>42864.64162037037</v>
      </c>
      <c r="L12" s="84"/>
      <c r="M12" s="128">
        <f t="shared" si="1"/>
        <v>460.2</v>
      </c>
      <c r="N12" s="47" t="s">
        <v>6</v>
      </c>
      <c r="O12" s="86">
        <v>93.49</v>
      </c>
      <c r="P12" s="46">
        <f t="shared" si="0"/>
        <v>366.71</v>
      </c>
      <c r="Q12" s="96"/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559</v>
      </c>
      <c r="C13" s="27" t="s">
        <v>95</v>
      </c>
      <c r="D13" s="81">
        <v>42851</v>
      </c>
      <c r="E13" s="85">
        <v>42911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42864.64162037037</v>
      </c>
      <c r="L13" s="84"/>
      <c r="M13" s="128">
        <f t="shared" si="1"/>
        <v>428.28999999999996</v>
      </c>
      <c r="N13" s="47" t="s">
        <v>6</v>
      </c>
      <c r="O13" s="86">
        <v>141.66</v>
      </c>
      <c r="P13" s="46">
        <f t="shared" si="0"/>
        <v>286.63</v>
      </c>
      <c r="Q13" s="96"/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 t="s">
        <v>1118</v>
      </c>
      <c r="B14" s="44" t="s">
        <v>555</v>
      </c>
      <c r="C14" s="45"/>
      <c r="D14" s="81"/>
      <c r="E14" s="81"/>
      <c r="F14" s="82"/>
      <c r="G14" s="83"/>
      <c r="H14" s="83"/>
      <c r="I14" s="84"/>
      <c r="J14" s="87"/>
      <c r="K14" s="85"/>
      <c r="L14" s="84">
        <v>37.049999999999997</v>
      </c>
      <c r="M14" s="128">
        <f t="shared" si="1"/>
        <v>-37.049999999999997</v>
      </c>
      <c r="N14" s="47"/>
      <c r="O14" s="82"/>
      <c r="P14" s="46">
        <f t="shared" si="0"/>
        <v>-37.049999999999997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560</v>
      </c>
      <c r="C15" s="27" t="s">
        <v>557</v>
      </c>
      <c r="D15" s="81">
        <v>42831</v>
      </c>
      <c r="E15" s="81">
        <v>42891</v>
      </c>
      <c r="F15" s="86">
        <v>466.12</v>
      </c>
      <c r="G15" s="83">
        <v>27.98</v>
      </c>
      <c r="H15" s="83">
        <v>5.59</v>
      </c>
      <c r="I15" s="84">
        <v>140</v>
      </c>
      <c r="J15" s="87">
        <v>292.55</v>
      </c>
      <c r="K15" s="85">
        <v>42864.64162037037</v>
      </c>
      <c r="L15" s="84"/>
      <c r="M15" s="128">
        <f t="shared" si="1"/>
        <v>292.55</v>
      </c>
      <c r="N15" s="47" t="s">
        <v>6</v>
      </c>
      <c r="O15" s="86">
        <v>127.59</v>
      </c>
      <c r="P15" s="46">
        <f t="shared" si="0"/>
        <v>164.96</v>
      </c>
      <c r="Q15" s="96"/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561</v>
      </c>
      <c r="C16" s="27" t="s">
        <v>95</v>
      </c>
      <c r="D16" s="81">
        <v>42836</v>
      </c>
      <c r="E16" s="85">
        <v>42896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42864.64162037037</v>
      </c>
      <c r="L16" s="84"/>
      <c r="M16" s="128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96"/>
      <c r="R16" s="47"/>
      <c r="S16" s="74" t="s">
        <v>197</v>
      </c>
      <c r="T16" s="26" t="s">
        <v>408</v>
      </c>
      <c r="U16" s="78">
        <v>907372200</v>
      </c>
      <c r="V16" s="99">
        <v>6</v>
      </c>
    </row>
    <row r="17" spans="1:22" ht="12.75" customHeight="1" x14ac:dyDescent="0.2">
      <c r="A17" s="29" t="s">
        <v>59</v>
      </c>
      <c r="B17" s="23" t="s">
        <v>778</v>
      </c>
      <c r="C17" s="27" t="s">
        <v>95</v>
      </c>
      <c r="D17" s="81">
        <v>42870</v>
      </c>
      <c r="E17" s="85">
        <v>42900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42880.586041666669</v>
      </c>
      <c r="L17" s="84"/>
      <c r="M17" s="128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96"/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8" t="str">
        <f t="shared" si="1"/>
        <v/>
      </c>
      <c r="N18" s="47"/>
      <c r="O18" s="82"/>
      <c r="P18" s="46">
        <f t="shared" si="0"/>
        <v>0</v>
      </c>
      <c r="Q18" s="96"/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562</v>
      </c>
      <c r="C19" s="27" t="s">
        <v>95</v>
      </c>
      <c r="D19" s="81">
        <v>42861</v>
      </c>
      <c r="E19" s="81">
        <v>42891</v>
      </c>
      <c r="F19" s="86">
        <v>534.87</v>
      </c>
      <c r="G19" s="83">
        <v>32.1</v>
      </c>
      <c r="H19" s="83">
        <v>6.42</v>
      </c>
      <c r="I19" s="84">
        <v>60</v>
      </c>
      <c r="J19" s="87">
        <v>436.35</v>
      </c>
      <c r="K19" s="85">
        <v>42863.601435185185</v>
      </c>
      <c r="L19" s="84"/>
      <c r="M19" s="128">
        <f t="shared" si="1"/>
        <v>436.34999999999997</v>
      </c>
      <c r="N19" s="47" t="s">
        <v>6</v>
      </c>
      <c r="O19" s="86">
        <v>189.14</v>
      </c>
      <c r="P19" s="46">
        <f t="shared" si="0"/>
        <v>247.20999999999998</v>
      </c>
      <c r="Q19" s="96"/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563</v>
      </c>
      <c r="C20" s="27" t="s">
        <v>95</v>
      </c>
      <c r="D20" s="81">
        <v>42827</v>
      </c>
      <c r="E20" s="85">
        <v>42887</v>
      </c>
      <c r="F20" s="86">
        <v>461.52</v>
      </c>
      <c r="G20" s="83">
        <v>27.69</v>
      </c>
      <c r="H20" s="83">
        <v>5.54</v>
      </c>
      <c r="I20" s="84">
        <v>361</v>
      </c>
      <c r="J20" s="87">
        <v>67.290000000000006</v>
      </c>
      <c r="K20" s="85">
        <v>42864.64162037037</v>
      </c>
      <c r="L20" s="84"/>
      <c r="M20" s="128">
        <f t="shared" si="1"/>
        <v>67.289999999999964</v>
      </c>
      <c r="N20" s="47" t="s">
        <v>6</v>
      </c>
      <c r="O20" s="86">
        <v>167.32</v>
      </c>
      <c r="P20" s="46">
        <f t="shared" si="0"/>
        <v>-100.03000000000003</v>
      </c>
      <c r="Q20" s="96"/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1119</v>
      </c>
      <c r="C21" s="27" t="s">
        <v>95</v>
      </c>
      <c r="D21" s="81">
        <v>42864</v>
      </c>
      <c r="E21" s="85">
        <v>42894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42864.64162037037</v>
      </c>
      <c r="L21" s="84"/>
      <c r="M21" s="128">
        <f t="shared" si="1"/>
        <v>464</v>
      </c>
      <c r="N21" s="47" t="s">
        <v>6</v>
      </c>
      <c r="O21" s="86">
        <v>203.36</v>
      </c>
      <c r="P21" s="46">
        <f>IFERROR(IF(M21-O21&lt;&gt;0,M21-O21,""),-O21)</f>
        <v>260.64</v>
      </c>
      <c r="Q21" s="96"/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8" t="str">
        <f t="shared" si="1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564</v>
      </c>
      <c r="C23" s="27" t="s">
        <v>95</v>
      </c>
      <c r="D23" s="81">
        <v>42840</v>
      </c>
      <c r="E23" s="85">
        <v>42900</v>
      </c>
      <c r="F23" s="86">
        <v>466.12</v>
      </c>
      <c r="G23" s="83">
        <v>27.98</v>
      </c>
      <c r="H23" s="83">
        <v>5.59</v>
      </c>
      <c r="I23" s="84"/>
      <c r="J23" s="87">
        <v>432.55</v>
      </c>
      <c r="K23" s="85">
        <v>42870.668124999997</v>
      </c>
      <c r="L23" s="84"/>
      <c r="M23" s="128">
        <f t="shared" si="1"/>
        <v>432.55</v>
      </c>
      <c r="N23" s="47" t="s">
        <v>6</v>
      </c>
      <c r="O23" s="86">
        <v>135.38999999999999</v>
      </c>
      <c r="P23" s="46">
        <f t="shared" si="2"/>
        <v>297.16000000000003</v>
      </c>
      <c r="Q23" s="96"/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565</v>
      </c>
      <c r="C24" s="27" t="s">
        <v>95</v>
      </c>
      <c r="D24" s="81">
        <v>42839</v>
      </c>
      <c r="E24" s="85">
        <v>42899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42864.64162037037</v>
      </c>
      <c r="L24" s="84"/>
      <c r="M24" s="128">
        <f t="shared" si="1"/>
        <v>385.48999999999995</v>
      </c>
      <c r="N24" s="47" t="s">
        <v>6</v>
      </c>
      <c r="O24" s="86">
        <v>129.29</v>
      </c>
      <c r="P24" s="46">
        <f t="shared" si="2"/>
        <v>256.19999999999993</v>
      </c>
      <c r="Q24" s="96"/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566</v>
      </c>
      <c r="C25" s="27" t="s">
        <v>95</v>
      </c>
      <c r="D25" s="81">
        <v>42842</v>
      </c>
      <c r="E25" s="85">
        <v>42902</v>
      </c>
      <c r="F25" s="86">
        <v>364.6</v>
      </c>
      <c r="G25" s="83">
        <v>21.88</v>
      </c>
      <c r="H25" s="83">
        <v>4.37</v>
      </c>
      <c r="I25" s="84"/>
      <c r="J25" s="87">
        <v>338.35</v>
      </c>
      <c r="K25" s="85">
        <v>42864.64162037037</v>
      </c>
      <c r="L25" s="84"/>
      <c r="M25" s="128">
        <f t="shared" si="1"/>
        <v>338.35</v>
      </c>
      <c r="N25" s="47" t="s">
        <v>6</v>
      </c>
      <c r="O25" s="86">
        <v>232</v>
      </c>
      <c r="P25" s="46">
        <f t="shared" si="2"/>
        <v>106.35000000000002</v>
      </c>
      <c r="Q25" s="96"/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8" t="str">
        <f t="shared" si="1"/>
        <v/>
      </c>
      <c r="N26" s="47"/>
      <c r="O26" s="82"/>
      <c r="P26" s="46">
        <f t="shared" si="2"/>
        <v>0</v>
      </c>
      <c r="Q26" s="96"/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567</v>
      </c>
      <c r="C27" s="27" t="s">
        <v>557</v>
      </c>
      <c r="D27" s="81">
        <v>42866</v>
      </c>
      <c r="E27" s="81">
        <v>42896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42866.634664351855</v>
      </c>
      <c r="L27" s="84"/>
      <c r="M27" s="128">
        <f t="shared" si="1"/>
        <v>324.8</v>
      </c>
      <c r="N27" s="47" t="s">
        <v>6</v>
      </c>
      <c r="O27" s="135">
        <v>140</v>
      </c>
      <c r="P27" s="46">
        <f t="shared" si="2"/>
        <v>184.8</v>
      </c>
      <c r="Q27" s="96"/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568</v>
      </c>
      <c r="C28" s="27" t="s">
        <v>95</v>
      </c>
      <c r="D28" s="81">
        <v>42856</v>
      </c>
      <c r="E28" s="81">
        <v>42886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42858.576099537036</v>
      </c>
      <c r="L28" s="84"/>
      <c r="M28" s="128">
        <f t="shared" si="1"/>
        <v>482.56</v>
      </c>
      <c r="N28" s="47" t="s">
        <v>6</v>
      </c>
      <c r="O28" s="82">
        <v>165.12</v>
      </c>
      <c r="P28" s="46">
        <f t="shared" si="2"/>
        <v>317.44</v>
      </c>
      <c r="Q28" s="96"/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569</v>
      </c>
      <c r="C29" s="27" t="s">
        <v>95</v>
      </c>
      <c r="D29" s="81">
        <v>42869</v>
      </c>
      <c r="E29" s="81">
        <v>42899</v>
      </c>
      <c r="F29" s="82">
        <v>622.24</v>
      </c>
      <c r="G29" s="83">
        <v>37.33</v>
      </c>
      <c r="H29" s="83">
        <v>7.47</v>
      </c>
      <c r="I29" s="84"/>
      <c r="J29" s="87">
        <v>577.44000000000005</v>
      </c>
      <c r="K29" s="85">
        <v>42870.668124999997</v>
      </c>
      <c r="L29" s="84"/>
      <c r="M29" s="128">
        <f t="shared" si="1"/>
        <v>577.43999999999994</v>
      </c>
      <c r="N29" s="60" t="s">
        <v>6</v>
      </c>
      <c r="O29" s="82">
        <v>196.17</v>
      </c>
      <c r="P29" s="46">
        <f t="shared" si="2"/>
        <v>381.27</v>
      </c>
      <c r="Q29" s="96"/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8" t="str">
        <f t="shared" si="1"/>
        <v/>
      </c>
      <c r="N30" s="47"/>
      <c r="O30" s="82"/>
      <c r="P30" s="46">
        <f t="shared" si="2"/>
        <v>0</v>
      </c>
      <c r="Q30" s="96"/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570</v>
      </c>
      <c r="C31" s="27" t="s">
        <v>557</v>
      </c>
      <c r="D31" s="81">
        <v>42869</v>
      </c>
      <c r="E31" s="81">
        <v>42899</v>
      </c>
      <c r="F31" s="82">
        <v>660</v>
      </c>
      <c r="G31" s="83">
        <v>39.6</v>
      </c>
      <c r="H31" s="83">
        <v>7.92</v>
      </c>
      <c r="I31" s="84">
        <v>36</v>
      </c>
      <c r="J31" s="87">
        <v>576.48</v>
      </c>
      <c r="K31" s="85">
        <v>42870.668124999997</v>
      </c>
      <c r="L31" s="84"/>
      <c r="M31" s="128">
        <f t="shared" si="1"/>
        <v>576.48</v>
      </c>
      <c r="N31" s="47" t="s">
        <v>6</v>
      </c>
      <c r="O31" s="82">
        <v>163.35</v>
      </c>
      <c r="P31" s="46">
        <f t="shared" si="2"/>
        <v>413.13</v>
      </c>
      <c r="Q31" s="96"/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571</v>
      </c>
      <c r="C32" s="27" t="s">
        <v>95</v>
      </c>
      <c r="D32" s="81">
        <v>42869</v>
      </c>
      <c r="E32" s="81">
        <v>42899</v>
      </c>
      <c r="F32" s="82">
        <v>660</v>
      </c>
      <c r="G32" s="83">
        <v>39.6</v>
      </c>
      <c r="H32" s="83">
        <v>7.92</v>
      </c>
      <c r="I32" s="84">
        <v>150</v>
      </c>
      <c r="J32" s="87">
        <v>462.48</v>
      </c>
      <c r="K32" s="85">
        <v>42870.668124999997</v>
      </c>
      <c r="L32" s="84"/>
      <c r="M32" s="128">
        <f t="shared" si="1"/>
        <v>462.48</v>
      </c>
      <c r="N32" s="47" t="s">
        <v>6</v>
      </c>
      <c r="O32" s="82">
        <v>496.98</v>
      </c>
      <c r="P32" s="46">
        <f t="shared" si="2"/>
        <v>-34.5</v>
      </c>
      <c r="Q32" s="85"/>
      <c r="R32" s="4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8" t="str">
        <f t="shared" si="1"/>
        <v/>
      </c>
      <c r="N33" s="59"/>
      <c r="O33" s="82"/>
      <c r="P33" s="46">
        <f t="shared" si="2"/>
        <v>0</v>
      </c>
      <c r="Q33" s="96"/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572</v>
      </c>
      <c r="C34" s="27" t="s">
        <v>95</v>
      </c>
      <c r="D34" s="81">
        <v>42839</v>
      </c>
      <c r="E34" s="85">
        <v>42899</v>
      </c>
      <c r="F34" s="86">
        <v>466.12</v>
      </c>
      <c r="G34" s="83">
        <v>27.97</v>
      </c>
      <c r="H34" s="83">
        <v>5.59</v>
      </c>
      <c r="I34" s="84"/>
      <c r="J34" s="87">
        <v>432.56</v>
      </c>
      <c r="K34" s="81">
        <v>42865.673206018517</v>
      </c>
      <c r="L34" s="84"/>
      <c r="M34" s="128">
        <f t="shared" si="1"/>
        <v>432.56</v>
      </c>
      <c r="N34" s="59" t="s">
        <v>6</v>
      </c>
      <c r="O34" s="86">
        <v>177.73</v>
      </c>
      <c r="P34" s="46">
        <f t="shared" si="2"/>
        <v>254.83</v>
      </c>
      <c r="Q34" s="96"/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573</v>
      </c>
      <c r="C35" s="27" t="s">
        <v>95</v>
      </c>
      <c r="D35" s="81">
        <v>42863</v>
      </c>
      <c r="E35" s="81">
        <v>42893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42864.64162037037</v>
      </c>
      <c r="L35" s="84"/>
      <c r="M35" s="128">
        <f t="shared" si="1"/>
        <v>464</v>
      </c>
      <c r="N35" s="59" t="s">
        <v>6</v>
      </c>
      <c r="O35" s="82">
        <v>165.91</v>
      </c>
      <c r="P35" s="46">
        <f t="shared" si="2"/>
        <v>298.09000000000003</v>
      </c>
      <c r="Q35" s="96"/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574</v>
      </c>
      <c r="C36" s="27" t="s">
        <v>557</v>
      </c>
      <c r="D36" s="85">
        <v>42860</v>
      </c>
      <c r="E36" s="85">
        <v>42890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42864.64162037037</v>
      </c>
      <c r="L36" s="84"/>
      <c r="M36" s="128">
        <f t="shared" si="1"/>
        <v>468.64</v>
      </c>
      <c r="N36" s="47" t="s">
        <v>6</v>
      </c>
      <c r="O36" s="86">
        <v>165.91</v>
      </c>
      <c r="P36" s="46">
        <f t="shared" si="2"/>
        <v>302.73</v>
      </c>
      <c r="Q36" s="85"/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575</v>
      </c>
      <c r="C37" s="27" t="s">
        <v>95</v>
      </c>
      <c r="D37" s="85">
        <v>42851</v>
      </c>
      <c r="E37" s="85">
        <v>42911</v>
      </c>
      <c r="F37" s="86">
        <v>660.19</v>
      </c>
      <c r="G37" s="83">
        <v>39.61</v>
      </c>
      <c r="H37" s="83">
        <v>7.92</v>
      </c>
      <c r="I37" s="84"/>
      <c r="J37" s="87">
        <v>612.66</v>
      </c>
      <c r="K37" s="81">
        <v>42865.673206018517</v>
      </c>
      <c r="L37" s="84"/>
      <c r="M37" s="128">
        <f t="shared" si="1"/>
        <v>612.66000000000008</v>
      </c>
      <c r="N37" s="47" t="s">
        <v>6</v>
      </c>
      <c r="O37" s="86">
        <v>356.87</v>
      </c>
      <c r="P37" s="46">
        <f t="shared" si="2"/>
        <v>255.79000000000008</v>
      </c>
      <c r="Q37" s="96"/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576</v>
      </c>
      <c r="C38" s="27" t="s">
        <v>95</v>
      </c>
      <c r="D38" s="85">
        <v>42835</v>
      </c>
      <c r="E38" s="85">
        <v>42895</v>
      </c>
      <c r="F38" s="82">
        <v>484.62</v>
      </c>
      <c r="G38" s="83">
        <v>29.08</v>
      </c>
      <c r="H38" s="83">
        <v>5.82</v>
      </c>
      <c r="I38" s="84"/>
      <c r="J38" s="87">
        <v>449.72</v>
      </c>
      <c r="K38" s="85">
        <v>42856.575798611113</v>
      </c>
      <c r="L38" s="84"/>
      <c r="M38" s="128">
        <f t="shared" si="1"/>
        <v>449.72</v>
      </c>
      <c r="N38" s="47" t="s">
        <v>6</v>
      </c>
      <c r="O38" s="82">
        <v>177.73</v>
      </c>
      <c r="P38" s="46">
        <f t="shared" si="2"/>
        <v>271.99</v>
      </c>
      <c r="Q38" s="96"/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577</v>
      </c>
      <c r="C39" s="27" t="s">
        <v>95</v>
      </c>
      <c r="D39" s="85">
        <v>42851</v>
      </c>
      <c r="E39" s="85">
        <v>42911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42864.64162037037</v>
      </c>
      <c r="L39" s="84"/>
      <c r="M39" s="128">
        <f t="shared" si="1"/>
        <v>428.28999999999996</v>
      </c>
      <c r="N39" s="47" t="s">
        <v>6</v>
      </c>
      <c r="O39" s="82">
        <v>177.73</v>
      </c>
      <c r="P39" s="46">
        <f t="shared" si="2"/>
        <v>250.55999999999997</v>
      </c>
      <c r="Q39" s="96"/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578</v>
      </c>
      <c r="C40" s="27" t="s">
        <v>557</v>
      </c>
      <c r="D40" s="85">
        <v>42845</v>
      </c>
      <c r="E40" s="85">
        <v>42905</v>
      </c>
      <c r="F40" s="86">
        <v>670</v>
      </c>
      <c r="G40" s="83">
        <v>40.200000000000003</v>
      </c>
      <c r="H40" s="83">
        <v>8.0399999999999991</v>
      </c>
      <c r="I40" s="84">
        <v>144</v>
      </c>
      <c r="J40" s="87">
        <v>477.76</v>
      </c>
      <c r="K40" s="85">
        <v>42877.627928240741</v>
      </c>
      <c r="L40" s="84"/>
      <c r="M40" s="128">
        <f t="shared" si="1"/>
        <v>477.76</v>
      </c>
      <c r="N40" s="47" t="s">
        <v>6</v>
      </c>
      <c r="O40" s="86">
        <v>197.26</v>
      </c>
      <c r="P40" s="46">
        <f t="shared" si="2"/>
        <v>280.5</v>
      </c>
      <c r="Q40" s="85"/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579</v>
      </c>
      <c r="C41" s="27" t="s">
        <v>95</v>
      </c>
      <c r="D41" s="81">
        <v>42810</v>
      </c>
      <c r="E41" s="81">
        <v>42840</v>
      </c>
      <c r="F41" s="82">
        <v>200</v>
      </c>
      <c r="G41" s="83">
        <v>12</v>
      </c>
      <c r="H41" s="83">
        <v>2.4</v>
      </c>
      <c r="I41" s="84"/>
      <c r="J41" s="87">
        <v>185.6</v>
      </c>
      <c r="K41" s="81">
        <v>42871.597800925927</v>
      </c>
      <c r="L41" s="84"/>
      <c r="M41" s="128">
        <f t="shared" si="1"/>
        <v>185.6</v>
      </c>
      <c r="N41" s="47" t="s">
        <v>258</v>
      </c>
      <c r="O41" s="82">
        <v>195.72</v>
      </c>
      <c r="P41" s="46">
        <f t="shared" si="2"/>
        <v>-10.120000000000005</v>
      </c>
      <c r="Q41" s="96"/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1120</v>
      </c>
      <c r="C42" s="27" t="s">
        <v>95</v>
      </c>
      <c r="D42" s="85">
        <v>42855</v>
      </c>
      <c r="E42" s="85">
        <v>42915</v>
      </c>
      <c r="F42" s="86">
        <v>1040</v>
      </c>
      <c r="G42" s="83">
        <v>62.4</v>
      </c>
      <c r="H42" s="83">
        <v>12.48</v>
      </c>
      <c r="I42" s="84">
        <v>144</v>
      </c>
      <c r="J42" s="87">
        <v>821.12</v>
      </c>
      <c r="K42" s="85">
        <v>42856.575798611113</v>
      </c>
      <c r="L42" s="84"/>
      <c r="M42" s="128">
        <f t="shared" si="1"/>
        <v>821.12</v>
      </c>
      <c r="N42" s="47" t="s">
        <v>6</v>
      </c>
      <c r="O42" s="86">
        <v>348.23</v>
      </c>
      <c r="P42" s="46">
        <f t="shared" si="2"/>
        <v>472.89</v>
      </c>
      <c r="Q42" s="85"/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580</v>
      </c>
      <c r="C43" s="27" t="s">
        <v>95</v>
      </c>
      <c r="D43" s="81">
        <v>42800</v>
      </c>
      <c r="E43" s="81">
        <v>42860</v>
      </c>
      <c r="F43" s="82">
        <v>372.08</v>
      </c>
      <c r="G43" s="83">
        <v>22.32</v>
      </c>
      <c r="H43" s="83">
        <v>4.46</v>
      </c>
      <c r="I43" s="84"/>
      <c r="J43" s="87">
        <v>345.3</v>
      </c>
      <c r="K43" s="81">
        <v>42864.64162037037</v>
      </c>
      <c r="L43" s="84"/>
      <c r="M43" s="128">
        <f t="shared" si="1"/>
        <v>345.3</v>
      </c>
      <c r="N43" s="59" t="s">
        <v>258</v>
      </c>
      <c r="O43" s="82">
        <v>195.72</v>
      </c>
      <c r="P43" s="46">
        <f t="shared" si="2"/>
        <v>149.58000000000001</v>
      </c>
      <c r="Q43" s="96"/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555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8" t="str">
        <f t="shared" si="1"/>
        <v/>
      </c>
      <c r="N44" s="59" t="s">
        <v>203</v>
      </c>
      <c r="O44" s="82">
        <v>197.32</v>
      </c>
      <c r="P44" s="46">
        <f t="shared" si="2"/>
        <v>-197.32</v>
      </c>
      <c r="Q44" s="96"/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8" t="str">
        <f t="shared" si="1"/>
        <v/>
      </c>
      <c r="N45" s="47"/>
      <c r="O45" s="82"/>
      <c r="P45" s="46">
        <f t="shared" si="2"/>
        <v>0</v>
      </c>
      <c r="Q45" s="96"/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581</v>
      </c>
      <c r="C46" s="27" t="s">
        <v>95</v>
      </c>
      <c r="D46" s="81">
        <v>42863</v>
      </c>
      <c r="E46" s="81">
        <v>42894</v>
      </c>
      <c r="F46" s="82">
        <v>515.73</v>
      </c>
      <c r="G46" s="83">
        <v>30.95</v>
      </c>
      <c r="H46" s="83">
        <v>6.19</v>
      </c>
      <c r="I46" s="84"/>
      <c r="J46" s="87">
        <v>478.59</v>
      </c>
      <c r="K46" s="85">
        <v>42856.575798611113</v>
      </c>
      <c r="L46" s="84"/>
      <c r="M46" s="128">
        <f t="shared" si="1"/>
        <v>478.59000000000003</v>
      </c>
      <c r="N46" s="47" t="s">
        <v>6</v>
      </c>
      <c r="O46" s="82">
        <v>165.47</v>
      </c>
      <c r="P46" s="46">
        <f t="shared" si="2"/>
        <v>313.12</v>
      </c>
      <c r="Q46" s="96"/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1121</v>
      </c>
      <c r="C47" s="27" t="s">
        <v>557</v>
      </c>
      <c r="D47" s="81">
        <v>42861</v>
      </c>
      <c r="E47" s="81">
        <v>42891</v>
      </c>
      <c r="F47" s="82">
        <v>423.83</v>
      </c>
      <c r="G47" s="83">
        <v>27.23</v>
      </c>
      <c r="H47" s="83">
        <v>5.45</v>
      </c>
      <c r="I47" s="84">
        <v>65</v>
      </c>
      <c r="J47" s="87">
        <v>326.14999999999998</v>
      </c>
      <c r="K47" s="85">
        <v>42871.597800925927</v>
      </c>
      <c r="L47" s="84">
        <v>393.01</v>
      </c>
      <c r="M47" s="128">
        <f t="shared" si="1"/>
        <v>-66.860000000000014</v>
      </c>
      <c r="N47" s="47" t="s">
        <v>6</v>
      </c>
      <c r="O47" s="82">
        <v>61.95</v>
      </c>
      <c r="P47" s="46">
        <f t="shared" si="2"/>
        <v>-128.81</v>
      </c>
      <c r="Q47" s="85"/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582</v>
      </c>
      <c r="C48" s="27" t="s">
        <v>95</v>
      </c>
      <c r="D48" s="81">
        <v>42848</v>
      </c>
      <c r="E48" s="81">
        <v>42908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42864.64162037037</v>
      </c>
      <c r="L48" s="84"/>
      <c r="M48" s="128">
        <f t="shared" si="1"/>
        <v>419.75</v>
      </c>
      <c r="N48" s="47" t="s">
        <v>6</v>
      </c>
      <c r="O48" s="82">
        <v>165.44</v>
      </c>
      <c r="P48" s="46">
        <f t="shared" si="2"/>
        <v>254.31</v>
      </c>
      <c r="Q48" s="96"/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583</v>
      </c>
      <c r="C49" s="27" t="s">
        <v>557</v>
      </c>
      <c r="D49" s="85">
        <v>42839</v>
      </c>
      <c r="E49" s="85">
        <v>42899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42864.64162037037</v>
      </c>
      <c r="L49" s="84"/>
      <c r="M49" s="128">
        <f t="shared" si="1"/>
        <v>428.28999999999996</v>
      </c>
      <c r="N49" s="47" t="s">
        <v>6</v>
      </c>
      <c r="O49" s="86">
        <v>171.13</v>
      </c>
      <c r="P49" s="46">
        <f t="shared" si="2"/>
        <v>257.15999999999997</v>
      </c>
      <c r="Q49" s="96"/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584</v>
      </c>
      <c r="C50" s="27" t="s">
        <v>95</v>
      </c>
      <c r="D50" s="81">
        <v>42844</v>
      </c>
      <c r="E50" s="81">
        <v>42904</v>
      </c>
      <c r="F50" s="82">
        <v>461.52</v>
      </c>
      <c r="G50" s="83">
        <v>27.69</v>
      </c>
      <c r="H50" s="83">
        <v>5.54</v>
      </c>
      <c r="I50" s="84">
        <v>60</v>
      </c>
      <c r="J50" s="87">
        <v>368.29</v>
      </c>
      <c r="K50" s="85">
        <v>42864.64162037037</v>
      </c>
      <c r="L50" s="84"/>
      <c r="M50" s="128">
        <f t="shared" si="1"/>
        <v>368.28999999999996</v>
      </c>
      <c r="N50" s="47" t="s">
        <v>6</v>
      </c>
      <c r="O50" s="82">
        <v>165.44</v>
      </c>
      <c r="P50" s="46">
        <f t="shared" si="2"/>
        <v>202.84999999999997</v>
      </c>
      <c r="Q50" s="96"/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585</v>
      </c>
      <c r="C51" s="27" t="s">
        <v>95</v>
      </c>
      <c r="D51" s="85">
        <v>42845</v>
      </c>
      <c r="E51" s="85">
        <v>42905</v>
      </c>
      <c r="F51" s="82">
        <v>461.52</v>
      </c>
      <c r="G51" s="83">
        <v>27.69</v>
      </c>
      <c r="H51" s="83">
        <v>5.54</v>
      </c>
      <c r="I51" s="84">
        <v>36</v>
      </c>
      <c r="J51" s="87">
        <v>392.29</v>
      </c>
      <c r="K51" s="85">
        <v>42864.64162037037</v>
      </c>
      <c r="L51" s="84"/>
      <c r="M51" s="128">
        <f t="shared" si="1"/>
        <v>392.28999999999996</v>
      </c>
      <c r="N51" s="47" t="s">
        <v>6</v>
      </c>
      <c r="O51" s="82">
        <v>165.44</v>
      </c>
      <c r="P51" s="46">
        <f t="shared" si="2"/>
        <v>226.84999999999997</v>
      </c>
      <c r="Q51" s="96"/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586</v>
      </c>
      <c r="C52" s="27" t="s">
        <v>557</v>
      </c>
      <c r="D52" s="81">
        <v>42861</v>
      </c>
      <c r="E52" s="81">
        <v>42891</v>
      </c>
      <c r="F52" s="82">
        <v>500</v>
      </c>
      <c r="G52" s="83">
        <v>30</v>
      </c>
      <c r="H52" s="83">
        <v>6</v>
      </c>
      <c r="I52" s="84">
        <v>162</v>
      </c>
      <c r="J52" s="87">
        <v>302</v>
      </c>
      <c r="K52" s="85">
        <v>42863.601435185185</v>
      </c>
      <c r="L52" s="84"/>
      <c r="M52" s="128">
        <f t="shared" si="1"/>
        <v>302</v>
      </c>
      <c r="N52" s="47" t="s">
        <v>6</v>
      </c>
      <c r="O52" s="82">
        <v>208.78</v>
      </c>
      <c r="P52" s="46">
        <f t="shared" si="2"/>
        <v>93.22</v>
      </c>
      <c r="Q52" s="96"/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587</v>
      </c>
      <c r="C53" s="27" t="s">
        <v>95</v>
      </c>
      <c r="D53" s="81">
        <v>42813</v>
      </c>
      <c r="E53" s="81">
        <v>42873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42864.64162037037</v>
      </c>
      <c r="L53" s="84"/>
      <c r="M53" s="128">
        <f t="shared" si="1"/>
        <v>428.28999999999996</v>
      </c>
      <c r="N53" s="47" t="s">
        <v>6</v>
      </c>
      <c r="O53" s="82">
        <v>171.17</v>
      </c>
      <c r="P53" s="46">
        <f t="shared" si="2"/>
        <v>257.12</v>
      </c>
      <c r="Q53" s="96"/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8" t="str">
        <f t="shared" si="1"/>
        <v/>
      </c>
      <c r="N54" s="47"/>
      <c r="O54" s="82"/>
      <c r="P54" s="46">
        <f t="shared" si="2"/>
        <v>0</v>
      </c>
      <c r="Q54" s="96"/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588</v>
      </c>
      <c r="C55" s="27" t="s">
        <v>95</v>
      </c>
      <c r="D55" s="81">
        <v>42830</v>
      </c>
      <c r="E55" s="81">
        <v>42890</v>
      </c>
      <c r="F55" s="82">
        <v>700</v>
      </c>
      <c r="G55" s="83">
        <v>42</v>
      </c>
      <c r="H55" s="83">
        <v>8.4</v>
      </c>
      <c r="I55" s="84"/>
      <c r="J55" s="87">
        <v>649.6</v>
      </c>
      <c r="K55" s="85">
        <v>42877.627928240741</v>
      </c>
      <c r="L55" s="84"/>
      <c r="M55" s="128">
        <f t="shared" si="1"/>
        <v>649.6</v>
      </c>
      <c r="N55" s="47" t="s">
        <v>6</v>
      </c>
      <c r="O55" s="82">
        <v>201.41</v>
      </c>
      <c r="P55" s="46">
        <f t="shared" si="2"/>
        <v>448.19000000000005</v>
      </c>
      <c r="Q55" s="96"/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589</v>
      </c>
      <c r="C56" s="27" t="s">
        <v>95</v>
      </c>
      <c r="D56" s="81">
        <v>42846</v>
      </c>
      <c r="E56" s="81">
        <v>42906</v>
      </c>
      <c r="F56" s="82">
        <v>461.52</v>
      </c>
      <c r="G56" s="83">
        <v>27.69</v>
      </c>
      <c r="H56" s="83">
        <v>5.54</v>
      </c>
      <c r="I56" s="84">
        <v>36</v>
      </c>
      <c r="J56" s="87">
        <v>392.29</v>
      </c>
      <c r="K56" s="85">
        <v>42864.64162037037</v>
      </c>
      <c r="L56" s="84"/>
      <c r="M56" s="128">
        <f t="shared" si="1"/>
        <v>392.28999999999996</v>
      </c>
      <c r="N56" s="47" t="s">
        <v>6</v>
      </c>
      <c r="O56" s="82">
        <v>165.45</v>
      </c>
      <c r="P56" s="46">
        <f t="shared" si="2"/>
        <v>226.83999999999997</v>
      </c>
      <c r="Q56" s="96"/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555</v>
      </c>
      <c r="C57" s="27"/>
      <c r="D57" s="81"/>
      <c r="E57" s="81"/>
      <c r="F57" s="82"/>
      <c r="G57" s="83"/>
      <c r="H57" s="83"/>
      <c r="I57" s="84"/>
      <c r="J57" s="87"/>
      <c r="K57" s="85"/>
      <c r="L57" s="84"/>
      <c r="M57" s="128" t="str">
        <f t="shared" si="1"/>
        <v/>
      </c>
      <c r="N57" s="47" t="s">
        <v>203</v>
      </c>
      <c r="O57" s="82">
        <v>180.37</v>
      </c>
      <c r="P57" s="46">
        <f t="shared" si="2"/>
        <v>-180.37</v>
      </c>
      <c r="Q57" s="96"/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590</v>
      </c>
      <c r="C58" s="27" t="s">
        <v>95</v>
      </c>
      <c r="D58" s="81">
        <v>42833</v>
      </c>
      <c r="E58" s="81">
        <v>42893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42864.64162037037</v>
      </c>
      <c r="L58" s="84"/>
      <c r="M58" s="128">
        <f t="shared" si="1"/>
        <v>428.28999999999996</v>
      </c>
      <c r="N58" s="47" t="s">
        <v>6</v>
      </c>
      <c r="O58" s="82">
        <v>165.41</v>
      </c>
      <c r="P58" s="46">
        <f t="shared" si="2"/>
        <v>262.88</v>
      </c>
      <c r="Q58" s="96"/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1122</v>
      </c>
      <c r="C59" s="27" t="s">
        <v>557</v>
      </c>
      <c r="D59" s="81">
        <v>42867</v>
      </c>
      <c r="E59" s="81">
        <v>42897</v>
      </c>
      <c r="F59" s="82">
        <v>550</v>
      </c>
      <c r="G59" s="83"/>
      <c r="H59" s="83"/>
      <c r="I59" s="84">
        <v>60</v>
      </c>
      <c r="J59" s="87">
        <v>490</v>
      </c>
      <c r="K59" s="85">
        <v>42872.580462962964</v>
      </c>
      <c r="L59" s="84">
        <v>2509.1</v>
      </c>
      <c r="M59" s="128">
        <f t="shared" si="1"/>
        <v>-2019.1</v>
      </c>
      <c r="N59" s="47" t="s">
        <v>6</v>
      </c>
      <c r="O59" s="82">
        <v>165.53</v>
      </c>
      <c r="P59" s="46">
        <f t="shared" si="2"/>
        <v>-2184.63</v>
      </c>
      <c r="Q59" s="96"/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591</v>
      </c>
      <c r="C60" s="27" t="s">
        <v>95</v>
      </c>
      <c r="D60" s="81">
        <v>42844</v>
      </c>
      <c r="E60" s="81">
        <v>42904</v>
      </c>
      <c r="F60" s="82">
        <v>466.12</v>
      </c>
      <c r="G60" s="83">
        <v>27.96</v>
      </c>
      <c r="H60" s="83">
        <v>5.59</v>
      </c>
      <c r="I60" s="84">
        <v>60</v>
      </c>
      <c r="J60" s="87">
        <v>372.57</v>
      </c>
      <c r="K60" s="85">
        <v>42864.64162037037</v>
      </c>
      <c r="L60" s="84"/>
      <c r="M60" s="128">
        <f t="shared" si="1"/>
        <v>372.57000000000005</v>
      </c>
      <c r="N60" s="47" t="s">
        <v>6</v>
      </c>
      <c r="O60" s="82">
        <v>165.41</v>
      </c>
      <c r="P60" s="46">
        <f t="shared" si="2"/>
        <v>207.16000000000005</v>
      </c>
      <c r="Q60" s="96"/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592</v>
      </c>
      <c r="C61" s="40" t="s">
        <v>95</v>
      </c>
      <c r="D61" s="81">
        <v>42828</v>
      </c>
      <c r="E61" s="81">
        <v>42888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42864.64162037037</v>
      </c>
      <c r="L61" s="84"/>
      <c r="M61" s="128">
        <f t="shared" si="1"/>
        <v>428.28999999999996</v>
      </c>
      <c r="N61" s="47" t="s">
        <v>6</v>
      </c>
      <c r="O61" s="82">
        <v>201.56</v>
      </c>
      <c r="P61" s="46">
        <f t="shared" si="2"/>
        <v>226.72999999999996</v>
      </c>
      <c r="Q61" s="96"/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593</v>
      </c>
      <c r="C62" s="27" t="s">
        <v>557</v>
      </c>
      <c r="D62" s="85">
        <v>42734</v>
      </c>
      <c r="E62" s="81">
        <v>42764</v>
      </c>
      <c r="F62" s="89">
        <v>102.4</v>
      </c>
      <c r="G62" s="83">
        <v>6.14</v>
      </c>
      <c r="H62" s="83">
        <v>1.23</v>
      </c>
      <c r="I62" s="84"/>
      <c r="J62" s="87">
        <v>95.03</v>
      </c>
      <c r="K62" s="85">
        <v>42864.64162037037</v>
      </c>
      <c r="L62" s="84"/>
      <c r="M62" s="128">
        <f t="shared" si="1"/>
        <v>95.03</v>
      </c>
      <c r="N62" s="47" t="s">
        <v>259</v>
      </c>
      <c r="O62" s="89">
        <v>171.17</v>
      </c>
      <c r="P62" s="46">
        <f t="shared" si="2"/>
        <v>-76.139999999999986</v>
      </c>
      <c r="Q62" s="96"/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9" t="str">
        <f t="shared" si="1"/>
        <v/>
      </c>
      <c r="N63" s="54"/>
      <c r="O63" s="91"/>
      <c r="P63" s="127">
        <f t="shared" si="2"/>
        <v>0</v>
      </c>
      <c r="Q63" s="97"/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20839.310000000001</v>
      </c>
      <c r="G65" s="42">
        <f>SUM(G9:G63)</f>
        <v>1219.1700000000008</v>
      </c>
      <c r="H65" s="42">
        <f>SUM(H9:H63)</f>
        <v>243.84999999999991</v>
      </c>
      <c r="I65" s="42">
        <f>SUM(I9:I63)</f>
        <v>1514</v>
      </c>
      <c r="J65" s="42">
        <f>SUM(J9:J63)</f>
        <v>17862.290000000005</v>
      </c>
      <c r="K65" s="41"/>
      <c r="L65" s="42">
        <f>SUM(L9:L63)</f>
        <v>3005.2999999999997</v>
      </c>
      <c r="M65" s="42">
        <f>SUM(M9:M63)</f>
        <v>14856.99</v>
      </c>
      <c r="N65" s="41"/>
      <c r="O65" s="42">
        <f>SUM(O9:O63)</f>
        <v>8120.0099999999966</v>
      </c>
      <c r="P65" s="42">
        <f>SUM(P9:P63)</f>
        <v>6736.98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>
      <formula1>0</formula1>
    </dataValidation>
    <dataValidation type="date" operator="greaterThanOrEqual" allowBlank="1" showErrorMessage="1" errorTitle="Invaid Date" error="Please enter a date (in format: dd/mm/yyyy)" sqref="Q32 Q40 Q47 E39 Q42 Q36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K39" sqref="K39"/>
    </sheetView>
  </sheetViews>
  <sheetFormatPr defaultRowHeight="12.75" x14ac:dyDescent="0.2"/>
  <cols>
    <col min="1" max="1" width="20.7109375" bestFit="1" customWidth="1"/>
    <col min="2" max="2" width="10.140625" bestFit="1" customWidth="1"/>
    <col min="3" max="3" width="11.28515625" bestFit="1" customWidth="1"/>
    <col min="4" max="4" width="7.1406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31" t="s">
        <v>549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43" t="s">
        <v>1123</v>
      </c>
    </row>
    <row r="4" spans="1:15" x14ac:dyDescent="0.2">
      <c r="A4" t="s">
        <v>1124</v>
      </c>
      <c r="B4">
        <v>20</v>
      </c>
    </row>
    <row r="5" spans="1:15" x14ac:dyDescent="0.2">
      <c r="A5" t="s">
        <v>1125</v>
      </c>
      <c r="B5">
        <v>78</v>
      </c>
    </row>
    <row r="6" spans="1:15" x14ac:dyDescent="0.2">
      <c r="A6" t="s">
        <v>1126</v>
      </c>
      <c r="B6">
        <v>76</v>
      </c>
    </row>
    <row r="7" spans="1:15" x14ac:dyDescent="0.2">
      <c r="A7" t="s">
        <v>1127</v>
      </c>
      <c r="B7">
        <v>64</v>
      </c>
    </row>
    <row r="8" spans="1:15" x14ac:dyDescent="0.2">
      <c r="A8" t="s">
        <v>1128</v>
      </c>
      <c r="B8">
        <v>13</v>
      </c>
    </row>
    <row r="9" spans="1:15" x14ac:dyDescent="0.2">
      <c r="A9" t="s">
        <v>1129</v>
      </c>
      <c r="B9">
        <v>19</v>
      </c>
    </row>
    <row r="10" spans="1:15" x14ac:dyDescent="0.2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5" x14ac:dyDescent="0.25">
      <c r="A11" s="143" t="s">
        <v>24</v>
      </c>
      <c r="B11" s="143" t="s">
        <v>514</v>
      </c>
      <c r="C11" s="143" t="s">
        <v>516</v>
      </c>
      <c r="D11" s="143" t="s">
        <v>551</v>
      </c>
      <c r="E11" s="143" t="s">
        <v>1130</v>
      </c>
      <c r="F11" s="143" t="s">
        <v>1131</v>
      </c>
    </row>
    <row r="12" spans="1:15" x14ac:dyDescent="0.2">
      <c r="A12" t="s">
        <v>70</v>
      </c>
      <c r="B12" s="144">
        <v>42849.580428240741</v>
      </c>
      <c r="C12">
        <v>-36</v>
      </c>
      <c r="D12" t="s">
        <v>1132</v>
      </c>
      <c r="E12">
        <v>165364</v>
      </c>
      <c r="F12" t="s">
        <v>1133</v>
      </c>
    </row>
    <row r="13" spans="1:15" x14ac:dyDescent="0.2">
      <c r="A13" t="s">
        <v>71</v>
      </c>
      <c r="B13" s="144">
        <v>42851.692384259259</v>
      </c>
      <c r="C13">
        <v>-50.66</v>
      </c>
      <c r="D13" t="s">
        <v>1134</v>
      </c>
      <c r="E13">
        <v>165376</v>
      </c>
      <c r="F13" t="s">
        <v>1133</v>
      </c>
    </row>
    <row r="14" spans="1:15" x14ac:dyDescent="0.2">
      <c r="A14" t="s">
        <v>71</v>
      </c>
      <c r="B14" s="144">
        <v>42851.691921296297</v>
      </c>
      <c r="C14">
        <v>14.66</v>
      </c>
      <c r="D14" t="s">
        <v>1135</v>
      </c>
      <c r="E14">
        <v>165375</v>
      </c>
      <c r="F14" t="s">
        <v>1133</v>
      </c>
    </row>
    <row r="15" spans="1:15" x14ac:dyDescent="0.2">
      <c r="A15" t="s">
        <v>71</v>
      </c>
      <c r="B15" s="144">
        <v>42851.691643518519</v>
      </c>
      <c r="C15">
        <v>36</v>
      </c>
      <c r="D15" t="s">
        <v>1135</v>
      </c>
      <c r="E15">
        <v>165374</v>
      </c>
      <c r="F15" t="s">
        <v>1133</v>
      </c>
    </row>
    <row r="16" spans="1:15" x14ac:dyDescent="0.2">
      <c r="A16" t="s">
        <v>69</v>
      </c>
      <c r="B16" s="144">
        <v>42851.692384259259</v>
      </c>
      <c r="C16">
        <v>50.66</v>
      </c>
      <c r="D16" t="s">
        <v>1134</v>
      </c>
      <c r="E16">
        <v>165345</v>
      </c>
      <c r="F16" t="s">
        <v>1133</v>
      </c>
    </row>
    <row r="17" spans="1:6" x14ac:dyDescent="0.2">
      <c r="A17" t="s">
        <v>69</v>
      </c>
      <c r="B17" s="144">
        <v>42851.691099537034</v>
      </c>
      <c r="C17">
        <v>16.78</v>
      </c>
      <c r="D17" t="s">
        <v>1136</v>
      </c>
      <c r="E17">
        <v>165344</v>
      </c>
      <c r="F17" t="s">
        <v>1133</v>
      </c>
    </row>
    <row r="18" spans="1:6" x14ac:dyDescent="0.2">
      <c r="A18" t="s">
        <v>69</v>
      </c>
      <c r="B18" s="144">
        <v>42851.690949074073</v>
      </c>
      <c r="C18">
        <v>17.559999999999999</v>
      </c>
      <c r="D18" t="s">
        <v>1136</v>
      </c>
      <c r="E18">
        <v>165343</v>
      </c>
      <c r="F18" t="s">
        <v>1133</v>
      </c>
    </row>
    <row r="19" spans="1:6" x14ac:dyDescent="0.2">
      <c r="A19" t="s">
        <v>69</v>
      </c>
      <c r="B19" s="144">
        <v>42849.584953703707</v>
      </c>
      <c r="C19">
        <v>-150</v>
      </c>
      <c r="D19" t="s">
        <v>1137</v>
      </c>
      <c r="E19">
        <v>165342</v>
      </c>
      <c r="F19" t="s">
        <v>1133</v>
      </c>
    </row>
    <row r="20" spans="1:6" x14ac:dyDescent="0.2">
      <c r="A20" t="s">
        <v>187</v>
      </c>
      <c r="B20" s="144">
        <v>42851.489178240743</v>
      </c>
      <c r="C20">
        <v>-199</v>
      </c>
      <c r="D20" t="s">
        <v>1138</v>
      </c>
      <c r="E20">
        <v>165245</v>
      </c>
      <c r="F20" t="s">
        <v>1133</v>
      </c>
    </row>
    <row r="21" spans="1:6" x14ac:dyDescent="0.2">
      <c r="A21" t="s">
        <v>187</v>
      </c>
      <c r="B21" s="144">
        <v>42844.697789351849</v>
      </c>
      <c r="C21">
        <v>-60</v>
      </c>
      <c r="D21" t="s">
        <v>1139</v>
      </c>
      <c r="E21">
        <v>165244</v>
      </c>
      <c r="F21" t="s">
        <v>1133</v>
      </c>
    </row>
    <row r="22" spans="1:6" x14ac:dyDescent="0.2">
      <c r="A22" t="s">
        <v>187</v>
      </c>
      <c r="B22" s="144">
        <v>42842.642557870371</v>
      </c>
      <c r="C22">
        <v>-102</v>
      </c>
      <c r="D22" t="s">
        <v>1140</v>
      </c>
      <c r="E22">
        <v>165243</v>
      </c>
      <c r="F22" t="s">
        <v>1133</v>
      </c>
    </row>
    <row r="23" spans="1:6" x14ac:dyDescent="0.2">
      <c r="A23" t="s">
        <v>99</v>
      </c>
      <c r="B23" s="144">
        <v>42849.576481481483</v>
      </c>
      <c r="C23">
        <v>-36</v>
      </c>
      <c r="D23" t="s">
        <v>1141</v>
      </c>
      <c r="E23">
        <v>165283</v>
      </c>
      <c r="F23" t="s">
        <v>1133</v>
      </c>
    </row>
    <row r="24" spans="1:6" x14ac:dyDescent="0.2">
      <c r="A24" t="s">
        <v>112</v>
      </c>
      <c r="B24" s="144">
        <v>42849.579571759263</v>
      </c>
      <c r="C24">
        <v>-36</v>
      </c>
      <c r="D24" t="s">
        <v>1142</v>
      </c>
      <c r="E24">
        <v>165408</v>
      </c>
      <c r="F24" t="s">
        <v>1133</v>
      </c>
    </row>
    <row r="25" spans="1:6" x14ac:dyDescent="0.2">
      <c r="A25" t="s">
        <v>53</v>
      </c>
      <c r="B25" s="144">
        <v>42870.665810185186</v>
      </c>
      <c r="C25">
        <v>269.83999999999997</v>
      </c>
      <c r="D25" t="s">
        <v>779</v>
      </c>
      <c r="E25">
        <v>166946</v>
      </c>
      <c r="F25" t="s">
        <v>1143</v>
      </c>
    </row>
    <row r="26" spans="1:6" x14ac:dyDescent="0.2">
      <c r="A26" t="s">
        <v>53</v>
      </c>
      <c r="B26" s="144">
        <v>42870.665810185186</v>
      </c>
      <c r="C26">
        <v>-19.43</v>
      </c>
      <c r="D26" t="s">
        <v>600</v>
      </c>
      <c r="E26">
        <v>166947</v>
      </c>
      <c r="F26" t="s">
        <v>1143</v>
      </c>
    </row>
    <row r="27" spans="1:6" x14ac:dyDescent="0.2">
      <c r="A27" t="s">
        <v>53</v>
      </c>
      <c r="B27" s="144">
        <v>42879.615219907406</v>
      </c>
      <c r="C27">
        <v>191.68</v>
      </c>
      <c r="D27" t="s">
        <v>807</v>
      </c>
      <c r="E27">
        <v>166948</v>
      </c>
      <c r="F27" t="s">
        <v>1143</v>
      </c>
    </row>
    <row r="28" spans="1:6" x14ac:dyDescent="0.2">
      <c r="A28" t="s">
        <v>53</v>
      </c>
      <c r="B28" s="144">
        <v>42879.615219907406</v>
      </c>
      <c r="C28">
        <v>-13.8</v>
      </c>
      <c r="D28" t="s">
        <v>600</v>
      </c>
      <c r="E28">
        <v>166949</v>
      </c>
      <c r="F28" t="s">
        <v>1143</v>
      </c>
    </row>
    <row r="29" spans="1:6" x14ac:dyDescent="0.2">
      <c r="A29" t="s">
        <v>69</v>
      </c>
      <c r="B29" s="144">
        <v>42886.577708333331</v>
      </c>
      <c r="C29">
        <v>-50</v>
      </c>
      <c r="D29" t="s">
        <v>818</v>
      </c>
      <c r="E29">
        <v>166987</v>
      </c>
      <c r="F29" t="s">
        <v>1143</v>
      </c>
    </row>
    <row r="30" spans="1:6" x14ac:dyDescent="0.2">
      <c r="A30" t="s">
        <v>115</v>
      </c>
      <c r="B30" s="144">
        <v>42858.513437499998</v>
      </c>
      <c r="C30">
        <v>-72</v>
      </c>
      <c r="D30" t="s">
        <v>819</v>
      </c>
      <c r="E30">
        <v>166988</v>
      </c>
      <c r="F30" t="s">
        <v>1143</v>
      </c>
    </row>
    <row r="31" spans="1:6" x14ac:dyDescent="0.2">
      <c r="A31" t="s">
        <v>115</v>
      </c>
      <c r="B31" s="144">
        <v>42859.647557870368</v>
      </c>
      <c r="C31">
        <v>-444</v>
      </c>
      <c r="D31" t="s">
        <v>804</v>
      </c>
      <c r="E31">
        <v>166989</v>
      </c>
      <c r="F31" t="s">
        <v>1143</v>
      </c>
    </row>
    <row r="32" spans="1:6" x14ac:dyDescent="0.2">
      <c r="A32" t="s">
        <v>115</v>
      </c>
      <c r="B32" s="144">
        <v>42870.665810185186</v>
      </c>
      <c r="C32">
        <v>382.68</v>
      </c>
      <c r="D32" t="s">
        <v>821</v>
      </c>
      <c r="E32">
        <v>166990</v>
      </c>
      <c r="F32" t="s">
        <v>1143</v>
      </c>
    </row>
    <row r="33" spans="1:6" x14ac:dyDescent="0.2">
      <c r="A33" t="s">
        <v>115</v>
      </c>
      <c r="B33" s="144">
        <v>42870.665810185186</v>
      </c>
      <c r="C33">
        <v>-27.55</v>
      </c>
      <c r="D33" t="s">
        <v>672</v>
      </c>
      <c r="E33">
        <v>166991</v>
      </c>
      <c r="F33" t="s">
        <v>1143</v>
      </c>
    </row>
    <row r="34" spans="1:6" x14ac:dyDescent="0.2">
      <c r="A34" t="s">
        <v>115</v>
      </c>
      <c r="B34" s="144">
        <v>42870.665810185186</v>
      </c>
      <c r="C34">
        <v>78.84</v>
      </c>
      <c r="D34" t="s">
        <v>803</v>
      </c>
      <c r="E34">
        <v>166992</v>
      </c>
      <c r="F34" t="s">
        <v>1143</v>
      </c>
    </row>
    <row r="35" spans="1:6" x14ac:dyDescent="0.2">
      <c r="A35" t="s">
        <v>115</v>
      </c>
      <c r="B35" s="144">
        <v>42870.665810185186</v>
      </c>
      <c r="C35">
        <v>-5.68</v>
      </c>
      <c r="D35" t="s">
        <v>672</v>
      </c>
      <c r="E35">
        <v>166993</v>
      </c>
      <c r="F35" t="s">
        <v>1143</v>
      </c>
    </row>
    <row r="36" spans="1:6" x14ac:dyDescent="0.2">
      <c r="A36" t="s">
        <v>119</v>
      </c>
      <c r="B36" s="144">
        <v>42865.632743055554</v>
      </c>
      <c r="C36">
        <v>-72</v>
      </c>
      <c r="D36" t="s">
        <v>830</v>
      </c>
      <c r="E36">
        <v>167008</v>
      </c>
      <c r="F36" t="s">
        <v>1143</v>
      </c>
    </row>
    <row r="37" spans="1:6" x14ac:dyDescent="0.2">
      <c r="A37" t="s">
        <v>55</v>
      </c>
      <c r="B37" s="144">
        <v>42885.375567129631</v>
      </c>
      <c r="C37">
        <v>-25</v>
      </c>
      <c r="D37" t="s">
        <v>836</v>
      </c>
      <c r="E37">
        <v>167018</v>
      </c>
      <c r="F37" t="s">
        <v>1143</v>
      </c>
    </row>
    <row r="38" spans="1:6" x14ac:dyDescent="0.2">
      <c r="A38" t="s">
        <v>61</v>
      </c>
      <c r="B38" s="144">
        <v>42879.606608796297</v>
      </c>
      <c r="C38">
        <v>-1140</v>
      </c>
      <c r="D38" t="s">
        <v>851</v>
      </c>
      <c r="E38">
        <v>167078</v>
      </c>
      <c r="F38" t="s">
        <v>1143</v>
      </c>
    </row>
    <row r="39" spans="1:6" x14ac:dyDescent="0.2">
      <c r="A39" t="s">
        <v>60</v>
      </c>
      <c r="B39" s="144">
        <v>42878.645497685182</v>
      </c>
      <c r="C39">
        <v>-144</v>
      </c>
      <c r="D39" t="s">
        <v>854</v>
      </c>
      <c r="E39">
        <v>167090</v>
      </c>
      <c r="F39" t="s">
        <v>1143</v>
      </c>
    </row>
    <row r="40" spans="1:6" x14ac:dyDescent="0.2">
      <c r="A40" t="s">
        <v>68</v>
      </c>
      <c r="B40" s="144">
        <v>42867.447754629633</v>
      </c>
      <c r="C40">
        <v>-110</v>
      </c>
      <c r="D40" t="s">
        <v>872</v>
      </c>
      <c r="E40">
        <v>167138</v>
      </c>
      <c r="F40" t="s">
        <v>1143</v>
      </c>
    </row>
    <row r="41" spans="1:6" x14ac:dyDescent="0.2">
      <c r="A41" t="s">
        <v>68</v>
      </c>
      <c r="B41" s="144">
        <v>42867.449317129627</v>
      </c>
      <c r="C41">
        <v>-50</v>
      </c>
      <c r="D41" t="s">
        <v>873</v>
      </c>
      <c r="E41">
        <v>167139</v>
      </c>
      <c r="F41" t="s">
        <v>1143</v>
      </c>
    </row>
    <row r="42" spans="1:6" x14ac:dyDescent="0.2">
      <c r="A42" t="s">
        <v>68</v>
      </c>
      <c r="B42" s="144">
        <v>42886.576539351852</v>
      </c>
      <c r="C42">
        <v>-287.05</v>
      </c>
      <c r="D42" t="s">
        <v>874</v>
      </c>
      <c r="E42">
        <v>167140</v>
      </c>
      <c r="F42" t="s">
        <v>1143</v>
      </c>
    </row>
    <row r="43" spans="1:6" x14ac:dyDescent="0.2">
      <c r="A43" t="s">
        <v>231</v>
      </c>
      <c r="B43" s="144">
        <v>42881.681898148148</v>
      </c>
      <c r="C43">
        <v>-90</v>
      </c>
      <c r="D43" t="s">
        <v>879</v>
      </c>
      <c r="E43">
        <v>167154</v>
      </c>
      <c r="F43" t="s">
        <v>1143</v>
      </c>
    </row>
    <row r="45" spans="1:6" ht="15" x14ac:dyDescent="0.25">
      <c r="A45" s="143" t="s">
        <v>1144</v>
      </c>
    </row>
    <row r="46" spans="1:6" x14ac:dyDescent="0.2">
      <c r="A46" t="s">
        <v>1145</v>
      </c>
      <c r="B46" t="s">
        <v>523</v>
      </c>
    </row>
    <row r="47" spans="1:6" x14ac:dyDescent="0.2">
      <c r="A47" t="s">
        <v>1146</v>
      </c>
      <c r="B47">
        <v>161</v>
      </c>
    </row>
    <row r="48" spans="1:6" x14ac:dyDescent="0.2">
      <c r="A48" t="s">
        <v>1147</v>
      </c>
      <c r="B48">
        <v>161</v>
      </c>
    </row>
    <row r="49" spans="1:3" x14ac:dyDescent="0.2">
      <c r="A49" t="s">
        <v>1148</v>
      </c>
      <c r="B49">
        <v>0</v>
      </c>
    </row>
    <row r="50" spans="1:3" x14ac:dyDescent="0.2">
      <c r="A50" t="s">
        <v>1149</v>
      </c>
      <c r="B50">
        <v>161</v>
      </c>
      <c r="C50">
        <v>156</v>
      </c>
    </row>
    <row r="51" spans="1:3" x14ac:dyDescent="0.2">
      <c r="A51" t="s">
        <v>1150</v>
      </c>
      <c r="B51">
        <v>5</v>
      </c>
      <c r="C51">
        <v>5</v>
      </c>
    </row>
    <row r="52" spans="1:3" x14ac:dyDescent="0.2">
      <c r="A52" t="s">
        <v>1151</v>
      </c>
      <c r="B52">
        <v>31</v>
      </c>
      <c r="C52">
        <v>31</v>
      </c>
    </row>
    <row r="54" spans="1:3" x14ac:dyDescent="0.2">
      <c r="A54" t="s">
        <v>1145</v>
      </c>
      <c r="B54" t="s">
        <v>524</v>
      </c>
    </row>
    <row r="55" spans="1:3" x14ac:dyDescent="0.2">
      <c r="A55" t="s">
        <v>1146</v>
      </c>
      <c r="B55">
        <v>63</v>
      </c>
    </row>
    <row r="56" spans="1:3" x14ac:dyDescent="0.2">
      <c r="A56" t="s">
        <v>1147</v>
      </c>
      <c r="B56">
        <v>63</v>
      </c>
    </row>
    <row r="57" spans="1:3" x14ac:dyDescent="0.2">
      <c r="A57" t="s">
        <v>1148</v>
      </c>
      <c r="B57">
        <v>0</v>
      </c>
    </row>
    <row r="58" spans="1:3" x14ac:dyDescent="0.2">
      <c r="A58" t="s">
        <v>1149</v>
      </c>
      <c r="B58">
        <v>63</v>
      </c>
      <c r="C58">
        <v>63</v>
      </c>
    </row>
    <row r="59" spans="1:3" x14ac:dyDescent="0.2">
      <c r="A59" t="s">
        <v>1150</v>
      </c>
      <c r="B59">
        <v>0</v>
      </c>
      <c r="C59">
        <v>0</v>
      </c>
    </row>
    <row r="60" spans="1:3" x14ac:dyDescent="0.2">
      <c r="A60" t="s">
        <v>1151</v>
      </c>
      <c r="B60">
        <v>16</v>
      </c>
      <c r="C60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1"/>
  <sheetViews>
    <sheetView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5" t="s">
        <v>522</v>
      </c>
      <c r="B1" s="105"/>
    </row>
    <row r="2" spans="1:9" ht="15" x14ac:dyDescent="0.25">
      <c r="A2" s="105"/>
      <c r="B2" s="105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20839.310000000001</v>
      </c>
      <c r="E5" s="52">
        <v>13097.150000000001</v>
      </c>
      <c r="H5" s="52">
        <v>7742.1600000000008</v>
      </c>
    </row>
    <row r="6" spans="1:9" x14ac:dyDescent="0.2">
      <c r="A6" t="s">
        <v>214</v>
      </c>
      <c r="C6" s="55">
        <v>-8120.0099999999966</v>
      </c>
      <c r="F6" s="55">
        <v>-4624.49</v>
      </c>
      <c r="I6" s="55">
        <v>-3495.5199999999995</v>
      </c>
    </row>
    <row r="7" spans="1:9" x14ac:dyDescent="0.2">
      <c r="A7" t="s">
        <v>213</v>
      </c>
      <c r="C7" s="55">
        <v>-1219.1700000000008</v>
      </c>
      <c r="F7" s="55">
        <v>-754.6600000000002</v>
      </c>
      <c r="I7" s="55">
        <v>-464.51</v>
      </c>
    </row>
    <row r="8" spans="1:9" x14ac:dyDescent="0.2">
      <c r="A8" t="s">
        <v>212</v>
      </c>
      <c r="C8" s="55">
        <v>-243.84999999999991</v>
      </c>
      <c r="F8" s="55">
        <v>-150.94000000000003</v>
      </c>
      <c r="I8" s="55">
        <v>-40.729999999999997</v>
      </c>
    </row>
    <row r="9" spans="1:9" x14ac:dyDescent="0.2">
      <c r="A9" t="s">
        <v>211</v>
      </c>
      <c r="C9" s="55">
        <v>-4519.2999999999993</v>
      </c>
      <c r="F9" s="55">
        <v>-4093.2999999999997</v>
      </c>
      <c r="I9" s="55">
        <v>-426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6736.980000000005</v>
      </c>
      <c r="D12" s="53"/>
      <c r="E12" s="51">
        <v>3473.760000000002</v>
      </c>
      <c r="H12" s="51">
        <v>3315.4000000000005</v>
      </c>
    </row>
    <row r="13" spans="1:9" ht="15.75" thickTop="1" x14ac:dyDescent="0.25">
      <c r="A13" s="106"/>
      <c r="B13" s="106"/>
      <c r="C13" s="144"/>
      <c r="F13" s="144"/>
    </row>
    <row r="14" spans="1:9" ht="30" x14ac:dyDescent="0.25">
      <c r="A14" s="106"/>
      <c r="B14" s="107" t="s">
        <v>523</v>
      </c>
      <c r="C14" s="107" t="s">
        <v>524</v>
      </c>
      <c r="D14" s="108" t="s">
        <v>594</v>
      </c>
      <c r="E14" s="109" t="s">
        <v>523</v>
      </c>
      <c r="F14" s="110" t="s">
        <v>524</v>
      </c>
    </row>
    <row r="15" spans="1:9" ht="15" x14ac:dyDescent="0.25">
      <c r="A15" s="106" t="s">
        <v>525</v>
      </c>
      <c r="B15" s="103">
        <v>3473.760000000002</v>
      </c>
      <c r="C15" s="103">
        <v>3315.4000000000005</v>
      </c>
      <c r="D15" s="111"/>
      <c r="E15" s="112">
        <v>0.51166270937789071</v>
      </c>
      <c r="F15" s="113">
        <v>0.48833729062210923</v>
      </c>
    </row>
    <row r="16" spans="1:9" ht="15" x14ac:dyDescent="0.25">
      <c r="A16" s="106"/>
      <c r="B16" s="114"/>
      <c r="C16" s="114"/>
      <c r="D16" s="115"/>
      <c r="E16" s="116"/>
      <c r="F16" s="117"/>
    </row>
    <row r="17" spans="1:17" x14ac:dyDescent="0.2">
      <c r="A17" s="102" t="s">
        <v>519</v>
      </c>
      <c r="B17" s="103">
        <v>-4515.5600000000004</v>
      </c>
      <c r="C17" s="103">
        <v>-3495.5200000000004</v>
      </c>
      <c r="D17" s="118"/>
      <c r="E17" s="119"/>
      <c r="F17" s="120"/>
      <c r="H17" t="s">
        <v>520</v>
      </c>
    </row>
    <row r="18" spans="1:17" x14ac:dyDescent="0.2">
      <c r="A18" s="102" t="s">
        <v>25</v>
      </c>
      <c r="B18" s="103">
        <v>11127.55</v>
      </c>
      <c r="C18" s="103">
        <v>6686.9199999999992</v>
      </c>
      <c r="D18" s="118"/>
      <c r="E18" s="119"/>
      <c r="F18" s="120"/>
      <c r="H18" t="s">
        <v>521</v>
      </c>
    </row>
    <row r="19" spans="1:17" x14ac:dyDescent="0.2">
      <c r="A19" s="102"/>
      <c r="B19" s="104">
        <v>6611.9899999999989</v>
      </c>
      <c r="C19" s="104">
        <v>3191.3999999999987</v>
      </c>
      <c r="D19" s="118"/>
      <c r="E19" s="119"/>
      <c r="F19" s="120"/>
    </row>
    <row r="20" spans="1:17" ht="15" x14ac:dyDescent="0.25">
      <c r="A20" s="106"/>
      <c r="B20" s="103"/>
      <c r="C20" s="103"/>
      <c r="D20" s="118"/>
      <c r="E20" s="119"/>
      <c r="F20" s="120"/>
      <c r="H20" s="106"/>
    </row>
    <row r="21" spans="1:17" x14ac:dyDescent="0.2">
      <c r="A21" t="s">
        <v>526</v>
      </c>
      <c r="B21" s="103">
        <v>-550</v>
      </c>
      <c r="C21" s="103">
        <v>-550</v>
      </c>
      <c r="D21" s="118"/>
      <c r="E21" s="119"/>
      <c r="F21" s="120"/>
      <c r="H21" t="s">
        <v>527</v>
      </c>
    </row>
    <row r="22" spans="1:17" x14ac:dyDescent="0.2">
      <c r="A22" s="144" t="s">
        <v>528</v>
      </c>
      <c r="B22" s="103">
        <v>-50</v>
      </c>
      <c r="C22" s="103">
        <v>-50</v>
      </c>
      <c r="D22" s="118"/>
      <c r="E22" s="119"/>
      <c r="F22" s="120"/>
      <c r="H22" s="144" t="s">
        <v>529</v>
      </c>
    </row>
    <row r="23" spans="1:17" x14ac:dyDescent="0.2">
      <c r="A23" s="144"/>
      <c r="B23" s="103"/>
      <c r="C23" s="103"/>
      <c r="D23" s="118"/>
      <c r="E23" s="119"/>
      <c r="F23" s="120"/>
      <c r="H23" s="144"/>
    </row>
    <row r="24" spans="1:17" x14ac:dyDescent="0.2">
      <c r="A24" s="144" t="s">
        <v>534</v>
      </c>
      <c r="B24" s="103">
        <v>-58.57</v>
      </c>
      <c r="C24" s="103">
        <v>-102.63</v>
      </c>
      <c r="D24" s="118"/>
      <c r="E24" s="119">
        <v>0</v>
      </c>
      <c r="F24" s="120">
        <v>0</v>
      </c>
      <c r="H24" s="144" t="s">
        <v>535</v>
      </c>
    </row>
    <row r="25" spans="1:17" x14ac:dyDescent="0.2">
      <c r="A25" s="144" t="s">
        <v>541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4" t="s">
        <v>542</v>
      </c>
    </row>
    <row r="26" spans="1:17" x14ac:dyDescent="0.2">
      <c r="A26" s="144" t="s">
        <v>543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44" t="s">
        <v>544</v>
      </c>
    </row>
    <row r="27" spans="1:17" x14ac:dyDescent="0.2">
      <c r="A27" s="144"/>
      <c r="B27" s="103"/>
      <c r="C27" s="103"/>
      <c r="D27" s="118"/>
      <c r="E27" s="119"/>
      <c r="F27" s="120"/>
      <c r="H27" s="144"/>
    </row>
    <row r="28" spans="1:17" x14ac:dyDescent="0.2">
      <c r="A28" s="138" t="s">
        <v>597</v>
      </c>
      <c r="B28" s="103"/>
      <c r="C28" s="103"/>
      <c r="D28" s="118"/>
      <c r="E28" s="119"/>
      <c r="F28" s="120"/>
      <c r="H28" s="144"/>
    </row>
    <row r="29" spans="1:17" x14ac:dyDescent="0.2">
      <c r="A29" t="s">
        <v>530</v>
      </c>
      <c r="B29" s="103">
        <v>0</v>
      </c>
      <c r="C29" s="103">
        <v>-200</v>
      </c>
      <c r="D29" s="118">
        <v>-200</v>
      </c>
      <c r="E29" s="119">
        <v>-102.33254187557814</v>
      </c>
      <c r="F29" s="120">
        <v>-97.667458124421842</v>
      </c>
      <c r="H29" t="s">
        <v>531</v>
      </c>
      <c r="J29" s="56"/>
      <c r="Q29" s="56"/>
    </row>
    <row r="30" spans="1:17" x14ac:dyDescent="0.2">
      <c r="A30" s="144" t="s">
        <v>532</v>
      </c>
      <c r="B30" s="103">
        <v>0</v>
      </c>
      <c r="C30" s="103">
        <v>-2703.5</v>
      </c>
      <c r="D30" s="118">
        <v>-2703.5</v>
      </c>
      <c r="E30" s="119">
        <v>-1383.2801348031276</v>
      </c>
      <c r="F30" s="120">
        <v>-1320.2198651968722</v>
      </c>
      <c r="H30" s="144" t="s">
        <v>533</v>
      </c>
      <c r="Q30" s="56"/>
    </row>
    <row r="31" spans="1:17" x14ac:dyDescent="0.2">
      <c r="A31" s="144" t="s">
        <v>536</v>
      </c>
      <c r="B31" s="103">
        <v>0</v>
      </c>
      <c r="C31" s="103">
        <v>-75.63</v>
      </c>
      <c r="D31" s="118">
        <v>-75.63</v>
      </c>
      <c r="E31" s="119">
        <v>-38.697050710249876</v>
      </c>
      <c r="F31" s="120">
        <v>-36.93294928975012</v>
      </c>
      <c r="H31" t="s">
        <v>537</v>
      </c>
    </row>
    <row r="32" spans="1:17" x14ac:dyDescent="0.2">
      <c r="A32" s="144" t="s">
        <v>538</v>
      </c>
      <c r="B32" s="103">
        <v>0</v>
      </c>
      <c r="C32" s="103">
        <v>-53.99</v>
      </c>
      <c r="D32" s="118">
        <v>-53.99</v>
      </c>
      <c r="E32" s="119">
        <v>-27.624669679312319</v>
      </c>
      <c r="F32" s="120">
        <v>-26.365330320687679</v>
      </c>
      <c r="H32" t="s">
        <v>539</v>
      </c>
    </row>
    <row r="33" spans="1:8" ht="15" x14ac:dyDescent="0.25">
      <c r="A33" s="144" t="s">
        <v>540</v>
      </c>
      <c r="B33" s="121">
        <v>-718.24</v>
      </c>
      <c r="C33" s="103">
        <v>-3500</v>
      </c>
      <c r="D33" s="118">
        <v>-4218.24</v>
      </c>
      <c r="E33" s="119">
        <v>-2158.3161072061935</v>
      </c>
      <c r="F33" s="120">
        <v>-2059.9238927938059</v>
      </c>
      <c r="H33" s="56" t="s">
        <v>1166</v>
      </c>
    </row>
    <row r="34" spans="1:8" x14ac:dyDescent="0.2">
      <c r="A34" s="144" t="s">
        <v>25</v>
      </c>
      <c r="B34" s="103">
        <v>0</v>
      </c>
      <c r="C34" s="103">
        <v>0</v>
      </c>
      <c r="D34" s="118">
        <v>0</v>
      </c>
      <c r="E34" s="119">
        <v>0</v>
      </c>
      <c r="F34" s="120">
        <v>0</v>
      </c>
      <c r="H34" s="144" t="s">
        <v>545</v>
      </c>
    </row>
    <row r="35" spans="1:8" x14ac:dyDescent="0.2">
      <c r="A35" s="134" t="s">
        <v>1164</v>
      </c>
      <c r="B35" s="103">
        <v>-885.46</v>
      </c>
      <c r="C35" s="103"/>
      <c r="D35" s="118"/>
      <c r="E35" s="119"/>
      <c r="F35" s="136"/>
      <c r="H35" s="134" t="s">
        <v>1165</v>
      </c>
    </row>
    <row r="36" spans="1:8" x14ac:dyDescent="0.2">
      <c r="B36" s="122">
        <v>-2781.7700000000004</v>
      </c>
      <c r="C36" s="122">
        <v>-7268.75</v>
      </c>
      <c r="D36" s="123">
        <v>-7251.36</v>
      </c>
      <c r="E36" s="124">
        <v>-3710.2505042744615</v>
      </c>
      <c r="F36" s="122">
        <v>-3541.1094957255373</v>
      </c>
    </row>
    <row r="37" spans="1:8" x14ac:dyDescent="0.2">
      <c r="B37" s="136"/>
      <c r="C37" s="136"/>
      <c r="D37" s="136"/>
      <c r="E37" s="119"/>
      <c r="F37" s="136"/>
    </row>
    <row r="38" spans="1:8" x14ac:dyDescent="0.2">
      <c r="A38" s="137" t="s">
        <v>595</v>
      </c>
      <c r="E38" s="103">
        <v>-718.24</v>
      </c>
      <c r="F38" s="103">
        <v>-6533.12</v>
      </c>
    </row>
    <row r="39" spans="1:8" x14ac:dyDescent="0.2">
      <c r="A39" s="134" t="s">
        <v>596</v>
      </c>
      <c r="E39" s="126">
        <v>-2609.16</v>
      </c>
      <c r="F39" s="103">
        <v>2609.16</v>
      </c>
      <c r="H39" t="s">
        <v>546</v>
      </c>
    </row>
    <row r="40" spans="1:8" x14ac:dyDescent="0.2">
      <c r="E40" s="125"/>
      <c r="F40" s="103"/>
    </row>
    <row r="41" spans="1:8" x14ac:dyDescent="0.2">
      <c r="A41" t="s">
        <v>547</v>
      </c>
      <c r="E41" s="124">
        <v>-382.85050427446185</v>
      </c>
      <c r="F41" s="124">
        <v>382.85050427446276</v>
      </c>
    </row>
    <row r="42" spans="1:8" x14ac:dyDescent="0.2">
      <c r="A42" s="139" t="s">
        <v>598</v>
      </c>
    </row>
    <row r="43" spans="1:8" x14ac:dyDescent="0.2">
      <c r="A43" s="139"/>
      <c r="E43" s="103"/>
    </row>
    <row r="44" spans="1:8" x14ac:dyDescent="0.2">
      <c r="A44" s="134"/>
      <c r="E44" s="103"/>
    </row>
    <row r="45" spans="1:8" x14ac:dyDescent="0.2">
      <c r="A45" s="56"/>
      <c r="E45" s="103"/>
    </row>
    <row r="46" spans="1:8" x14ac:dyDescent="0.2">
      <c r="A46" s="139"/>
    </row>
    <row r="47" spans="1:8" x14ac:dyDescent="0.2">
      <c r="A47" s="139"/>
      <c r="E47" s="122">
        <v>-382.85050427446185</v>
      </c>
    </row>
    <row r="49" spans="1:1" x14ac:dyDescent="0.2">
      <c r="A49" s="50" t="s">
        <v>548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1"/>
  <sheetViews>
    <sheetView zoomScale="85" zoomScaleNormal="85" workbookViewId="0">
      <selection activeCell="B49" sqref="B49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5" t="s">
        <v>522</v>
      </c>
      <c r="B1" s="105"/>
    </row>
    <row r="2" spans="1:9" ht="15" x14ac:dyDescent="0.25">
      <c r="A2" s="105"/>
      <c r="B2" s="105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20839.310000000001</v>
      </c>
      <c r="E5" s="52">
        <f>SUMIF('Rent Statement'!S9:S63,"=Mathew Tucker", 'Rent Statement'!F9:F63)</f>
        <v>13097.150000000001</v>
      </c>
      <c r="H5" s="52">
        <f>SUMIF('Rent Statement'!S9:S63,"Ivana Valentino", 'Rent Statement'!F9:F63)</f>
        <v>7742.1600000000008</v>
      </c>
    </row>
    <row r="6" spans="1:9" x14ac:dyDescent="0.2">
      <c r="A6" t="s">
        <v>214</v>
      </c>
      <c r="C6" s="55">
        <f>-SUM('Rent Statement'!O9:O63)</f>
        <v>-8120.0099999999966</v>
      </c>
      <c r="F6" s="55">
        <f>-SUMIF('Rent Statement'!S9:S63,"Mathew Tucker",'Rent Statement'!O9:O63)</f>
        <v>-4624.49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-1219.1700000000008</v>
      </c>
      <c r="F7" s="55">
        <f>-SUMIF('Rent Statement'!S9:S63,"Mathew Tucker",'Rent Statement'!G9:G63)</f>
        <v>-754.6600000000002</v>
      </c>
      <c r="I7" s="55">
        <f>-SUMIF('Rent Statement'!S9:S63,"Ivana Valentino",'Rent Statement'!G9:G63)</f>
        <v>-464.51</v>
      </c>
    </row>
    <row r="8" spans="1:9" x14ac:dyDescent="0.2">
      <c r="A8" t="s">
        <v>212</v>
      </c>
      <c r="C8" s="55">
        <f>-SUM('Rent Statement'!H9:H63)</f>
        <v>-243.84999999999991</v>
      </c>
      <c r="F8" s="55">
        <f>-SUMIF('Rent Statement'!S9:S63,"Mathew Tucker",'Rent Statement'!H9:H63)</f>
        <v>-150.94000000000003</v>
      </c>
      <c r="I8" s="55">
        <f ca="1">-SUMIF('Rent Statement'!S9:S63,"Ivana Valentino",'Rent Statement'!H10:H63)</f>
        <v>-40.729999999999997</v>
      </c>
    </row>
    <row r="9" spans="1:9" x14ac:dyDescent="0.2">
      <c r="A9" t="s">
        <v>211</v>
      </c>
      <c r="C9" s="55">
        <f>-SUM('Rent Statement'!I9:I63)-SUM('Rent Statement'!L9:L63)</f>
        <v>-4519.2999999999993</v>
      </c>
      <c r="F9" s="55">
        <f>-SUMIF('Rent Statement'!S9:S63,"Mathew Tucker",'Rent Statement'!I9:I63)-SUMIF('Rent Statement'!S9:S63,"Mathew Tucker",'Rent Statement'!L9:L63)</f>
        <v>-4093.2999999999997</v>
      </c>
      <c r="I9" s="55">
        <f>-SUMIF('Rent Statement'!S10:S63,"Ivana Valentino",'Rent Statement'!I10:I63)-SUMIF('Rent Statement'!S10:S63,"Ivana Valentino",'Rent Statement'!L10:L63)</f>
        <v>-426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6736.980000000005</v>
      </c>
      <c r="D12" s="53"/>
      <c r="E12" s="51">
        <f>E5+SUM(F6:F10)</f>
        <v>3473.760000000002</v>
      </c>
      <c r="H12" s="51">
        <f ca="1">H5+SUM(I6:I10)</f>
        <v>3315.4000000000005</v>
      </c>
    </row>
    <row r="13" spans="1:9" ht="15.75" thickTop="1" x14ac:dyDescent="0.25">
      <c r="A13" s="106"/>
      <c r="B13" s="106"/>
      <c r="C13" s="101"/>
      <c r="F13" s="101"/>
    </row>
    <row r="14" spans="1:9" ht="30" x14ac:dyDescent="0.25">
      <c r="A14" s="106"/>
      <c r="B14" s="107" t="s">
        <v>523</v>
      </c>
      <c r="C14" s="107" t="s">
        <v>524</v>
      </c>
      <c r="D14" s="108" t="s">
        <v>594</v>
      </c>
      <c r="E14" s="109" t="s">
        <v>523</v>
      </c>
      <c r="F14" s="110" t="s">
        <v>524</v>
      </c>
    </row>
    <row r="15" spans="1:9" ht="15" x14ac:dyDescent="0.25">
      <c r="A15" s="106" t="s">
        <v>525</v>
      </c>
      <c r="B15" s="103">
        <f>E12</f>
        <v>3473.760000000002</v>
      </c>
      <c r="C15" s="103">
        <f ca="1">H12</f>
        <v>3315.4000000000005</v>
      </c>
      <c r="D15" s="111"/>
      <c r="E15" s="112">
        <f ca="1">IFERROR(B15/($B$15+$C$15),"")</f>
        <v>0.51166270937789071</v>
      </c>
      <c r="F15" s="113">
        <f ca="1">IFERROR(C15/($B$15+$C$15),"")</f>
        <v>0.48833729062210923</v>
      </c>
    </row>
    <row r="16" spans="1:9" ht="15" x14ac:dyDescent="0.25">
      <c r="A16" s="106"/>
      <c r="B16" s="114"/>
      <c r="C16" s="114"/>
      <c r="D16" s="115"/>
      <c r="E16" s="116"/>
      <c r="F16" s="117"/>
    </row>
    <row r="17" spans="1:17" x14ac:dyDescent="0.2">
      <c r="A17" s="102" t="s">
        <v>519</v>
      </c>
      <c r="B17" s="103" t="e">
        <f ca="1">_xll.EVAL("SUM(SUMIFS(MT_Amount, MT_BankRef," &amp;$H17&amp; "))")</f>
        <v>#NAME?</v>
      </c>
      <c r="C17" s="103" t="e">
        <f ca="1">_xll.EVAL("SUM(SUMIFS(IV_Amount, IV_BankRef," &amp;$H17&amp; "))")</f>
        <v>#NAME?</v>
      </c>
      <c r="D17" s="118"/>
      <c r="E17" s="119"/>
      <c r="F17" s="120"/>
      <c r="H17" t="s">
        <v>520</v>
      </c>
    </row>
    <row r="18" spans="1:17" x14ac:dyDescent="0.2">
      <c r="A18" s="102" t="s">
        <v>25</v>
      </c>
      <c r="B18" s="103" t="e">
        <f ca="1">_xll.EVAL("SUM(SUMIFS(MT_Amount, MT_BankRef," &amp;$H18&amp; "))")</f>
        <v>#NAME?</v>
      </c>
      <c r="C18" s="103" t="e">
        <f ca="1">_xll.EVAL("SUM(SUMIFS(IV_Amount, IV_BankRef," &amp;$H18&amp; "))")</f>
        <v>#NAME?</v>
      </c>
      <c r="D18" s="118"/>
      <c r="E18" s="119"/>
      <c r="F18" s="120"/>
      <c r="H18" t="s">
        <v>521</v>
      </c>
    </row>
    <row r="19" spans="1:17" x14ac:dyDescent="0.2">
      <c r="A19" s="102"/>
      <c r="B19" s="104" t="e">
        <f ca="1">SUM(B17:B18)</f>
        <v>#NAME?</v>
      </c>
      <c r="C19" s="104" t="e">
        <f ca="1">SUM(C17:C18)</f>
        <v>#NAME?</v>
      </c>
      <c r="D19" s="118"/>
      <c r="E19" s="119"/>
      <c r="F19" s="120"/>
    </row>
    <row r="20" spans="1:17" ht="15" x14ac:dyDescent="0.25">
      <c r="A20" s="106"/>
      <c r="B20" s="103"/>
      <c r="C20" s="103"/>
      <c r="D20" s="118"/>
      <c r="E20" s="119"/>
      <c r="F20" s="120"/>
      <c r="H20" s="106"/>
    </row>
    <row r="21" spans="1:17" x14ac:dyDescent="0.2">
      <c r="A21" t="s">
        <v>526</v>
      </c>
      <c r="B21" s="103" t="e">
        <f t="shared" ref="B21:B34" ca="1" si="0">_xll.EVAL("SUM(SUMIFS(MT_Amount, MT_BankRef," &amp;$H21&amp; "))")</f>
        <v>#NAME?</v>
      </c>
      <c r="C21" s="103" t="e">
        <f t="shared" ref="C21:C34" ca="1" si="1">_xll.EVAL("SUM(SUMIFS(IV_Amount, IV_BankRef," &amp;$H21&amp; "))")</f>
        <v>#NAME?</v>
      </c>
      <c r="D21" s="118"/>
      <c r="E21" s="119"/>
      <c r="F21" s="120"/>
      <c r="H21" t="s">
        <v>527</v>
      </c>
    </row>
    <row r="22" spans="1:17" x14ac:dyDescent="0.2">
      <c r="A22" s="133" t="s">
        <v>528</v>
      </c>
      <c r="B22" s="103" t="e">
        <f t="shared" ca="1" si="0"/>
        <v>#NAME?</v>
      </c>
      <c r="C22" s="103" t="e">
        <f t="shared" ca="1" si="1"/>
        <v>#NAME?</v>
      </c>
      <c r="D22" s="118"/>
      <c r="E22" s="119"/>
      <c r="F22" s="120"/>
      <c r="H22" s="133" t="s">
        <v>529</v>
      </c>
    </row>
    <row r="23" spans="1:17" x14ac:dyDescent="0.2">
      <c r="A23" s="133"/>
      <c r="B23" s="103"/>
      <c r="C23" s="103"/>
      <c r="D23" s="118"/>
      <c r="E23" s="119"/>
      <c r="F23" s="120"/>
      <c r="H23" s="133"/>
    </row>
    <row r="24" spans="1:17" x14ac:dyDescent="0.2">
      <c r="A24" s="133" t="s">
        <v>534</v>
      </c>
      <c r="B24" s="103" t="e">
        <f ca="1">_xll.EVAL("SUM(SUMIFS(MT_Amount, MT_BankRef," &amp;$H24&amp; "))")</f>
        <v>#NAME?</v>
      </c>
      <c r="C24" s="103" t="e">
        <f ca="1">_xll.EVAL("SUM(SUMIFS(IV_Amount, IV_BankRef," &amp;$H24&amp; "))")</f>
        <v>#NAME?</v>
      </c>
      <c r="D24" s="118"/>
      <c r="E24" s="119">
        <f t="shared" ref="E24:F26" ca="1" si="2">IFERROR(($D24)*E$15,"")</f>
        <v>0</v>
      </c>
      <c r="F24" s="120">
        <f t="shared" ca="1" si="2"/>
        <v>0</v>
      </c>
      <c r="H24" s="133" t="s">
        <v>535</v>
      </c>
    </row>
    <row r="25" spans="1:17" x14ac:dyDescent="0.2">
      <c r="A25" s="133" t="s">
        <v>541</v>
      </c>
      <c r="B25" s="103" t="e">
        <f ca="1">_xll.EVAL("SUM(SUMIFS(MT_Amount, MT_BankRef," &amp;$H25&amp; "))")</f>
        <v>#NAME?</v>
      </c>
      <c r="C25" s="103" t="e">
        <f ca="1">_xll.EVAL("SUM(SUMIFS(IV_Amount, IV_BankRef," &amp;$H25&amp; "))")</f>
        <v>#NAME?</v>
      </c>
      <c r="D25" s="118"/>
      <c r="E25" s="119">
        <f t="shared" ca="1" si="2"/>
        <v>0</v>
      </c>
      <c r="F25" s="120">
        <f t="shared" ca="1" si="2"/>
        <v>0</v>
      </c>
      <c r="H25" s="133" t="s">
        <v>542</v>
      </c>
    </row>
    <row r="26" spans="1:17" x14ac:dyDescent="0.2">
      <c r="A26" s="133" t="s">
        <v>543</v>
      </c>
      <c r="B26" s="103" t="e">
        <f ca="1">_xll.EVAL("SUM(SUMIFS(MT_Amount, MT_BankRef," &amp;$H26&amp; "))")</f>
        <v>#NAME?</v>
      </c>
      <c r="C26" s="103" t="e">
        <f ca="1">_xll.EVAL("SUM(SUMIFS(IV_Amount, IV_BankRef," &amp;$H26&amp; "))")</f>
        <v>#NAME?</v>
      </c>
      <c r="D26" s="118"/>
      <c r="E26" s="119">
        <f t="shared" ca="1" si="2"/>
        <v>0</v>
      </c>
      <c r="F26" s="120">
        <f t="shared" ca="1" si="2"/>
        <v>0</v>
      </c>
      <c r="H26" s="133" t="s">
        <v>544</v>
      </c>
    </row>
    <row r="27" spans="1:17" x14ac:dyDescent="0.2">
      <c r="A27" s="133"/>
      <c r="B27" s="103"/>
      <c r="C27" s="103"/>
      <c r="D27" s="118"/>
      <c r="E27" s="119"/>
      <c r="F27" s="120"/>
      <c r="H27" s="133"/>
    </row>
    <row r="28" spans="1:17" x14ac:dyDescent="0.2">
      <c r="A28" s="138" t="s">
        <v>597</v>
      </c>
      <c r="B28" s="103"/>
      <c r="C28" s="103"/>
      <c r="D28" s="118"/>
      <c r="E28" s="119"/>
      <c r="F28" s="120"/>
      <c r="H28" s="133"/>
    </row>
    <row r="29" spans="1:17" x14ac:dyDescent="0.2">
      <c r="A29" t="s">
        <v>530</v>
      </c>
      <c r="B29" s="103" t="e">
        <f t="shared" ca="1" si="0"/>
        <v>#NAME?</v>
      </c>
      <c r="C29" s="103" t="e">
        <f t="shared" ca="1" si="1"/>
        <v>#NAME?</v>
      </c>
      <c r="D29" s="118" t="e">
        <f t="shared" ref="D29:D34" ca="1" si="3">B29+C29</f>
        <v>#NAME?</v>
      </c>
      <c r="E29" s="119" t="str">
        <f ca="1">IFERROR(($D29)*E$15,"")</f>
        <v/>
      </c>
      <c r="F29" s="120" t="str">
        <f ca="1">IFERROR(($D29)*F$15,"")</f>
        <v/>
      </c>
      <c r="H29" t="s">
        <v>531</v>
      </c>
      <c r="J29" s="56"/>
      <c r="Q29" s="56"/>
    </row>
    <row r="30" spans="1:17" x14ac:dyDescent="0.2">
      <c r="A30" s="133" t="s">
        <v>532</v>
      </c>
      <c r="B30" s="103" t="e">
        <f t="shared" ca="1" si="0"/>
        <v>#NAME?</v>
      </c>
      <c r="C30" s="103" t="e">
        <f t="shared" ca="1" si="1"/>
        <v>#NAME?</v>
      </c>
      <c r="D30" s="118" t="e">
        <f t="shared" ca="1" si="3"/>
        <v>#NAME?</v>
      </c>
      <c r="E30" s="119" t="str">
        <f t="shared" ref="E30:F34" ca="1" si="4">IFERROR(($D30)*E$15,"")</f>
        <v/>
      </c>
      <c r="F30" s="120" t="str">
        <f t="shared" ca="1" si="4"/>
        <v/>
      </c>
      <c r="H30" s="133" t="s">
        <v>533</v>
      </c>
      <c r="Q30" s="56"/>
    </row>
    <row r="31" spans="1:17" x14ac:dyDescent="0.2">
      <c r="A31" s="133" t="s">
        <v>536</v>
      </c>
      <c r="B31" s="103" t="e">
        <f t="shared" ca="1" si="0"/>
        <v>#NAME?</v>
      </c>
      <c r="C31" s="103" t="e">
        <f t="shared" ca="1" si="1"/>
        <v>#NAME?</v>
      </c>
      <c r="D31" s="118" t="e">
        <f t="shared" ca="1" si="3"/>
        <v>#NAME?</v>
      </c>
      <c r="E31" s="119" t="str">
        <f t="shared" ca="1" si="4"/>
        <v/>
      </c>
      <c r="F31" s="120" t="str">
        <f t="shared" ca="1" si="4"/>
        <v/>
      </c>
      <c r="H31" t="s">
        <v>537</v>
      </c>
    </row>
    <row r="32" spans="1:17" x14ac:dyDescent="0.2">
      <c r="A32" s="133" t="s">
        <v>538</v>
      </c>
      <c r="B32" s="103" t="e">
        <f t="shared" ca="1" si="0"/>
        <v>#NAME?</v>
      </c>
      <c r="C32" s="103" t="e">
        <f t="shared" ca="1" si="1"/>
        <v>#NAME?</v>
      </c>
      <c r="D32" s="118" t="e">
        <f t="shared" ca="1" si="3"/>
        <v>#NAME?</v>
      </c>
      <c r="E32" s="119" t="str">
        <f t="shared" ca="1" si="4"/>
        <v/>
      </c>
      <c r="F32" s="120" t="str">
        <f t="shared" ca="1" si="4"/>
        <v/>
      </c>
      <c r="H32" t="s">
        <v>539</v>
      </c>
    </row>
    <row r="33" spans="1:8" ht="15" x14ac:dyDescent="0.25">
      <c r="A33" s="133" t="s">
        <v>540</v>
      </c>
      <c r="B33" s="121" t="e">
        <f t="shared" ca="1" si="0"/>
        <v>#NAME?</v>
      </c>
      <c r="C33" s="103" t="e">
        <f ca="1">_xll.EVAL("SUM(SUMIFS(IV_Amount, IV_BankRef," &amp;$H33&amp; "))")-SUMIFS(IV_Amount_4040, IV_BankRef_4040,"=X")</f>
        <v>#NAME?</v>
      </c>
      <c r="D33" s="118" t="e">
        <f t="shared" ca="1" si="3"/>
        <v>#NAME?</v>
      </c>
      <c r="E33" s="119" t="str">
        <f t="shared" ca="1" si="4"/>
        <v/>
      </c>
      <c r="F33" s="120" t="str">
        <f t="shared" ca="1" si="4"/>
        <v/>
      </c>
      <c r="H33" s="56" t="s">
        <v>1166</v>
      </c>
    </row>
    <row r="34" spans="1:8" x14ac:dyDescent="0.2">
      <c r="A34" s="133" t="s">
        <v>25</v>
      </c>
      <c r="B34" s="103" t="e">
        <f t="shared" ca="1" si="0"/>
        <v>#NAME?</v>
      </c>
      <c r="C34" s="103" t="e">
        <f t="shared" ca="1" si="1"/>
        <v>#NAME?</v>
      </c>
      <c r="D34" s="118" t="e">
        <f t="shared" ca="1" si="3"/>
        <v>#NAME?</v>
      </c>
      <c r="E34" s="119" t="str">
        <f t="shared" ca="1" si="4"/>
        <v/>
      </c>
      <c r="F34" s="120" t="str">
        <f t="shared" ca="1" si="4"/>
        <v/>
      </c>
      <c r="H34" s="133" t="s">
        <v>545</v>
      </c>
    </row>
    <row r="35" spans="1:8" x14ac:dyDescent="0.2">
      <c r="A35" s="134" t="s">
        <v>1164</v>
      </c>
      <c r="B35" s="103" t="e">
        <f ca="1">_xll.EVAL("SUM(SUMIFS(MT_Amount, MT_Desc," &amp;$H35&amp; "))")</f>
        <v>#NAME?</v>
      </c>
      <c r="C35" s="103"/>
      <c r="D35" s="118"/>
      <c r="E35" s="119"/>
      <c r="F35" s="136"/>
      <c r="H35" s="134" t="s">
        <v>1165</v>
      </c>
    </row>
    <row r="36" spans="1:8" x14ac:dyDescent="0.2">
      <c r="B36" s="122" t="e">
        <f ca="1">SUBTOTAL(9,B21:B35)</f>
        <v>#NAME?</v>
      </c>
      <c r="C36" s="122" t="e">
        <f ca="1">SUBTOTAL(9,C21:C34)</f>
        <v>#NAME?</v>
      </c>
      <c r="D36" s="123" t="e">
        <f ca="1">SUBTOTAL(9,D21:D34)</f>
        <v>#NAME?</v>
      </c>
      <c r="E36" s="124">
        <f ca="1">SUBTOTAL(9,E21:E34)</f>
        <v>0</v>
      </c>
      <c r="F36" s="122">
        <f ca="1">SUBTOTAL(9,F21:F34)</f>
        <v>0</v>
      </c>
    </row>
    <row r="37" spans="1:8" x14ac:dyDescent="0.2">
      <c r="B37" s="136"/>
      <c r="C37" s="136"/>
      <c r="D37" s="136"/>
      <c r="E37" s="119"/>
      <c r="F37" s="136"/>
    </row>
    <row r="38" spans="1:8" x14ac:dyDescent="0.2">
      <c r="A38" s="137" t="s">
        <v>595</v>
      </c>
      <c r="E38" s="103" t="e">
        <f ca="1">SUM(B29:B34)</f>
        <v>#NAME?</v>
      </c>
      <c r="F38" s="103" t="e">
        <f ca="1">SUM(C29:C34)</f>
        <v>#NAME?</v>
      </c>
    </row>
    <row r="39" spans="1:8" x14ac:dyDescent="0.2">
      <c r="A39" s="134" t="s">
        <v>596</v>
      </c>
      <c r="E39" s="126" t="e">
        <f ca="1">_xll.EVAL("SUM(SUMIFS(MT_Amount, MT_BankRef," &amp;$H39&amp; "))")</f>
        <v>#NAME?</v>
      </c>
      <c r="F39" s="103" t="e">
        <f ca="1">-E39</f>
        <v>#NAME?</v>
      </c>
      <c r="H39" t="s">
        <v>546</v>
      </c>
    </row>
    <row r="40" spans="1:8" x14ac:dyDescent="0.2">
      <c r="E40" s="125"/>
      <c r="F40" s="103"/>
    </row>
    <row r="41" spans="1:8" x14ac:dyDescent="0.2">
      <c r="A41" t="s">
        <v>547</v>
      </c>
      <c r="E41" s="124" t="e">
        <f ca="1">E36-E38-E39</f>
        <v>#NAME?</v>
      </c>
      <c r="F41" s="124" t="e">
        <f ca="1">F36-F38-F39</f>
        <v>#NAME?</v>
      </c>
    </row>
    <row r="42" spans="1:8" x14ac:dyDescent="0.2">
      <c r="A42" s="139" t="s">
        <v>598</v>
      </c>
    </row>
    <row r="43" spans="1:8" x14ac:dyDescent="0.2">
      <c r="A43" s="139"/>
      <c r="E43" s="103"/>
    </row>
    <row r="44" spans="1:8" x14ac:dyDescent="0.2">
      <c r="A44" s="134"/>
      <c r="E44" s="103"/>
    </row>
    <row r="45" spans="1:8" x14ac:dyDescent="0.2">
      <c r="A45" s="56"/>
      <c r="E45" s="103"/>
    </row>
    <row r="46" spans="1:8" x14ac:dyDescent="0.2">
      <c r="A46" s="139"/>
    </row>
    <row r="47" spans="1:8" x14ac:dyDescent="0.2">
      <c r="A47" s="139"/>
      <c r="E47" s="122" t="e">
        <f ca="1">E41+E44+E45</f>
        <v>#NAME?</v>
      </c>
    </row>
    <row r="49" spans="1:1" x14ac:dyDescent="0.2">
      <c r="A49" s="50" t="s">
        <v>548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2"/>
  <sheetViews>
    <sheetView topLeftCell="A64" zoomScale="85" zoomScaleNormal="85" workbookViewId="0">
      <selection activeCell="E42" sqref="E42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513</v>
      </c>
      <c r="B1" t="s">
        <v>514</v>
      </c>
      <c r="C1" t="s">
        <v>515</v>
      </c>
      <c r="D1" t="s">
        <v>516</v>
      </c>
      <c r="E1" t="s">
        <v>517</v>
      </c>
      <c r="F1" t="s">
        <v>518</v>
      </c>
      <c r="G1" s="56" t="s">
        <v>24</v>
      </c>
      <c r="H1" s="56" t="s">
        <v>551</v>
      </c>
      <c r="I1" s="56" t="s">
        <v>552</v>
      </c>
    </row>
    <row r="2" spans="1:10" x14ac:dyDescent="0.2">
      <c r="A2" t="s">
        <v>681</v>
      </c>
      <c r="B2" s="142">
        <v>42857</v>
      </c>
      <c r="C2" t="s">
        <v>682</v>
      </c>
      <c r="D2">
        <v>-66.45</v>
      </c>
      <c r="E2" t="s">
        <v>700</v>
      </c>
      <c r="F2" t="s">
        <v>889</v>
      </c>
      <c r="H2" s="140" t="s">
        <v>1159</v>
      </c>
      <c r="I2" t="s">
        <v>1110</v>
      </c>
      <c r="J2" s="132"/>
    </row>
    <row r="3" spans="1:10" x14ac:dyDescent="0.2">
      <c r="A3" t="s">
        <v>681</v>
      </c>
      <c r="B3" s="142">
        <v>42857</v>
      </c>
      <c r="C3" t="s">
        <v>682</v>
      </c>
      <c r="D3">
        <v>-10</v>
      </c>
      <c r="E3" t="s">
        <v>700</v>
      </c>
      <c r="F3" t="s">
        <v>890</v>
      </c>
      <c r="H3" s="140" t="s">
        <v>1157</v>
      </c>
      <c r="I3" t="s">
        <v>1110</v>
      </c>
      <c r="J3" s="132"/>
    </row>
    <row r="4" spans="1:10" x14ac:dyDescent="0.2">
      <c r="A4" t="s">
        <v>681</v>
      </c>
      <c r="B4" s="142">
        <v>42857</v>
      </c>
      <c r="C4" t="s">
        <v>682</v>
      </c>
      <c r="D4">
        <v>-2609.16</v>
      </c>
      <c r="E4" t="s">
        <v>686</v>
      </c>
      <c r="F4" t="s">
        <v>687</v>
      </c>
      <c r="H4" s="132"/>
      <c r="I4" t="s">
        <v>1110</v>
      </c>
      <c r="J4" s="132"/>
    </row>
    <row r="5" spans="1:10" x14ac:dyDescent="0.2">
      <c r="A5" t="s">
        <v>681</v>
      </c>
      <c r="B5" s="142">
        <v>42857</v>
      </c>
      <c r="C5" t="s">
        <v>682</v>
      </c>
      <c r="D5">
        <v>-232.5</v>
      </c>
      <c r="E5" t="s">
        <v>686</v>
      </c>
      <c r="F5" t="s">
        <v>688</v>
      </c>
      <c r="H5" s="132"/>
      <c r="I5" t="s">
        <v>1110</v>
      </c>
      <c r="J5" s="132"/>
    </row>
    <row r="6" spans="1:10" x14ac:dyDescent="0.2">
      <c r="A6" t="s">
        <v>681</v>
      </c>
      <c r="B6" s="142">
        <v>42857</v>
      </c>
      <c r="C6" t="s">
        <v>682</v>
      </c>
      <c r="D6">
        <v>-196.79</v>
      </c>
      <c r="E6" t="s">
        <v>686</v>
      </c>
      <c r="F6" t="s">
        <v>689</v>
      </c>
      <c r="H6" s="132"/>
      <c r="I6" t="s">
        <v>1110</v>
      </c>
      <c r="J6" s="132"/>
    </row>
    <row r="7" spans="1:10" x14ac:dyDescent="0.2">
      <c r="A7" t="s">
        <v>681</v>
      </c>
      <c r="B7" s="142">
        <v>42857</v>
      </c>
      <c r="C7" t="s">
        <v>682</v>
      </c>
      <c r="D7">
        <v>-160</v>
      </c>
      <c r="E7" t="s">
        <v>686</v>
      </c>
      <c r="F7" t="s">
        <v>690</v>
      </c>
      <c r="H7" s="132"/>
      <c r="I7" t="s">
        <v>1110</v>
      </c>
      <c r="J7" s="132"/>
    </row>
    <row r="8" spans="1:10" x14ac:dyDescent="0.2">
      <c r="A8" t="s">
        <v>681</v>
      </c>
      <c r="B8" s="142">
        <v>42857</v>
      </c>
      <c r="C8" t="s">
        <v>682</v>
      </c>
      <c r="D8">
        <v>-157.5</v>
      </c>
      <c r="E8" t="s">
        <v>686</v>
      </c>
      <c r="F8" t="s">
        <v>691</v>
      </c>
      <c r="H8" s="132"/>
      <c r="I8" t="s">
        <v>1110</v>
      </c>
      <c r="J8" s="132"/>
    </row>
    <row r="9" spans="1:10" x14ac:dyDescent="0.2">
      <c r="A9" t="s">
        <v>681</v>
      </c>
      <c r="B9" s="142">
        <v>42857</v>
      </c>
      <c r="C9" t="s">
        <v>682</v>
      </c>
      <c r="D9">
        <v>-50</v>
      </c>
      <c r="E9" t="s">
        <v>686</v>
      </c>
      <c r="F9" t="s">
        <v>692</v>
      </c>
      <c r="H9" s="132"/>
      <c r="I9" t="s">
        <v>1110</v>
      </c>
      <c r="J9" s="132"/>
    </row>
    <row r="10" spans="1:10" x14ac:dyDescent="0.2">
      <c r="A10" t="s">
        <v>681</v>
      </c>
      <c r="B10" s="142">
        <v>42857</v>
      </c>
      <c r="C10" t="s">
        <v>682</v>
      </c>
      <c r="D10">
        <v>-50</v>
      </c>
      <c r="E10" t="s">
        <v>686</v>
      </c>
      <c r="F10" t="s">
        <v>693</v>
      </c>
      <c r="H10" s="132"/>
      <c r="I10" t="s">
        <v>1110</v>
      </c>
      <c r="J10" s="132"/>
    </row>
    <row r="11" spans="1:10" x14ac:dyDescent="0.2">
      <c r="A11" t="s">
        <v>681</v>
      </c>
      <c r="B11" s="142">
        <v>42857</v>
      </c>
      <c r="C11" t="s">
        <v>682</v>
      </c>
      <c r="D11">
        <v>-116</v>
      </c>
      <c r="E11" t="s">
        <v>694</v>
      </c>
      <c r="F11" t="s">
        <v>891</v>
      </c>
      <c r="H11" s="132"/>
      <c r="I11" t="s">
        <v>1111</v>
      </c>
      <c r="J11" s="132"/>
    </row>
    <row r="12" spans="1:10" x14ac:dyDescent="0.2">
      <c r="A12" t="s">
        <v>681</v>
      </c>
      <c r="B12" s="142">
        <v>42857</v>
      </c>
      <c r="C12" t="s">
        <v>682</v>
      </c>
      <c r="D12">
        <v>-180.37</v>
      </c>
      <c r="E12" t="s">
        <v>694</v>
      </c>
      <c r="F12" t="s">
        <v>695</v>
      </c>
      <c r="H12" s="132"/>
      <c r="I12" t="s">
        <v>1111</v>
      </c>
      <c r="J12" s="132"/>
    </row>
    <row r="13" spans="1:10" x14ac:dyDescent="0.2">
      <c r="A13" t="s">
        <v>681</v>
      </c>
      <c r="B13" s="142">
        <v>42857</v>
      </c>
      <c r="C13" t="s">
        <v>682</v>
      </c>
      <c r="D13">
        <v>-195.72</v>
      </c>
      <c r="E13" t="s">
        <v>694</v>
      </c>
      <c r="F13" t="s">
        <v>696</v>
      </c>
      <c r="H13" s="140"/>
      <c r="I13" t="s">
        <v>1111</v>
      </c>
      <c r="J13" s="132"/>
    </row>
    <row r="14" spans="1:10" x14ac:dyDescent="0.2">
      <c r="A14" t="s">
        <v>681</v>
      </c>
      <c r="B14" s="142">
        <v>42857</v>
      </c>
      <c r="C14" t="s">
        <v>682</v>
      </c>
      <c r="D14">
        <v>-58.57</v>
      </c>
      <c r="E14" t="s">
        <v>694</v>
      </c>
      <c r="F14" t="s">
        <v>892</v>
      </c>
      <c r="H14" s="140"/>
      <c r="I14" t="s">
        <v>1110</v>
      </c>
      <c r="J14" s="132"/>
    </row>
    <row r="15" spans="1:10" x14ac:dyDescent="0.2">
      <c r="A15" t="s">
        <v>681</v>
      </c>
      <c r="B15" s="142">
        <v>42857</v>
      </c>
      <c r="C15" t="s">
        <v>682</v>
      </c>
      <c r="D15">
        <v>-93.49</v>
      </c>
      <c r="E15" t="s">
        <v>694</v>
      </c>
      <c r="F15" t="s">
        <v>697</v>
      </c>
      <c r="H15" s="132"/>
      <c r="I15" t="s">
        <v>1111</v>
      </c>
      <c r="J15" s="132"/>
    </row>
    <row r="16" spans="1:10" x14ac:dyDescent="0.2">
      <c r="A16" t="s">
        <v>681</v>
      </c>
      <c r="B16" s="142">
        <v>42857</v>
      </c>
      <c r="C16" t="s">
        <v>682</v>
      </c>
      <c r="D16">
        <v>-93.99</v>
      </c>
      <c r="E16" t="s">
        <v>694</v>
      </c>
      <c r="F16" t="s">
        <v>698</v>
      </c>
      <c r="H16" s="132"/>
      <c r="I16" t="s">
        <v>1111</v>
      </c>
      <c r="J16" s="132"/>
    </row>
    <row r="17" spans="1:10" x14ac:dyDescent="0.2">
      <c r="A17" t="s">
        <v>681</v>
      </c>
      <c r="B17" s="142">
        <v>42858</v>
      </c>
      <c r="C17" t="s">
        <v>682</v>
      </c>
      <c r="D17">
        <v>21.43</v>
      </c>
      <c r="E17" t="s">
        <v>683</v>
      </c>
      <c r="F17" t="s">
        <v>719</v>
      </c>
      <c r="H17" s="132"/>
      <c r="I17" t="s">
        <v>1110</v>
      </c>
      <c r="J17" s="132"/>
    </row>
    <row r="18" spans="1:10" x14ac:dyDescent="0.2">
      <c r="A18" t="s">
        <v>681</v>
      </c>
      <c r="B18" s="142">
        <v>42858</v>
      </c>
      <c r="C18" t="s">
        <v>682</v>
      </c>
      <c r="D18">
        <v>-240.94</v>
      </c>
      <c r="E18" t="s">
        <v>700</v>
      </c>
      <c r="F18" t="s">
        <v>893</v>
      </c>
      <c r="H18" s="140" t="s">
        <v>1152</v>
      </c>
      <c r="I18" t="s">
        <v>1110</v>
      </c>
      <c r="J18" s="140"/>
    </row>
    <row r="19" spans="1:10" x14ac:dyDescent="0.2">
      <c r="A19" t="s">
        <v>681</v>
      </c>
      <c r="B19" s="142">
        <v>42858</v>
      </c>
      <c r="C19" t="s">
        <v>682</v>
      </c>
      <c r="D19">
        <v>-45.2</v>
      </c>
      <c r="E19" t="s">
        <v>700</v>
      </c>
      <c r="F19" t="s">
        <v>894</v>
      </c>
      <c r="H19" s="140" t="s">
        <v>1156</v>
      </c>
      <c r="I19" t="s">
        <v>1110</v>
      </c>
      <c r="J19" s="132"/>
    </row>
    <row r="20" spans="1:10" x14ac:dyDescent="0.2">
      <c r="A20" t="s">
        <v>681</v>
      </c>
      <c r="B20" s="142">
        <v>42858</v>
      </c>
      <c r="C20" t="s">
        <v>682</v>
      </c>
      <c r="D20">
        <v>-40.28</v>
      </c>
      <c r="E20" t="s">
        <v>700</v>
      </c>
      <c r="F20" t="s">
        <v>895</v>
      </c>
      <c r="H20" s="140" t="s">
        <v>428</v>
      </c>
      <c r="I20" t="s">
        <v>1110</v>
      </c>
      <c r="J20" s="140"/>
    </row>
    <row r="21" spans="1:10" x14ac:dyDescent="0.2">
      <c r="A21" t="s">
        <v>681</v>
      </c>
      <c r="B21" s="142">
        <v>42858</v>
      </c>
      <c r="C21" t="s">
        <v>682</v>
      </c>
      <c r="D21">
        <v>-167.32</v>
      </c>
      <c r="E21" t="s">
        <v>694</v>
      </c>
      <c r="F21" t="s">
        <v>896</v>
      </c>
      <c r="H21" s="132"/>
      <c r="I21" t="s">
        <v>1111</v>
      </c>
      <c r="J21" s="132"/>
    </row>
    <row r="22" spans="1:10" x14ac:dyDescent="0.2">
      <c r="A22" t="s">
        <v>681</v>
      </c>
      <c r="B22" s="142">
        <v>42858</v>
      </c>
      <c r="C22" t="s">
        <v>682</v>
      </c>
      <c r="D22">
        <v>-189.14</v>
      </c>
      <c r="E22" t="s">
        <v>694</v>
      </c>
      <c r="F22" t="s">
        <v>897</v>
      </c>
      <c r="H22" s="132"/>
      <c r="I22" t="s">
        <v>1111</v>
      </c>
      <c r="J22" s="132"/>
    </row>
    <row r="23" spans="1:10" x14ac:dyDescent="0.2">
      <c r="A23" t="s">
        <v>681</v>
      </c>
      <c r="B23" s="142">
        <v>42858</v>
      </c>
      <c r="C23" t="s">
        <v>682</v>
      </c>
      <c r="D23">
        <v>-208.78</v>
      </c>
      <c r="E23" t="s">
        <v>694</v>
      </c>
      <c r="F23" t="s">
        <v>898</v>
      </c>
      <c r="H23" s="132"/>
      <c r="I23" t="s">
        <v>1111</v>
      </c>
      <c r="J23" s="132"/>
    </row>
    <row r="24" spans="1:10" x14ac:dyDescent="0.2">
      <c r="A24" t="s">
        <v>681</v>
      </c>
      <c r="B24" s="142">
        <v>42858</v>
      </c>
      <c r="C24" t="s">
        <v>682</v>
      </c>
      <c r="D24">
        <v>-201.56</v>
      </c>
      <c r="E24" t="s">
        <v>694</v>
      </c>
      <c r="F24" t="s">
        <v>899</v>
      </c>
      <c r="H24" s="132"/>
      <c r="I24" t="s">
        <v>1111</v>
      </c>
      <c r="J24" s="132"/>
    </row>
    <row r="25" spans="1:10" x14ac:dyDescent="0.2">
      <c r="A25" t="s">
        <v>681</v>
      </c>
      <c r="B25" s="142">
        <v>42858</v>
      </c>
      <c r="C25" t="s">
        <v>682</v>
      </c>
      <c r="D25">
        <v>-165.53</v>
      </c>
      <c r="E25" t="s">
        <v>694</v>
      </c>
      <c r="F25" t="s">
        <v>900</v>
      </c>
      <c r="H25" s="132"/>
      <c r="I25" t="s">
        <v>1111</v>
      </c>
      <c r="J25" s="132"/>
    </row>
    <row r="26" spans="1:10" x14ac:dyDescent="0.2">
      <c r="A26" t="s">
        <v>681</v>
      </c>
      <c r="B26" s="142">
        <v>42858</v>
      </c>
      <c r="C26" t="s">
        <v>682</v>
      </c>
      <c r="D26">
        <v>-201.41</v>
      </c>
      <c r="E26" t="s">
        <v>694</v>
      </c>
      <c r="F26" t="s">
        <v>901</v>
      </c>
      <c r="H26" s="132"/>
      <c r="I26" t="s">
        <v>1111</v>
      </c>
      <c r="J26" s="132"/>
    </row>
    <row r="27" spans="1:10" x14ac:dyDescent="0.2">
      <c r="A27" t="s">
        <v>681</v>
      </c>
      <c r="B27" s="142">
        <v>42858</v>
      </c>
      <c r="C27" t="s">
        <v>682</v>
      </c>
      <c r="D27">
        <v>-165.44</v>
      </c>
      <c r="E27" t="s">
        <v>694</v>
      </c>
      <c r="F27" t="s">
        <v>902</v>
      </c>
      <c r="H27" s="132"/>
      <c r="I27" t="s">
        <v>1111</v>
      </c>
      <c r="J27" s="132"/>
    </row>
    <row r="28" spans="1:10" x14ac:dyDescent="0.2">
      <c r="A28" t="s">
        <v>681</v>
      </c>
      <c r="B28" s="142">
        <v>42858</v>
      </c>
      <c r="C28" t="s">
        <v>682</v>
      </c>
      <c r="D28">
        <v>-127.59</v>
      </c>
      <c r="E28" t="s">
        <v>694</v>
      </c>
      <c r="F28" t="s">
        <v>903</v>
      </c>
      <c r="H28" s="132"/>
      <c r="I28" t="s">
        <v>1111</v>
      </c>
      <c r="J28" s="132"/>
    </row>
    <row r="29" spans="1:10" x14ac:dyDescent="0.2">
      <c r="A29" t="s">
        <v>681</v>
      </c>
      <c r="B29" s="142">
        <v>42858</v>
      </c>
      <c r="C29" t="s">
        <v>682</v>
      </c>
      <c r="D29">
        <v>-141.63</v>
      </c>
      <c r="E29" t="s">
        <v>694</v>
      </c>
      <c r="F29" t="s">
        <v>904</v>
      </c>
      <c r="H29" s="132"/>
      <c r="I29" t="s">
        <v>1111</v>
      </c>
      <c r="J29" s="132"/>
    </row>
    <row r="30" spans="1:10" x14ac:dyDescent="0.2">
      <c r="A30" t="s">
        <v>681</v>
      </c>
      <c r="B30" s="142">
        <v>42858</v>
      </c>
      <c r="C30" t="s">
        <v>682</v>
      </c>
      <c r="D30">
        <v>-141.66</v>
      </c>
      <c r="E30" t="s">
        <v>694</v>
      </c>
      <c r="F30" t="s">
        <v>905</v>
      </c>
      <c r="H30" s="132"/>
      <c r="I30" t="s">
        <v>1111</v>
      </c>
      <c r="J30" s="132"/>
    </row>
    <row r="31" spans="1:10" x14ac:dyDescent="0.2">
      <c r="A31" t="s">
        <v>681</v>
      </c>
      <c r="B31" s="142">
        <v>42858</v>
      </c>
      <c r="C31" t="s">
        <v>682</v>
      </c>
      <c r="D31">
        <v>-135.38999999999999</v>
      </c>
      <c r="E31" t="s">
        <v>694</v>
      </c>
      <c r="F31" t="s">
        <v>906</v>
      </c>
      <c r="H31" s="132"/>
      <c r="I31" t="s">
        <v>1111</v>
      </c>
      <c r="J31" s="132"/>
    </row>
    <row r="32" spans="1:10" x14ac:dyDescent="0.2">
      <c r="A32" t="s">
        <v>681</v>
      </c>
      <c r="B32" s="142">
        <v>42858</v>
      </c>
      <c r="C32" t="s">
        <v>682</v>
      </c>
      <c r="D32">
        <v>-129.29</v>
      </c>
      <c r="E32" t="s">
        <v>694</v>
      </c>
      <c r="F32" t="s">
        <v>907</v>
      </c>
      <c r="H32" s="132"/>
      <c r="I32" t="s">
        <v>1111</v>
      </c>
      <c r="J32" s="132"/>
    </row>
    <row r="33" spans="1:10" x14ac:dyDescent="0.2">
      <c r="A33" t="s">
        <v>681</v>
      </c>
      <c r="B33" s="142">
        <v>42859</v>
      </c>
      <c r="C33" t="s">
        <v>682</v>
      </c>
      <c r="D33" s="62">
        <v>-393.01</v>
      </c>
      <c r="E33" t="s">
        <v>700</v>
      </c>
      <c r="F33" s="56" t="s">
        <v>908</v>
      </c>
      <c r="G33" t="s">
        <v>512</v>
      </c>
      <c r="H33" s="140" t="s">
        <v>1106</v>
      </c>
      <c r="I33" t="s">
        <v>1112</v>
      </c>
      <c r="J33" s="132"/>
    </row>
    <row r="34" spans="1:10" x14ac:dyDescent="0.2">
      <c r="A34" t="s">
        <v>681</v>
      </c>
      <c r="B34" s="142">
        <v>42860</v>
      </c>
      <c r="C34" t="s">
        <v>682</v>
      </c>
      <c r="D34">
        <v>482.56</v>
      </c>
      <c r="E34" t="s">
        <v>683</v>
      </c>
      <c r="F34" t="s">
        <v>701</v>
      </c>
      <c r="H34" s="132"/>
      <c r="I34" t="s">
        <v>1110</v>
      </c>
      <c r="J34" s="132"/>
    </row>
    <row r="35" spans="1:10" x14ac:dyDescent="0.2">
      <c r="A35" t="s">
        <v>681</v>
      </c>
      <c r="B35" s="142">
        <v>42863</v>
      </c>
      <c r="C35" t="s">
        <v>682</v>
      </c>
      <c r="D35" s="62">
        <v>-2304</v>
      </c>
      <c r="E35" t="s">
        <v>724</v>
      </c>
      <c r="F35" t="s">
        <v>909</v>
      </c>
      <c r="G35" t="s">
        <v>505</v>
      </c>
      <c r="H35" s="140" t="s">
        <v>1102</v>
      </c>
      <c r="I35" t="s">
        <v>1112</v>
      </c>
      <c r="J35" s="132"/>
    </row>
    <row r="36" spans="1:10" x14ac:dyDescent="0.2">
      <c r="A36" t="s">
        <v>681</v>
      </c>
      <c r="B36" s="142">
        <v>42863</v>
      </c>
      <c r="C36" t="s">
        <v>682</v>
      </c>
      <c r="D36">
        <v>-188.25</v>
      </c>
      <c r="E36" t="s">
        <v>700</v>
      </c>
      <c r="F36" t="s">
        <v>910</v>
      </c>
      <c r="H36" s="140" t="s">
        <v>428</v>
      </c>
      <c r="I36" t="s">
        <v>1110</v>
      </c>
      <c r="J36" s="140"/>
    </row>
    <row r="37" spans="1:10" x14ac:dyDescent="0.2">
      <c r="A37" t="s">
        <v>681</v>
      </c>
      <c r="B37" s="142">
        <v>42863</v>
      </c>
      <c r="C37" t="s">
        <v>682</v>
      </c>
      <c r="D37">
        <v>-38.369999999999997</v>
      </c>
      <c r="E37" t="s">
        <v>700</v>
      </c>
      <c r="F37" t="s">
        <v>911</v>
      </c>
      <c r="H37" s="140" t="s">
        <v>428</v>
      </c>
      <c r="I37" t="s">
        <v>1110</v>
      </c>
      <c r="J37" s="140"/>
    </row>
    <row r="38" spans="1:10" x14ac:dyDescent="0.2">
      <c r="A38" t="s">
        <v>681</v>
      </c>
      <c r="B38" s="142">
        <v>42863</v>
      </c>
      <c r="C38" t="s">
        <v>682</v>
      </c>
      <c r="D38">
        <v>-36.729999999999997</v>
      </c>
      <c r="E38" t="s">
        <v>700</v>
      </c>
      <c r="F38" t="s">
        <v>912</v>
      </c>
      <c r="H38" s="140" t="s">
        <v>428</v>
      </c>
      <c r="I38" t="s">
        <v>1110</v>
      </c>
      <c r="J38" s="140"/>
    </row>
    <row r="39" spans="1:10" x14ac:dyDescent="0.2">
      <c r="A39" t="s">
        <v>681</v>
      </c>
      <c r="B39" s="142">
        <v>42863</v>
      </c>
      <c r="C39" t="s">
        <v>682</v>
      </c>
      <c r="D39">
        <v>-8</v>
      </c>
      <c r="E39" t="s">
        <v>700</v>
      </c>
      <c r="F39" t="s">
        <v>913</v>
      </c>
      <c r="H39" s="140" t="s">
        <v>1157</v>
      </c>
      <c r="I39" t="s">
        <v>1110</v>
      </c>
      <c r="J39" s="132"/>
    </row>
    <row r="40" spans="1:10" x14ac:dyDescent="0.2">
      <c r="A40" t="s">
        <v>681</v>
      </c>
      <c r="B40" s="142">
        <v>42864</v>
      </c>
      <c r="C40" t="s">
        <v>682</v>
      </c>
      <c r="D40">
        <v>-126.95</v>
      </c>
      <c r="E40" t="s">
        <v>700</v>
      </c>
      <c r="F40" t="s">
        <v>914</v>
      </c>
      <c r="H40" s="140" t="s">
        <v>1158</v>
      </c>
      <c r="I40" t="s">
        <v>1110</v>
      </c>
      <c r="J40" s="132"/>
    </row>
    <row r="41" spans="1:10" x14ac:dyDescent="0.2">
      <c r="A41" t="s">
        <v>681</v>
      </c>
      <c r="B41" s="142">
        <v>42864</v>
      </c>
      <c r="C41" t="s">
        <v>682</v>
      </c>
      <c r="D41">
        <v>-24.13</v>
      </c>
      <c r="E41" t="s">
        <v>700</v>
      </c>
      <c r="F41" t="s">
        <v>915</v>
      </c>
      <c r="H41" s="140" t="s">
        <v>1156</v>
      </c>
      <c r="I41" t="s">
        <v>1110</v>
      </c>
      <c r="J41" s="132"/>
    </row>
    <row r="42" spans="1:10" x14ac:dyDescent="0.2">
      <c r="A42" t="s">
        <v>681</v>
      </c>
      <c r="B42" s="142">
        <v>42864</v>
      </c>
      <c r="C42" t="s">
        <v>682</v>
      </c>
      <c r="D42">
        <v>-17.899999999999999</v>
      </c>
      <c r="E42" t="s">
        <v>694</v>
      </c>
      <c r="F42" t="s">
        <v>705</v>
      </c>
      <c r="H42" s="132"/>
      <c r="I42" t="s">
        <v>1111</v>
      </c>
      <c r="J42" s="132"/>
    </row>
    <row r="43" spans="1:10" x14ac:dyDescent="0.2">
      <c r="A43" t="s">
        <v>681</v>
      </c>
      <c r="B43" s="142">
        <v>42865</v>
      </c>
      <c r="C43" t="s">
        <v>682</v>
      </c>
      <c r="D43">
        <v>302</v>
      </c>
      <c r="E43" t="s">
        <v>683</v>
      </c>
      <c r="F43" t="s">
        <v>704</v>
      </c>
      <c r="H43" s="140" t="s">
        <v>428</v>
      </c>
      <c r="I43" t="s">
        <v>1110</v>
      </c>
      <c r="J43" s="132"/>
    </row>
    <row r="44" spans="1:10" x14ac:dyDescent="0.2">
      <c r="A44" t="s">
        <v>681</v>
      </c>
      <c r="B44" s="142">
        <v>42865</v>
      </c>
      <c r="C44" t="s">
        <v>682</v>
      </c>
      <c r="D44">
        <v>282.06</v>
      </c>
      <c r="E44" t="s">
        <v>683</v>
      </c>
      <c r="F44" t="s">
        <v>703</v>
      </c>
      <c r="H44" s="140" t="s">
        <v>1153</v>
      </c>
      <c r="I44" t="s">
        <v>1110</v>
      </c>
      <c r="J44" s="132"/>
    </row>
    <row r="45" spans="1:10" x14ac:dyDescent="0.2">
      <c r="A45" t="s">
        <v>681</v>
      </c>
      <c r="B45" s="142">
        <v>42865</v>
      </c>
      <c r="C45" t="s">
        <v>682</v>
      </c>
      <c r="D45">
        <v>-61.95</v>
      </c>
      <c r="E45" t="s">
        <v>694</v>
      </c>
      <c r="F45" t="s">
        <v>708</v>
      </c>
      <c r="H45" s="140" t="s">
        <v>1153</v>
      </c>
      <c r="I45" t="s">
        <v>1111</v>
      </c>
      <c r="J45" s="132"/>
    </row>
    <row r="46" spans="1:10" x14ac:dyDescent="0.2">
      <c r="A46" t="s">
        <v>681</v>
      </c>
      <c r="B46" s="142">
        <v>42866</v>
      </c>
      <c r="C46" t="s">
        <v>682</v>
      </c>
      <c r="D46">
        <v>464</v>
      </c>
      <c r="E46" t="s">
        <v>683</v>
      </c>
      <c r="F46" t="s">
        <v>729</v>
      </c>
      <c r="H46" s="140" t="s">
        <v>1153</v>
      </c>
      <c r="I46" t="s">
        <v>1110</v>
      </c>
      <c r="J46" s="132"/>
    </row>
    <row r="47" spans="1:10" x14ac:dyDescent="0.2">
      <c r="A47" t="s">
        <v>681</v>
      </c>
      <c r="B47" s="142">
        <v>42866</v>
      </c>
      <c r="C47" t="s">
        <v>682</v>
      </c>
      <c r="D47">
        <v>464</v>
      </c>
      <c r="E47" t="s">
        <v>683</v>
      </c>
      <c r="F47" t="s">
        <v>710</v>
      </c>
      <c r="H47" s="140" t="s">
        <v>428</v>
      </c>
      <c r="I47" t="s">
        <v>1110</v>
      </c>
      <c r="J47" s="132"/>
    </row>
    <row r="48" spans="1:10" x14ac:dyDescent="0.2">
      <c r="A48" t="s">
        <v>681</v>
      </c>
      <c r="B48" s="142">
        <v>42866</v>
      </c>
      <c r="C48" t="s">
        <v>682</v>
      </c>
      <c r="D48">
        <v>460.2</v>
      </c>
      <c r="E48" t="s">
        <v>683</v>
      </c>
      <c r="F48" t="s">
        <v>702</v>
      </c>
      <c r="H48" s="140" t="s">
        <v>428</v>
      </c>
      <c r="I48" t="s">
        <v>1110</v>
      </c>
      <c r="J48" s="132"/>
    </row>
    <row r="49" spans="1:10" x14ac:dyDescent="0.2">
      <c r="A49" t="s">
        <v>681</v>
      </c>
      <c r="B49" s="142">
        <v>42866</v>
      </c>
      <c r="C49" t="s">
        <v>682</v>
      </c>
      <c r="D49">
        <v>428.29</v>
      </c>
      <c r="E49" t="s">
        <v>683</v>
      </c>
      <c r="F49" t="s">
        <v>718</v>
      </c>
      <c r="H49" s="140" t="s">
        <v>428</v>
      </c>
      <c r="I49" t="s">
        <v>1110</v>
      </c>
      <c r="J49" s="132"/>
    </row>
    <row r="50" spans="1:10" x14ac:dyDescent="0.2">
      <c r="A50" t="s">
        <v>681</v>
      </c>
      <c r="B50" s="142">
        <v>42866</v>
      </c>
      <c r="C50" t="s">
        <v>682</v>
      </c>
      <c r="D50">
        <v>292.55</v>
      </c>
      <c r="E50" t="s">
        <v>683</v>
      </c>
      <c r="F50" t="s">
        <v>716</v>
      </c>
      <c r="H50" s="140" t="s">
        <v>428</v>
      </c>
      <c r="I50" t="s">
        <v>1110</v>
      </c>
      <c r="J50" s="132"/>
    </row>
    <row r="51" spans="1:10" x14ac:dyDescent="0.2">
      <c r="A51" t="s">
        <v>681</v>
      </c>
      <c r="B51" s="142">
        <v>42866</v>
      </c>
      <c r="C51" t="s">
        <v>682</v>
      </c>
      <c r="D51">
        <v>250.43</v>
      </c>
      <c r="E51" t="s">
        <v>683</v>
      </c>
      <c r="F51" t="s">
        <v>721</v>
      </c>
      <c r="H51" s="145" t="s">
        <v>1153</v>
      </c>
      <c r="I51" t="s">
        <v>1110</v>
      </c>
      <c r="J51" s="132"/>
    </row>
    <row r="52" spans="1:10" x14ac:dyDescent="0.2">
      <c r="A52" t="s">
        <v>681</v>
      </c>
      <c r="B52" s="142">
        <v>42866</v>
      </c>
      <c r="C52" t="s">
        <v>682</v>
      </c>
      <c r="D52">
        <v>250.41</v>
      </c>
      <c r="E52" t="s">
        <v>683</v>
      </c>
      <c r="F52" t="s">
        <v>717</v>
      </c>
      <c r="H52" s="132"/>
      <c r="I52" t="s">
        <v>1110</v>
      </c>
      <c r="J52" s="132"/>
    </row>
    <row r="53" spans="1:10" x14ac:dyDescent="0.2">
      <c r="A53" t="s">
        <v>681</v>
      </c>
      <c r="B53" s="142">
        <v>42866</v>
      </c>
      <c r="C53" t="s">
        <v>682</v>
      </c>
      <c r="D53">
        <v>250.41</v>
      </c>
      <c r="E53" t="s">
        <v>683</v>
      </c>
      <c r="F53" t="s">
        <v>684</v>
      </c>
      <c r="H53" s="132"/>
      <c r="I53" t="s">
        <v>1110</v>
      </c>
      <c r="J53" s="132"/>
    </row>
    <row r="54" spans="1:10" x14ac:dyDescent="0.2">
      <c r="A54" t="s">
        <v>681</v>
      </c>
      <c r="B54" s="142">
        <v>42866</v>
      </c>
      <c r="C54" t="s">
        <v>682</v>
      </c>
      <c r="D54">
        <v>250.41</v>
      </c>
      <c r="E54" t="s">
        <v>683</v>
      </c>
      <c r="F54" t="s">
        <v>685</v>
      </c>
      <c r="H54" s="132"/>
      <c r="I54" t="s">
        <v>1110</v>
      </c>
      <c r="J54" s="132"/>
    </row>
    <row r="55" spans="1:10" x14ac:dyDescent="0.2">
      <c r="A55" t="s">
        <v>681</v>
      </c>
      <c r="B55" s="142">
        <v>42866</v>
      </c>
      <c r="C55" t="s">
        <v>682</v>
      </c>
      <c r="D55">
        <v>224.4</v>
      </c>
      <c r="E55" t="s">
        <v>683</v>
      </c>
      <c r="F55" t="s">
        <v>720</v>
      </c>
      <c r="H55" s="132"/>
      <c r="I55" t="s">
        <v>1110</v>
      </c>
      <c r="J55" s="132"/>
    </row>
    <row r="56" spans="1:10" x14ac:dyDescent="0.2">
      <c r="A56" t="s">
        <v>681</v>
      </c>
      <c r="B56" s="142">
        <v>42866</v>
      </c>
      <c r="C56" t="s">
        <v>682</v>
      </c>
      <c r="D56">
        <v>214.42</v>
      </c>
      <c r="E56" t="s">
        <v>683</v>
      </c>
      <c r="F56" t="s">
        <v>723</v>
      </c>
      <c r="H56" s="132"/>
      <c r="I56" t="s">
        <v>1110</v>
      </c>
      <c r="J56" s="132"/>
    </row>
    <row r="57" spans="1:10" x14ac:dyDescent="0.2">
      <c r="A57" t="s">
        <v>681</v>
      </c>
      <c r="B57" s="142">
        <v>42866</v>
      </c>
      <c r="C57" t="s">
        <v>682</v>
      </c>
      <c r="D57">
        <v>154.29</v>
      </c>
      <c r="E57" t="s">
        <v>683</v>
      </c>
      <c r="F57" t="s">
        <v>703</v>
      </c>
      <c r="H57" s="132"/>
      <c r="I57" t="s">
        <v>1110</v>
      </c>
      <c r="J57" s="132"/>
    </row>
    <row r="58" spans="1:10" x14ac:dyDescent="0.2">
      <c r="A58" t="s">
        <v>681</v>
      </c>
      <c r="B58" s="142">
        <v>42866</v>
      </c>
      <c r="C58" t="s">
        <v>682</v>
      </c>
      <c r="D58">
        <v>114.33</v>
      </c>
      <c r="E58" t="s">
        <v>683</v>
      </c>
      <c r="F58" t="s">
        <v>732</v>
      </c>
      <c r="H58" s="132"/>
      <c r="I58" t="s">
        <v>1110</v>
      </c>
      <c r="J58" s="132"/>
    </row>
    <row r="59" spans="1:10" x14ac:dyDescent="0.2">
      <c r="A59" t="s">
        <v>681</v>
      </c>
      <c r="B59" s="142">
        <v>42866</v>
      </c>
      <c r="C59" t="s">
        <v>682</v>
      </c>
      <c r="D59">
        <v>67.290000000000006</v>
      </c>
      <c r="E59" t="s">
        <v>683</v>
      </c>
      <c r="F59" t="s">
        <v>728</v>
      </c>
      <c r="H59" s="132"/>
      <c r="I59" t="s">
        <v>1110</v>
      </c>
      <c r="J59" s="132"/>
    </row>
    <row r="60" spans="1:10" x14ac:dyDescent="0.2">
      <c r="A60" t="s">
        <v>681</v>
      </c>
      <c r="B60" s="142">
        <v>42866</v>
      </c>
      <c r="C60" t="s">
        <v>682</v>
      </c>
      <c r="D60">
        <v>-20</v>
      </c>
      <c r="E60" t="s">
        <v>700</v>
      </c>
      <c r="F60" t="s">
        <v>916</v>
      </c>
      <c r="H60" s="140" t="s">
        <v>1160</v>
      </c>
      <c r="I60" t="s">
        <v>1110</v>
      </c>
      <c r="J60" s="132"/>
    </row>
    <row r="61" spans="1:10" x14ac:dyDescent="0.2">
      <c r="A61" t="s">
        <v>681</v>
      </c>
      <c r="B61" s="142">
        <v>42867</v>
      </c>
      <c r="C61" t="s">
        <v>682</v>
      </c>
      <c r="D61">
        <v>62</v>
      </c>
      <c r="E61" t="s">
        <v>683</v>
      </c>
      <c r="F61" t="s">
        <v>715</v>
      </c>
      <c r="H61" s="132"/>
      <c r="I61" t="s">
        <v>1110</v>
      </c>
      <c r="J61" s="132"/>
    </row>
    <row r="62" spans="1:10" x14ac:dyDescent="0.2">
      <c r="A62" t="s">
        <v>681</v>
      </c>
      <c r="B62" s="142">
        <v>42867</v>
      </c>
      <c r="C62" t="s">
        <v>682</v>
      </c>
      <c r="D62">
        <v>-126.04</v>
      </c>
      <c r="E62" t="s">
        <v>694</v>
      </c>
      <c r="F62" t="s">
        <v>709</v>
      </c>
      <c r="H62" s="132"/>
      <c r="I62" t="s">
        <v>1111</v>
      </c>
      <c r="J62" s="132"/>
    </row>
    <row r="63" spans="1:10" x14ac:dyDescent="0.2">
      <c r="A63" t="s">
        <v>681</v>
      </c>
      <c r="B63" s="142">
        <v>42870</v>
      </c>
      <c r="C63" t="s">
        <v>682</v>
      </c>
      <c r="D63">
        <v>428.29</v>
      </c>
      <c r="E63" t="s">
        <v>683</v>
      </c>
      <c r="F63" t="s">
        <v>719</v>
      </c>
      <c r="H63" s="132"/>
      <c r="I63" t="s">
        <v>1110</v>
      </c>
      <c r="J63" s="132"/>
    </row>
    <row r="64" spans="1:10" x14ac:dyDescent="0.2">
      <c r="A64" t="s">
        <v>681</v>
      </c>
      <c r="B64" s="142">
        <v>42870</v>
      </c>
      <c r="C64" t="s">
        <v>682</v>
      </c>
      <c r="D64">
        <v>324.8</v>
      </c>
      <c r="E64" t="s">
        <v>683</v>
      </c>
      <c r="F64" t="s">
        <v>711</v>
      </c>
      <c r="H64" s="132"/>
      <c r="I64" t="s">
        <v>1110</v>
      </c>
      <c r="J64" s="132"/>
    </row>
    <row r="65" spans="1:10" x14ac:dyDescent="0.2">
      <c r="A65" t="s">
        <v>681</v>
      </c>
      <c r="B65" s="142">
        <v>42870</v>
      </c>
      <c r="C65" t="s">
        <v>682</v>
      </c>
      <c r="D65">
        <v>177.88</v>
      </c>
      <c r="E65" t="s">
        <v>683</v>
      </c>
      <c r="F65" t="s">
        <v>717</v>
      </c>
      <c r="H65" s="132"/>
      <c r="I65" t="s">
        <v>1110</v>
      </c>
      <c r="J65" s="132"/>
    </row>
    <row r="66" spans="1:10" x14ac:dyDescent="0.2">
      <c r="A66" t="s">
        <v>681</v>
      </c>
      <c r="B66" s="142">
        <v>42870</v>
      </c>
      <c r="C66" t="s">
        <v>682</v>
      </c>
      <c r="D66">
        <v>-29.36</v>
      </c>
      <c r="E66" t="s">
        <v>700</v>
      </c>
      <c r="F66" t="s">
        <v>917</v>
      </c>
      <c r="H66" s="140" t="s">
        <v>428</v>
      </c>
      <c r="I66" t="s">
        <v>1110</v>
      </c>
      <c r="J66" s="140"/>
    </row>
    <row r="67" spans="1:10" x14ac:dyDescent="0.2">
      <c r="A67" t="s">
        <v>681</v>
      </c>
      <c r="B67" s="142">
        <v>42870</v>
      </c>
      <c r="C67" t="s">
        <v>682</v>
      </c>
      <c r="D67">
        <v>-19.600000000000001</v>
      </c>
      <c r="E67" t="s">
        <v>700</v>
      </c>
      <c r="F67" t="s">
        <v>918</v>
      </c>
      <c r="H67" s="140" t="s">
        <v>1153</v>
      </c>
      <c r="I67" t="s">
        <v>1110</v>
      </c>
      <c r="J67" s="140"/>
    </row>
    <row r="68" spans="1:10" x14ac:dyDescent="0.2">
      <c r="A68" t="s">
        <v>681</v>
      </c>
      <c r="B68" s="142">
        <v>42870</v>
      </c>
      <c r="C68" t="s">
        <v>682</v>
      </c>
      <c r="D68">
        <v>-17.850000000000001</v>
      </c>
      <c r="E68" t="s">
        <v>700</v>
      </c>
      <c r="F68" t="s">
        <v>919</v>
      </c>
      <c r="H68" s="140" t="s">
        <v>1153</v>
      </c>
      <c r="I68" t="s">
        <v>1110</v>
      </c>
      <c r="J68" s="140"/>
    </row>
    <row r="69" spans="1:10" x14ac:dyDescent="0.2">
      <c r="A69" t="s">
        <v>681</v>
      </c>
      <c r="B69" s="142">
        <v>42870</v>
      </c>
      <c r="C69" t="s">
        <v>682</v>
      </c>
      <c r="D69">
        <v>-16.899999999999999</v>
      </c>
      <c r="E69" t="s">
        <v>700</v>
      </c>
      <c r="F69" t="s">
        <v>920</v>
      </c>
      <c r="H69" s="140" t="s">
        <v>1153</v>
      </c>
      <c r="I69" t="s">
        <v>1110</v>
      </c>
      <c r="J69" s="140"/>
    </row>
    <row r="70" spans="1:10" x14ac:dyDescent="0.2">
      <c r="A70" t="s">
        <v>681</v>
      </c>
      <c r="B70" s="142">
        <v>42870</v>
      </c>
      <c r="C70" t="s">
        <v>682</v>
      </c>
      <c r="D70">
        <v>-16.2</v>
      </c>
      <c r="E70" t="s">
        <v>700</v>
      </c>
      <c r="F70" t="s">
        <v>921</v>
      </c>
      <c r="H70" s="140" t="s">
        <v>428</v>
      </c>
      <c r="I70" t="s">
        <v>1110</v>
      </c>
      <c r="J70" s="140"/>
    </row>
    <row r="71" spans="1:10" x14ac:dyDescent="0.2">
      <c r="A71" t="s">
        <v>681</v>
      </c>
      <c r="B71" s="142">
        <v>42870</v>
      </c>
      <c r="C71" t="s">
        <v>682</v>
      </c>
      <c r="D71">
        <v>-9.4499999999999993</v>
      </c>
      <c r="E71" t="s">
        <v>700</v>
      </c>
      <c r="F71" t="s">
        <v>922</v>
      </c>
      <c r="H71" s="140" t="s">
        <v>428</v>
      </c>
      <c r="I71" t="s">
        <v>1110</v>
      </c>
      <c r="J71" s="140"/>
    </row>
    <row r="72" spans="1:10" x14ac:dyDescent="0.2">
      <c r="A72" t="s">
        <v>681</v>
      </c>
      <c r="B72" s="142">
        <v>42870</v>
      </c>
      <c r="C72" t="s">
        <v>682</v>
      </c>
      <c r="D72">
        <v>-4.62</v>
      </c>
      <c r="E72" t="s">
        <v>700</v>
      </c>
      <c r="F72" t="s">
        <v>923</v>
      </c>
      <c r="H72" s="140" t="s">
        <v>428</v>
      </c>
      <c r="I72" t="s">
        <v>1110</v>
      </c>
      <c r="J72" s="140"/>
    </row>
    <row r="73" spans="1:10" x14ac:dyDescent="0.2">
      <c r="A73" t="s">
        <v>681</v>
      </c>
      <c r="B73" s="142">
        <v>42870</v>
      </c>
      <c r="C73" t="s">
        <v>682</v>
      </c>
      <c r="D73">
        <v>-1.29</v>
      </c>
      <c r="E73" t="s">
        <v>700</v>
      </c>
      <c r="F73" t="s">
        <v>922</v>
      </c>
      <c r="H73" s="140" t="s">
        <v>428</v>
      </c>
      <c r="I73" t="s">
        <v>1110</v>
      </c>
      <c r="J73" s="140"/>
    </row>
    <row r="74" spans="1:10" x14ac:dyDescent="0.2">
      <c r="A74" t="s">
        <v>681</v>
      </c>
      <c r="B74" s="142">
        <v>42870</v>
      </c>
      <c r="C74" t="s">
        <v>682</v>
      </c>
      <c r="D74">
        <v>-30</v>
      </c>
      <c r="E74" t="s">
        <v>706</v>
      </c>
      <c r="F74" t="s">
        <v>924</v>
      </c>
      <c r="H74" s="132"/>
      <c r="I74" t="s">
        <v>1110</v>
      </c>
      <c r="J74" s="132"/>
    </row>
    <row r="75" spans="1:10" x14ac:dyDescent="0.2">
      <c r="A75" t="s">
        <v>681</v>
      </c>
      <c r="B75" s="142">
        <v>42870</v>
      </c>
      <c r="C75" t="s">
        <v>682</v>
      </c>
      <c r="D75" s="146">
        <v>-37.5</v>
      </c>
      <c r="E75" t="s">
        <v>700</v>
      </c>
      <c r="F75" t="s">
        <v>925</v>
      </c>
      <c r="H75" s="140" t="s">
        <v>1161</v>
      </c>
      <c r="I75" t="s">
        <v>1110</v>
      </c>
      <c r="J75" s="145"/>
    </row>
    <row r="76" spans="1:10" x14ac:dyDescent="0.2">
      <c r="A76" t="s">
        <v>681</v>
      </c>
      <c r="B76" s="142">
        <v>42870</v>
      </c>
      <c r="C76" t="s">
        <v>682</v>
      </c>
      <c r="D76" s="146">
        <v>-3.6</v>
      </c>
      <c r="E76" t="s">
        <v>700</v>
      </c>
      <c r="F76" t="s">
        <v>926</v>
      </c>
      <c r="H76" s="140" t="s">
        <v>1162</v>
      </c>
      <c r="I76" t="s">
        <v>1110</v>
      </c>
      <c r="J76" s="132"/>
    </row>
    <row r="77" spans="1:10" x14ac:dyDescent="0.2">
      <c r="A77" t="s">
        <v>681</v>
      </c>
      <c r="B77" s="142">
        <v>42870</v>
      </c>
      <c r="C77" t="s">
        <v>682</v>
      </c>
      <c r="D77">
        <v>-476.44</v>
      </c>
      <c r="E77" t="s">
        <v>694</v>
      </c>
      <c r="F77" t="s">
        <v>927</v>
      </c>
      <c r="H77" s="132"/>
      <c r="I77" t="s">
        <v>1110</v>
      </c>
      <c r="J77" s="132"/>
    </row>
    <row r="78" spans="1:10" x14ac:dyDescent="0.2">
      <c r="A78" t="s">
        <v>681</v>
      </c>
      <c r="B78" s="142">
        <v>42870</v>
      </c>
      <c r="C78" t="s">
        <v>682</v>
      </c>
      <c r="D78">
        <v>-197.26</v>
      </c>
      <c r="E78" t="s">
        <v>694</v>
      </c>
      <c r="F78" t="s">
        <v>712</v>
      </c>
      <c r="H78" s="132"/>
      <c r="I78" t="s">
        <v>1111</v>
      </c>
      <c r="J78" s="132"/>
    </row>
    <row r="79" spans="1:10" x14ac:dyDescent="0.2">
      <c r="A79" t="s">
        <v>681</v>
      </c>
      <c r="B79" s="142">
        <v>42870</v>
      </c>
      <c r="C79" t="s">
        <v>682</v>
      </c>
      <c r="D79">
        <v>-165.91</v>
      </c>
      <c r="E79" t="s">
        <v>694</v>
      </c>
      <c r="F79" t="s">
        <v>713</v>
      </c>
      <c r="H79" s="132"/>
      <c r="I79" t="s">
        <v>1111</v>
      </c>
      <c r="J79" s="132"/>
    </row>
    <row r="80" spans="1:10" x14ac:dyDescent="0.2">
      <c r="A80" t="s">
        <v>681</v>
      </c>
      <c r="B80" s="142">
        <v>42871</v>
      </c>
      <c r="C80" t="s">
        <v>682</v>
      </c>
      <c r="D80">
        <v>-13.17</v>
      </c>
      <c r="E80" t="s">
        <v>694</v>
      </c>
      <c r="F80" t="s">
        <v>725</v>
      </c>
      <c r="H80" s="132"/>
      <c r="I80" t="s">
        <v>1111</v>
      </c>
      <c r="J80" s="132"/>
    </row>
    <row r="81" spans="1:10" x14ac:dyDescent="0.2">
      <c r="A81" t="s">
        <v>681</v>
      </c>
      <c r="B81" s="142">
        <v>42871</v>
      </c>
      <c r="C81" t="s">
        <v>682</v>
      </c>
      <c r="D81">
        <v>-163.35</v>
      </c>
      <c r="E81" t="s">
        <v>694</v>
      </c>
      <c r="F81" t="s">
        <v>726</v>
      </c>
      <c r="H81" s="132"/>
      <c r="I81" t="s">
        <v>1111</v>
      </c>
      <c r="J81" s="132"/>
    </row>
    <row r="82" spans="1:10" x14ac:dyDescent="0.2">
      <c r="A82" t="s">
        <v>681</v>
      </c>
      <c r="B82" s="142">
        <v>42872</v>
      </c>
      <c r="C82" t="s">
        <v>682</v>
      </c>
      <c r="D82">
        <v>502.24</v>
      </c>
      <c r="E82" t="s">
        <v>683</v>
      </c>
      <c r="F82" t="s">
        <v>722</v>
      </c>
      <c r="H82" s="132"/>
      <c r="I82" t="s">
        <v>1110</v>
      </c>
      <c r="J82" s="132"/>
    </row>
    <row r="83" spans="1:10" x14ac:dyDescent="0.2">
      <c r="A83" t="s">
        <v>681</v>
      </c>
      <c r="B83" s="142">
        <v>42872</v>
      </c>
      <c r="C83" t="s">
        <v>682</v>
      </c>
      <c r="D83">
        <v>432.55</v>
      </c>
      <c r="E83" t="s">
        <v>683</v>
      </c>
      <c r="F83" t="s">
        <v>730</v>
      </c>
      <c r="H83" s="140"/>
      <c r="I83" t="s">
        <v>1110</v>
      </c>
      <c r="J83" s="132"/>
    </row>
    <row r="84" spans="1:10" x14ac:dyDescent="0.2">
      <c r="A84" t="s">
        <v>681</v>
      </c>
      <c r="B84" s="142">
        <v>42872</v>
      </c>
      <c r="C84" t="s">
        <v>682</v>
      </c>
      <c r="D84">
        <v>370.56</v>
      </c>
      <c r="E84" t="s">
        <v>683</v>
      </c>
      <c r="F84" t="s">
        <v>715</v>
      </c>
      <c r="H84" s="132"/>
      <c r="I84" t="s">
        <v>1110</v>
      </c>
      <c r="J84" s="132"/>
    </row>
    <row r="85" spans="1:10" x14ac:dyDescent="0.2">
      <c r="A85" t="s">
        <v>681</v>
      </c>
      <c r="B85" s="142">
        <v>42872</v>
      </c>
      <c r="C85" t="s">
        <v>682</v>
      </c>
      <c r="D85">
        <v>177.86</v>
      </c>
      <c r="E85" t="s">
        <v>683</v>
      </c>
      <c r="F85" t="s">
        <v>721</v>
      </c>
      <c r="H85" s="132"/>
      <c r="I85" t="s">
        <v>1110</v>
      </c>
      <c r="J85" s="132"/>
    </row>
    <row r="86" spans="1:10" x14ac:dyDescent="0.2">
      <c r="A86" t="s">
        <v>681</v>
      </c>
      <c r="B86" s="142">
        <v>42872</v>
      </c>
      <c r="C86" t="s">
        <v>682</v>
      </c>
      <c r="D86">
        <v>161.09</v>
      </c>
      <c r="E86" t="s">
        <v>683</v>
      </c>
      <c r="F86" t="s">
        <v>720</v>
      </c>
      <c r="H86" s="132"/>
      <c r="I86" t="s">
        <v>1110</v>
      </c>
      <c r="J86" s="132"/>
    </row>
    <row r="87" spans="1:10" x14ac:dyDescent="0.2">
      <c r="A87" t="s">
        <v>681</v>
      </c>
      <c r="B87" s="142">
        <v>42872</v>
      </c>
      <c r="C87" t="s">
        <v>682</v>
      </c>
      <c r="D87" s="62">
        <v>-205.1</v>
      </c>
      <c r="E87" t="s">
        <v>700</v>
      </c>
      <c r="F87" t="s">
        <v>928</v>
      </c>
      <c r="G87" t="s">
        <v>505</v>
      </c>
      <c r="H87" s="140" t="s">
        <v>1105</v>
      </c>
      <c r="I87" t="s">
        <v>1112</v>
      </c>
      <c r="J87" s="132"/>
    </row>
    <row r="88" spans="1:10" x14ac:dyDescent="0.2">
      <c r="A88" t="s">
        <v>681</v>
      </c>
      <c r="B88" s="142">
        <v>42872</v>
      </c>
      <c r="C88" t="s">
        <v>682</v>
      </c>
      <c r="D88" s="62">
        <v>-66.14</v>
      </c>
      <c r="E88" t="s">
        <v>700</v>
      </c>
      <c r="F88" t="s">
        <v>929</v>
      </c>
      <c r="G88" t="s">
        <v>1107</v>
      </c>
      <c r="H88" s="140" t="s">
        <v>1103</v>
      </c>
      <c r="I88" t="s">
        <v>1112</v>
      </c>
      <c r="J88" s="132"/>
    </row>
    <row r="89" spans="1:10" x14ac:dyDescent="0.2">
      <c r="A89" t="s">
        <v>681</v>
      </c>
      <c r="B89" s="142">
        <v>42872</v>
      </c>
      <c r="C89" t="s">
        <v>682</v>
      </c>
      <c r="D89" s="62">
        <v>-37.049999999999997</v>
      </c>
      <c r="E89" t="s">
        <v>700</v>
      </c>
      <c r="F89" t="s">
        <v>930</v>
      </c>
      <c r="G89" s="56" t="s">
        <v>1108</v>
      </c>
      <c r="H89" s="140" t="s">
        <v>1104</v>
      </c>
      <c r="I89" t="s">
        <v>1112</v>
      </c>
      <c r="J89" s="132"/>
    </row>
    <row r="90" spans="1:10" x14ac:dyDescent="0.2">
      <c r="A90" t="s">
        <v>681</v>
      </c>
      <c r="B90" s="142">
        <v>42872</v>
      </c>
      <c r="C90" t="s">
        <v>682</v>
      </c>
      <c r="D90">
        <v>-3.99</v>
      </c>
      <c r="E90" t="s">
        <v>700</v>
      </c>
      <c r="F90" t="s">
        <v>931</v>
      </c>
      <c r="H90" s="140" t="s">
        <v>1156</v>
      </c>
      <c r="I90" t="s">
        <v>1110</v>
      </c>
      <c r="J90" s="132"/>
    </row>
    <row r="91" spans="1:10" x14ac:dyDescent="0.2">
      <c r="A91" t="s">
        <v>681</v>
      </c>
      <c r="B91" s="142">
        <v>42872</v>
      </c>
      <c r="C91" t="s">
        <v>682</v>
      </c>
      <c r="D91">
        <v>-8.93</v>
      </c>
      <c r="E91" t="s">
        <v>700</v>
      </c>
      <c r="F91" t="s">
        <v>932</v>
      </c>
      <c r="H91" s="140" t="s">
        <v>1164</v>
      </c>
      <c r="I91" t="s">
        <v>1110</v>
      </c>
      <c r="J91" s="132"/>
    </row>
    <row r="92" spans="1:10" x14ac:dyDescent="0.2">
      <c r="A92" t="s">
        <v>681</v>
      </c>
      <c r="B92" s="142">
        <v>42873</v>
      </c>
      <c r="C92" t="s">
        <v>682</v>
      </c>
      <c r="D92">
        <v>36.25</v>
      </c>
      <c r="E92" t="s">
        <v>933</v>
      </c>
      <c r="F92" t="s">
        <v>934</v>
      </c>
      <c r="H92" s="132"/>
      <c r="I92" t="s">
        <v>1110</v>
      </c>
      <c r="J92" s="132"/>
    </row>
    <row r="93" spans="1:10" x14ac:dyDescent="0.2">
      <c r="A93" t="s">
        <v>681</v>
      </c>
      <c r="B93" s="142">
        <v>42873</v>
      </c>
      <c r="C93" t="s">
        <v>682</v>
      </c>
      <c r="D93">
        <v>326.14999999999998</v>
      </c>
      <c r="E93" t="s">
        <v>683</v>
      </c>
      <c r="F93" t="s">
        <v>806</v>
      </c>
      <c r="H93" s="132"/>
      <c r="I93" t="s">
        <v>1110</v>
      </c>
      <c r="J93" s="132"/>
    </row>
    <row r="94" spans="1:10" x14ac:dyDescent="0.2">
      <c r="A94" t="s">
        <v>681</v>
      </c>
      <c r="B94" s="142">
        <v>42873</v>
      </c>
      <c r="C94" t="s">
        <v>682</v>
      </c>
      <c r="D94">
        <v>185.6</v>
      </c>
      <c r="E94" t="s">
        <v>683</v>
      </c>
      <c r="F94" t="s">
        <v>734</v>
      </c>
      <c r="H94" s="132"/>
      <c r="I94" t="s">
        <v>1110</v>
      </c>
      <c r="J94" s="132"/>
    </row>
    <row r="95" spans="1:10" x14ac:dyDescent="0.2">
      <c r="A95" t="s">
        <v>681</v>
      </c>
      <c r="B95" s="142">
        <v>42873</v>
      </c>
      <c r="C95" t="s">
        <v>682</v>
      </c>
      <c r="D95">
        <v>74.239999999999995</v>
      </c>
      <c r="E95" t="s">
        <v>683</v>
      </c>
      <c r="F95" t="s">
        <v>722</v>
      </c>
      <c r="H95" s="132"/>
      <c r="I95" t="s">
        <v>1110</v>
      </c>
      <c r="J95" s="132"/>
    </row>
    <row r="96" spans="1:10" x14ac:dyDescent="0.2">
      <c r="A96" t="s">
        <v>681</v>
      </c>
      <c r="B96" s="142">
        <v>42873</v>
      </c>
      <c r="C96" t="s">
        <v>682</v>
      </c>
      <c r="D96">
        <v>-20.75</v>
      </c>
      <c r="E96" t="s">
        <v>700</v>
      </c>
      <c r="F96" t="s">
        <v>935</v>
      </c>
      <c r="H96" s="140" t="s">
        <v>1156</v>
      </c>
      <c r="I96" t="s">
        <v>1110</v>
      </c>
      <c r="J96" s="132"/>
    </row>
    <row r="97" spans="1:10" x14ac:dyDescent="0.2">
      <c r="A97" t="s">
        <v>681</v>
      </c>
      <c r="B97" s="142">
        <v>42873</v>
      </c>
      <c r="C97" t="s">
        <v>682</v>
      </c>
      <c r="D97">
        <v>-69.11</v>
      </c>
      <c r="E97" t="s">
        <v>700</v>
      </c>
      <c r="F97" t="s">
        <v>936</v>
      </c>
      <c r="H97" s="140" t="s">
        <v>1164</v>
      </c>
      <c r="I97" t="s">
        <v>1110</v>
      </c>
      <c r="J97" s="140"/>
    </row>
    <row r="98" spans="1:10" x14ac:dyDescent="0.2">
      <c r="A98" t="s">
        <v>681</v>
      </c>
      <c r="B98" s="142">
        <v>42873</v>
      </c>
      <c r="C98" t="s">
        <v>682</v>
      </c>
      <c r="D98">
        <v>-130.22999999999999</v>
      </c>
      <c r="E98" t="s">
        <v>694</v>
      </c>
      <c r="F98" t="s">
        <v>731</v>
      </c>
      <c r="H98" s="132"/>
      <c r="I98" t="s">
        <v>1111</v>
      </c>
      <c r="J98" s="132"/>
    </row>
    <row r="99" spans="1:10" x14ac:dyDescent="0.2">
      <c r="A99" t="s">
        <v>681</v>
      </c>
      <c r="B99" s="142">
        <v>42874</v>
      </c>
      <c r="C99" t="s">
        <v>682</v>
      </c>
      <c r="D99">
        <v>117.35</v>
      </c>
      <c r="E99" t="s">
        <v>683</v>
      </c>
      <c r="F99" t="s">
        <v>937</v>
      </c>
      <c r="H99" s="132"/>
      <c r="I99" t="s">
        <v>1110</v>
      </c>
      <c r="J99" s="132"/>
    </row>
    <row r="100" spans="1:10" x14ac:dyDescent="0.2">
      <c r="A100" t="s">
        <v>681</v>
      </c>
      <c r="B100" s="142">
        <v>42874</v>
      </c>
      <c r="C100" t="s">
        <v>682</v>
      </c>
      <c r="D100">
        <v>490</v>
      </c>
      <c r="E100" t="s">
        <v>683</v>
      </c>
      <c r="F100" t="s">
        <v>938</v>
      </c>
      <c r="H100" s="132"/>
      <c r="I100" t="s">
        <v>1110</v>
      </c>
      <c r="J100" s="132"/>
    </row>
    <row r="101" spans="1:10" x14ac:dyDescent="0.2">
      <c r="A101" t="s">
        <v>681</v>
      </c>
      <c r="B101" s="142">
        <v>42874</v>
      </c>
      <c r="C101" t="s">
        <v>682</v>
      </c>
      <c r="D101">
        <v>224.02</v>
      </c>
      <c r="E101" t="s">
        <v>683</v>
      </c>
      <c r="F101" t="s">
        <v>732</v>
      </c>
      <c r="H101" s="132"/>
      <c r="I101" t="s">
        <v>1110</v>
      </c>
      <c r="J101" s="132"/>
    </row>
    <row r="102" spans="1:10" x14ac:dyDescent="0.2">
      <c r="A102" t="s">
        <v>681</v>
      </c>
      <c r="B102" s="142">
        <v>42874</v>
      </c>
      <c r="C102" t="s">
        <v>682</v>
      </c>
      <c r="D102">
        <v>-4.9800000000000004</v>
      </c>
      <c r="E102" t="s">
        <v>700</v>
      </c>
      <c r="F102" t="s">
        <v>939</v>
      </c>
      <c r="H102" s="140" t="s">
        <v>1156</v>
      </c>
      <c r="I102" t="s">
        <v>1110</v>
      </c>
      <c r="J102" s="132"/>
    </row>
    <row r="103" spans="1:10" x14ac:dyDescent="0.2">
      <c r="A103" t="s">
        <v>681</v>
      </c>
      <c r="B103" s="142">
        <v>42874</v>
      </c>
      <c r="C103" t="s">
        <v>682</v>
      </c>
      <c r="D103">
        <v>-2.1800000000000002</v>
      </c>
      <c r="E103" t="s">
        <v>700</v>
      </c>
      <c r="F103" t="s">
        <v>940</v>
      </c>
      <c r="H103" s="140" t="s">
        <v>1156</v>
      </c>
      <c r="I103" t="s">
        <v>1110</v>
      </c>
      <c r="J103" s="132"/>
    </row>
    <row r="104" spans="1:10" x14ac:dyDescent="0.2">
      <c r="A104" t="s">
        <v>681</v>
      </c>
      <c r="B104" s="142">
        <v>42877</v>
      </c>
      <c r="C104" t="s">
        <v>682</v>
      </c>
      <c r="D104">
        <v>-9.4499999999999993</v>
      </c>
      <c r="E104" t="s">
        <v>700</v>
      </c>
      <c r="F104" t="s">
        <v>941</v>
      </c>
      <c r="H104" s="140" t="s">
        <v>1156</v>
      </c>
      <c r="I104" t="s">
        <v>1110</v>
      </c>
      <c r="J104" s="132"/>
    </row>
    <row r="105" spans="1:10" x14ac:dyDescent="0.2">
      <c r="A105" t="s">
        <v>681</v>
      </c>
      <c r="B105" s="142">
        <v>42877</v>
      </c>
      <c r="C105" t="s">
        <v>682</v>
      </c>
      <c r="D105">
        <v>-7.5</v>
      </c>
      <c r="E105" t="s">
        <v>700</v>
      </c>
      <c r="F105" t="s">
        <v>942</v>
      </c>
      <c r="H105" s="140" t="s">
        <v>1157</v>
      </c>
      <c r="I105" t="s">
        <v>1110</v>
      </c>
      <c r="J105" s="132"/>
    </row>
    <row r="106" spans="1:10" x14ac:dyDescent="0.2">
      <c r="A106" t="s">
        <v>681</v>
      </c>
      <c r="B106" s="142">
        <v>42877</v>
      </c>
      <c r="C106" t="s">
        <v>682</v>
      </c>
      <c r="D106">
        <v>-165.12</v>
      </c>
      <c r="E106" t="s">
        <v>694</v>
      </c>
      <c r="F106" t="s">
        <v>733</v>
      </c>
      <c r="H106" s="132"/>
      <c r="I106" t="s">
        <v>1111</v>
      </c>
      <c r="J106" s="132"/>
    </row>
    <row r="107" spans="1:10" x14ac:dyDescent="0.2">
      <c r="A107" t="s">
        <v>681</v>
      </c>
      <c r="B107" s="142">
        <v>42878</v>
      </c>
      <c r="C107" t="s">
        <v>682</v>
      </c>
      <c r="D107">
        <v>-10</v>
      </c>
      <c r="E107" t="s">
        <v>700</v>
      </c>
      <c r="F107" t="s">
        <v>943</v>
      </c>
      <c r="H107" s="140" t="s">
        <v>428</v>
      </c>
      <c r="I107" t="s">
        <v>1110</v>
      </c>
      <c r="J107" s="140"/>
    </row>
    <row r="108" spans="1:10" x14ac:dyDescent="0.2">
      <c r="A108" t="s">
        <v>681</v>
      </c>
      <c r="B108" s="142">
        <v>42878</v>
      </c>
      <c r="C108" t="s">
        <v>682</v>
      </c>
      <c r="D108">
        <v>-363.99</v>
      </c>
      <c r="E108" t="s">
        <v>700</v>
      </c>
      <c r="F108" t="s">
        <v>944</v>
      </c>
      <c r="H108" s="140" t="s">
        <v>1152</v>
      </c>
      <c r="I108" t="s">
        <v>1110</v>
      </c>
      <c r="J108" s="140"/>
    </row>
    <row r="109" spans="1:10" x14ac:dyDescent="0.2">
      <c r="A109" t="s">
        <v>681</v>
      </c>
      <c r="B109" s="142">
        <v>42878</v>
      </c>
      <c r="C109" t="s">
        <v>682</v>
      </c>
      <c r="D109">
        <v>-250.62</v>
      </c>
      <c r="E109" t="s">
        <v>700</v>
      </c>
      <c r="F109" t="s">
        <v>945</v>
      </c>
      <c r="H109" s="140" t="s">
        <v>428</v>
      </c>
      <c r="I109" t="s">
        <v>1110</v>
      </c>
      <c r="J109" s="140"/>
    </row>
    <row r="110" spans="1:10" x14ac:dyDescent="0.2">
      <c r="A110" t="s">
        <v>681</v>
      </c>
      <c r="B110" s="142">
        <v>42878</v>
      </c>
      <c r="C110" t="s">
        <v>682</v>
      </c>
      <c r="D110">
        <v>-40.33</v>
      </c>
      <c r="E110" t="s">
        <v>700</v>
      </c>
      <c r="F110" t="s">
        <v>946</v>
      </c>
      <c r="H110" s="140" t="s">
        <v>428</v>
      </c>
      <c r="I110" t="s">
        <v>1110</v>
      </c>
      <c r="J110" s="140"/>
    </row>
    <row r="111" spans="1:10" x14ac:dyDescent="0.2">
      <c r="A111" t="s">
        <v>681</v>
      </c>
      <c r="B111" s="142">
        <v>42879</v>
      </c>
      <c r="C111" t="s">
        <v>682</v>
      </c>
      <c r="D111">
        <v>477.76</v>
      </c>
      <c r="E111" t="s">
        <v>683</v>
      </c>
      <c r="F111" t="s">
        <v>727</v>
      </c>
      <c r="I111" t="s">
        <v>1110</v>
      </c>
    </row>
    <row r="112" spans="1:10" x14ac:dyDescent="0.2">
      <c r="A112" t="s">
        <v>681</v>
      </c>
      <c r="B112" s="142">
        <v>42879</v>
      </c>
      <c r="C112" t="s">
        <v>682</v>
      </c>
      <c r="D112">
        <v>177.87</v>
      </c>
      <c r="E112" t="s">
        <v>683</v>
      </c>
      <c r="F112" t="s">
        <v>723</v>
      </c>
      <c r="I112" t="s">
        <v>1110</v>
      </c>
    </row>
    <row r="113" spans="1:10" x14ac:dyDescent="0.2">
      <c r="A113" t="s">
        <v>681</v>
      </c>
      <c r="B113" s="142">
        <v>42879</v>
      </c>
      <c r="C113" t="s">
        <v>682</v>
      </c>
      <c r="D113">
        <v>46.4</v>
      </c>
      <c r="E113" t="s">
        <v>683</v>
      </c>
      <c r="F113" t="s">
        <v>714</v>
      </c>
      <c r="I113" t="s">
        <v>1110</v>
      </c>
    </row>
    <row r="114" spans="1:10" x14ac:dyDescent="0.2">
      <c r="A114" t="s">
        <v>681</v>
      </c>
      <c r="B114" s="142">
        <v>42879</v>
      </c>
      <c r="C114" t="s">
        <v>682</v>
      </c>
      <c r="D114">
        <v>-252</v>
      </c>
      <c r="E114" t="s">
        <v>700</v>
      </c>
      <c r="F114" t="s">
        <v>947</v>
      </c>
      <c r="H114" s="56" t="s">
        <v>1152</v>
      </c>
      <c r="I114" t="s">
        <v>1110</v>
      </c>
      <c r="J114" s="56"/>
    </row>
    <row r="115" spans="1:10" x14ac:dyDescent="0.2">
      <c r="A115" t="s">
        <v>681</v>
      </c>
      <c r="B115" s="142">
        <v>42879</v>
      </c>
      <c r="C115" t="s">
        <v>682</v>
      </c>
      <c r="D115">
        <v>-134.05000000000001</v>
      </c>
      <c r="E115" t="s">
        <v>700</v>
      </c>
      <c r="F115" t="s">
        <v>948</v>
      </c>
      <c r="H115" s="56" t="s">
        <v>1152</v>
      </c>
      <c r="I115" t="s">
        <v>1110</v>
      </c>
      <c r="J115" s="56"/>
    </row>
    <row r="116" spans="1:10" x14ac:dyDescent="0.2">
      <c r="A116" t="s">
        <v>681</v>
      </c>
      <c r="B116" s="142">
        <v>42879</v>
      </c>
      <c r="C116" t="s">
        <v>682</v>
      </c>
      <c r="D116">
        <v>-120</v>
      </c>
      <c r="E116" t="s">
        <v>700</v>
      </c>
      <c r="F116" t="s">
        <v>949</v>
      </c>
      <c r="H116" s="56" t="s">
        <v>401</v>
      </c>
      <c r="I116" t="s">
        <v>1110</v>
      </c>
      <c r="J116" s="56"/>
    </row>
    <row r="117" spans="1:10" x14ac:dyDescent="0.2">
      <c r="A117" t="s">
        <v>681</v>
      </c>
      <c r="B117" s="142">
        <v>42879</v>
      </c>
      <c r="C117" t="s">
        <v>682</v>
      </c>
      <c r="D117">
        <v>-20</v>
      </c>
      <c r="E117" t="s">
        <v>700</v>
      </c>
      <c r="F117" t="s">
        <v>950</v>
      </c>
      <c r="H117" s="56" t="s">
        <v>1154</v>
      </c>
      <c r="I117" t="s">
        <v>1110</v>
      </c>
      <c r="J117" s="56"/>
    </row>
    <row r="118" spans="1:10" x14ac:dyDescent="0.2">
      <c r="A118" t="s">
        <v>681</v>
      </c>
      <c r="B118" s="142">
        <v>42880</v>
      </c>
      <c r="C118" t="s">
        <v>682</v>
      </c>
      <c r="D118">
        <v>36</v>
      </c>
      <c r="E118" t="s">
        <v>736</v>
      </c>
      <c r="F118" t="s">
        <v>944</v>
      </c>
      <c r="H118" s="56" t="s">
        <v>1152</v>
      </c>
      <c r="I118" t="s">
        <v>1110</v>
      </c>
    </row>
    <row r="119" spans="1:10" x14ac:dyDescent="0.2">
      <c r="A119" t="s">
        <v>681</v>
      </c>
      <c r="B119" s="142">
        <v>42880</v>
      </c>
      <c r="C119" t="s">
        <v>682</v>
      </c>
      <c r="D119">
        <v>34</v>
      </c>
      <c r="E119" t="s">
        <v>736</v>
      </c>
      <c r="F119" t="s">
        <v>944</v>
      </c>
      <c r="H119" s="56" t="s">
        <v>1152</v>
      </c>
      <c r="I119" t="s">
        <v>1110</v>
      </c>
    </row>
    <row r="120" spans="1:10" x14ac:dyDescent="0.2">
      <c r="A120" t="s">
        <v>681</v>
      </c>
      <c r="B120" s="142">
        <v>42880</v>
      </c>
      <c r="C120" t="s">
        <v>682</v>
      </c>
      <c r="D120">
        <v>30</v>
      </c>
      <c r="E120" t="s">
        <v>736</v>
      </c>
      <c r="F120" t="s">
        <v>944</v>
      </c>
      <c r="H120" s="56" t="s">
        <v>1152</v>
      </c>
      <c r="I120" t="s">
        <v>1110</v>
      </c>
    </row>
    <row r="121" spans="1:10" x14ac:dyDescent="0.2">
      <c r="A121" t="s">
        <v>681</v>
      </c>
      <c r="B121" s="142">
        <v>42880</v>
      </c>
      <c r="C121" t="s">
        <v>682</v>
      </c>
      <c r="D121">
        <v>17</v>
      </c>
      <c r="E121" t="s">
        <v>736</v>
      </c>
      <c r="F121" t="s">
        <v>944</v>
      </c>
      <c r="H121" s="56" t="s">
        <v>1152</v>
      </c>
      <c r="I121" t="s">
        <v>1110</v>
      </c>
    </row>
    <row r="122" spans="1:10" x14ac:dyDescent="0.2">
      <c r="A122" t="s">
        <v>681</v>
      </c>
      <c r="B122" s="142">
        <v>42880</v>
      </c>
      <c r="C122" t="s">
        <v>682</v>
      </c>
      <c r="D122">
        <v>17</v>
      </c>
      <c r="E122" t="s">
        <v>736</v>
      </c>
      <c r="F122" t="s">
        <v>944</v>
      </c>
      <c r="H122" s="56" t="s">
        <v>1152</v>
      </c>
      <c r="I122" t="s">
        <v>1110</v>
      </c>
    </row>
    <row r="123" spans="1:10" x14ac:dyDescent="0.2">
      <c r="A123" t="s">
        <v>681</v>
      </c>
      <c r="B123" s="142">
        <v>42880</v>
      </c>
      <c r="C123" t="s">
        <v>682</v>
      </c>
      <c r="D123">
        <v>14</v>
      </c>
      <c r="E123" t="s">
        <v>736</v>
      </c>
      <c r="F123" t="s">
        <v>944</v>
      </c>
      <c r="H123" s="56" t="s">
        <v>1152</v>
      </c>
      <c r="I123" t="s">
        <v>1110</v>
      </c>
    </row>
    <row r="124" spans="1:10" x14ac:dyDescent="0.2">
      <c r="A124" t="s">
        <v>681</v>
      </c>
      <c r="B124" s="142">
        <v>42880</v>
      </c>
      <c r="C124" t="s">
        <v>682</v>
      </c>
      <c r="D124">
        <v>14</v>
      </c>
      <c r="E124" t="s">
        <v>736</v>
      </c>
      <c r="F124" t="s">
        <v>944</v>
      </c>
      <c r="H124" s="56" t="s">
        <v>1152</v>
      </c>
      <c r="I124" t="s">
        <v>1110</v>
      </c>
    </row>
    <row r="125" spans="1:10" x14ac:dyDescent="0.2">
      <c r="A125" t="s">
        <v>681</v>
      </c>
      <c r="B125" s="142">
        <v>42880</v>
      </c>
      <c r="C125" t="s">
        <v>682</v>
      </c>
      <c r="D125">
        <v>13</v>
      </c>
      <c r="E125" t="s">
        <v>736</v>
      </c>
      <c r="F125" t="s">
        <v>944</v>
      </c>
      <c r="H125" s="56" t="s">
        <v>1152</v>
      </c>
      <c r="I125" t="s">
        <v>1110</v>
      </c>
    </row>
    <row r="126" spans="1:10" x14ac:dyDescent="0.2">
      <c r="A126" t="s">
        <v>681</v>
      </c>
      <c r="B126" s="142">
        <v>42880</v>
      </c>
      <c r="C126" t="s">
        <v>682</v>
      </c>
      <c r="D126">
        <v>13</v>
      </c>
      <c r="E126" t="s">
        <v>736</v>
      </c>
      <c r="F126" t="s">
        <v>944</v>
      </c>
      <c r="H126" s="56" t="s">
        <v>1152</v>
      </c>
      <c r="I126" t="s">
        <v>1110</v>
      </c>
    </row>
    <row r="127" spans="1:10" x14ac:dyDescent="0.2">
      <c r="A127" t="s">
        <v>681</v>
      </c>
      <c r="B127" s="142">
        <v>42880</v>
      </c>
      <c r="C127" t="s">
        <v>682</v>
      </c>
      <c r="D127">
        <v>11</v>
      </c>
      <c r="E127" t="s">
        <v>736</v>
      </c>
      <c r="F127" t="s">
        <v>944</v>
      </c>
      <c r="H127" s="56" t="s">
        <v>1152</v>
      </c>
      <c r="I127" t="s">
        <v>1110</v>
      </c>
    </row>
    <row r="128" spans="1:10" x14ac:dyDescent="0.2">
      <c r="A128" t="s">
        <v>681</v>
      </c>
      <c r="B128" s="142">
        <v>42880</v>
      </c>
      <c r="C128" t="s">
        <v>682</v>
      </c>
      <c r="D128">
        <v>11</v>
      </c>
      <c r="E128" t="s">
        <v>736</v>
      </c>
      <c r="F128" t="s">
        <v>944</v>
      </c>
      <c r="H128" s="56" t="s">
        <v>1152</v>
      </c>
      <c r="I128" t="s">
        <v>1110</v>
      </c>
    </row>
    <row r="129" spans="1:10" x14ac:dyDescent="0.2">
      <c r="A129" t="s">
        <v>681</v>
      </c>
      <c r="B129" s="142">
        <v>42880</v>
      </c>
      <c r="C129" t="s">
        <v>682</v>
      </c>
      <c r="D129">
        <v>11</v>
      </c>
      <c r="E129" t="s">
        <v>736</v>
      </c>
      <c r="F129" t="s">
        <v>944</v>
      </c>
      <c r="H129" s="56" t="s">
        <v>1152</v>
      </c>
      <c r="I129" t="s">
        <v>1110</v>
      </c>
    </row>
    <row r="130" spans="1:10" x14ac:dyDescent="0.2">
      <c r="A130" t="s">
        <v>681</v>
      </c>
      <c r="B130" s="142">
        <v>42880</v>
      </c>
      <c r="C130" t="s">
        <v>682</v>
      </c>
      <c r="D130">
        <v>10</v>
      </c>
      <c r="E130" t="s">
        <v>736</v>
      </c>
      <c r="F130" t="s">
        <v>944</v>
      </c>
      <c r="H130" s="56" t="s">
        <v>1152</v>
      </c>
      <c r="I130" t="s">
        <v>1110</v>
      </c>
    </row>
    <row r="131" spans="1:10" x14ac:dyDescent="0.2">
      <c r="A131" t="s">
        <v>681</v>
      </c>
      <c r="B131" s="142">
        <v>42880</v>
      </c>
      <c r="C131" t="s">
        <v>682</v>
      </c>
      <c r="D131">
        <v>603.20000000000005</v>
      </c>
      <c r="E131" t="s">
        <v>683</v>
      </c>
      <c r="F131" t="s">
        <v>714</v>
      </c>
      <c r="I131" t="s">
        <v>1110</v>
      </c>
    </row>
    <row r="132" spans="1:10" x14ac:dyDescent="0.2">
      <c r="A132" t="s">
        <v>681</v>
      </c>
      <c r="B132" s="142">
        <v>42880</v>
      </c>
      <c r="C132" t="s">
        <v>682</v>
      </c>
      <c r="D132">
        <v>-16.72</v>
      </c>
      <c r="E132" t="s">
        <v>700</v>
      </c>
      <c r="F132" t="s">
        <v>951</v>
      </c>
      <c r="H132" s="56" t="s">
        <v>1163</v>
      </c>
      <c r="I132" t="s">
        <v>1110</v>
      </c>
    </row>
    <row r="133" spans="1:10" x14ac:dyDescent="0.2">
      <c r="A133" t="s">
        <v>681</v>
      </c>
      <c r="B133" s="142">
        <v>42880</v>
      </c>
      <c r="C133" t="s">
        <v>682</v>
      </c>
      <c r="D133">
        <v>-519.5</v>
      </c>
      <c r="E133" t="s">
        <v>686</v>
      </c>
      <c r="F133" t="s">
        <v>735</v>
      </c>
      <c r="I133" t="s">
        <v>1110</v>
      </c>
    </row>
    <row r="134" spans="1:10" x14ac:dyDescent="0.2">
      <c r="A134" t="s">
        <v>681</v>
      </c>
      <c r="B134" s="142">
        <v>42881</v>
      </c>
      <c r="C134" t="s">
        <v>682</v>
      </c>
      <c r="D134">
        <v>464</v>
      </c>
      <c r="E134" t="s">
        <v>683</v>
      </c>
      <c r="F134" t="s">
        <v>699</v>
      </c>
      <c r="I134" t="s">
        <v>1110</v>
      </c>
    </row>
    <row r="135" spans="1:10" x14ac:dyDescent="0.2">
      <c r="A135" t="s">
        <v>681</v>
      </c>
      <c r="B135" s="142">
        <v>42881</v>
      </c>
      <c r="C135" t="s">
        <v>682</v>
      </c>
      <c r="D135">
        <v>-160.55000000000001</v>
      </c>
      <c r="E135" t="s">
        <v>700</v>
      </c>
      <c r="F135" t="s">
        <v>952</v>
      </c>
      <c r="H135" s="56" t="s">
        <v>1164</v>
      </c>
      <c r="I135" t="s">
        <v>1110</v>
      </c>
      <c r="J135" s="56"/>
    </row>
    <row r="136" spans="1:10" x14ac:dyDescent="0.2">
      <c r="A136" t="s">
        <v>681</v>
      </c>
      <c r="B136" s="142">
        <v>42885</v>
      </c>
      <c r="C136" t="s">
        <v>682</v>
      </c>
      <c r="D136">
        <v>207</v>
      </c>
      <c r="E136" t="s">
        <v>736</v>
      </c>
      <c r="F136" t="s">
        <v>953</v>
      </c>
      <c r="H136" s="56" t="s">
        <v>1152</v>
      </c>
      <c r="I136" t="s">
        <v>1110</v>
      </c>
    </row>
    <row r="137" spans="1:10" x14ac:dyDescent="0.2">
      <c r="A137" t="s">
        <v>681</v>
      </c>
      <c r="B137" s="142">
        <v>42885</v>
      </c>
      <c r="C137" t="s">
        <v>682</v>
      </c>
      <c r="D137">
        <v>129.94999999999999</v>
      </c>
      <c r="E137" t="s">
        <v>736</v>
      </c>
      <c r="F137" t="s">
        <v>954</v>
      </c>
      <c r="H137" s="56" t="s">
        <v>1152</v>
      </c>
      <c r="I137" t="s">
        <v>1110</v>
      </c>
    </row>
    <row r="138" spans="1:10" x14ac:dyDescent="0.2">
      <c r="A138" t="s">
        <v>681</v>
      </c>
      <c r="B138" s="142">
        <v>42885</v>
      </c>
      <c r="C138" t="s">
        <v>682</v>
      </c>
      <c r="D138">
        <v>19</v>
      </c>
      <c r="E138" t="s">
        <v>736</v>
      </c>
      <c r="F138" t="s">
        <v>944</v>
      </c>
      <c r="H138" s="56" t="s">
        <v>1152</v>
      </c>
      <c r="I138" t="s">
        <v>1110</v>
      </c>
    </row>
    <row r="139" spans="1:10" x14ac:dyDescent="0.2">
      <c r="A139" t="s">
        <v>681</v>
      </c>
      <c r="B139" s="142">
        <v>42885</v>
      </c>
      <c r="C139" t="s">
        <v>682</v>
      </c>
      <c r="D139">
        <v>14</v>
      </c>
      <c r="E139" t="s">
        <v>736</v>
      </c>
      <c r="F139" t="s">
        <v>944</v>
      </c>
      <c r="H139" s="56" t="s">
        <v>1152</v>
      </c>
      <c r="I139" t="s">
        <v>1110</v>
      </c>
    </row>
    <row r="140" spans="1:10" x14ac:dyDescent="0.2">
      <c r="A140" t="s">
        <v>681</v>
      </c>
      <c r="B140" s="142">
        <v>42885</v>
      </c>
      <c r="C140" t="s">
        <v>682</v>
      </c>
      <c r="D140">
        <v>11</v>
      </c>
      <c r="E140" t="s">
        <v>736</v>
      </c>
      <c r="F140" t="s">
        <v>955</v>
      </c>
      <c r="H140" s="56" t="s">
        <v>1152</v>
      </c>
      <c r="I140" t="s">
        <v>1110</v>
      </c>
    </row>
    <row r="141" spans="1:10" x14ac:dyDescent="0.2">
      <c r="A141" t="s">
        <v>681</v>
      </c>
      <c r="B141" s="142">
        <v>42885</v>
      </c>
      <c r="C141" t="s">
        <v>682</v>
      </c>
      <c r="D141">
        <v>4</v>
      </c>
      <c r="E141" t="s">
        <v>736</v>
      </c>
      <c r="F141" t="s">
        <v>955</v>
      </c>
      <c r="H141" s="56" t="s">
        <v>1152</v>
      </c>
      <c r="I141" t="s">
        <v>1110</v>
      </c>
    </row>
    <row r="142" spans="1:10" x14ac:dyDescent="0.2">
      <c r="A142" t="s">
        <v>681</v>
      </c>
      <c r="B142" s="142">
        <v>42885</v>
      </c>
      <c r="C142" t="s">
        <v>682</v>
      </c>
      <c r="D142">
        <v>177.88</v>
      </c>
      <c r="E142" t="s">
        <v>683</v>
      </c>
      <c r="F142" t="s">
        <v>684</v>
      </c>
      <c r="I142" t="s">
        <v>1110</v>
      </c>
    </row>
    <row r="143" spans="1:10" x14ac:dyDescent="0.2">
      <c r="A143" t="s">
        <v>681</v>
      </c>
      <c r="B143" s="142">
        <v>42885</v>
      </c>
      <c r="C143" t="s">
        <v>682</v>
      </c>
      <c r="D143">
        <v>177.88</v>
      </c>
      <c r="E143" t="s">
        <v>683</v>
      </c>
      <c r="F143" t="s">
        <v>685</v>
      </c>
      <c r="I143" t="s">
        <v>1110</v>
      </c>
    </row>
    <row r="144" spans="1:10" x14ac:dyDescent="0.2">
      <c r="A144" t="s">
        <v>681</v>
      </c>
      <c r="B144" s="142">
        <v>42885</v>
      </c>
      <c r="C144" t="s">
        <v>682</v>
      </c>
      <c r="D144">
        <v>-15.14</v>
      </c>
      <c r="E144" t="s">
        <v>700</v>
      </c>
      <c r="F144" t="s">
        <v>956</v>
      </c>
      <c r="H144" s="56" t="s">
        <v>1164</v>
      </c>
      <c r="I144" t="s">
        <v>1110</v>
      </c>
      <c r="J144" s="56"/>
    </row>
    <row r="145" spans="1:10" x14ac:dyDescent="0.2">
      <c r="A145" t="s">
        <v>681</v>
      </c>
      <c r="B145" s="142">
        <v>42885</v>
      </c>
      <c r="C145" t="s">
        <v>682</v>
      </c>
      <c r="D145">
        <v>-11.05</v>
      </c>
      <c r="E145" t="s">
        <v>700</v>
      </c>
      <c r="F145" t="s">
        <v>957</v>
      </c>
      <c r="H145" s="56" t="s">
        <v>1164</v>
      </c>
      <c r="I145" t="s">
        <v>1110</v>
      </c>
      <c r="J145" s="56"/>
    </row>
    <row r="146" spans="1:10" x14ac:dyDescent="0.2">
      <c r="A146" t="s">
        <v>681</v>
      </c>
      <c r="B146" s="142">
        <v>42885</v>
      </c>
      <c r="C146" t="s">
        <v>682</v>
      </c>
      <c r="D146">
        <v>-8.99</v>
      </c>
      <c r="E146" t="s">
        <v>700</v>
      </c>
      <c r="F146" t="s">
        <v>956</v>
      </c>
      <c r="H146" s="56" t="s">
        <v>1164</v>
      </c>
      <c r="I146" t="s">
        <v>1110</v>
      </c>
      <c r="J146" s="56"/>
    </row>
    <row r="147" spans="1:10" x14ac:dyDescent="0.2">
      <c r="A147" t="s">
        <v>681</v>
      </c>
      <c r="B147" s="142">
        <v>42885</v>
      </c>
      <c r="C147" t="s">
        <v>682</v>
      </c>
      <c r="D147">
        <v>-309</v>
      </c>
      <c r="E147" t="s">
        <v>700</v>
      </c>
      <c r="F147" t="s">
        <v>958</v>
      </c>
      <c r="H147" s="56" t="s">
        <v>1155</v>
      </c>
      <c r="I147" t="s">
        <v>1110</v>
      </c>
      <c r="J147" s="56"/>
    </row>
    <row r="148" spans="1:10" x14ac:dyDescent="0.2">
      <c r="A148" t="s">
        <v>681</v>
      </c>
      <c r="B148" s="142">
        <v>42885</v>
      </c>
      <c r="C148" t="s">
        <v>682</v>
      </c>
      <c r="D148">
        <v>-138.05000000000001</v>
      </c>
      <c r="E148" t="s">
        <v>700</v>
      </c>
      <c r="F148" t="s">
        <v>959</v>
      </c>
      <c r="H148" s="56" t="s">
        <v>1152</v>
      </c>
      <c r="I148" t="s">
        <v>1110</v>
      </c>
      <c r="J148" s="56"/>
    </row>
    <row r="149" spans="1:10" x14ac:dyDescent="0.2">
      <c r="A149" t="s">
        <v>681</v>
      </c>
      <c r="B149" s="142">
        <v>42885</v>
      </c>
      <c r="C149" t="s">
        <v>682</v>
      </c>
      <c r="D149">
        <v>-60</v>
      </c>
      <c r="E149" t="s">
        <v>700</v>
      </c>
      <c r="F149" t="s">
        <v>960</v>
      </c>
      <c r="H149" s="56" t="s">
        <v>428</v>
      </c>
      <c r="I149" t="s">
        <v>1110</v>
      </c>
      <c r="J149" s="56"/>
    </row>
    <row r="150" spans="1:10" x14ac:dyDescent="0.2">
      <c r="A150" t="s">
        <v>681</v>
      </c>
      <c r="B150" s="142">
        <v>42885</v>
      </c>
      <c r="C150" t="s">
        <v>682</v>
      </c>
      <c r="D150">
        <v>-58.98</v>
      </c>
      <c r="E150" t="s">
        <v>700</v>
      </c>
      <c r="F150" t="s">
        <v>961</v>
      </c>
      <c r="H150" s="56" t="s">
        <v>1164</v>
      </c>
      <c r="I150" t="s">
        <v>1110</v>
      </c>
      <c r="J150" s="56"/>
    </row>
    <row r="151" spans="1:10" x14ac:dyDescent="0.2">
      <c r="A151" t="s">
        <v>681</v>
      </c>
      <c r="B151" s="142">
        <v>42885</v>
      </c>
      <c r="C151" t="s">
        <v>682</v>
      </c>
      <c r="D151">
        <v>-15</v>
      </c>
      <c r="E151" t="s">
        <v>700</v>
      </c>
      <c r="F151" t="s">
        <v>962</v>
      </c>
      <c r="H151" s="56" t="s">
        <v>1154</v>
      </c>
      <c r="I151" t="s">
        <v>1110</v>
      </c>
      <c r="J151" s="56"/>
    </row>
    <row r="152" spans="1:10" x14ac:dyDescent="0.2">
      <c r="A152" t="s">
        <v>681</v>
      </c>
      <c r="B152" s="142">
        <v>42885</v>
      </c>
      <c r="C152" t="s">
        <v>682</v>
      </c>
      <c r="D152">
        <v>-14</v>
      </c>
      <c r="E152" t="s">
        <v>700</v>
      </c>
      <c r="F152" t="s">
        <v>944</v>
      </c>
      <c r="H152" s="56" t="s">
        <v>1152</v>
      </c>
      <c r="I152" t="s">
        <v>1110</v>
      </c>
      <c r="J152" s="56"/>
    </row>
    <row r="153" spans="1:10" x14ac:dyDescent="0.2">
      <c r="A153" t="s">
        <v>681</v>
      </c>
      <c r="B153" s="142">
        <v>42885</v>
      </c>
      <c r="C153" t="s">
        <v>682</v>
      </c>
      <c r="D153">
        <v>-12.8</v>
      </c>
      <c r="E153" t="s">
        <v>700</v>
      </c>
      <c r="F153" t="s">
        <v>963</v>
      </c>
      <c r="H153" s="56" t="s">
        <v>428</v>
      </c>
      <c r="I153" t="s">
        <v>1110</v>
      </c>
      <c r="J153" s="56"/>
    </row>
    <row r="154" spans="1:10" x14ac:dyDescent="0.2">
      <c r="A154" t="s">
        <v>681</v>
      </c>
      <c r="B154" s="142">
        <v>42885</v>
      </c>
      <c r="C154" t="s">
        <v>682</v>
      </c>
      <c r="D154">
        <v>-4.18</v>
      </c>
      <c r="E154" t="s">
        <v>700</v>
      </c>
      <c r="F154" t="s">
        <v>964</v>
      </c>
      <c r="H154" s="56" t="s">
        <v>1156</v>
      </c>
      <c r="I154" t="s">
        <v>1110</v>
      </c>
    </row>
    <row r="155" spans="1:10" x14ac:dyDescent="0.2">
      <c r="A155" t="s">
        <v>681</v>
      </c>
      <c r="B155" s="142">
        <v>42885</v>
      </c>
      <c r="C155" t="s">
        <v>682</v>
      </c>
      <c r="D155">
        <v>-116</v>
      </c>
      <c r="E155" t="s">
        <v>694</v>
      </c>
      <c r="F155" t="s">
        <v>891</v>
      </c>
      <c r="I155" t="s">
        <v>1111</v>
      </c>
    </row>
    <row r="156" spans="1:10" x14ac:dyDescent="0.2">
      <c r="A156" t="s">
        <v>681</v>
      </c>
      <c r="B156" s="142">
        <v>42886</v>
      </c>
      <c r="C156" t="s">
        <v>682</v>
      </c>
      <c r="D156">
        <v>91.8</v>
      </c>
      <c r="E156" t="s">
        <v>683</v>
      </c>
      <c r="F156" t="s">
        <v>729</v>
      </c>
      <c r="I156" t="s">
        <v>1110</v>
      </c>
    </row>
    <row r="157" spans="1:10" x14ac:dyDescent="0.2">
      <c r="A157" t="s">
        <v>681</v>
      </c>
      <c r="B157" s="142">
        <v>42886</v>
      </c>
      <c r="C157" t="s">
        <v>682</v>
      </c>
      <c r="D157">
        <v>-14.58</v>
      </c>
      <c r="E157" t="s">
        <v>700</v>
      </c>
      <c r="F157" t="s">
        <v>965</v>
      </c>
      <c r="H157" s="56" t="s">
        <v>1164</v>
      </c>
      <c r="I157" t="s">
        <v>1110</v>
      </c>
      <c r="J157" s="56"/>
    </row>
    <row r="158" spans="1:10" x14ac:dyDescent="0.2">
      <c r="A158" t="s">
        <v>681</v>
      </c>
      <c r="B158" s="142">
        <v>42886</v>
      </c>
      <c r="C158" t="s">
        <v>682</v>
      </c>
      <c r="D158">
        <v>-11.05</v>
      </c>
      <c r="E158" t="s">
        <v>700</v>
      </c>
      <c r="F158" t="s">
        <v>966</v>
      </c>
      <c r="H158" s="56" t="s">
        <v>1164</v>
      </c>
      <c r="I158" t="s">
        <v>1110</v>
      </c>
      <c r="J158" s="56"/>
    </row>
    <row r="159" spans="1:10" x14ac:dyDescent="0.2">
      <c r="A159" t="s">
        <v>681</v>
      </c>
      <c r="B159" s="142">
        <v>42886</v>
      </c>
      <c r="C159" t="s">
        <v>682</v>
      </c>
      <c r="D159">
        <v>-171.13</v>
      </c>
      <c r="E159" t="s">
        <v>694</v>
      </c>
      <c r="F159" t="s">
        <v>967</v>
      </c>
      <c r="I159" t="s">
        <v>1111</v>
      </c>
    </row>
    <row r="160" spans="1:10" x14ac:dyDescent="0.2">
      <c r="A160" t="s">
        <v>681</v>
      </c>
      <c r="B160" s="142">
        <v>42886</v>
      </c>
      <c r="C160" t="s">
        <v>682</v>
      </c>
      <c r="D160">
        <v>-177.73</v>
      </c>
      <c r="E160" t="s">
        <v>694</v>
      </c>
      <c r="F160" t="s">
        <v>968</v>
      </c>
      <c r="I160" t="s">
        <v>1111</v>
      </c>
    </row>
    <row r="161" spans="1:9" x14ac:dyDescent="0.2">
      <c r="A161" t="s">
        <v>681</v>
      </c>
      <c r="B161" s="142">
        <v>42886</v>
      </c>
      <c r="C161" t="s">
        <v>682</v>
      </c>
      <c r="D161">
        <v>-177.73</v>
      </c>
      <c r="E161" t="s">
        <v>694</v>
      </c>
      <c r="F161" t="s">
        <v>969</v>
      </c>
      <c r="I161" t="s">
        <v>1111</v>
      </c>
    </row>
    <row r="162" spans="1:9" x14ac:dyDescent="0.2">
      <c r="A162" t="s">
        <v>681</v>
      </c>
      <c r="B162" s="142">
        <v>42886</v>
      </c>
      <c r="C162" t="s">
        <v>682</v>
      </c>
      <c r="D162">
        <v>-177.73</v>
      </c>
      <c r="E162" t="s">
        <v>694</v>
      </c>
      <c r="F162" t="s">
        <v>970</v>
      </c>
      <c r="I162" t="s">
        <v>1111</v>
      </c>
    </row>
  </sheetData>
  <autoFilter ref="A1:I16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97"/>
  <sheetViews>
    <sheetView zoomScale="85" zoomScaleNormal="85" workbookViewId="0">
      <selection activeCell="E86" sqref="E86"/>
    </sheetView>
  </sheetViews>
  <sheetFormatPr defaultRowHeight="12.75" x14ac:dyDescent="0.2"/>
  <cols>
    <col min="2" max="2" width="10.140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513</v>
      </c>
      <c r="B1" t="s">
        <v>514</v>
      </c>
      <c r="C1" t="s">
        <v>515</v>
      </c>
      <c r="D1" t="s">
        <v>516</v>
      </c>
      <c r="E1" t="s">
        <v>517</v>
      </c>
      <c r="F1" t="s">
        <v>518</v>
      </c>
      <c r="G1" s="56" t="s">
        <v>24</v>
      </c>
      <c r="H1" s="56" t="s">
        <v>551</v>
      </c>
      <c r="I1" s="56" t="s">
        <v>552</v>
      </c>
    </row>
    <row r="2" spans="1:11" x14ac:dyDescent="0.2">
      <c r="A2" t="s">
        <v>681</v>
      </c>
      <c r="B2" s="142">
        <v>42857</v>
      </c>
      <c r="C2" t="s">
        <v>737</v>
      </c>
      <c r="D2">
        <v>2609.16</v>
      </c>
      <c r="E2" t="s">
        <v>738</v>
      </c>
      <c r="F2" t="s">
        <v>739</v>
      </c>
      <c r="H2" s="132"/>
      <c r="I2" t="s">
        <v>1110</v>
      </c>
      <c r="J2" s="132"/>
      <c r="K2" s="132"/>
    </row>
    <row r="3" spans="1:11" hidden="1" x14ac:dyDescent="0.2">
      <c r="A3" t="s">
        <v>681</v>
      </c>
      <c r="B3" s="142">
        <v>42857</v>
      </c>
      <c r="C3" t="s">
        <v>737</v>
      </c>
      <c r="D3">
        <v>77.84</v>
      </c>
      <c r="E3" t="s">
        <v>683</v>
      </c>
      <c r="F3" t="s">
        <v>761</v>
      </c>
      <c r="H3" s="132"/>
      <c r="I3" t="s">
        <v>1110</v>
      </c>
      <c r="J3" s="132"/>
      <c r="K3" s="132"/>
    </row>
    <row r="4" spans="1:11" x14ac:dyDescent="0.2">
      <c r="A4" t="s">
        <v>681</v>
      </c>
      <c r="B4" s="142">
        <v>42857</v>
      </c>
      <c r="C4" t="s">
        <v>737</v>
      </c>
      <c r="D4">
        <v>-232.5</v>
      </c>
      <c r="E4" t="s">
        <v>686</v>
      </c>
      <c r="F4" t="s">
        <v>742</v>
      </c>
      <c r="H4" s="132"/>
      <c r="I4" t="s">
        <v>1110</v>
      </c>
      <c r="J4" s="132"/>
      <c r="K4" s="132"/>
    </row>
    <row r="5" spans="1:11" x14ac:dyDescent="0.2">
      <c r="A5" t="s">
        <v>681</v>
      </c>
      <c r="B5" s="142">
        <v>42857</v>
      </c>
      <c r="C5" t="s">
        <v>737</v>
      </c>
      <c r="D5">
        <v>-160</v>
      </c>
      <c r="E5" t="s">
        <v>686</v>
      </c>
      <c r="F5" t="s">
        <v>743</v>
      </c>
      <c r="H5" s="132"/>
      <c r="I5" t="s">
        <v>1110</v>
      </c>
      <c r="J5" s="132"/>
      <c r="K5" s="132"/>
    </row>
    <row r="6" spans="1:11" x14ac:dyDescent="0.2">
      <c r="A6" t="s">
        <v>681</v>
      </c>
      <c r="B6" s="142">
        <v>42857</v>
      </c>
      <c r="C6" t="s">
        <v>737</v>
      </c>
      <c r="D6">
        <v>-157.5</v>
      </c>
      <c r="E6" t="s">
        <v>686</v>
      </c>
      <c r="F6" t="s">
        <v>744</v>
      </c>
      <c r="H6" s="132"/>
      <c r="I6" t="s">
        <v>1110</v>
      </c>
      <c r="J6" s="132"/>
      <c r="K6" s="132"/>
    </row>
    <row r="7" spans="1:11" x14ac:dyDescent="0.2">
      <c r="A7" t="s">
        <v>681</v>
      </c>
      <c r="B7" s="142">
        <v>42857</v>
      </c>
      <c r="C7" t="s">
        <v>737</v>
      </c>
      <c r="D7">
        <v>-50</v>
      </c>
      <c r="E7" t="s">
        <v>686</v>
      </c>
      <c r="F7" t="s">
        <v>745</v>
      </c>
      <c r="H7" s="132"/>
      <c r="I7" t="s">
        <v>1110</v>
      </c>
      <c r="J7" s="132"/>
      <c r="K7" s="132"/>
    </row>
    <row r="8" spans="1:11" x14ac:dyDescent="0.2">
      <c r="A8" t="s">
        <v>681</v>
      </c>
      <c r="B8" s="142">
        <v>42857</v>
      </c>
      <c r="C8" t="s">
        <v>737</v>
      </c>
      <c r="D8">
        <v>-50</v>
      </c>
      <c r="E8" t="s">
        <v>686</v>
      </c>
      <c r="F8" t="s">
        <v>693</v>
      </c>
      <c r="H8" s="132"/>
      <c r="I8" t="s">
        <v>1110</v>
      </c>
      <c r="J8" s="132"/>
      <c r="K8" s="132"/>
    </row>
    <row r="9" spans="1:11" hidden="1" x14ac:dyDescent="0.2">
      <c r="A9" t="s">
        <v>681</v>
      </c>
      <c r="B9" s="142">
        <v>42857</v>
      </c>
      <c r="C9" t="s">
        <v>737</v>
      </c>
      <c r="D9">
        <v>-496.98</v>
      </c>
      <c r="E9" t="s">
        <v>694</v>
      </c>
      <c r="F9" t="s">
        <v>746</v>
      </c>
      <c r="H9" s="132"/>
      <c r="I9" t="s">
        <v>1111</v>
      </c>
      <c r="J9" s="132"/>
      <c r="K9" s="132"/>
    </row>
    <row r="10" spans="1:11" hidden="1" x14ac:dyDescent="0.2">
      <c r="A10" t="s">
        <v>681</v>
      </c>
      <c r="B10" s="142">
        <v>42857</v>
      </c>
      <c r="C10" t="s">
        <v>737</v>
      </c>
      <c r="D10">
        <v>-165.45</v>
      </c>
      <c r="E10" t="s">
        <v>694</v>
      </c>
      <c r="F10" t="s">
        <v>971</v>
      </c>
      <c r="H10" s="132"/>
      <c r="I10" t="s">
        <v>1111</v>
      </c>
      <c r="J10" s="132"/>
      <c r="K10" s="132"/>
    </row>
    <row r="11" spans="1:11" hidden="1" x14ac:dyDescent="0.2">
      <c r="A11" t="s">
        <v>681</v>
      </c>
      <c r="B11" s="142">
        <v>42857</v>
      </c>
      <c r="C11" t="s">
        <v>737</v>
      </c>
      <c r="D11">
        <v>-37.950000000000003</v>
      </c>
      <c r="E11" t="s">
        <v>694</v>
      </c>
      <c r="F11" t="s">
        <v>752</v>
      </c>
      <c r="H11" s="132"/>
      <c r="I11" t="s">
        <v>1110</v>
      </c>
      <c r="J11" s="132"/>
      <c r="K11" s="132"/>
    </row>
    <row r="12" spans="1:11" hidden="1" x14ac:dyDescent="0.2">
      <c r="A12" t="s">
        <v>681</v>
      </c>
      <c r="B12" s="142">
        <v>42857</v>
      </c>
      <c r="C12" t="s">
        <v>737</v>
      </c>
      <c r="D12">
        <v>-195.72</v>
      </c>
      <c r="E12" t="s">
        <v>694</v>
      </c>
      <c r="F12" t="s">
        <v>747</v>
      </c>
      <c r="H12" s="132"/>
      <c r="I12" t="s">
        <v>1111</v>
      </c>
      <c r="J12" s="132"/>
      <c r="K12" s="132"/>
    </row>
    <row r="13" spans="1:11" hidden="1" x14ac:dyDescent="0.2">
      <c r="A13" t="s">
        <v>681</v>
      </c>
      <c r="B13" s="142">
        <v>42857</v>
      </c>
      <c r="C13" t="s">
        <v>737</v>
      </c>
      <c r="D13">
        <v>-197.32</v>
      </c>
      <c r="E13" t="s">
        <v>694</v>
      </c>
      <c r="F13" t="s">
        <v>748</v>
      </c>
      <c r="H13" s="132"/>
      <c r="I13" t="s">
        <v>1111</v>
      </c>
      <c r="J13" s="132"/>
      <c r="K13" s="132"/>
    </row>
    <row r="14" spans="1:11" hidden="1" x14ac:dyDescent="0.2">
      <c r="A14" t="s">
        <v>681</v>
      </c>
      <c r="B14" s="142">
        <v>42857</v>
      </c>
      <c r="C14" t="s">
        <v>737</v>
      </c>
      <c r="D14">
        <v>-279.26</v>
      </c>
      <c r="E14" t="s">
        <v>694</v>
      </c>
      <c r="F14" t="s">
        <v>972</v>
      </c>
      <c r="H14" s="132"/>
      <c r="I14" t="s">
        <v>1110</v>
      </c>
      <c r="J14" s="132"/>
      <c r="K14" s="132"/>
    </row>
    <row r="15" spans="1:11" hidden="1" x14ac:dyDescent="0.2">
      <c r="A15" t="s">
        <v>681</v>
      </c>
      <c r="B15" s="142">
        <v>42857</v>
      </c>
      <c r="C15" t="s">
        <v>737</v>
      </c>
      <c r="D15">
        <v>-1298</v>
      </c>
      <c r="E15" t="s">
        <v>694</v>
      </c>
      <c r="F15" t="s">
        <v>973</v>
      </c>
      <c r="H15" s="132"/>
      <c r="I15" t="s">
        <v>1110</v>
      </c>
      <c r="J15" s="132"/>
      <c r="K15" s="132"/>
    </row>
    <row r="16" spans="1:11" hidden="1" x14ac:dyDescent="0.2">
      <c r="A16" t="s">
        <v>681</v>
      </c>
      <c r="B16" s="142">
        <v>42857</v>
      </c>
      <c r="C16" t="s">
        <v>737</v>
      </c>
      <c r="D16">
        <v>-1126.24</v>
      </c>
      <c r="E16" t="s">
        <v>694</v>
      </c>
      <c r="F16" t="s">
        <v>974</v>
      </c>
      <c r="H16" s="132"/>
      <c r="I16" t="s">
        <v>1110</v>
      </c>
      <c r="J16" s="132"/>
      <c r="K16" s="132"/>
    </row>
    <row r="17" spans="1:11" hidden="1" x14ac:dyDescent="0.2">
      <c r="A17" t="s">
        <v>681</v>
      </c>
      <c r="B17" s="142">
        <v>42857</v>
      </c>
      <c r="C17" t="s">
        <v>737</v>
      </c>
      <c r="D17">
        <v>-348.23</v>
      </c>
      <c r="E17" t="s">
        <v>694</v>
      </c>
      <c r="F17" t="s">
        <v>749</v>
      </c>
      <c r="H17" s="132"/>
      <c r="I17" t="s">
        <v>1111</v>
      </c>
      <c r="J17" s="132"/>
      <c r="K17" s="132"/>
    </row>
    <row r="18" spans="1:11" hidden="1" x14ac:dyDescent="0.2">
      <c r="A18" t="s">
        <v>681</v>
      </c>
      <c r="B18" s="142">
        <v>42857</v>
      </c>
      <c r="C18" t="s">
        <v>737</v>
      </c>
      <c r="D18">
        <v>-356.87</v>
      </c>
      <c r="E18" t="s">
        <v>694</v>
      </c>
      <c r="F18" t="s">
        <v>750</v>
      </c>
      <c r="H18" s="132"/>
      <c r="I18" t="s">
        <v>1111</v>
      </c>
      <c r="J18" s="132"/>
      <c r="K18" s="132"/>
    </row>
    <row r="19" spans="1:11" hidden="1" x14ac:dyDescent="0.2">
      <c r="A19" t="s">
        <v>681</v>
      </c>
      <c r="B19" s="142">
        <v>42858</v>
      </c>
      <c r="C19" t="s">
        <v>737</v>
      </c>
      <c r="D19">
        <v>482.56</v>
      </c>
      <c r="E19" t="s">
        <v>683</v>
      </c>
      <c r="F19" t="s">
        <v>751</v>
      </c>
      <c r="H19" s="132"/>
      <c r="I19" t="s">
        <v>1110</v>
      </c>
      <c r="J19" s="132"/>
      <c r="K19" s="132"/>
    </row>
    <row r="20" spans="1:11" hidden="1" x14ac:dyDescent="0.2">
      <c r="A20" t="s">
        <v>681</v>
      </c>
      <c r="B20" s="142">
        <v>42858</v>
      </c>
      <c r="C20" t="s">
        <v>737</v>
      </c>
      <c r="D20">
        <v>15.4</v>
      </c>
      <c r="E20" t="s">
        <v>683</v>
      </c>
      <c r="F20" t="s">
        <v>757</v>
      </c>
      <c r="H20" s="132"/>
      <c r="I20" t="s">
        <v>1110</v>
      </c>
      <c r="J20" s="132"/>
      <c r="K20" s="132"/>
    </row>
    <row r="21" spans="1:11" hidden="1" x14ac:dyDescent="0.2">
      <c r="A21" t="s">
        <v>681</v>
      </c>
      <c r="B21" s="142">
        <v>42858</v>
      </c>
      <c r="C21" t="s">
        <v>737</v>
      </c>
      <c r="D21">
        <v>-203.36</v>
      </c>
      <c r="E21" t="s">
        <v>694</v>
      </c>
      <c r="F21" t="s">
        <v>975</v>
      </c>
      <c r="H21" s="132"/>
      <c r="I21" t="s">
        <v>1111</v>
      </c>
      <c r="J21" s="132"/>
      <c r="K21" s="132"/>
    </row>
    <row r="22" spans="1:11" x14ac:dyDescent="0.2">
      <c r="A22" t="s">
        <v>681</v>
      </c>
      <c r="B22" s="142">
        <v>42859</v>
      </c>
      <c r="C22" t="s">
        <v>737</v>
      </c>
      <c r="D22">
        <v>-4000</v>
      </c>
      <c r="E22" t="s">
        <v>976</v>
      </c>
      <c r="F22" t="s">
        <v>977</v>
      </c>
      <c r="H22" s="132"/>
      <c r="I22" t="s">
        <v>1110</v>
      </c>
      <c r="J22" s="132"/>
      <c r="K22" s="132"/>
    </row>
    <row r="23" spans="1:11" x14ac:dyDescent="0.2">
      <c r="A23" t="s">
        <v>681</v>
      </c>
      <c r="B23" s="142">
        <v>42859</v>
      </c>
      <c r="C23" t="s">
        <v>737</v>
      </c>
      <c r="D23">
        <v>-75</v>
      </c>
      <c r="E23" t="s">
        <v>686</v>
      </c>
      <c r="F23" t="s">
        <v>753</v>
      </c>
      <c r="H23" s="132"/>
      <c r="I23" t="s">
        <v>1110</v>
      </c>
      <c r="J23" s="132"/>
      <c r="K23" s="132"/>
    </row>
    <row r="24" spans="1:11" hidden="1" x14ac:dyDescent="0.2">
      <c r="A24" t="s">
        <v>681</v>
      </c>
      <c r="B24" s="142">
        <v>42859</v>
      </c>
      <c r="C24" t="s">
        <v>737</v>
      </c>
      <c r="D24">
        <v>-75</v>
      </c>
      <c r="E24" t="s">
        <v>694</v>
      </c>
      <c r="F24" t="s">
        <v>754</v>
      </c>
      <c r="H24" s="132"/>
      <c r="I24" t="s">
        <v>1110</v>
      </c>
      <c r="J24" s="132"/>
      <c r="K24" s="132"/>
    </row>
    <row r="25" spans="1:11" x14ac:dyDescent="0.2">
      <c r="A25" t="s">
        <v>681</v>
      </c>
      <c r="B25" s="142">
        <v>42860</v>
      </c>
      <c r="C25" t="s">
        <v>737</v>
      </c>
      <c r="D25">
        <v>-5000</v>
      </c>
      <c r="E25" t="s">
        <v>976</v>
      </c>
      <c r="F25" t="s">
        <v>978</v>
      </c>
      <c r="H25" s="132"/>
      <c r="I25" t="s">
        <v>1110</v>
      </c>
      <c r="J25" s="132"/>
      <c r="K25" s="132"/>
    </row>
    <row r="26" spans="1:11" hidden="1" x14ac:dyDescent="0.2">
      <c r="A26" t="s">
        <v>681</v>
      </c>
      <c r="B26" s="142">
        <v>42864</v>
      </c>
      <c r="C26" t="s">
        <v>737</v>
      </c>
      <c r="D26">
        <v>-196.17</v>
      </c>
      <c r="E26" t="s">
        <v>694</v>
      </c>
      <c r="F26" t="s">
        <v>756</v>
      </c>
      <c r="H26" s="132"/>
      <c r="I26" t="s">
        <v>1111</v>
      </c>
      <c r="J26" s="132"/>
      <c r="K26" s="132"/>
    </row>
    <row r="27" spans="1:11" hidden="1" x14ac:dyDescent="0.2">
      <c r="A27" t="s">
        <v>681</v>
      </c>
      <c r="B27" s="142">
        <v>42866</v>
      </c>
      <c r="C27" t="s">
        <v>737</v>
      </c>
      <c r="D27">
        <v>468.64</v>
      </c>
      <c r="E27" t="s">
        <v>683</v>
      </c>
      <c r="F27" t="s">
        <v>755</v>
      </c>
      <c r="H27" s="132"/>
      <c r="I27" t="s">
        <v>1110</v>
      </c>
      <c r="J27" s="132"/>
      <c r="K27" s="132"/>
    </row>
    <row r="28" spans="1:11" hidden="1" x14ac:dyDescent="0.2">
      <c r="A28" t="s">
        <v>681</v>
      </c>
      <c r="B28" s="142">
        <v>42866</v>
      </c>
      <c r="C28" t="s">
        <v>737</v>
      </c>
      <c r="D28">
        <v>464</v>
      </c>
      <c r="E28" t="s">
        <v>683</v>
      </c>
      <c r="F28" t="s">
        <v>758</v>
      </c>
      <c r="H28" s="132"/>
      <c r="I28" t="s">
        <v>1110</v>
      </c>
      <c r="J28" s="132"/>
      <c r="K28" s="132"/>
    </row>
    <row r="29" spans="1:11" hidden="1" x14ac:dyDescent="0.2">
      <c r="A29" t="s">
        <v>681</v>
      </c>
      <c r="B29" s="142">
        <v>42866</v>
      </c>
      <c r="C29" t="s">
        <v>737</v>
      </c>
      <c r="D29">
        <v>463.19</v>
      </c>
      <c r="E29" t="s">
        <v>683</v>
      </c>
      <c r="F29" t="s">
        <v>757</v>
      </c>
      <c r="H29" s="132"/>
      <c r="I29" t="s">
        <v>1110</v>
      </c>
      <c r="J29" s="132"/>
      <c r="K29" s="132"/>
    </row>
    <row r="30" spans="1:11" hidden="1" x14ac:dyDescent="0.2">
      <c r="A30" t="s">
        <v>681</v>
      </c>
      <c r="B30" s="142">
        <v>42866</v>
      </c>
      <c r="C30" t="s">
        <v>737</v>
      </c>
      <c r="D30">
        <v>428.29</v>
      </c>
      <c r="E30" t="s">
        <v>683</v>
      </c>
      <c r="F30" t="s">
        <v>741</v>
      </c>
      <c r="H30" s="132"/>
      <c r="I30" t="s">
        <v>1110</v>
      </c>
      <c r="J30" s="132"/>
      <c r="K30" s="132"/>
    </row>
    <row r="31" spans="1:11" hidden="1" x14ac:dyDescent="0.2">
      <c r="A31" t="s">
        <v>681</v>
      </c>
      <c r="B31" s="142">
        <v>42866</v>
      </c>
      <c r="C31" t="s">
        <v>737</v>
      </c>
      <c r="D31">
        <v>428.29</v>
      </c>
      <c r="E31" t="s">
        <v>683</v>
      </c>
      <c r="F31" t="s">
        <v>762</v>
      </c>
      <c r="H31" s="132"/>
      <c r="I31" t="s">
        <v>1110</v>
      </c>
      <c r="J31" s="132"/>
      <c r="K31" s="132"/>
    </row>
    <row r="32" spans="1:11" hidden="1" x14ac:dyDescent="0.2">
      <c r="A32" t="s">
        <v>681</v>
      </c>
      <c r="B32" s="142">
        <v>42866</v>
      </c>
      <c r="C32" t="s">
        <v>737</v>
      </c>
      <c r="D32">
        <v>345.3</v>
      </c>
      <c r="E32" t="s">
        <v>683</v>
      </c>
      <c r="F32" t="s">
        <v>764</v>
      </c>
      <c r="H32" s="132"/>
      <c r="I32" t="s">
        <v>1110</v>
      </c>
      <c r="J32" s="132"/>
      <c r="K32" s="132"/>
    </row>
    <row r="33" spans="1:11" hidden="1" x14ac:dyDescent="0.2">
      <c r="A33" t="s">
        <v>681</v>
      </c>
      <c r="B33" s="142">
        <v>42866</v>
      </c>
      <c r="C33" t="s">
        <v>737</v>
      </c>
      <c r="D33">
        <v>244.47</v>
      </c>
      <c r="E33" t="s">
        <v>683</v>
      </c>
      <c r="F33" t="s">
        <v>766</v>
      </c>
      <c r="H33" s="132"/>
      <c r="I33" t="s">
        <v>1110</v>
      </c>
      <c r="J33" s="132"/>
      <c r="K33" s="132"/>
    </row>
    <row r="34" spans="1:11" hidden="1" x14ac:dyDescent="0.2">
      <c r="A34" t="s">
        <v>681</v>
      </c>
      <c r="B34" s="142">
        <v>42866</v>
      </c>
      <c r="C34" t="s">
        <v>737</v>
      </c>
      <c r="D34">
        <v>214.7</v>
      </c>
      <c r="E34" t="s">
        <v>683</v>
      </c>
      <c r="F34" t="s">
        <v>770</v>
      </c>
      <c r="H34" s="132"/>
      <c r="I34" t="s">
        <v>1110</v>
      </c>
      <c r="J34" s="132"/>
      <c r="K34" s="132"/>
    </row>
    <row r="35" spans="1:11" hidden="1" x14ac:dyDescent="0.2">
      <c r="A35" t="s">
        <v>681</v>
      </c>
      <c r="B35" s="142">
        <v>42866</v>
      </c>
      <c r="C35" t="s">
        <v>737</v>
      </c>
      <c r="D35">
        <v>214.4</v>
      </c>
      <c r="E35" t="s">
        <v>683</v>
      </c>
      <c r="F35" t="s">
        <v>765</v>
      </c>
      <c r="H35" s="132"/>
      <c r="I35" t="s">
        <v>1110</v>
      </c>
      <c r="J35" s="132"/>
      <c r="K35" s="132"/>
    </row>
    <row r="36" spans="1:11" hidden="1" x14ac:dyDescent="0.2">
      <c r="A36" t="s">
        <v>681</v>
      </c>
      <c r="B36" s="142">
        <v>42866</v>
      </c>
      <c r="C36" t="s">
        <v>737</v>
      </c>
      <c r="D36">
        <v>180.41</v>
      </c>
      <c r="E36" t="s">
        <v>683</v>
      </c>
      <c r="F36" t="s">
        <v>769</v>
      </c>
      <c r="H36" s="132"/>
      <c r="I36" t="s">
        <v>1110</v>
      </c>
      <c r="J36" s="132"/>
      <c r="K36" s="132"/>
    </row>
    <row r="37" spans="1:11" hidden="1" x14ac:dyDescent="0.2">
      <c r="A37" t="s">
        <v>681</v>
      </c>
      <c r="B37" s="142">
        <v>42866</v>
      </c>
      <c r="C37" t="s">
        <v>737</v>
      </c>
      <c r="D37">
        <v>95.03</v>
      </c>
      <c r="E37" t="s">
        <v>683</v>
      </c>
      <c r="F37" t="s">
        <v>768</v>
      </c>
      <c r="H37" s="132"/>
      <c r="I37" t="s">
        <v>1110</v>
      </c>
      <c r="J37" s="132"/>
      <c r="K37" s="132"/>
    </row>
    <row r="38" spans="1:11" x14ac:dyDescent="0.2">
      <c r="A38" t="s">
        <v>681</v>
      </c>
      <c r="B38" s="142">
        <v>42866</v>
      </c>
      <c r="C38" t="s">
        <v>737</v>
      </c>
      <c r="D38">
        <v>-600</v>
      </c>
      <c r="E38" t="s">
        <v>724</v>
      </c>
      <c r="F38" t="s">
        <v>767</v>
      </c>
      <c r="H38" s="132"/>
      <c r="I38" t="s">
        <v>1110</v>
      </c>
      <c r="J38" s="132"/>
      <c r="K38" s="132"/>
    </row>
    <row r="39" spans="1:11" hidden="1" x14ac:dyDescent="0.2">
      <c r="A39" t="s">
        <v>681</v>
      </c>
      <c r="B39" s="142">
        <v>42867</v>
      </c>
      <c r="C39" t="s">
        <v>737</v>
      </c>
      <c r="D39">
        <v>468.64</v>
      </c>
      <c r="E39" t="s">
        <v>683</v>
      </c>
      <c r="F39" t="s">
        <v>740</v>
      </c>
      <c r="H39" s="132"/>
      <c r="I39" t="s">
        <v>1110</v>
      </c>
      <c r="J39" s="132"/>
      <c r="K39" s="132"/>
    </row>
    <row r="40" spans="1:11" hidden="1" x14ac:dyDescent="0.2">
      <c r="A40" t="s">
        <v>681</v>
      </c>
      <c r="B40" s="142">
        <v>42867</v>
      </c>
      <c r="C40" t="s">
        <v>737</v>
      </c>
      <c r="D40">
        <v>-37.68</v>
      </c>
      <c r="E40" t="s">
        <v>694</v>
      </c>
      <c r="F40" t="s">
        <v>759</v>
      </c>
      <c r="H40" s="132"/>
      <c r="I40" t="s">
        <v>1110</v>
      </c>
      <c r="J40" s="132"/>
      <c r="K40" s="132"/>
    </row>
    <row r="41" spans="1:11" hidden="1" x14ac:dyDescent="0.2">
      <c r="A41" t="s">
        <v>681</v>
      </c>
      <c r="B41" s="142">
        <v>42867</v>
      </c>
      <c r="C41" t="s">
        <v>737</v>
      </c>
      <c r="D41">
        <v>-102.63</v>
      </c>
      <c r="E41" t="s">
        <v>694</v>
      </c>
      <c r="F41" t="s">
        <v>979</v>
      </c>
      <c r="H41" s="132"/>
      <c r="I41" t="s">
        <v>1110</v>
      </c>
      <c r="J41" s="132"/>
      <c r="K41" s="132"/>
    </row>
    <row r="42" spans="1:11" hidden="1" x14ac:dyDescent="0.2">
      <c r="A42" t="s">
        <v>681</v>
      </c>
      <c r="B42" s="142">
        <v>42870</v>
      </c>
      <c r="C42" t="s">
        <v>737</v>
      </c>
      <c r="D42">
        <v>-165.41</v>
      </c>
      <c r="E42" t="s">
        <v>694</v>
      </c>
      <c r="F42" t="s">
        <v>980</v>
      </c>
      <c r="H42" s="132"/>
      <c r="I42" t="s">
        <v>1111</v>
      </c>
      <c r="J42" s="132"/>
      <c r="K42" s="132"/>
    </row>
    <row r="43" spans="1:11" hidden="1" x14ac:dyDescent="0.2">
      <c r="A43" t="s">
        <v>681</v>
      </c>
      <c r="B43" s="142">
        <v>42870</v>
      </c>
      <c r="C43" t="s">
        <v>737</v>
      </c>
      <c r="D43">
        <v>-171.17</v>
      </c>
      <c r="E43" t="s">
        <v>694</v>
      </c>
      <c r="F43" t="s">
        <v>981</v>
      </c>
      <c r="H43" s="132"/>
      <c r="I43" t="s">
        <v>1111</v>
      </c>
      <c r="J43" s="132"/>
      <c r="K43" s="132"/>
    </row>
    <row r="44" spans="1:11" hidden="1" x14ac:dyDescent="0.2">
      <c r="A44" t="s">
        <v>681</v>
      </c>
      <c r="B44" s="142">
        <v>42870</v>
      </c>
      <c r="C44" t="s">
        <v>737</v>
      </c>
      <c r="D44">
        <v>-171.17</v>
      </c>
      <c r="E44" t="s">
        <v>694</v>
      </c>
      <c r="F44" t="s">
        <v>982</v>
      </c>
      <c r="H44" s="132"/>
      <c r="I44" t="s">
        <v>1111</v>
      </c>
      <c r="J44" s="132"/>
      <c r="K44" s="132"/>
    </row>
    <row r="45" spans="1:11" hidden="1" x14ac:dyDescent="0.2">
      <c r="A45" t="s">
        <v>681</v>
      </c>
      <c r="B45" s="142">
        <v>42870</v>
      </c>
      <c r="C45" t="s">
        <v>737</v>
      </c>
      <c r="D45">
        <v>-165.44</v>
      </c>
      <c r="E45" t="s">
        <v>694</v>
      </c>
      <c r="F45" t="s">
        <v>983</v>
      </c>
      <c r="H45" s="132"/>
      <c r="I45" t="s">
        <v>1111</v>
      </c>
      <c r="J45" s="132"/>
      <c r="K45" s="132"/>
    </row>
    <row r="46" spans="1:11" hidden="1" x14ac:dyDescent="0.2">
      <c r="A46" t="s">
        <v>681</v>
      </c>
      <c r="B46" s="142">
        <v>42870</v>
      </c>
      <c r="C46" t="s">
        <v>737</v>
      </c>
      <c r="D46">
        <v>-165.41</v>
      </c>
      <c r="E46" t="s">
        <v>694</v>
      </c>
      <c r="F46" t="s">
        <v>984</v>
      </c>
      <c r="H46" s="132"/>
      <c r="I46" t="s">
        <v>1111</v>
      </c>
      <c r="J46" s="132"/>
      <c r="K46" s="132"/>
    </row>
    <row r="47" spans="1:11" hidden="1" x14ac:dyDescent="0.2">
      <c r="A47" t="s">
        <v>681</v>
      </c>
      <c r="B47" s="142">
        <v>42870</v>
      </c>
      <c r="C47" t="s">
        <v>737</v>
      </c>
      <c r="D47">
        <v>-165.47</v>
      </c>
      <c r="E47" t="s">
        <v>694</v>
      </c>
      <c r="F47" t="s">
        <v>985</v>
      </c>
      <c r="H47" s="132"/>
      <c r="I47" t="s">
        <v>1111</v>
      </c>
      <c r="J47" s="132"/>
      <c r="K47" s="132"/>
    </row>
    <row r="48" spans="1:11" hidden="1" x14ac:dyDescent="0.2">
      <c r="A48" t="s">
        <v>681</v>
      </c>
      <c r="B48" s="142">
        <v>42870</v>
      </c>
      <c r="C48" t="s">
        <v>737</v>
      </c>
      <c r="D48">
        <v>-165.44</v>
      </c>
      <c r="E48" t="s">
        <v>694</v>
      </c>
      <c r="F48" t="s">
        <v>986</v>
      </c>
      <c r="H48" s="132"/>
      <c r="I48" t="s">
        <v>1111</v>
      </c>
      <c r="J48" s="132"/>
      <c r="K48" s="132"/>
    </row>
    <row r="49" spans="1:11" hidden="1" x14ac:dyDescent="0.2">
      <c r="A49" t="s">
        <v>681</v>
      </c>
      <c r="B49" s="142">
        <v>42870</v>
      </c>
      <c r="C49" t="s">
        <v>737</v>
      </c>
      <c r="D49">
        <v>-165.91</v>
      </c>
      <c r="E49" t="s">
        <v>694</v>
      </c>
      <c r="F49" t="s">
        <v>760</v>
      </c>
      <c r="H49" s="132"/>
      <c r="I49" t="s">
        <v>1111</v>
      </c>
      <c r="J49" s="132"/>
      <c r="K49" s="132"/>
    </row>
    <row r="50" spans="1:11" hidden="1" x14ac:dyDescent="0.2">
      <c r="A50" t="s">
        <v>681</v>
      </c>
      <c r="B50" s="142">
        <v>42870</v>
      </c>
      <c r="C50" t="s">
        <v>737</v>
      </c>
      <c r="D50">
        <v>-53.99</v>
      </c>
      <c r="E50" t="s">
        <v>694</v>
      </c>
      <c r="F50" t="s">
        <v>987</v>
      </c>
      <c r="H50" s="132"/>
      <c r="I50" t="s">
        <v>1110</v>
      </c>
      <c r="J50" s="132"/>
      <c r="K50" s="132"/>
    </row>
    <row r="51" spans="1:11" hidden="1" x14ac:dyDescent="0.2">
      <c r="A51" t="s">
        <v>681</v>
      </c>
      <c r="B51" s="142">
        <v>42872</v>
      </c>
      <c r="C51" t="s">
        <v>737</v>
      </c>
      <c r="D51">
        <v>466.08</v>
      </c>
      <c r="E51" t="s">
        <v>683</v>
      </c>
      <c r="F51" t="s">
        <v>761</v>
      </c>
      <c r="H51" s="132"/>
      <c r="I51" t="s">
        <v>1110</v>
      </c>
      <c r="J51" s="132"/>
      <c r="K51" s="132"/>
    </row>
    <row r="52" spans="1:11" hidden="1" x14ac:dyDescent="0.2">
      <c r="A52" t="s">
        <v>681</v>
      </c>
      <c r="B52" s="142">
        <v>42872</v>
      </c>
      <c r="C52" t="s">
        <v>737</v>
      </c>
      <c r="D52">
        <v>462.48</v>
      </c>
      <c r="E52" t="s">
        <v>683</v>
      </c>
      <c r="F52" t="s">
        <v>763</v>
      </c>
      <c r="H52" s="132"/>
      <c r="I52" t="s">
        <v>1110</v>
      </c>
      <c r="J52" s="132"/>
      <c r="K52" s="132"/>
    </row>
    <row r="53" spans="1:11" x14ac:dyDescent="0.2">
      <c r="A53" t="s">
        <v>681</v>
      </c>
      <c r="B53" s="142">
        <v>42873</v>
      </c>
      <c r="C53" t="s">
        <v>737</v>
      </c>
      <c r="D53">
        <v>-500</v>
      </c>
      <c r="E53" t="s">
        <v>724</v>
      </c>
      <c r="F53" t="s">
        <v>767</v>
      </c>
      <c r="H53" s="132"/>
      <c r="I53" t="s">
        <v>1110</v>
      </c>
      <c r="J53" s="132"/>
      <c r="K53" s="132"/>
    </row>
    <row r="54" spans="1:11" x14ac:dyDescent="0.2">
      <c r="A54" t="s">
        <v>681</v>
      </c>
      <c r="B54" s="142">
        <v>42877</v>
      </c>
      <c r="C54" t="s">
        <v>737</v>
      </c>
      <c r="D54">
        <v>-600</v>
      </c>
      <c r="E54" t="s">
        <v>724</v>
      </c>
      <c r="F54" t="s">
        <v>767</v>
      </c>
      <c r="H54" s="132"/>
      <c r="I54" t="s">
        <v>1110</v>
      </c>
      <c r="J54" s="132"/>
      <c r="K54" s="132"/>
    </row>
    <row r="55" spans="1:11" hidden="1" x14ac:dyDescent="0.2">
      <c r="A55" t="s">
        <v>681</v>
      </c>
      <c r="B55" s="142">
        <v>42878</v>
      </c>
      <c r="C55" t="s">
        <v>737</v>
      </c>
      <c r="D55">
        <v>192.16</v>
      </c>
      <c r="E55" t="s">
        <v>683</v>
      </c>
      <c r="F55" t="s">
        <v>769</v>
      </c>
      <c r="H55" s="132"/>
      <c r="I55" t="s">
        <v>1110</v>
      </c>
      <c r="J55" s="132"/>
      <c r="K55" s="132"/>
    </row>
    <row r="56" spans="1:11" hidden="1" x14ac:dyDescent="0.2">
      <c r="A56" t="s">
        <v>681</v>
      </c>
      <c r="B56" s="142">
        <v>42878</v>
      </c>
      <c r="C56" t="s">
        <v>737</v>
      </c>
      <c r="D56">
        <v>153.59</v>
      </c>
      <c r="E56" t="s">
        <v>683</v>
      </c>
      <c r="F56" t="s">
        <v>770</v>
      </c>
      <c r="H56" s="132"/>
      <c r="I56" t="s">
        <v>1110</v>
      </c>
      <c r="J56" s="132"/>
      <c r="K56" s="132"/>
    </row>
    <row r="57" spans="1:11" hidden="1" x14ac:dyDescent="0.2">
      <c r="A57" t="s">
        <v>681</v>
      </c>
      <c r="B57" s="142">
        <v>42879</v>
      </c>
      <c r="C57" t="s">
        <v>737</v>
      </c>
      <c r="D57">
        <v>177.89</v>
      </c>
      <c r="E57" t="s">
        <v>683</v>
      </c>
      <c r="F57" t="s">
        <v>765</v>
      </c>
      <c r="H57" s="132"/>
      <c r="I57" t="s">
        <v>1110</v>
      </c>
      <c r="J57" s="132"/>
      <c r="K57" s="132"/>
    </row>
    <row r="58" spans="1:11" x14ac:dyDescent="0.2">
      <c r="A58" t="s">
        <v>681</v>
      </c>
      <c r="B58" s="142">
        <v>42879</v>
      </c>
      <c r="C58" t="s">
        <v>737</v>
      </c>
      <c r="D58">
        <v>-600</v>
      </c>
      <c r="E58" t="s">
        <v>724</v>
      </c>
      <c r="F58" t="s">
        <v>767</v>
      </c>
      <c r="H58" s="132"/>
      <c r="I58" t="s">
        <v>1110</v>
      </c>
      <c r="J58" s="132"/>
      <c r="K58" s="132"/>
    </row>
    <row r="59" spans="1:11" hidden="1" x14ac:dyDescent="0.2">
      <c r="A59" t="s">
        <v>681</v>
      </c>
      <c r="B59" s="142">
        <v>42881</v>
      </c>
      <c r="C59" t="s">
        <v>737</v>
      </c>
      <c r="D59">
        <v>175.28</v>
      </c>
      <c r="E59" t="s">
        <v>683</v>
      </c>
      <c r="F59" t="s">
        <v>766</v>
      </c>
      <c r="H59" s="132"/>
      <c r="I59" t="s">
        <v>1110</v>
      </c>
      <c r="J59" s="132"/>
      <c r="K59" s="132"/>
    </row>
    <row r="60" spans="1:11" hidden="1" x14ac:dyDescent="0.2">
      <c r="A60" t="s">
        <v>681</v>
      </c>
      <c r="B60" s="142">
        <v>42885</v>
      </c>
      <c r="C60" t="s">
        <v>737</v>
      </c>
      <c r="D60">
        <v>111.36</v>
      </c>
      <c r="E60" t="s">
        <v>683</v>
      </c>
      <c r="F60" t="s">
        <v>761</v>
      </c>
      <c r="H60" s="132"/>
      <c r="I60" t="s">
        <v>1110</v>
      </c>
      <c r="J60" s="132"/>
      <c r="K60" s="132"/>
    </row>
    <row r="61" spans="1:11" x14ac:dyDescent="0.2">
      <c r="A61" t="s">
        <v>681</v>
      </c>
      <c r="B61" s="142">
        <v>42885</v>
      </c>
      <c r="C61" t="s">
        <v>737</v>
      </c>
      <c r="D61">
        <v>-1200</v>
      </c>
      <c r="E61" t="s">
        <v>686</v>
      </c>
      <c r="F61" t="s">
        <v>771</v>
      </c>
      <c r="H61" s="132"/>
      <c r="I61" t="s">
        <v>1110</v>
      </c>
      <c r="J61" s="132"/>
      <c r="K61" s="132"/>
    </row>
    <row r="62" spans="1:11" hidden="1" x14ac:dyDescent="0.2">
      <c r="A62" t="s">
        <v>681</v>
      </c>
      <c r="B62" s="142">
        <v>42885</v>
      </c>
      <c r="C62" t="s">
        <v>737</v>
      </c>
      <c r="D62">
        <v>-33</v>
      </c>
      <c r="E62" t="s">
        <v>694</v>
      </c>
      <c r="F62" t="s">
        <v>772</v>
      </c>
      <c r="H62" s="132"/>
      <c r="I62" t="s">
        <v>1110</v>
      </c>
      <c r="J62" s="132"/>
      <c r="K62" s="132"/>
    </row>
    <row r="63" spans="1:11" hidden="1" x14ac:dyDescent="0.2">
      <c r="A63" t="s">
        <v>681</v>
      </c>
      <c r="B63" s="142">
        <v>42886</v>
      </c>
      <c r="C63" t="s">
        <v>737</v>
      </c>
      <c r="D63">
        <v>212.9</v>
      </c>
      <c r="E63" t="s">
        <v>683</v>
      </c>
      <c r="F63" t="s">
        <v>751</v>
      </c>
      <c r="I63" t="s">
        <v>1110</v>
      </c>
    </row>
    <row r="64" spans="1:11" hidden="1" x14ac:dyDescent="0.2">
      <c r="A64" t="s">
        <v>681</v>
      </c>
      <c r="B64" s="142">
        <v>42886</v>
      </c>
      <c r="C64" t="s">
        <v>737</v>
      </c>
      <c r="D64">
        <v>144.02000000000001</v>
      </c>
      <c r="E64" t="s">
        <v>683</v>
      </c>
      <c r="F64" t="s">
        <v>740</v>
      </c>
      <c r="I64" t="s">
        <v>1110</v>
      </c>
    </row>
    <row r="65" spans="2:2" x14ac:dyDescent="0.2">
      <c r="B65" s="141"/>
    </row>
    <row r="66" spans="2:2" x14ac:dyDescent="0.2">
      <c r="B66" s="141"/>
    </row>
    <row r="67" spans="2:2" x14ac:dyDescent="0.2">
      <c r="B67" s="141"/>
    </row>
    <row r="68" spans="2:2" x14ac:dyDescent="0.2">
      <c r="B68" s="141"/>
    </row>
    <row r="69" spans="2:2" x14ac:dyDescent="0.2">
      <c r="B69" s="141"/>
    </row>
    <row r="70" spans="2:2" x14ac:dyDescent="0.2">
      <c r="B70" s="141"/>
    </row>
    <row r="71" spans="2:2" x14ac:dyDescent="0.2">
      <c r="B71" s="141"/>
    </row>
    <row r="72" spans="2:2" x14ac:dyDescent="0.2">
      <c r="B72" s="141"/>
    </row>
    <row r="73" spans="2:2" x14ac:dyDescent="0.2">
      <c r="B73" s="141"/>
    </row>
    <row r="74" spans="2:2" x14ac:dyDescent="0.2">
      <c r="B74" s="141"/>
    </row>
    <row r="75" spans="2:2" x14ac:dyDescent="0.2">
      <c r="B75" s="141"/>
    </row>
    <row r="76" spans="2:2" x14ac:dyDescent="0.2">
      <c r="B76" s="141"/>
    </row>
    <row r="77" spans="2:2" x14ac:dyDescent="0.2">
      <c r="B77" s="141"/>
    </row>
    <row r="78" spans="2:2" x14ac:dyDescent="0.2">
      <c r="B78" s="141"/>
    </row>
    <row r="79" spans="2:2" x14ac:dyDescent="0.2">
      <c r="B79" s="141"/>
    </row>
    <row r="80" spans="2:2" x14ac:dyDescent="0.2">
      <c r="B80" s="141"/>
    </row>
    <row r="81" spans="2:2" x14ac:dyDescent="0.2">
      <c r="B81" s="141"/>
    </row>
    <row r="82" spans="2:2" x14ac:dyDescent="0.2">
      <c r="B82" s="141"/>
    </row>
    <row r="83" spans="2:2" x14ac:dyDescent="0.2">
      <c r="B83" s="141"/>
    </row>
    <row r="84" spans="2:2" x14ac:dyDescent="0.2">
      <c r="B84" s="141"/>
    </row>
    <row r="85" spans="2:2" x14ac:dyDescent="0.2">
      <c r="B85" s="141"/>
    </row>
    <row r="86" spans="2:2" x14ac:dyDescent="0.2">
      <c r="B86" s="141"/>
    </row>
    <row r="87" spans="2:2" x14ac:dyDescent="0.2">
      <c r="B87" s="141"/>
    </row>
    <row r="88" spans="2:2" x14ac:dyDescent="0.2">
      <c r="B88" s="141"/>
    </row>
    <row r="89" spans="2:2" x14ac:dyDescent="0.2">
      <c r="B89" s="141"/>
    </row>
    <row r="90" spans="2:2" x14ac:dyDescent="0.2">
      <c r="B90" s="141"/>
    </row>
    <row r="91" spans="2:2" x14ac:dyDescent="0.2">
      <c r="B91" s="141"/>
    </row>
    <row r="92" spans="2:2" x14ac:dyDescent="0.2">
      <c r="B92" s="141"/>
    </row>
    <row r="93" spans="2:2" x14ac:dyDescent="0.2">
      <c r="B93" s="141"/>
    </row>
    <row r="94" spans="2:2" x14ac:dyDescent="0.2">
      <c r="B94" s="141"/>
    </row>
    <row r="95" spans="2:2" x14ac:dyDescent="0.2">
      <c r="B95" s="141"/>
    </row>
    <row r="96" spans="2:2" x14ac:dyDescent="0.2">
      <c r="B96" s="141"/>
    </row>
    <row r="97" spans="2:2" x14ac:dyDescent="0.2">
      <c r="B97" s="141"/>
    </row>
  </sheetData>
  <autoFilter ref="A1:I64">
    <filterColumn colId="4">
      <filters>
        <filter val="FT"/>
        <filter val="OTH"/>
        <filter val="REPEATPMT"/>
        <filter val="STO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35"/>
  <sheetViews>
    <sheetView zoomScale="85" zoomScaleNormal="85" workbookViewId="0">
      <selection activeCell="F18" sqref="F18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513</v>
      </c>
      <c r="B1" t="s">
        <v>514</v>
      </c>
      <c r="C1" t="s">
        <v>515</v>
      </c>
      <c r="D1" t="s">
        <v>516</v>
      </c>
      <c r="E1" t="s">
        <v>517</v>
      </c>
      <c r="F1" t="s">
        <v>518</v>
      </c>
      <c r="G1" s="56" t="s">
        <v>24</v>
      </c>
      <c r="H1" s="56" t="s">
        <v>551</v>
      </c>
      <c r="I1" s="56" t="s">
        <v>552</v>
      </c>
    </row>
    <row r="2" spans="1:10" x14ac:dyDescent="0.2">
      <c r="A2" t="s">
        <v>681</v>
      </c>
      <c r="B2" s="142">
        <v>42857</v>
      </c>
      <c r="C2" t="s">
        <v>773</v>
      </c>
      <c r="D2">
        <v>-28.9</v>
      </c>
      <c r="E2" t="s">
        <v>700</v>
      </c>
      <c r="F2" t="s">
        <v>988</v>
      </c>
      <c r="H2" s="132"/>
      <c r="I2" s="132"/>
      <c r="J2" s="132"/>
    </row>
    <row r="3" spans="1:10" x14ac:dyDescent="0.2">
      <c r="A3" t="s">
        <v>681</v>
      </c>
      <c r="B3" s="142">
        <v>42857</v>
      </c>
      <c r="C3" t="s">
        <v>773</v>
      </c>
      <c r="D3">
        <v>-28.12</v>
      </c>
      <c r="E3" t="s">
        <v>700</v>
      </c>
      <c r="F3" t="s">
        <v>989</v>
      </c>
      <c r="H3" s="132"/>
      <c r="I3" s="132"/>
      <c r="J3" s="132"/>
    </row>
    <row r="4" spans="1:10" x14ac:dyDescent="0.2">
      <c r="A4" t="s">
        <v>681</v>
      </c>
      <c r="B4" s="142">
        <v>42857</v>
      </c>
      <c r="C4" t="s">
        <v>773</v>
      </c>
      <c r="D4">
        <v>-17</v>
      </c>
      <c r="E4" t="s">
        <v>700</v>
      </c>
      <c r="F4" t="s">
        <v>990</v>
      </c>
      <c r="H4" s="132"/>
      <c r="I4" s="132"/>
      <c r="J4" s="132"/>
    </row>
    <row r="5" spans="1:10" x14ac:dyDescent="0.2">
      <c r="A5" t="s">
        <v>681</v>
      </c>
      <c r="B5" s="142">
        <v>42857</v>
      </c>
      <c r="C5" t="s">
        <v>773</v>
      </c>
      <c r="D5">
        <v>-16.260000000000002</v>
      </c>
      <c r="E5" t="s">
        <v>700</v>
      </c>
      <c r="F5" t="s">
        <v>991</v>
      </c>
      <c r="H5" s="132"/>
      <c r="I5" s="132"/>
      <c r="J5" s="132"/>
    </row>
    <row r="6" spans="1:10" x14ac:dyDescent="0.2">
      <c r="A6" t="s">
        <v>681</v>
      </c>
      <c r="B6" s="142">
        <v>42857</v>
      </c>
      <c r="C6" t="s">
        <v>773</v>
      </c>
      <c r="D6">
        <v>-14.45</v>
      </c>
      <c r="E6" t="s">
        <v>700</v>
      </c>
      <c r="F6" t="s">
        <v>992</v>
      </c>
      <c r="H6" s="132"/>
      <c r="I6" s="132"/>
      <c r="J6" s="132"/>
    </row>
    <row r="7" spans="1:10" x14ac:dyDescent="0.2">
      <c r="A7" t="s">
        <v>681</v>
      </c>
      <c r="B7" s="142">
        <v>42857</v>
      </c>
      <c r="C7" t="s">
        <v>773</v>
      </c>
      <c r="D7">
        <v>-5.99</v>
      </c>
      <c r="E7" t="s">
        <v>700</v>
      </c>
      <c r="F7" t="s">
        <v>993</v>
      </c>
      <c r="H7" s="132"/>
      <c r="I7" s="132"/>
      <c r="J7" s="132"/>
    </row>
    <row r="8" spans="1:10" x14ac:dyDescent="0.2">
      <c r="A8" t="s">
        <v>681</v>
      </c>
      <c r="B8" s="142">
        <v>42857</v>
      </c>
      <c r="C8" t="s">
        <v>773</v>
      </c>
      <c r="D8">
        <v>-5.88</v>
      </c>
      <c r="E8" t="s">
        <v>700</v>
      </c>
      <c r="F8" t="s">
        <v>992</v>
      </c>
      <c r="H8" s="132"/>
      <c r="I8" s="132"/>
      <c r="J8" s="132"/>
    </row>
    <row r="9" spans="1:10" x14ac:dyDescent="0.2">
      <c r="A9" t="s">
        <v>681</v>
      </c>
      <c r="B9" s="142">
        <v>42857</v>
      </c>
      <c r="C9" t="s">
        <v>773</v>
      </c>
      <c r="D9">
        <v>-3.1</v>
      </c>
      <c r="E9" t="s">
        <v>700</v>
      </c>
      <c r="F9" t="s">
        <v>994</v>
      </c>
      <c r="H9" s="132"/>
      <c r="I9" s="132"/>
      <c r="J9" s="132"/>
    </row>
    <row r="10" spans="1:10" x14ac:dyDescent="0.2">
      <c r="A10" t="s">
        <v>681</v>
      </c>
      <c r="B10" s="142">
        <v>42857</v>
      </c>
      <c r="C10" t="s">
        <v>773</v>
      </c>
      <c r="D10">
        <v>-2</v>
      </c>
      <c r="E10" t="s">
        <v>700</v>
      </c>
      <c r="F10" t="s">
        <v>995</v>
      </c>
      <c r="H10" s="132"/>
      <c r="I10" s="132"/>
      <c r="J10" s="132"/>
    </row>
    <row r="11" spans="1:10" x14ac:dyDescent="0.2">
      <c r="A11" t="s">
        <v>681</v>
      </c>
      <c r="B11" s="142">
        <v>42857</v>
      </c>
      <c r="C11" t="s">
        <v>773</v>
      </c>
      <c r="D11">
        <v>-71.540000000000006</v>
      </c>
      <c r="E11" t="s">
        <v>700</v>
      </c>
      <c r="F11" t="s">
        <v>996</v>
      </c>
      <c r="H11" s="132"/>
      <c r="I11" s="132"/>
      <c r="J11" s="132"/>
    </row>
    <row r="12" spans="1:10" x14ac:dyDescent="0.2">
      <c r="A12" t="s">
        <v>681</v>
      </c>
      <c r="B12" s="142">
        <v>42857</v>
      </c>
      <c r="C12" t="s">
        <v>773</v>
      </c>
      <c r="D12">
        <v>-50.75</v>
      </c>
      <c r="E12" t="s">
        <v>700</v>
      </c>
      <c r="F12" t="s">
        <v>997</v>
      </c>
      <c r="H12" s="132"/>
      <c r="I12" s="132"/>
      <c r="J12" s="132"/>
    </row>
    <row r="13" spans="1:10" x14ac:dyDescent="0.2">
      <c r="A13" t="s">
        <v>681</v>
      </c>
      <c r="B13" s="142">
        <v>42857</v>
      </c>
      <c r="C13" t="s">
        <v>773</v>
      </c>
      <c r="D13">
        <v>-31.5</v>
      </c>
      <c r="E13" t="s">
        <v>700</v>
      </c>
      <c r="F13" t="s">
        <v>997</v>
      </c>
      <c r="H13" s="132"/>
      <c r="I13" s="132"/>
      <c r="J13" s="132"/>
    </row>
    <row r="14" spans="1:10" x14ac:dyDescent="0.2">
      <c r="A14" t="s">
        <v>681</v>
      </c>
      <c r="B14" s="142">
        <v>42857</v>
      </c>
      <c r="C14" t="s">
        <v>773</v>
      </c>
      <c r="D14">
        <v>-29.99</v>
      </c>
      <c r="E14" t="s">
        <v>700</v>
      </c>
      <c r="F14" t="s">
        <v>998</v>
      </c>
      <c r="H14" s="132"/>
      <c r="I14" s="132"/>
      <c r="J14" s="132"/>
    </row>
    <row r="15" spans="1:10" x14ac:dyDescent="0.2">
      <c r="A15" t="s">
        <v>681</v>
      </c>
      <c r="B15" s="142">
        <v>42857</v>
      </c>
      <c r="C15" t="s">
        <v>773</v>
      </c>
      <c r="D15">
        <v>-5.4</v>
      </c>
      <c r="E15" t="s">
        <v>700</v>
      </c>
      <c r="F15" t="s">
        <v>999</v>
      </c>
      <c r="H15" s="132"/>
      <c r="I15" s="132"/>
      <c r="J15" s="132"/>
    </row>
    <row r="16" spans="1:10" x14ac:dyDescent="0.2">
      <c r="A16" t="s">
        <v>681</v>
      </c>
      <c r="B16" s="142">
        <v>42857</v>
      </c>
      <c r="C16" t="s">
        <v>773</v>
      </c>
      <c r="D16">
        <v>-4.18</v>
      </c>
      <c r="E16" t="s">
        <v>700</v>
      </c>
      <c r="F16" t="s">
        <v>1000</v>
      </c>
      <c r="H16" s="132"/>
      <c r="I16" s="132"/>
      <c r="J16" s="132"/>
    </row>
    <row r="17" spans="1:10" x14ac:dyDescent="0.2">
      <c r="A17" t="s">
        <v>681</v>
      </c>
      <c r="B17" s="142">
        <v>42857</v>
      </c>
      <c r="C17" t="s">
        <v>773</v>
      </c>
      <c r="D17">
        <v>-9</v>
      </c>
      <c r="E17" t="s">
        <v>694</v>
      </c>
      <c r="F17" t="s">
        <v>1001</v>
      </c>
      <c r="H17" s="132"/>
      <c r="I17" s="132"/>
      <c r="J17" s="132"/>
    </row>
    <row r="18" spans="1:10" x14ac:dyDescent="0.2">
      <c r="A18" t="s">
        <v>681</v>
      </c>
      <c r="B18" s="142">
        <v>42858</v>
      </c>
      <c r="C18" t="s">
        <v>773</v>
      </c>
      <c r="D18">
        <v>-23.1</v>
      </c>
      <c r="E18" t="s">
        <v>700</v>
      </c>
      <c r="F18" t="s">
        <v>1002</v>
      </c>
      <c r="H18" s="132"/>
      <c r="I18" s="132"/>
      <c r="J18" s="132"/>
    </row>
    <row r="19" spans="1:10" x14ac:dyDescent="0.2">
      <c r="A19" t="s">
        <v>681</v>
      </c>
      <c r="B19" s="142">
        <v>42858</v>
      </c>
      <c r="C19" t="s">
        <v>773</v>
      </c>
      <c r="D19">
        <v>-427.91</v>
      </c>
      <c r="E19" t="s">
        <v>700</v>
      </c>
      <c r="F19" t="s">
        <v>1003</v>
      </c>
      <c r="H19" s="132"/>
      <c r="I19" s="132"/>
      <c r="J19" s="132"/>
    </row>
    <row r="20" spans="1:10" x14ac:dyDescent="0.2">
      <c r="A20" t="s">
        <v>681</v>
      </c>
      <c r="B20" s="142">
        <v>42858</v>
      </c>
      <c r="C20" t="s">
        <v>773</v>
      </c>
      <c r="D20">
        <v>-30.03</v>
      </c>
      <c r="E20" t="s">
        <v>700</v>
      </c>
      <c r="F20" t="s">
        <v>1004</v>
      </c>
      <c r="H20" s="132"/>
      <c r="I20" s="132"/>
      <c r="J20" s="132"/>
    </row>
    <row r="21" spans="1:10" x14ac:dyDescent="0.2">
      <c r="A21" t="s">
        <v>681</v>
      </c>
      <c r="B21" s="142">
        <v>42859</v>
      </c>
      <c r="C21" t="s">
        <v>773</v>
      </c>
      <c r="D21">
        <v>-14.66</v>
      </c>
      <c r="E21" t="s">
        <v>700</v>
      </c>
      <c r="F21" t="s">
        <v>1005</v>
      </c>
      <c r="H21" s="132"/>
      <c r="I21" s="132"/>
      <c r="J21" s="132"/>
    </row>
    <row r="22" spans="1:10" x14ac:dyDescent="0.2">
      <c r="A22" t="s">
        <v>681</v>
      </c>
      <c r="B22" s="142">
        <v>42859</v>
      </c>
      <c r="C22" t="s">
        <v>773</v>
      </c>
      <c r="D22">
        <v>-15</v>
      </c>
      <c r="E22" t="s">
        <v>724</v>
      </c>
      <c r="F22" t="s">
        <v>1006</v>
      </c>
      <c r="H22" s="132"/>
      <c r="I22" s="132"/>
      <c r="J22" s="132"/>
    </row>
    <row r="23" spans="1:10" x14ac:dyDescent="0.2">
      <c r="A23" t="s">
        <v>681</v>
      </c>
      <c r="B23" s="142">
        <v>42860</v>
      </c>
      <c r="C23" t="s">
        <v>773</v>
      </c>
      <c r="D23">
        <v>-4.9000000000000004</v>
      </c>
      <c r="E23" t="s">
        <v>700</v>
      </c>
      <c r="F23" t="s">
        <v>1007</v>
      </c>
      <c r="H23" s="132"/>
      <c r="I23" s="132"/>
      <c r="J23" s="132"/>
    </row>
    <row r="24" spans="1:10" x14ac:dyDescent="0.2">
      <c r="A24" t="s">
        <v>681</v>
      </c>
      <c r="B24" s="142">
        <v>42860</v>
      </c>
      <c r="C24" t="s">
        <v>773</v>
      </c>
      <c r="D24">
        <v>-41.25</v>
      </c>
      <c r="E24" t="s">
        <v>700</v>
      </c>
      <c r="F24" t="s">
        <v>1008</v>
      </c>
      <c r="H24" s="132"/>
      <c r="I24" s="132"/>
      <c r="J24" s="132"/>
    </row>
    <row r="25" spans="1:10" x14ac:dyDescent="0.2">
      <c r="A25" t="s">
        <v>681</v>
      </c>
      <c r="B25" s="142">
        <v>42863</v>
      </c>
      <c r="C25" t="s">
        <v>773</v>
      </c>
      <c r="D25">
        <v>-28.59</v>
      </c>
      <c r="E25" t="s">
        <v>700</v>
      </c>
      <c r="F25" t="s">
        <v>1009</v>
      </c>
      <c r="H25" s="132"/>
      <c r="I25" s="132"/>
      <c r="J25" s="132"/>
    </row>
    <row r="26" spans="1:10" x14ac:dyDescent="0.2">
      <c r="A26" t="s">
        <v>681</v>
      </c>
      <c r="B26" s="142">
        <v>42863</v>
      </c>
      <c r="C26" t="s">
        <v>773</v>
      </c>
      <c r="D26">
        <v>-11.45</v>
      </c>
      <c r="E26" t="s">
        <v>700</v>
      </c>
      <c r="F26" t="s">
        <v>1010</v>
      </c>
      <c r="H26" s="132"/>
      <c r="I26" s="132"/>
      <c r="J26" s="132"/>
    </row>
    <row r="27" spans="1:10" x14ac:dyDescent="0.2">
      <c r="A27" t="s">
        <v>681</v>
      </c>
      <c r="B27" s="142">
        <v>42863</v>
      </c>
      <c r="C27" t="s">
        <v>773</v>
      </c>
      <c r="D27">
        <v>-8.02</v>
      </c>
      <c r="E27" t="s">
        <v>700</v>
      </c>
      <c r="F27" t="s">
        <v>1009</v>
      </c>
      <c r="H27" s="132"/>
      <c r="I27" s="132"/>
      <c r="J27" s="132"/>
    </row>
    <row r="28" spans="1:10" x14ac:dyDescent="0.2">
      <c r="A28" t="s">
        <v>681</v>
      </c>
      <c r="B28" s="142">
        <v>42863</v>
      </c>
      <c r="C28" t="s">
        <v>773</v>
      </c>
      <c r="D28">
        <v>-34.880000000000003</v>
      </c>
      <c r="E28" t="s">
        <v>700</v>
      </c>
      <c r="F28" t="s">
        <v>1011</v>
      </c>
      <c r="H28" s="132"/>
      <c r="I28" s="132"/>
      <c r="J28" s="132"/>
    </row>
    <row r="29" spans="1:10" x14ac:dyDescent="0.2">
      <c r="A29" t="s">
        <v>681</v>
      </c>
      <c r="B29" s="142">
        <v>42863</v>
      </c>
      <c r="C29" t="s">
        <v>773</v>
      </c>
      <c r="D29">
        <v>-12</v>
      </c>
      <c r="E29" t="s">
        <v>700</v>
      </c>
      <c r="F29" t="s">
        <v>1012</v>
      </c>
      <c r="H29" s="132"/>
      <c r="I29" s="132"/>
      <c r="J29" s="132"/>
    </row>
    <row r="30" spans="1:10" x14ac:dyDescent="0.2">
      <c r="A30" t="s">
        <v>681</v>
      </c>
      <c r="B30" s="142">
        <v>42864</v>
      </c>
      <c r="C30" t="s">
        <v>773</v>
      </c>
      <c r="D30">
        <v>-12.38</v>
      </c>
      <c r="E30" t="s">
        <v>700</v>
      </c>
      <c r="F30" t="s">
        <v>1013</v>
      </c>
      <c r="H30" s="132"/>
      <c r="I30" s="132"/>
      <c r="J30" s="132"/>
    </row>
    <row r="31" spans="1:10" x14ac:dyDescent="0.2">
      <c r="A31" t="s">
        <v>681</v>
      </c>
      <c r="B31" s="142">
        <v>42864</v>
      </c>
      <c r="C31" t="s">
        <v>773</v>
      </c>
      <c r="D31">
        <v>-2.4</v>
      </c>
      <c r="E31" t="s">
        <v>700</v>
      </c>
      <c r="F31" t="s">
        <v>1014</v>
      </c>
      <c r="H31" s="132"/>
      <c r="I31" s="132"/>
      <c r="J31" s="132"/>
    </row>
    <row r="32" spans="1:10" x14ac:dyDescent="0.2">
      <c r="A32" t="s">
        <v>681</v>
      </c>
      <c r="B32" s="142">
        <v>42864</v>
      </c>
      <c r="C32" t="s">
        <v>773</v>
      </c>
      <c r="D32">
        <v>-1.89</v>
      </c>
      <c r="E32" t="s">
        <v>700</v>
      </c>
      <c r="F32" t="s">
        <v>1015</v>
      </c>
      <c r="H32" s="132"/>
      <c r="I32" s="132"/>
      <c r="J32" s="132"/>
    </row>
    <row r="33" spans="1:10" x14ac:dyDescent="0.2">
      <c r="A33" t="s">
        <v>681</v>
      </c>
      <c r="B33" s="142">
        <v>42864</v>
      </c>
      <c r="C33" t="s">
        <v>773</v>
      </c>
      <c r="D33">
        <v>-6.82</v>
      </c>
      <c r="E33" t="s">
        <v>700</v>
      </c>
      <c r="F33" t="s">
        <v>1016</v>
      </c>
      <c r="H33" s="132"/>
      <c r="I33" s="132"/>
      <c r="J33" s="132"/>
    </row>
    <row r="34" spans="1:10" x14ac:dyDescent="0.2">
      <c r="A34" t="s">
        <v>681</v>
      </c>
      <c r="B34" s="142">
        <v>42865</v>
      </c>
      <c r="C34" t="s">
        <v>773</v>
      </c>
      <c r="D34">
        <v>-14.87</v>
      </c>
      <c r="E34" t="s">
        <v>700</v>
      </c>
      <c r="F34" t="s">
        <v>1017</v>
      </c>
      <c r="H34" s="132"/>
      <c r="I34" s="132"/>
      <c r="J34" s="132"/>
    </row>
    <row r="35" spans="1:10" x14ac:dyDescent="0.2">
      <c r="A35" t="s">
        <v>681</v>
      </c>
      <c r="B35" s="142">
        <v>42865</v>
      </c>
      <c r="C35" t="s">
        <v>773</v>
      </c>
      <c r="D35">
        <v>-5.5</v>
      </c>
      <c r="E35" t="s">
        <v>700</v>
      </c>
      <c r="F35" t="s">
        <v>1018</v>
      </c>
      <c r="H35" s="132"/>
      <c r="I35" s="132"/>
      <c r="J35" s="132"/>
    </row>
    <row r="36" spans="1:10" x14ac:dyDescent="0.2">
      <c r="A36" t="s">
        <v>681</v>
      </c>
      <c r="B36" s="142">
        <v>42865</v>
      </c>
      <c r="C36" t="s">
        <v>773</v>
      </c>
      <c r="D36">
        <v>-2</v>
      </c>
      <c r="E36" t="s">
        <v>700</v>
      </c>
      <c r="F36" t="s">
        <v>1019</v>
      </c>
      <c r="H36" s="132"/>
      <c r="I36" s="132"/>
      <c r="J36" s="132"/>
    </row>
    <row r="37" spans="1:10" x14ac:dyDescent="0.2">
      <c r="A37" t="s">
        <v>681</v>
      </c>
      <c r="B37" s="142">
        <v>42865</v>
      </c>
      <c r="C37" t="s">
        <v>773</v>
      </c>
      <c r="D37">
        <v>-59.98</v>
      </c>
      <c r="E37" t="s">
        <v>700</v>
      </c>
      <c r="F37" t="s">
        <v>1020</v>
      </c>
      <c r="H37" s="132"/>
      <c r="I37" s="132"/>
      <c r="J37" s="132"/>
    </row>
    <row r="38" spans="1:10" x14ac:dyDescent="0.2">
      <c r="A38" t="s">
        <v>681</v>
      </c>
      <c r="B38" s="142">
        <v>42865</v>
      </c>
      <c r="C38" t="s">
        <v>773</v>
      </c>
      <c r="D38">
        <v>-49.82</v>
      </c>
      <c r="E38" t="s">
        <v>700</v>
      </c>
      <c r="F38" t="s">
        <v>1021</v>
      </c>
      <c r="H38" s="132"/>
      <c r="I38" s="132"/>
      <c r="J38" s="132"/>
    </row>
    <row r="39" spans="1:10" x14ac:dyDescent="0.2">
      <c r="A39" t="s">
        <v>681</v>
      </c>
      <c r="B39" s="142">
        <v>42866</v>
      </c>
      <c r="C39" t="s">
        <v>773</v>
      </c>
      <c r="D39">
        <v>600</v>
      </c>
      <c r="E39" t="s">
        <v>724</v>
      </c>
      <c r="F39" t="s">
        <v>775</v>
      </c>
      <c r="H39" s="132"/>
      <c r="I39" s="132"/>
      <c r="J39" s="132"/>
    </row>
    <row r="40" spans="1:10" x14ac:dyDescent="0.2">
      <c r="A40" t="s">
        <v>681</v>
      </c>
      <c r="B40" s="142">
        <v>42866</v>
      </c>
      <c r="C40" t="s">
        <v>773</v>
      </c>
      <c r="D40">
        <v>-28.97</v>
      </c>
      <c r="E40" t="s">
        <v>700</v>
      </c>
      <c r="F40" t="s">
        <v>1022</v>
      </c>
      <c r="H40" s="132"/>
      <c r="I40" s="132"/>
      <c r="J40" s="132"/>
    </row>
    <row r="41" spans="1:10" x14ac:dyDescent="0.2">
      <c r="A41" t="s">
        <v>681</v>
      </c>
      <c r="B41" s="142">
        <v>42866</v>
      </c>
      <c r="C41" t="s">
        <v>773</v>
      </c>
      <c r="D41">
        <v>-4.28</v>
      </c>
      <c r="E41" t="s">
        <v>700</v>
      </c>
      <c r="F41" t="s">
        <v>1023</v>
      </c>
      <c r="H41" s="132"/>
      <c r="I41" s="132"/>
      <c r="J41" s="132"/>
    </row>
    <row r="42" spans="1:10" x14ac:dyDescent="0.2">
      <c r="A42" t="s">
        <v>681</v>
      </c>
      <c r="B42" s="142">
        <v>42867</v>
      </c>
      <c r="C42" t="s">
        <v>773</v>
      </c>
      <c r="D42">
        <v>-25.03</v>
      </c>
      <c r="E42" t="s">
        <v>700</v>
      </c>
      <c r="F42" t="s">
        <v>1024</v>
      </c>
      <c r="H42" s="132"/>
      <c r="I42" s="132"/>
      <c r="J42" s="132"/>
    </row>
    <row r="43" spans="1:10" x14ac:dyDescent="0.2">
      <c r="A43" t="s">
        <v>681</v>
      </c>
      <c r="B43" s="142">
        <v>42867</v>
      </c>
      <c r="C43" t="s">
        <v>773</v>
      </c>
      <c r="D43">
        <v>-22.36</v>
      </c>
      <c r="E43" t="s">
        <v>700</v>
      </c>
      <c r="F43" t="s">
        <v>1025</v>
      </c>
      <c r="H43" s="132"/>
      <c r="I43" s="132"/>
      <c r="J43" s="132"/>
    </row>
    <row r="44" spans="1:10" x14ac:dyDescent="0.2">
      <c r="A44" t="s">
        <v>681</v>
      </c>
      <c r="B44" s="142">
        <v>42867</v>
      </c>
      <c r="C44" t="s">
        <v>773</v>
      </c>
      <c r="D44">
        <v>-11.75</v>
      </c>
      <c r="E44" t="s">
        <v>700</v>
      </c>
      <c r="F44" t="s">
        <v>1026</v>
      </c>
      <c r="H44" s="132"/>
      <c r="I44" s="132"/>
      <c r="J44" s="132"/>
    </row>
    <row r="45" spans="1:10" x14ac:dyDescent="0.2">
      <c r="A45" t="s">
        <v>681</v>
      </c>
      <c r="B45" s="142">
        <v>42867</v>
      </c>
      <c r="C45" t="s">
        <v>773</v>
      </c>
      <c r="D45">
        <v>-6</v>
      </c>
      <c r="E45" t="s">
        <v>700</v>
      </c>
      <c r="F45" t="s">
        <v>1027</v>
      </c>
      <c r="H45" s="132"/>
      <c r="I45" s="132"/>
      <c r="J45" s="132"/>
    </row>
    <row r="46" spans="1:10" x14ac:dyDescent="0.2">
      <c r="A46" t="s">
        <v>681</v>
      </c>
      <c r="B46" s="142">
        <v>42867</v>
      </c>
      <c r="C46" t="s">
        <v>773</v>
      </c>
      <c r="D46">
        <v>-44.28</v>
      </c>
      <c r="E46" t="s">
        <v>700</v>
      </c>
      <c r="F46" t="s">
        <v>1028</v>
      </c>
      <c r="H46" s="132"/>
      <c r="I46" s="132"/>
      <c r="J46" s="132"/>
    </row>
    <row r="47" spans="1:10" x14ac:dyDescent="0.2">
      <c r="A47" t="s">
        <v>681</v>
      </c>
      <c r="B47" s="142">
        <v>42867</v>
      </c>
      <c r="C47" t="s">
        <v>773</v>
      </c>
      <c r="D47">
        <v>-7.2</v>
      </c>
      <c r="E47" t="s">
        <v>700</v>
      </c>
      <c r="F47" t="s">
        <v>1029</v>
      </c>
      <c r="H47" s="132"/>
      <c r="I47" s="132"/>
      <c r="J47" s="132"/>
    </row>
    <row r="48" spans="1:10" x14ac:dyDescent="0.2">
      <c r="A48" t="s">
        <v>681</v>
      </c>
      <c r="B48" s="142">
        <v>42870</v>
      </c>
      <c r="C48" t="s">
        <v>773</v>
      </c>
      <c r="D48">
        <v>-28.74</v>
      </c>
      <c r="E48" t="s">
        <v>700</v>
      </c>
      <c r="F48" t="s">
        <v>1030</v>
      </c>
      <c r="H48" s="132"/>
      <c r="I48" s="132"/>
      <c r="J48" s="132"/>
    </row>
    <row r="49" spans="1:10" x14ac:dyDescent="0.2">
      <c r="A49" t="s">
        <v>681</v>
      </c>
      <c r="B49" s="142">
        <v>42870</v>
      </c>
      <c r="C49" t="s">
        <v>773</v>
      </c>
      <c r="D49">
        <v>-23.03</v>
      </c>
      <c r="E49" t="s">
        <v>700</v>
      </c>
      <c r="F49" t="s">
        <v>1031</v>
      </c>
      <c r="H49" s="132"/>
      <c r="I49" s="132"/>
      <c r="J49" s="132"/>
    </row>
    <row r="50" spans="1:10" x14ac:dyDescent="0.2">
      <c r="A50" t="s">
        <v>681</v>
      </c>
      <c r="B50" s="142">
        <v>42870</v>
      </c>
      <c r="C50" t="s">
        <v>773</v>
      </c>
      <c r="D50">
        <v>-14.72</v>
      </c>
      <c r="E50" t="s">
        <v>700</v>
      </c>
      <c r="F50" t="s">
        <v>1032</v>
      </c>
      <c r="H50" s="132"/>
      <c r="I50" s="132"/>
      <c r="J50" s="132"/>
    </row>
    <row r="51" spans="1:10" x14ac:dyDescent="0.2">
      <c r="A51" t="s">
        <v>681</v>
      </c>
      <c r="B51" s="142">
        <v>42870</v>
      </c>
      <c r="C51" t="s">
        <v>773</v>
      </c>
      <c r="D51">
        <v>-11.15</v>
      </c>
      <c r="E51" t="s">
        <v>700</v>
      </c>
      <c r="F51" t="s">
        <v>1033</v>
      </c>
      <c r="H51" s="132"/>
      <c r="I51" s="132"/>
      <c r="J51" s="132"/>
    </row>
    <row r="52" spans="1:10" x14ac:dyDescent="0.2">
      <c r="A52" t="s">
        <v>681</v>
      </c>
      <c r="B52" s="142">
        <v>42870</v>
      </c>
      <c r="C52" t="s">
        <v>773</v>
      </c>
      <c r="D52">
        <v>-11.1</v>
      </c>
      <c r="E52" t="s">
        <v>700</v>
      </c>
      <c r="F52" t="s">
        <v>1034</v>
      </c>
      <c r="H52" s="132"/>
      <c r="I52" s="132"/>
      <c r="J52" s="132"/>
    </row>
    <row r="53" spans="1:10" x14ac:dyDescent="0.2">
      <c r="A53" t="s">
        <v>681</v>
      </c>
      <c r="B53" s="142">
        <v>42870</v>
      </c>
      <c r="C53" t="s">
        <v>773</v>
      </c>
      <c r="D53">
        <v>-5.8</v>
      </c>
      <c r="E53" t="s">
        <v>700</v>
      </c>
      <c r="F53" t="s">
        <v>1035</v>
      </c>
      <c r="H53" s="132"/>
      <c r="I53" s="132"/>
      <c r="J53" s="132"/>
    </row>
    <row r="54" spans="1:10" x14ac:dyDescent="0.2">
      <c r="A54" t="s">
        <v>681</v>
      </c>
      <c r="B54" s="142">
        <v>42870</v>
      </c>
      <c r="C54" t="s">
        <v>773</v>
      </c>
      <c r="D54">
        <v>-5.29</v>
      </c>
      <c r="E54" t="s">
        <v>700</v>
      </c>
      <c r="F54" t="s">
        <v>1036</v>
      </c>
      <c r="H54" s="132"/>
      <c r="I54" s="132"/>
      <c r="J54" s="132"/>
    </row>
    <row r="55" spans="1:10" x14ac:dyDescent="0.2">
      <c r="A55" t="s">
        <v>681</v>
      </c>
      <c r="B55" s="142">
        <v>42870</v>
      </c>
      <c r="C55" t="s">
        <v>773</v>
      </c>
      <c r="D55">
        <v>-2.9</v>
      </c>
      <c r="E55" t="s">
        <v>700</v>
      </c>
      <c r="F55" t="s">
        <v>1037</v>
      </c>
      <c r="H55" s="132"/>
      <c r="I55" s="132"/>
      <c r="J55" s="132"/>
    </row>
    <row r="56" spans="1:10" x14ac:dyDescent="0.2">
      <c r="A56" t="s">
        <v>681</v>
      </c>
      <c r="B56" s="142">
        <v>42870</v>
      </c>
      <c r="C56" t="s">
        <v>773</v>
      </c>
      <c r="D56">
        <v>-10</v>
      </c>
      <c r="E56" t="s">
        <v>706</v>
      </c>
      <c r="F56" t="s">
        <v>1038</v>
      </c>
      <c r="H56" s="132"/>
      <c r="I56" s="132"/>
      <c r="J56" s="132"/>
    </row>
    <row r="57" spans="1:10" x14ac:dyDescent="0.2">
      <c r="A57" t="s">
        <v>681</v>
      </c>
      <c r="B57" s="142">
        <v>42870</v>
      </c>
      <c r="C57" t="s">
        <v>773</v>
      </c>
      <c r="D57">
        <v>-33.5</v>
      </c>
      <c r="E57" t="s">
        <v>700</v>
      </c>
      <c r="F57" t="s">
        <v>1039</v>
      </c>
      <c r="H57" s="132"/>
      <c r="I57" s="132"/>
      <c r="J57" s="132"/>
    </row>
    <row r="58" spans="1:10" x14ac:dyDescent="0.2">
      <c r="A58" t="s">
        <v>681</v>
      </c>
      <c r="B58" s="142">
        <v>42870</v>
      </c>
      <c r="C58" t="s">
        <v>773</v>
      </c>
      <c r="D58">
        <v>-9</v>
      </c>
      <c r="E58" t="s">
        <v>700</v>
      </c>
      <c r="F58" t="s">
        <v>1040</v>
      </c>
      <c r="H58" s="132"/>
      <c r="I58" s="132"/>
      <c r="J58" s="132"/>
    </row>
    <row r="59" spans="1:10" x14ac:dyDescent="0.2">
      <c r="A59" t="s">
        <v>681</v>
      </c>
      <c r="B59" s="142">
        <v>42870</v>
      </c>
      <c r="C59" t="s">
        <v>773</v>
      </c>
      <c r="D59">
        <v>-0.79</v>
      </c>
      <c r="E59" t="s">
        <v>700</v>
      </c>
      <c r="F59" t="s">
        <v>774</v>
      </c>
      <c r="H59" s="132"/>
      <c r="I59" s="132"/>
      <c r="J59" s="132"/>
    </row>
    <row r="60" spans="1:10" x14ac:dyDescent="0.2">
      <c r="A60" t="s">
        <v>681</v>
      </c>
      <c r="B60" s="142">
        <v>42870</v>
      </c>
      <c r="C60" t="s">
        <v>773</v>
      </c>
      <c r="D60">
        <v>-61.5</v>
      </c>
      <c r="E60" t="s">
        <v>694</v>
      </c>
      <c r="F60" t="s">
        <v>776</v>
      </c>
      <c r="H60" s="132"/>
      <c r="I60" s="132"/>
      <c r="J60" s="132"/>
    </row>
    <row r="61" spans="1:10" x14ac:dyDescent="0.2">
      <c r="A61" t="s">
        <v>681</v>
      </c>
      <c r="B61" s="142">
        <v>42871</v>
      </c>
      <c r="C61" t="s">
        <v>773</v>
      </c>
      <c r="D61">
        <v>-35.979999999999997</v>
      </c>
      <c r="E61" t="s">
        <v>700</v>
      </c>
      <c r="F61" t="s">
        <v>1041</v>
      </c>
      <c r="H61" s="132"/>
      <c r="I61" s="132"/>
      <c r="J61" s="132"/>
    </row>
    <row r="62" spans="1:10" x14ac:dyDescent="0.2">
      <c r="A62" t="s">
        <v>681</v>
      </c>
      <c r="B62" s="142">
        <v>42872</v>
      </c>
      <c r="C62" t="s">
        <v>773</v>
      </c>
      <c r="D62">
        <v>-73.540000000000006</v>
      </c>
      <c r="E62" t="s">
        <v>700</v>
      </c>
      <c r="F62" t="s">
        <v>1042</v>
      </c>
      <c r="H62" s="132"/>
      <c r="I62" s="132"/>
      <c r="J62" s="132"/>
    </row>
    <row r="63" spans="1:10" x14ac:dyDescent="0.2">
      <c r="A63" t="s">
        <v>681</v>
      </c>
      <c r="B63" s="142">
        <v>42873</v>
      </c>
      <c r="C63" t="s">
        <v>773</v>
      </c>
      <c r="D63">
        <v>500</v>
      </c>
      <c r="E63" t="s">
        <v>724</v>
      </c>
      <c r="F63" t="s">
        <v>775</v>
      </c>
      <c r="H63" s="132"/>
      <c r="I63" s="132"/>
      <c r="J63" s="132"/>
    </row>
    <row r="64" spans="1:10" x14ac:dyDescent="0.2">
      <c r="A64" t="s">
        <v>681</v>
      </c>
      <c r="B64" s="142">
        <v>42873</v>
      </c>
      <c r="C64" t="s">
        <v>773</v>
      </c>
      <c r="D64">
        <v>-29.49</v>
      </c>
      <c r="E64" t="s">
        <v>700</v>
      </c>
      <c r="F64" t="s">
        <v>1043</v>
      </c>
      <c r="H64" s="132"/>
      <c r="I64" s="132"/>
      <c r="J64" s="132"/>
    </row>
    <row r="65" spans="1:10" x14ac:dyDescent="0.2">
      <c r="A65" t="s">
        <v>681</v>
      </c>
      <c r="B65" s="142">
        <v>42873</v>
      </c>
      <c r="C65" t="s">
        <v>773</v>
      </c>
      <c r="D65">
        <v>-13.08</v>
      </c>
      <c r="E65" t="s">
        <v>700</v>
      </c>
      <c r="F65" t="s">
        <v>1043</v>
      </c>
      <c r="H65" s="132"/>
      <c r="I65" s="132"/>
      <c r="J65" s="132"/>
    </row>
    <row r="66" spans="1:10" x14ac:dyDescent="0.2">
      <c r="A66" t="s">
        <v>681</v>
      </c>
      <c r="B66" s="142">
        <v>42873</v>
      </c>
      <c r="C66" t="s">
        <v>773</v>
      </c>
      <c r="D66">
        <v>-11.93</v>
      </c>
      <c r="E66" t="s">
        <v>700</v>
      </c>
      <c r="F66" t="s">
        <v>1044</v>
      </c>
      <c r="H66" s="132"/>
      <c r="I66" s="132"/>
      <c r="J66" s="132"/>
    </row>
    <row r="67" spans="1:10" x14ac:dyDescent="0.2">
      <c r="A67" t="s">
        <v>681</v>
      </c>
      <c r="B67" s="142">
        <v>42873</v>
      </c>
      <c r="C67" t="s">
        <v>773</v>
      </c>
      <c r="D67">
        <v>-0.99</v>
      </c>
      <c r="E67" t="s">
        <v>700</v>
      </c>
      <c r="F67" t="s">
        <v>1045</v>
      </c>
      <c r="H67" s="132"/>
      <c r="I67" s="132"/>
      <c r="J67" s="132"/>
    </row>
    <row r="68" spans="1:10" x14ac:dyDescent="0.2">
      <c r="A68" t="s">
        <v>681</v>
      </c>
      <c r="B68" s="142">
        <v>42873</v>
      </c>
      <c r="C68" t="s">
        <v>773</v>
      </c>
      <c r="D68">
        <v>-20</v>
      </c>
      <c r="E68" t="s">
        <v>706</v>
      </c>
      <c r="F68" t="s">
        <v>707</v>
      </c>
      <c r="H68" s="132"/>
      <c r="I68" s="132"/>
      <c r="J68" s="132"/>
    </row>
    <row r="69" spans="1:10" x14ac:dyDescent="0.2">
      <c r="A69" t="s">
        <v>681</v>
      </c>
      <c r="B69" s="142">
        <v>42873</v>
      </c>
      <c r="C69" t="s">
        <v>773</v>
      </c>
      <c r="D69">
        <v>-37.31</v>
      </c>
      <c r="E69" t="s">
        <v>700</v>
      </c>
      <c r="F69" t="s">
        <v>1046</v>
      </c>
      <c r="H69" s="132"/>
      <c r="I69" s="132"/>
      <c r="J69" s="132"/>
    </row>
    <row r="70" spans="1:10" x14ac:dyDescent="0.2">
      <c r="A70" t="s">
        <v>681</v>
      </c>
      <c r="B70" s="142">
        <v>42874</v>
      </c>
      <c r="C70" t="s">
        <v>773</v>
      </c>
      <c r="D70">
        <v>-27.46</v>
      </c>
      <c r="E70" t="s">
        <v>700</v>
      </c>
      <c r="F70" t="s">
        <v>1047</v>
      </c>
      <c r="H70" s="132"/>
      <c r="I70" s="132"/>
      <c r="J70" s="132"/>
    </row>
    <row r="71" spans="1:10" x14ac:dyDescent="0.2">
      <c r="A71" t="s">
        <v>681</v>
      </c>
      <c r="B71" s="142">
        <v>42874</v>
      </c>
      <c r="C71" t="s">
        <v>773</v>
      </c>
      <c r="D71">
        <v>-12</v>
      </c>
      <c r="E71" t="s">
        <v>700</v>
      </c>
      <c r="F71" t="s">
        <v>1048</v>
      </c>
      <c r="H71" s="132"/>
      <c r="I71" s="132"/>
      <c r="J71" s="132"/>
    </row>
    <row r="72" spans="1:10" x14ac:dyDescent="0.2">
      <c r="A72" t="s">
        <v>681</v>
      </c>
      <c r="B72" s="142">
        <v>42874</v>
      </c>
      <c r="C72" t="s">
        <v>773</v>
      </c>
      <c r="D72">
        <v>-8.8800000000000008</v>
      </c>
      <c r="E72" t="s">
        <v>700</v>
      </c>
      <c r="F72" t="s">
        <v>1049</v>
      </c>
      <c r="H72" s="132"/>
      <c r="I72" s="132"/>
      <c r="J72" s="132"/>
    </row>
    <row r="73" spans="1:10" x14ac:dyDescent="0.2">
      <c r="A73" t="s">
        <v>681</v>
      </c>
      <c r="B73" s="142">
        <v>42874</v>
      </c>
      <c r="C73" t="s">
        <v>773</v>
      </c>
      <c r="D73">
        <v>-3</v>
      </c>
      <c r="E73" t="s">
        <v>700</v>
      </c>
      <c r="F73" t="s">
        <v>1048</v>
      </c>
      <c r="H73" s="132"/>
      <c r="I73" s="132"/>
      <c r="J73" s="132"/>
    </row>
    <row r="74" spans="1:10" x14ac:dyDescent="0.2">
      <c r="A74" t="s">
        <v>681</v>
      </c>
      <c r="B74" s="142">
        <v>42874</v>
      </c>
      <c r="C74" t="s">
        <v>773</v>
      </c>
      <c r="D74">
        <v>-2</v>
      </c>
      <c r="E74" t="s">
        <v>700</v>
      </c>
      <c r="F74" t="s">
        <v>1050</v>
      </c>
      <c r="H74" s="132"/>
      <c r="I74" s="140"/>
      <c r="J74" s="132"/>
    </row>
    <row r="75" spans="1:10" x14ac:dyDescent="0.2">
      <c r="A75" t="s">
        <v>681</v>
      </c>
      <c r="B75" s="142">
        <v>42874</v>
      </c>
      <c r="C75" t="s">
        <v>773</v>
      </c>
      <c r="D75">
        <v>-82.58</v>
      </c>
      <c r="E75" t="s">
        <v>700</v>
      </c>
      <c r="F75" t="s">
        <v>1051</v>
      </c>
      <c r="H75" s="132"/>
      <c r="I75" s="132"/>
      <c r="J75" s="132"/>
    </row>
    <row r="76" spans="1:10" x14ac:dyDescent="0.2">
      <c r="A76" t="s">
        <v>681</v>
      </c>
      <c r="B76" s="142">
        <v>42874</v>
      </c>
      <c r="C76" t="s">
        <v>773</v>
      </c>
      <c r="D76">
        <v>-65.05</v>
      </c>
      <c r="E76" t="s">
        <v>700</v>
      </c>
      <c r="F76" t="s">
        <v>1052</v>
      </c>
      <c r="H76" s="132"/>
      <c r="I76" s="132"/>
      <c r="J76" s="132"/>
    </row>
    <row r="77" spans="1:10" x14ac:dyDescent="0.2">
      <c r="A77" t="s">
        <v>681</v>
      </c>
      <c r="B77" s="142">
        <v>42874</v>
      </c>
      <c r="C77" t="s">
        <v>773</v>
      </c>
      <c r="D77">
        <v>-43.92</v>
      </c>
      <c r="E77" t="s">
        <v>700</v>
      </c>
      <c r="F77" t="s">
        <v>1053</v>
      </c>
      <c r="H77" s="132"/>
      <c r="I77" s="132"/>
      <c r="J77" s="132"/>
    </row>
    <row r="78" spans="1:10" x14ac:dyDescent="0.2">
      <c r="A78" t="s">
        <v>681</v>
      </c>
      <c r="B78" s="142">
        <v>42874</v>
      </c>
      <c r="C78" t="s">
        <v>773</v>
      </c>
      <c r="D78">
        <v>-36</v>
      </c>
      <c r="E78" t="s">
        <v>700</v>
      </c>
      <c r="F78" t="s">
        <v>1054</v>
      </c>
      <c r="H78" s="132"/>
      <c r="I78" s="132"/>
      <c r="J78" s="132"/>
    </row>
    <row r="79" spans="1:10" x14ac:dyDescent="0.2">
      <c r="A79" t="s">
        <v>681</v>
      </c>
      <c r="B79" s="142">
        <v>42874</v>
      </c>
      <c r="C79" t="s">
        <v>773</v>
      </c>
      <c r="D79">
        <v>-30.15</v>
      </c>
      <c r="E79" t="s">
        <v>700</v>
      </c>
      <c r="F79" t="s">
        <v>1055</v>
      </c>
      <c r="H79" s="132"/>
      <c r="I79" s="132"/>
      <c r="J79" s="132"/>
    </row>
    <row r="80" spans="1:10" x14ac:dyDescent="0.2">
      <c r="A80" t="s">
        <v>681</v>
      </c>
      <c r="B80" s="142">
        <v>42877</v>
      </c>
      <c r="C80" t="s">
        <v>773</v>
      </c>
      <c r="D80">
        <v>600</v>
      </c>
      <c r="E80" t="s">
        <v>724</v>
      </c>
      <c r="F80" t="s">
        <v>775</v>
      </c>
      <c r="H80" s="132"/>
      <c r="I80" s="132"/>
      <c r="J80" s="132"/>
    </row>
    <row r="81" spans="1:10" x14ac:dyDescent="0.2">
      <c r="A81" t="s">
        <v>681</v>
      </c>
      <c r="B81" s="142">
        <v>42877</v>
      </c>
      <c r="C81" t="s">
        <v>773</v>
      </c>
      <c r="D81">
        <v>-16.239999999999998</v>
      </c>
      <c r="E81" t="s">
        <v>700</v>
      </c>
      <c r="F81" t="s">
        <v>1056</v>
      </c>
      <c r="H81" s="132"/>
      <c r="I81" s="132"/>
      <c r="J81" s="132"/>
    </row>
    <row r="82" spans="1:10" x14ac:dyDescent="0.2">
      <c r="A82" t="s">
        <v>681</v>
      </c>
      <c r="B82" s="142">
        <v>42877</v>
      </c>
      <c r="C82" t="s">
        <v>773</v>
      </c>
      <c r="D82">
        <v>-14.19</v>
      </c>
      <c r="E82" t="s">
        <v>700</v>
      </c>
      <c r="F82" t="s">
        <v>1057</v>
      </c>
      <c r="H82" s="132"/>
      <c r="I82" s="132"/>
      <c r="J82" s="132"/>
    </row>
    <row r="83" spans="1:10" x14ac:dyDescent="0.2">
      <c r="A83" t="s">
        <v>681</v>
      </c>
      <c r="B83" s="142">
        <v>42877</v>
      </c>
      <c r="C83" t="s">
        <v>773</v>
      </c>
      <c r="D83">
        <v>-7.6</v>
      </c>
      <c r="E83" t="s">
        <v>700</v>
      </c>
      <c r="F83" t="s">
        <v>1058</v>
      </c>
      <c r="H83" s="132"/>
      <c r="I83" s="132"/>
      <c r="J83" s="132"/>
    </row>
    <row r="84" spans="1:10" x14ac:dyDescent="0.2">
      <c r="A84" t="s">
        <v>681</v>
      </c>
      <c r="B84" s="142">
        <v>42877</v>
      </c>
      <c r="C84" t="s">
        <v>773</v>
      </c>
      <c r="D84">
        <v>-4.04</v>
      </c>
      <c r="E84" t="s">
        <v>700</v>
      </c>
      <c r="F84" t="s">
        <v>1059</v>
      </c>
      <c r="H84" s="132"/>
      <c r="I84" s="132"/>
      <c r="J84" s="132"/>
    </row>
    <row r="85" spans="1:10" x14ac:dyDescent="0.2">
      <c r="A85" t="s">
        <v>681</v>
      </c>
      <c r="B85" s="142">
        <v>42877</v>
      </c>
      <c r="C85" t="s">
        <v>773</v>
      </c>
      <c r="D85">
        <v>-200.05</v>
      </c>
      <c r="E85" t="s">
        <v>700</v>
      </c>
      <c r="F85" t="s">
        <v>1060</v>
      </c>
      <c r="H85" s="132"/>
      <c r="I85" s="132"/>
      <c r="J85" s="132"/>
    </row>
    <row r="86" spans="1:10" x14ac:dyDescent="0.2">
      <c r="A86" t="s">
        <v>681</v>
      </c>
      <c r="B86" s="142">
        <v>42877</v>
      </c>
      <c r="C86" t="s">
        <v>773</v>
      </c>
      <c r="D86">
        <v>-39.99</v>
      </c>
      <c r="E86" t="s">
        <v>700</v>
      </c>
      <c r="F86" t="s">
        <v>1061</v>
      </c>
      <c r="H86" s="132"/>
      <c r="I86" s="132"/>
      <c r="J86" s="132"/>
    </row>
    <row r="87" spans="1:10" x14ac:dyDescent="0.2">
      <c r="A87" t="s">
        <v>681</v>
      </c>
      <c r="B87" s="142">
        <v>42877</v>
      </c>
      <c r="C87" t="s">
        <v>773</v>
      </c>
      <c r="D87">
        <v>-37.25</v>
      </c>
      <c r="E87" t="s">
        <v>700</v>
      </c>
      <c r="F87" t="s">
        <v>1062</v>
      </c>
      <c r="H87" s="132"/>
      <c r="I87" s="132"/>
      <c r="J87" s="132"/>
    </row>
    <row r="88" spans="1:10" x14ac:dyDescent="0.2">
      <c r="A88" t="s">
        <v>681</v>
      </c>
      <c r="B88" s="142">
        <v>42877</v>
      </c>
      <c r="C88" t="s">
        <v>773</v>
      </c>
      <c r="D88">
        <v>-30</v>
      </c>
      <c r="E88" t="s">
        <v>700</v>
      </c>
      <c r="F88" t="s">
        <v>1063</v>
      </c>
      <c r="H88" s="132"/>
      <c r="I88" s="132"/>
      <c r="J88" s="132"/>
    </row>
    <row r="89" spans="1:10" x14ac:dyDescent="0.2">
      <c r="A89" t="s">
        <v>681</v>
      </c>
      <c r="B89" s="142">
        <v>42877</v>
      </c>
      <c r="C89" t="s">
        <v>773</v>
      </c>
      <c r="D89">
        <v>-2.6</v>
      </c>
      <c r="E89" t="s">
        <v>700</v>
      </c>
      <c r="F89" t="s">
        <v>1064</v>
      </c>
      <c r="H89" s="132"/>
      <c r="I89" s="132"/>
      <c r="J89" s="132"/>
    </row>
    <row r="90" spans="1:10" x14ac:dyDescent="0.2">
      <c r="A90" t="s">
        <v>681</v>
      </c>
      <c r="B90" s="142">
        <v>42878</v>
      </c>
      <c r="C90" t="s">
        <v>773</v>
      </c>
      <c r="D90">
        <v>-16.59</v>
      </c>
      <c r="E90" t="s">
        <v>700</v>
      </c>
      <c r="F90" t="s">
        <v>1065</v>
      </c>
      <c r="H90" s="132"/>
      <c r="I90" s="132"/>
      <c r="J90" s="132"/>
    </row>
    <row r="91" spans="1:10" x14ac:dyDescent="0.2">
      <c r="A91" t="s">
        <v>681</v>
      </c>
      <c r="B91" s="142">
        <v>42878</v>
      </c>
      <c r="C91" t="s">
        <v>773</v>
      </c>
      <c r="D91">
        <v>-6.74</v>
      </c>
      <c r="E91" t="s">
        <v>700</v>
      </c>
      <c r="F91" t="s">
        <v>1066</v>
      </c>
      <c r="H91" s="132"/>
      <c r="I91" s="132"/>
      <c r="J91" s="132"/>
    </row>
    <row r="92" spans="1:10" x14ac:dyDescent="0.2">
      <c r="A92" t="s">
        <v>681</v>
      </c>
      <c r="B92" s="142">
        <v>42878</v>
      </c>
      <c r="C92" t="s">
        <v>773</v>
      </c>
      <c r="D92">
        <v>-4.2</v>
      </c>
      <c r="E92" t="s">
        <v>700</v>
      </c>
      <c r="F92" t="s">
        <v>1067</v>
      </c>
      <c r="H92" s="132"/>
      <c r="I92" s="132"/>
      <c r="J92" s="132"/>
    </row>
    <row r="93" spans="1:10" x14ac:dyDescent="0.2">
      <c r="A93" t="s">
        <v>681</v>
      </c>
      <c r="B93" s="142">
        <v>42878</v>
      </c>
      <c r="C93" t="s">
        <v>773</v>
      </c>
      <c r="D93">
        <v>-2.85</v>
      </c>
      <c r="E93" t="s">
        <v>700</v>
      </c>
      <c r="F93" t="s">
        <v>1068</v>
      </c>
      <c r="H93" s="132"/>
      <c r="I93" s="132"/>
      <c r="J93" s="132"/>
    </row>
    <row r="94" spans="1:10" x14ac:dyDescent="0.2">
      <c r="A94" t="s">
        <v>681</v>
      </c>
      <c r="B94" s="142">
        <v>42878</v>
      </c>
      <c r="C94" t="s">
        <v>773</v>
      </c>
      <c r="D94">
        <v>-236.95</v>
      </c>
      <c r="E94" t="s">
        <v>700</v>
      </c>
      <c r="F94" t="s">
        <v>1069</v>
      </c>
      <c r="H94" s="132"/>
      <c r="I94" s="132"/>
      <c r="J94" s="132"/>
    </row>
    <row r="95" spans="1:10" x14ac:dyDescent="0.2">
      <c r="A95" t="s">
        <v>681</v>
      </c>
      <c r="B95" s="142">
        <v>42878</v>
      </c>
      <c r="C95" t="s">
        <v>773</v>
      </c>
      <c r="D95">
        <v>-40.32</v>
      </c>
      <c r="E95" t="s">
        <v>700</v>
      </c>
      <c r="F95" t="s">
        <v>1070</v>
      </c>
      <c r="H95" s="132"/>
      <c r="I95" s="132"/>
      <c r="J95" s="132"/>
    </row>
    <row r="96" spans="1:10" x14ac:dyDescent="0.2">
      <c r="A96" t="s">
        <v>681</v>
      </c>
      <c r="B96" s="142">
        <v>42879</v>
      </c>
      <c r="C96" t="s">
        <v>773</v>
      </c>
      <c r="D96">
        <v>600</v>
      </c>
      <c r="E96" t="s">
        <v>724</v>
      </c>
      <c r="F96" t="s">
        <v>775</v>
      </c>
      <c r="H96" s="132"/>
      <c r="I96" s="132"/>
      <c r="J96" s="132"/>
    </row>
    <row r="97" spans="1:10" x14ac:dyDescent="0.2">
      <c r="A97" t="s">
        <v>681</v>
      </c>
      <c r="B97" s="142">
        <v>42879</v>
      </c>
      <c r="C97" t="s">
        <v>773</v>
      </c>
      <c r="D97">
        <v>-15.07</v>
      </c>
      <c r="E97" t="s">
        <v>700</v>
      </c>
      <c r="F97" t="s">
        <v>1071</v>
      </c>
      <c r="H97" s="132"/>
      <c r="I97" s="132"/>
      <c r="J97" s="132"/>
    </row>
    <row r="98" spans="1:10" x14ac:dyDescent="0.2">
      <c r="A98" t="s">
        <v>681</v>
      </c>
      <c r="B98" s="142">
        <v>42879</v>
      </c>
      <c r="C98" t="s">
        <v>773</v>
      </c>
      <c r="D98">
        <v>-82.58</v>
      </c>
      <c r="E98" t="s">
        <v>700</v>
      </c>
      <c r="F98" t="s">
        <v>1072</v>
      </c>
      <c r="H98" s="132"/>
      <c r="I98" s="132"/>
      <c r="J98" s="132"/>
    </row>
    <row r="99" spans="1:10" x14ac:dyDescent="0.2">
      <c r="A99" t="s">
        <v>681</v>
      </c>
      <c r="B99" s="142">
        <v>42879</v>
      </c>
      <c r="C99" t="s">
        <v>773</v>
      </c>
      <c r="D99">
        <v>-65.47</v>
      </c>
      <c r="E99" t="s">
        <v>700</v>
      </c>
      <c r="F99" t="s">
        <v>1073</v>
      </c>
      <c r="H99" s="132"/>
      <c r="I99" s="132"/>
      <c r="J99" s="132"/>
    </row>
    <row r="100" spans="1:10" x14ac:dyDescent="0.2">
      <c r="A100" t="s">
        <v>681</v>
      </c>
      <c r="B100" s="142">
        <v>42880</v>
      </c>
      <c r="C100" t="s">
        <v>773</v>
      </c>
      <c r="D100">
        <v>90</v>
      </c>
      <c r="E100" t="s">
        <v>736</v>
      </c>
      <c r="F100" t="s">
        <v>1074</v>
      </c>
      <c r="H100" s="132"/>
      <c r="I100" s="140"/>
      <c r="J100" s="132"/>
    </row>
    <row r="101" spans="1:10" x14ac:dyDescent="0.2">
      <c r="A101" t="s">
        <v>681</v>
      </c>
      <c r="B101" s="142">
        <v>42880</v>
      </c>
      <c r="C101" t="s">
        <v>773</v>
      </c>
      <c r="D101">
        <v>24</v>
      </c>
      <c r="E101" t="s">
        <v>736</v>
      </c>
      <c r="F101" t="s">
        <v>1075</v>
      </c>
      <c r="H101" s="132"/>
      <c r="I101" s="132"/>
      <c r="J101" s="132"/>
    </row>
    <row r="102" spans="1:10" x14ac:dyDescent="0.2">
      <c r="A102" t="s">
        <v>681</v>
      </c>
      <c r="B102" s="142">
        <v>42880</v>
      </c>
      <c r="C102" t="s">
        <v>773</v>
      </c>
      <c r="D102">
        <v>-5.75</v>
      </c>
      <c r="E102" t="s">
        <v>700</v>
      </c>
      <c r="F102" t="s">
        <v>1076</v>
      </c>
      <c r="H102" s="132"/>
      <c r="I102" s="132"/>
      <c r="J102" s="132"/>
    </row>
    <row r="103" spans="1:10" x14ac:dyDescent="0.2">
      <c r="A103" t="s">
        <v>681</v>
      </c>
      <c r="B103" s="142">
        <v>42880</v>
      </c>
      <c r="C103" t="s">
        <v>773</v>
      </c>
      <c r="D103">
        <v>-4.4400000000000004</v>
      </c>
      <c r="E103" t="s">
        <v>700</v>
      </c>
      <c r="F103" t="s">
        <v>1077</v>
      </c>
      <c r="H103" s="132"/>
      <c r="I103" s="132"/>
      <c r="J103" s="132"/>
    </row>
    <row r="104" spans="1:10" x14ac:dyDescent="0.2">
      <c r="A104" t="s">
        <v>681</v>
      </c>
      <c r="B104" s="142">
        <v>42880</v>
      </c>
      <c r="C104" t="s">
        <v>773</v>
      </c>
      <c r="D104">
        <v>-2.79</v>
      </c>
      <c r="E104" t="s">
        <v>700</v>
      </c>
      <c r="F104" t="s">
        <v>1076</v>
      </c>
      <c r="H104" s="132"/>
      <c r="I104" s="132"/>
      <c r="J104" s="132"/>
    </row>
    <row r="105" spans="1:10" x14ac:dyDescent="0.2">
      <c r="A105" t="s">
        <v>681</v>
      </c>
      <c r="B105" s="142">
        <v>42880</v>
      </c>
      <c r="C105" t="s">
        <v>773</v>
      </c>
      <c r="D105">
        <v>-205.58</v>
      </c>
      <c r="E105" t="s">
        <v>700</v>
      </c>
      <c r="F105" t="s">
        <v>1075</v>
      </c>
      <c r="H105" s="132"/>
      <c r="I105" s="132"/>
      <c r="J105" s="132"/>
    </row>
    <row r="106" spans="1:10" x14ac:dyDescent="0.2">
      <c r="A106" t="s">
        <v>681</v>
      </c>
      <c r="B106" s="142">
        <v>42880</v>
      </c>
      <c r="C106" t="s">
        <v>773</v>
      </c>
      <c r="D106">
        <v>-24.97</v>
      </c>
      <c r="E106" t="s">
        <v>700</v>
      </c>
      <c r="F106" t="s">
        <v>1075</v>
      </c>
      <c r="H106" s="132"/>
      <c r="I106" s="132"/>
      <c r="J106" s="132"/>
    </row>
    <row r="107" spans="1:10" x14ac:dyDescent="0.2">
      <c r="A107" t="s">
        <v>681</v>
      </c>
      <c r="B107" s="142">
        <v>42880</v>
      </c>
      <c r="C107" t="s">
        <v>773</v>
      </c>
      <c r="D107">
        <v>-4.18</v>
      </c>
      <c r="E107" t="s">
        <v>700</v>
      </c>
      <c r="F107" t="s">
        <v>1078</v>
      </c>
      <c r="H107" s="132"/>
      <c r="I107" s="132"/>
      <c r="J107" s="132"/>
    </row>
    <row r="108" spans="1:10" x14ac:dyDescent="0.2">
      <c r="A108" t="s">
        <v>681</v>
      </c>
      <c r="B108" s="142">
        <v>42881</v>
      </c>
      <c r="C108" t="s">
        <v>773</v>
      </c>
      <c r="D108">
        <v>-23.85</v>
      </c>
      <c r="E108" t="s">
        <v>700</v>
      </c>
      <c r="F108" t="s">
        <v>1079</v>
      </c>
      <c r="H108" s="132"/>
      <c r="I108" s="132"/>
      <c r="J108" s="132"/>
    </row>
    <row r="109" spans="1:10" x14ac:dyDescent="0.2">
      <c r="A109" t="s">
        <v>681</v>
      </c>
      <c r="B109" s="142">
        <v>42881</v>
      </c>
      <c r="C109" t="s">
        <v>773</v>
      </c>
      <c r="D109">
        <v>-10.5</v>
      </c>
      <c r="E109" t="s">
        <v>700</v>
      </c>
      <c r="F109" t="s">
        <v>1080</v>
      </c>
      <c r="H109" s="132"/>
      <c r="I109" s="132"/>
      <c r="J109" s="132"/>
    </row>
    <row r="110" spans="1:10" x14ac:dyDescent="0.2">
      <c r="A110" t="s">
        <v>681</v>
      </c>
      <c r="B110" s="142">
        <v>42881</v>
      </c>
      <c r="C110" t="s">
        <v>773</v>
      </c>
      <c r="D110">
        <v>-5.2</v>
      </c>
      <c r="E110" t="s">
        <v>700</v>
      </c>
      <c r="F110" t="s">
        <v>1080</v>
      </c>
      <c r="H110" s="132"/>
      <c r="I110" s="132"/>
      <c r="J110" s="132"/>
    </row>
    <row r="111" spans="1:10" x14ac:dyDescent="0.2">
      <c r="A111" t="s">
        <v>681</v>
      </c>
      <c r="B111" s="142">
        <v>42881</v>
      </c>
      <c r="C111" t="s">
        <v>773</v>
      </c>
      <c r="D111">
        <v>-2.97</v>
      </c>
      <c r="E111" t="s">
        <v>700</v>
      </c>
      <c r="F111" t="s">
        <v>1081</v>
      </c>
      <c r="H111" s="132"/>
      <c r="I111" s="132"/>
      <c r="J111" s="132"/>
    </row>
    <row r="112" spans="1:10" x14ac:dyDescent="0.2">
      <c r="A112" t="s">
        <v>681</v>
      </c>
      <c r="B112" s="142">
        <v>42881</v>
      </c>
      <c r="C112" t="s">
        <v>773</v>
      </c>
      <c r="D112">
        <v>-43.38</v>
      </c>
      <c r="E112" t="s">
        <v>700</v>
      </c>
      <c r="F112" t="s">
        <v>1082</v>
      </c>
      <c r="H112" s="132"/>
      <c r="I112" s="132"/>
      <c r="J112" s="132"/>
    </row>
    <row r="113" spans="1:6" x14ac:dyDescent="0.2">
      <c r="A113" t="s">
        <v>681</v>
      </c>
      <c r="B113" s="142">
        <v>42885</v>
      </c>
      <c r="C113" t="s">
        <v>773</v>
      </c>
      <c r="D113">
        <v>110</v>
      </c>
      <c r="E113" t="s">
        <v>736</v>
      </c>
      <c r="F113" t="s">
        <v>1083</v>
      </c>
    </row>
    <row r="114" spans="1:6" x14ac:dyDescent="0.2">
      <c r="A114" t="s">
        <v>681</v>
      </c>
      <c r="B114" s="142">
        <v>42885</v>
      </c>
      <c r="C114" t="s">
        <v>773</v>
      </c>
      <c r="D114">
        <v>59</v>
      </c>
      <c r="E114" t="s">
        <v>736</v>
      </c>
      <c r="F114" t="s">
        <v>1084</v>
      </c>
    </row>
    <row r="115" spans="1:6" x14ac:dyDescent="0.2">
      <c r="A115" t="s">
        <v>681</v>
      </c>
      <c r="B115" s="142">
        <v>42885</v>
      </c>
      <c r="C115" t="s">
        <v>773</v>
      </c>
      <c r="D115">
        <v>1200</v>
      </c>
      <c r="E115" t="s">
        <v>738</v>
      </c>
      <c r="F115" t="s">
        <v>777</v>
      </c>
    </row>
    <row r="116" spans="1:6" x14ac:dyDescent="0.2">
      <c r="A116" t="s">
        <v>681</v>
      </c>
      <c r="B116" s="142">
        <v>42885</v>
      </c>
      <c r="C116" t="s">
        <v>773</v>
      </c>
      <c r="D116">
        <v>-12.4</v>
      </c>
      <c r="E116" t="s">
        <v>700</v>
      </c>
      <c r="F116" t="s">
        <v>1085</v>
      </c>
    </row>
    <row r="117" spans="1:6" x14ac:dyDescent="0.2">
      <c r="A117" t="s">
        <v>681</v>
      </c>
      <c r="B117" s="142">
        <v>42885</v>
      </c>
      <c r="C117" t="s">
        <v>773</v>
      </c>
      <c r="D117">
        <v>-11.2</v>
      </c>
      <c r="E117" t="s">
        <v>700</v>
      </c>
      <c r="F117" t="s">
        <v>1086</v>
      </c>
    </row>
    <row r="118" spans="1:6" x14ac:dyDescent="0.2">
      <c r="A118" t="s">
        <v>681</v>
      </c>
      <c r="B118" s="142">
        <v>42885</v>
      </c>
      <c r="C118" t="s">
        <v>773</v>
      </c>
      <c r="D118">
        <v>-10</v>
      </c>
      <c r="E118" t="s">
        <v>700</v>
      </c>
      <c r="F118" t="s">
        <v>1087</v>
      </c>
    </row>
    <row r="119" spans="1:6" x14ac:dyDescent="0.2">
      <c r="A119" t="s">
        <v>681</v>
      </c>
      <c r="B119" s="142">
        <v>42885</v>
      </c>
      <c r="C119" t="s">
        <v>773</v>
      </c>
      <c r="D119">
        <v>-9.41</v>
      </c>
      <c r="E119" t="s">
        <v>700</v>
      </c>
      <c r="F119" t="s">
        <v>1088</v>
      </c>
    </row>
    <row r="120" spans="1:6" x14ac:dyDescent="0.2">
      <c r="A120" t="s">
        <v>681</v>
      </c>
      <c r="B120" s="142">
        <v>42885</v>
      </c>
      <c r="C120" t="s">
        <v>773</v>
      </c>
      <c r="D120">
        <v>-5.05</v>
      </c>
      <c r="E120" t="s">
        <v>700</v>
      </c>
      <c r="F120" t="s">
        <v>1089</v>
      </c>
    </row>
    <row r="121" spans="1:6" x14ac:dyDescent="0.2">
      <c r="A121" t="s">
        <v>681</v>
      </c>
      <c r="B121" s="142">
        <v>42885</v>
      </c>
      <c r="C121" t="s">
        <v>773</v>
      </c>
      <c r="D121">
        <v>-4.3600000000000003</v>
      </c>
      <c r="E121" t="s">
        <v>700</v>
      </c>
      <c r="F121" t="s">
        <v>1090</v>
      </c>
    </row>
    <row r="122" spans="1:6" x14ac:dyDescent="0.2">
      <c r="A122" t="s">
        <v>681</v>
      </c>
      <c r="B122" s="142">
        <v>42885</v>
      </c>
      <c r="C122" t="s">
        <v>773</v>
      </c>
      <c r="D122">
        <v>-3.75</v>
      </c>
      <c r="E122" t="s">
        <v>700</v>
      </c>
      <c r="F122" t="s">
        <v>1089</v>
      </c>
    </row>
    <row r="123" spans="1:6" x14ac:dyDescent="0.2">
      <c r="A123" t="s">
        <v>681</v>
      </c>
      <c r="B123" s="142">
        <v>42885</v>
      </c>
      <c r="C123" t="s">
        <v>773</v>
      </c>
      <c r="D123">
        <v>-3.75</v>
      </c>
      <c r="E123" t="s">
        <v>700</v>
      </c>
      <c r="F123" t="s">
        <v>1091</v>
      </c>
    </row>
    <row r="124" spans="1:6" x14ac:dyDescent="0.2">
      <c r="A124" t="s">
        <v>681</v>
      </c>
      <c r="B124" s="142">
        <v>42885</v>
      </c>
      <c r="C124" t="s">
        <v>773</v>
      </c>
      <c r="D124">
        <v>-3.7</v>
      </c>
      <c r="E124" t="s">
        <v>700</v>
      </c>
      <c r="F124" t="s">
        <v>1092</v>
      </c>
    </row>
    <row r="125" spans="1:6" x14ac:dyDescent="0.2">
      <c r="A125" t="s">
        <v>681</v>
      </c>
      <c r="B125" s="142">
        <v>42885</v>
      </c>
      <c r="C125" t="s">
        <v>773</v>
      </c>
      <c r="D125">
        <v>-2.8</v>
      </c>
      <c r="E125" t="s">
        <v>700</v>
      </c>
      <c r="F125" t="s">
        <v>1093</v>
      </c>
    </row>
    <row r="126" spans="1:6" x14ac:dyDescent="0.2">
      <c r="A126" t="s">
        <v>681</v>
      </c>
      <c r="B126" s="142">
        <v>42885</v>
      </c>
      <c r="C126" t="s">
        <v>773</v>
      </c>
      <c r="D126">
        <v>-2</v>
      </c>
      <c r="E126" t="s">
        <v>700</v>
      </c>
      <c r="F126" t="s">
        <v>1094</v>
      </c>
    </row>
    <row r="127" spans="1:6" x14ac:dyDescent="0.2">
      <c r="A127" t="s">
        <v>681</v>
      </c>
      <c r="B127" s="142">
        <v>42885</v>
      </c>
      <c r="C127" t="s">
        <v>773</v>
      </c>
      <c r="D127">
        <v>-82.2</v>
      </c>
      <c r="E127" t="s">
        <v>700</v>
      </c>
      <c r="F127" t="s">
        <v>1095</v>
      </c>
    </row>
    <row r="128" spans="1:6" x14ac:dyDescent="0.2">
      <c r="A128" t="s">
        <v>681</v>
      </c>
      <c r="B128" s="142">
        <v>42885</v>
      </c>
      <c r="C128" t="s">
        <v>773</v>
      </c>
      <c r="D128">
        <v>-59.05</v>
      </c>
      <c r="E128" t="s">
        <v>700</v>
      </c>
      <c r="F128" t="s">
        <v>1096</v>
      </c>
    </row>
    <row r="129" spans="1:6" x14ac:dyDescent="0.2">
      <c r="A129" t="s">
        <v>681</v>
      </c>
      <c r="B129" s="142">
        <v>42885</v>
      </c>
      <c r="C129" t="s">
        <v>773</v>
      </c>
      <c r="D129">
        <v>-48.12</v>
      </c>
      <c r="E129" t="s">
        <v>700</v>
      </c>
      <c r="F129" t="s">
        <v>1097</v>
      </c>
    </row>
    <row r="130" spans="1:6" x14ac:dyDescent="0.2">
      <c r="A130" t="s">
        <v>681</v>
      </c>
      <c r="B130" s="142">
        <v>42885</v>
      </c>
      <c r="C130" t="s">
        <v>773</v>
      </c>
      <c r="D130">
        <v>-46.05</v>
      </c>
      <c r="E130" t="s">
        <v>700</v>
      </c>
      <c r="F130" t="s">
        <v>955</v>
      </c>
    </row>
    <row r="131" spans="1:6" x14ac:dyDescent="0.2">
      <c r="A131" t="s">
        <v>681</v>
      </c>
      <c r="B131" s="142">
        <v>42885</v>
      </c>
      <c r="C131" t="s">
        <v>773</v>
      </c>
      <c r="D131">
        <v>-43.32</v>
      </c>
      <c r="E131" t="s">
        <v>700</v>
      </c>
      <c r="F131" t="s">
        <v>1084</v>
      </c>
    </row>
    <row r="132" spans="1:6" x14ac:dyDescent="0.2">
      <c r="A132" t="s">
        <v>681</v>
      </c>
      <c r="B132" s="142">
        <v>42885</v>
      </c>
      <c r="C132" t="s">
        <v>773</v>
      </c>
      <c r="D132">
        <v>-35.83</v>
      </c>
      <c r="E132" t="s">
        <v>700</v>
      </c>
      <c r="F132" t="s">
        <v>1098</v>
      </c>
    </row>
    <row r="133" spans="1:6" x14ac:dyDescent="0.2">
      <c r="A133" t="s">
        <v>681</v>
      </c>
      <c r="B133" s="142">
        <v>42885</v>
      </c>
      <c r="C133" t="s">
        <v>773</v>
      </c>
      <c r="D133">
        <v>-31.88</v>
      </c>
      <c r="E133" t="s">
        <v>700</v>
      </c>
      <c r="F133" t="s">
        <v>1099</v>
      </c>
    </row>
    <row r="134" spans="1:6" x14ac:dyDescent="0.2">
      <c r="A134" t="s">
        <v>681</v>
      </c>
      <c r="B134" s="142">
        <v>42885</v>
      </c>
      <c r="C134" t="s">
        <v>773</v>
      </c>
      <c r="D134">
        <v>-4.18</v>
      </c>
      <c r="E134" t="s">
        <v>700</v>
      </c>
      <c r="F134" t="s">
        <v>1100</v>
      </c>
    </row>
    <row r="135" spans="1:6" x14ac:dyDescent="0.2">
      <c r="A135" t="s">
        <v>681</v>
      </c>
      <c r="B135" s="142">
        <v>42885</v>
      </c>
      <c r="C135" t="s">
        <v>773</v>
      </c>
      <c r="D135">
        <v>-9</v>
      </c>
      <c r="E135" t="s">
        <v>694</v>
      </c>
      <c r="F135" t="s">
        <v>1101</v>
      </c>
    </row>
  </sheetData>
  <autoFilter ref="A1:I135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291"/>
  <sheetViews>
    <sheetView tabSelected="1" zoomScale="85" zoomScaleNormal="85" workbookViewId="0">
      <selection activeCell="D195" sqref="D195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10" hidden="1" x14ac:dyDescent="0.2">
      <c r="A2" t="s">
        <v>469</v>
      </c>
      <c r="B2">
        <v>398778</v>
      </c>
      <c r="C2" s="80">
        <v>42870.665810185186</v>
      </c>
      <c r="D2" t="s">
        <v>779</v>
      </c>
      <c r="F2">
        <v>0</v>
      </c>
      <c r="G2">
        <v>0</v>
      </c>
      <c r="H2">
        <v>269.83999999999997</v>
      </c>
      <c r="J2" t="s">
        <v>1113</v>
      </c>
    </row>
    <row r="3" spans="1:10" hidden="1" x14ac:dyDescent="0.2">
      <c r="A3" t="s">
        <v>469</v>
      </c>
      <c r="B3">
        <v>398778</v>
      </c>
      <c r="C3" s="80">
        <v>42870.665810185186</v>
      </c>
      <c r="D3" t="s">
        <v>600</v>
      </c>
      <c r="E3" t="s">
        <v>601</v>
      </c>
      <c r="F3">
        <v>121754</v>
      </c>
      <c r="G3">
        <v>19.43</v>
      </c>
      <c r="H3">
        <v>0</v>
      </c>
      <c r="J3" t="s">
        <v>1114</v>
      </c>
    </row>
    <row r="4" spans="1:10" hidden="1" x14ac:dyDescent="0.2">
      <c r="A4" t="s">
        <v>469</v>
      </c>
      <c r="B4">
        <v>401186</v>
      </c>
      <c r="C4" s="80">
        <v>42879.615219907406</v>
      </c>
      <c r="D4" t="s">
        <v>807</v>
      </c>
      <c r="F4">
        <v>0</v>
      </c>
      <c r="G4">
        <v>0</v>
      </c>
      <c r="H4">
        <v>191.68</v>
      </c>
      <c r="J4" t="s">
        <v>1113</v>
      </c>
    </row>
    <row r="5" spans="1:10" hidden="1" x14ac:dyDescent="0.2">
      <c r="A5" t="s">
        <v>469</v>
      </c>
      <c r="B5">
        <v>401186</v>
      </c>
      <c r="C5" s="80">
        <v>42879.615219907406</v>
      </c>
      <c r="D5" t="s">
        <v>600</v>
      </c>
      <c r="E5" t="s">
        <v>601</v>
      </c>
      <c r="F5">
        <v>122525</v>
      </c>
      <c r="G5">
        <v>13.8</v>
      </c>
      <c r="H5">
        <v>0</v>
      </c>
      <c r="J5" t="s">
        <v>1114</v>
      </c>
    </row>
    <row r="6" spans="1:10" hidden="1" x14ac:dyDescent="0.2">
      <c r="A6" t="s">
        <v>491</v>
      </c>
      <c r="B6">
        <v>399296</v>
      </c>
      <c r="C6" s="80">
        <v>42871.592129629629</v>
      </c>
      <c r="D6" t="s">
        <v>791</v>
      </c>
      <c r="F6">
        <v>0</v>
      </c>
      <c r="G6">
        <v>0</v>
      </c>
      <c r="H6">
        <v>200</v>
      </c>
      <c r="J6" t="s">
        <v>1113</v>
      </c>
    </row>
    <row r="7" spans="1:10" hidden="1" x14ac:dyDescent="0.2">
      <c r="A7" t="s">
        <v>491</v>
      </c>
      <c r="B7">
        <v>399296</v>
      </c>
      <c r="C7" s="80">
        <v>42871.592129629629</v>
      </c>
      <c r="D7" t="s">
        <v>649</v>
      </c>
      <c r="E7" t="s">
        <v>601</v>
      </c>
      <c r="F7">
        <v>121921</v>
      </c>
      <c r="G7">
        <v>14.4</v>
      </c>
      <c r="H7">
        <v>0</v>
      </c>
      <c r="J7" t="s">
        <v>1114</v>
      </c>
    </row>
    <row r="8" spans="1:10" hidden="1" x14ac:dyDescent="0.2">
      <c r="A8" t="s">
        <v>491</v>
      </c>
      <c r="B8">
        <v>399310</v>
      </c>
      <c r="C8" s="80">
        <v>42871.597800925927</v>
      </c>
      <c r="D8" t="s">
        <v>650</v>
      </c>
      <c r="E8" t="s">
        <v>602</v>
      </c>
      <c r="F8">
        <v>105304</v>
      </c>
      <c r="G8">
        <v>185.6</v>
      </c>
      <c r="H8">
        <v>0</v>
      </c>
      <c r="J8" t="s">
        <v>1115</v>
      </c>
    </row>
    <row r="9" spans="1:10" x14ac:dyDescent="0.2">
      <c r="A9" t="s">
        <v>490</v>
      </c>
      <c r="B9">
        <v>396581</v>
      </c>
      <c r="C9" s="80">
        <v>42864.389432870368</v>
      </c>
      <c r="D9" t="s">
        <v>808</v>
      </c>
      <c r="E9" t="s">
        <v>599</v>
      </c>
      <c r="F9">
        <v>3052017</v>
      </c>
      <c r="G9">
        <v>144</v>
      </c>
      <c r="H9">
        <v>0</v>
      </c>
      <c r="J9" t="s">
        <v>1116</v>
      </c>
    </row>
    <row r="10" spans="1:10" hidden="1" x14ac:dyDescent="0.2">
      <c r="A10" t="s">
        <v>490</v>
      </c>
      <c r="B10">
        <v>400135</v>
      </c>
      <c r="C10" s="80">
        <v>42874.50540509259</v>
      </c>
      <c r="D10" t="s">
        <v>790</v>
      </c>
      <c r="F10">
        <v>0</v>
      </c>
      <c r="G10">
        <v>0</v>
      </c>
      <c r="H10">
        <v>100</v>
      </c>
      <c r="J10" t="s">
        <v>1113</v>
      </c>
    </row>
    <row r="11" spans="1:10" hidden="1" x14ac:dyDescent="0.2">
      <c r="A11" t="s">
        <v>490</v>
      </c>
      <c r="B11">
        <v>400135</v>
      </c>
      <c r="C11" s="80">
        <v>42874.50540509259</v>
      </c>
      <c r="D11" t="s">
        <v>647</v>
      </c>
      <c r="E11" t="s">
        <v>601</v>
      </c>
      <c r="F11">
        <v>122156</v>
      </c>
      <c r="G11">
        <v>7.2</v>
      </c>
      <c r="H11">
        <v>0</v>
      </c>
      <c r="J11" t="s">
        <v>1114</v>
      </c>
    </row>
    <row r="12" spans="1:10" hidden="1" x14ac:dyDescent="0.2">
      <c r="A12" t="s">
        <v>490</v>
      </c>
      <c r="B12">
        <v>400498</v>
      </c>
      <c r="C12" s="80">
        <v>42877.625335648147</v>
      </c>
      <c r="D12" t="s">
        <v>809</v>
      </c>
      <c r="F12">
        <v>0</v>
      </c>
      <c r="G12">
        <v>0</v>
      </c>
      <c r="H12">
        <v>570</v>
      </c>
      <c r="J12" t="s">
        <v>1113</v>
      </c>
    </row>
    <row r="13" spans="1:10" hidden="1" x14ac:dyDescent="0.2">
      <c r="A13" t="s">
        <v>490</v>
      </c>
      <c r="B13">
        <v>400498</v>
      </c>
      <c r="C13" s="80">
        <v>42877.625335648147</v>
      </c>
      <c r="D13" t="s">
        <v>647</v>
      </c>
      <c r="E13" t="s">
        <v>601</v>
      </c>
      <c r="F13">
        <v>122323</v>
      </c>
      <c r="G13">
        <v>41.04</v>
      </c>
      <c r="H13">
        <v>0</v>
      </c>
      <c r="J13" t="s">
        <v>1114</v>
      </c>
    </row>
    <row r="14" spans="1:10" hidden="1" x14ac:dyDescent="0.2">
      <c r="A14" t="s">
        <v>490</v>
      </c>
      <c r="B14">
        <v>400507</v>
      </c>
      <c r="C14" s="80">
        <v>42877.627928240741</v>
      </c>
      <c r="D14" t="s">
        <v>648</v>
      </c>
      <c r="E14" t="s">
        <v>602</v>
      </c>
      <c r="F14">
        <v>105563</v>
      </c>
      <c r="G14">
        <v>477.76</v>
      </c>
      <c r="H14">
        <v>0</v>
      </c>
      <c r="J14" t="s">
        <v>1115</v>
      </c>
    </row>
    <row r="15" spans="1:10" hidden="1" x14ac:dyDescent="0.2">
      <c r="A15" t="s">
        <v>488</v>
      </c>
      <c r="B15">
        <v>394356</v>
      </c>
      <c r="C15" s="80">
        <v>42856.570370370369</v>
      </c>
      <c r="D15" t="s">
        <v>788</v>
      </c>
      <c r="F15">
        <v>0</v>
      </c>
      <c r="G15">
        <v>0</v>
      </c>
      <c r="H15">
        <v>23.1</v>
      </c>
      <c r="J15" t="s">
        <v>1113</v>
      </c>
    </row>
    <row r="16" spans="1:10" hidden="1" x14ac:dyDescent="0.2">
      <c r="A16" t="s">
        <v>488</v>
      </c>
      <c r="B16">
        <v>394356</v>
      </c>
      <c r="C16" s="80">
        <v>42856.570370370369</v>
      </c>
      <c r="D16" t="s">
        <v>643</v>
      </c>
      <c r="E16" t="s">
        <v>601</v>
      </c>
      <c r="F16">
        <v>120316</v>
      </c>
      <c r="G16">
        <v>1.67</v>
      </c>
      <c r="H16">
        <v>0</v>
      </c>
      <c r="J16" t="s">
        <v>1114</v>
      </c>
    </row>
    <row r="17" spans="1:10" hidden="1" x14ac:dyDescent="0.2">
      <c r="A17" t="s">
        <v>488</v>
      </c>
      <c r="B17">
        <v>394378</v>
      </c>
      <c r="C17" s="80">
        <v>42856.575798611113</v>
      </c>
      <c r="D17" t="s">
        <v>644</v>
      </c>
      <c r="E17" t="s">
        <v>602</v>
      </c>
      <c r="F17">
        <v>103707</v>
      </c>
      <c r="G17">
        <v>21.43</v>
      </c>
      <c r="H17">
        <v>0</v>
      </c>
      <c r="J17" t="s">
        <v>1115</v>
      </c>
    </row>
    <row r="18" spans="1:10" hidden="1" x14ac:dyDescent="0.2">
      <c r="A18" t="s">
        <v>488</v>
      </c>
      <c r="B18">
        <v>397620</v>
      </c>
      <c r="C18" s="80">
        <v>42866.632048611114</v>
      </c>
      <c r="D18" t="s">
        <v>810</v>
      </c>
      <c r="F18">
        <v>0</v>
      </c>
      <c r="G18">
        <v>0</v>
      </c>
      <c r="H18">
        <v>445.62</v>
      </c>
      <c r="J18" t="s">
        <v>1113</v>
      </c>
    </row>
    <row r="19" spans="1:10" hidden="1" x14ac:dyDescent="0.2">
      <c r="A19" t="s">
        <v>488</v>
      </c>
      <c r="B19">
        <v>397620</v>
      </c>
      <c r="C19" s="80">
        <v>42866.632048611114</v>
      </c>
      <c r="D19" t="s">
        <v>643</v>
      </c>
      <c r="E19" t="s">
        <v>601</v>
      </c>
      <c r="F19">
        <v>121473</v>
      </c>
      <c r="G19">
        <v>32.090000000000003</v>
      </c>
      <c r="H19">
        <v>0</v>
      </c>
      <c r="J19" t="s">
        <v>1114</v>
      </c>
    </row>
    <row r="20" spans="1:10" hidden="1" x14ac:dyDescent="0.2">
      <c r="A20" t="s">
        <v>488</v>
      </c>
      <c r="B20">
        <v>397620</v>
      </c>
      <c r="C20" s="80">
        <v>42866.632048611114</v>
      </c>
      <c r="D20" t="s">
        <v>788</v>
      </c>
      <c r="F20">
        <v>0</v>
      </c>
      <c r="G20">
        <v>0</v>
      </c>
      <c r="H20">
        <v>15.9</v>
      </c>
      <c r="J20" t="s">
        <v>1113</v>
      </c>
    </row>
    <row r="21" spans="1:10" hidden="1" x14ac:dyDescent="0.2">
      <c r="A21" t="s">
        <v>488</v>
      </c>
      <c r="B21">
        <v>397620</v>
      </c>
      <c r="C21" s="80">
        <v>42866.632048611114</v>
      </c>
      <c r="D21" t="s">
        <v>643</v>
      </c>
      <c r="E21" t="s">
        <v>601</v>
      </c>
      <c r="F21">
        <v>121473</v>
      </c>
      <c r="G21">
        <v>1.1399999999999999</v>
      </c>
      <c r="H21">
        <v>0</v>
      </c>
      <c r="J21" t="s">
        <v>1114</v>
      </c>
    </row>
    <row r="22" spans="1:10" hidden="1" x14ac:dyDescent="0.2">
      <c r="A22" t="s">
        <v>488</v>
      </c>
      <c r="B22">
        <v>397628</v>
      </c>
      <c r="C22" s="80">
        <v>42866.634664351855</v>
      </c>
      <c r="D22" t="s">
        <v>644</v>
      </c>
      <c r="E22" t="s">
        <v>602</v>
      </c>
      <c r="F22">
        <v>104698</v>
      </c>
      <c r="G22">
        <v>428.29</v>
      </c>
      <c r="H22">
        <v>0</v>
      </c>
      <c r="J22" t="s">
        <v>1115</v>
      </c>
    </row>
    <row r="23" spans="1:10" hidden="1" x14ac:dyDescent="0.2">
      <c r="A23" t="s">
        <v>489</v>
      </c>
      <c r="B23">
        <v>396974</v>
      </c>
      <c r="C23" s="80">
        <v>42864.637870370374</v>
      </c>
      <c r="D23" t="s">
        <v>789</v>
      </c>
      <c r="F23">
        <v>0</v>
      </c>
      <c r="G23">
        <v>0</v>
      </c>
      <c r="H23">
        <v>269.83999999999997</v>
      </c>
      <c r="J23" t="s">
        <v>1113</v>
      </c>
    </row>
    <row r="24" spans="1:10" hidden="1" x14ac:dyDescent="0.2">
      <c r="A24" t="s">
        <v>489</v>
      </c>
      <c r="B24">
        <v>396974</v>
      </c>
      <c r="C24" s="80">
        <v>42864.637870370374</v>
      </c>
      <c r="D24" t="s">
        <v>645</v>
      </c>
      <c r="E24" t="s">
        <v>601</v>
      </c>
      <c r="F24">
        <v>121216</v>
      </c>
      <c r="G24">
        <v>19.43</v>
      </c>
      <c r="H24">
        <v>0</v>
      </c>
      <c r="J24" t="s">
        <v>1114</v>
      </c>
    </row>
    <row r="25" spans="1:10" hidden="1" x14ac:dyDescent="0.2">
      <c r="A25" t="s">
        <v>489</v>
      </c>
      <c r="B25">
        <v>397063</v>
      </c>
      <c r="C25" s="80">
        <v>42864.64162037037</v>
      </c>
      <c r="D25" t="s">
        <v>646</v>
      </c>
      <c r="E25" t="s">
        <v>602</v>
      </c>
      <c r="F25">
        <v>104490</v>
      </c>
      <c r="G25">
        <v>250.41</v>
      </c>
      <c r="H25">
        <v>0</v>
      </c>
      <c r="J25" t="s">
        <v>1115</v>
      </c>
    </row>
    <row r="26" spans="1:10" hidden="1" x14ac:dyDescent="0.2">
      <c r="A26" t="s">
        <v>489</v>
      </c>
      <c r="B26">
        <v>401582</v>
      </c>
      <c r="C26" s="80">
        <v>42881.540763888886</v>
      </c>
      <c r="D26" t="s">
        <v>811</v>
      </c>
      <c r="F26">
        <v>0</v>
      </c>
      <c r="G26">
        <v>0</v>
      </c>
      <c r="H26">
        <v>191.68</v>
      </c>
      <c r="J26" t="s">
        <v>1113</v>
      </c>
    </row>
    <row r="27" spans="1:10" hidden="1" x14ac:dyDescent="0.2">
      <c r="A27" t="s">
        <v>489</v>
      </c>
      <c r="B27">
        <v>401582</v>
      </c>
      <c r="C27" s="80">
        <v>42881.540763888886</v>
      </c>
      <c r="D27" t="s">
        <v>645</v>
      </c>
      <c r="E27" t="s">
        <v>601</v>
      </c>
      <c r="F27">
        <v>122662</v>
      </c>
      <c r="G27">
        <v>13.8</v>
      </c>
      <c r="H27">
        <v>0</v>
      </c>
      <c r="J27" t="s">
        <v>1114</v>
      </c>
    </row>
    <row r="28" spans="1:10" hidden="1" x14ac:dyDescent="0.2">
      <c r="A28" t="s">
        <v>489</v>
      </c>
      <c r="B28">
        <v>401589</v>
      </c>
      <c r="C28" s="80">
        <v>42881.544317129628</v>
      </c>
      <c r="D28" t="s">
        <v>646</v>
      </c>
      <c r="E28" t="s">
        <v>602</v>
      </c>
      <c r="F28">
        <v>105840</v>
      </c>
      <c r="G28">
        <v>177.88</v>
      </c>
      <c r="H28">
        <v>0</v>
      </c>
      <c r="J28" t="s">
        <v>1115</v>
      </c>
    </row>
    <row r="29" spans="1:10" hidden="1" x14ac:dyDescent="0.2">
      <c r="A29" t="s">
        <v>497</v>
      </c>
      <c r="B29">
        <v>396966</v>
      </c>
      <c r="C29" s="80">
        <v>42864.637870370374</v>
      </c>
      <c r="D29" t="s">
        <v>795</v>
      </c>
      <c r="F29">
        <v>0</v>
      </c>
      <c r="G29">
        <v>0</v>
      </c>
      <c r="H29">
        <v>269.85000000000002</v>
      </c>
      <c r="J29" t="s">
        <v>1113</v>
      </c>
    </row>
    <row r="30" spans="1:10" hidden="1" x14ac:dyDescent="0.2">
      <c r="A30" t="s">
        <v>497</v>
      </c>
      <c r="B30">
        <v>396966</v>
      </c>
      <c r="C30" s="80">
        <v>42864.637870370374</v>
      </c>
      <c r="D30" t="s">
        <v>660</v>
      </c>
      <c r="E30" t="s">
        <v>601</v>
      </c>
      <c r="F30">
        <v>121209</v>
      </c>
      <c r="G30">
        <v>19.43</v>
      </c>
      <c r="H30">
        <v>0</v>
      </c>
      <c r="J30" t="s">
        <v>1114</v>
      </c>
    </row>
    <row r="31" spans="1:10" hidden="1" x14ac:dyDescent="0.2">
      <c r="A31" t="s">
        <v>497</v>
      </c>
      <c r="B31">
        <v>397063</v>
      </c>
      <c r="C31" s="80">
        <v>42864.64162037037</v>
      </c>
      <c r="D31" t="s">
        <v>661</v>
      </c>
      <c r="E31" t="s">
        <v>602</v>
      </c>
      <c r="F31">
        <v>104482</v>
      </c>
      <c r="G31">
        <v>214.42</v>
      </c>
      <c r="H31">
        <v>0</v>
      </c>
      <c r="J31" t="s">
        <v>1115</v>
      </c>
    </row>
    <row r="32" spans="1:10" hidden="1" x14ac:dyDescent="0.2">
      <c r="A32" t="s">
        <v>497</v>
      </c>
      <c r="B32">
        <v>400497</v>
      </c>
      <c r="C32" s="80">
        <v>42877.625335648147</v>
      </c>
      <c r="D32" t="s">
        <v>812</v>
      </c>
      <c r="F32">
        <v>0</v>
      </c>
      <c r="G32">
        <v>0</v>
      </c>
      <c r="H32">
        <v>191.67</v>
      </c>
      <c r="J32" t="s">
        <v>1113</v>
      </c>
    </row>
    <row r="33" spans="1:10" hidden="1" x14ac:dyDescent="0.2">
      <c r="A33" t="s">
        <v>497</v>
      </c>
      <c r="B33">
        <v>400497</v>
      </c>
      <c r="C33" s="80">
        <v>42877.625335648147</v>
      </c>
      <c r="D33" t="s">
        <v>660</v>
      </c>
      <c r="E33" t="s">
        <v>601</v>
      </c>
      <c r="F33">
        <v>122322</v>
      </c>
      <c r="G33">
        <v>13.8</v>
      </c>
      <c r="H33">
        <v>0</v>
      </c>
      <c r="J33" t="s">
        <v>1114</v>
      </c>
    </row>
    <row r="34" spans="1:10" hidden="1" x14ac:dyDescent="0.2">
      <c r="A34" t="s">
        <v>497</v>
      </c>
      <c r="B34">
        <v>400507</v>
      </c>
      <c r="C34" s="80">
        <v>42877.627928240741</v>
      </c>
      <c r="D34" t="s">
        <v>661</v>
      </c>
      <c r="E34" t="s">
        <v>602</v>
      </c>
      <c r="F34">
        <v>105562</v>
      </c>
      <c r="G34">
        <v>177.87</v>
      </c>
      <c r="H34">
        <v>0</v>
      </c>
      <c r="J34" t="s">
        <v>1115</v>
      </c>
    </row>
    <row r="35" spans="1:10" x14ac:dyDescent="0.2">
      <c r="A35" t="s">
        <v>499</v>
      </c>
      <c r="B35">
        <v>396432</v>
      </c>
      <c r="C35" s="80">
        <v>42863.586550925924</v>
      </c>
      <c r="D35" t="s">
        <v>813</v>
      </c>
      <c r="E35" t="s">
        <v>599</v>
      </c>
      <c r="F35">
        <v>9018</v>
      </c>
      <c r="G35">
        <v>162</v>
      </c>
      <c r="H35">
        <v>0</v>
      </c>
      <c r="J35" t="s">
        <v>1116</v>
      </c>
    </row>
    <row r="36" spans="1:10" hidden="1" x14ac:dyDescent="0.2">
      <c r="A36" t="s">
        <v>499</v>
      </c>
      <c r="B36">
        <v>396515</v>
      </c>
      <c r="C36" s="80">
        <v>42863.598333333335</v>
      </c>
      <c r="D36" t="s">
        <v>814</v>
      </c>
      <c r="F36">
        <v>0</v>
      </c>
      <c r="G36">
        <v>0</v>
      </c>
      <c r="H36">
        <v>500</v>
      </c>
      <c r="J36" t="s">
        <v>1113</v>
      </c>
    </row>
    <row r="37" spans="1:10" hidden="1" x14ac:dyDescent="0.2">
      <c r="A37" t="s">
        <v>499</v>
      </c>
      <c r="B37">
        <v>396515</v>
      </c>
      <c r="C37" s="80">
        <v>42863.598333333335</v>
      </c>
      <c r="D37" t="s">
        <v>664</v>
      </c>
      <c r="E37" t="s">
        <v>601</v>
      </c>
      <c r="F37">
        <v>121045</v>
      </c>
      <c r="G37">
        <v>36</v>
      </c>
      <c r="H37">
        <v>0</v>
      </c>
      <c r="J37" t="s">
        <v>1114</v>
      </c>
    </row>
    <row r="38" spans="1:10" hidden="1" x14ac:dyDescent="0.2">
      <c r="A38" t="s">
        <v>499</v>
      </c>
      <c r="B38">
        <v>396525</v>
      </c>
      <c r="C38" s="80">
        <v>42863.601435185185</v>
      </c>
      <c r="D38" t="s">
        <v>665</v>
      </c>
      <c r="E38" t="s">
        <v>602</v>
      </c>
      <c r="F38">
        <v>104319</v>
      </c>
      <c r="G38">
        <v>302</v>
      </c>
      <c r="H38">
        <v>0</v>
      </c>
      <c r="J38" t="s">
        <v>1115</v>
      </c>
    </row>
    <row r="39" spans="1:10" hidden="1" x14ac:dyDescent="0.2">
      <c r="A39" t="s">
        <v>512</v>
      </c>
      <c r="B39">
        <v>394422</v>
      </c>
      <c r="C39" s="80">
        <v>42857.451770833337</v>
      </c>
      <c r="D39" t="s">
        <v>815</v>
      </c>
      <c r="E39" t="s">
        <v>601</v>
      </c>
      <c r="F39">
        <v>120352</v>
      </c>
      <c r="G39">
        <v>30</v>
      </c>
      <c r="H39">
        <v>0</v>
      </c>
      <c r="J39" t="s">
        <v>1113</v>
      </c>
    </row>
    <row r="40" spans="1:10" hidden="1" x14ac:dyDescent="0.2">
      <c r="A40" t="s">
        <v>512</v>
      </c>
      <c r="B40">
        <v>399300</v>
      </c>
      <c r="C40" s="80">
        <v>42871.592129629629</v>
      </c>
      <c r="D40" t="s">
        <v>816</v>
      </c>
      <c r="F40">
        <v>0</v>
      </c>
      <c r="G40">
        <v>0</v>
      </c>
      <c r="H40">
        <v>453.83</v>
      </c>
      <c r="J40" t="s">
        <v>1113</v>
      </c>
    </row>
    <row r="41" spans="1:10" hidden="1" x14ac:dyDescent="0.2">
      <c r="A41" t="s">
        <v>512</v>
      </c>
      <c r="B41">
        <v>399300</v>
      </c>
      <c r="C41" s="80">
        <v>42871.592129629629</v>
      </c>
      <c r="D41" t="s">
        <v>817</v>
      </c>
      <c r="E41" t="s">
        <v>601</v>
      </c>
      <c r="F41">
        <v>121925</v>
      </c>
      <c r="G41">
        <v>32.68</v>
      </c>
      <c r="H41">
        <v>0</v>
      </c>
      <c r="J41" t="s">
        <v>1114</v>
      </c>
    </row>
    <row r="42" spans="1:10" hidden="1" x14ac:dyDescent="0.2">
      <c r="A42" t="s">
        <v>512</v>
      </c>
      <c r="B42">
        <v>399310</v>
      </c>
      <c r="C42" s="80">
        <v>42871.597800925927</v>
      </c>
      <c r="D42" t="s">
        <v>792</v>
      </c>
      <c r="E42" t="s">
        <v>602</v>
      </c>
      <c r="F42">
        <v>105308</v>
      </c>
      <c r="G42">
        <v>326.14999999999998</v>
      </c>
      <c r="H42">
        <v>0</v>
      </c>
      <c r="J42" t="s">
        <v>1115</v>
      </c>
    </row>
    <row r="43" spans="1:10" x14ac:dyDescent="0.2">
      <c r="A43" t="s">
        <v>512</v>
      </c>
      <c r="B43">
        <v>402587</v>
      </c>
      <c r="C43" s="80">
        <v>42886.577708333331</v>
      </c>
      <c r="D43" t="s">
        <v>818</v>
      </c>
      <c r="E43" t="s">
        <v>599</v>
      </c>
      <c r="F43">
        <v>24</v>
      </c>
      <c r="G43">
        <v>50</v>
      </c>
      <c r="H43">
        <v>0</v>
      </c>
      <c r="J43" t="s">
        <v>1116</v>
      </c>
    </row>
    <row r="44" spans="1:10" x14ac:dyDescent="0.2">
      <c r="A44" t="s">
        <v>503</v>
      </c>
      <c r="B44">
        <v>394991</v>
      </c>
      <c r="C44" s="80">
        <v>42858.513437499998</v>
      </c>
      <c r="D44" t="s">
        <v>819</v>
      </c>
      <c r="E44" t="s">
        <v>599</v>
      </c>
      <c r="F44" t="s">
        <v>820</v>
      </c>
      <c r="G44">
        <v>72</v>
      </c>
      <c r="H44">
        <v>0</v>
      </c>
      <c r="J44" t="s">
        <v>1116</v>
      </c>
    </row>
    <row r="45" spans="1:10" x14ac:dyDescent="0.2">
      <c r="A45" t="s">
        <v>503</v>
      </c>
      <c r="B45">
        <v>395715</v>
      </c>
      <c r="C45" s="80">
        <v>42859.647557870368</v>
      </c>
      <c r="D45" t="s">
        <v>804</v>
      </c>
      <c r="E45" t="s">
        <v>599</v>
      </c>
      <c r="F45">
        <v>200417</v>
      </c>
      <c r="G45">
        <v>444</v>
      </c>
      <c r="H45">
        <v>0</v>
      </c>
      <c r="J45" t="s">
        <v>1116</v>
      </c>
    </row>
    <row r="46" spans="1:10" hidden="1" x14ac:dyDescent="0.2">
      <c r="A46" t="s">
        <v>503</v>
      </c>
      <c r="B46">
        <v>398784</v>
      </c>
      <c r="C46" s="80">
        <v>42870.665810185186</v>
      </c>
      <c r="D46" t="s">
        <v>821</v>
      </c>
      <c r="F46">
        <v>0</v>
      </c>
      <c r="G46">
        <v>0</v>
      </c>
      <c r="H46">
        <v>382.68</v>
      </c>
      <c r="J46" t="s">
        <v>1113</v>
      </c>
    </row>
    <row r="47" spans="1:10" hidden="1" x14ac:dyDescent="0.2">
      <c r="A47" t="s">
        <v>503</v>
      </c>
      <c r="B47">
        <v>398784</v>
      </c>
      <c r="C47" s="80">
        <v>42870.665810185186</v>
      </c>
      <c r="D47" t="s">
        <v>672</v>
      </c>
      <c r="E47" t="s">
        <v>601</v>
      </c>
      <c r="F47">
        <v>121759</v>
      </c>
      <c r="G47">
        <v>27.55</v>
      </c>
      <c r="H47">
        <v>0</v>
      </c>
      <c r="J47" t="s">
        <v>1114</v>
      </c>
    </row>
    <row r="48" spans="1:10" hidden="1" x14ac:dyDescent="0.2">
      <c r="A48" t="s">
        <v>503</v>
      </c>
      <c r="B48">
        <v>398784</v>
      </c>
      <c r="C48" s="80">
        <v>42870.665810185186</v>
      </c>
      <c r="D48" t="s">
        <v>803</v>
      </c>
      <c r="F48">
        <v>0</v>
      </c>
      <c r="G48">
        <v>0</v>
      </c>
      <c r="H48">
        <v>78.84</v>
      </c>
      <c r="J48" t="s">
        <v>1113</v>
      </c>
    </row>
    <row r="49" spans="1:10" hidden="1" x14ac:dyDescent="0.2">
      <c r="A49" t="s">
        <v>503</v>
      </c>
      <c r="B49">
        <v>398784</v>
      </c>
      <c r="C49" s="80">
        <v>42870.665810185186</v>
      </c>
      <c r="D49" t="s">
        <v>672</v>
      </c>
      <c r="E49" t="s">
        <v>601</v>
      </c>
      <c r="F49">
        <v>121759</v>
      </c>
      <c r="G49">
        <v>5.68</v>
      </c>
      <c r="H49">
        <v>0</v>
      </c>
      <c r="J49" t="s">
        <v>1114</v>
      </c>
    </row>
    <row r="50" spans="1:10" hidden="1" x14ac:dyDescent="0.2">
      <c r="A50" t="s">
        <v>501</v>
      </c>
      <c r="B50">
        <v>400496</v>
      </c>
      <c r="C50" s="80">
        <v>42877.625335648147</v>
      </c>
      <c r="D50" t="s">
        <v>798</v>
      </c>
      <c r="F50">
        <v>0</v>
      </c>
      <c r="G50">
        <v>0</v>
      </c>
      <c r="H50">
        <v>50</v>
      </c>
      <c r="J50" t="s">
        <v>1113</v>
      </c>
    </row>
    <row r="51" spans="1:10" hidden="1" x14ac:dyDescent="0.2">
      <c r="A51" t="s">
        <v>501</v>
      </c>
      <c r="B51">
        <v>400496</v>
      </c>
      <c r="C51" s="80">
        <v>42877.625335648147</v>
      </c>
      <c r="D51" t="s">
        <v>668</v>
      </c>
      <c r="E51" t="s">
        <v>601</v>
      </c>
      <c r="F51">
        <v>122321</v>
      </c>
      <c r="G51">
        <v>3.6</v>
      </c>
      <c r="H51">
        <v>0</v>
      </c>
      <c r="J51" t="s">
        <v>1114</v>
      </c>
    </row>
    <row r="52" spans="1:10" hidden="1" x14ac:dyDescent="0.2">
      <c r="A52" t="s">
        <v>501</v>
      </c>
      <c r="B52">
        <v>400507</v>
      </c>
      <c r="C52" s="80">
        <v>42877.627928240741</v>
      </c>
      <c r="D52" t="s">
        <v>669</v>
      </c>
      <c r="E52" t="s">
        <v>602</v>
      </c>
      <c r="F52">
        <v>105561</v>
      </c>
      <c r="G52">
        <v>46.4</v>
      </c>
      <c r="H52">
        <v>0</v>
      </c>
      <c r="J52" t="s">
        <v>1115</v>
      </c>
    </row>
    <row r="53" spans="1:10" hidden="1" x14ac:dyDescent="0.2">
      <c r="A53" t="s">
        <v>501</v>
      </c>
      <c r="B53">
        <v>400896</v>
      </c>
      <c r="C53" s="80">
        <v>42878.6406712963</v>
      </c>
      <c r="D53" t="s">
        <v>822</v>
      </c>
      <c r="F53">
        <v>0</v>
      </c>
      <c r="G53">
        <v>0</v>
      </c>
      <c r="H53">
        <v>650</v>
      </c>
      <c r="J53" t="s">
        <v>1113</v>
      </c>
    </row>
    <row r="54" spans="1:10" hidden="1" x14ac:dyDescent="0.2">
      <c r="A54" t="s">
        <v>501</v>
      </c>
      <c r="B54">
        <v>400896</v>
      </c>
      <c r="C54" s="80">
        <v>42878.6406712963</v>
      </c>
      <c r="D54" t="s">
        <v>668</v>
      </c>
      <c r="E54" t="s">
        <v>601</v>
      </c>
      <c r="F54">
        <v>122454</v>
      </c>
      <c r="G54">
        <v>46.8</v>
      </c>
      <c r="H54">
        <v>0</v>
      </c>
      <c r="J54" t="s">
        <v>1114</v>
      </c>
    </row>
    <row r="55" spans="1:10" hidden="1" x14ac:dyDescent="0.2">
      <c r="A55" t="s">
        <v>501</v>
      </c>
      <c r="B55">
        <v>400904</v>
      </c>
      <c r="C55" s="80">
        <v>42878.642500000002</v>
      </c>
      <c r="D55" t="s">
        <v>669</v>
      </c>
      <c r="E55" t="s">
        <v>602</v>
      </c>
      <c r="F55">
        <v>105674</v>
      </c>
      <c r="G55">
        <v>603.20000000000005</v>
      </c>
      <c r="H55">
        <v>0</v>
      </c>
      <c r="J55" t="s">
        <v>1115</v>
      </c>
    </row>
    <row r="56" spans="1:10" x14ac:dyDescent="0.2">
      <c r="A56" t="s">
        <v>505</v>
      </c>
      <c r="B56">
        <v>394985</v>
      </c>
      <c r="C56" s="80">
        <v>42858.508518518516</v>
      </c>
      <c r="D56" t="s">
        <v>823</v>
      </c>
      <c r="E56" t="s">
        <v>599</v>
      </c>
      <c r="F56" t="s">
        <v>824</v>
      </c>
      <c r="G56">
        <v>60</v>
      </c>
      <c r="H56">
        <v>0</v>
      </c>
      <c r="J56" t="s">
        <v>1116</v>
      </c>
    </row>
    <row r="57" spans="1:10" hidden="1" x14ac:dyDescent="0.2">
      <c r="A57" t="s">
        <v>505</v>
      </c>
      <c r="B57">
        <v>396733</v>
      </c>
      <c r="C57" s="80">
        <v>42864.474259259259</v>
      </c>
      <c r="D57" t="s">
        <v>825</v>
      </c>
      <c r="E57" t="s">
        <v>826</v>
      </c>
      <c r="F57">
        <v>126959</v>
      </c>
      <c r="G57">
        <v>0</v>
      </c>
      <c r="H57">
        <v>2304</v>
      </c>
      <c r="I57" s="56" t="s">
        <v>1109</v>
      </c>
    </row>
    <row r="58" spans="1:10" hidden="1" x14ac:dyDescent="0.2">
      <c r="A58" t="s">
        <v>505</v>
      </c>
      <c r="B58">
        <v>399687</v>
      </c>
      <c r="C58" s="80">
        <v>42872.578900462962</v>
      </c>
      <c r="D58" t="s">
        <v>827</v>
      </c>
      <c r="F58">
        <v>0</v>
      </c>
      <c r="G58">
        <v>0</v>
      </c>
      <c r="H58">
        <v>550</v>
      </c>
      <c r="J58" t="s">
        <v>1113</v>
      </c>
    </row>
    <row r="59" spans="1:10" hidden="1" x14ac:dyDescent="0.2">
      <c r="A59" t="s">
        <v>505</v>
      </c>
      <c r="B59">
        <v>399697</v>
      </c>
      <c r="C59" s="80">
        <v>42872.580462962964</v>
      </c>
      <c r="D59" t="s">
        <v>828</v>
      </c>
      <c r="E59" t="s">
        <v>602</v>
      </c>
      <c r="F59">
        <v>105375</v>
      </c>
      <c r="G59">
        <v>490</v>
      </c>
      <c r="H59">
        <v>0</v>
      </c>
      <c r="J59" t="s">
        <v>1115</v>
      </c>
    </row>
    <row r="60" spans="1:10" hidden="1" x14ac:dyDescent="0.2">
      <c r="A60" t="s">
        <v>507</v>
      </c>
      <c r="B60">
        <v>396971</v>
      </c>
      <c r="C60" s="80">
        <v>42864.637870370374</v>
      </c>
      <c r="D60" t="s">
        <v>800</v>
      </c>
      <c r="F60">
        <v>0</v>
      </c>
      <c r="G60">
        <v>0</v>
      </c>
      <c r="H60">
        <v>269.83999999999997</v>
      </c>
      <c r="J60" t="s">
        <v>1113</v>
      </c>
    </row>
    <row r="61" spans="1:10" hidden="1" x14ac:dyDescent="0.2">
      <c r="A61" t="s">
        <v>507</v>
      </c>
      <c r="B61">
        <v>396971</v>
      </c>
      <c r="C61" s="80">
        <v>42864.637870370374</v>
      </c>
      <c r="D61" t="s">
        <v>677</v>
      </c>
      <c r="E61" t="s">
        <v>601</v>
      </c>
      <c r="F61">
        <v>121213</v>
      </c>
      <c r="G61">
        <v>19.43</v>
      </c>
      <c r="H61">
        <v>0</v>
      </c>
      <c r="J61" t="s">
        <v>1114</v>
      </c>
    </row>
    <row r="62" spans="1:10" hidden="1" x14ac:dyDescent="0.2">
      <c r="A62" t="s">
        <v>507</v>
      </c>
      <c r="B62">
        <v>396971</v>
      </c>
      <c r="C62" s="80">
        <v>42864.637870370374</v>
      </c>
      <c r="D62" t="s">
        <v>829</v>
      </c>
      <c r="F62">
        <v>0</v>
      </c>
      <c r="G62">
        <v>0</v>
      </c>
      <c r="H62">
        <v>191.68</v>
      </c>
      <c r="J62" t="s">
        <v>1113</v>
      </c>
    </row>
    <row r="63" spans="1:10" hidden="1" x14ac:dyDescent="0.2">
      <c r="A63" t="s">
        <v>507</v>
      </c>
      <c r="B63">
        <v>396971</v>
      </c>
      <c r="C63" s="80">
        <v>42864.637870370374</v>
      </c>
      <c r="D63" t="s">
        <v>677</v>
      </c>
      <c r="E63" t="s">
        <v>601</v>
      </c>
      <c r="F63">
        <v>121213</v>
      </c>
      <c r="G63">
        <v>13.8</v>
      </c>
      <c r="H63">
        <v>0</v>
      </c>
      <c r="J63" t="s">
        <v>1114</v>
      </c>
    </row>
    <row r="64" spans="1:10" hidden="1" x14ac:dyDescent="0.2">
      <c r="A64" t="s">
        <v>507</v>
      </c>
      <c r="B64">
        <v>397063</v>
      </c>
      <c r="C64" s="80">
        <v>42864.64162037037</v>
      </c>
      <c r="D64" t="s">
        <v>678</v>
      </c>
      <c r="E64" t="s">
        <v>602</v>
      </c>
      <c r="F64">
        <v>104487</v>
      </c>
      <c r="G64">
        <v>428.29</v>
      </c>
      <c r="H64">
        <v>0</v>
      </c>
      <c r="J64" t="s">
        <v>1115</v>
      </c>
    </row>
    <row r="65" spans="1:10" x14ac:dyDescent="0.2">
      <c r="A65" t="s">
        <v>507</v>
      </c>
      <c r="B65">
        <v>397228</v>
      </c>
      <c r="C65" s="80">
        <v>42865.632743055554</v>
      </c>
      <c r="D65" t="s">
        <v>830</v>
      </c>
      <c r="E65" t="s">
        <v>599</v>
      </c>
      <c r="F65" t="s">
        <v>831</v>
      </c>
      <c r="G65">
        <v>72</v>
      </c>
      <c r="H65">
        <v>0</v>
      </c>
      <c r="J65" t="s">
        <v>1116</v>
      </c>
    </row>
    <row r="66" spans="1:10" hidden="1" x14ac:dyDescent="0.2">
      <c r="A66" t="s">
        <v>832</v>
      </c>
      <c r="B66">
        <v>396978</v>
      </c>
      <c r="C66" s="80">
        <v>42864.637870370374</v>
      </c>
      <c r="D66" t="s">
        <v>833</v>
      </c>
      <c r="F66">
        <v>0</v>
      </c>
      <c r="G66">
        <v>0</v>
      </c>
      <c r="H66">
        <v>500</v>
      </c>
      <c r="J66" t="s">
        <v>1113</v>
      </c>
    </row>
    <row r="67" spans="1:10" hidden="1" x14ac:dyDescent="0.2">
      <c r="A67" t="s">
        <v>832</v>
      </c>
      <c r="B67">
        <v>396978</v>
      </c>
      <c r="C67" s="80">
        <v>42864.637870370374</v>
      </c>
      <c r="D67" t="s">
        <v>603</v>
      </c>
      <c r="E67" t="s">
        <v>601</v>
      </c>
      <c r="F67">
        <v>121220</v>
      </c>
      <c r="G67">
        <v>36</v>
      </c>
      <c r="H67">
        <v>0</v>
      </c>
      <c r="J67" t="s">
        <v>1114</v>
      </c>
    </row>
    <row r="68" spans="1:10" hidden="1" x14ac:dyDescent="0.2">
      <c r="A68" t="s">
        <v>832</v>
      </c>
      <c r="B68">
        <v>397063</v>
      </c>
      <c r="C68" s="80">
        <v>42864.64162037037</v>
      </c>
      <c r="D68" t="s">
        <v>604</v>
      </c>
      <c r="E68" t="s">
        <v>602</v>
      </c>
      <c r="F68">
        <v>104494</v>
      </c>
      <c r="G68">
        <v>464</v>
      </c>
      <c r="H68">
        <v>0</v>
      </c>
      <c r="J68" t="s">
        <v>1115</v>
      </c>
    </row>
    <row r="69" spans="1:10" hidden="1" x14ac:dyDescent="0.2">
      <c r="A69" t="s">
        <v>832</v>
      </c>
      <c r="B69">
        <v>402058</v>
      </c>
      <c r="C69" s="80">
        <v>42885.640115740738</v>
      </c>
      <c r="D69" t="s">
        <v>834</v>
      </c>
      <c r="F69">
        <v>0</v>
      </c>
      <c r="G69">
        <v>0</v>
      </c>
      <c r="H69">
        <v>98.93</v>
      </c>
      <c r="J69" t="s">
        <v>1113</v>
      </c>
    </row>
    <row r="70" spans="1:10" hidden="1" x14ac:dyDescent="0.2">
      <c r="A70" t="s">
        <v>832</v>
      </c>
      <c r="B70">
        <v>402058</v>
      </c>
      <c r="C70" s="80">
        <v>42885.640115740738</v>
      </c>
      <c r="D70" t="s">
        <v>603</v>
      </c>
      <c r="E70" t="s">
        <v>601</v>
      </c>
      <c r="F70">
        <v>122851</v>
      </c>
      <c r="G70">
        <v>7.13</v>
      </c>
      <c r="H70">
        <v>0</v>
      </c>
      <c r="J70" t="s">
        <v>1114</v>
      </c>
    </row>
    <row r="71" spans="1:10" hidden="1" x14ac:dyDescent="0.2">
      <c r="A71" t="s">
        <v>832</v>
      </c>
      <c r="B71">
        <v>402077</v>
      </c>
      <c r="C71" s="80">
        <v>42885.643275462964</v>
      </c>
      <c r="D71" t="s">
        <v>604</v>
      </c>
      <c r="E71" t="s">
        <v>602</v>
      </c>
      <c r="F71">
        <v>105977</v>
      </c>
      <c r="G71">
        <v>91.8</v>
      </c>
      <c r="H71">
        <v>0</v>
      </c>
      <c r="J71" t="s">
        <v>1115</v>
      </c>
    </row>
    <row r="72" spans="1:10" hidden="1" x14ac:dyDescent="0.2">
      <c r="A72" t="s">
        <v>470</v>
      </c>
      <c r="B72">
        <v>396986</v>
      </c>
      <c r="C72" s="80">
        <v>42864.637870370374</v>
      </c>
      <c r="D72" t="s">
        <v>835</v>
      </c>
      <c r="F72">
        <v>0</v>
      </c>
      <c r="G72">
        <v>0</v>
      </c>
      <c r="H72">
        <v>495.9</v>
      </c>
      <c r="J72" t="s">
        <v>1113</v>
      </c>
    </row>
    <row r="73" spans="1:10" hidden="1" x14ac:dyDescent="0.2">
      <c r="A73" t="s">
        <v>470</v>
      </c>
      <c r="B73">
        <v>396986</v>
      </c>
      <c r="C73" s="80">
        <v>42864.637870370374</v>
      </c>
      <c r="D73" t="s">
        <v>605</v>
      </c>
      <c r="E73" t="s">
        <v>601</v>
      </c>
      <c r="F73">
        <v>121228</v>
      </c>
      <c r="G73">
        <v>35.700000000000003</v>
      </c>
      <c r="H73">
        <v>0</v>
      </c>
      <c r="J73" t="s">
        <v>1114</v>
      </c>
    </row>
    <row r="74" spans="1:10" hidden="1" x14ac:dyDescent="0.2">
      <c r="A74" t="s">
        <v>470</v>
      </c>
      <c r="B74">
        <v>397063</v>
      </c>
      <c r="C74" s="80">
        <v>42864.64162037037</v>
      </c>
      <c r="D74" t="s">
        <v>606</v>
      </c>
      <c r="E74" t="s">
        <v>602</v>
      </c>
      <c r="F74">
        <v>104502</v>
      </c>
      <c r="G74">
        <v>460.2</v>
      </c>
      <c r="H74">
        <v>0</v>
      </c>
      <c r="J74" t="s">
        <v>1115</v>
      </c>
    </row>
    <row r="75" spans="1:10" x14ac:dyDescent="0.2">
      <c r="A75" t="s">
        <v>470</v>
      </c>
      <c r="B75">
        <v>401842</v>
      </c>
      <c r="C75" s="80">
        <v>42885.375567129631</v>
      </c>
      <c r="D75" t="s">
        <v>836</v>
      </c>
      <c r="E75" t="s">
        <v>599</v>
      </c>
      <c r="F75">
        <v>6711</v>
      </c>
      <c r="G75">
        <v>25</v>
      </c>
      <c r="H75">
        <v>0</v>
      </c>
      <c r="J75" t="s">
        <v>1116</v>
      </c>
    </row>
    <row r="76" spans="1:10" hidden="1" x14ac:dyDescent="0.2">
      <c r="A76" t="s">
        <v>471</v>
      </c>
      <c r="B76">
        <v>396989</v>
      </c>
      <c r="C76" s="80">
        <v>42864.637870370374</v>
      </c>
      <c r="D76" t="s">
        <v>780</v>
      </c>
      <c r="F76">
        <v>0</v>
      </c>
      <c r="G76">
        <v>0</v>
      </c>
      <c r="H76">
        <v>269.83999999999997</v>
      </c>
      <c r="J76" t="s">
        <v>1113</v>
      </c>
    </row>
    <row r="77" spans="1:10" hidden="1" x14ac:dyDescent="0.2">
      <c r="A77" t="s">
        <v>471</v>
      </c>
      <c r="B77">
        <v>396989</v>
      </c>
      <c r="C77" s="80">
        <v>42864.637870370374</v>
      </c>
      <c r="D77" t="s">
        <v>607</v>
      </c>
      <c r="E77" t="s">
        <v>601</v>
      </c>
      <c r="F77">
        <v>121231</v>
      </c>
      <c r="G77">
        <v>19.43</v>
      </c>
      <c r="H77">
        <v>0</v>
      </c>
      <c r="J77" t="s">
        <v>1114</v>
      </c>
    </row>
    <row r="78" spans="1:10" hidden="1" x14ac:dyDescent="0.2">
      <c r="A78" t="s">
        <v>471</v>
      </c>
      <c r="B78">
        <v>397063</v>
      </c>
      <c r="C78" s="80">
        <v>42864.64162037037</v>
      </c>
      <c r="D78" t="s">
        <v>608</v>
      </c>
      <c r="E78" t="s">
        <v>602</v>
      </c>
      <c r="F78">
        <v>104505</v>
      </c>
      <c r="G78">
        <v>250.41</v>
      </c>
      <c r="H78">
        <v>0</v>
      </c>
      <c r="J78" t="s">
        <v>1115</v>
      </c>
    </row>
    <row r="79" spans="1:10" hidden="1" x14ac:dyDescent="0.2">
      <c r="A79" t="s">
        <v>471</v>
      </c>
      <c r="B79">
        <v>401585</v>
      </c>
      <c r="C79" s="80">
        <v>42881.540763888886</v>
      </c>
      <c r="D79" t="s">
        <v>837</v>
      </c>
      <c r="F79">
        <v>0</v>
      </c>
      <c r="G79">
        <v>0</v>
      </c>
      <c r="H79">
        <v>191.68</v>
      </c>
      <c r="J79" t="s">
        <v>1113</v>
      </c>
    </row>
    <row r="80" spans="1:10" hidden="1" x14ac:dyDescent="0.2">
      <c r="A80" t="s">
        <v>471</v>
      </c>
      <c r="B80">
        <v>401585</v>
      </c>
      <c r="C80" s="80">
        <v>42881.540763888886</v>
      </c>
      <c r="D80" t="s">
        <v>607</v>
      </c>
      <c r="E80" t="s">
        <v>601</v>
      </c>
      <c r="F80">
        <v>122665</v>
      </c>
      <c r="G80">
        <v>13.8</v>
      </c>
      <c r="H80">
        <v>0</v>
      </c>
      <c r="J80" t="s">
        <v>1114</v>
      </c>
    </row>
    <row r="81" spans="1:10" hidden="1" x14ac:dyDescent="0.2">
      <c r="A81" t="s">
        <v>471</v>
      </c>
      <c r="B81">
        <v>401589</v>
      </c>
      <c r="C81" s="80">
        <v>42881.544317129628</v>
      </c>
      <c r="D81" t="s">
        <v>608</v>
      </c>
      <c r="E81" t="s">
        <v>602</v>
      </c>
      <c r="F81">
        <v>105843</v>
      </c>
      <c r="G81">
        <v>177.88</v>
      </c>
      <c r="H81">
        <v>0</v>
      </c>
      <c r="J81" t="s">
        <v>1115</v>
      </c>
    </row>
    <row r="82" spans="1:10" hidden="1" x14ac:dyDescent="0.2">
      <c r="A82" t="s">
        <v>479</v>
      </c>
      <c r="B82">
        <v>396988</v>
      </c>
      <c r="C82" s="80">
        <v>42864.637870370374</v>
      </c>
      <c r="D82" t="s">
        <v>786</v>
      </c>
      <c r="F82">
        <v>0</v>
      </c>
      <c r="G82">
        <v>0</v>
      </c>
      <c r="H82">
        <v>123.2</v>
      </c>
      <c r="J82" t="s">
        <v>1113</v>
      </c>
    </row>
    <row r="83" spans="1:10" hidden="1" x14ac:dyDescent="0.2">
      <c r="A83" t="s">
        <v>479</v>
      </c>
      <c r="B83">
        <v>396988</v>
      </c>
      <c r="C83" s="80">
        <v>42864.637870370374</v>
      </c>
      <c r="D83" t="s">
        <v>623</v>
      </c>
      <c r="E83" t="s">
        <v>601</v>
      </c>
      <c r="F83">
        <v>121230</v>
      </c>
      <c r="G83">
        <v>8.8699999999999992</v>
      </c>
      <c r="H83">
        <v>0</v>
      </c>
      <c r="J83" t="s">
        <v>1114</v>
      </c>
    </row>
    <row r="84" spans="1:10" hidden="1" x14ac:dyDescent="0.2">
      <c r="A84" t="s">
        <v>479</v>
      </c>
      <c r="B84">
        <v>397063</v>
      </c>
      <c r="C84" s="80">
        <v>42864.64162037037</v>
      </c>
      <c r="D84" t="s">
        <v>624</v>
      </c>
      <c r="E84" t="s">
        <v>602</v>
      </c>
      <c r="F84">
        <v>104504</v>
      </c>
      <c r="G84">
        <v>114.33</v>
      </c>
      <c r="H84">
        <v>0</v>
      </c>
      <c r="J84" t="s">
        <v>1115</v>
      </c>
    </row>
    <row r="85" spans="1:10" hidden="1" x14ac:dyDescent="0.2">
      <c r="A85" t="s">
        <v>479</v>
      </c>
      <c r="B85">
        <v>399692</v>
      </c>
      <c r="C85" s="80">
        <v>42872.578900462962</v>
      </c>
      <c r="D85" t="s">
        <v>838</v>
      </c>
      <c r="F85">
        <v>0</v>
      </c>
      <c r="G85">
        <v>0</v>
      </c>
      <c r="H85">
        <v>241.4</v>
      </c>
      <c r="J85" t="s">
        <v>1113</v>
      </c>
    </row>
    <row r="86" spans="1:10" hidden="1" x14ac:dyDescent="0.2">
      <c r="A86" t="s">
        <v>479</v>
      </c>
      <c r="B86">
        <v>399692</v>
      </c>
      <c r="C86" s="80">
        <v>42872.578900462962</v>
      </c>
      <c r="D86" t="s">
        <v>623</v>
      </c>
      <c r="E86" t="s">
        <v>601</v>
      </c>
      <c r="F86">
        <v>122012</v>
      </c>
      <c r="G86">
        <v>17.38</v>
      </c>
      <c r="H86">
        <v>0</v>
      </c>
      <c r="J86" t="s">
        <v>1114</v>
      </c>
    </row>
    <row r="87" spans="1:10" hidden="1" x14ac:dyDescent="0.2">
      <c r="A87" t="s">
        <v>479</v>
      </c>
      <c r="B87">
        <v>399697</v>
      </c>
      <c r="C87" s="80">
        <v>42872.580462962964</v>
      </c>
      <c r="D87" t="s">
        <v>624</v>
      </c>
      <c r="E87" t="s">
        <v>602</v>
      </c>
      <c r="F87">
        <v>105380</v>
      </c>
      <c r="G87">
        <v>224.02</v>
      </c>
      <c r="H87">
        <v>0</v>
      </c>
      <c r="J87" t="s">
        <v>1115</v>
      </c>
    </row>
    <row r="88" spans="1:10" hidden="1" x14ac:dyDescent="0.2">
      <c r="A88" t="s">
        <v>475</v>
      </c>
      <c r="B88">
        <v>396977</v>
      </c>
      <c r="C88" s="80">
        <v>42864.637870370374</v>
      </c>
      <c r="D88" t="s">
        <v>839</v>
      </c>
      <c r="F88">
        <v>0</v>
      </c>
      <c r="G88">
        <v>0</v>
      </c>
      <c r="H88">
        <v>186.86</v>
      </c>
      <c r="J88" t="s">
        <v>1113</v>
      </c>
    </row>
    <row r="89" spans="1:10" hidden="1" x14ac:dyDescent="0.2">
      <c r="A89" t="s">
        <v>475</v>
      </c>
      <c r="B89">
        <v>396977</v>
      </c>
      <c r="C89" s="80">
        <v>42864.637870370374</v>
      </c>
      <c r="D89" t="s">
        <v>617</v>
      </c>
      <c r="E89" t="s">
        <v>601</v>
      </c>
      <c r="F89">
        <v>121219</v>
      </c>
      <c r="G89">
        <v>13.45</v>
      </c>
      <c r="H89">
        <v>0</v>
      </c>
      <c r="J89" t="s">
        <v>1114</v>
      </c>
    </row>
    <row r="90" spans="1:10" hidden="1" x14ac:dyDescent="0.2">
      <c r="A90" t="s">
        <v>475</v>
      </c>
      <c r="B90">
        <v>396977</v>
      </c>
      <c r="C90" s="80">
        <v>42864.637870370374</v>
      </c>
      <c r="D90" t="s">
        <v>783</v>
      </c>
      <c r="F90">
        <v>0</v>
      </c>
      <c r="G90">
        <v>0</v>
      </c>
      <c r="H90">
        <v>274.66000000000003</v>
      </c>
      <c r="J90" t="s">
        <v>1113</v>
      </c>
    </row>
    <row r="91" spans="1:10" hidden="1" x14ac:dyDescent="0.2">
      <c r="A91" t="s">
        <v>475</v>
      </c>
      <c r="B91">
        <v>396977</v>
      </c>
      <c r="C91" s="80">
        <v>42864.637870370374</v>
      </c>
      <c r="D91" t="s">
        <v>617</v>
      </c>
      <c r="E91" t="s">
        <v>601</v>
      </c>
      <c r="F91">
        <v>121219</v>
      </c>
      <c r="G91">
        <v>19.78</v>
      </c>
      <c r="H91">
        <v>0</v>
      </c>
      <c r="J91" t="s">
        <v>1114</v>
      </c>
    </row>
    <row r="92" spans="1:10" hidden="1" x14ac:dyDescent="0.2">
      <c r="A92" t="s">
        <v>475</v>
      </c>
      <c r="B92">
        <v>397063</v>
      </c>
      <c r="C92" s="80">
        <v>42864.64162037037</v>
      </c>
      <c r="D92" t="s">
        <v>618</v>
      </c>
      <c r="E92" t="s">
        <v>602</v>
      </c>
      <c r="F92">
        <v>104493</v>
      </c>
      <c r="G92">
        <v>67.290000000000006</v>
      </c>
      <c r="H92">
        <v>0</v>
      </c>
      <c r="J92" t="s">
        <v>1115</v>
      </c>
    </row>
    <row r="93" spans="1:10" hidden="1" x14ac:dyDescent="0.2">
      <c r="A93" t="s">
        <v>510</v>
      </c>
      <c r="B93">
        <v>401380</v>
      </c>
      <c r="C93" s="80">
        <v>42880.583078703705</v>
      </c>
      <c r="D93" t="s">
        <v>840</v>
      </c>
      <c r="F93">
        <v>0</v>
      </c>
      <c r="G93">
        <v>0</v>
      </c>
      <c r="H93">
        <v>500</v>
      </c>
      <c r="J93" t="s">
        <v>1113</v>
      </c>
    </row>
    <row r="94" spans="1:10" hidden="1" x14ac:dyDescent="0.2">
      <c r="A94" t="s">
        <v>510</v>
      </c>
      <c r="B94">
        <v>401380</v>
      </c>
      <c r="C94" s="80">
        <v>42880.583078703705</v>
      </c>
      <c r="D94" t="s">
        <v>613</v>
      </c>
      <c r="E94" t="s">
        <v>601</v>
      </c>
      <c r="F94">
        <v>122605</v>
      </c>
      <c r="G94">
        <v>36</v>
      </c>
      <c r="H94">
        <v>0</v>
      </c>
      <c r="J94" t="s">
        <v>1114</v>
      </c>
    </row>
    <row r="95" spans="1:10" hidden="1" x14ac:dyDescent="0.2">
      <c r="A95" t="s">
        <v>510</v>
      </c>
      <c r="B95">
        <v>401383</v>
      </c>
      <c r="C95" s="80">
        <v>42880.586041666669</v>
      </c>
      <c r="D95" t="s">
        <v>614</v>
      </c>
      <c r="E95" t="s">
        <v>602</v>
      </c>
      <c r="F95">
        <v>105797</v>
      </c>
      <c r="G95">
        <v>464</v>
      </c>
      <c r="H95">
        <v>0</v>
      </c>
      <c r="J95" t="s">
        <v>1115</v>
      </c>
    </row>
    <row r="96" spans="1:10" hidden="1" x14ac:dyDescent="0.2">
      <c r="A96" t="s">
        <v>473</v>
      </c>
      <c r="B96">
        <v>396976</v>
      </c>
      <c r="C96" s="80">
        <v>42864.637870370374</v>
      </c>
      <c r="D96" t="s">
        <v>782</v>
      </c>
      <c r="F96">
        <v>0</v>
      </c>
      <c r="G96">
        <v>0</v>
      </c>
      <c r="H96">
        <v>269.83999999999997</v>
      </c>
      <c r="J96" t="s">
        <v>1113</v>
      </c>
    </row>
    <row r="97" spans="1:10" hidden="1" x14ac:dyDescent="0.2">
      <c r="A97" t="s">
        <v>473</v>
      </c>
      <c r="B97">
        <v>396976</v>
      </c>
      <c r="C97" s="80">
        <v>42864.637870370374</v>
      </c>
      <c r="D97" t="s">
        <v>611</v>
      </c>
      <c r="E97" t="s">
        <v>601</v>
      </c>
      <c r="F97">
        <v>121218</v>
      </c>
      <c r="G97">
        <v>19.43</v>
      </c>
      <c r="H97">
        <v>0</v>
      </c>
      <c r="J97" t="s">
        <v>1114</v>
      </c>
    </row>
    <row r="98" spans="1:10" hidden="1" x14ac:dyDescent="0.2">
      <c r="A98" t="s">
        <v>473</v>
      </c>
      <c r="B98">
        <v>397063</v>
      </c>
      <c r="C98" s="80">
        <v>42864.64162037037</v>
      </c>
      <c r="D98" t="s">
        <v>612</v>
      </c>
      <c r="E98" t="s">
        <v>602</v>
      </c>
      <c r="F98">
        <v>104492</v>
      </c>
      <c r="G98">
        <v>250.41</v>
      </c>
      <c r="H98">
        <v>0</v>
      </c>
      <c r="J98" t="s">
        <v>1115</v>
      </c>
    </row>
    <row r="99" spans="1:10" hidden="1" x14ac:dyDescent="0.2">
      <c r="A99" t="s">
        <v>473</v>
      </c>
      <c r="B99">
        <v>397621</v>
      </c>
      <c r="C99" s="80">
        <v>42866.632048611114</v>
      </c>
      <c r="D99" t="s">
        <v>841</v>
      </c>
      <c r="F99">
        <v>0</v>
      </c>
      <c r="G99">
        <v>0</v>
      </c>
      <c r="H99">
        <v>191.68</v>
      </c>
      <c r="J99" t="s">
        <v>1113</v>
      </c>
    </row>
    <row r="100" spans="1:10" hidden="1" x14ac:dyDescent="0.2">
      <c r="A100" t="s">
        <v>473</v>
      </c>
      <c r="B100">
        <v>397621</v>
      </c>
      <c r="C100" s="80">
        <v>42866.632048611114</v>
      </c>
      <c r="D100" t="s">
        <v>611</v>
      </c>
      <c r="E100" t="s">
        <v>601</v>
      </c>
      <c r="F100">
        <v>121474</v>
      </c>
      <c r="G100">
        <v>13.8</v>
      </c>
      <c r="H100">
        <v>0</v>
      </c>
      <c r="J100" t="s">
        <v>1114</v>
      </c>
    </row>
    <row r="101" spans="1:10" hidden="1" x14ac:dyDescent="0.2">
      <c r="A101" t="s">
        <v>473</v>
      </c>
      <c r="B101">
        <v>397628</v>
      </c>
      <c r="C101" s="80">
        <v>42866.634664351855</v>
      </c>
      <c r="D101" t="s">
        <v>612</v>
      </c>
      <c r="E101" t="s">
        <v>602</v>
      </c>
      <c r="F101">
        <v>104699</v>
      </c>
      <c r="G101">
        <v>177.88</v>
      </c>
      <c r="H101">
        <v>0</v>
      </c>
      <c r="J101" t="s">
        <v>1115</v>
      </c>
    </row>
    <row r="102" spans="1:10" x14ac:dyDescent="0.2">
      <c r="A102" t="s">
        <v>472</v>
      </c>
      <c r="B102">
        <v>396544</v>
      </c>
      <c r="C102" s="80">
        <v>42863.645439814813</v>
      </c>
      <c r="D102" t="s">
        <v>842</v>
      </c>
      <c r="E102" t="s">
        <v>599</v>
      </c>
      <c r="F102">
        <v>299</v>
      </c>
      <c r="G102">
        <v>140</v>
      </c>
      <c r="H102">
        <v>0</v>
      </c>
      <c r="J102" t="s">
        <v>1116</v>
      </c>
    </row>
    <row r="103" spans="1:10" hidden="1" x14ac:dyDescent="0.2">
      <c r="A103" t="s">
        <v>472</v>
      </c>
      <c r="B103">
        <v>396962</v>
      </c>
      <c r="C103" s="80">
        <v>42864.637870370374</v>
      </c>
      <c r="D103" t="s">
        <v>843</v>
      </c>
      <c r="F103">
        <v>0</v>
      </c>
      <c r="G103">
        <v>0</v>
      </c>
      <c r="H103">
        <v>43.92</v>
      </c>
      <c r="J103" t="s">
        <v>1113</v>
      </c>
    </row>
    <row r="104" spans="1:10" hidden="1" x14ac:dyDescent="0.2">
      <c r="A104" t="s">
        <v>472</v>
      </c>
      <c r="B104">
        <v>396962</v>
      </c>
      <c r="C104" s="80">
        <v>42864.637870370374</v>
      </c>
      <c r="D104" t="s">
        <v>609</v>
      </c>
      <c r="E104" t="s">
        <v>601</v>
      </c>
      <c r="F104">
        <v>121205</v>
      </c>
      <c r="G104">
        <v>3.17</v>
      </c>
      <c r="H104">
        <v>0</v>
      </c>
      <c r="J104" t="s">
        <v>1114</v>
      </c>
    </row>
    <row r="105" spans="1:10" hidden="1" x14ac:dyDescent="0.2">
      <c r="A105" t="s">
        <v>472</v>
      </c>
      <c r="B105">
        <v>396962</v>
      </c>
      <c r="C105" s="80">
        <v>42864.637870370374</v>
      </c>
      <c r="D105" t="s">
        <v>781</v>
      </c>
      <c r="F105">
        <v>0</v>
      </c>
      <c r="G105">
        <v>0</v>
      </c>
      <c r="H105">
        <v>422.2</v>
      </c>
      <c r="J105" t="s">
        <v>1113</v>
      </c>
    </row>
    <row r="106" spans="1:10" hidden="1" x14ac:dyDescent="0.2">
      <c r="A106" t="s">
        <v>472</v>
      </c>
      <c r="B106">
        <v>396962</v>
      </c>
      <c r="C106" s="80">
        <v>42864.637870370374</v>
      </c>
      <c r="D106" t="s">
        <v>609</v>
      </c>
      <c r="E106" t="s">
        <v>601</v>
      </c>
      <c r="F106">
        <v>121205</v>
      </c>
      <c r="G106">
        <v>30.4</v>
      </c>
      <c r="H106">
        <v>0</v>
      </c>
      <c r="J106" t="s">
        <v>1114</v>
      </c>
    </row>
    <row r="107" spans="1:10" hidden="1" x14ac:dyDescent="0.2">
      <c r="A107" t="s">
        <v>472</v>
      </c>
      <c r="B107">
        <v>397063</v>
      </c>
      <c r="C107" s="80">
        <v>42864.64162037037</v>
      </c>
      <c r="D107" t="s">
        <v>610</v>
      </c>
      <c r="E107" t="s">
        <v>602</v>
      </c>
      <c r="F107">
        <v>104478</v>
      </c>
      <c r="G107">
        <v>292.55</v>
      </c>
      <c r="H107">
        <v>0</v>
      </c>
      <c r="J107" t="s">
        <v>1115</v>
      </c>
    </row>
    <row r="108" spans="1:10" hidden="1" x14ac:dyDescent="0.2">
      <c r="A108" t="s">
        <v>480</v>
      </c>
      <c r="B108">
        <v>397626</v>
      </c>
      <c r="C108" s="80">
        <v>42866.632048611114</v>
      </c>
      <c r="D108" t="s">
        <v>844</v>
      </c>
      <c r="F108">
        <v>0</v>
      </c>
      <c r="G108">
        <v>0</v>
      </c>
      <c r="H108">
        <v>350</v>
      </c>
      <c r="J108" t="s">
        <v>1113</v>
      </c>
    </row>
    <row r="109" spans="1:10" hidden="1" x14ac:dyDescent="0.2">
      <c r="A109" t="s">
        <v>480</v>
      </c>
      <c r="B109">
        <v>397626</v>
      </c>
      <c r="C109" s="80">
        <v>42866.632048611114</v>
      </c>
      <c r="D109" t="s">
        <v>625</v>
      </c>
      <c r="E109" t="s">
        <v>601</v>
      </c>
      <c r="F109">
        <v>121479</v>
      </c>
      <c r="G109">
        <v>25.2</v>
      </c>
      <c r="H109">
        <v>0</v>
      </c>
      <c r="J109" t="s">
        <v>1114</v>
      </c>
    </row>
    <row r="110" spans="1:10" hidden="1" x14ac:dyDescent="0.2">
      <c r="A110" t="s">
        <v>480</v>
      </c>
      <c r="B110">
        <v>397628</v>
      </c>
      <c r="C110" s="80">
        <v>42866.634664351855</v>
      </c>
      <c r="D110" t="s">
        <v>626</v>
      </c>
      <c r="E110" t="s">
        <v>602</v>
      </c>
      <c r="F110">
        <v>104704</v>
      </c>
      <c r="G110">
        <v>324.8</v>
      </c>
      <c r="H110">
        <v>0</v>
      </c>
      <c r="J110" t="s">
        <v>1115</v>
      </c>
    </row>
    <row r="111" spans="1:10" hidden="1" x14ac:dyDescent="0.2">
      <c r="A111" t="s">
        <v>845</v>
      </c>
      <c r="B111">
        <v>395106</v>
      </c>
      <c r="C111" s="80">
        <v>42858.554108796299</v>
      </c>
      <c r="D111" t="s">
        <v>846</v>
      </c>
      <c r="F111">
        <v>0</v>
      </c>
      <c r="G111">
        <v>0</v>
      </c>
      <c r="H111">
        <v>520</v>
      </c>
      <c r="J111" t="s">
        <v>1113</v>
      </c>
    </row>
    <row r="112" spans="1:10" hidden="1" x14ac:dyDescent="0.2">
      <c r="A112" t="s">
        <v>845</v>
      </c>
      <c r="B112">
        <v>395106</v>
      </c>
      <c r="C112" s="80">
        <v>42858.554108796299</v>
      </c>
      <c r="D112" t="s">
        <v>627</v>
      </c>
      <c r="E112" t="s">
        <v>601</v>
      </c>
      <c r="F112">
        <v>120469</v>
      </c>
      <c r="G112">
        <v>37.44</v>
      </c>
      <c r="H112">
        <v>0</v>
      </c>
      <c r="J112" t="s">
        <v>1114</v>
      </c>
    </row>
    <row r="113" spans="1:10" hidden="1" x14ac:dyDescent="0.2">
      <c r="A113" t="s">
        <v>845</v>
      </c>
      <c r="B113">
        <v>395358</v>
      </c>
      <c r="C113" s="80">
        <v>42858.576099537036</v>
      </c>
      <c r="D113" t="s">
        <v>628</v>
      </c>
      <c r="E113" t="s">
        <v>602</v>
      </c>
      <c r="F113">
        <v>103814</v>
      </c>
      <c r="G113">
        <v>482.56</v>
      </c>
      <c r="H113">
        <v>0</v>
      </c>
      <c r="J113" t="s">
        <v>1115</v>
      </c>
    </row>
    <row r="114" spans="1:10" hidden="1" x14ac:dyDescent="0.2">
      <c r="A114" t="s">
        <v>485</v>
      </c>
      <c r="B114">
        <v>396993</v>
      </c>
      <c r="C114" s="80">
        <v>42864.637870370374</v>
      </c>
      <c r="D114" t="s">
        <v>847</v>
      </c>
      <c r="F114">
        <v>0</v>
      </c>
      <c r="G114">
        <v>0</v>
      </c>
      <c r="H114">
        <v>500</v>
      </c>
      <c r="J114" t="s">
        <v>1113</v>
      </c>
    </row>
    <row r="115" spans="1:10" hidden="1" x14ac:dyDescent="0.2">
      <c r="A115" t="s">
        <v>485</v>
      </c>
      <c r="B115">
        <v>396993</v>
      </c>
      <c r="C115" s="80">
        <v>42864.637870370374</v>
      </c>
      <c r="D115" t="s">
        <v>637</v>
      </c>
      <c r="E115" t="s">
        <v>601</v>
      </c>
      <c r="F115">
        <v>121235</v>
      </c>
      <c r="G115">
        <v>36</v>
      </c>
      <c r="H115">
        <v>0</v>
      </c>
      <c r="J115" t="s">
        <v>1114</v>
      </c>
    </row>
    <row r="116" spans="1:10" hidden="1" x14ac:dyDescent="0.2">
      <c r="A116" t="s">
        <v>485</v>
      </c>
      <c r="B116">
        <v>397063</v>
      </c>
      <c r="C116" s="80">
        <v>42864.64162037037</v>
      </c>
      <c r="D116" t="s">
        <v>638</v>
      </c>
      <c r="E116" t="s">
        <v>602</v>
      </c>
      <c r="F116">
        <v>104509</v>
      </c>
      <c r="G116">
        <v>464</v>
      </c>
      <c r="H116">
        <v>0</v>
      </c>
      <c r="J116" t="s">
        <v>1115</v>
      </c>
    </row>
    <row r="117" spans="1:10" hidden="1" x14ac:dyDescent="0.2">
      <c r="A117" t="s">
        <v>484</v>
      </c>
      <c r="B117">
        <v>397343</v>
      </c>
      <c r="C117" s="80">
        <v>42865.672060185185</v>
      </c>
      <c r="D117" t="s">
        <v>787</v>
      </c>
      <c r="F117">
        <v>0</v>
      </c>
      <c r="G117">
        <v>0</v>
      </c>
      <c r="H117">
        <v>66.81</v>
      </c>
      <c r="J117" t="s">
        <v>1113</v>
      </c>
    </row>
    <row r="118" spans="1:10" hidden="1" x14ac:dyDescent="0.2">
      <c r="A118" t="s">
        <v>484</v>
      </c>
      <c r="B118">
        <v>397343</v>
      </c>
      <c r="C118" s="80">
        <v>42865.672060185185</v>
      </c>
      <c r="D118" t="s">
        <v>635</v>
      </c>
      <c r="E118" t="s">
        <v>601</v>
      </c>
      <c r="F118">
        <v>121379</v>
      </c>
      <c r="G118">
        <v>4.8099999999999996</v>
      </c>
      <c r="H118">
        <v>0</v>
      </c>
      <c r="J118" t="s">
        <v>1114</v>
      </c>
    </row>
    <row r="119" spans="1:10" hidden="1" x14ac:dyDescent="0.2">
      <c r="A119" t="s">
        <v>484</v>
      </c>
      <c r="B119">
        <v>397349</v>
      </c>
      <c r="C119" s="80">
        <v>42865.673206018517</v>
      </c>
      <c r="D119" t="s">
        <v>636</v>
      </c>
      <c r="E119" t="s">
        <v>602</v>
      </c>
      <c r="F119">
        <v>104634</v>
      </c>
      <c r="G119">
        <v>62</v>
      </c>
      <c r="H119">
        <v>0</v>
      </c>
      <c r="J119" t="s">
        <v>1115</v>
      </c>
    </row>
    <row r="120" spans="1:10" hidden="1" x14ac:dyDescent="0.2">
      <c r="A120" t="s">
        <v>484</v>
      </c>
      <c r="B120">
        <v>398783</v>
      </c>
      <c r="C120" s="80">
        <v>42870.665810185186</v>
      </c>
      <c r="D120" t="s">
        <v>848</v>
      </c>
      <c r="F120">
        <v>0</v>
      </c>
      <c r="G120">
        <v>0</v>
      </c>
      <c r="H120">
        <v>399.31</v>
      </c>
      <c r="J120" t="s">
        <v>1113</v>
      </c>
    </row>
    <row r="121" spans="1:10" hidden="1" x14ac:dyDescent="0.2">
      <c r="A121" t="s">
        <v>484</v>
      </c>
      <c r="B121">
        <v>398783</v>
      </c>
      <c r="C121" s="80">
        <v>42870.665810185186</v>
      </c>
      <c r="D121" t="s">
        <v>635</v>
      </c>
      <c r="E121" t="s">
        <v>601</v>
      </c>
      <c r="F121">
        <v>121758</v>
      </c>
      <c r="G121">
        <v>28.75</v>
      </c>
      <c r="H121">
        <v>0</v>
      </c>
      <c r="J121" t="s">
        <v>1114</v>
      </c>
    </row>
    <row r="122" spans="1:10" hidden="1" x14ac:dyDescent="0.2">
      <c r="A122" t="s">
        <v>484</v>
      </c>
      <c r="B122">
        <v>398796</v>
      </c>
      <c r="C122" s="80">
        <v>42870.668124999997</v>
      </c>
      <c r="D122" t="s">
        <v>636</v>
      </c>
      <c r="E122" t="s">
        <v>602</v>
      </c>
      <c r="F122">
        <v>105156</v>
      </c>
      <c r="G122">
        <v>370.56</v>
      </c>
      <c r="H122">
        <v>0</v>
      </c>
      <c r="J122" t="s">
        <v>1115</v>
      </c>
    </row>
    <row r="123" spans="1:10" hidden="1" x14ac:dyDescent="0.2">
      <c r="A123" t="s">
        <v>482</v>
      </c>
      <c r="B123">
        <v>398711</v>
      </c>
      <c r="C123" s="80">
        <v>42870.665810185186</v>
      </c>
      <c r="D123" t="s">
        <v>849</v>
      </c>
      <c r="F123">
        <v>0</v>
      </c>
      <c r="G123">
        <v>0</v>
      </c>
      <c r="H123">
        <v>580</v>
      </c>
      <c r="J123" t="s">
        <v>1113</v>
      </c>
    </row>
    <row r="124" spans="1:10" hidden="1" x14ac:dyDescent="0.2">
      <c r="A124" t="s">
        <v>482</v>
      </c>
      <c r="B124">
        <v>398711</v>
      </c>
      <c r="C124" s="80">
        <v>42870.665810185186</v>
      </c>
      <c r="D124" t="s">
        <v>631</v>
      </c>
      <c r="E124" t="s">
        <v>601</v>
      </c>
      <c r="F124">
        <v>121692</v>
      </c>
      <c r="G124">
        <v>41.76</v>
      </c>
      <c r="H124">
        <v>0</v>
      </c>
      <c r="J124" t="s">
        <v>1114</v>
      </c>
    </row>
    <row r="125" spans="1:10" hidden="1" x14ac:dyDescent="0.2">
      <c r="A125" t="s">
        <v>482</v>
      </c>
      <c r="B125">
        <v>398796</v>
      </c>
      <c r="C125" s="80">
        <v>42870.668124999997</v>
      </c>
      <c r="D125" t="s">
        <v>632</v>
      </c>
      <c r="E125" t="s">
        <v>602</v>
      </c>
      <c r="F125">
        <v>105084</v>
      </c>
      <c r="G125">
        <v>502.24</v>
      </c>
      <c r="H125">
        <v>0</v>
      </c>
      <c r="J125" t="s">
        <v>1115</v>
      </c>
    </row>
    <row r="126" spans="1:10" hidden="1" x14ac:dyDescent="0.2">
      <c r="A126" t="s">
        <v>482</v>
      </c>
      <c r="B126">
        <v>399212</v>
      </c>
      <c r="C126" s="80">
        <v>42871.592129629629</v>
      </c>
      <c r="D126" t="s">
        <v>849</v>
      </c>
      <c r="F126">
        <v>0</v>
      </c>
      <c r="G126">
        <v>0</v>
      </c>
      <c r="H126">
        <v>80</v>
      </c>
      <c r="J126" t="s">
        <v>1113</v>
      </c>
    </row>
    <row r="127" spans="1:10" hidden="1" x14ac:dyDescent="0.2">
      <c r="A127" t="s">
        <v>482</v>
      </c>
      <c r="B127">
        <v>399212</v>
      </c>
      <c r="C127" s="80">
        <v>42871.592129629629</v>
      </c>
      <c r="D127" t="s">
        <v>631</v>
      </c>
      <c r="E127" t="s">
        <v>601</v>
      </c>
      <c r="F127">
        <v>121841</v>
      </c>
      <c r="G127">
        <v>5.76</v>
      </c>
      <c r="H127">
        <v>0</v>
      </c>
      <c r="J127" t="s">
        <v>1114</v>
      </c>
    </row>
    <row r="128" spans="1:10" hidden="1" x14ac:dyDescent="0.2">
      <c r="A128" t="s">
        <v>482</v>
      </c>
      <c r="B128">
        <v>399310</v>
      </c>
      <c r="C128" s="80">
        <v>42871.597800925927</v>
      </c>
      <c r="D128" t="s">
        <v>632</v>
      </c>
      <c r="E128" t="s">
        <v>602</v>
      </c>
      <c r="F128">
        <v>105220</v>
      </c>
      <c r="G128">
        <v>74.239999999999995</v>
      </c>
      <c r="H128">
        <v>0</v>
      </c>
      <c r="J128" t="s">
        <v>1115</v>
      </c>
    </row>
    <row r="129" spans="1:10" hidden="1" x14ac:dyDescent="0.2">
      <c r="A129" t="s">
        <v>478</v>
      </c>
      <c r="B129">
        <v>396984</v>
      </c>
      <c r="C129" s="80">
        <v>42864.637870370374</v>
      </c>
      <c r="D129" t="s">
        <v>785</v>
      </c>
      <c r="F129">
        <v>0</v>
      </c>
      <c r="G129">
        <v>0</v>
      </c>
      <c r="H129">
        <v>241.81</v>
      </c>
      <c r="J129" t="s">
        <v>1113</v>
      </c>
    </row>
    <row r="130" spans="1:10" hidden="1" x14ac:dyDescent="0.2">
      <c r="A130" t="s">
        <v>478</v>
      </c>
      <c r="B130">
        <v>396984</v>
      </c>
      <c r="C130" s="80">
        <v>42864.637870370374</v>
      </c>
      <c r="D130" t="s">
        <v>621</v>
      </c>
      <c r="E130" t="s">
        <v>601</v>
      </c>
      <c r="F130">
        <v>121226</v>
      </c>
      <c r="G130">
        <v>17.41</v>
      </c>
      <c r="H130">
        <v>0</v>
      </c>
      <c r="J130" t="s">
        <v>1114</v>
      </c>
    </row>
    <row r="131" spans="1:10" hidden="1" x14ac:dyDescent="0.2">
      <c r="A131" t="s">
        <v>478</v>
      </c>
      <c r="B131">
        <v>397063</v>
      </c>
      <c r="C131" s="80">
        <v>42864.64162037037</v>
      </c>
      <c r="D131" t="s">
        <v>622</v>
      </c>
      <c r="E131" t="s">
        <v>602</v>
      </c>
      <c r="F131">
        <v>104500</v>
      </c>
      <c r="G131">
        <v>224.4</v>
      </c>
      <c r="H131">
        <v>0</v>
      </c>
      <c r="J131" t="s">
        <v>1115</v>
      </c>
    </row>
    <row r="132" spans="1:10" hidden="1" x14ac:dyDescent="0.2">
      <c r="A132" t="s">
        <v>478</v>
      </c>
      <c r="B132">
        <v>398781</v>
      </c>
      <c r="C132" s="80">
        <v>42870.665810185186</v>
      </c>
      <c r="D132" t="s">
        <v>850</v>
      </c>
      <c r="F132">
        <v>0</v>
      </c>
      <c r="G132">
        <v>0</v>
      </c>
      <c r="H132">
        <v>173.59</v>
      </c>
      <c r="J132" t="s">
        <v>1113</v>
      </c>
    </row>
    <row r="133" spans="1:10" hidden="1" x14ac:dyDescent="0.2">
      <c r="A133" t="s">
        <v>478</v>
      </c>
      <c r="B133">
        <v>398781</v>
      </c>
      <c r="C133" s="80">
        <v>42870.665810185186</v>
      </c>
      <c r="D133" t="s">
        <v>621</v>
      </c>
      <c r="E133" t="s">
        <v>601</v>
      </c>
      <c r="F133">
        <v>121757</v>
      </c>
      <c r="G133">
        <v>12.5</v>
      </c>
      <c r="H133">
        <v>0</v>
      </c>
      <c r="J133" t="s">
        <v>1114</v>
      </c>
    </row>
    <row r="134" spans="1:10" hidden="1" x14ac:dyDescent="0.2">
      <c r="A134" t="s">
        <v>478</v>
      </c>
      <c r="B134">
        <v>398796</v>
      </c>
      <c r="C134" s="80">
        <v>42870.668124999997</v>
      </c>
      <c r="D134" t="s">
        <v>622</v>
      </c>
      <c r="E134" t="s">
        <v>602</v>
      </c>
      <c r="F134">
        <v>105154</v>
      </c>
      <c r="G134">
        <v>161.09</v>
      </c>
      <c r="H134">
        <v>0</v>
      </c>
      <c r="J134" t="s">
        <v>1115</v>
      </c>
    </row>
    <row r="135" spans="1:10" x14ac:dyDescent="0.2">
      <c r="A135" t="s">
        <v>478</v>
      </c>
      <c r="B135">
        <v>401135</v>
      </c>
      <c r="C135" s="80">
        <v>42879.606608796297</v>
      </c>
      <c r="D135" t="s">
        <v>851</v>
      </c>
      <c r="E135" t="s">
        <v>599</v>
      </c>
      <c r="F135">
        <v>23052017</v>
      </c>
      <c r="G135">
        <v>1140</v>
      </c>
      <c r="H135">
        <v>0</v>
      </c>
      <c r="J135" t="s">
        <v>1116</v>
      </c>
    </row>
    <row r="136" spans="1:10" hidden="1" x14ac:dyDescent="0.2">
      <c r="A136" t="s">
        <v>496</v>
      </c>
      <c r="B136">
        <v>396994</v>
      </c>
      <c r="C136" s="80">
        <v>42864.637870370374</v>
      </c>
      <c r="D136" t="s">
        <v>794</v>
      </c>
      <c r="F136">
        <v>0</v>
      </c>
      <c r="G136">
        <v>0</v>
      </c>
      <c r="H136">
        <v>269.86</v>
      </c>
      <c r="J136" t="s">
        <v>1113</v>
      </c>
    </row>
    <row r="137" spans="1:10" hidden="1" x14ac:dyDescent="0.2">
      <c r="A137" t="s">
        <v>496</v>
      </c>
      <c r="B137">
        <v>396994</v>
      </c>
      <c r="C137" s="80">
        <v>42864.637870370374</v>
      </c>
      <c r="D137" t="s">
        <v>658</v>
      </c>
      <c r="E137" t="s">
        <v>601</v>
      </c>
      <c r="F137">
        <v>121236</v>
      </c>
      <c r="G137">
        <v>19.43</v>
      </c>
      <c r="H137">
        <v>0</v>
      </c>
      <c r="J137" t="s">
        <v>1114</v>
      </c>
    </row>
    <row r="138" spans="1:10" hidden="1" x14ac:dyDescent="0.2">
      <c r="A138" t="s">
        <v>496</v>
      </c>
      <c r="B138">
        <v>397063</v>
      </c>
      <c r="C138" s="80">
        <v>42864.64162037037</v>
      </c>
      <c r="D138" t="s">
        <v>659</v>
      </c>
      <c r="E138" t="s">
        <v>602</v>
      </c>
      <c r="F138">
        <v>104510</v>
      </c>
      <c r="G138">
        <v>250.43</v>
      </c>
      <c r="H138">
        <v>0</v>
      </c>
      <c r="J138" t="s">
        <v>1115</v>
      </c>
    </row>
    <row r="139" spans="1:10" hidden="1" x14ac:dyDescent="0.2">
      <c r="A139" t="s">
        <v>496</v>
      </c>
      <c r="B139">
        <v>398787</v>
      </c>
      <c r="C139" s="80">
        <v>42870.665810185186</v>
      </c>
      <c r="D139" t="s">
        <v>852</v>
      </c>
      <c r="F139">
        <v>0</v>
      </c>
      <c r="G139">
        <v>0</v>
      </c>
      <c r="H139">
        <v>191.66</v>
      </c>
      <c r="J139" t="s">
        <v>1113</v>
      </c>
    </row>
    <row r="140" spans="1:10" hidden="1" x14ac:dyDescent="0.2">
      <c r="A140" t="s">
        <v>496</v>
      </c>
      <c r="B140">
        <v>398787</v>
      </c>
      <c r="C140" s="80">
        <v>42870.665810185186</v>
      </c>
      <c r="D140" t="s">
        <v>658</v>
      </c>
      <c r="E140" t="s">
        <v>601</v>
      </c>
      <c r="F140">
        <v>121762</v>
      </c>
      <c r="G140">
        <v>13.8</v>
      </c>
      <c r="H140">
        <v>0</v>
      </c>
      <c r="J140" t="s">
        <v>1114</v>
      </c>
    </row>
    <row r="141" spans="1:10" hidden="1" x14ac:dyDescent="0.2">
      <c r="A141" t="s">
        <v>496</v>
      </c>
      <c r="B141">
        <v>398796</v>
      </c>
      <c r="C141" s="80">
        <v>42870.668124999997</v>
      </c>
      <c r="D141" t="s">
        <v>659</v>
      </c>
      <c r="E141" t="s">
        <v>602</v>
      </c>
      <c r="F141">
        <v>105160</v>
      </c>
      <c r="G141">
        <v>177.86</v>
      </c>
      <c r="H141">
        <v>0</v>
      </c>
      <c r="J141" t="s">
        <v>1115</v>
      </c>
    </row>
    <row r="142" spans="1:10" hidden="1" x14ac:dyDescent="0.2">
      <c r="A142" t="s">
        <v>477</v>
      </c>
      <c r="B142">
        <v>398780</v>
      </c>
      <c r="C142" s="80">
        <v>42870.665810185186</v>
      </c>
      <c r="D142" t="s">
        <v>853</v>
      </c>
      <c r="F142">
        <v>0</v>
      </c>
      <c r="G142">
        <v>0</v>
      </c>
      <c r="H142">
        <v>388.14</v>
      </c>
      <c r="J142" t="s">
        <v>1113</v>
      </c>
    </row>
    <row r="143" spans="1:10" hidden="1" x14ac:dyDescent="0.2">
      <c r="A143" t="s">
        <v>477</v>
      </c>
      <c r="B143">
        <v>398780</v>
      </c>
      <c r="C143" s="80">
        <v>42870.665810185186</v>
      </c>
      <c r="D143" t="s">
        <v>619</v>
      </c>
      <c r="E143" t="s">
        <v>601</v>
      </c>
      <c r="F143">
        <v>121756</v>
      </c>
      <c r="G143">
        <v>27.95</v>
      </c>
      <c r="H143">
        <v>0</v>
      </c>
      <c r="J143" t="s">
        <v>1114</v>
      </c>
    </row>
    <row r="144" spans="1:10" hidden="1" x14ac:dyDescent="0.2">
      <c r="A144" t="s">
        <v>477</v>
      </c>
      <c r="B144">
        <v>398780</v>
      </c>
      <c r="C144" s="80">
        <v>42870.665810185186</v>
      </c>
      <c r="D144" t="s">
        <v>784</v>
      </c>
      <c r="F144">
        <v>0</v>
      </c>
      <c r="G144">
        <v>0</v>
      </c>
      <c r="H144">
        <v>77.98</v>
      </c>
      <c r="J144" t="s">
        <v>1113</v>
      </c>
    </row>
    <row r="145" spans="1:10" hidden="1" x14ac:dyDescent="0.2">
      <c r="A145" t="s">
        <v>477</v>
      </c>
      <c r="B145">
        <v>398780</v>
      </c>
      <c r="C145" s="80">
        <v>42870.665810185186</v>
      </c>
      <c r="D145" t="s">
        <v>619</v>
      </c>
      <c r="E145" t="s">
        <v>601</v>
      </c>
      <c r="F145">
        <v>121756</v>
      </c>
      <c r="G145">
        <v>5.62</v>
      </c>
      <c r="H145">
        <v>0</v>
      </c>
      <c r="J145" t="s">
        <v>1114</v>
      </c>
    </row>
    <row r="146" spans="1:10" hidden="1" x14ac:dyDescent="0.2">
      <c r="A146" t="s">
        <v>477</v>
      </c>
      <c r="B146">
        <v>398796</v>
      </c>
      <c r="C146" s="80">
        <v>42870.668124999997</v>
      </c>
      <c r="D146" t="s">
        <v>620</v>
      </c>
      <c r="E146" t="s">
        <v>602</v>
      </c>
      <c r="F146">
        <v>105153</v>
      </c>
      <c r="G146">
        <v>432.55</v>
      </c>
      <c r="H146">
        <v>0</v>
      </c>
      <c r="J146" t="s">
        <v>1115</v>
      </c>
    </row>
    <row r="147" spans="1:10" x14ac:dyDescent="0.2">
      <c r="A147" s="62" t="s">
        <v>477</v>
      </c>
      <c r="B147" s="62">
        <v>400905</v>
      </c>
      <c r="C147" s="147">
        <v>42878.645497685182</v>
      </c>
      <c r="D147" s="62" t="s">
        <v>854</v>
      </c>
      <c r="E147" s="62" t="s">
        <v>599</v>
      </c>
      <c r="F147" s="62">
        <v>4925</v>
      </c>
      <c r="G147" s="62">
        <v>144</v>
      </c>
      <c r="H147" s="62">
        <v>0</v>
      </c>
      <c r="J147" t="s">
        <v>1116</v>
      </c>
    </row>
    <row r="148" spans="1:10" x14ac:dyDescent="0.2">
      <c r="A148" t="s">
        <v>474</v>
      </c>
      <c r="B148">
        <v>394993</v>
      </c>
      <c r="C148" s="80">
        <v>42858.515416666669</v>
      </c>
      <c r="D148" t="s">
        <v>855</v>
      </c>
      <c r="E148" t="s">
        <v>599</v>
      </c>
      <c r="F148" t="s">
        <v>856</v>
      </c>
      <c r="G148">
        <v>60</v>
      </c>
      <c r="H148">
        <v>0</v>
      </c>
      <c r="J148" t="s">
        <v>1116</v>
      </c>
    </row>
    <row r="149" spans="1:10" hidden="1" x14ac:dyDescent="0.2">
      <c r="A149" t="s">
        <v>474</v>
      </c>
      <c r="B149">
        <v>396511</v>
      </c>
      <c r="C149" s="80">
        <v>42863.598333333335</v>
      </c>
      <c r="D149" t="s">
        <v>857</v>
      </c>
      <c r="F149">
        <v>0</v>
      </c>
      <c r="G149">
        <v>0</v>
      </c>
      <c r="H149">
        <v>368.6</v>
      </c>
      <c r="J149" t="s">
        <v>1113</v>
      </c>
    </row>
    <row r="150" spans="1:10" hidden="1" x14ac:dyDescent="0.2">
      <c r="A150" t="s">
        <v>474</v>
      </c>
      <c r="B150">
        <v>396511</v>
      </c>
      <c r="C150" s="80">
        <v>42863.598333333335</v>
      </c>
      <c r="D150" t="s">
        <v>615</v>
      </c>
      <c r="E150" t="s">
        <v>601</v>
      </c>
      <c r="F150">
        <v>121041</v>
      </c>
      <c r="G150">
        <v>26.54</v>
      </c>
      <c r="H150">
        <v>0</v>
      </c>
      <c r="J150" t="s">
        <v>1114</v>
      </c>
    </row>
    <row r="151" spans="1:10" hidden="1" x14ac:dyDescent="0.2">
      <c r="A151" t="s">
        <v>474</v>
      </c>
      <c r="B151">
        <v>396525</v>
      </c>
      <c r="C151" s="80">
        <v>42863.601435185185</v>
      </c>
      <c r="D151" t="s">
        <v>616</v>
      </c>
      <c r="E151" t="s">
        <v>602</v>
      </c>
      <c r="F151">
        <v>104315</v>
      </c>
      <c r="G151">
        <v>282.06</v>
      </c>
      <c r="H151">
        <v>0</v>
      </c>
      <c r="J151" t="s">
        <v>1115</v>
      </c>
    </row>
    <row r="152" spans="1:10" hidden="1" x14ac:dyDescent="0.2">
      <c r="A152" t="s">
        <v>474</v>
      </c>
      <c r="B152">
        <v>396963</v>
      </c>
      <c r="C152" s="80">
        <v>42864.637870370374</v>
      </c>
      <c r="D152" t="s">
        <v>857</v>
      </c>
      <c r="F152">
        <v>0</v>
      </c>
      <c r="G152">
        <v>0</v>
      </c>
      <c r="H152">
        <v>166.27</v>
      </c>
      <c r="J152" t="s">
        <v>1113</v>
      </c>
    </row>
    <row r="153" spans="1:10" hidden="1" x14ac:dyDescent="0.2">
      <c r="A153" t="s">
        <v>474</v>
      </c>
      <c r="B153">
        <v>396963</v>
      </c>
      <c r="C153" s="80">
        <v>42864.637870370374</v>
      </c>
      <c r="D153" t="s">
        <v>615</v>
      </c>
      <c r="E153" t="s">
        <v>601</v>
      </c>
      <c r="F153">
        <v>121206</v>
      </c>
      <c r="G153">
        <v>11.98</v>
      </c>
      <c r="H153">
        <v>0</v>
      </c>
      <c r="J153" t="s">
        <v>1114</v>
      </c>
    </row>
    <row r="154" spans="1:10" hidden="1" x14ac:dyDescent="0.2">
      <c r="A154" t="s">
        <v>474</v>
      </c>
      <c r="B154">
        <v>397063</v>
      </c>
      <c r="C154" s="80">
        <v>42864.64162037037</v>
      </c>
      <c r="D154" t="s">
        <v>616</v>
      </c>
      <c r="E154" t="s">
        <v>602</v>
      </c>
      <c r="F154">
        <v>104479</v>
      </c>
      <c r="G154">
        <v>154.29</v>
      </c>
      <c r="H154">
        <v>0</v>
      </c>
      <c r="J154" t="s">
        <v>1115</v>
      </c>
    </row>
    <row r="155" spans="1:10" hidden="1" x14ac:dyDescent="0.2">
      <c r="A155" t="s">
        <v>481</v>
      </c>
      <c r="B155">
        <v>398698</v>
      </c>
      <c r="C155" s="80">
        <v>42870.665810185186</v>
      </c>
      <c r="D155" t="s">
        <v>858</v>
      </c>
      <c r="F155">
        <v>0</v>
      </c>
      <c r="G155">
        <v>0</v>
      </c>
      <c r="H155">
        <v>502.24</v>
      </c>
      <c r="J155" t="s">
        <v>1113</v>
      </c>
    </row>
    <row r="156" spans="1:10" hidden="1" x14ac:dyDescent="0.2">
      <c r="A156" t="s">
        <v>481</v>
      </c>
      <c r="B156">
        <v>398698</v>
      </c>
      <c r="C156" s="80">
        <v>42870.665810185186</v>
      </c>
      <c r="D156" t="s">
        <v>629</v>
      </c>
      <c r="E156" t="s">
        <v>601</v>
      </c>
      <c r="F156">
        <v>121679</v>
      </c>
      <c r="G156">
        <v>36.159999999999997</v>
      </c>
      <c r="H156">
        <v>0</v>
      </c>
      <c r="J156" t="s">
        <v>1114</v>
      </c>
    </row>
    <row r="157" spans="1:10" hidden="1" x14ac:dyDescent="0.2">
      <c r="A157" t="s">
        <v>481</v>
      </c>
      <c r="B157">
        <v>398796</v>
      </c>
      <c r="C157" s="80">
        <v>42870.668124999997</v>
      </c>
      <c r="D157" t="s">
        <v>630</v>
      </c>
      <c r="E157" t="s">
        <v>602</v>
      </c>
      <c r="F157">
        <v>105071</v>
      </c>
      <c r="G157">
        <v>466.08</v>
      </c>
      <c r="H157">
        <v>0</v>
      </c>
      <c r="J157" t="s">
        <v>1115</v>
      </c>
    </row>
    <row r="158" spans="1:10" hidden="1" x14ac:dyDescent="0.2">
      <c r="A158" t="s">
        <v>481</v>
      </c>
      <c r="B158">
        <v>401550</v>
      </c>
      <c r="C158" s="80">
        <v>42881.540763888886</v>
      </c>
      <c r="D158" t="s">
        <v>858</v>
      </c>
      <c r="F158">
        <v>0</v>
      </c>
      <c r="G158">
        <v>0</v>
      </c>
      <c r="H158">
        <v>120</v>
      </c>
      <c r="J158" t="s">
        <v>1113</v>
      </c>
    </row>
    <row r="159" spans="1:10" hidden="1" x14ac:dyDescent="0.2">
      <c r="A159" t="s">
        <v>481</v>
      </c>
      <c r="B159">
        <v>401550</v>
      </c>
      <c r="C159" s="80">
        <v>42881.540763888886</v>
      </c>
      <c r="D159" t="s">
        <v>629</v>
      </c>
      <c r="E159" t="s">
        <v>601</v>
      </c>
      <c r="F159">
        <v>122632</v>
      </c>
      <c r="G159">
        <v>8.64</v>
      </c>
      <c r="H159">
        <v>0</v>
      </c>
      <c r="J159" t="s">
        <v>1114</v>
      </c>
    </row>
    <row r="160" spans="1:10" hidden="1" x14ac:dyDescent="0.2">
      <c r="A160" t="s">
        <v>481</v>
      </c>
      <c r="B160">
        <v>401589</v>
      </c>
      <c r="C160" s="80">
        <v>42881.544317129628</v>
      </c>
      <c r="D160" t="s">
        <v>630</v>
      </c>
      <c r="E160" t="s">
        <v>602</v>
      </c>
      <c r="F160">
        <v>105808</v>
      </c>
      <c r="G160">
        <v>111.36</v>
      </c>
      <c r="H160">
        <v>0</v>
      </c>
      <c r="J160" t="s">
        <v>1115</v>
      </c>
    </row>
    <row r="161" spans="1:10" x14ac:dyDescent="0.2">
      <c r="A161" t="s">
        <v>483</v>
      </c>
      <c r="B161">
        <v>395607</v>
      </c>
      <c r="C161" s="80">
        <v>42859.560173611113</v>
      </c>
      <c r="D161" t="s">
        <v>859</v>
      </c>
      <c r="E161" t="s">
        <v>599</v>
      </c>
      <c r="F161">
        <v>2052017</v>
      </c>
      <c r="G161">
        <v>150</v>
      </c>
      <c r="H161">
        <v>0</v>
      </c>
      <c r="J161" t="s">
        <v>1116</v>
      </c>
    </row>
    <row r="162" spans="1:10" hidden="1" x14ac:dyDescent="0.2">
      <c r="A162" t="s">
        <v>483</v>
      </c>
      <c r="B162">
        <v>398712</v>
      </c>
      <c r="C162" s="80">
        <v>42870.665810185186</v>
      </c>
      <c r="D162" t="s">
        <v>860</v>
      </c>
      <c r="F162">
        <v>0</v>
      </c>
      <c r="G162">
        <v>0</v>
      </c>
      <c r="H162">
        <v>660</v>
      </c>
      <c r="J162" t="s">
        <v>1113</v>
      </c>
    </row>
    <row r="163" spans="1:10" hidden="1" x14ac:dyDescent="0.2">
      <c r="A163" t="s">
        <v>483</v>
      </c>
      <c r="B163">
        <v>398712</v>
      </c>
      <c r="C163" s="80">
        <v>42870.665810185186</v>
      </c>
      <c r="D163" t="s">
        <v>633</v>
      </c>
      <c r="E163" t="s">
        <v>601</v>
      </c>
      <c r="F163">
        <v>121693</v>
      </c>
      <c r="G163">
        <v>47.52</v>
      </c>
      <c r="H163">
        <v>0</v>
      </c>
      <c r="J163" t="s">
        <v>1114</v>
      </c>
    </row>
    <row r="164" spans="1:10" hidden="1" x14ac:dyDescent="0.2">
      <c r="A164" t="s">
        <v>483</v>
      </c>
      <c r="B164">
        <v>398796</v>
      </c>
      <c r="C164" s="80">
        <v>42870.668124999997</v>
      </c>
      <c r="D164" t="s">
        <v>634</v>
      </c>
      <c r="E164" t="s">
        <v>602</v>
      </c>
      <c r="F164">
        <v>105085</v>
      </c>
      <c r="G164">
        <v>462.48</v>
      </c>
      <c r="H164">
        <v>0</v>
      </c>
      <c r="J164" t="s">
        <v>1115</v>
      </c>
    </row>
    <row r="165" spans="1:10" hidden="1" x14ac:dyDescent="0.2">
      <c r="A165" t="s">
        <v>486</v>
      </c>
      <c r="B165">
        <v>396996</v>
      </c>
      <c r="C165" s="80">
        <v>42864.637870370374</v>
      </c>
      <c r="D165" t="s">
        <v>861</v>
      </c>
      <c r="F165">
        <v>0</v>
      </c>
      <c r="G165">
        <v>0</v>
      </c>
      <c r="H165">
        <v>505</v>
      </c>
      <c r="J165" t="s">
        <v>1113</v>
      </c>
    </row>
    <row r="166" spans="1:10" hidden="1" x14ac:dyDescent="0.2">
      <c r="A166" t="s">
        <v>486</v>
      </c>
      <c r="B166">
        <v>396996</v>
      </c>
      <c r="C166" s="80">
        <v>42864.637870370374</v>
      </c>
      <c r="D166" t="s">
        <v>639</v>
      </c>
      <c r="E166" t="s">
        <v>601</v>
      </c>
      <c r="F166">
        <v>121238</v>
      </c>
      <c r="G166">
        <v>36.36</v>
      </c>
      <c r="H166">
        <v>0</v>
      </c>
      <c r="J166" t="s">
        <v>1114</v>
      </c>
    </row>
    <row r="167" spans="1:10" hidden="1" x14ac:dyDescent="0.2">
      <c r="A167" t="s">
        <v>486</v>
      </c>
      <c r="B167">
        <v>397063</v>
      </c>
      <c r="C167" s="80">
        <v>42864.64162037037</v>
      </c>
      <c r="D167" t="s">
        <v>640</v>
      </c>
      <c r="E167" t="s">
        <v>602</v>
      </c>
      <c r="F167">
        <v>104512</v>
      </c>
      <c r="G167">
        <v>468.64</v>
      </c>
      <c r="H167">
        <v>0</v>
      </c>
      <c r="J167" t="s">
        <v>1115</v>
      </c>
    </row>
    <row r="168" spans="1:10" hidden="1" x14ac:dyDescent="0.2">
      <c r="A168" t="s">
        <v>487</v>
      </c>
      <c r="B168">
        <v>397344</v>
      </c>
      <c r="C168" s="80">
        <v>42865.672060185185</v>
      </c>
      <c r="D168" t="s">
        <v>862</v>
      </c>
      <c r="F168">
        <v>0</v>
      </c>
      <c r="G168">
        <v>0</v>
      </c>
      <c r="H168">
        <v>505</v>
      </c>
      <c r="J168" t="s">
        <v>1113</v>
      </c>
    </row>
    <row r="169" spans="1:10" hidden="1" x14ac:dyDescent="0.2">
      <c r="A169" t="s">
        <v>487</v>
      </c>
      <c r="B169">
        <v>397344</v>
      </c>
      <c r="C169" s="80">
        <v>42865.672060185185</v>
      </c>
      <c r="D169" t="s">
        <v>641</v>
      </c>
      <c r="E169" t="s">
        <v>601</v>
      </c>
      <c r="F169">
        <v>121380</v>
      </c>
      <c r="G169">
        <v>36.36</v>
      </c>
      <c r="H169">
        <v>0</v>
      </c>
      <c r="J169" t="s">
        <v>1114</v>
      </c>
    </row>
    <row r="170" spans="1:10" hidden="1" x14ac:dyDescent="0.2">
      <c r="A170" t="s">
        <v>487</v>
      </c>
      <c r="B170">
        <v>397349</v>
      </c>
      <c r="C170" s="80">
        <v>42865.673206018517</v>
      </c>
      <c r="D170" t="s">
        <v>642</v>
      </c>
      <c r="E170" t="s">
        <v>602</v>
      </c>
      <c r="F170">
        <v>104635</v>
      </c>
      <c r="G170">
        <v>468.64</v>
      </c>
      <c r="H170">
        <v>0</v>
      </c>
      <c r="J170" t="s">
        <v>1115</v>
      </c>
    </row>
    <row r="171" spans="1:10" hidden="1" x14ac:dyDescent="0.2">
      <c r="A171" t="s">
        <v>487</v>
      </c>
      <c r="B171">
        <v>402063</v>
      </c>
      <c r="C171" s="80">
        <v>42885.640115740738</v>
      </c>
      <c r="D171" t="s">
        <v>863</v>
      </c>
      <c r="F171">
        <v>0</v>
      </c>
      <c r="G171">
        <v>0</v>
      </c>
      <c r="H171">
        <v>155.19</v>
      </c>
      <c r="J171" t="s">
        <v>1113</v>
      </c>
    </row>
    <row r="172" spans="1:10" hidden="1" x14ac:dyDescent="0.2">
      <c r="A172" t="s">
        <v>487</v>
      </c>
      <c r="B172">
        <v>402063</v>
      </c>
      <c r="C172" s="80">
        <v>42885.640115740738</v>
      </c>
      <c r="D172" t="s">
        <v>641</v>
      </c>
      <c r="E172" t="s">
        <v>601</v>
      </c>
      <c r="F172">
        <v>122856</v>
      </c>
      <c r="G172">
        <v>11.17</v>
      </c>
      <c r="H172">
        <v>0</v>
      </c>
      <c r="J172" t="s">
        <v>1114</v>
      </c>
    </row>
    <row r="173" spans="1:10" hidden="1" x14ac:dyDescent="0.2">
      <c r="A173" t="s">
        <v>487</v>
      </c>
      <c r="B173">
        <v>402077</v>
      </c>
      <c r="C173" s="80">
        <v>42885.643275462964</v>
      </c>
      <c r="D173" t="s">
        <v>642</v>
      </c>
      <c r="E173" t="s">
        <v>602</v>
      </c>
      <c r="F173">
        <v>105982</v>
      </c>
      <c r="G173">
        <v>144.02000000000001</v>
      </c>
      <c r="H173">
        <v>0</v>
      </c>
      <c r="J173" t="s">
        <v>1115</v>
      </c>
    </row>
    <row r="174" spans="1:10" hidden="1" x14ac:dyDescent="0.2">
      <c r="A174" t="s">
        <v>492</v>
      </c>
      <c r="B174">
        <v>394361</v>
      </c>
      <c r="C174" s="80">
        <v>42856.570370370369</v>
      </c>
      <c r="D174" t="s">
        <v>864</v>
      </c>
      <c r="F174">
        <v>0</v>
      </c>
      <c r="G174">
        <v>0</v>
      </c>
      <c r="H174">
        <v>520</v>
      </c>
      <c r="J174" t="s">
        <v>1113</v>
      </c>
    </row>
    <row r="175" spans="1:10" hidden="1" x14ac:dyDescent="0.2">
      <c r="A175" t="s">
        <v>492</v>
      </c>
      <c r="B175">
        <v>394361</v>
      </c>
      <c r="C175" s="80">
        <v>42856.570370370369</v>
      </c>
      <c r="D175" t="s">
        <v>865</v>
      </c>
      <c r="E175" t="s">
        <v>601</v>
      </c>
      <c r="F175">
        <v>120321</v>
      </c>
      <c r="G175">
        <v>37.44</v>
      </c>
      <c r="H175">
        <v>0</v>
      </c>
      <c r="J175" t="s">
        <v>1114</v>
      </c>
    </row>
    <row r="176" spans="1:10" hidden="1" x14ac:dyDescent="0.2">
      <c r="A176" t="s">
        <v>492</v>
      </c>
      <c r="B176">
        <v>394378</v>
      </c>
      <c r="C176" s="80">
        <v>42856.575798611113</v>
      </c>
      <c r="D176" t="s">
        <v>866</v>
      </c>
      <c r="E176" t="s">
        <v>602</v>
      </c>
      <c r="F176">
        <v>103712</v>
      </c>
      <c r="G176">
        <v>482.56</v>
      </c>
      <c r="H176">
        <v>0</v>
      </c>
      <c r="J176" t="s">
        <v>1115</v>
      </c>
    </row>
    <row r="177" spans="1:10" x14ac:dyDescent="0.2">
      <c r="A177" t="s">
        <v>492</v>
      </c>
      <c r="B177">
        <v>396580</v>
      </c>
      <c r="C177" s="80">
        <v>42864.389178240737</v>
      </c>
      <c r="D177" t="s">
        <v>867</v>
      </c>
      <c r="E177" t="s">
        <v>599</v>
      </c>
      <c r="F177">
        <v>3052017</v>
      </c>
      <c r="G177">
        <v>144</v>
      </c>
      <c r="H177">
        <v>0</v>
      </c>
      <c r="J177" t="s">
        <v>1116</v>
      </c>
    </row>
    <row r="178" spans="1:10" hidden="1" x14ac:dyDescent="0.2">
      <c r="A178" t="s">
        <v>492</v>
      </c>
      <c r="B178">
        <v>402061</v>
      </c>
      <c r="C178" s="80">
        <v>42885.640115740738</v>
      </c>
      <c r="D178" t="s">
        <v>868</v>
      </c>
      <c r="F178">
        <v>0</v>
      </c>
      <c r="G178">
        <v>0</v>
      </c>
      <c r="H178">
        <v>384.6</v>
      </c>
      <c r="J178" t="s">
        <v>1113</v>
      </c>
    </row>
    <row r="179" spans="1:10" hidden="1" x14ac:dyDescent="0.2">
      <c r="A179" t="s">
        <v>492</v>
      </c>
      <c r="B179">
        <v>402061</v>
      </c>
      <c r="C179" s="80">
        <v>42885.640115740738</v>
      </c>
      <c r="D179" t="s">
        <v>865</v>
      </c>
      <c r="E179" t="s">
        <v>601</v>
      </c>
      <c r="F179">
        <v>122854</v>
      </c>
      <c r="G179">
        <v>27.7</v>
      </c>
      <c r="H179">
        <v>0</v>
      </c>
      <c r="J179" t="s">
        <v>1114</v>
      </c>
    </row>
    <row r="180" spans="1:10" hidden="1" x14ac:dyDescent="0.2">
      <c r="A180" t="s">
        <v>492</v>
      </c>
      <c r="B180">
        <v>402077</v>
      </c>
      <c r="C180" s="80">
        <v>42885.643275462964</v>
      </c>
      <c r="D180" t="s">
        <v>866</v>
      </c>
      <c r="E180" t="s">
        <v>602</v>
      </c>
      <c r="F180">
        <v>105980</v>
      </c>
      <c r="G180">
        <v>212.9</v>
      </c>
      <c r="H180">
        <v>0</v>
      </c>
      <c r="J180" t="s">
        <v>1115</v>
      </c>
    </row>
    <row r="181" spans="1:10" hidden="1" x14ac:dyDescent="0.2">
      <c r="A181" t="s">
        <v>492</v>
      </c>
      <c r="B181">
        <v>402830</v>
      </c>
      <c r="C181" s="80">
        <v>42886.621481481481</v>
      </c>
      <c r="D181" t="s">
        <v>868</v>
      </c>
      <c r="F181">
        <v>0</v>
      </c>
      <c r="G181">
        <v>0</v>
      </c>
      <c r="H181">
        <v>135.4</v>
      </c>
      <c r="J181" t="s">
        <v>1113</v>
      </c>
    </row>
    <row r="182" spans="1:10" hidden="1" x14ac:dyDescent="0.2">
      <c r="A182" t="s">
        <v>492</v>
      </c>
      <c r="B182">
        <v>402830</v>
      </c>
      <c r="C182" s="80">
        <v>42886.621481481481</v>
      </c>
      <c r="D182" t="s">
        <v>865</v>
      </c>
      <c r="E182" t="s">
        <v>601</v>
      </c>
      <c r="F182">
        <v>123112</v>
      </c>
      <c r="G182">
        <v>9.74</v>
      </c>
      <c r="H182">
        <v>0</v>
      </c>
      <c r="J182" t="s">
        <v>1114</v>
      </c>
    </row>
    <row r="183" spans="1:10" hidden="1" x14ac:dyDescent="0.2">
      <c r="A183" t="s">
        <v>492</v>
      </c>
      <c r="B183">
        <v>402851</v>
      </c>
      <c r="C183" s="80">
        <v>42886.624131944445</v>
      </c>
      <c r="D183" t="s">
        <v>866</v>
      </c>
      <c r="E183" t="s">
        <v>602</v>
      </c>
      <c r="F183">
        <v>106211</v>
      </c>
      <c r="G183">
        <v>125.66</v>
      </c>
      <c r="H183">
        <v>0</v>
      </c>
      <c r="J183" t="s">
        <v>1115</v>
      </c>
    </row>
    <row r="184" spans="1:10" hidden="1" x14ac:dyDescent="0.2">
      <c r="A184" t="s">
        <v>493</v>
      </c>
      <c r="B184">
        <v>396981</v>
      </c>
      <c r="C184" s="80">
        <v>42864.637870370374</v>
      </c>
      <c r="D184" t="s">
        <v>869</v>
      </c>
      <c r="F184">
        <v>0</v>
      </c>
      <c r="G184">
        <v>0</v>
      </c>
      <c r="H184">
        <v>295.02999999999997</v>
      </c>
      <c r="J184" t="s">
        <v>1113</v>
      </c>
    </row>
    <row r="185" spans="1:10" hidden="1" x14ac:dyDescent="0.2">
      <c r="A185" t="s">
        <v>493</v>
      </c>
      <c r="B185">
        <v>396981</v>
      </c>
      <c r="C185" s="80">
        <v>42864.637870370374</v>
      </c>
      <c r="D185" t="s">
        <v>651</v>
      </c>
      <c r="E185" t="s">
        <v>601</v>
      </c>
      <c r="F185">
        <v>121223</v>
      </c>
      <c r="G185">
        <v>21.24</v>
      </c>
      <c r="H185">
        <v>0</v>
      </c>
      <c r="J185" t="s">
        <v>1114</v>
      </c>
    </row>
    <row r="186" spans="1:10" hidden="1" x14ac:dyDescent="0.2">
      <c r="A186" t="s">
        <v>493</v>
      </c>
      <c r="B186">
        <v>396981</v>
      </c>
      <c r="C186" s="80">
        <v>42864.637870370374</v>
      </c>
      <c r="D186" t="s">
        <v>653</v>
      </c>
      <c r="F186">
        <v>0</v>
      </c>
      <c r="G186">
        <v>0</v>
      </c>
      <c r="H186">
        <v>77.05</v>
      </c>
      <c r="J186" t="s">
        <v>1113</v>
      </c>
    </row>
    <row r="187" spans="1:10" hidden="1" x14ac:dyDescent="0.2">
      <c r="A187" t="s">
        <v>493</v>
      </c>
      <c r="B187">
        <v>396981</v>
      </c>
      <c r="C187" s="80">
        <v>42864.637870370374</v>
      </c>
      <c r="D187" t="s">
        <v>651</v>
      </c>
      <c r="E187" t="s">
        <v>601</v>
      </c>
      <c r="F187">
        <v>121223</v>
      </c>
      <c r="G187">
        <v>5.54</v>
      </c>
      <c r="H187">
        <v>0</v>
      </c>
      <c r="J187" t="s">
        <v>1114</v>
      </c>
    </row>
    <row r="188" spans="1:10" hidden="1" x14ac:dyDescent="0.2">
      <c r="A188" t="s">
        <v>493</v>
      </c>
      <c r="B188">
        <v>397063</v>
      </c>
      <c r="C188" s="80">
        <v>42864.64162037037</v>
      </c>
      <c r="D188" t="s">
        <v>652</v>
      </c>
      <c r="E188" t="s">
        <v>602</v>
      </c>
      <c r="F188">
        <v>104497</v>
      </c>
      <c r="G188">
        <v>345.3</v>
      </c>
      <c r="H188">
        <v>0</v>
      </c>
      <c r="J188" t="s">
        <v>1115</v>
      </c>
    </row>
    <row r="189" spans="1:10" hidden="1" x14ac:dyDescent="0.2">
      <c r="A189" t="s">
        <v>494</v>
      </c>
      <c r="B189">
        <v>394362</v>
      </c>
      <c r="C189" s="80">
        <v>42856.570370370369</v>
      </c>
      <c r="D189" t="s">
        <v>870</v>
      </c>
      <c r="F189">
        <v>0</v>
      </c>
      <c r="G189">
        <v>0</v>
      </c>
      <c r="H189">
        <v>16.600000000000001</v>
      </c>
      <c r="J189" t="s">
        <v>1113</v>
      </c>
    </row>
    <row r="190" spans="1:10" hidden="1" x14ac:dyDescent="0.2">
      <c r="A190" t="s">
        <v>494</v>
      </c>
      <c r="B190">
        <v>394362</v>
      </c>
      <c r="C190" s="80">
        <v>42856.570370370369</v>
      </c>
      <c r="D190" t="s">
        <v>654</v>
      </c>
      <c r="E190" t="s">
        <v>601</v>
      </c>
      <c r="F190">
        <v>120322</v>
      </c>
      <c r="G190">
        <v>1.2</v>
      </c>
      <c r="H190">
        <v>0</v>
      </c>
      <c r="J190" t="s">
        <v>1114</v>
      </c>
    </row>
    <row r="191" spans="1:10" hidden="1" x14ac:dyDescent="0.2">
      <c r="A191" t="s">
        <v>494</v>
      </c>
      <c r="B191">
        <v>394378</v>
      </c>
      <c r="C191" s="80">
        <v>42856.575798611113</v>
      </c>
      <c r="D191" t="s">
        <v>655</v>
      </c>
      <c r="E191" t="s">
        <v>602</v>
      </c>
      <c r="F191">
        <v>103713</v>
      </c>
      <c r="G191">
        <v>15.4</v>
      </c>
      <c r="H191">
        <v>0</v>
      </c>
      <c r="J191" t="s">
        <v>1115</v>
      </c>
    </row>
    <row r="192" spans="1:10" hidden="1" x14ac:dyDescent="0.2">
      <c r="A192" t="s">
        <v>494</v>
      </c>
      <c r="B192">
        <v>396982</v>
      </c>
      <c r="C192" s="80">
        <v>42864.637870370374</v>
      </c>
      <c r="D192" t="s">
        <v>871</v>
      </c>
      <c r="F192">
        <v>0</v>
      </c>
      <c r="G192">
        <v>0</v>
      </c>
      <c r="H192">
        <v>499.13</v>
      </c>
      <c r="J192" t="s">
        <v>1113</v>
      </c>
    </row>
    <row r="193" spans="1:10" hidden="1" x14ac:dyDescent="0.2">
      <c r="A193" t="s">
        <v>494</v>
      </c>
      <c r="B193">
        <v>396982</v>
      </c>
      <c r="C193" s="80">
        <v>42864.637870370374</v>
      </c>
      <c r="D193" t="s">
        <v>654</v>
      </c>
      <c r="E193" t="s">
        <v>601</v>
      </c>
      <c r="F193">
        <v>121224</v>
      </c>
      <c r="G193">
        <v>35.94</v>
      </c>
      <c r="H193">
        <v>0</v>
      </c>
      <c r="J193" t="s">
        <v>1114</v>
      </c>
    </row>
    <row r="194" spans="1:10" hidden="1" x14ac:dyDescent="0.2">
      <c r="A194" t="s">
        <v>494</v>
      </c>
      <c r="B194">
        <v>397063</v>
      </c>
      <c r="C194" s="80">
        <v>42864.64162037037</v>
      </c>
      <c r="D194" t="s">
        <v>655</v>
      </c>
      <c r="E194" t="s">
        <v>602</v>
      </c>
      <c r="F194">
        <v>104498</v>
      </c>
      <c r="G194">
        <v>463.19</v>
      </c>
      <c r="H194">
        <v>0</v>
      </c>
      <c r="J194" t="s">
        <v>1115</v>
      </c>
    </row>
    <row r="195" spans="1:10" x14ac:dyDescent="0.2">
      <c r="A195" t="s">
        <v>494</v>
      </c>
      <c r="B195">
        <v>397741</v>
      </c>
      <c r="C195" s="80">
        <v>42867.447754629633</v>
      </c>
      <c r="D195" t="s">
        <v>872</v>
      </c>
      <c r="E195" t="s">
        <v>599</v>
      </c>
      <c r="F195">
        <v>25407</v>
      </c>
      <c r="G195">
        <v>110</v>
      </c>
      <c r="H195">
        <v>0</v>
      </c>
      <c r="J195" t="s">
        <v>1116</v>
      </c>
    </row>
    <row r="196" spans="1:10" x14ac:dyDescent="0.2">
      <c r="A196" t="s">
        <v>494</v>
      </c>
      <c r="B196">
        <v>397746</v>
      </c>
      <c r="C196" s="80">
        <v>42867.449317129627</v>
      </c>
      <c r="D196" t="s">
        <v>873</v>
      </c>
      <c r="E196" t="s">
        <v>599</v>
      </c>
      <c r="F196">
        <v>13</v>
      </c>
      <c r="G196">
        <v>50</v>
      </c>
      <c r="H196">
        <v>0</v>
      </c>
      <c r="J196" t="s">
        <v>1116</v>
      </c>
    </row>
    <row r="197" spans="1:10" x14ac:dyDescent="0.2">
      <c r="A197" t="s">
        <v>494</v>
      </c>
      <c r="B197">
        <v>402582</v>
      </c>
      <c r="C197" s="80">
        <v>42886.576539351852</v>
      </c>
      <c r="D197" t="s">
        <v>874</v>
      </c>
      <c r="E197" t="s">
        <v>599</v>
      </c>
      <c r="F197">
        <v>0</v>
      </c>
      <c r="G197">
        <v>287.05</v>
      </c>
      <c r="H197">
        <v>0</v>
      </c>
      <c r="J197" t="s">
        <v>1116</v>
      </c>
    </row>
    <row r="198" spans="1:10" hidden="1" x14ac:dyDescent="0.2">
      <c r="A198" t="s">
        <v>495</v>
      </c>
      <c r="B198">
        <v>396990</v>
      </c>
      <c r="C198" s="80">
        <v>42864.637870370374</v>
      </c>
      <c r="D198" t="s">
        <v>793</v>
      </c>
      <c r="F198">
        <v>0</v>
      </c>
      <c r="G198">
        <v>0</v>
      </c>
      <c r="H198">
        <v>263.44</v>
      </c>
      <c r="J198" t="s">
        <v>1113</v>
      </c>
    </row>
    <row r="199" spans="1:10" hidden="1" x14ac:dyDescent="0.2">
      <c r="A199" t="s">
        <v>495</v>
      </c>
      <c r="B199">
        <v>396990</v>
      </c>
      <c r="C199" s="80">
        <v>42864.637870370374</v>
      </c>
      <c r="D199" t="s">
        <v>656</v>
      </c>
      <c r="E199" t="s">
        <v>601</v>
      </c>
      <c r="F199">
        <v>121232</v>
      </c>
      <c r="G199">
        <v>18.97</v>
      </c>
      <c r="H199">
        <v>0</v>
      </c>
      <c r="J199" t="s">
        <v>1114</v>
      </c>
    </row>
    <row r="200" spans="1:10" hidden="1" x14ac:dyDescent="0.2">
      <c r="A200" t="s">
        <v>495</v>
      </c>
      <c r="B200">
        <v>397063</v>
      </c>
      <c r="C200" s="80">
        <v>42864.64162037037</v>
      </c>
      <c r="D200" t="s">
        <v>657</v>
      </c>
      <c r="E200" t="s">
        <v>602</v>
      </c>
      <c r="F200">
        <v>104506</v>
      </c>
      <c r="G200">
        <v>244.47</v>
      </c>
      <c r="H200">
        <v>0</v>
      </c>
      <c r="J200" t="s">
        <v>1115</v>
      </c>
    </row>
    <row r="201" spans="1:10" hidden="1" x14ac:dyDescent="0.2">
      <c r="A201" t="s">
        <v>495</v>
      </c>
      <c r="B201">
        <v>401191</v>
      </c>
      <c r="C201" s="80">
        <v>42879.615219907406</v>
      </c>
      <c r="D201" t="s">
        <v>875</v>
      </c>
      <c r="F201">
        <v>0</v>
      </c>
      <c r="G201">
        <v>0</v>
      </c>
      <c r="H201">
        <v>188.88</v>
      </c>
      <c r="J201" t="s">
        <v>1113</v>
      </c>
    </row>
    <row r="202" spans="1:10" hidden="1" x14ac:dyDescent="0.2">
      <c r="A202" t="s">
        <v>495</v>
      </c>
      <c r="B202">
        <v>401191</v>
      </c>
      <c r="C202" s="80">
        <v>42879.615219907406</v>
      </c>
      <c r="D202" t="s">
        <v>656</v>
      </c>
      <c r="E202" t="s">
        <v>601</v>
      </c>
      <c r="F202">
        <v>122530</v>
      </c>
      <c r="G202">
        <v>13.6</v>
      </c>
      <c r="H202">
        <v>0</v>
      </c>
      <c r="J202" t="s">
        <v>1114</v>
      </c>
    </row>
    <row r="203" spans="1:10" hidden="1" x14ac:dyDescent="0.2">
      <c r="A203" t="s">
        <v>495</v>
      </c>
      <c r="B203">
        <v>401207</v>
      </c>
      <c r="C203" s="80">
        <v>42879.633518518516</v>
      </c>
      <c r="D203" t="s">
        <v>657</v>
      </c>
      <c r="E203" t="s">
        <v>602</v>
      </c>
      <c r="F203">
        <v>105740</v>
      </c>
      <c r="G203">
        <v>175.28</v>
      </c>
      <c r="H203">
        <v>0</v>
      </c>
      <c r="J203" t="s">
        <v>1115</v>
      </c>
    </row>
    <row r="204" spans="1:10" hidden="1" x14ac:dyDescent="0.2">
      <c r="A204" t="s">
        <v>498</v>
      </c>
      <c r="B204">
        <v>396967</v>
      </c>
      <c r="C204" s="80">
        <v>42864.637870370374</v>
      </c>
      <c r="D204" t="s">
        <v>796</v>
      </c>
      <c r="F204">
        <v>0</v>
      </c>
      <c r="G204">
        <v>0</v>
      </c>
      <c r="H204">
        <v>231.36</v>
      </c>
      <c r="J204" t="s">
        <v>1113</v>
      </c>
    </row>
    <row r="205" spans="1:10" hidden="1" x14ac:dyDescent="0.2">
      <c r="A205" t="s">
        <v>498</v>
      </c>
      <c r="B205">
        <v>396967</v>
      </c>
      <c r="C205" s="80">
        <v>42864.637870370374</v>
      </c>
      <c r="D205" t="s">
        <v>662</v>
      </c>
      <c r="E205" t="s">
        <v>601</v>
      </c>
      <c r="F205">
        <v>121210</v>
      </c>
      <c r="G205">
        <v>16.66</v>
      </c>
      <c r="H205">
        <v>0</v>
      </c>
      <c r="J205" t="s">
        <v>1114</v>
      </c>
    </row>
    <row r="206" spans="1:10" hidden="1" x14ac:dyDescent="0.2">
      <c r="A206" t="s">
        <v>498</v>
      </c>
      <c r="B206">
        <v>397063</v>
      </c>
      <c r="C206" s="80">
        <v>42864.64162037037</v>
      </c>
      <c r="D206" t="s">
        <v>663</v>
      </c>
      <c r="E206" t="s">
        <v>602</v>
      </c>
      <c r="F206">
        <v>104483</v>
      </c>
      <c r="G206">
        <v>214.7</v>
      </c>
      <c r="H206">
        <v>0</v>
      </c>
      <c r="J206" t="s">
        <v>1115</v>
      </c>
    </row>
    <row r="207" spans="1:10" x14ac:dyDescent="0.2">
      <c r="A207" t="s">
        <v>498</v>
      </c>
      <c r="B207">
        <v>399541</v>
      </c>
      <c r="C207" s="80">
        <v>42872.4371875</v>
      </c>
      <c r="D207" t="s">
        <v>876</v>
      </c>
      <c r="E207" t="s">
        <v>599</v>
      </c>
      <c r="F207" t="s">
        <v>877</v>
      </c>
      <c r="G207">
        <v>60</v>
      </c>
      <c r="H207">
        <v>0</v>
      </c>
      <c r="J207" t="s">
        <v>1116</v>
      </c>
    </row>
    <row r="208" spans="1:10" hidden="1" x14ac:dyDescent="0.2">
      <c r="A208" t="s">
        <v>498</v>
      </c>
      <c r="B208">
        <v>400133</v>
      </c>
      <c r="C208" s="80">
        <v>42874.50540509259</v>
      </c>
      <c r="D208" t="s">
        <v>878</v>
      </c>
      <c r="F208">
        <v>0</v>
      </c>
      <c r="G208">
        <v>0</v>
      </c>
      <c r="H208">
        <v>230.16</v>
      </c>
      <c r="J208" t="s">
        <v>1113</v>
      </c>
    </row>
    <row r="209" spans="1:10" hidden="1" x14ac:dyDescent="0.2">
      <c r="A209" t="s">
        <v>498</v>
      </c>
      <c r="B209">
        <v>400133</v>
      </c>
      <c r="C209" s="80">
        <v>42874.50540509259</v>
      </c>
      <c r="D209" t="s">
        <v>662</v>
      </c>
      <c r="E209" t="s">
        <v>601</v>
      </c>
      <c r="F209">
        <v>122154</v>
      </c>
      <c r="G209">
        <v>16.57</v>
      </c>
      <c r="H209">
        <v>0</v>
      </c>
      <c r="J209" t="s">
        <v>1114</v>
      </c>
    </row>
    <row r="210" spans="1:10" hidden="1" x14ac:dyDescent="0.2">
      <c r="A210" t="s">
        <v>498</v>
      </c>
      <c r="B210">
        <v>400143</v>
      </c>
      <c r="C210" s="80">
        <v>42874.51730324074</v>
      </c>
      <c r="D210" t="s">
        <v>663</v>
      </c>
      <c r="E210" t="s">
        <v>602</v>
      </c>
      <c r="F210">
        <v>105491</v>
      </c>
      <c r="G210">
        <v>153.59</v>
      </c>
      <c r="H210">
        <v>0</v>
      </c>
      <c r="J210" t="s">
        <v>1115</v>
      </c>
    </row>
    <row r="211" spans="1:10" x14ac:dyDescent="0.2">
      <c r="A211" t="s">
        <v>498</v>
      </c>
      <c r="B211">
        <v>401619</v>
      </c>
      <c r="C211" s="80">
        <v>42881.681898148148</v>
      </c>
      <c r="D211" t="s">
        <v>879</v>
      </c>
      <c r="E211" t="s">
        <v>599</v>
      </c>
      <c r="F211">
        <v>646</v>
      </c>
      <c r="G211">
        <v>90</v>
      </c>
      <c r="H211">
        <v>0</v>
      </c>
      <c r="J211" t="s">
        <v>1116</v>
      </c>
    </row>
    <row r="212" spans="1:10" hidden="1" x14ac:dyDescent="0.2">
      <c r="A212" t="s">
        <v>500</v>
      </c>
      <c r="B212">
        <v>396972</v>
      </c>
      <c r="C212" s="80">
        <v>42864.637870370374</v>
      </c>
      <c r="D212" t="s">
        <v>797</v>
      </c>
      <c r="F212">
        <v>0</v>
      </c>
      <c r="G212">
        <v>0</v>
      </c>
      <c r="H212">
        <v>38.96</v>
      </c>
      <c r="J212" t="s">
        <v>1113</v>
      </c>
    </row>
    <row r="213" spans="1:10" hidden="1" x14ac:dyDescent="0.2">
      <c r="A213" t="s">
        <v>500</v>
      </c>
      <c r="B213">
        <v>396972</v>
      </c>
      <c r="C213" s="80">
        <v>42864.637870370374</v>
      </c>
      <c r="D213" t="s">
        <v>666</v>
      </c>
      <c r="E213" t="s">
        <v>601</v>
      </c>
      <c r="F213">
        <v>121214</v>
      </c>
      <c r="G213">
        <v>2.81</v>
      </c>
      <c r="H213">
        <v>0</v>
      </c>
      <c r="J213" t="s">
        <v>1114</v>
      </c>
    </row>
    <row r="214" spans="1:10" hidden="1" x14ac:dyDescent="0.2">
      <c r="A214" t="s">
        <v>500</v>
      </c>
      <c r="B214">
        <v>396972</v>
      </c>
      <c r="C214" s="80">
        <v>42864.637870370374</v>
      </c>
      <c r="D214" t="s">
        <v>880</v>
      </c>
      <c r="F214">
        <v>0</v>
      </c>
      <c r="G214">
        <v>0</v>
      </c>
      <c r="H214">
        <v>422.56</v>
      </c>
      <c r="J214" t="s">
        <v>1113</v>
      </c>
    </row>
    <row r="215" spans="1:10" hidden="1" x14ac:dyDescent="0.2">
      <c r="A215" t="s">
        <v>500</v>
      </c>
      <c r="B215">
        <v>396972</v>
      </c>
      <c r="C215" s="80">
        <v>42864.637870370374</v>
      </c>
      <c r="D215" t="s">
        <v>666</v>
      </c>
      <c r="E215" t="s">
        <v>601</v>
      </c>
      <c r="F215">
        <v>121214</v>
      </c>
      <c r="G215">
        <v>30.42</v>
      </c>
      <c r="H215">
        <v>0</v>
      </c>
      <c r="J215" t="s">
        <v>1114</v>
      </c>
    </row>
    <row r="216" spans="1:10" hidden="1" x14ac:dyDescent="0.2">
      <c r="A216" t="s">
        <v>500</v>
      </c>
      <c r="B216">
        <v>397063</v>
      </c>
      <c r="C216" s="80">
        <v>42864.64162037037</v>
      </c>
      <c r="D216" t="s">
        <v>667</v>
      </c>
      <c r="E216" t="s">
        <v>602</v>
      </c>
      <c r="F216">
        <v>104488</v>
      </c>
      <c r="G216">
        <v>428.29</v>
      </c>
      <c r="H216">
        <v>0</v>
      </c>
      <c r="J216" t="s">
        <v>1115</v>
      </c>
    </row>
    <row r="217" spans="1:10" hidden="1" x14ac:dyDescent="0.2">
      <c r="A217" t="s">
        <v>502</v>
      </c>
      <c r="B217">
        <v>396983</v>
      </c>
      <c r="C217" s="80">
        <v>42864.637870370374</v>
      </c>
      <c r="D217" t="s">
        <v>802</v>
      </c>
      <c r="F217">
        <v>0</v>
      </c>
      <c r="G217">
        <v>0</v>
      </c>
      <c r="H217">
        <v>269.83</v>
      </c>
      <c r="J217" t="s">
        <v>1113</v>
      </c>
    </row>
    <row r="218" spans="1:10" hidden="1" x14ac:dyDescent="0.2">
      <c r="A218" t="s">
        <v>502</v>
      </c>
      <c r="B218">
        <v>396983</v>
      </c>
      <c r="C218" s="80">
        <v>42864.637870370374</v>
      </c>
      <c r="D218" t="s">
        <v>670</v>
      </c>
      <c r="E218" t="s">
        <v>601</v>
      </c>
      <c r="F218">
        <v>121225</v>
      </c>
      <c r="G218">
        <v>19.43</v>
      </c>
      <c r="H218">
        <v>0</v>
      </c>
      <c r="J218" t="s">
        <v>1114</v>
      </c>
    </row>
    <row r="219" spans="1:10" hidden="1" x14ac:dyDescent="0.2">
      <c r="A219" t="s">
        <v>502</v>
      </c>
      <c r="B219">
        <v>397063</v>
      </c>
      <c r="C219" s="80">
        <v>42864.64162037037</v>
      </c>
      <c r="D219" t="s">
        <v>671</v>
      </c>
      <c r="E219" t="s">
        <v>602</v>
      </c>
      <c r="F219">
        <v>104499</v>
      </c>
      <c r="G219">
        <v>214.4</v>
      </c>
      <c r="H219">
        <v>0</v>
      </c>
      <c r="J219" t="s">
        <v>1115</v>
      </c>
    </row>
    <row r="220" spans="1:10" hidden="1" x14ac:dyDescent="0.2">
      <c r="A220" t="s">
        <v>502</v>
      </c>
      <c r="B220">
        <v>400499</v>
      </c>
      <c r="C220" s="80">
        <v>42877.625335648147</v>
      </c>
      <c r="D220" t="s">
        <v>881</v>
      </c>
      <c r="F220">
        <v>0</v>
      </c>
      <c r="G220">
        <v>0</v>
      </c>
      <c r="H220">
        <v>191.69</v>
      </c>
      <c r="J220" t="s">
        <v>1113</v>
      </c>
    </row>
    <row r="221" spans="1:10" hidden="1" x14ac:dyDescent="0.2">
      <c r="A221" t="s">
        <v>502</v>
      </c>
      <c r="B221">
        <v>400499</v>
      </c>
      <c r="C221" s="80">
        <v>42877.625335648147</v>
      </c>
      <c r="D221" t="s">
        <v>670</v>
      </c>
      <c r="E221" t="s">
        <v>601</v>
      </c>
      <c r="F221">
        <v>122324</v>
      </c>
      <c r="G221">
        <v>13.8</v>
      </c>
      <c r="H221">
        <v>0</v>
      </c>
      <c r="J221" t="s">
        <v>1114</v>
      </c>
    </row>
    <row r="222" spans="1:10" hidden="1" x14ac:dyDescent="0.2">
      <c r="A222" t="s">
        <v>502</v>
      </c>
      <c r="B222">
        <v>400507</v>
      </c>
      <c r="C222" s="80">
        <v>42877.627928240741</v>
      </c>
      <c r="D222" t="s">
        <v>671</v>
      </c>
      <c r="E222" t="s">
        <v>602</v>
      </c>
      <c r="F222">
        <v>105564</v>
      </c>
      <c r="G222">
        <v>177.89</v>
      </c>
      <c r="H222">
        <v>0</v>
      </c>
      <c r="J222" t="s">
        <v>1115</v>
      </c>
    </row>
    <row r="223" spans="1:10" hidden="1" x14ac:dyDescent="0.2">
      <c r="A223" t="s">
        <v>504</v>
      </c>
      <c r="B223">
        <v>396995</v>
      </c>
      <c r="C223" s="80">
        <v>42864.637870370374</v>
      </c>
      <c r="D223" t="s">
        <v>805</v>
      </c>
      <c r="F223">
        <v>0</v>
      </c>
      <c r="G223">
        <v>0</v>
      </c>
      <c r="H223">
        <v>269.83999999999997</v>
      </c>
      <c r="J223" t="s">
        <v>1113</v>
      </c>
    </row>
    <row r="224" spans="1:10" hidden="1" x14ac:dyDescent="0.2">
      <c r="A224" t="s">
        <v>504</v>
      </c>
      <c r="B224">
        <v>396995</v>
      </c>
      <c r="C224" s="80">
        <v>42864.637870370374</v>
      </c>
      <c r="D224" t="s">
        <v>673</v>
      </c>
      <c r="E224" t="s">
        <v>601</v>
      </c>
      <c r="F224">
        <v>121237</v>
      </c>
      <c r="G224">
        <v>19.43</v>
      </c>
      <c r="H224">
        <v>0</v>
      </c>
      <c r="J224" t="s">
        <v>1114</v>
      </c>
    </row>
    <row r="225" spans="1:10" hidden="1" x14ac:dyDescent="0.2">
      <c r="A225" t="s">
        <v>504</v>
      </c>
      <c r="B225">
        <v>396995</v>
      </c>
      <c r="C225" s="80">
        <v>42864.637870370374</v>
      </c>
      <c r="D225" t="s">
        <v>882</v>
      </c>
      <c r="F225">
        <v>0</v>
      </c>
      <c r="G225">
        <v>0</v>
      </c>
      <c r="H225">
        <v>191.68</v>
      </c>
      <c r="J225" t="s">
        <v>1113</v>
      </c>
    </row>
    <row r="226" spans="1:10" hidden="1" x14ac:dyDescent="0.2">
      <c r="A226" t="s">
        <v>504</v>
      </c>
      <c r="B226">
        <v>396995</v>
      </c>
      <c r="C226" s="80">
        <v>42864.637870370374</v>
      </c>
      <c r="D226" t="s">
        <v>673</v>
      </c>
      <c r="E226" t="s">
        <v>601</v>
      </c>
      <c r="F226">
        <v>121237</v>
      </c>
      <c r="G226">
        <v>13.8</v>
      </c>
      <c r="H226">
        <v>0</v>
      </c>
      <c r="J226" t="s">
        <v>1114</v>
      </c>
    </row>
    <row r="227" spans="1:10" hidden="1" x14ac:dyDescent="0.2">
      <c r="A227" t="s">
        <v>504</v>
      </c>
      <c r="B227">
        <v>397063</v>
      </c>
      <c r="C227" s="80">
        <v>42864.64162037037</v>
      </c>
      <c r="D227" t="s">
        <v>674</v>
      </c>
      <c r="E227" t="s">
        <v>602</v>
      </c>
      <c r="F227">
        <v>104511</v>
      </c>
      <c r="G227">
        <v>428.29</v>
      </c>
      <c r="H227">
        <v>0</v>
      </c>
      <c r="J227" t="s">
        <v>1115</v>
      </c>
    </row>
    <row r="228" spans="1:10" hidden="1" x14ac:dyDescent="0.2">
      <c r="A228" t="s">
        <v>506</v>
      </c>
      <c r="B228">
        <v>396969</v>
      </c>
      <c r="C228" s="80">
        <v>42864.637870370374</v>
      </c>
      <c r="D228" t="s">
        <v>799</v>
      </c>
      <c r="F228">
        <v>0</v>
      </c>
      <c r="G228">
        <v>0</v>
      </c>
      <c r="H228">
        <v>194.4</v>
      </c>
      <c r="J228" t="s">
        <v>1113</v>
      </c>
    </row>
    <row r="229" spans="1:10" hidden="1" x14ac:dyDescent="0.2">
      <c r="A229" t="s">
        <v>506</v>
      </c>
      <c r="B229">
        <v>396969</v>
      </c>
      <c r="C229" s="80">
        <v>42864.637870370374</v>
      </c>
      <c r="D229" t="s">
        <v>675</v>
      </c>
      <c r="E229" t="s">
        <v>601</v>
      </c>
      <c r="F229">
        <v>121211</v>
      </c>
      <c r="G229">
        <v>13.99</v>
      </c>
      <c r="H229">
        <v>0</v>
      </c>
      <c r="J229" t="s">
        <v>1114</v>
      </c>
    </row>
    <row r="230" spans="1:10" hidden="1" x14ac:dyDescent="0.2">
      <c r="A230" t="s">
        <v>506</v>
      </c>
      <c r="B230">
        <v>397063</v>
      </c>
      <c r="C230" s="80">
        <v>42864.64162037037</v>
      </c>
      <c r="D230" t="s">
        <v>676</v>
      </c>
      <c r="E230" t="s">
        <v>602</v>
      </c>
      <c r="F230">
        <v>104485</v>
      </c>
      <c r="G230">
        <v>180.41</v>
      </c>
      <c r="H230">
        <v>0</v>
      </c>
      <c r="J230" t="s">
        <v>1115</v>
      </c>
    </row>
    <row r="231" spans="1:10" x14ac:dyDescent="0.2">
      <c r="A231" t="s">
        <v>506</v>
      </c>
      <c r="B231">
        <v>397225</v>
      </c>
      <c r="C231" s="80">
        <v>42865.630601851852</v>
      </c>
      <c r="D231" t="s">
        <v>883</v>
      </c>
      <c r="E231" t="s">
        <v>599</v>
      </c>
      <c r="F231" t="s">
        <v>884</v>
      </c>
      <c r="G231">
        <v>60</v>
      </c>
      <c r="H231">
        <v>0</v>
      </c>
      <c r="J231" t="s">
        <v>1116</v>
      </c>
    </row>
    <row r="232" spans="1:10" hidden="1" x14ac:dyDescent="0.2">
      <c r="A232" t="s">
        <v>506</v>
      </c>
      <c r="B232">
        <v>400134</v>
      </c>
      <c r="C232" s="80">
        <v>42874.50540509259</v>
      </c>
      <c r="D232" t="s">
        <v>885</v>
      </c>
      <c r="F232">
        <v>0</v>
      </c>
      <c r="G232">
        <v>0</v>
      </c>
      <c r="H232">
        <v>271.72000000000003</v>
      </c>
      <c r="J232" t="s">
        <v>1113</v>
      </c>
    </row>
    <row r="233" spans="1:10" hidden="1" x14ac:dyDescent="0.2">
      <c r="A233" t="s">
        <v>506</v>
      </c>
      <c r="B233">
        <v>400134</v>
      </c>
      <c r="C233" s="80">
        <v>42874.50540509259</v>
      </c>
      <c r="D233" t="s">
        <v>675</v>
      </c>
      <c r="E233" t="s">
        <v>601</v>
      </c>
      <c r="F233">
        <v>122155</v>
      </c>
      <c r="G233">
        <v>19.559999999999999</v>
      </c>
      <c r="H233">
        <v>0</v>
      </c>
      <c r="J233" t="s">
        <v>1114</v>
      </c>
    </row>
    <row r="234" spans="1:10" hidden="1" x14ac:dyDescent="0.2">
      <c r="A234" t="s">
        <v>506</v>
      </c>
      <c r="B234">
        <v>400143</v>
      </c>
      <c r="C234" s="80">
        <v>42874.51730324074</v>
      </c>
      <c r="D234" t="s">
        <v>676</v>
      </c>
      <c r="E234" t="s">
        <v>602</v>
      </c>
      <c r="F234">
        <v>105492</v>
      </c>
      <c r="G234">
        <v>192.16</v>
      </c>
      <c r="H234">
        <v>0</v>
      </c>
      <c r="J234" t="s">
        <v>1115</v>
      </c>
    </row>
    <row r="235" spans="1:10" hidden="1" x14ac:dyDescent="0.2">
      <c r="A235" t="s">
        <v>508</v>
      </c>
      <c r="B235">
        <v>396973</v>
      </c>
      <c r="C235" s="80">
        <v>42864.637870370374</v>
      </c>
      <c r="D235" t="s">
        <v>801</v>
      </c>
      <c r="F235">
        <v>0</v>
      </c>
      <c r="G235">
        <v>0</v>
      </c>
      <c r="H235">
        <v>102.4</v>
      </c>
      <c r="J235" t="s">
        <v>1113</v>
      </c>
    </row>
    <row r="236" spans="1:10" hidden="1" x14ac:dyDescent="0.2">
      <c r="A236" t="s">
        <v>508</v>
      </c>
      <c r="B236">
        <v>396973</v>
      </c>
      <c r="C236" s="80">
        <v>42864.637870370374</v>
      </c>
      <c r="D236" t="s">
        <v>679</v>
      </c>
      <c r="E236" t="s">
        <v>601</v>
      </c>
      <c r="F236">
        <v>121215</v>
      </c>
      <c r="G236">
        <v>7.37</v>
      </c>
      <c r="H236">
        <v>0</v>
      </c>
      <c r="J236" t="s">
        <v>1114</v>
      </c>
    </row>
    <row r="237" spans="1:10" hidden="1" x14ac:dyDescent="0.2">
      <c r="A237" t="s">
        <v>508</v>
      </c>
      <c r="B237">
        <v>397063</v>
      </c>
      <c r="C237" s="80">
        <v>42864.64162037037</v>
      </c>
      <c r="D237" t="s">
        <v>680</v>
      </c>
      <c r="E237" t="s">
        <v>602</v>
      </c>
      <c r="F237">
        <v>104489</v>
      </c>
      <c r="G237">
        <v>95.03</v>
      </c>
      <c r="H237">
        <v>0</v>
      </c>
      <c r="J237" t="s">
        <v>1115</v>
      </c>
    </row>
    <row r="238" spans="1:10" hidden="1" x14ac:dyDescent="0.2">
      <c r="A238" t="s">
        <v>476</v>
      </c>
      <c r="B238">
        <v>396985</v>
      </c>
      <c r="C238" s="80">
        <v>42864.637870370374</v>
      </c>
      <c r="D238" t="s">
        <v>886</v>
      </c>
      <c r="F238">
        <v>0</v>
      </c>
      <c r="G238">
        <v>0</v>
      </c>
      <c r="H238">
        <v>500</v>
      </c>
      <c r="J238" t="s">
        <v>1113</v>
      </c>
    </row>
    <row r="239" spans="1:10" hidden="1" x14ac:dyDescent="0.2">
      <c r="A239" t="s">
        <v>476</v>
      </c>
      <c r="B239">
        <v>396985</v>
      </c>
      <c r="C239" s="80">
        <v>42864.637870370374</v>
      </c>
      <c r="D239" t="s">
        <v>887</v>
      </c>
      <c r="E239" t="s">
        <v>601</v>
      </c>
      <c r="F239">
        <v>121227</v>
      </c>
      <c r="G239">
        <v>36</v>
      </c>
      <c r="H239">
        <v>0</v>
      </c>
      <c r="J239" t="s">
        <v>1114</v>
      </c>
    </row>
    <row r="240" spans="1:10" hidden="1" x14ac:dyDescent="0.2">
      <c r="A240" t="s">
        <v>476</v>
      </c>
      <c r="B240">
        <v>397063</v>
      </c>
      <c r="C240" s="80">
        <v>42864.64162037037</v>
      </c>
      <c r="D240" t="s">
        <v>888</v>
      </c>
      <c r="E240" t="s">
        <v>602</v>
      </c>
      <c r="F240">
        <v>104501</v>
      </c>
      <c r="G240">
        <v>464</v>
      </c>
      <c r="H240">
        <v>0</v>
      </c>
      <c r="J240" t="s">
        <v>1115</v>
      </c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</sheetData>
  <autoFilter ref="A1:H240">
    <filterColumn colId="4">
      <filters>
        <filter val="Supplie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E65" sqref="E6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509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1107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832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1108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510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t="s">
        <v>474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475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476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477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478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479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480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845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481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482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483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484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485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486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487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488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489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490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491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492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493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511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494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512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495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496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498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497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499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500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501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502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503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504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505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506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507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s="56" t="s">
        <v>508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28</vt:i4>
      </vt:variant>
    </vt:vector>
  </HeadingPairs>
  <TitlesOfParts>
    <vt:vector size="40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2018-01-11T10:22:49Z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