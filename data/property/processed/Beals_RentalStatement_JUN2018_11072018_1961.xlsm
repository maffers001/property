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0_ncr:8100000_{A1D3FE3B-A146-4723-88AD-C56B9F3435F5}" xr6:coauthVersionLast="34" xr6:coauthVersionMax="34" xr10:uidLastSave="{00000000-0000-0000-0000-000000000000}"/>
  <bookViews>
    <workbookView xWindow="0" yWindow="0" windowWidth="28800" windowHeight="13785" activeTab="2" xr2:uid="{00000000-000D-0000-FFFF-FFFF00000000}"/>
  </bookViews>
  <sheets>
    <sheet name="Rent Statement" sheetId="1" r:id="rId1"/>
    <sheet name="Statistics-1" sheetId="31693" r:id="rId2"/>
    <sheet name="Statistics" sheetId="31690" r:id="rId3"/>
    <sheet name="Import" sheetId="31686" r:id="rId4"/>
    <sheet name="MT" sheetId="31688" r:id="rId5"/>
    <sheet name="IV" sheetId="31689" r:id="rId6"/>
    <sheet name="IV (4040)" sheetId="31692" r:id="rId7"/>
    <sheet name="Beals" sheetId="31687" r:id="rId8"/>
    <sheet name="Tenancies" sheetId="31680" r:id="rId9"/>
    <sheet name="Managed Properties" sheetId="31681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Beals!$A$1:$K$207</definedName>
    <definedName name="_xlnm._FilterDatabase" localSheetId="5" hidden="1">IV!$A$1:$K$70</definedName>
    <definedName name="_xlnm._FilterDatabase" localSheetId="6" hidden="1">'IV (4040)'!$A$1:$J$119</definedName>
    <definedName name="_xlnm._FilterDatabase" localSheetId="4" hidden="1">MT!$A$1:$L$136</definedName>
    <definedName name="_xlnm._FilterDatabase" localSheetId="0" hidden="1">'Rent Statement'!$B$7:$U$63</definedName>
    <definedName name="_xlnm._FilterDatabase" localSheetId="8" hidden="1">Tenancies!$A$1:$L$255</definedName>
    <definedName name="BillListStart" localSheetId="6">#REF!</definedName>
    <definedName name="BillListStart" localSheetId="1">#REF!</definedName>
    <definedName name="BillListStart">#REF!</definedName>
    <definedName name="BillPropertyList" localSheetId="6">#REF!</definedName>
    <definedName name="BillPropertyList" localSheetId="1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B25" i="31690"/>
  <c r="C29" i="31690"/>
  <c r="B17" i="31690"/>
  <c r="B18" i="31690"/>
  <c r="C34" i="31690"/>
  <c r="B31" i="31690"/>
  <c r="C21" i="31690"/>
  <c r="C32" i="31690"/>
  <c r="B22" i="31690"/>
  <c r="B29" i="31690"/>
  <c r="B24" i="31690"/>
  <c r="B30" i="31690"/>
  <c r="C30" i="31690"/>
  <c r="C24" i="31690"/>
  <c r="C33" i="31690"/>
  <c r="C25" i="31690"/>
  <c r="C17" i="31690"/>
  <c r="C18" i="31690"/>
  <c r="C26" i="31690"/>
  <c r="B21" i="31690"/>
  <c r="C22" i="31690"/>
  <c r="B32" i="31690"/>
  <c r="B26" i="31690"/>
  <c r="E39" i="31690"/>
  <c r="B34" i="31690"/>
  <c r="C31" i="31690"/>
  <c r="C36" i="31690" l="1"/>
  <c r="E12" i="31690"/>
  <c r="B15" i="31690" s="1"/>
  <c r="B12" i="31690"/>
  <c r="H12" i="31690"/>
  <c r="C15" i="31690" s="1"/>
  <c r="D34" i="31690"/>
  <c r="F38" i="31690"/>
  <c r="D31" i="31690"/>
  <c r="D33" i="31690"/>
  <c r="D29" i="31690"/>
  <c r="E38" i="31690"/>
  <c r="B36" i="31690"/>
  <c r="D30" i="31690"/>
  <c r="C19" i="31690"/>
  <c r="F39" i="31690"/>
  <c r="D32" i="31690"/>
  <c r="B19" i="31690"/>
  <c r="F15" i="31690" l="1"/>
  <c r="F35" i="31690" s="1"/>
  <c r="E15" i="31690"/>
  <c r="E34" i="31690" s="1"/>
  <c r="D36" i="31690"/>
  <c r="E33" i="31690"/>
  <c r="E31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29" i="31690" l="1"/>
  <c r="E25" i="31690"/>
  <c r="E30" i="31690"/>
  <c r="E26" i="31690"/>
  <c r="E32" i="31690"/>
  <c r="E24" i="31690"/>
  <c r="E35" i="31690"/>
  <c r="E36" i="31690" s="1"/>
  <c r="E41" i="31690" s="1"/>
  <c r="E47" i="31690" s="1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F36" i="31690" l="1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<sst xmlns="http://schemas.openxmlformats.org/spreadsheetml/2006/main" count="4500" uniqueCount="1095">
  <si>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</si>
  <si>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</si>
  <si>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</si>
  <si>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</si>
  <si>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</si>
  <si>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</si>
  <si>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</si>
  <si>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</si>
  <si>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</si>
  <si>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</si>
  <si>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</si>
  <si>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</si>
  <si>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</si>
  <si>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</si>
  <si>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</si>
  <si>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</si>
  <si>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</si>
  <si>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</si>
  <si>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</si>
  <si>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</si>
  <si>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</si>
  <si>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</si>
  <si>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</si>
  <si>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</si>
  <si>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</si>
  <si>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</si>
  <si>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</si>
  <si>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</si>
  <si>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</si>
  <si>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</si>
  <si>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</si>
  <si>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</si>
  <si>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</si>
  <si>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</si>
  <si>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</si>
  <si>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</si>
  <si>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</si>
  <si>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</si>
  <si>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</si>
  <si>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</si>
  <si>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</si>
  <si>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</si>
  <si>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</si>
  <si>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</si>
  <si>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</si>
  <si>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</si>
  <si>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</si>
  <si>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</si>
  <si>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</si>
  <si>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</si>
  <si>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</si>
  <si>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</si>
  <si>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</si>
  <si>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</si>
  <si>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</si>
  <si>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</si>
  <si>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</si>
  <si>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</si>
  <si>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</si>
  <si>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</si>
  <si>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</si>
  <si>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</si>
  <si>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</si>
  <si>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</si>
  <si>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</si>
  <si>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</si>
  <si>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</si>
  <si>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</si>
  <si>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</si>
  <si>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</si>
  <si>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</si>
  <si>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</si>
  <si>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</si>
  <si>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</si>
  <si>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</si>
  <si>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</si>
  <si>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</si>
  <si>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</si>
  <si>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</si>
  <si>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</si>
  <si>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</si>
  <si>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</si>
  <si>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</si>
  <si>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</si>
  <si>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</si>
  <si>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</si>
  <si>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</si>
  <si>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</si>
  <si>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</si>
  <si>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</si>
  <si>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</si>
  <si>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</si>
  <si>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</si>
  <si>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</si>
  <si>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</si>
  <si>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</si>
  <si>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</si>
  <si>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</si>
  <si>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</si>
  <si>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</si>
  <si>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</si>
  <si>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</si>
  <si>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</si>
  <si>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</si>
  <si>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</si>
  <si>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</si>
  <si>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</si>
  <si>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</si>
  <si>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</si>
  <si>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</si>
  <si>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</si>
  <si>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</si>
  <si>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</si>
  <si>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</si>
  <si>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</si>
  <si>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</si>
  <si>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</si>
  <si>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</si>
  <si>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</si>
  <si>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</si>
  <si>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</si>
  <si>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</si>
  <si>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</si>
  <si>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</si>
  <si>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</si>
  <si>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</si>
  <si>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</si>
  <si>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</si>
  <si>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</si>
  <si>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</si>
  <si>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</si>
  <si>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</si>
  <si>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</si>
  <si>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</si>
  <si>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</si>
  <si>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</si>
  <si>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</si>
  <si>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</si>
  <si>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</si>
  <si>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</si>
  <si>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</si>
  <si>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</si>
  <si>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</si>
  <si>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</si>
  <si>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</si>
  <si>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</si>
  <si>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</si>
  <si>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</si>
  <si>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</si>
  <si>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</si>
  <si>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</si>
  <si>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</si>
  <si>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</si>
  <si>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</si>
  <si>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</si>
  <si>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</si>
  <si>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</si>
  <si>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</si>
  <si>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</si>
  <si>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</si>
  <si>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</si>
  <si>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</si>
  <si>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</si>
  <si>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</si>
  <si>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</si>
  <si>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</si>
  <si>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</si>
  <si>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</si>
  <si>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</si>
  <si>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</si>
  <si>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</si>
  <si>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</si>
  <si>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</si>
  <si>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</si>
  <si>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</si>
  <si>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</si>
  <si>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</si>
  <si>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</si>
  <si>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</si>
  <si>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</si>
  <si>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</si>
  <si>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</si>
  <si>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</si>
  <si>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</si>
  <si>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</si>
  <si>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</si>
  <si>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</si>
  <si>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</si>
  <si>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</si>
  <si>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</si>
  <si>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</si>
  <si>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</si>
  <si>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</si>
  <si>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</si>
  <si>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</si>
  <si>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</si>
  <si>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</si>
  <si>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</si>
  <si>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</si>
  <si>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</si>
  <si>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</si>
  <si>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</si>
  <si>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</si>
  <si>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</si>
  <si>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</si>
  <si>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</si>
  <si>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</si>
  <si>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</si>
  <si>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</si>
  <si>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</si>
  <si>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</si>
  <si>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</si>
  <si>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</si>
  <si>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</si>
  <si>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</si>
  <si>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</si>
  <si>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</si>
  <si>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</si>
  <si>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</si>
  <si>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</si>
  <si>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</si>
  <si>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</si>
  <si>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</si>
  <si>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</si>
  <si>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</si>
  <si>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</si>
  <si>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</si>
  <si>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</si>
  <si>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</si>
  <si>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</si>
  <si>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</si>
  <si>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</si>
  <si>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</si>
  <si>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</si>
  <si>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</si>
  <si>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</si>
  <si>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</si>
  <si>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</si>
  <si>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</si>
  <si>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</si>
  <si>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</si>
  <si>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</si>
  <si>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</si>
  <si>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</si>
  <si>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</si>
  <si>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</si>
  <si>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</si>
  <si>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</si>
  <si>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</si>
  <si>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</si>
  <si>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</si>
  <si>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</si>
  <si>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</si>
  <si>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</si>
  <si>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</si>
  <si>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</si>
  <si>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</si>
  <si>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</si>
  <si>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</si>
  <si>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</si>
  <si>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</si>
  <si>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</si>
  <si>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</si>
  <si>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</si>
  <si>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</si>
  <si>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</si>
  <si>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</si>
  <si>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</si>
  <si>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</si>
  <si>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</si>
  <si>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</si>
  <si>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</si>
  <si>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</si>
  <si>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</si>
  <si>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</si>
  <si>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</si>
  <si>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</si>
  <si>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</si>
  <si>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</si>
  <si>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</si>
  <si>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</si>
  <si>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</si>
  <si>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</si>
  <si>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</si>
  <si>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</si>
  <si>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</si>
  <si>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</si>
  <si>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</si>
  <si>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</si>
  <si>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</si>
  <si>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</si>
  <si>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</si>
  <si>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</si>
  <si>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</si>
  <si>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</si>
  <si>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</si>
  <si>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</si>
  <si>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</si>
  <si>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</si>
  <si>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</si>
  <si>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</si>
  <si>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</si>
  <si>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</si>
  <si>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</si>
  <si>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</si>
  <si>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</si>
  <si>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</si>
  <si>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</si>
  <si>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</si>
  <si>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</si>
  <si>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</si>
  <si>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</si>
  <si>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</si>
  <si>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</si>
  <si>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</si>
  <si>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</si>
  <si>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</si>
  <si>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</si>
  <si>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</si>
  <si>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</si>
  <si>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</si>
  <si>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</si>
  <si>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</si>
  <si>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</si>
  <si>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</si>
  <si>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</si>
  <si>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</si>
  <si>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</si>
  <si>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</si>
  <si>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</si>
  <si>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</si>
  <si>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</si>
  <si>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</si>
  <si>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</si>
  <si>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</si>
  <si>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</si>
  <si>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</si>
  <si>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</si>
  <si>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</si>
  <si>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</si>
  <si>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</si>
  <si>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</si>
  <si>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</si>
  <si>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</si>
  <si>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</si>
  <si>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</si>
  <si>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</si>
  <si>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</si>
  <si>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</si>
  <si>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</si>
  <si>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</si>
  <si>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</si>
  <si>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</si>
  <si>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</si>
  <si>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</si>
  <si>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</si>
  <si>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</si>
  <si>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</si>
  <si>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</si>
  <si>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</si>
  <si>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</si>
  <si>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</si>
  <si>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</si>
  <si>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</si>
  <si>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</si>
  <si>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</si>
  <si>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</si>
  <si>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</si>
  <si>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</si>
  <si>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</si>
  <si>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</si>
  <si>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</si>
  <si>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</si>
  <si>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</si>
  <si>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</si>
  <si>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</si>
  <si>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</si>
  <si>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</si>
  <si>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</si>
  <si>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</si>
  <si>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</si>
  <si>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</si>
  <si>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</si>
  <si>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</si>
  <si>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</si>
  <si>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</si>
  <si>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</si>
  <si>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</si>
  <si>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</si>
  <si>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</si>
  <si>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</si>
  <si>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</si>
  <si>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</si>
  <si>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</si>
  <si>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</si>
  <si>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</si>
  <si>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</si>
  <si>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</si>
  <si>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</si>
  <si>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</si>
  <si>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</si>
  <si>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</si>
  <si>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</si>
  <si>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</si>
  <si>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</si>
  <si>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</si>
  <si>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</si>
  <si>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</si>
  <si>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</si>
  <si>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</si>
  <si>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</si>
  <si>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</si>
  <si>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</si>
  <si>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</si>
  <si>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</si>
  <si>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</si>
  <si>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</si>
  <si>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</si>
  <si>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</si>
  <si>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</si>
  <si>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</si>
  <si>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</si>
  <si>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</si>
  <si>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</si>
  <si>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</si>
  <si>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</si>
  <si>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</si>
  <si>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</si>
  <si>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</si>
  <si>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</si>
  <si>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</si>
  <si>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</si>
  <si>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</si>
  <si>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</si>
  <si>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</si>
  <si>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</si>
  <si>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</si>
  <si>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</si>
  <si>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</si>
  <si>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</si>
  <si>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</si>
  <si>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</si>
  <si>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</si>
  <si>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</si>
  <si>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</si>
  <si>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</si>
  <si>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</si>
  <si>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</si>
  <si>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</si>
  <si>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</si>
  <si>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</si>
  <si>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</si>
  <si>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</si>
  <si>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</si>
  <si>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</si>
  <si>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</si>
  <si>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</si>
  <si>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</si>
  <si>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</si>
  <si>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</si>
  <si>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</si>
  <si>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</si>
  <si>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</si>
  <si>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</si>
  <si>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</si>
  <si>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</si>
  <si>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</si>
  <si>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</si>
  <si>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</si>
  <si>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</si>
  <si>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</si>
  <si>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</si>
  <si>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</si>
  <si>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</si>
  <si>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</si>
  <si>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</si>
  <si>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</si>
  <si>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</si>
  <si>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</si>
  <si>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</si>
  <si>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</si>
  <si>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</si>
  <si>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</si>
  <si>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</si>
  <si>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</si>
  <si>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</si>
  <si>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</si>
  <si>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</si>
  <si>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</si>
  <si>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</si>
  <si>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</si>
  <si>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</si>
  <si>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</si>
  <si>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</si>
  <si>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</si>
  <si>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</si>
  <si>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</si>
  <si>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</si>
  <si>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</si>
  <si>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</si>
  <si>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</si>
  <si>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</si>
  <si>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</si>
  <si>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</si>
  <si>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</si>
  <si>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</si>
  <si>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</si>
  <si>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</si>
  <si>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</si>
  <si>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</si>
  <si>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</si>
  <si>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</si>
  <si>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</si>
  <si>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</si>
  <si>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</si>
  <si>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</si>
  <si>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</si>
  <si>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</si>
  <si>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</si>
  <si>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</si>
  <si>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</si>
  <si>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</si>
  <si>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</si>
  <si>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</si>
  <si>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</si>
  <si>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</si>
  <si>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</si>
  <si>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</si>
  <si>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</si>
  <si>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</si>
  <si>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</si>
  <si>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</si>
  <si>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</si>
  <si>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</si>
  <si>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</si>
  <si>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</si>
  <si>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</si>
  <si>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</si>
  <si>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</si>
  <si>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</si>
  <si>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</si>
  <si>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</si>
  <si>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</si>
  <si>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</si>
  <si>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</si>
  <si>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</si>
  <si>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</si>
  <si>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</si>
  <si>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</si>
  <si>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</si>
  <si>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</si>
  <si>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</si>
  <si>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</si>
  <si>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</si>
  <si>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</si>
  <si>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</si>
  <si>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</si>
  <si>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</si>
  <si>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</si>
  <si>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</si>
  <si>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</si>
  <si>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</si>
  <si>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</si>
  <si>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</si>
  <si>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</si>
  <si>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</si>
  <si>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Beals gave notice on 25/01/18 - violent tenant.</t>
  </si>
  <si>
    <t>In £1900 arrears. Notice expired</t>
  </si>
  <si>
    <t>Work still outstanding.</t>
  </si>
  <si>
    <t>20-74-09 60458872</t>
  </si>
  <si>
    <t>PAYMENT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</si>
  <si>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</si>
  <si>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</si>
  <si>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</si>
  <si>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</si>
  <si>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</si>
  <si>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</si>
  <si>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</si>
  <si>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</si>
  <si>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</si>
  <si>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</si>
  <si>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</si>
  <si>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CAPITAL HOME LOANS    CHL00002/907372200 DDR</t>
  </si>
  <si>
    <t>CAPITAL HOME LOANS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</si>
  <si>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</si>
  <si>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</si>
  <si>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</si>
  <si>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</si>
  <si>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</si>
  <si>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</si>
  <si>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</si>
  <si>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</si>
  <si>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</si>
  <si>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</si>
  <si>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</si>
  <si>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</si>
  <si>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 xml:space="preserve">TELVENT DTN LLC       USA                   </t>
  </si>
  <si>
    <t>DIRECTDEP</t>
  </si>
  <si>
    <t>BEALS ESTATE AGENT    196A KINGSTON ROAD BGC</t>
  </si>
  <si>
    <t>BHAM MIDSHIRES        020010556389/35299 DDR</t>
  </si>
  <si>
    <t>BEALS ESTATE AGENT    FLAT 1412-14 ALHAM BGC</t>
  </si>
  <si>
    <t>BHAM MIDSHIRES        020009309942/35735 DDR</t>
  </si>
  <si>
    <t>BCC</t>
  </si>
  <si>
    <t>BEALS ESTATE AGENT    23B HAMPSHIRE TERR BGC</t>
  </si>
  <si>
    <t>BEALS ESTATE AGENT    FLAT 116-18 ALHAMB BGC</t>
  </si>
  <si>
    <t>BEALS ESTATE AGENT    FLAT 68 ALHAMBRA R BGC</t>
  </si>
  <si>
    <t>BEALS ESTATE AGENT    FLAT 2321 LONDON R BGC</t>
  </si>
  <si>
    <t>BEALS ESTATE AGENT    FLAT 174-6 ALHAMBR BGC</t>
  </si>
  <si>
    <t>BEALS ESTATE AGENT    FLAT 194-6 ALHAMBR BGC</t>
  </si>
  <si>
    <t>BEALS ESTATE AGENT    FLAT 2171 FAWCETT  BGC</t>
  </si>
  <si>
    <t>BEALS ESTATE AGENT    FLAT 712-14 ALHAMB BGC</t>
  </si>
  <si>
    <t>BEALS ESTATE AGENT    FLAT 1012-14 ALHAM BGC</t>
  </si>
  <si>
    <t>BEALS ESTATE AGENT    FLAT 1321 LONDON R BGC</t>
  </si>
  <si>
    <t>BEALS ESTATE AGENT    FLAT 2169 FAWCETT  BGC</t>
  </si>
  <si>
    <t>BEALS ESTATE AGENT    FLAT 184-6 ALHAMBR BGC</t>
  </si>
  <si>
    <t>BEALS ESTATE AGENT    FLAT 412-14 ALHAMB BGC</t>
  </si>
  <si>
    <t>BEALS ESTATE AGENT    FLAT 3163 FRATTON  BGC</t>
  </si>
  <si>
    <t>BEALS ESTATE AGENT    FLAT 1169 FAWCETT  BGC</t>
  </si>
  <si>
    <t>BEALS ESTATE AGENT    FLAT 4163 FRATTON  BGC</t>
  </si>
  <si>
    <t>BHAM MIDSHIRES        020000389757/37175 DDR</t>
  </si>
  <si>
    <t>BEALS ESTATE AGENT    FLAT 616-18 ALHAMB BGC</t>
  </si>
  <si>
    <t>BEALS ESTATE AGENT    FLAT 58 ALHAMBRA R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</si>
  <si>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</si>
  <si>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</si>
  <si>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</si>
  <si>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</si>
  <si>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</si>
  <si>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4321 LONDON R BGC</t>
  </si>
  <si>
    <t>BEALS ESTATE AGENT    FLAT 1116-18 ALHAM BGC</t>
  </si>
  <si>
    <t>BEALS ESTATE AGENT    SHOP196 KINGSTON R BGC</t>
  </si>
  <si>
    <t>OTH</t>
  </si>
  <si>
    <t>BHAM MIDSHIRES        020003649652/41838 DDR</t>
  </si>
  <si>
    <t>CASH</t>
  </si>
  <si>
    <t>BHAM MIDSHIRES        020007882432/46801 DDR</t>
  </si>
  <si>
    <t>G&amp;F VALENTINO         MTUCKER            STO</t>
  </si>
  <si>
    <t>BEALS ESTATE AGENT    FLAT 1171 FAWCETT  BGC</t>
  </si>
  <si>
    <t>BEALS ESTATE AGENT    FLAT 3169 FAWCETT  BGC</t>
  </si>
  <si>
    <t xml:space="preserve">Amazon Digital Dwn    LUXEMBOURG            </t>
  </si>
  <si>
    <t>BHAM MIDSHIRES        020002731371/28015 DDR</t>
  </si>
  <si>
    <t>20-74-09 40406538</t>
  </si>
  <si>
    <t xml:space="preserve">FT </t>
  </si>
  <si>
    <t xml:space="preserve">205397 30728691       MOBILE-CHANNEL     FT </t>
  </si>
  <si>
    <t xml:space="preserve">ITUNES.COM/BILL       IRELAND               </t>
  </si>
  <si>
    <t>MERCEDES-BENZ CARS    0376305421         DDR</t>
  </si>
  <si>
    <t>STO</t>
  </si>
  <si>
    <t>TUCK&amp;VALEN HSE%0 P    207409 40406538    STO</t>
  </si>
  <si>
    <t>20-53-97 30728691</t>
  </si>
  <si>
    <t>TUCKER MS     %0 P    205330 30728691    STO</t>
  </si>
  <si>
    <t>BEALS ESTATE AGENT    FLAT 214-6 ALHAMBR BGC</t>
  </si>
  <si>
    <t>BEALS ESTATE AGENT    FLAT 88 ALHAMBRA R BGC</t>
  </si>
  <si>
    <t>BEALS ESTATE AGENT    FLAT 234-6 ALHAMBR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</si>
  <si>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</si>
  <si>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</si>
  <si>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</si>
  <si>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</si>
  <si>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</si>
  <si>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LEGAL &amp; GEN MI C/L    011439921-5        DDR</t>
  </si>
  <si>
    <t>TOPAZ FIN JASPER      PRU00010/190859005 DDR</t>
  </si>
  <si>
    <t>MORTGAGE EXPRESS      MEC02005/480016104 DDR</t>
  </si>
  <si>
    <t>AMBER HOMELOANS       AHG00001/480441702 DDR</t>
  </si>
  <si>
    <t>KINGSTON UNITY        PL684048A VALENTNO STO</t>
  </si>
  <si>
    <t xml:space="preserve">207409 40406538       MOBILE-CHANNEL     FT </t>
  </si>
  <si>
    <t>BHAM MIDSHIRES        020007900597/89565 DDR</t>
  </si>
  <si>
    <t>BEALS ESTATE AGENT    FLAT 224-6 ALHAMBR BGC</t>
  </si>
  <si>
    <t>BEALS ESTATE AGENT    FLAT 1612-14 ALHAM BGC</t>
  </si>
  <si>
    <t>BEALS ESTATE AGENT    FLAT 3171 FAWCETT  BGC</t>
  </si>
  <si>
    <t>BEALS ESTATE AGENT    FLAT 716-18 ALHAMB BGC</t>
  </si>
  <si>
    <t>BEALS ESTATE AGENT    196B KINGSTON ROAD BGC</t>
  </si>
  <si>
    <t>BEALS ESTATE AGENT    FLAT 512-14 ALHAMB BGC</t>
  </si>
  <si>
    <t>BEALS ESTATE AGENT    FLAT 1112-14 ALHAM BGC</t>
  </si>
  <si>
    <t>BEALS ESTATE AGENT    FLAT 1216-18 ALHAM BGC</t>
  </si>
  <si>
    <t>AVIVA LIFE            014033997          DDR</t>
  </si>
  <si>
    <t>BEALS ESTATE AGENT    23C HAMPSHIRE TERR BGC</t>
  </si>
  <si>
    <t>PLATFORM FUNDING      01050228957685     DDR</t>
  </si>
  <si>
    <t>TOPAZ FIN JASPER      PRU00010/190959705 DDR</t>
  </si>
  <si>
    <t>TOPAZ FIN JASPER      PRU00010/190892600 DDR</t>
  </si>
  <si>
    <t>TOPAZ FIN JASPER      PRU00010/190812705 DDR</t>
  </si>
  <si>
    <t>TOPAZ FIN JASPER      PRU00010/190778206 DDR</t>
  </si>
  <si>
    <t>BEALS ESTATE AGENT    FLAT 312-14 ALHAMB BGC</t>
  </si>
  <si>
    <t>ID MOBILE LIMITED     11245718/001       DDR</t>
  </si>
  <si>
    <t>MR MATTHEW STUART     207409 40406538    STO</t>
  </si>
  <si>
    <t>BOOTS REWARDSCHEME    A45028400000736    DDR</t>
  </si>
  <si>
    <t>I</t>
  </si>
  <si>
    <t>Paid unti 27/8</t>
  </si>
  <si>
    <t>Paid until 27/8</t>
  </si>
  <si>
    <t>BEALS ESTATE AGENT    FLAT 204-6 ALHAMBR BGC</t>
  </si>
  <si>
    <t xml:space="preserve">Amazon UK Marketpl    LUXEMBOURG            </t>
  </si>
  <si>
    <t xml:space="preserve">CARDTRONICS UK LTD    BP - ELSTOW INTERC    </t>
  </si>
  <si>
    <t>PLATFORM FUNDING      01050229961090     DDR</t>
  </si>
  <si>
    <t>PLATFORM FUNDING      01050228964703     DDR</t>
  </si>
  <si>
    <t>THE HARPUR TRUST D    TUCKM8  PVALA1     DDR</t>
  </si>
  <si>
    <t>THE HARPUR TRUST D    TUCKM8  BVALR8     DDR</t>
  </si>
  <si>
    <t>THE HARPUR TRUST D    TUCKMS  GVALS1     DDR</t>
  </si>
  <si>
    <t>SHEPHERDS FS          PN026484A          DDR</t>
  </si>
  <si>
    <t>BEALS ESTATE AGENT    FLAT 78 ALHAMBRA R BGC</t>
  </si>
  <si>
    <t>TOPAZ FIN JASPER      PRU00010/190885203 DDR</t>
  </si>
  <si>
    <t>Rent for period 09/05/2018 - 08/06/2018 from Mr Nick Olsen - Flat 3, 171 Fawcett Road, Southsea</t>
  </si>
  <si>
    <t>Management Fee at 6% - Flat 3, 171 Fawcett Road, Southsea</t>
  </si>
  <si>
    <t>Invoice</t>
  </si>
  <si>
    <t>Amount payable to Ms Ivana Valentino - Flat 3, 171 Fawcett Road, Southsea</t>
  </si>
  <si>
    <t>Statement</t>
  </si>
  <si>
    <t>Management Fee at 6% - Flat 12, 16-18 Alhambra Road, Southsea</t>
  </si>
  <si>
    <t>Amount payable to Ms Ivana Valentino - Flat 12, 16-18 Alhambra Road, Southsea</t>
  </si>
  <si>
    <t>Rent for period 19/05/2018 - 18/06/2018 from Mr Jason Passmore - Flat 12, 16-18 Alhambra Road, Southsea</t>
  </si>
  <si>
    <t>Management Fee at 6% - Flat 7, 16-18 Alhambra Road, Southsea</t>
  </si>
  <si>
    <t>Rent for period 08/05/2018 - 07/06/2018 from Mr Alan Young - Flat 7, 16-18 Alhambra Road, Southsea</t>
  </si>
  <si>
    <t>Amount payable to Ms Ivana Valentino - Flat 7, 16-18 Alhambra Road, Southsea</t>
  </si>
  <si>
    <t>Rent for period 19/04/2018 - 18/05/2018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</si>
  <si>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</si>
  <si>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</si>
  <si>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Supplier</t>
  </si>
  <si>
    <t>Management Fee at 6% - Flat 11, 12-14 Alhambra Road, Southsea</t>
  </si>
  <si>
    <t>Amount payable to Ms Ivana Valentino - Flat 11, 12-14 Alhambra Road, Southsea</t>
  </si>
  <si>
    <t>Rent for period 19/05/2018 - 18/06/2018 from Mr Peter Oakwell - Flat 11, 12-14 Alhambra Road, Southsea</t>
  </si>
  <si>
    <t>Management Fee at 6% - Flat 5, 12-14 Alhambra Road, Southsea</t>
  </si>
  <si>
    <t>Amount payable to Ms Ivana Valentino - Flat 5, 12-14 Alhambra Road, Southsea</t>
  </si>
  <si>
    <t>Rent for period 23/05/2018 - 22/06/2018 from Mr Michael Valverde - Flat 5, 12-14 Alhambra Road, Southsea</t>
  </si>
  <si>
    <t>Rent for period 18/05/2018 - 17/06/2018 from Mr Andrew Greer - Flat 3, 12-14 Alhambra Road, Southsea</t>
  </si>
  <si>
    <t>Management Fee at 6% - Flat 3, 12-14 Alhambra Road, Southsea</t>
  </si>
  <si>
    <t>Amount payable to Ms Ivana Valentino - Flat 3, 12-14 Alhambra Road, Southsea</t>
  </si>
  <si>
    <t>Management Fee at 6% - Flat 23, 4-6 Alhambra Road, Southsea</t>
  </si>
  <si>
    <t>Amount payable to Ms Ivana Valentino - Flat 23, 4-6 Alhambra Road, Southsea</t>
  </si>
  <si>
    <t>Rent for period 31/05/2018 - 29/06/2018 from Mr Radames Perez, Miss Vanessa Bergamo - Flat 23, 4-6 Alhambra Road, Southsea</t>
  </si>
  <si>
    <t>Management Fee at 6% - Flat 22, 4-6 Alhambra Road, Southsea</t>
  </si>
  <si>
    <t>Rent for period 08/05/2018 - 07/06/2018 from Mr Matthew Skelton - Flat 22, 4-6 Alhambra Road, Southsea</t>
  </si>
  <si>
    <t>Amount payable to Ms Ivana Valentino - Flat 22, 4-6 Alhambra Road, Southsea</t>
  </si>
  <si>
    <t>Management Fee at 6% - Flat 8, 8 Alhambra Road, Southsea</t>
  </si>
  <si>
    <t>Amount payable to Ms Ivana Valentino - Flat 8, 8 Alhambra Road, Southsea</t>
  </si>
  <si>
    <t>Management Fee at 6% - Flat 7, 8 Alhambra Road, Southsea</t>
  </si>
  <si>
    <t>Amount payable to Ms Ivana Valentino - Flat 7, 8 Alhambra Road, Southsea</t>
  </si>
  <si>
    <t>Rent for period 26/04/2018 - 25/05/2018 from Miss Ximena Pintado - 23c Hampshire Terrace, Portsmouth</t>
  </si>
  <si>
    <t>Management Fee at 6% - 23c Hampshire Terrace, Portsmouth</t>
  </si>
  <si>
    <t>Amount payable to Ms Ivana Valentino - 23c Hampshire Terrace, Portsmouth</t>
  </si>
  <si>
    <t>Management Fee at 6% - 196b Kingston Road, Portsmouth</t>
  </si>
  <si>
    <t>Amount payable to Ms Ivana Valentino - 196b Kingston Road, Portsmouth</t>
  </si>
  <si>
    <t>Rent for period 14/05/2018 - 13/06/2018 from Mr John Sharpe - 196b Kingston Road, Portsmouth</t>
  </si>
  <si>
    <t>Rent for period 20/01/2018 - 19/02/2018 from Miss Sinead OBrien - Flat 19, 4-6 Alhambra Road, Southsea</t>
  </si>
  <si>
    <t>Management Fee at 6% - Flat 19, 4-6 Alhambra Road, Southsea</t>
  </si>
  <si>
    <t>Amount payable to Mr Mathew Tucker - Flat 19, 4-6 Alhambra Road, Southsea</t>
  </si>
  <si>
    <t>Management Fee at 6% - Flat 17, 4-6 Alhambra Road, Southsea</t>
  </si>
  <si>
    <t>Amount payable to Mr Mathew Tucker - Flat 17, 4-6 Alhambra Road, Southsea</t>
  </si>
  <si>
    <t>Rent for period 10/05/2018 - 09/06/2018 from Mr Johnathan Hill - Flat 17, 4-6 Alhambra Road, Southsea</t>
  </si>
  <si>
    <t>Management Fee at 6% - Flat 18, 4-6 Alhambra Road, Southsea</t>
  </si>
  <si>
    <t>Amount payable to Mr Mathew Tucker - Flat 18, 4-6 Alhambra Road, Southsea</t>
  </si>
  <si>
    <t>Rent for period 26/05/2018 - 25/06/2018 from Mrs Dionne McLaughlin - Flat 18, 4-6 Alhambra Road, Southsea</t>
  </si>
  <si>
    <t>Management Fee at 6% - Flat 10, 12-14 Alhambra Road, Southsea</t>
  </si>
  <si>
    <t>Amount payable to Mr Mathew Tucker - Flat 10, 12-14 Alhambra Road, Southsea</t>
  </si>
  <si>
    <t>Rent for period 20/05/2018 - 19/06/2018 from Mr Andrew England - Flat 10, 12-14 Alhambra Road, Southsea</t>
  </si>
  <si>
    <t>Management Fee at 6% - Flat 14, 12-14 Alhambra Road, Southsea</t>
  </si>
  <si>
    <t>Amount payable to Mr Mathew Tucker - Flat 14, 12-14 Alhambra Road, Southsea</t>
  </si>
  <si>
    <t>Rent for period 06/05/2018 - 05/06/2018 from Mr Tony Di-Marco - Flat 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</si>
  <si>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</si>
  <si>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</si>
  <si>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</si>
  <si>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</si>
  <si>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Rent for period 12/05/2018 - 11/06/2018 from Mr Peter Taperek - Flat 6, 16-18 Alhambra Road, Southsea</t>
  </si>
  <si>
    <t>Management Fee at 6% - Flat 1, 16-18 Alhambra Road, Southsea</t>
  </si>
  <si>
    <t>Amount payable to Mr Mathew Tucker - Flat 1, 16-18 Alhambra Road, Southsea</t>
  </si>
  <si>
    <t>Management Fee at 6% - Flat 11, 16-18 Alhambra Road, Southsea</t>
  </si>
  <si>
    <t>Amount payable to Mr Mathew Tucker - Flat 11, 16-18 Alhambra Road, Southsea</t>
  </si>
  <si>
    <t>Management Fee at 6% - Flat 1, 321 London Road, Portsmouth</t>
  </si>
  <si>
    <t>Amount payable to Mr Mathew Tucker - Flat 1, 321 London Road, Portsmouth</t>
  </si>
  <si>
    <t>Rent for period 23/05/2018 - 22/06/2018 from Mr David Connor - Flat 1, 321 London Road, Portsmouth</t>
  </si>
  <si>
    <t>Rent for period 23/04/2018 - 22/05/2018 from Ms Sharon Briscoe - Flat 2, 321 London Road, Portsmouth</t>
  </si>
  <si>
    <t>Management Fee at 6% - Flat 2, 321 London Road, Portsmouth</t>
  </si>
  <si>
    <t>Amount payable to Mr Mathew Tucker - Flat 2, 321 London Road, Portsmouth</t>
  </si>
  <si>
    <t>Management Fee at 6% - Flat 4, 321 London Road, Portsmouth</t>
  </si>
  <si>
    <t>Amount payable to Mr Mathew Tucker - Flat 4, 321 London Road, Portsmouth</t>
  </si>
  <si>
    <t>Rent for period 26/05/2018 - 25/06/2018 from Miss Carol Carrington - Flat 4, 321 London Road, Portsmouth</t>
  </si>
  <si>
    <t>Management Fee at 6% - Flat 4, 163 Fratton Road, Portsmouth</t>
  </si>
  <si>
    <t>Amount payable to Mr Mathew Tucker - Flat 4, 163 Fratton Road, Portsmouth</t>
  </si>
  <si>
    <t>Rent for period 17/05/2018 - 16/06/2018 from Mr Nicholas Wright - Flat 4, 163 Fratton Road, Portsmouth</t>
  </si>
  <si>
    <t>Rent for period 02/05/2018 - 01/06/2018 from Mr Michael Pedace - Flat 2, 171 Fawcett Road, Southsea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</si>
  <si>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</si>
  <si>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</si>
  <si>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</si>
  <si>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</si>
  <si>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</si>
  <si>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Amount payable to Mr Mathew Tucker - Flat 2, 169 Fawcett Road, Southsea</t>
  </si>
  <si>
    <t>Rent for period 11/05/2018 - 10/06/2018 from Mr Lee Knowles - Flat 2, 169 Fawcett Road, Southsea</t>
  </si>
  <si>
    <t>Management Fee at 6% - Flat 1, 169 Fawcett Road, Southsea</t>
  </si>
  <si>
    <t>Rent for period 06/05/2018 - 05/06/2018 from Ms Susan Parkinson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</si>
  <si>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</si>
  <si>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</si>
  <si>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</si>
  <si>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</si>
  <si>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</si>
  <si>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</si>
  <si>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</si>
  <si>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</si>
  <si>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</si>
  <si>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Rent for period 14/05/2018 - 13/06/2018 from Ms Sharon Smith - Flat 5, 8 Alhambra Road, Southsea</t>
  </si>
  <si>
    <t>Management Fee at 6% - 23b Hampshire Terrace, Portsmouth</t>
  </si>
  <si>
    <t>Amount payable to Mr Mathew Tucker - 23b Hampshire Terrace, Portsmouth</t>
  </si>
  <si>
    <t>Management Fee at 6% - Flat 3, 163 Fratton Road, Portsmouth</t>
  </si>
  <si>
    <t>Amount payable to Mr Mathew Tucker - Flat 3, 163 Fratton Road, Portsmouth</t>
  </si>
  <si>
    <t>Rent for period 14/05/2018 - 13/06/2018 from Mr Martin Brett - Flat 3, 163 Fratton Road, Portsmouth</t>
  </si>
  <si>
    <t>Management Fee at 6% - Flat 7, 12-14 Alhambra Road, Southsea</t>
  </si>
  <si>
    <t>Amount payable to Mr Mathew Tucker - Flat 7, 12-14 Alhambra Road, Southsea</t>
  </si>
  <si>
    <t>Rent for period 14/05/2018 - 13/06/2018 from Mr Aleksandra Raadzevics - Flat 7, 12-14 Alhambra Road, Southsea</t>
  </si>
  <si>
    <t>Rent for period 06/05/2018 - 05/06/2018 from Ms Kirstine Aldridge - Flat 1, 171 Fawcett Road, Southsea</t>
  </si>
  <si>
    <t>Management Fee at 6% - Flat 1, 171 Fawcett Road, Southsea</t>
  </si>
  <si>
    <t>Amount payable to Mr Mathew Tucker - Flat 1, 171 Fawcett Road, Southsea</t>
  </si>
  <si>
    <t>Rent for period 23/06/2018 - 22/07/2018 from Mr Michael Valverde - Flat 5, 12-14 Alhambra Road, Southsea</t>
  </si>
  <si>
    <t>Rent for period 18/06/2018 - 17/07/2018 from Mr Andrew Greer - Flat 3, 12-14 Alhambra Road, Southsea</t>
  </si>
  <si>
    <t>Rent for period 08/06/2018 - 07/07/2018 from Mr Matthew Skelton - Flat 22, 4-6 Alhambra Road, Southsea</t>
  </si>
  <si>
    <t>Rent for period 26/05/2018 - 25/06/2018 from Ms Lisa Pegg - Flat 8, 8 Alhambra Road, Southsea</t>
  </si>
  <si>
    <t>Rent for period 30/05/2018 - 29/06/2018 from Mr Andrew Austin - Flat 7, 8 Alhambra Road, Southsea</t>
  </si>
  <si>
    <t>AD Windows - Cigma - Flat 7, 8 Alhambra Road, Southsea</t>
  </si>
  <si>
    <t>Rent for period 14/06/2018 - 13/07/2018 from Mr John Sharpe - 196b Kingston Road, Portsmouth</t>
  </si>
  <si>
    <t>Rent for period 19/06/2018 - 18/07/2018 from Mr Peter Oakwell - Flat 11, 12-14 Alhambra Road, Southsea</t>
  </si>
  <si>
    <t>change locks to door - Cigma - Flat 11, 12-14 Alhambra Road, Southsea</t>
  </si>
  <si>
    <t>Rent for period 09/06/2018 - 08/07/2018 from Mr Nick Olsen - Flat 3, 171 Fawcett Road, Southsea</t>
  </si>
  <si>
    <t>change locks - S Underwood Maintenance &amp; Home Improvements - Flat 16, 16-18 Alhambra Road, Southsea</t>
  </si>
  <si>
    <t>Landlord Gas Safety - Beals Plumbing - Flat 12, 16-18 Alhambra Road, Southsea</t>
  </si>
  <si>
    <t>PL3058</t>
  </si>
  <si>
    <t>Rent for period 19/06/2018 - 18/07/2018 from Mr Jason Passmore - Flat 12, 16-18 Alhambra Road, Southsea</t>
  </si>
  <si>
    <t>Rent for period 08/06/2018 - 07/07/2018 from Mr Alan Young - Flat 7, 16-18 Alhambra Road, Southsea</t>
  </si>
  <si>
    <t>Rent for period 19/05/2018 - 18/06/2018 from Mr Aubrey Milligan - Flat 16, 12-14 Alhambra Road, Southsea</t>
  </si>
  <si>
    <t>Rent for period 16/05/2018 - 15/06/2018 from Miss Ausra Baziukiene - Flat 20, 4-6 Alhambra Road, Southsea</t>
  </si>
  <si>
    <t>Management Fee at 6% - Flat 20, 4-6 Alhambra Road, Southsea</t>
  </si>
  <si>
    <t>Amount payable to Mr Mathew Tucker - Flat 20, 4-6 Alhambra Road, Southsea</t>
  </si>
  <si>
    <t>Rent for period 20/02/2018 - 19/03/2018 from Miss Sinead OBrien - Flat 19, 4-6 Alhambra Road, Southsea</t>
  </si>
  <si>
    <t>Rent for period 10/06/2018 - 09/07/2018 from Mr Johnathan Hill - Flat 17, 4-6 Alhambra Road, Southsea</t>
  </si>
  <si>
    <t>Rent for period 26/06/2018 - 25/07/2018 from Mrs Dionne McLaughlin - Flat 18, 4-6 Alhambra Road, Southsea</t>
  </si>
  <si>
    <t>Rent for period 20/06/2018 - 19/07/2018 from Mr Andrew England - Flat 10, 12-14 Alhambra Road, Southsea</t>
  </si>
  <si>
    <t>Rent for period 06/06/2018 - 05/07/2018 from Mr Paul McIlwraith - Flat 14, 12-14 Alhambra Road, Southsea</t>
  </si>
  <si>
    <t>AD Toilet Flush -  - Flat 4, 12-14 Alhambra Road, Southsea</t>
  </si>
  <si>
    <t>Rent for period 06/06/2018 - 05/07/2018 from Mr Tony Di-Marco - Flat 4, 12-14 Alhambra Road, Southsea</t>
  </si>
  <si>
    <t>Rent for period 12/06/2018 - 11/07/2018 from Mr Peter Taperek - Flat 6, 16-18 Alhambra Road, Southsea</t>
  </si>
  <si>
    <t>AD Carpets - TMT Flooring - Flat 6, 16-18 Alhambra Road, Southsea</t>
  </si>
  <si>
    <t>Landlord Gas Safety - Beals Plumbing - Flat 6, 16-18 Alhambra Road, Southsea</t>
  </si>
  <si>
    <t>PL3135</t>
  </si>
  <si>
    <t>Rent for period 05/06/2018 - 04/07/2018 from Mr Kit Conrad - Flat 1, 16-18 Alhambra Road, Southsea</t>
  </si>
  <si>
    <t>Rodents - S Underwood Maintenance &amp; Home Improvements - Flat 1, 16-18 Alhambra Road, Southsea</t>
  </si>
  <si>
    <t>rat in the bathroom - S Underwood Maintenance &amp; Home Improvements - Flat 1, 16-18 Alhambra Road, Southsea</t>
  </si>
  <si>
    <t>Rent for period 12/06/2018 - 11/07/2018 from Mr Sam Yates - Flat 11, 16-18 Alhambra Road, Southsea</t>
  </si>
  <si>
    <t>Rent for period 23/06/2018 - 22/07/2018 from Mr David Connor - Flat 1, 321 London Road, Portsmouth</t>
  </si>
  <si>
    <t>Rent for period 23/05/2018 - 22/06/2018 from Ms Sharon Briscoe - Flat 2, 321 London Road, Portsmouth</t>
  </si>
  <si>
    <t>Rent for period 26/06/2018 - 25/07/2018 from Miss Carol Carrington - Flat 4, 321 London Road, Portsmouth</t>
  </si>
  <si>
    <t>Landlord Gas Safety - Beals Plumbing - Flat 4, 163 Fratton Road, Portsmouth</t>
  </si>
  <si>
    <t>PL3060</t>
  </si>
  <si>
    <t>Rent for period 17/06/2018 - 16/07/2018 from Mr Nicholas Wright - Flat 4, 163 Fratton Road, Portsmouth</t>
  </si>
  <si>
    <t>Rent for period 02/06/2018 - 01/07/2018 from Mr Michael Pedace - Flat 2, 171 Fawcett Road, Southsea</t>
  </si>
  <si>
    <t>Rent for period 15/06/2018 - 14/07/2018 from Mr Graham Robinson - Flat 3, 169 Fawcett Road, Southsea</t>
  </si>
  <si>
    <t>Rent for period 11/06/2018 - 10/07/2018 from Mr Lee Knowles - Flat 2, 169 Fawcett Road, Southsea</t>
  </si>
  <si>
    <t>Rent for period 06/06/2018 - 05/07/2018 from Ms Susan Parkinson - Flat 1, 169 Fawcett Road, Southsea</t>
  </si>
  <si>
    <t>Rent for period 11/06/2018 - 10/07/2018 from Mr Martin Gliszczynski (SIE-SOF T/A Pol Help) - Shop, 196 Kingston Road, Portsmouth</t>
  </si>
  <si>
    <t>Rent for period 01/06/2018 - 30/06/2018 from Ms Joyce Henson - 196a Kingston Road, Portsmouth</t>
  </si>
  <si>
    <t>Rent for period 08/06/2018 - 07/07/2018 from Mr Antony Raymond Hinks - Flat 6, 8 Alhambra Road, Southsea</t>
  </si>
  <si>
    <t>Rent for period 14/06/2018 - 13/07/2018 from Ms Sharon Smith - Flat 5, 8 Alhambra Road, Southsea</t>
  </si>
  <si>
    <t>Rent for period 01/06/2018 - 30/06/2018 from Mr AK MD ARIF IZZUDDIN PG HJ ISMAIL - 23b Hampshire Terrace, Portsmouth</t>
  </si>
  <si>
    <t>Rent for period 01/06/2018 - 30/06/2018 from Mr AK MD AFIF IZZUDDIN PG HJ ISMAIL - 23b Hampshire Terrace, Portsmouth</t>
  </si>
  <si>
    <t>Rent for period 14/06/2018 - 13/07/2018 from Mr Martin Brett - Flat 3, 163 Fratton Road, Portsmouth</t>
  </si>
  <si>
    <t>Rent for period 14/06/2018 - 13/07/2018 from Mr Aleksandra Raadzevics - Flat 7, 12-14 Alhambra Road, Southsea</t>
  </si>
  <si>
    <t>Rent for period 06/06/2018 - 05/07/2018 from Ms Kirstine Aldridge - Flat 1, 171 Fawcett Road, Southsea</t>
  </si>
  <si>
    <t>STIRLING HOUSE CAF    ON 31 MAY          CLP</t>
  </si>
  <si>
    <t>SPORTSDIRECT 233      ON 02 JUN          CLP</t>
  </si>
  <si>
    <t>NEW COUNTY SERVICE    ON 01 JUN          CLP</t>
  </si>
  <si>
    <t>PETS AT HOME          ON 02 JUN          CLP</t>
  </si>
  <si>
    <t>STIRLING HOUSE CAF    ON 01 JUN          CLP</t>
  </si>
  <si>
    <t>NEW COUNTY SERVICE    ON 31 MAY          BCC</t>
  </si>
  <si>
    <t>PP*AMPTHILLPAR        ON 02 JUN          BCC</t>
  </si>
  <si>
    <t>STIRLING HOUSE CAF    ON 04 JUN          CLP</t>
  </si>
  <si>
    <t>STIRLING HOUSE CAF    ON 05 JUN          CLP</t>
  </si>
  <si>
    <t xml:space="preserve">TESCO                 TESCO MILTON          </t>
  </si>
  <si>
    <t>GAYATRI FOOD          ON 07 JUN          CLP</t>
  </si>
  <si>
    <t>SHELL GIBBET 142      ON 07 JUN          BCC</t>
  </si>
  <si>
    <t>Audible Ltd           ON 07 JUN          BCC</t>
  </si>
  <si>
    <t>BP BEDFORD EXPRESS    ON 08 JUN          CLP</t>
  </si>
  <si>
    <t>NEW COUNTY SERVICE    ON 08 JUN          CLP</t>
  </si>
  <si>
    <t>STIRLING HOUSE CAF    ON 08 JUN          CLP</t>
  </si>
  <si>
    <t>MARSTON VALE SERVI    ON 09 JUN          BCC</t>
  </si>
  <si>
    <t>Audible.co.uk         ON 10 JUN          BCC</t>
  </si>
  <si>
    <t>WATER BEACH PHARMA    ON 11 JUN          CLP</t>
  </si>
  <si>
    <t>STIRLING HOUSE CAF    ON 11 JUN          CLP</t>
  </si>
  <si>
    <t>STIRLING HOUSE CAF    ON 12 JUN          CLP</t>
  </si>
  <si>
    <t>TRADERSZ              ON 12 JUN          BCC</t>
  </si>
  <si>
    <t>T K MAXX              ON 13 JUN          BCC</t>
  </si>
  <si>
    <t>PETS AT HOME          ON 13 JUN          BCC</t>
  </si>
  <si>
    <t>Spotify P06549B0FD    ON 13 JUN          BCC</t>
  </si>
  <si>
    <t>HALFORDS 0887         ON 14 JUN          CLP</t>
  </si>
  <si>
    <t>NEW COUNTY SERVICE    ON 14 JUN          BCC</t>
  </si>
  <si>
    <t>207409 40406538       001181660000134    TFR</t>
  </si>
  <si>
    <t>TESCO STORE 2889      ON 15 JUN          CLP</t>
  </si>
  <si>
    <t>CARDTRONICS UK LTD    SHELL BALDOCK</t>
  </si>
  <si>
    <t>CHIQUITO 2061         ON 16 JUN          BCC</t>
  </si>
  <si>
    <t>WELCOME B/STH MIMM    ON 17 JUN          BCC</t>
  </si>
  <si>
    <t>NEW COUNTY SERVICE    ON 17 JUN          BCC</t>
  </si>
  <si>
    <t>STIRLING HOUSE CAF    ON 18 JUN          CLP</t>
  </si>
  <si>
    <t>STIRLING HOUSE CAF    ON 19 JUN          CLP</t>
  </si>
  <si>
    <t>NEW COUNTY SERVICE    ON 20 JUN          BCC</t>
  </si>
  <si>
    <t>SIMPLY BUSINESS       ON 21 JUN          BCC</t>
  </si>
  <si>
    <t>PUSHDOCTOR PUSH DO    ON 21 JUN          BCC</t>
  </si>
  <si>
    <t>STARBUCKS             ON 23 JUN          CLP</t>
  </si>
  <si>
    <t>STIRLING HOUSE CAF    ON 22 JUN          CLP</t>
  </si>
  <si>
    <t>CO-OP GROUP PETROL    ON 23 JUN          CLP</t>
  </si>
  <si>
    <t>PETS AT HOME          ON 24 JUN          BCC</t>
  </si>
  <si>
    <t>SHELL HEMEL 012       ON 23 JUN          BCC</t>
  </si>
  <si>
    <t>NEW COUNTY SERVICE    ON 22 JUN          BCC</t>
  </si>
  <si>
    <t xml:space="preserve">209254 13438023       ARM                FT </t>
  </si>
  <si>
    <t>44FLITWICK            FLITWICK 44        BCC</t>
  </si>
  <si>
    <t>STIRLING HOUSE CAF    ON 25 JUN          CLP</t>
  </si>
  <si>
    <t xml:space="preserve">NOTEMACHINE           COSTCUTTER            </t>
  </si>
  <si>
    <t>BP BEDFORD EXPRESS    ON 24 JUN          BCC</t>
  </si>
  <si>
    <t>11.37 on 26/06/18     M6 FLITWICK        ASD</t>
  </si>
  <si>
    <t>COSTCUTTER            ON 25 JUN          BCC</t>
  </si>
  <si>
    <t>TESCO STORE 2105      ON 27 JUN          BCC</t>
  </si>
  <si>
    <t>MORTGAGE TRUST        002197389 10104080 DDR</t>
  </si>
  <si>
    <t>MORTGAGE TRUST        002186357 10104080 DDR</t>
  </si>
  <si>
    <t>MORTGAGE TRUST        002186356 10104080 DDR</t>
  </si>
  <si>
    <t>MORTGAGE TRUST        002186317 10104080 DDR</t>
  </si>
  <si>
    <t>VLS RE CLOSE BROS     273295203496990    DDR</t>
  </si>
  <si>
    <t>TOPAZ FIN JASPER      PRU00010/191462710 DDR</t>
  </si>
  <si>
    <t xml:space="preserve">205397 00796751       MOBILE-CHANNEL     FT </t>
  </si>
  <si>
    <t>BT GROUP PLC          GB14092007-000045  DDR</t>
  </si>
  <si>
    <t>TOPAZ FIN JASPER      PRU00010/190859506 DDR</t>
  </si>
  <si>
    <t xml:space="preserve">TOPAZ FIN JASPER      PRU00010/190885105    </t>
  </si>
  <si>
    <t xml:space="preserve">ONECALL INSURANCE     OIP-5-3104389         </t>
  </si>
  <si>
    <t xml:space="preserve">CHARGES               Pers OD Tier 3        </t>
  </si>
  <si>
    <t>H3G                   980404269602220618 DDR</t>
  </si>
  <si>
    <t xml:space="preserve"> </t>
  </si>
  <si>
    <t>BP BEDFORD EXPRESS    ON 02 JUN          CLP</t>
  </si>
  <si>
    <t>WILKO BEDFORD INT     ON 02 JUN          CLP</t>
  </si>
  <si>
    <t>MATALAN               ON 02 JUN          CLP</t>
  </si>
  <si>
    <t>COSTA COFFEE 43035    ON 02 JUN          CLP</t>
  </si>
  <si>
    <t>BOOTS 6407            ON 02 JUN          CLP</t>
  </si>
  <si>
    <t xml:space="preserve">TESCO                 TESCO BE BR DR EXP    </t>
  </si>
  <si>
    <t>FRANKIE &amp; BENNYS 5    ON 01 JUN          BCC</t>
  </si>
  <si>
    <t>DUNELM (SOFT FURNI    ON 01 JUN          BCC</t>
  </si>
  <si>
    <t>CAPADOCIA             ON 04 JUN          CLP</t>
  </si>
  <si>
    <t>MARKS&amp;SPENCER PLC     ON 04 JUN          CLP</t>
  </si>
  <si>
    <t>COSTA COFFEE          ON 04 JUN          CLP</t>
  </si>
  <si>
    <t>COSTA COFFEE 43035    ON 04 JUN          CLP</t>
  </si>
  <si>
    <t>WM MORRISON PETROL    ON 04 JUN          BCC</t>
  </si>
  <si>
    <t>OUTFIT                ON 04 JUN          BCC</t>
  </si>
  <si>
    <t>NEXT MILTON KEYNES    ON 04 JUN          BCC</t>
  </si>
  <si>
    <t>WEIGHT WATCHERS UK    ON 04 JUN          BCC</t>
  </si>
  <si>
    <t>MKC PARKING RINGGO    ON 04 JUN          BCC</t>
  </si>
  <si>
    <t>TESCO STORE 2105      ON 05 JUN          CLP</t>
  </si>
  <si>
    <t>COSTA COFFEE 43035    ON 05 JUN          CLP</t>
  </si>
  <si>
    <t>MARKS&amp;SPENCER PLC     ON 06 JUN          CLP</t>
  </si>
  <si>
    <t>COSTA COFFEE 43035    ON 06 JUN          CLP</t>
  </si>
  <si>
    <t>T K MAXX              ON 06 JUN          BCC</t>
  </si>
  <si>
    <t>OUTFIT                ON 06 JUN          BCC</t>
  </si>
  <si>
    <t>T K MAXX              ON 07 JUN          BCC</t>
  </si>
  <si>
    <t>OUTFIT                ON 07 JUN          BCC</t>
  </si>
  <si>
    <t>BP BEDFORD EXPRESS    ON 06 JUN          CLP</t>
  </si>
  <si>
    <t>COSTA COFFEE 43035    ON 07 JUN          CLP</t>
  </si>
  <si>
    <t>CURRYS S/S            ON 07 JUN          BCC</t>
  </si>
  <si>
    <t>BEDFORD BOROUGH CO    ON 07 JUN          BCC</t>
  </si>
  <si>
    <t>MARKS&amp;SPENCER PLC     ON 08 JUN          BCC</t>
  </si>
  <si>
    <t>BP NEWHAM AVENUE C    ON 07 JUN          BCC</t>
  </si>
  <si>
    <t>WM MORRISON STORE     ON 11 JUN          CLP</t>
  </si>
  <si>
    <t>BP BEDFORD EXPRESS    ON 10 JUN          CLP</t>
  </si>
  <si>
    <t xml:space="preserve">NATIONWIDE B.S.       SILBURY ARCADE        </t>
  </si>
  <si>
    <t>SALLY SALON SERVIC    ON 11 JUN          BCC</t>
  </si>
  <si>
    <t>WM MORRISON PETROL    ON 11 JUN          BCC</t>
  </si>
  <si>
    <t>MENKIND LTD - M KE    ON 12 JUN          CLP</t>
  </si>
  <si>
    <t>BP BEDFORD EXPRESS    ON 11 JUN          CLP</t>
  </si>
  <si>
    <t>HOLLAND &amp; BARRETT     ON 12 JUN          CLP</t>
  </si>
  <si>
    <t>SES MILTONKEYNES      ON 12 JUN          CLP</t>
  </si>
  <si>
    <t>COSTA COFFEE          ON 12 JUN          CLP</t>
  </si>
  <si>
    <t>MARKS&amp;SPENCER PLC     ON 12 JUN          BCC</t>
  </si>
  <si>
    <t>MARKS&amp;SPENCER PLC     ON 13 JUN          CLP</t>
  </si>
  <si>
    <t>COSTA COFFEE 43035    ON 13 JUN          CLP</t>
  </si>
  <si>
    <t>207409 60458872       001181660000134    TFR</t>
  </si>
  <si>
    <t>COSTA COFFEE 43037    ON 14 JUN          CLP</t>
  </si>
  <si>
    <t>MCDONALDS             ON 14 JUN          CLP</t>
  </si>
  <si>
    <t>TESCO STORE 2105      ON 14 JUN          BCC</t>
  </si>
  <si>
    <t>T K MAXX              ON 14 JUN          BCC</t>
  </si>
  <si>
    <t>MARKS&amp;SPENCER PLC     ON 15 JUN          CLP</t>
  </si>
  <si>
    <t>CARD FACTORY          ON 15 JUN          CLP</t>
  </si>
  <si>
    <t>MONSOON/ACCZ LTD      ON 15 JUN          BCC</t>
  </si>
  <si>
    <t>NEXT RETAIL LTD       ON 16 JUN          BCC</t>
  </si>
  <si>
    <t>TESCO PAY AT PUMP     ON 15 JUN          BCC</t>
  </si>
  <si>
    <t>MKC PARKING RINGGO    ON 15 JUN          BCC</t>
  </si>
  <si>
    <t>COSTA COFFEE 43035    ON 18 JUN          CLP</t>
  </si>
  <si>
    <t>MCDONALDS             ON 18 JUN          CLP</t>
  </si>
  <si>
    <t>LIDL UK BEDFORD       ON 18 JUN          BCC</t>
  </si>
  <si>
    <t>PETS AT HOME          ON 18 JUN          BCC</t>
  </si>
  <si>
    <t>TESCO STORE 2105      ON 18 JUN          BCC</t>
  </si>
  <si>
    <t>BOOTS 6407            ON 19 JUN          CLP</t>
  </si>
  <si>
    <t>ALDI STORES 776-97    ON 19 JUN          CLP</t>
  </si>
  <si>
    <t>MCDONALDS             ON 19 JUN          CLP</t>
  </si>
  <si>
    <t>COSTA COFFEE 43035    ON 19 JUN          CLP</t>
  </si>
  <si>
    <t>COSTA COFFEE 43035    ON 20 JUN          CLP</t>
  </si>
  <si>
    <t>MARKS&amp;SPENCER PLC     ON 21 JUN          CLP</t>
  </si>
  <si>
    <t>BOOTS THE CHEMISTS    ON 23 JUN          CLP</t>
  </si>
  <si>
    <t>BP BEDFORD EXPRESS    ON 23 JUN          CLP</t>
  </si>
  <si>
    <t>COSTA COFFEE 43035    ON 22 JUN          CLP</t>
  </si>
  <si>
    <t>BP BEDFORD EXPRESS    ON 22 JUN          BCC</t>
  </si>
  <si>
    <t>FRANKIE &amp; BENNYS 5    ON 23 JUN          BCC</t>
  </si>
  <si>
    <t>MARKS&amp;SPENCER PLC     ON 25 JUN          BCC</t>
  </si>
  <si>
    <t>TESCO STORES-2105     ON 25 JUN          CLP</t>
  </si>
  <si>
    <t>PETS AT HOME          ON 25 JUN          CLP</t>
  </si>
  <si>
    <t>COSTA COFFEE 43035    ON 25 JUN          CLP</t>
  </si>
  <si>
    <t>LATCHFORD &amp; LATCHF    ON 25 JUN          BCC</t>
  </si>
  <si>
    <t>WM MORRISON PETROL    ON 25 JUN          BCC</t>
  </si>
  <si>
    <t>PHONEANDPAY.CO.UK     ON 25 JUN          BCC</t>
  </si>
  <si>
    <t>MARKS&amp;SPENCER PLC     ON 26 JUN          CLP</t>
  </si>
  <si>
    <t>COSTA COFFEE 43035    ON 26 JUN          CLP</t>
  </si>
  <si>
    <t>SPORTSDIRECT 233      ON 26 JUN          BCC</t>
  </si>
  <si>
    <t>TESCO STORE 2105      ON 27 JUN          CLP</t>
  </si>
  <si>
    <t>TESCO STORES 6579     ON 27 JUN          CLP</t>
  </si>
  <si>
    <t>BRICKHILL SUPERMAR    ON 27 JUN          BCC</t>
  </si>
  <si>
    <t>TESCO STORES-2105     ON 28 JUN          CLP</t>
  </si>
  <si>
    <t>COSTA COFFEE 43035    ON 28 JUN          CLP</t>
  </si>
  <si>
    <t>BEDFORD BOROUGH CO    ON 27 JUN          BCC</t>
  </si>
  <si>
    <t>H3G                   976046856201270618 DDR</t>
  </si>
  <si>
    <t>Payment from ARM for Dog and John the plumber</t>
  </si>
  <si>
    <t>Withdraw cash for Dog and John the plumber</t>
  </si>
  <si>
    <t>Professional Indemnity insurance</t>
  </si>
  <si>
    <t>CLAIRES ACCESSORI    ON 15 JUN          BCC</t>
  </si>
  <si>
    <t/>
  </si>
  <si>
    <t>BK</t>
  </si>
  <si>
    <t>BK,MT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</si>
  <si>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</si>
  <si>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</si>
  <si>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</si>
  <si>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</si>
  <si>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</si>
  <si>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</si>
  <si>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</si>
  <si>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</si>
  <si>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</si>
  <si>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</si>
  <si>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</si>
  <si>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</si>
  <si>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</si>
  <si>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</si>
  <si>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</si>
  <si>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</si>
  <si>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</si>
  <si>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</si>
  <si>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</si>
  <si>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</si>
  <si>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Ximena Pintado (26/10/2017 - present)</t>
  </si>
  <si>
    <t>Miss S Smith (14/10/2016 - present)</t>
  </si>
  <si>
    <t>Mr Hinks (08/11/2013 - present)</t>
  </si>
  <si>
    <t>Andrew Austin (30/04/2018 -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</si>
  <si>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</si>
  <si>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</si>
  <si>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</si>
  <si>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</si>
  <si>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</si>
  <si>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Matthew Skelton (08/02/2018 - present)</t>
  </si>
  <si>
    <t>Radames Perez, Miss Vanessa Bergamo (31/01/2018 -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</si>
  <si>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</si>
  <si>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</si>
  <si>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</si>
  <si>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</si>
  <si>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</si>
  <si>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</si>
  <si>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</si>
  <si>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</si>
  <si>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</si>
  <si>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</si>
  <si>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</si>
  <si>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</si>
  <si>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</si>
  <si>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</si>
  <si>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</si>
  <si>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</si>
  <si>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</si>
  <si>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</si>
  <si>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</si>
  <si>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</si>
  <si>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</si>
  <si>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</si>
  <si>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</si>
  <si>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Cash transfer - Internal transfer</t>
  </si>
  <si>
    <t>Cash transfer - Money transfered to tenant account for PVVV</t>
  </si>
  <si>
    <t>Reversal - Flat 22, 4-6 Alhambra Road, Southsea</t>
  </si>
  <si>
    <t>AD - Lounge window handle - S Underwood Property Maintenance LTD - Flat 16, 12-14 Alhambra Road, Southsea</t>
  </si>
  <si>
    <t>AD - oven not heating up - Kingston Domestics - Flat 16, 12-14 Alhambra Road, Southsea</t>
  </si>
  <si>
    <t>Communal Clean - May - FAC Contract Cleaning LTD - Flat 1, 321 London Road, Portsmouth</t>
  </si>
  <si>
    <t>leak into 2 from 3 - S Underwood Maintenance &amp; Home Improvements - Flat 2, 171 Fawcett Road, Southsea</t>
  </si>
  <si>
    <t>VAT Attend Site, Supply &amp; Fit 1x Smoke Alarm &amp; 1x CO Alarm  - Beals Property Management - Flat 2, 169 Fawcett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</si>
  <si>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</si>
  <si>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</si>
  <si>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</si>
  <si>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</si>
  <si>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</si>
  <si>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</si>
  <si>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</si>
  <si>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</si>
  <si>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</si>
  <si>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Check insurance claim paid and refurb</t>
  </si>
  <si>
    <t>One tenant not paid</t>
  </si>
  <si>
    <t>Paid 2 months in MAY</t>
  </si>
  <si>
    <t>Check.</t>
  </si>
  <si>
    <t>Check</t>
  </si>
  <si>
    <t>c/f May</t>
  </si>
  <si>
    <t>Owed to IV 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</si>
</sst>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0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5" fillId="8" borderId="6" xfId="0" applyFont="1" applyFill="1" applyBorder="1" applyProtection="1">
      <protection locked="0"/>
    </xf>
    <xf numFmtId="0" fontId="0" fillId="9" borderId="0" xfId="0" applyFill="1"/>
    <xf numFmtId="14" fontId="0" fillId="0" borderId="0" xfId="0" applyNumberFormat="1"/>
    <xf numFmtId="9" fontId="0" fillId="0" borderId="7" xfId="0" applyNumberFormat="1" applyFill="1" applyBorder="1"/>
    <xf numFmtId="0" fontId="20" fillId="0" borderId="12" xfId="0" applyFont="1" applyFill="1" applyBorder="1" applyAlignment="1">
      <alignment wrapText="1"/>
    </xf>
    <xf numFmtId="9" fontId="0" fillId="0" borderId="0" xfId="0" applyNumberFormat="1" applyFill="1" applyBorder="1"/>
    <xf numFmtId="0" fontId="23" fillId="0" borderId="0" xfId="0" applyFont="1"/>
    <xf numFmtId="14" fontId="0" fillId="0" borderId="0" xfId="0" applyNumberFormat="1"/>
    <xf numFmtId="166" fontId="5" fillId="5" borderId="6" xfId="0" applyNumberFormat="1" applyFont="1" applyFill="1" applyBorder="1" applyProtection="1">
      <protection locked="0"/>
    </xf>
    <xf numFmtId="0" fontId="5" fillId="10" borderId="6" xfId="0" applyFont="1" applyFill="1" applyBorder="1" applyProtection="1">
      <protection locked="0"/>
    </xf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topLeftCell="A4" zoomScale="70" zoomScaleNormal="70" workbookViewId="0">
      <selection activeCell="P62" sqref="P21:P62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43281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1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146">
        <f>IF(F9&lt;&gt;"",-(F9-G9-H9-I9-J9),0)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1021</v>
      </c>
      <c r="C10" s="27" t="s">
        <v>95</v>
      </c>
      <c r="D10" s="81">
        <v>43243</v>
      </c>
      <c r="E10" s="85">
        <v>43303</v>
      </c>
      <c r="F10" s="86">
        <v>461.52</v>
      </c>
      <c r="G10" s="83">
        <v>27.69</v>
      </c>
      <c r="H10" s="83">
        <v>5.54</v>
      </c>
      <c r="I10" s="84">
        <v>25</v>
      </c>
      <c r="J10" s="87">
        <v>403.29</v>
      </c>
      <c r="K10" s="85">
        <v>43256.650567129633</v>
      </c>
      <c r="L10" s="84"/>
      <c r="M10" s="121">
        <f t="shared" ref="M10:M63" si="1">IF(F10-G10-H10-I10-L10&lt;&gt;0, F10-G10-H10-I10-L10,"")</f>
        <v>403.28999999999996</v>
      </c>
      <c r="N10" s="47" t="s">
        <v>6</v>
      </c>
      <c r="O10" s="86">
        <v>159.34</v>
      </c>
      <c r="P10" s="46">
        <f t="shared" si="0"/>
        <v>243.94999999999996</v>
      </c>
      <c r="Q10" s="147">
        <f t="shared" ref="Q10:Q63" si="2">IF(F10&lt;&gt;"",-(F10-G10-H10-I10-J10),0)</f>
        <v>5.6843418860808015E-14</v>
      </c>
      <c r="R10" s="60" t="s">
        <v>566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1022</v>
      </c>
      <c r="C11" s="27" t="s">
        <v>1023</v>
      </c>
      <c r="D11" s="81">
        <v>43213</v>
      </c>
      <c r="E11" s="85">
        <v>43273</v>
      </c>
      <c r="F11" s="86">
        <v>500</v>
      </c>
      <c r="G11" s="83">
        <v>30</v>
      </c>
      <c r="H11" s="83">
        <v>6</v>
      </c>
      <c r="I11" s="84"/>
      <c r="J11" s="87">
        <v>464</v>
      </c>
      <c r="K11" s="85">
        <v>43262.641192129631</v>
      </c>
      <c r="L11" s="84"/>
      <c r="M11" s="121">
        <f t="shared" si="1"/>
        <v>464</v>
      </c>
      <c r="N11" s="47" t="s">
        <v>6</v>
      </c>
      <c r="O11" s="86">
        <v>145.03</v>
      </c>
      <c r="P11" s="46">
        <f t="shared" si="0"/>
        <v>318.97000000000003</v>
      </c>
      <c r="Q11" s="147">
        <f t="shared" si="2"/>
        <v>0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1014</v>
      </c>
      <c r="C12" s="27"/>
      <c r="D12" s="81"/>
      <c r="E12" s="85"/>
      <c r="F12" s="86"/>
      <c r="G12" s="83"/>
      <c r="H12" s="83"/>
      <c r="I12" s="84"/>
      <c r="J12" s="87"/>
      <c r="K12" s="85"/>
      <c r="L12" s="84"/>
      <c r="M12" s="121" t="str">
        <f t="shared" si="1"/>
        <v/>
      </c>
      <c r="N12" s="47" t="s">
        <v>202</v>
      </c>
      <c r="O12" s="86">
        <v>109.15</v>
      </c>
      <c r="P12" s="46">
        <f t="shared" si="0"/>
        <v>-109.15</v>
      </c>
      <c r="Q12" s="147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1024</v>
      </c>
      <c r="C13" s="27" t="s">
        <v>95</v>
      </c>
      <c r="D13" s="81">
        <v>43246</v>
      </c>
      <c r="E13" s="85">
        <v>43306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43256.650567129633</v>
      </c>
      <c r="L13" s="84"/>
      <c r="M13" s="121">
        <f t="shared" si="1"/>
        <v>428.28999999999996</v>
      </c>
      <c r="N13" s="47" t="s">
        <v>6</v>
      </c>
      <c r="O13" s="86">
        <v>159.38</v>
      </c>
      <c r="P13" s="46">
        <f t="shared" si="0"/>
        <v>268.90999999999997</v>
      </c>
      <c r="Q13" s="147">
        <f t="shared" si="2"/>
        <v>5.6843418860808015E-14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1" t="str">
        <f t="shared" si="1"/>
        <v/>
      </c>
      <c r="N14" s="47"/>
      <c r="O14" s="82"/>
      <c r="P14" s="46">
        <f t="shared" si="0"/>
        <v>0</v>
      </c>
      <c r="Q14" s="147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1025</v>
      </c>
      <c r="C15" s="27" t="s">
        <v>1023</v>
      </c>
      <c r="D15" s="81">
        <v>43226</v>
      </c>
      <c r="E15" s="81">
        <v>43286</v>
      </c>
      <c r="F15" s="86">
        <v>466.12</v>
      </c>
      <c r="G15" s="83">
        <v>27.98</v>
      </c>
      <c r="H15" s="83">
        <v>5.59</v>
      </c>
      <c r="I15" s="84"/>
      <c r="J15" s="87">
        <v>432.55</v>
      </c>
      <c r="K15" s="85">
        <v>43256.650567129633</v>
      </c>
      <c r="L15" s="84"/>
      <c r="M15" s="121">
        <f t="shared" si="1"/>
        <v>432.55</v>
      </c>
      <c r="N15" s="47" t="s">
        <v>6</v>
      </c>
      <c r="O15" s="86">
        <v>143.55000000000001</v>
      </c>
      <c r="P15" s="46">
        <f t="shared" si="0"/>
        <v>289</v>
      </c>
      <c r="Q15" s="147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1026</v>
      </c>
      <c r="C16" s="27" t="s">
        <v>95</v>
      </c>
      <c r="D16" s="81">
        <v>43231</v>
      </c>
      <c r="E16" s="85">
        <v>43291</v>
      </c>
      <c r="F16" s="86">
        <v>461.52</v>
      </c>
      <c r="G16" s="83">
        <v>27.69</v>
      </c>
      <c r="H16" s="83">
        <v>5.54</v>
      </c>
      <c r="I16" s="84">
        <v>11</v>
      </c>
      <c r="J16" s="87">
        <v>417.29</v>
      </c>
      <c r="K16" s="85">
        <v>43256.650567129633</v>
      </c>
      <c r="L16" s="84"/>
      <c r="M16" s="121">
        <f t="shared" si="1"/>
        <v>417.28999999999996</v>
      </c>
      <c r="N16" s="47" t="s">
        <v>6</v>
      </c>
      <c r="O16" s="86">
        <v>109.73</v>
      </c>
      <c r="P16" s="46">
        <f t="shared" si="0"/>
        <v>307.55999999999995</v>
      </c>
      <c r="Q16" s="147">
        <f t="shared" si="2"/>
        <v>5.6843418860808015E-14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1027</v>
      </c>
      <c r="C17" s="27" t="s">
        <v>95</v>
      </c>
      <c r="D17" s="81">
        <v>43266</v>
      </c>
      <c r="E17" s="85">
        <v>43295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43277.639456018522</v>
      </c>
      <c r="L17" s="84"/>
      <c r="M17" s="121">
        <f t="shared" si="1"/>
        <v>464</v>
      </c>
      <c r="N17" s="47" t="s">
        <v>6</v>
      </c>
      <c r="O17" s="86">
        <v>140.36000000000001</v>
      </c>
      <c r="P17" s="46">
        <f t="shared" si="0"/>
        <v>323.64</v>
      </c>
      <c r="Q17" s="147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1" t="str">
        <f t="shared" si="1"/>
        <v/>
      </c>
      <c r="N18" s="47"/>
      <c r="O18" s="82"/>
      <c r="P18" s="46">
        <f t="shared" si="0"/>
        <v>0</v>
      </c>
      <c r="Q18" s="147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1028</v>
      </c>
      <c r="C19" s="27" t="s">
        <v>95</v>
      </c>
      <c r="D19" s="81">
        <v>43226</v>
      </c>
      <c r="E19" s="81">
        <v>43286</v>
      </c>
      <c r="F19" s="86">
        <v>510</v>
      </c>
      <c r="G19" s="83">
        <v>30.6</v>
      </c>
      <c r="H19" s="83">
        <v>6.12</v>
      </c>
      <c r="I19" s="84"/>
      <c r="J19" s="87">
        <v>473.28</v>
      </c>
      <c r="K19" s="85">
        <v>43277.639456018522</v>
      </c>
      <c r="L19" s="84"/>
      <c r="M19" s="121">
        <f t="shared" si="1"/>
        <v>473.28</v>
      </c>
      <c r="N19" s="47" t="s">
        <v>6</v>
      </c>
      <c r="O19" s="86">
        <v>212.8</v>
      </c>
      <c r="P19" s="46">
        <f t="shared" si="0"/>
        <v>260.47999999999996</v>
      </c>
      <c r="Q19" s="147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1029</v>
      </c>
      <c r="C20" s="27" t="s">
        <v>95</v>
      </c>
      <c r="D20" s="81">
        <v>43222</v>
      </c>
      <c r="E20" s="85">
        <v>43282</v>
      </c>
      <c r="F20" s="86">
        <v>461.52</v>
      </c>
      <c r="G20" s="83">
        <v>27.69</v>
      </c>
      <c r="H20" s="83">
        <v>5.54</v>
      </c>
      <c r="I20" s="84">
        <v>150</v>
      </c>
      <c r="J20" s="87">
        <v>278.29000000000002</v>
      </c>
      <c r="K20" s="85">
        <v>43256.650567129633</v>
      </c>
      <c r="L20" s="84"/>
      <c r="M20" s="121">
        <f t="shared" si="1"/>
        <v>278.28999999999996</v>
      </c>
      <c r="N20" s="47" t="s">
        <v>6</v>
      </c>
      <c r="O20" s="86">
        <v>188.25</v>
      </c>
      <c r="P20" s="46">
        <f t="shared" si="0"/>
        <v>90.039999999999964</v>
      </c>
      <c r="Q20" s="147">
        <f t="shared" si="2"/>
        <v>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1030</v>
      </c>
      <c r="C21" s="27" t="s">
        <v>95</v>
      </c>
      <c r="D21" s="81">
        <v>43229</v>
      </c>
      <c r="E21" s="85">
        <v>43289</v>
      </c>
      <c r="F21" s="86">
        <v>461.52</v>
      </c>
      <c r="G21" s="83">
        <v>27.69</v>
      </c>
      <c r="H21" s="83">
        <v>5.54</v>
      </c>
      <c r="I21" s="84"/>
      <c r="J21" s="87">
        <v>428.29</v>
      </c>
      <c r="K21" s="85">
        <v>43256.650567129633</v>
      </c>
      <c r="L21" s="84"/>
      <c r="M21" s="121">
        <f t="shared" si="1"/>
        <v>428.28999999999996</v>
      </c>
      <c r="N21" s="47" t="s">
        <v>6</v>
      </c>
      <c r="O21" s="86">
        <v>228.8</v>
      </c>
      <c r="P21" s="46">
        <f>IFERROR(IF(M21-O21&lt;&gt;0,M21-O21,""),-O21)</f>
        <v>199.48999999999995</v>
      </c>
      <c r="Q21" s="147">
        <f t="shared" si="2"/>
        <v>5.6843418860808015E-14</v>
      </c>
      <c r="R21" s="66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1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7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1014</v>
      </c>
      <c r="C23" s="27"/>
      <c r="D23" s="81"/>
      <c r="E23" s="85"/>
      <c r="F23" s="86"/>
      <c r="G23" s="83"/>
      <c r="H23" s="83"/>
      <c r="I23" s="84"/>
      <c r="J23" s="87"/>
      <c r="K23" s="85"/>
      <c r="L23" s="84"/>
      <c r="M23" s="121" t="str">
        <f t="shared" si="1"/>
        <v/>
      </c>
      <c r="N23" s="47" t="s">
        <v>202</v>
      </c>
      <c r="O23" s="86">
        <v>152.33000000000001</v>
      </c>
      <c r="P23" s="46">
        <f t="shared" si="3"/>
        <v>-152.33000000000001</v>
      </c>
      <c r="Q23" s="147">
        <f t="shared" si="2"/>
        <v>0</v>
      </c>
      <c r="R23" s="66" t="s">
        <v>1088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1031</v>
      </c>
      <c r="C24" s="27" t="s">
        <v>95</v>
      </c>
      <c r="D24" s="81">
        <v>43234</v>
      </c>
      <c r="E24" s="85">
        <v>43294</v>
      </c>
      <c r="F24" s="86">
        <v>415.4</v>
      </c>
      <c r="G24" s="83">
        <v>24.92</v>
      </c>
      <c r="H24" s="83">
        <v>4.99</v>
      </c>
      <c r="I24" s="84"/>
      <c r="J24" s="87">
        <v>385.49</v>
      </c>
      <c r="K24" s="85">
        <v>43256.650567129633</v>
      </c>
      <c r="L24" s="84"/>
      <c r="M24" s="121">
        <f t="shared" si="1"/>
        <v>385.48999999999995</v>
      </c>
      <c r="N24" s="47" t="s">
        <v>6</v>
      </c>
      <c r="O24" s="86">
        <v>145.46</v>
      </c>
      <c r="P24" s="46">
        <f t="shared" si="3"/>
        <v>240.02999999999994</v>
      </c>
      <c r="Q24" s="147">
        <f t="shared" si="2"/>
        <v>5.6843418860808015E-14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1032</v>
      </c>
      <c r="C25" s="27" t="s">
        <v>95</v>
      </c>
      <c r="D25" s="81">
        <v>43237</v>
      </c>
      <c r="E25" s="85">
        <v>43297</v>
      </c>
      <c r="F25" s="86">
        <v>364.6</v>
      </c>
      <c r="G25" s="83">
        <v>21.88</v>
      </c>
      <c r="H25" s="83">
        <v>4.38</v>
      </c>
      <c r="I25" s="84">
        <v>60</v>
      </c>
      <c r="J25" s="87">
        <v>278.33999999999997</v>
      </c>
      <c r="K25" s="85">
        <v>43256.650567129633</v>
      </c>
      <c r="L25" s="84"/>
      <c r="M25" s="121">
        <f t="shared" si="1"/>
        <v>278.34000000000003</v>
      </c>
      <c r="N25" s="47" t="s">
        <v>6</v>
      </c>
      <c r="O25" s="86">
        <v>129.16999999999999</v>
      </c>
      <c r="P25" s="46">
        <f t="shared" si="3"/>
        <v>149.17000000000004</v>
      </c>
      <c r="Q25" s="147">
        <f t="shared" si="2"/>
        <v>-5.6843418860808015E-14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1" t="str">
        <f t="shared" si="1"/>
        <v/>
      </c>
      <c r="N26" s="47"/>
      <c r="O26" s="82"/>
      <c r="P26" s="46">
        <f t="shared" si="3"/>
        <v>0</v>
      </c>
      <c r="Q26" s="147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1033</v>
      </c>
      <c r="C27" s="27" t="s">
        <v>1023</v>
      </c>
      <c r="D27" s="81">
        <v>43262</v>
      </c>
      <c r="E27" s="81">
        <v>43291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43263.655451388891</v>
      </c>
      <c r="L27" s="84"/>
      <c r="M27" s="121">
        <f t="shared" si="1"/>
        <v>324.8</v>
      </c>
      <c r="N27" s="47" t="s">
        <v>6</v>
      </c>
      <c r="O27" s="128">
        <v>140</v>
      </c>
      <c r="P27" s="46">
        <f t="shared" si="3"/>
        <v>184.8</v>
      </c>
      <c r="Q27" s="147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1034</v>
      </c>
      <c r="C28" s="27" t="s">
        <v>95</v>
      </c>
      <c r="D28" s="81">
        <v>43252</v>
      </c>
      <c r="E28" s="81">
        <v>43281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43255.670069444444</v>
      </c>
      <c r="L28" s="84"/>
      <c r="M28" s="121">
        <f t="shared" si="1"/>
        <v>482.56</v>
      </c>
      <c r="N28" s="47" t="s">
        <v>6</v>
      </c>
      <c r="O28" s="82">
        <v>183.88</v>
      </c>
      <c r="P28" s="46">
        <f t="shared" si="3"/>
        <v>298.68</v>
      </c>
      <c r="Q28" s="147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1035</v>
      </c>
      <c r="C29" s="27" t="s">
        <v>95</v>
      </c>
      <c r="D29" s="81">
        <v>43234</v>
      </c>
      <c r="E29" s="81">
        <v>43294</v>
      </c>
      <c r="F29" s="82">
        <v>586.12</v>
      </c>
      <c r="G29" s="83">
        <v>35.18</v>
      </c>
      <c r="H29" s="83">
        <v>7.03</v>
      </c>
      <c r="I29" s="84"/>
      <c r="J29" s="87">
        <v>543.91</v>
      </c>
      <c r="K29" s="85">
        <v>43256.650567129633</v>
      </c>
      <c r="L29" s="84"/>
      <c r="M29" s="121">
        <f t="shared" si="1"/>
        <v>543.91000000000008</v>
      </c>
      <c r="N29" s="60" t="s">
        <v>6</v>
      </c>
      <c r="O29" s="82">
        <v>218.42</v>
      </c>
      <c r="P29" s="46">
        <f t="shared" si="3"/>
        <v>325.49000000000012</v>
      </c>
      <c r="Q29" s="147">
        <f t="shared" si="2"/>
        <v>-1.1368683772161603E-13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1" t="str">
        <f t="shared" si="1"/>
        <v/>
      </c>
      <c r="N30" s="47"/>
      <c r="O30" s="82"/>
      <c r="P30" s="46">
        <f t="shared" si="3"/>
        <v>0</v>
      </c>
      <c r="Q30" s="147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1036</v>
      </c>
      <c r="C31" s="27" t="s">
        <v>1023</v>
      </c>
      <c r="D31" s="81">
        <v>43252</v>
      </c>
      <c r="E31" s="81">
        <v>43281</v>
      </c>
      <c r="F31" s="82">
        <v>720</v>
      </c>
      <c r="G31" s="83">
        <v>43.2</v>
      </c>
      <c r="H31" s="83">
        <v>8.64</v>
      </c>
      <c r="I31" s="84"/>
      <c r="J31" s="87">
        <v>668.16</v>
      </c>
      <c r="K31" s="85">
        <v>43258.643425925926</v>
      </c>
      <c r="L31" s="84"/>
      <c r="M31" s="121">
        <f t="shared" si="1"/>
        <v>668.16</v>
      </c>
      <c r="N31" s="47" t="s">
        <v>6</v>
      </c>
      <c r="O31" s="82">
        <v>190.58</v>
      </c>
      <c r="P31" s="46">
        <f t="shared" si="3"/>
        <v>477.57999999999993</v>
      </c>
      <c r="Q31" s="147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1037</v>
      </c>
      <c r="C32" s="27" t="s">
        <v>1023</v>
      </c>
      <c r="D32" s="81">
        <v>43216</v>
      </c>
      <c r="E32" s="81">
        <v>43245</v>
      </c>
      <c r="F32" s="82">
        <v>350</v>
      </c>
      <c r="G32" s="83">
        <v>21</v>
      </c>
      <c r="H32" s="83">
        <v>4.2</v>
      </c>
      <c r="I32" s="84"/>
      <c r="J32" s="87">
        <v>324.8</v>
      </c>
      <c r="K32" s="85">
        <v>43259.544641203705</v>
      </c>
      <c r="L32" s="84"/>
      <c r="M32" s="121">
        <f t="shared" si="1"/>
        <v>324.8</v>
      </c>
      <c r="N32" s="47" t="s">
        <v>6</v>
      </c>
      <c r="O32" s="82">
        <v>524.26</v>
      </c>
      <c r="P32" s="46">
        <f t="shared" si="3"/>
        <v>-199.45999999999998</v>
      </c>
      <c r="Q32" s="147">
        <f t="shared" si="2"/>
        <v>0</v>
      </c>
      <c r="R32" s="158" t="s">
        <v>1089</v>
      </c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1" t="str">
        <f t="shared" si="1"/>
        <v/>
      </c>
      <c r="N33" s="59"/>
      <c r="O33" s="82"/>
      <c r="P33" s="46">
        <f t="shared" si="3"/>
        <v>0</v>
      </c>
      <c r="Q33" s="147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1038</v>
      </c>
      <c r="C34" s="27" t="s">
        <v>95</v>
      </c>
      <c r="D34" s="81">
        <v>43234</v>
      </c>
      <c r="E34" s="85">
        <v>43294</v>
      </c>
      <c r="F34" s="86">
        <v>466.12</v>
      </c>
      <c r="G34" s="83">
        <v>27.97</v>
      </c>
      <c r="H34" s="83">
        <v>5.59</v>
      </c>
      <c r="I34" s="84"/>
      <c r="J34" s="87">
        <v>432.56</v>
      </c>
      <c r="K34" s="81">
        <v>43256.650567129633</v>
      </c>
      <c r="L34" s="84"/>
      <c r="M34" s="121">
        <f t="shared" si="1"/>
        <v>432.56</v>
      </c>
      <c r="N34" s="59" t="s">
        <v>6</v>
      </c>
      <c r="O34" s="86">
        <v>198</v>
      </c>
      <c r="P34" s="46">
        <f t="shared" si="3"/>
        <v>234.56</v>
      </c>
      <c r="Q34" s="147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1039</v>
      </c>
      <c r="C35" s="27" t="s">
        <v>95</v>
      </c>
      <c r="D35" s="81">
        <v>43259</v>
      </c>
      <c r="E35" s="81">
        <v>43288</v>
      </c>
      <c r="F35" s="82">
        <v>480.76</v>
      </c>
      <c r="G35" s="83">
        <v>28.85</v>
      </c>
      <c r="H35" s="83">
        <v>5.77</v>
      </c>
      <c r="I35" s="84"/>
      <c r="J35" s="87">
        <v>446.14</v>
      </c>
      <c r="K35" s="81">
        <v>43259.544641203705</v>
      </c>
      <c r="L35" s="84"/>
      <c r="M35" s="121">
        <f t="shared" si="1"/>
        <v>446.14</v>
      </c>
      <c r="N35" s="59" t="s">
        <v>6</v>
      </c>
      <c r="O35" s="82">
        <v>184.79</v>
      </c>
      <c r="P35" s="46">
        <f t="shared" si="3"/>
        <v>261.35000000000002</v>
      </c>
      <c r="Q35" s="147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1040</v>
      </c>
      <c r="C36" s="27" t="s">
        <v>1023</v>
      </c>
      <c r="D36" s="85">
        <v>43250</v>
      </c>
      <c r="E36" s="85">
        <v>43280</v>
      </c>
      <c r="F36" s="86">
        <v>500</v>
      </c>
      <c r="G36" s="83">
        <v>30</v>
      </c>
      <c r="H36" s="83">
        <v>6</v>
      </c>
      <c r="I36" s="84">
        <v>125</v>
      </c>
      <c r="J36" s="87">
        <v>339</v>
      </c>
      <c r="K36" s="85">
        <v>43262.641192129631</v>
      </c>
      <c r="L36" s="84"/>
      <c r="M36" s="121">
        <f t="shared" si="1"/>
        <v>339</v>
      </c>
      <c r="N36" s="59" t="s">
        <v>6</v>
      </c>
      <c r="O36" s="86">
        <v>184.79</v>
      </c>
      <c r="P36" s="46">
        <f t="shared" si="3"/>
        <v>154.21</v>
      </c>
      <c r="Q36" s="147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1041</v>
      </c>
      <c r="C37" s="27" t="s">
        <v>95</v>
      </c>
      <c r="D37" s="85">
        <v>43246</v>
      </c>
      <c r="E37" s="85">
        <v>43276</v>
      </c>
      <c r="F37" s="86">
        <v>505</v>
      </c>
      <c r="G37" s="83">
        <v>30.3</v>
      </c>
      <c r="H37" s="83">
        <v>6.06</v>
      </c>
      <c r="I37" s="84"/>
      <c r="J37" s="87">
        <v>468.64</v>
      </c>
      <c r="K37" s="81">
        <v>43270.644618055558</v>
      </c>
      <c r="L37" s="84"/>
      <c r="M37" s="121">
        <f t="shared" si="1"/>
        <v>468.64</v>
      </c>
      <c r="N37" s="59" t="s">
        <v>6</v>
      </c>
      <c r="O37" s="86">
        <v>356.87</v>
      </c>
      <c r="P37" s="46">
        <f t="shared" si="3"/>
        <v>111.76999999999998</v>
      </c>
      <c r="Q37" s="147">
        <f t="shared" si="2"/>
        <v>0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1042</v>
      </c>
      <c r="C38" s="27" t="s">
        <v>95</v>
      </c>
      <c r="D38" s="85">
        <v>43230</v>
      </c>
      <c r="E38" s="85">
        <v>43290</v>
      </c>
      <c r="F38" s="82">
        <v>461.52</v>
      </c>
      <c r="G38" s="83">
        <v>27.68</v>
      </c>
      <c r="H38" s="83">
        <v>5.54</v>
      </c>
      <c r="I38" s="84"/>
      <c r="J38" s="87">
        <v>428.3</v>
      </c>
      <c r="K38" s="85">
        <v>43256.650567129633</v>
      </c>
      <c r="L38" s="84"/>
      <c r="M38" s="121">
        <f t="shared" si="1"/>
        <v>428.29999999999995</v>
      </c>
      <c r="N38" s="47" t="s">
        <v>6</v>
      </c>
      <c r="O38" s="82">
        <v>198</v>
      </c>
      <c r="P38" s="46">
        <f t="shared" si="3"/>
        <v>230.29999999999995</v>
      </c>
      <c r="Q38" s="147">
        <f t="shared" si="2"/>
        <v>5.6843418860808015E-14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1043</v>
      </c>
      <c r="C39" s="27" t="s">
        <v>95</v>
      </c>
      <c r="D39" s="85">
        <v>43246</v>
      </c>
      <c r="E39" s="85">
        <v>43306</v>
      </c>
      <c r="F39" s="82">
        <v>461.52</v>
      </c>
      <c r="G39" s="83">
        <v>27.69</v>
      </c>
      <c r="H39" s="83">
        <v>5.54</v>
      </c>
      <c r="I39" s="84"/>
      <c r="J39" s="87">
        <v>428.29</v>
      </c>
      <c r="K39" s="81">
        <v>43256.650567129633</v>
      </c>
      <c r="L39" s="84"/>
      <c r="M39" s="121">
        <f t="shared" si="1"/>
        <v>428.28999999999996</v>
      </c>
      <c r="N39" s="47" t="s">
        <v>6</v>
      </c>
      <c r="O39" s="82">
        <v>198</v>
      </c>
      <c r="P39" s="46">
        <f t="shared" si="3"/>
        <v>230.28999999999996</v>
      </c>
      <c r="Q39" s="147">
        <f t="shared" si="2"/>
        <v>5.6843418860808015E-14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1044</v>
      </c>
      <c r="C40" s="27" t="s">
        <v>1023</v>
      </c>
      <c r="D40" s="85">
        <v>43120</v>
      </c>
      <c r="E40" s="85">
        <v>43178</v>
      </c>
      <c r="F40" s="86">
        <v>462.84</v>
      </c>
      <c r="G40" s="83">
        <v>27.77</v>
      </c>
      <c r="H40" s="83">
        <v>5.55</v>
      </c>
      <c r="I40" s="84"/>
      <c r="J40" s="87">
        <v>429.52</v>
      </c>
      <c r="K40" s="85">
        <v>43256.650567129633</v>
      </c>
      <c r="L40" s="84"/>
      <c r="M40" s="121">
        <f t="shared" si="1"/>
        <v>429.52</v>
      </c>
      <c r="N40" s="47" t="s">
        <v>258</v>
      </c>
      <c r="O40" s="86">
        <v>219.7</v>
      </c>
      <c r="P40" s="46">
        <f t="shared" si="3"/>
        <v>209.82</v>
      </c>
      <c r="Q40" s="147">
        <f t="shared" si="2"/>
        <v>0</v>
      </c>
      <c r="R40" s="60" t="s">
        <v>567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1045</v>
      </c>
      <c r="C41" s="27" t="s">
        <v>95</v>
      </c>
      <c r="D41" s="81">
        <v>43236</v>
      </c>
      <c r="E41" s="81">
        <v>43266</v>
      </c>
      <c r="F41" s="82">
        <v>350</v>
      </c>
      <c r="G41" s="83">
        <v>21</v>
      </c>
      <c r="H41" s="83">
        <v>4.2</v>
      </c>
      <c r="I41" s="84"/>
      <c r="J41" s="87">
        <v>324.8</v>
      </c>
      <c r="K41" s="81">
        <v>43262.641192129631</v>
      </c>
      <c r="L41" s="84"/>
      <c r="M41" s="121">
        <f t="shared" si="1"/>
        <v>324.8</v>
      </c>
      <c r="N41" s="47" t="s">
        <v>6</v>
      </c>
      <c r="O41" s="82">
        <v>217.96</v>
      </c>
      <c r="P41" s="46">
        <f t="shared" si="3"/>
        <v>106.84</v>
      </c>
      <c r="Q41" s="147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1014</v>
      </c>
      <c r="C42" s="27"/>
      <c r="D42" s="85"/>
      <c r="E42" s="85"/>
      <c r="F42" s="86"/>
      <c r="G42" s="83"/>
      <c r="H42" s="83"/>
      <c r="I42" s="84"/>
      <c r="J42" s="87"/>
      <c r="K42" s="85"/>
      <c r="L42" s="84"/>
      <c r="M42" s="121" t="str">
        <f t="shared" si="1"/>
        <v/>
      </c>
      <c r="N42" s="47" t="s">
        <v>6</v>
      </c>
      <c r="O42" s="86">
        <v>367.24</v>
      </c>
      <c r="P42" s="46">
        <f t="shared" si="3"/>
        <v>-367.24</v>
      </c>
      <c r="Q42" s="147">
        <f t="shared" si="2"/>
        <v>0</v>
      </c>
      <c r="R42" s="60" t="s">
        <v>1090</v>
      </c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1046</v>
      </c>
      <c r="C43" s="27" t="s">
        <v>1023</v>
      </c>
      <c r="D43" s="81">
        <v>43228</v>
      </c>
      <c r="E43" s="81">
        <v>43288</v>
      </c>
      <c r="F43" s="82">
        <v>511.19</v>
      </c>
      <c r="G43" s="83">
        <v>30.68</v>
      </c>
      <c r="H43" s="83">
        <v>6.13</v>
      </c>
      <c r="I43" s="84">
        <v>-182.8</v>
      </c>
      <c r="J43" s="87">
        <v>474.38</v>
      </c>
      <c r="K43" s="81">
        <v>43256.650567129633</v>
      </c>
      <c r="L43" s="84"/>
      <c r="M43" s="121">
        <f t="shared" si="1"/>
        <v>657.18000000000006</v>
      </c>
      <c r="N43" s="47" t="s">
        <v>6</v>
      </c>
      <c r="O43" s="82">
        <v>217.96</v>
      </c>
      <c r="P43" s="46">
        <f t="shared" si="3"/>
        <v>439.22</v>
      </c>
      <c r="Q43" s="147">
        <f t="shared" si="2"/>
        <v>-182.80000000000007</v>
      </c>
      <c r="R43" s="159" t="s">
        <v>1092</v>
      </c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1047</v>
      </c>
      <c r="C44" s="40" t="s">
        <v>1023</v>
      </c>
      <c r="D44" s="81">
        <v>43251</v>
      </c>
      <c r="E44" s="81">
        <v>43280</v>
      </c>
      <c r="F44" s="82">
        <v>575</v>
      </c>
      <c r="G44" s="88">
        <v>34.5</v>
      </c>
      <c r="H44" s="83">
        <v>6.9</v>
      </c>
      <c r="I44" s="84"/>
      <c r="J44" s="87">
        <v>377.87</v>
      </c>
      <c r="K44" s="81">
        <v>43256.650567129633</v>
      </c>
      <c r="L44" s="84"/>
      <c r="M44" s="121">
        <f t="shared" si="1"/>
        <v>533.6</v>
      </c>
      <c r="N44" s="59" t="s">
        <v>6</v>
      </c>
      <c r="O44" s="82">
        <v>219.74</v>
      </c>
      <c r="P44" s="46">
        <f t="shared" si="3"/>
        <v>313.86</v>
      </c>
      <c r="Q44" s="147">
        <f t="shared" si="2"/>
        <v>-155.73000000000002</v>
      </c>
      <c r="R44" s="159" t="s">
        <v>1091</v>
      </c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1" t="str">
        <f t="shared" si="1"/>
        <v/>
      </c>
      <c r="N45" s="47"/>
      <c r="O45" s="82"/>
      <c r="P45" s="46">
        <f t="shared" si="3"/>
        <v>0</v>
      </c>
      <c r="Q45" s="147">
        <f t="shared" si="2"/>
        <v>0</v>
      </c>
      <c r="R45" s="60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1048</v>
      </c>
      <c r="C46" s="27" t="s">
        <v>1023</v>
      </c>
      <c r="D46" s="81">
        <v>43238</v>
      </c>
      <c r="E46" s="81">
        <v>43298</v>
      </c>
      <c r="F46" s="82">
        <v>486.12</v>
      </c>
      <c r="G46" s="83">
        <v>29.16</v>
      </c>
      <c r="H46" s="83">
        <v>5.83</v>
      </c>
      <c r="I46" s="84"/>
      <c r="J46" s="87">
        <v>451.13</v>
      </c>
      <c r="K46" s="85">
        <v>43256.650567129633</v>
      </c>
      <c r="L46" s="84"/>
      <c r="M46" s="121">
        <f t="shared" si="1"/>
        <v>451.13</v>
      </c>
      <c r="N46" s="47" t="s">
        <v>6</v>
      </c>
      <c r="O46" s="82">
        <v>186.16</v>
      </c>
      <c r="P46" s="46">
        <f t="shared" si="3"/>
        <v>264.97000000000003</v>
      </c>
      <c r="Q46" s="147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1049</v>
      </c>
      <c r="C47" s="27" t="s">
        <v>1023</v>
      </c>
      <c r="D47" s="81">
        <v>43226</v>
      </c>
      <c r="E47" s="81">
        <v>43286</v>
      </c>
      <c r="F47" s="82">
        <v>506.12</v>
      </c>
      <c r="G47" s="83">
        <v>30.37</v>
      </c>
      <c r="H47" s="83">
        <v>6.07</v>
      </c>
      <c r="I47" s="84">
        <v>60</v>
      </c>
      <c r="J47" s="87">
        <v>409.68</v>
      </c>
      <c r="K47" s="85">
        <v>43256.650567129633</v>
      </c>
      <c r="L47" s="84"/>
      <c r="M47" s="121">
        <f t="shared" si="1"/>
        <v>409.68</v>
      </c>
      <c r="N47" s="47" t="s">
        <v>6</v>
      </c>
      <c r="O47" s="82">
        <v>82.6</v>
      </c>
      <c r="P47" s="46">
        <f t="shared" si="3"/>
        <v>327.08000000000004</v>
      </c>
      <c r="Q47" s="147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1050</v>
      </c>
      <c r="C48" s="27" t="s">
        <v>95</v>
      </c>
      <c r="D48" s="81">
        <v>43243</v>
      </c>
      <c r="E48" s="81">
        <v>43303</v>
      </c>
      <c r="F48" s="82">
        <v>452.32</v>
      </c>
      <c r="G48" s="83">
        <v>27.14</v>
      </c>
      <c r="H48" s="83">
        <v>5.43</v>
      </c>
      <c r="I48" s="84"/>
      <c r="J48" s="87">
        <v>419.75</v>
      </c>
      <c r="K48" s="85">
        <v>43256.650567129633</v>
      </c>
      <c r="L48" s="84"/>
      <c r="M48" s="121">
        <f t="shared" si="1"/>
        <v>419.75</v>
      </c>
      <c r="N48" s="47" t="s">
        <v>6</v>
      </c>
      <c r="O48" s="82">
        <v>186.13</v>
      </c>
      <c r="P48" s="46">
        <f t="shared" si="3"/>
        <v>233.62</v>
      </c>
      <c r="Q48" s="147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1051</v>
      </c>
      <c r="C49" s="27" t="s">
        <v>1023</v>
      </c>
      <c r="D49" s="85">
        <v>43234</v>
      </c>
      <c r="E49" s="85">
        <v>43294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43256.650567129633</v>
      </c>
      <c r="L49" s="84"/>
      <c r="M49" s="121">
        <f t="shared" si="1"/>
        <v>428.28999999999996</v>
      </c>
      <c r="N49" s="47" t="s">
        <v>6</v>
      </c>
      <c r="O49" s="86">
        <v>192.89</v>
      </c>
      <c r="P49" s="46">
        <f t="shared" si="3"/>
        <v>235.39999999999998</v>
      </c>
      <c r="Q49" s="147">
        <f t="shared" si="2"/>
        <v>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1052</v>
      </c>
      <c r="C50" s="27" t="s">
        <v>95</v>
      </c>
      <c r="D50" s="81">
        <v>43239</v>
      </c>
      <c r="E50" s="81">
        <v>43299</v>
      </c>
      <c r="F50" s="82">
        <v>461.52</v>
      </c>
      <c r="G50" s="83">
        <v>27.69</v>
      </c>
      <c r="H50" s="83">
        <v>5.54</v>
      </c>
      <c r="I50" s="84"/>
      <c r="J50" s="87">
        <v>428.29</v>
      </c>
      <c r="K50" s="85">
        <v>43256.650567129633</v>
      </c>
      <c r="L50" s="84"/>
      <c r="M50" s="121">
        <f t="shared" si="1"/>
        <v>428.28999999999996</v>
      </c>
      <c r="N50" s="47" t="s">
        <v>6</v>
      </c>
      <c r="O50" s="82">
        <v>186.13</v>
      </c>
      <c r="P50" s="46">
        <f t="shared" si="3"/>
        <v>242.15999999999997</v>
      </c>
      <c r="Q50" s="147">
        <f t="shared" si="2"/>
        <v>5.6843418860808015E-14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1053</v>
      </c>
      <c r="C51" s="27" t="s">
        <v>95</v>
      </c>
      <c r="D51" s="85">
        <v>43240</v>
      </c>
      <c r="E51" s="85">
        <v>43300</v>
      </c>
      <c r="F51" s="82">
        <v>461.52</v>
      </c>
      <c r="G51" s="83">
        <v>27.69</v>
      </c>
      <c r="H51" s="83">
        <v>5.54</v>
      </c>
      <c r="I51" s="84"/>
      <c r="J51" s="87">
        <v>428.29</v>
      </c>
      <c r="K51" s="85">
        <v>43256.650567129633</v>
      </c>
      <c r="L51" s="84"/>
      <c r="M51" s="121">
        <f t="shared" si="1"/>
        <v>428.28999999999996</v>
      </c>
      <c r="N51" s="47" t="s">
        <v>6</v>
      </c>
      <c r="O51" s="82">
        <v>186.14</v>
      </c>
      <c r="P51" s="46">
        <f t="shared" si="3"/>
        <v>242.14999999999998</v>
      </c>
      <c r="Q51" s="147">
        <f t="shared" si="2"/>
        <v>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1054</v>
      </c>
      <c r="C52" s="27" t="s">
        <v>1023</v>
      </c>
      <c r="D52" s="81">
        <v>43257</v>
      </c>
      <c r="E52" s="81">
        <v>43286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43257.648414351854</v>
      </c>
      <c r="L52" s="84"/>
      <c r="M52" s="121">
        <f t="shared" si="1"/>
        <v>464</v>
      </c>
      <c r="N52" s="47" t="s">
        <v>6</v>
      </c>
      <c r="O52" s="82">
        <v>234.89</v>
      </c>
      <c r="P52" s="46">
        <f t="shared" si="3"/>
        <v>229.11</v>
      </c>
      <c r="Q52" s="147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1055</v>
      </c>
      <c r="C53" s="27" t="s">
        <v>95</v>
      </c>
      <c r="D53" s="81">
        <v>43209</v>
      </c>
      <c r="E53" s="81">
        <v>43269</v>
      </c>
      <c r="F53" s="82">
        <v>461.52</v>
      </c>
      <c r="G53" s="83">
        <v>27.69</v>
      </c>
      <c r="H53" s="83">
        <v>5.54</v>
      </c>
      <c r="I53" s="84">
        <v>195</v>
      </c>
      <c r="J53" s="87">
        <v>233.29</v>
      </c>
      <c r="K53" s="85">
        <v>43256.650567129633</v>
      </c>
      <c r="L53" s="84"/>
      <c r="M53" s="121">
        <f t="shared" si="1"/>
        <v>233.28999999999996</v>
      </c>
      <c r="N53" s="47" t="s">
        <v>6</v>
      </c>
      <c r="O53" s="82">
        <v>192.58</v>
      </c>
      <c r="P53" s="46">
        <f t="shared" si="3"/>
        <v>40.709999999999951</v>
      </c>
      <c r="Q53" s="147">
        <f t="shared" si="2"/>
        <v>2.8421709430404007E-14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1" t="str">
        <f t="shared" si="1"/>
        <v/>
      </c>
      <c r="N54" s="47"/>
      <c r="O54" s="82"/>
      <c r="P54" s="46">
        <f t="shared" si="3"/>
        <v>0</v>
      </c>
      <c r="Q54" s="147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1056</v>
      </c>
      <c r="C55" s="27" t="s">
        <v>95</v>
      </c>
      <c r="D55" s="81">
        <v>43256</v>
      </c>
      <c r="E55" s="81">
        <v>43285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43262.641192129631</v>
      </c>
      <c r="L55" s="84"/>
      <c r="M55" s="121">
        <f t="shared" si="1"/>
        <v>603.20000000000005</v>
      </c>
      <c r="N55" s="47" t="s">
        <v>6</v>
      </c>
      <c r="O55" s="82">
        <v>226.6</v>
      </c>
      <c r="P55" s="46">
        <f t="shared" si="3"/>
        <v>376.6</v>
      </c>
      <c r="Q55" s="147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1014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1" t="str">
        <f t="shared" si="1"/>
        <v/>
      </c>
      <c r="N56" s="47" t="s">
        <v>6</v>
      </c>
      <c r="O56" s="82">
        <v>186.14</v>
      </c>
      <c r="P56" s="46">
        <f t="shared" si="3"/>
        <v>-186.14</v>
      </c>
      <c r="Q56" s="147">
        <f t="shared" si="2"/>
        <v>0</v>
      </c>
      <c r="R56" s="60" t="s">
        <v>684</v>
      </c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1057</v>
      </c>
      <c r="C57" s="27" t="s">
        <v>95</v>
      </c>
      <c r="D57" s="81">
        <v>43232</v>
      </c>
      <c r="E57" s="81">
        <v>43292</v>
      </c>
      <c r="F57" s="82">
        <v>461.52</v>
      </c>
      <c r="G57" s="83">
        <v>27.69</v>
      </c>
      <c r="H57" s="83">
        <v>5.54</v>
      </c>
      <c r="I57" s="84"/>
      <c r="J57" s="87">
        <v>428.29</v>
      </c>
      <c r="K57" s="85">
        <v>43256.650567129633</v>
      </c>
      <c r="L57" s="84"/>
      <c r="M57" s="121">
        <f t="shared" si="1"/>
        <v>428.28999999999996</v>
      </c>
      <c r="N57" s="47" t="s">
        <v>6</v>
      </c>
      <c r="O57" s="82">
        <v>200.86</v>
      </c>
      <c r="P57" s="46">
        <f t="shared" si="3"/>
        <v>227.42999999999995</v>
      </c>
      <c r="Q57" s="147">
        <f t="shared" si="2"/>
        <v>5.6843418860808015E-14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1058</v>
      </c>
      <c r="C58" s="27" t="s">
        <v>95</v>
      </c>
      <c r="D58" s="81">
        <v>43228</v>
      </c>
      <c r="E58" s="81">
        <v>43288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43256.650567129633</v>
      </c>
      <c r="L58" s="84"/>
      <c r="M58" s="121">
        <f t="shared" si="1"/>
        <v>428.28999999999996</v>
      </c>
      <c r="N58" s="47" t="s">
        <v>6</v>
      </c>
      <c r="O58" s="82">
        <v>186.1</v>
      </c>
      <c r="P58" s="46">
        <f t="shared" si="3"/>
        <v>242.18999999999997</v>
      </c>
      <c r="Q58" s="147">
        <f t="shared" si="2"/>
        <v>5.6843418860808015E-14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1059</v>
      </c>
      <c r="C59" s="27" t="s">
        <v>1023</v>
      </c>
      <c r="D59" s="81">
        <v>43263</v>
      </c>
      <c r="E59" s="81">
        <v>43292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43264.632384259261</v>
      </c>
      <c r="L59" s="84"/>
      <c r="M59" s="121">
        <f t="shared" si="1"/>
        <v>510.4</v>
      </c>
      <c r="N59" s="47" t="s">
        <v>6</v>
      </c>
      <c r="O59" s="82">
        <v>186.24</v>
      </c>
      <c r="P59" s="46">
        <f t="shared" si="3"/>
        <v>324.15999999999997</v>
      </c>
      <c r="Q59" s="147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1060</v>
      </c>
      <c r="C60" s="27" t="s">
        <v>95</v>
      </c>
      <c r="D60" s="81">
        <v>43239</v>
      </c>
      <c r="E60" s="81">
        <v>43299</v>
      </c>
      <c r="F60" s="82">
        <v>466.12</v>
      </c>
      <c r="G60" s="83">
        <v>27.96</v>
      </c>
      <c r="H60" s="83">
        <v>5.59</v>
      </c>
      <c r="I60" s="84">
        <v>150</v>
      </c>
      <c r="J60" s="87">
        <v>372.57</v>
      </c>
      <c r="K60" s="85">
        <v>43256.650567129633</v>
      </c>
      <c r="L60" s="84"/>
      <c r="M60" s="121">
        <f t="shared" si="1"/>
        <v>282.57000000000005</v>
      </c>
      <c r="N60" s="47" t="s">
        <v>6</v>
      </c>
      <c r="O60" s="82">
        <v>186.1</v>
      </c>
      <c r="P60" s="46">
        <f t="shared" si="3"/>
        <v>96.470000000000056</v>
      </c>
      <c r="Q60" s="147">
        <f t="shared" si="2"/>
        <v>89.999999999999943</v>
      </c>
      <c r="R60" s="159" t="s">
        <v>1091</v>
      </c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1014</v>
      </c>
      <c r="C61" s="40"/>
      <c r="D61" s="81"/>
      <c r="E61" s="81"/>
      <c r="F61" s="82"/>
      <c r="G61" s="83"/>
      <c r="H61" s="83"/>
      <c r="I61" s="84"/>
      <c r="J61" s="87"/>
      <c r="K61" s="85"/>
      <c r="L61" s="84"/>
      <c r="M61" s="121" t="str">
        <f t="shared" si="1"/>
        <v/>
      </c>
      <c r="N61" s="47" t="s">
        <v>202</v>
      </c>
      <c r="O61" s="82">
        <v>226.77</v>
      </c>
      <c r="P61" s="46">
        <f t="shared" si="3"/>
        <v>-226.77</v>
      </c>
      <c r="Q61" s="147">
        <f t="shared" si="2"/>
        <v>0</v>
      </c>
      <c r="R61" s="150" t="s">
        <v>568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1014</v>
      </c>
      <c r="C62" s="27"/>
      <c r="D62" s="85"/>
      <c r="E62" s="81"/>
      <c r="F62" s="89"/>
      <c r="G62" s="83"/>
      <c r="H62" s="83"/>
      <c r="I62" s="84"/>
      <c r="J62" s="87"/>
      <c r="K62" s="85"/>
      <c r="L62" s="84"/>
      <c r="M62" s="121" t="str">
        <f t="shared" si="1"/>
        <v/>
      </c>
      <c r="N62" s="47" t="s">
        <v>6</v>
      </c>
      <c r="O62" s="89">
        <v>192.58</v>
      </c>
      <c r="P62" s="46">
        <f t="shared" si="3"/>
        <v>-192.58</v>
      </c>
      <c r="Q62" s="147">
        <f t="shared" si="2"/>
        <v>0</v>
      </c>
      <c r="R62" s="60" t="s">
        <v>683</v>
      </c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2" t="str">
        <f t="shared" si="1"/>
        <v/>
      </c>
      <c r="N63" s="54"/>
      <c r="O63" s="91"/>
      <c r="P63" s="120">
        <f t="shared" si="3"/>
        <v>0</v>
      </c>
      <c r="Q63" s="148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18743.590000000004</v>
      </c>
      <c r="G65" s="42">
        <f>SUM(G9:G63)</f>
        <v>1124.6200000000001</v>
      </c>
      <c r="H65" s="42">
        <f>SUM(H9:H63)</f>
        <v>224.92999999999998</v>
      </c>
      <c r="I65" s="42">
        <f>SUM(I9:I63)</f>
        <v>593.20000000000005</v>
      </c>
      <c r="J65" s="42">
        <f>SUM(J9:J63)</f>
        <v>16552.310000000005</v>
      </c>
      <c r="K65" s="41"/>
      <c r="L65" s="42">
        <f>SUM(L9:L63)</f>
        <v>0</v>
      </c>
      <c r="M65" s="42">
        <f>SUM(M9:M63)</f>
        <v>16800.840000000007</v>
      </c>
      <c r="N65" s="41"/>
      <c r="O65" s="42">
        <f>SUM(O9:O63)</f>
        <v>8882.4500000000025</v>
      </c>
      <c r="P65" s="42">
        <f>SUM(P9:P63)</f>
        <v>7918.3899999999976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078C4-36FC-4B65-85C5-E999A225DB98}">
  <sheetPr codeName="Sheet11"/>
  <dimension ref="A1:Q53"/>
  <sheetViews>
    <sheetView zoomScale="85" zoomScaleNormal="85" workbookViewId="0">
      <selection activeCell="E50" sqref="E5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18743.590000000004</v>
      </c>
      <c r="E5" s="52">
        <v>12465.640000000003</v>
      </c>
      <c r="H5" s="52">
        <v>6277.95</v>
      </c>
    </row>
    <row r="6" spans="1:9" x14ac:dyDescent="0.2">
      <c r="A6" t="s">
        <v>214</v>
      </c>
      <c r="C6" s="55">
        <v>-8882.4500000000025</v>
      </c>
      <c r="F6" s="55">
        <v>-5062.4400000000005</v>
      </c>
      <c r="I6" s="55">
        <v>-3820.0099999999993</v>
      </c>
    </row>
    <row r="7" spans="1:9" x14ac:dyDescent="0.2">
      <c r="A7" t="s">
        <v>213</v>
      </c>
      <c r="C7" s="55">
        <v>-1124.6200000000001</v>
      </c>
      <c r="F7" s="55">
        <v>-747.94000000000017</v>
      </c>
      <c r="I7" s="55">
        <v>-376.68</v>
      </c>
    </row>
    <row r="8" spans="1:9" x14ac:dyDescent="0.2">
      <c r="A8" t="s">
        <v>212</v>
      </c>
      <c r="C8" s="55">
        <v>-224.92999999999998</v>
      </c>
      <c r="F8" s="55">
        <v>-149.60000000000002</v>
      </c>
      <c r="I8" s="55">
        <v>-75.330000000000013</v>
      </c>
    </row>
    <row r="9" spans="1:9" x14ac:dyDescent="0.2">
      <c r="A9" t="s">
        <v>211</v>
      </c>
      <c r="C9" s="55">
        <v>-593.20000000000005</v>
      </c>
      <c r="F9" s="55">
        <v>-306</v>
      </c>
      <c r="I9" s="55">
        <v>-287.2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7918.3899999999994</v>
      </c>
      <c r="D12" s="53"/>
      <c r="E12" s="137">
        <v>6199.6600000000017</v>
      </c>
      <c r="H12" s="137">
        <v>1718.7300000000005</v>
      </c>
    </row>
    <row r="13" spans="1:9" ht="15.75" thickTop="1" x14ac:dyDescent="0.25">
      <c r="A13" s="103"/>
      <c r="B13" s="103"/>
      <c r="C13" s="157"/>
      <c r="F13" s="157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54" t="s">
        <v>522</v>
      </c>
      <c r="F14" s="106" t="s">
        <v>523</v>
      </c>
    </row>
    <row r="15" spans="1:9" ht="15" x14ac:dyDescent="0.25">
      <c r="A15" s="103" t="s">
        <v>524</v>
      </c>
      <c r="B15" s="100">
        <v>6199.6600000000017</v>
      </c>
      <c r="C15" s="100">
        <v>1718.7300000000005</v>
      </c>
      <c r="D15" s="107"/>
      <c r="E15" s="155">
        <v>0.78294451271028576</v>
      </c>
      <c r="F15" s="153">
        <v>0.21705548728971419</v>
      </c>
    </row>
    <row r="16" spans="1:9" ht="15" x14ac:dyDescent="0.25">
      <c r="A16" s="103"/>
      <c r="B16" s="108"/>
      <c r="C16" s="108"/>
      <c r="D16" s="109"/>
      <c r="E16" s="110"/>
      <c r="F16" s="111"/>
    </row>
    <row r="17" spans="1:17" x14ac:dyDescent="0.2">
      <c r="A17" s="99" t="s">
        <v>518</v>
      </c>
      <c r="B17" s="100">
        <v>-2735.31</v>
      </c>
      <c r="C17" s="100">
        <v>-2089.2800000000002</v>
      </c>
      <c r="D17" s="112"/>
      <c r="E17" s="113"/>
      <c r="F17" s="114"/>
      <c r="H17" t="s">
        <v>519</v>
      </c>
    </row>
    <row r="18" spans="1:17" x14ac:dyDescent="0.2">
      <c r="A18" s="99" t="s">
        <v>25</v>
      </c>
      <c r="B18" s="100">
        <v>11169.300000000001</v>
      </c>
      <c r="C18" s="100">
        <v>5928.4999999999991</v>
      </c>
      <c r="D18" s="112"/>
      <c r="E18" s="113"/>
      <c r="F18" s="114"/>
      <c r="H18" t="s">
        <v>520</v>
      </c>
    </row>
    <row r="19" spans="1:17" x14ac:dyDescent="0.2">
      <c r="A19" s="99"/>
      <c r="B19" s="101">
        <v>8433.9900000000016</v>
      </c>
      <c r="C19" s="101">
        <v>3839.2199999999989</v>
      </c>
      <c r="D19" s="112"/>
      <c r="E19" s="113"/>
      <c r="F19" s="114"/>
    </row>
    <row r="20" spans="1:17" ht="15" x14ac:dyDescent="0.25">
      <c r="A20" s="103"/>
      <c r="B20" s="100"/>
      <c r="C20" s="100"/>
      <c r="D20" s="112"/>
      <c r="E20" s="113"/>
      <c r="F20" s="114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2"/>
      <c r="E21" s="113"/>
      <c r="F21" s="114"/>
      <c r="H21" t="s">
        <v>526</v>
      </c>
    </row>
    <row r="22" spans="1:17" x14ac:dyDescent="0.2">
      <c r="A22" s="157" t="s">
        <v>527</v>
      </c>
      <c r="B22" s="100">
        <v>-50</v>
      </c>
      <c r="C22" s="100">
        <v>-50</v>
      </c>
      <c r="D22" s="112"/>
      <c r="E22" s="113"/>
      <c r="F22" s="114"/>
      <c r="H22" s="157" t="s">
        <v>528</v>
      </c>
    </row>
    <row r="23" spans="1:17" x14ac:dyDescent="0.2">
      <c r="A23" s="157"/>
      <c r="B23" s="100"/>
      <c r="C23" s="100"/>
      <c r="D23" s="112"/>
      <c r="E23" s="113"/>
      <c r="F23" s="114"/>
      <c r="H23" s="157"/>
    </row>
    <row r="24" spans="1:17" x14ac:dyDescent="0.2">
      <c r="A24" s="157" t="s">
        <v>533</v>
      </c>
      <c r="B24" s="100">
        <v>0</v>
      </c>
      <c r="C24" s="100">
        <v>0</v>
      </c>
      <c r="D24" s="112"/>
      <c r="E24" s="113">
        <v>0</v>
      </c>
      <c r="F24" s="114">
        <v>0</v>
      </c>
      <c r="H24" s="157" t="s">
        <v>534</v>
      </c>
    </row>
    <row r="25" spans="1:17" x14ac:dyDescent="0.2">
      <c r="A25" s="157" t="s">
        <v>540</v>
      </c>
      <c r="B25" s="100">
        <v>0</v>
      </c>
      <c r="C25" s="100">
        <v>-33</v>
      </c>
      <c r="D25" s="112"/>
      <c r="E25" s="113">
        <v>0</v>
      </c>
      <c r="F25" s="114">
        <v>0</v>
      </c>
      <c r="H25" s="157" t="s">
        <v>541</v>
      </c>
    </row>
    <row r="26" spans="1:17" x14ac:dyDescent="0.2">
      <c r="A26" s="157" t="s">
        <v>542</v>
      </c>
      <c r="B26" s="100">
        <v>-102</v>
      </c>
      <c r="C26" s="100">
        <v>0</v>
      </c>
      <c r="D26" s="112"/>
      <c r="E26" s="113">
        <v>0</v>
      </c>
      <c r="F26" s="114">
        <v>0</v>
      </c>
      <c r="H26" s="157" t="s">
        <v>543</v>
      </c>
    </row>
    <row r="27" spans="1:17" x14ac:dyDescent="0.2">
      <c r="A27" s="157"/>
      <c r="B27" s="100"/>
      <c r="C27" s="100"/>
      <c r="D27" s="112"/>
      <c r="E27" s="113"/>
      <c r="F27" s="114"/>
      <c r="H27" s="157"/>
    </row>
    <row r="28" spans="1:17" x14ac:dyDescent="0.2">
      <c r="A28" s="131" t="s">
        <v>557</v>
      </c>
      <c r="B28" s="100"/>
      <c r="C28" s="100"/>
      <c r="D28" s="112"/>
      <c r="E28" s="113"/>
      <c r="F28" s="114"/>
      <c r="H28" s="157"/>
    </row>
    <row r="29" spans="1:17" x14ac:dyDescent="0.2">
      <c r="A29" t="s">
        <v>529</v>
      </c>
      <c r="B29" s="138">
        <v>0</v>
      </c>
      <c r="C29" s="101">
        <v>-200</v>
      </c>
      <c r="D29" s="139">
        <v>-200</v>
      </c>
      <c r="E29" s="140">
        <v>-156.58890254205716</v>
      </c>
      <c r="F29" s="141">
        <v>-43.411097457942837</v>
      </c>
      <c r="H29" t="s">
        <v>530</v>
      </c>
      <c r="J29" s="56"/>
      <c r="Q29" s="56"/>
    </row>
    <row r="30" spans="1:17" x14ac:dyDescent="0.2">
      <c r="A30" s="157" t="s">
        <v>531</v>
      </c>
      <c r="B30" s="142">
        <v>0</v>
      </c>
      <c r="C30" s="129">
        <v>-3736.38</v>
      </c>
      <c r="D30" s="112">
        <v>-3736.38</v>
      </c>
      <c r="E30" s="113">
        <v>-2925.3782184004576</v>
      </c>
      <c r="F30" s="114">
        <v>-811.00178159954237</v>
      </c>
      <c r="H30" s="157" t="s">
        <v>532</v>
      </c>
      <c r="Q30" s="56"/>
    </row>
    <row r="31" spans="1:17" x14ac:dyDescent="0.2">
      <c r="A31" s="157" t="s">
        <v>535</v>
      </c>
      <c r="B31" s="142">
        <v>0</v>
      </c>
      <c r="C31" s="129">
        <v>-37.950000000000003</v>
      </c>
      <c r="D31" s="112">
        <v>-37.950000000000003</v>
      </c>
      <c r="E31" s="113">
        <v>-29.712744257355347</v>
      </c>
      <c r="F31" s="114">
        <v>-8.2372557426446544</v>
      </c>
      <c r="H31" t="s">
        <v>536</v>
      </c>
    </row>
    <row r="32" spans="1:17" x14ac:dyDescent="0.2">
      <c r="A32" s="157" t="s">
        <v>537</v>
      </c>
      <c r="B32" s="142">
        <v>0</v>
      </c>
      <c r="C32" s="129">
        <v>-56.49</v>
      </c>
      <c r="D32" s="112">
        <v>-56.49</v>
      </c>
      <c r="E32" s="113">
        <v>-44.228535523004041</v>
      </c>
      <c r="F32" s="114">
        <v>-12.261464476995956</v>
      </c>
      <c r="H32" t="s">
        <v>538</v>
      </c>
    </row>
    <row r="33" spans="1:8" ht="15" x14ac:dyDescent="0.25">
      <c r="A33" s="157" t="s">
        <v>539</v>
      </c>
      <c r="B33" s="149">
        <v>-1367.32</v>
      </c>
      <c r="C33" s="129">
        <v>-2553</v>
      </c>
      <c r="D33" s="112">
        <v>-3920.3199999999997</v>
      </c>
      <c r="E33" s="113">
        <v>-3069.3930320683871</v>
      </c>
      <c r="F33" s="114">
        <v>-850.92696793161224</v>
      </c>
      <c r="H33" s="56" t="s">
        <v>565</v>
      </c>
    </row>
    <row r="34" spans="1:8" x14ac:dyDescent="0.2">
      <c r="A34" s="157" t="s">
        <v>25</v>
      </c>
      <c r="B34" s="142">
        <v>0</v>
      </c>
      <c r="C34" s="129">
        <v>0</v>
      </c>
      <c r="D34" s="112">
        <v>0</v>
      </c>
      <c r="E34" s="113">
        <v>0</v>
      </c>
      <c r="F34" s="114">
        <v>0</v>
      </c>
      <c r="H34" s="157" t="s">
        <v>544</v>
      </c>
    </row>
    <row r="35" spans="1:8" x14ac:dyDescent="0.2">
      <c r="A35" s="127" t="s">
        <v>564</v>
      </c>
      <c r="B35" s="143">
        <v>0</v>
      </c>
      <c r="C35" s="144">
        <v>0</v>
      </c>
      <c r="D35" s="112">
        <v>0</v>
      </c>
      <c r="E35" s="113">
        <v>0</v>
      </c>
      <c r="F35" s="114">
        <v>0</v>
      </c>
      <c r="H35" s="127"/>
    </row>
    <row r="36" spans="1:8" x14ac:dyDescent="0.2">
      <c r="B36" s="115">
        <v>-1367.32</v>
      </c>
      <c r="C36" s="115">
        <v>-6583.82</v>
      </c>
      <c r="D36" s="116">
        <v>-7951.1399999999994</v>
      </c>
      <c r="E36" s="117">
        <v>-6225.3014327912615</v>
      </c>
      <c r="F36" s="115">
        <v>-1725.8385672087379</v>
      </c>
    </row>
    <row r="37" spans="1:8" x14ac:dyDescent="0.2">
      <c r="B37" s="129"/>
      <c r="C37" s="129"/>
      <c r="D37" s="129"/>
      <c r="E37" s="113"/>
      <c r="F37" s="129"/>
    </row>
    <row r="38" spans="1:8" x14ac:dyDescent="0.2">
      <c r="A38" s="130" t="s">
        <v>555</v>
      </c>
      <c r="E38" s="100">
        <v>-1367.32</v>
      </c>
      <c r="F38" s="100">
        <v>-6583.82</v>
      </c>
    </row>
    <row r="39" spans="1:8" x14ac:dyDescent="0.2">
      <c r="A39" s="127" t="s">
        <v>556</v>
      </c>
      <c r="E39" s="119">
        <v>-2609.16</v>
      </c>
      <c r="F39" s="100">
        <v>2609.16</v>
      </c>
      <c r="H39" t="s">
        <v>545</v>
      </c>
    </row>
    <row r="40" spans="1:8" x14ac:dyDescent="0.2">
      <c r="E40" s="118"/>
      <c r="F40" s="100"/>
    </row>
    <row r="41" spans="1:8" x14ac:dyDescent="0.2">
      <c r="A41" t="s">
        <v>546</v>
      </c>
      <c r="E41" s="117">
        <v>-2248.8214327912619</v>
      </c>
      <c r="F41" s="117">
        <v>2248.8214327912619</v>
      </c>
    </row>
    <row r="42" spans="1:8" x14ac:dyDescent="0.2">
      <c r="A42" s="132" t="s">
        <v>558</v>
      </c>
    </row>
    <row r="43" spans="1:8" x14ac:dyDescent="0.2">
      <c r="A43" s="132"/>
      <c r="E43" s="100"/>
    </row>
    <row r="44" spans="1:8" x14ac:dyDescent="0.2">
      <c r="A44" s="127" t="s">
        <v>1093</v>
      </c>
      <c r="E44" s="100">
        <v>1546.12</v>
      </c>
    </row>
    <row r="45" spans="1:8" x14ac:dyDescent="0.2">
      <c r="A45" s="127"/>
      <c r="E45" s="100"/>
    </row>
    <row r="46" spans="1:8" x14ac:dyDescent="0.2">
      <c r="A46" s="56"/>
    </row>
    <row r="47" spans="1:8" x14ac:dyDescent="0.2">
      <c r="A47" s="132"/>
      <c r="E47" s="115">
        <v>-702.70143279126205</v>
      </c>
      <c r="F47" s="56" t="s">
        <v>1094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tabSelected="1" zoomScale="85" zoomScaleNormal="85" workbookViewId="0">
      <selection activeCell="J47" sqref="J47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18743.590000000004</v>
      </c>
      <c r="E5" s="52">
        <f>SUMIF('Rent Statement'!S9:S63,"=Mathew Tucker", 'Rent Statement'!F9:F63)</f>
        <v>12465.640000000003</v>
      </c>
      <c r="H5" s="52">
        <f>SUMIF('Rent Statement'!S9:S63,"Ivana Valentino", 'Rent Statement'!F9:F63)</f>
        <v>6277.95</v>
      </c>
    </row>
    <row r="6" spans="1:9" x14ac:dyDescent="0.2">
      <c r="A6" t="s">
        <v>214</v>
      </c>
      <c r="C6" s="55">
        <f>-SUM('Rent Statement'!O9:O63)</f>
        <v>-8882.4500000000025</v>
      </c>
      <c r="F6" s="55">
        <f>-SUMIF('Rent Statement'!S9:S63,"Mathew Tucker",'Rent Statement'!O9:O63)</f>
        <v>-5062.4400000000005</v>
      </c>
      <c r="I6" s="55">
        <f>-SUMIF('Rent Statement'!S9:S63,"Ivana Valentino",'Rent Statement'!O9:O63)</f>
        <v>-3820.0099999999993</v>
      </c>
    </row>
    <row r="7" spans="1:9" x14ac:dyDescent="0.2">
      <c r="A7" t="s">
        <v>213</v>
      </c>
      <c r="C7" s="55">
        <f>-SUM('Rent Statement'!G9:G63)</f>
        <v>-1124.6200000000001</v>
      </c>
      <c r="F7" s="55">
        <f>-SUMIF('Rent Statement'!S9:S63,"Mathew Tucker",'Rent Statement'!G9:G63)</f>
        <v>-747.94000000000017</v>
      </c>
      <c r="I7" s="55">
        <f>-SUMIF('Rent Statement'!S9:S63,"Ivana Valentino",'Rent Statement'!G9:G63)</f>
        <v>-376.68</v>
      </c>
    </row>
    <row r="8" spans="1:9" x14ac:dyDescent="0.2">
      <c r="A8" t="s">
        <v>212</v>
      </c>
      <c r="C8" s="55">
        <f>-SUM('Rent Statement'!H9:H63)</f>
        <v>-224.92999999999998</v>
      </c>
      <c r="F8" s="55">
        <f>-SUMIF('Rent Statement'!S9:S63,"Mathew Tucker",'Rent Statement'!H9:H63)</f>
        <v>-149.60000000000002</v>
      </c>
      <c r="I8" s="55">
        <f>-SUMIF('Rent Statement'!S9:S63,"Ivana Valentino",'Rent Statement'!H9:H63)</f>
        <v>-75.330000000000013</v>
      </c>
    </row>
    <row r="9" spans="1:9" x14ac:dyDescent="0.2">
      <c r="A9" t="s">
        <v>211</v>
      </c>
      <c r="C9" s="55">
        <f>-SUM('Rent Statement'!I9:I63)-SUM('Rent Statement'!L9:L63)</f>
        <v>-593.20000000000005</v>
      </c>
      <c r="F9" s="55">
        <f>-SUMIF('Rent Statement'!S9:S63,"Mathew Tucker",'Rent Statement'!I9:I63)-SUMIF('Rent Statement'!S9:S63,"Mathew Tucker",'Rent Statement'!L9:L63)</f>
        <v>-306</v>
      </c>
      <c r="I9" s="55">
        <f>-SUMIF('Rent Statement'!S9:S63,"Ivana Valentino",'Rent Statement'!I9:I63)-SUMIF('Rent Statement'!S9:S63,"Ivana Valentino",'Rent Statement'!L9:L63)</f>
        <v>-287.2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7918.3899999999994</v>
      </c>
      <c r="D12" s="53"/>
      <c r="E12" s="137">
        <f>E5+SUM(F6:F10)</f>
        <v>6199.6600000000017</v>
      </c>
      <c r="H12" s="137">
        <f>H5+SUM(I6:I10)</f>
        <v>1718.7300000000005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54" t="s">
        <v>522</v>
      </c>
      <c r="F14" s="106" t="s">
        <v>523</v>
      </c>
    </row>
    <row r="15" spans="1:9" ht="15" x14ac:dyDescent="0.25">
      <c r="A15" s="103" t="s">
        <v>524</v>
      </c>
      <c r="B15" s="100">
        <f>E12</f>
        <v>6199.6600000000017</v>
      </c>
      <c r="C15" s="100">
        <f>H12</f>
        <v>1718.7300000000005</v>
      </c>
      <c r="D15" s="107"/>
      <c r="E15" s="155">
        <f>IFERROR(B15/($B$15+$C$15),"")</f>
        <v>0.78294451271028576</v>
      </c>
      <c r="F15" s="153">
        <f>IFERROR(C15/($B$15+$C$15),"")</f>
        <v>0.21705548728971419</v>
      </c>
    </row>
    <row r="16" spans="1:9" ht="15" x14ac:dyDescent="0.25">
      <c r="A16" s="103"/>
      <c r="B16" s="108"/>
      <c r="C16" s="108"/>
      <c r="D16" s="109"/>
      <c r="E16" s="110"/>
      <c r="F16" s="111"/>
    </row>
    <row r="17" spans="1:17" x14ac:dyDescent="0.2">
      <c r="A17" s="99" t="s">
        <v>518</v>
      </c>
      <c r="B17" s="100">
        <f>EVAL("SUM(SUMIFS(MT_Amount, MT_BankRef," &amp;$H17&amp; "))")</f>
        <v>-2735.31</v>
      </c>
      <c r="C17" s="100">
        <f>EVAL("SUM(SUMIFS(IV_Amount, IV_BankRef," &amp;$H17&amp; "))")</f>
        <v>-2089.2800000000002</v>
      </c>
      <c r="D17" s="112"/>
      <c r="E17" s="113"/>
      <c r="F17" s="114"/>
      <c r="H17" t="s">
        <v>519</v>
      </c>
    </row>
    <row r="18" spans="1:17" x14ac:dyDescent="0.2">
      <c r="A18" s="99" t="s">
        <v>25</v>
      </c>
      <c r="B18" s="100">
        <f>EVAL("SUM(SUMIFS(MT_Amount, MT_BankRef," &amp;$H18&amp; "))")</f>
        <v>11169.300000000001</v>
      </c>
      <c r="C18" s="100">
        <f>EVAL("SUM(SUMIFS(IV_Amount, IV_BankRef," &amp;$H18&amp; "))")</f>
        <v>5928.4999999999991</v>
      </c>
      <c r="D18" s="112"/>
      <c r="E18" s="113"/>
      <c r="F18" s="114"/>
      <c r="H18" t="s">
        <v>520</v>
      </c>
    </row>
    <row r="19" spans="1:17" x14ac:dyDescent="0.2">
      <c r="A19" s="99"/>
      <c r="B19" s="101">
        <f>SUM(B17:B18)</f>
        <v>8433.9900000000016</v>
      </c>
      <c r="C19" s="101">
        <f>SUM(C17:C18)</f>
        <v>3839.2199999999989</v>
      </c>
      <c r="D19" s="112"/>
      <c r="E19" s="113"/>
      <c r="F19" s="114"/>
    </row>
    <row r="20" spans="1:17" ht="15" x14ac:dyDescent="0.25">
      <c r="A20" s="103"/>
      <c r="B20" s="100"/>
      <c r="C20" s="100"/>
      <c r="D20" s="112"/>
      <c r="E20" s="113"/>
      <c r="F20" s="114"/>
      <c r="H20" s="103"/>
    </row>
    <row r="21" spans="1:17" x14ac:dyDescent="0.2">
      <c r="A21" t="s">
        <v>525</v>
      </c>
      <c r="B21" s="100">
        <f>EVAL("SUM(SUMIFS(MT_Amount, MT_BankRef," &amp;$H21&amp; "))")</f>
        <v>-550</v>
      </c>
      <c r="C21" s="100">
        <f>EVAL("SUM(SUMIFS(IV_Amount, IV_BankRef," &amp;$H21&amp; "))")</f>
        <v>-550</v>
      </c>
      <c r="D21" s="112"/>
      <c r="E21" s="113"/>
      <c r="F21" s="114"/>
      <c r="H21" t="s">
        <v>526</v>
      </c>
    </row>
    <row r="22" spans="1:17" x14ac:dyDescent="0.2">
      <c r="A22" s="126" t="s">
        <v>527</v>
      </c>
      <c r="B22" s="100">
        <f>EVAL("SUM(SUMIFS(MT_Amount, MT_BankRef," &amp;$H22&amp; "))")</f>
        <v>-50</v>
      </c>
      <c r="C22" s="100">
        <f>EVAL("SUM(SUMIFS(IV_Amount, IV_BankRef," &amp;$H22&amp; "))")</f>
        <v>-50</v>
      </c>
      <c r="D22" s="112"/>
      <c r="E22" s="113"/>
      <c r="F22" s="114"/>
      <c r="H22" s="126" t="s">
        <v>528</v>
      </c>
    </row>
    <row r="23" spans="1:17" x14ac:dyDescent="0.2">
      <c r="A23" s="126"/>
      <c r="B23" s="100"/>
      <c r="C23" s="100"/>
      <c r="D23" s="112"/>
      <c r="E23" s="113"/>
      <c r="F23" s="114"/>
      <c r="H23" s="126"/>
    </row>
    <row r="24" spans="1:17" x14ac:dyDescent="0.2">
      <c r="A24" s="126" t="s">
        <v>533</v>
      </c>
      <c r="B24" s="100">
        <f>EVAL("SUM(SUMIFS(MT_Amount, MT_BankRef," &amp;$H24&amp; "))")</f>
        <v>0</v>
      </c>
      <c r="C24" s="100">
        <f>EVAL("SUM(SUMIFS(IV_Amount, IV_BankRef," &amp;$H24&amp; "))")</f>
        <v>0</v>
      </c>
      <c r="D24" s="112"/>
      <c r="E24" s="113">
        <f t="shared" ref="E24:F26" si="0">IFERROR(($D24)*E$15,"")</f>
        <v>0</v>
      </c>
      <c r="F24" s="114">
        <f t="shared" si="0"/>
        <v>0</v>
      </c>
      <c r="H24" s="126" t="s">
        <v>534</v>
      </c>
    </row>
    <row r="25" spans="1:17" x14ac:dyDescent="0.2">
      <c r="A25" s="126" t="s">
        <v>540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2"/>
      <c r="E25" s="113">
        <f t="shared" si="0"/>
        <v>0</v>
      </c>
      <c r="F25" s="114">
        <f t="shared" si="0"/>
        <v>0</v>
      </c>
      <c r="H25" s="126" t="s">
        <v>541</v>
      </c>
    </row>
    <row r="26" spans="1:17" x14ac:dyDescent="0.2">
      <c r="A26" s="126" t="s">
        <v>542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2"/>
      <c r="E26" s="113">
        <f t="shared" si="0"/>
        <v>0</v>
      </c>
      <c r="F26" s="114">
        <f t="shared" si="0"/>
        <v>0</v>
      </c>
      <c r="H26" s="126" t="s">
        <v>543</v>
      </c>
    </row>
    <row r="27" spans="1:17" x14ac:dyDescent="0.2">
      <c r="A27" s="126"/>
      <c r="B27" s="100"/>
      <c r="C27" s="100"/>
      <c r="D27" s="112"/>
      <c r="E27" s="113"/>
      <c r="F27" s="114"/>
      <c r="H27" s="126"/>
    </row>
    <row r="28" spans="1:17" x14ac:dyDescent="0.2">
      <c r="A28" s="131" t="s">
        <v>557</v>
      </c>
      <c r="B28" s="100"/>
      <c r="C28" s="100"/>
      <c r="D28" s="112"/>
      <c r="E28" s="113"/>
      <c r="F28" s="114"/>
      <c r="H28" s="126"/>
    </row>
    <row r="29" spans="1:17" x14ac:dyDescent="0.2">
      <c r="A29" t="s">
        <v>529</v>
      </c>
      <c r="B29" s="138">
        <f>EVAL("SUM(SUMIFS(MT_Amount, MT_BankRef," &amp;$H29&amp; "))")</f>
        <v>0</v>
      </c>
      <c r="C29" s="101">
        <f>EVAL("SUM(SUMIFS(IV_Amount, IV_BankRef," &amp;$H29&amp; "))")</f>
        <v>-200</v>
      </c>
      <c r="D29" s="139">
        <f t="shared" ref="D29:D35" si="1">B29+C29</f>
        <v>-200</v>
      </c>
      <c r="E29" s="140">
        <f>IFERROR(($D29)*E$15,"")</f>
        <v>-156.58890254205716</v>
      </c>
      <c r="F29" s="141">
        <f>IFERROR(($D29)*F$15,"")</f>
        <v>-43.411097457942837</v>
      </c>
      <c r="H29" t="s">
        <v>530</v>
      </c>
      <c r="J29" s="56"/>
      <c r="Q29" s="56"/>
    </row>
    <row r="30" spans="1:17" x14ac:dyDescent="0.2">
      <c r="A30" s="126" t="s">
        <v>531</v>
      </c>
      <c r="B30" s="142">
        <f>EVAL("SUM(SUMIFS(MT_Amount, MT_BankRef," &amp;$H30&amp; "))")</f>
        <v>0</v>
      </c>
      <c r="C30" s="129">
        <f>EVAL("SUM(SUMIFS(IV_Amount, IV_BankRef," &amp;$H30&amp; "))")</f>
        <v>-3736.38</v>
      </c>
      <c r="D30" s="112">
        <f t="shared" si="1"/>
        <v>-3736.38</v>
      </c>
      <c r="E30" s="113">
        <f t="shared" ref="E30:F35" si="2">IFERROR(($D30)*E$15,"")</f>
        <v>-2925.3782184004576</v>
      </c>
      <c r="F30" s="114">
        <f t="shared" si="2"/>
        <v>-811.00178159954237</v>
      </c>
      <c r="H30" s="126" t="s">
        <v>532</v>
      </c>
      <c r="Q30" s="56"/>
    </row>
    <row r="31" spans="1:17" x14ac:dyDescent="0.2">
      <c r="A31" s="126" t="s">
        <v>535</v>
      </c>
      <c r="B31" s="142">
        <f>EVAL("SUM(SUMIFS(MT_Amount, MT_BankRef," &amp;$H31&amp; "))")</f>
        <v>0</v>
      </c>
      <c r="C31" s="129">
        <f>EVAL("SUM(SUMIFS(IV_Amount, IV_BankRef," &amp;$H31&amp; "))")</f>
        <v>-37.950000000000003</v>
      </c>
      <c r="D31" s="112">
        <f t="shared" si="1"/>
        <v>-37.950000000000003</v>
      </c>
      <c r="E31" s="113">
        <f t="shared" si="2"/>
        <v>-29.712744257355347</v>
      </c>
      <c r="F31" s="114">
        <f t="shared" si="2"/>
        <v>-8.2372557426446544</v>
      </c>
      <c r="H31" t="s">
        <v>536</v>
      </c>
    </row>
    <row r="32" spans="1:17" x14ac:dyDescent="0.2">
      <c r="A32" s="126" t="s">
        <v>537</v>
      </c>
      <c r="B32" s="142">
        <f>EVAL("SUM(SUMIFS(MT_Amount, MT_BankRef," &amp;$H32&amp; "))")</f>
        <v>0</v>
      </c>
      <c r="C32" s="129">
        <f>EVAL("SUM(SUMIFS(IV_Amount, IV_BankRef," &amp;$H32&amp; "))")</f>
        <v>-56.49</v>
      </c>
      <c r="D32" s="112">
        <f t="shared" si="1"/>
        <v>-56.49</v>
      </c>
      <c r="E32" s="113">
        <f t="shared" si="2"/>
        <v>-44.228535523004041</v>
      </c>
      <c r="F32" s="114">
        <f t="shared" si="2"/>
        <v>-12.261464476995956</v>
      </c>
      <c r="H32" t="s">
        <v>538</v>
      </c>
    </row>
    <row r="33" spans="1:8" ht="15" x14ac:dyDescent="0.25">
      <c r="A33" s="126" t="s">
        <v>539</v>
      </c>
      <c r="B33" s="149">
        <f>SUMIFS(MT_Amount, MT_Include,"I")</f>
        <v>-1367.32</v>
      </c>
      <c r="C33" s="129">
        <f>EVAL("SUM(SUMIFS(IV_Amount, IV_BankRef," &amp;$H33&amp; "))")-SUMIFS(IV_Amount_4040, IV_BankRef_4040,"=X")</f>
        <v>-2553</v>
      </c>
      <c r="D33" s="112">
        <f t="shared" si="1"/>
        <v>-3920.3199999999997</v>
      </c>
      <c r="E33" s="113">
        <f t="shared" si="2"/>
        <v>-3069.3930320683871</v>
      </c>
      <c r="F33" s="114">
        <f t="shared" si="2"/>
        <v>-850.92696793161224</v>
      </c>
      <c r="H33" s="56" t="s">
        <v>565</v>
      </c>
    </row>
    <row r="34" spans="1:8" x14ac:dyDescent="0.2">
      <c r="A34" s="126" t="s">
        <v>25</v>
      </c>
      <c r="B34" s="142">
        <f>EVAL("SUM(SUMIFS(MT_Amount, MT_BankRef," &amp;$H34&amp; "))")</f>
        <v>0</v>
      </c>
      <c r="C34" s="129">
        <f>EVAL("SUM(SUMIFS(IV_Amount, IV_BankRef," &amp;$H34&amp; "))")</f>
        <v>0</v>
      </c>
      <c r="D34" s="112">
        <f t="shared" si="1"/>
        <v>0</v>
      </c>
      <c r="E34" s="113">
        <f t="shared" si="2"/>
        <v>0</v>
      </c>
      <c r="F34" s="114">
        <f t="shared" si="2"/>
        <v>0</v>
      </c>
      <c r="H34" s="126" t="s">
        <v>544</v>
      </c>
    </row>
    <row r="35" spans="1:8" x14ac:dyDescent="0.2">
      <c r="A35" s="127" t="s">
        <v>564</v>
      </c>
      <c r="B35" s="143">
        <v>0</v>
      </c>
      <c r="C35" s="144">
        <v>0</v>
      </c>
      <c r="D35" s="112">
        <f t="shared" si="1"/>
        <v>0</v>
      </c>
      <c r="E35" s="113">
        <f t="shared" si="2"/>
        <v>0</v>
      </c>
      <c r="F35" s="114">
        <f t="shared" si="2"/>
        <v>0</v>
      </c>
      <c r="H35" s="127"/>
    </row>
    <row r="36" spans="1:8" x14ac:dyDescent="0.2">
      <c r="B36" s="115">
        <f>SUBTOTAL(9,B29:B35)</f>
        <v>-1367.32</v>
      </c>
      <c r="C36" s="115">
        <f>SUBTOTAL(9,C29:C35)</f>
        <v>-6583.82</v>
      </c>
      <c r="D36" s="116">
        <f>SUBTOTAL(9,D20:D35)</f>
        <v>-7951.1399999999994</v>
      </c>
      <c r="E36" s="117">
        <f>SUBTOTAL(9,E29:E35)</f>
        <v>-6225.3014327912615</v>
      </c>
      <c r="F36" s="115">
        <f>SUBTOTAL(9,F29:F35)</f>
        <v>-1725.8385672087379</v>
      </c>
    </row>
    <row r="37" spans="1:8" x14ac:dyDescent="0.2">
      <c r="B37" s="129"/>
      <c r="C37" s="129"/>
      <c r="D37" s="129"/>
      <c r="E37" s="113"/>
      <c r="F37" s="129"/>
    </row>
    <row r="38" spans="1:8" x14ac:dyDescent="0.2">
      <c r="A38" s="130" t="s">
        <v>555</v>
      </c>
      <c r="E38" s="100">
        <f>SUM(B29:B35)</f>
        <v>-1367.32</v>
      </c>
      <c r="F38" s="100">
        <f>SUM(C29:C35)</f>
        <v>-6583.82</v>
      </c>
    </row>
    <row r="39" spans="1:8" x14ac:dyDescent="0.2">
      <c r="A39" s="127" t="s">
        <v>556</v>
      </c>
      <c r="E39" s="119">
        <f>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18"/>
      <c r="F40" s="100"/>
    </row>
    <row r="41" spans="1:8" x14ac:dyDescent="0.2">
      <c r="A41" t="s">
        <v>546</v>
      </c>
      <c r="E41" s="117">
        <f>E36-E38-E39</f>
        <v>-2248.8214327912619</v>
      </c>
      <c r="F41" s="117">
        <f>F36-F38-F39</f>
        <v>2248.8214327912619</v>
      </c>
    </row>
    <row r="42" spans="1:8" x14ac:dyDescent="0.2">
      <c r="A42" s="132" t="s">
        <v>558</v>
      </c>
    </row>
    <row r="43" spans="1:8" x14ac:dyDescent="0.2">
      <c r="A43" s="132"/>
      <c r="E43" s="100"/>
    </row>
    <row r="44" spans="1:8" x14ac:dyDescent="0.2">
      <c r="A44" s="127" t="s">
        <v>1093</v>
      </c>
      <c r="E44" s="100">
        <v>1546.12</v>
      </c>
    </row>
    <row r="45" spans="1:8" x14ac:dyDescent="0.2">
      <c r="A45" s="127"/>
      <c r="E45" s="100"/>
    </row>
    <row r="46" spans="1:8" x14ac:dyDescent="0.2">
      <c r="A46" s="56"/>
    </row>
    <row r="47" spans="1:8" x14ac:dyDescent="0.2">
      <c r="A47" s="132"/>
      <c r="E47" s="115">
        <f>E41+SUM(E44:E46)</f>
        <v>-702.70143279126205</v>
      </c>
      <c r="F47" s="56" t="s">
        <v>1094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43"/>
  <sheetViews>
    <sheetView zoomScale="85" zoomScaleNormal="85" workbookViewId="0">
      <selection activeCell="A3" sqref="A3:G59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4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6" t="s">
        <v>1061</v>
      </c>
    </row>
    <row r="4" spans="1:15" x14ac:dyDescent="0.2">
      <c r="A4" t="s">
        <v>1062</v>
      </c>
      <c r="B4">
        <v>10</v>
      </c>
    </row>
    <row r="5" spans="1:15" x14ac:dyDescent="0.2">
      <c r="A5" t="s">
        <v>1063</v>
      </c>
      <c r="B5">
        <v>72</v>
      </c>
    </row>
    <row r="6" spans="1:15" x14ac:dyDescent="0.2">
      <c r="A6" t="s">
        <v>1064</v>
      </c>
      <c r="B6">
        <v>72</v>
      </c>
    </row>
    <row r="7" spans="1:15" x14ac:dyDescent="0.2">
      <c r="A7" t="s">
        <v>1065</v>
      </c>
      <c r="B7">
        <v>65</v>
      </c>
    </row>
    <row r="8" spans="1:15" x14ac:dyDescent="0.2">
      <c r="A8" t="s">
        <v>1066</v>
      </c>
      <c r="B8">
        <v>10</v>
      </c>
    </row>
    <row r="9" spans="1:15" x14ac:dyDescent="0.2">
      <c r="A9" t="s">
        <v>1067</v>
      </c>
      <c r="B9">
        <v>5</v>
      </c>
    </row>
    <row r="10" spans="1:15" x14ac:dyDescent="0.2">
      <c r="A10" s="145"/>
      <c r="B10" s="145"/>
      <c r="C10" s="145"/>
      <c r="D10" s="145"/>
      <c r="E10" s="145"/>
      <c r="F10" s="145"/>
      <c r="G10" s="145"/>
      <c r="H10" s="123"/>
      <c r="I10" s="123"/>
      <c r="J10" s="123"/>
      <c r="K10" s="123"/>
      <c r="L10" s="123"/>
      <c r="M10" s="123"/>
      <c r="N10" s="123"/>
      <c r="O10" s="123"/>
    </row>
    <row r="11" spans="1:15" ht="15" x14ac:dyDescent="0.25">
      <c r="A11" s="156" t="s">
        <v>24</v>
      </c>
      <c r="B11" s="156" t="s">
        <v>513</v>
      </c>
      <c r="C11" s="156" t="s">
        <v>515</v>
      </c>
      <c r="D11" s="156" t="s">
        <v>550</v>
      </c>
      <c r="E11" s="156" t="s">
        <v>1068</v>
      </c>
      <c r="F11" s="156" t="s">
        <v>1069</v>
      </c>
    </row>
    <row r="12" spans="1:15" x14ac:dyDescent="0.2">
      <c r="A12" t="s">
        <v>109</v>
      </c>
      <c r="B12" s="157">
        <v>43251.561747685184</v>
      </c>
      <c r="C12">
        <v>-12.08</v>
      </c>
      <c r="D12" t="s">
        <v>720</v>
      </c>
      <c r="E12">
        <v>190138</v>
      </c>
      <c r="F12" t="s">
        <v>1070</v>
      </c>
    </row>
    <row r="13" spans="1:15" x14ac:dyDescent="0.2">
      <c r="A13" t="s">
        <v>109</v>
      </c>
      <c r="B13" s="157">
        <v>43251.561747685184</v>
      </c>
      <c r="C13">
        <v>167.81</v>
      </c>
      <c r="D13" t="s">
        <v>722</v>
      </c>
      <c r="E13">
        <v>190137</v>
      </c>
      <c r="F13" t="s">
        <v>1070</v>
      </c>
    </row>
    <row r="14" spans="1:15" x14ac:dyDescent="0.2">
      <c r="A14" t="s">
        <v>67</v>
      </c>
      <c r="B14" s="157">
        <v>43234.553715277776</v>
      </c>
      <c r="C14">
        <v>182.8</v>
      </c>
      <c r="D14" t="s">
        <v>1071</v>
      </c>
      <c r="E14">
        <v>190146</v>
      </c>
      <c r="F14" t="s">
        <v>1070</v>
      </c>
    </row>
    <row r="15" spans="1:15" x14ac:dyDescent="0.2">
      <c r="A15" t="s">
        <v>67</v>
      </c>
      <c r="B15" s="157">
        <v>43231.579432870371</v>
      </c>
      <c r="C15">
        <v>-182.8</v>
      </c>
      <c r="D15" t="s">
        <v>1072</v>
      </c>
      <c r="E15">
        <v>190145</v>
      </c>
      <c r="F15" t="s">
        <v>1070</v>
      </c>
    </row>
    <row r="16" spans="1:15" x14ac:dyDescent="0.2">
      <c r="A16" t="s">
        <v>67</v>
      </c>
      <c r="B16" s="157">
        <v>43231.578900462962</v>
      </c>
      <c r="C16">
        <v>182.8</v>
      </c>
      <c r="D16" t="s">
        <v>1073</v>
      </c>
      <c r="E16">
        <v>190144</v>
      </c>
      <c r="F16" t="s">
        <v>1070</v>
      </c>
    </row>
    <row r="17" spans="1:6" x14ac:dyDescent="0.2">
      <c r="A17" t="s">
        <v>72</v>
      </c>
      <c r="B17" s="157">
        <v>43244.711909722224</v>
      </c>
      <c r="C17">
        <v>-55</v>
      </c>
      <c r="D17" t="s">
        <v>1074</v>
      </c>
      <c r="E17">
        <v>190118</v>
      </c>
      <c r="F17" t="s">
        <v>1070</v>
      </c>
    </row>
    <row r="18" spans="1:6" x14ac:dyDescent="0.2">
      <c r="A18" t="s">
        <v>72</v>
      </c>
      <c r="B18" s="157">
        <v>43230.602766203701</v>
      </c>
      <c r="C18">
        <v>-140</v>
      </c>
      <c r="D18" t="s">
        <v>1075</v>
      </c>
      <c r="E18">
        <v>190117</v>
      </c>
      <c r="F18" t="s">
        <v>1070</v>
      </c>
    </row>
    <row r="19" spans="1:6" x14ac:dyDescent="0.2">
      <c r="A19" t="s">
        <v>53</v>
      </c>
      <c r="B19" s="157">
        <v>43251.467731481483</v>
      </c>
      <c r="C19">
        <v>-25</v>
      </c>
      <c r="D19" t="s">
        <v>1076</v>
      </c>
      <c r="E19">
        <v>190221</v>
      </c>
      <c r="F19" t="s">
        <v>1070</v>
      </c>
    </row>
    <row r="20" spans="1:6" x14ac:dyDescent="0.2">
      <c r="A20" t="s">
        <v>187</v>
      </c>
      <c r="B20" s="157">
        <v>43236.703032407408</v>
      </c>
      <c r="C20">
        <v>-150</v>
      </c>
      <c r="D20" t="s">
        <v>1077</v>
      </c>
      <c r="E20">
        <v>190247</v>
      </c>
      <c r="F20" t="s">
        <v>1070</v>
      </c>
    </row>
    <row r="21" spans="1:6" x14ac:dyDescent="0.2">
      <c r="A21" t="s">
        <v>58</v>
      </c>
      <c r="B21" s="157">
        <v>43231.621724537035</v>
      </c>
      <c r="C21">
        <v>-11</v>
      </c>
      <c r="D21" t="s">
        <v>1078</v>
      </c>
      <c r="E21">
        <v>190257</v>
      </c>
      <c r="F21" t="s">
        <v>1070</v>
      </c>
    </row>
    <row r="22" spans="1:6" x14ac:dyDescent="0.2">
      <c r="A22" t="s">
        <v>231</v>
      </c>
      <c r="B22" s="157">
        <v>43281.543136574073</v>
      </c>
      <c r="C22">
        <v>-85</v>
      </c>
      <c r="D22" t="s">
        <v>811</v>
      </c>
      <c r="E22">
        <v>190949</v>
      </c>
      <c r="F22" t="s">
        <v>1079</v>
      </c>
    </row>
    <row r="23" spans="1:6" x14ac:dyDescent="0.2">
      <c r="A23" t="s">
        <v>115</v>
      </c>
      <c r="B23" s="157">
        <v>43270.40519675926</v>
      </c>
      <c r="C23">
        <v>-160</v>
      </c>
      <c r="D23" t="s">
        <v>830</v>
      </c>
      <c r="E23">
        <v>191025</v>
      </c>
      <c r="F23" t="s">
        <v>1079</v>
      </c>
    </row>
    <row r="24" spans="1:6" x14ac:dyDescent="0.2">
      <c r="A24" t="s">
        <v>115</v>
      </c>
      <c r="B24" s="157">
        <v>43271.501030092593</v>
      </c>
      <c r="C24">
        <v>-78</v>
      </c>
      <c r="D24" t="s">
        <v>831</v>
      </c>
      <c r="E24">
        <v>191026</v>
      </c>
      <c r="F24" t="s">
        <v>1079</v>
      </c>
    </row>
    <row r="25" spans="1:6" x14ac:dyDescent="0.2">
      <c r="A25" t="s">
        <v>73</v>
      </c>
      <c r="B25" s="157">
        <v>43273.492488425924</v>
      </c>
      <c r="C25">
        <v>-85</v>
      </c>
      <c r="D25" t="s">
        <v>834</v>
      </c>
      <c r="E25">
        <v>191030</v>
      </c>
      <c r="F25" t="s">
        <v>1079</v>
      </c>
    </row>
    <row r="26" spans="1:6" x14ac:dyDescent="0.2">
      <c r="A26" t="s">
        <v>73</v>
      </c>
      <c r="B26" s="157">
        <v>43281.5390162037</v>
      </c>
      <c r="C26">
        <v>-85</v>
      </c>
      <c r="D26" t="s">
        <v>835</v>
      </c>
      <c r="E26">
        <v>191031</v>
      </c>
      <c r="F26" t="s">
        <v>1079</v>
      </c>
    </row>
    <row r="27" spans="1:6" x14ac:dyDescent="0.2">
      <c r="B27" s="152"/>
    </row>
    <row r="28" spans="1:6" ht="15" x14ac:dyDescent="0.25">
      <c r="A28" s="156" t="s">
        <v>1080</v>
      </c>
    </row>
    <row r="29" spans="1:6" x14ac:dyDescent="0.2">
      <c r="A29" t="s">
        <v>1081</v>
      </c>
      <c r="B29" t="s">
        <v>522</v>
      </c>
    </row>
    <row r="30" spans="1:6" x14ac:dyDescent="0.2">
      <c r="A30" t="s">
        <v>1082</v>
      </c>
      <c r="B30">
        <v>135</v>
      </c>
    </row>
    <row r="31" spans="1:6" x14ac:dyDescent="0.2">
      <c r="A31" t="s">
        <v>1083</v>
      </c>
      <c r="B31">
        <v>135</v>
      </c>
    </row>
    <row r="32" spans="1:6" x14ac:dyDescent="0.2">
      <c r="A32" t="s">
        <v>1084</v>
      </c>
      <c r="B32">
        <v>0</v>
      </c>
    </row>
    <row r="33" spans="1:3" x14ac:dyDescent="0.2">
      <c r="A33" t="s">
        <v>1085</v>
      </c>
      <c r="B33">
        <v>135</v>
      </c>
      <c r="C33">
        <v>135</v>
      </c>
    </row>
    <row r="34" spans="1:3" x14ac:dyDescent="0.2">
      <c r="A34" t="s">
        <v>1086</v>
      </c>
      <c r="B34">
        <v>0</v>
      </c>
      <c r="C34">
        <v>0</v>
      </c>
    </row>
    <row r="35" spans="1:3" x14ac:dyDescent="0.2">
      <c r="A35" t="s">
        <v>1087</v>
      </c>
      <c r="B35">
        <v>30</v>
      </c>
      <c r="C35">
        <v>30</v>
      </c>
    </row>
    <row r="36" spans="1:3" x14ac:dyDescent="0.2">
      <c r="B36" s="152"/>
    </row>
    <row r="37" spans="1:3" x14ac:dyDescent="0.2">
      <c r="A37" t="s">
        <v>1081</v>
      </c>
      <c r="B37" t="s">
        <v>523</v>
      </c>
    </row>
    <row r="38" spans="1:3" x14ac:dyDescent="0.2">
      <c r="A38" t="s">
        <v>1082</v>
      </c>
      <c r="B38">
        <v>69</v>
      </c>
    </row>
    <row r="39" spans="1:3" x14ac:dyDescent="0.2">
      <c r="A39" t="s">
        <v>1083</v>
      </c>
      <c r="B39">
        <v>69</v>
      </c>
    </row>
    <row r="40" spans="1:3" x14ac:dyDescent="0.2">
      <c r="A40" t="s">
        <v>1084</v>
      </c>
      <c r="B40">
        <v>0</v>
      </c>
    </row>
    <row r="41" spans="1:3" x14ac:dyDescent="0.2">
      <c r="A41" t="s">
        <v>1085</v>
      </c>
      <c r="B41">
        <v>69</v>
      </c>
      <c r="C41">
        <v>69</v>
      </c>
    </row>
    <row r="42" spans="1:3" x14ac:dyDescent="0.2">
      <c r="A42" t="s">
        <v>1086</v>
      </c>
      <c r="B42">
        <v>0</v>
      </c>
      <c r="C42">
        <v>0</v>
      </c>
    </row>
    <row r="43" spans="1:3" x14ac:dyDescent="0.2">
      <c r="A43" t="s">
        <v>1087</v>
      </c>
      <c r="B43">
        <v>16</v>
      </c>
      <c r="C43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159"/>
  <sheetViews>
    <sheetView topLeftCell="A82" zoomScale="85" zoomScaleNormal="85" workbookViewId="0">
      <selection activeCell="J119" sqref="J119"/>
    </sheetView>
  </sheetViews>
  <sheetFormatPr defaultRowHeight="12.75" x14ac:dyDescent="0.2"/>
  <cols>
    <col min="1" max="2" width="10.28515625" bestFit="1" customWidth="1"/>
    <col min="3" max="3" width="16.85546875" bestFit="1" customWidth="1"/>
    <col min="4" max="4" width="12.85546875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2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2" x14ac:dyDescent="0.2">
      <c r="B2" s="152">
        <v>43252</v>
      </c>
      <c r="C2" t="s">
        <v>569</v>
      </c>
      <c r="D2">
        <v>-3.1</v>
      </c>
      <c r="E2" t="s">
        <v>570</v>
      </c>
      <c r="F2" t="s">
        <v>856</v>
      </c>
      <c r="G2" s="125"/>
      <c r="H2" s="125"/>
      <c r="I2" t="s">
        <v>1015</v>
      </c>
      <c r="J2" s="133"/>
      <c r="K2" s="125"/>
      <c r="L2" s="125"/>
    </row>
    <row r="3" spans="1:12" x14ac:dyDescent="0.2">
      <c r="B3" s="152">
        <v>43252</v>
      </c>
      <c r="C3" t="s">
        <v>569</v>
      </c>
      <c r="D3">
        <v>-2609.16</v>
      </c>
      <c r="E3" t="s">
        <v>571</v>
      </c>
      <c r="F3" t="s">
        <v>572</v>
      </c>
      <c r="G3" s="125"/>
      <c r="H3" s="125"/>
      <c r="I3" t="s">
        <v>1015</v>
      </c>
      <c r="J3" s="125"/>
      <c r="K3" s="125"/>
      <c r="L3" s="125"/>
    </row>
    <row r="4" spans="1:12" x14ac:dyDescent="0.2">
      <c r="B4" s="152">
        <v>43252</v>
      </c>
      <c r="C4" t="s">
        <v>569</v>
      </c>
      <c r="D4">
        <v>-232.5</v>
      </c>
      <c r="E4" t="s">
        <v>571</v>
      </c>
      <c r="F4" t="s">
        <v>573</v>
      </c>
      <c r="G4" s="125"/>
      <c r="H4" s="125"/>
      <c r="I4" t="s">
        <v>1015</v>
      </c>
      <c r="J4" s="125"/>
      <c r="K4" s="125"/>
      <c r="L4" s="125"/>
    </row>
    <row r="5" spans="1:12" x14ac:dyDescent="0.2">
      <c r="B5" s="152">
        <v>43252</v>
      </c>
      <c r="C5" t="s">
        <v>569</v>
      </c>
      <c r="D5">
        <v>-196.79</v>
      </c>
      <c r="E5" t="s">
        <v>571</v>
      </c>
      <c r="F5" t="s">
        <v>574</v>
      </c>
      <c r="G5" s="125"/>
      <c r="H5" s="125"/>
      <c r="I5" t="s">
        <v>1015</v>
      </c>
      <c r="J5" s="125"/>
      <c r="K5" s="125"/>
      <c r="L5" s="125"/>
    </row>
    <row r="6" spans="1:12" x14ac:dyDescent="0.2">
      <c r="B6" s="152">
        <v>43252</v>
      </c>
      <c r="C6" t="s">
        <v>569</v>
      </c>
      <c r="D6">
        <v>-160</v>
      </c>
      <c r="E6" t="s">
        <v>571</v>
      </c>
      <c r="F6" t="s">
        <v>575</v>
      </c>
      <c r="G6" s="125"/>
      <c r="H6" s="125"/>
      <c r="I6" t="s">
        <v>1015</v>
      </c>
      <c r="J6" s="125"/>
      <c r="K6" s="125"/>
      <c r="L6" s="125"/>
    </row>
    <row r="7" spans="1:12" x14ac:dyDescent="0.2">
      <c r="B7" s="152">
        <v>43252</v>
      </c>
      <c r="C7" t="s">
        <v>569</v>
      </c>
      <c r="D7">
        <v>-157.5</v>
      </c>
      <c r="E7" t="s">
        <v>571</v>
      </c>
      <c r="F7" t="s">
        <v>576</v>
      </c>
      <c r="G7" s="125"/>
      <c r="H7" s="125"/>
      <c r="I7" t="s">
        <v>1015</v>
      </c>
      <c r="J7" s="125"/>
      <c r="K7" s="125"/>
      <c r="L7" s="125"/>
    </row>
    <row r="8" spans="1:12" x14ac:dyDescent="0.2">
      <c r="B8" s="152">
        <v>43252</v>
      </c>
      <c r="C8" t="s">
        <v>569</v>
      </c>
      <c r="D8">
        <v>-50</v>
      </c>
      <c r="E8" t="s">
        <v>571</v>
      </c>
      <c r="F8" t="s">
        <v>577</v>
      </c>
      <c r="G8" s="125"/>
      <c r="H8" s="125"/>
      <c r="I8" t="s">
        <v>1015</v>
      </c>
      <c r="J8" s="125"/>
      <c r="K8" s="125"/>
      <c r="L8" s="125"/>
    </row>
    <row r="9" spans="1:12" x14ac:dyDescent="0.2">
      <c r="B9" s="152">
        <v>43252</v>
      </c>
      <c r="C9" t="s">
        <v>569</v>
      </c>
      <c r="D9">
        <v>-50</v>
      </c>
      <c r="E9" t="s">
        <v>571</v>
      </c>
      <c r="F9" t="s">
        <v>578</v>
      </c>
      <c r="G9" s="125"/>
      <c r="H9" s="125"/>
      <c r="I9" t="s">
        <v>1015</v>
      </c>
      <c r="J9" s="125"/>
      <c r="K9" s="125"/>
      <c r="L9" s="125"/>
    </row>
    <row r="10" spans="1:12" x14ac:dyDescent="0.2">
      <c r="B10" s="152">
        <v>43252</v>
      </c>
      <c r="C10" t="s">
        <v>569</v>
      </c>
      <c r="D10">
        <v>-200.86</v>
      </c>
      <c r="E10" t="s">
        <v>579</v>
      </c>
      <c r="F10" t="s">
        <v>580</v>
      </c>
      <c r="G10" s="125"/>
      <c r="H10" s="125"/>
      <c r="I10" t="s">
        <v>1016</v>
      </c>
      <c r="J10" s="125"/>
      <c r="K10" s="125"/>
      <c r="L10" s="125"/>
    </row>
    <row r="11" spans="1:12" x14ac:dyDescent="0.2">
      <c r="B11" s="152">
        <v>43252</v>
      </c>
      <c r="C11" t="s">
        <v>569</v>
      </c>
      <c r="D11">
        <v>-217.96</v>
      </c>
      <c r="E11" t="s">
        <v>579</v>
      </c>
      <c r="F11" t="s">
        <v>581</v>
      </c>
      <c r="G11" s="125"/>
      <c r="H11" s="125"/>
      <c r="I11" t="s">
        <v>1016</v>
      </c>
      <c r="J11" s="125"/>
      <c r="K11" s="125"/>
      <c r="L11" s="125"/>
    </row>
    <row r="12" spans="1:12" x14ac:dyDescent="0.2">
      <c r="B12" s="152">
        <v>43252</v>
      </c>
      <c r="C12" t="s">
        <v>569</v>
      </c>
      <c r="D12">
        <v>-109.15</v>
      </c>
      <c r="E12" t="s">
        <v>579</v>
      </c>
      <c r="F12" t="s">
        <v>582</v>
      </c>
      <c r="G12" s="125"/>
      <c r="H12" s="125"/>
      <c r="I12" t="s">
        <v>1016</v>
      </c>
      <c r="J12" s="125"/>
      <c r="K12" s="125"/>
      <c r="L12" s="125"/>
    </row>
    <row r="13" spans="1:12" x14ac:dyDescent="0.2">
      <c r="B13" s="152">
        <v>43252</v>
      </c>
      <c r="C13" t="s">
        <v>569</v>
      </c>
      <c r="D13">
        <v>-109.73</v>
      </c>
      <c r="E13" t="s">
        <v>579</v>
      </c>
      <c r="F13" t="s">
        <v>583</v>
      </c>
      <c r="G13" s="125"/>
      <c r="H13" s="125"/>
      <c r="I13" t="s">
        <v>1016</v>
      </c>
      <c r="J13" s="125"/>
      <c r="K13" s="125"/>
      <c r="L13" s="125"/>
    </row>
    <row r="14" spans="1:12" x14ac:dyDescent="0.2">
      <c r="B14" s="152">
        <v>43255</v>
      </c>
      <c r="C14" t="s">
        <v>569</v>
      </c>
      <c r="D14">
        <v>-20</v>
      </c>
      <c r="E14" t="s">
        <v>570</v>
      </c>
      <c r="F14" t="s">
        <v>857</v>
      </c>
      <c r="G14" s="125"/>
      <c r="H14" s="133"/>
      <c r="I14" t="s">
        <v>1015</v>
      </c>
      <c r="J14" s="125"/>
      <c r="K14" s="125"/>
      <c r="L14" s="125"/>
    </row>
    <row r="15" spans="1:12" x14ac:dyDescent="0.2">
      <c r="B15" s="152">
        <v>43255</v>
      </c>
      <c r="C15" t="s">
        <v>569</v>
      </c>
      <c r="D15">
        <v>-9.64</v>
      </c>
      <c r="E15" t="s">
        <v>570</v>
      </c>
      <c r="F15" t="s">
        <v>858</v>
      </c>
      <c r="G15" s="133"/>
      <c r="H15" s="133"/>
      <c r="I15" t="s">
        <v>1015</v>
      </c>
      <c r="J15" s="125"/>
      <c r="K15" s="125"/>
      <c r="L15" s="125"/>
    </row>
    <row r="16" spans="1:12" x14ac:dyDescent="0.2">
      <c r="B16" s="152">
        <v>43255</v>
      </c>
      <c r="C16" t="s">
        <v>569</v>
      </c>
      <c r="D16">
        <v>-6</v>
      </c>
      <c r="E16" t="s">
        <v>570</v>
      </c>
      <c r="F16" t="s">
        <v>859</v>
      </c>
      <c r="G16" s="133"/>
      <c r="H16" s="125"/>
      <c r="I16" t="s">
        <v>1015</v>
      </c>
      <c r="J16" s="125"/>
      <c r="K16" s="125"/>
      <c r="L16" s="125"/>
    </row>
    <row r="17" spans="2:12" x14ac:dyDescent="0.2">
      <c r="B17" s="152">
        <v>43255</v>
      </c>
      <c r="C17" t="s">
        <v>569</v>
      </c>
      <c r="D17">
        <v>-3.1</v>
      </c>
      <c r="E17" t="s">
        <v>570</v>
      </c>
      <c r="F17" t="s">
        <v>860</v>
      </c>
      <c r="G17" s="125"/>
      <c r="H17" s="133"/>
      <c r="I17" t="s">
        <v>1015</v>
      </c>
      <c r="J17" s="133"/>
      <c r="K17" s="125"/>
      <c r="L17" s="125"/>
    </row>
    <row r="18" spans="2:12" x14ac:dyDescent="0.2">
      <c r="B18" s="152">
        <v>43255</v>
      </c>
      <c r="C18" t="s">
        <v>569</v>
      </c>
      <c r="D18" s="151">
        <v>-106.99</v>
      </c>
      <c r="E18" t="s">
        <v>570</v>
      </c>
      <c r="F18" t="s">
        <v>596</v>
      </c>
      <c r="G18" s="133"/>
      <c r="H18" s="133"/>
      <c r="I18" t="s">
        <v>1015</v>
      </c>
      <c r="J18" s="133"/>
      <c r="K18" s="125"/>
      <c r="L18" s="125"/>
    </row>
    <row r="19" spans="2:12" x14ac:dyDescent="0.2">
      <c r="B19" s="152">
        <v>43255</v>
      </c>
      <c r="C19" t="s">
        <v>569</v>
      </c>
      <c r="D19">
        <v>-52.98</v>
      </c>
      <c r="E19" t="s">
        <v>570</v>
      </c>
      <c r="F19" t="s">
        <v>861</v>
      </c>
      <c r="G19" s="125"/>
      <c r="H19" s="125"/>
      <c r="I19" t="s">
        <v>1015</v>
      </c>
      <c r="J19" s="133"/>
      <c r="K19" s="125"/>
      <c r="L19" s="125"/>
    </row>
    <row r="20" spans="2:12" x14ac:dyDescent="0.2">
      <c r="B20" s="152">
        <v>43255</v>
      </c>
      <c r="C20" t="s">
        <v>569</v>
      </c>
      <c r="D20">
        <v>-10</v>
      </c>
      <c r="E20" t="s">
        <v>570</v>
      </c>
      <c r="F20" t="s">
        <v>862</v>
      </c>
      <c r="G20" s="125"/>
      <c r="H20" s="125"/>
      <c r="I20" t="s">
        <v>1015</v>
      </c>
      <c r="J20" s="133" t="s">
        <v>682</v>
      </c>
      <c r="K20" s="125"/>
      <c r="L20" s="125"/>
    </row>
    <row r="21" spans="2:12" x14ac:dyDescent="0.2">
      <c r="B21" s="152">
        <v>43255</v>
      </c>
      <c r="C21" t="s">
        <v>569</v>
      </c>
      <c r="D21">
        <v>-188.25</v>
      </c>
      <c r="E21" t="s">
        <v>579</v>
      </c>
      <c r="F21" t="s">
        <v>584</v>
      </c>
      <c r="G21" s="125"/>
      <c r="H21" s="125"/>
      <c r="I21" t="s">
        <v>1016</v>
      </c>
      <c r="J21" s="133"/>
      <c r="K21" s="125"/>
      <c r="L21" s="125"/>
    </row>
    <row r="22" spans="2:12" x14ac:dyDescent="0.2">
      <c r="B22" s="152">
        <v>43255</v>
      </c>
      <c r="C22" t="s">
        <v>569</v>
      </c>
      <c r="D22">
        <v>-212.8</v>
      </c>
      <c r="E22" t="s">
        <v>579</v>
      </c>
      <c r="F22" t="s">
        <v>585</v>
      </c>
      <c r="G22" s="125"/>
      <c r="H22" s="125"/>
      <c r="I22" t="s">
        <v>1016</v>
      </c>
      <c r="J22" s="125"/>
      <c r="K22" s="125"/>
      <c r="L22" s="125"/>
    </row>
    <row r="23" spans="2:12" x14ac:dyDescent="0.2">
      <c r="B23" s="152">
        <v>43255</v>
      </c>
      <c r="C23" t="s">
        <v>569</v>
      </c>
      <c r="D23">
        <v>-234.89</v>
      </c>
      <c r="E23" t="s">
        <v>579</v>
      </c>
      <c r="F23" t="s">
        <v>586</v>
      </c>
      <c r="G23" s="125"/>
      <c r="H23" s="125"/>
      <c r="I23" t="s">
        <v>1016</v>
      </c>
      <c r="J23" s="125"/>
      <c r="K23" s="125"/>
      <c r="L23" s="125"/>
    </row>
    <row r="24" spans="2:12" x14ac:dyDescent="0.2">
      <c r="B24" s="152">
        <v>43255</v>
      </c>
      <c r="C24" t="s">
        <v>569</v>
      </c>
      <c r="D24">
        <v>-226.77</v>
      </c>
      <c r="E24" t="s">
        <v>579</v>
      </c>
      <c r="F24" t="s">
        <v>587</v>
      </c>
      <c r="G24" s="125"/>
      <c r="H24" s="125"/>
      <c r="I24" t="s">
        <v>1016</v>
      </c>
      <c r="J24" s="125"/>
      <c r="K24" s="125"/>
      <c r="L24" s="125"/>
    </row>
    <row r="25" spans="2:12" x14ac:dyDescent="0.2">
      <c r="B25" s="152">
        <v>43255</v>
      </c>
      <c r="C25" t="s">
        <v>569</v>
      </c>
      <c r="D25">
        <v>-186.24</v>
      </c>
      <c r="E25" t="s">
        <v>579</v>
      </c>
      <c r="F25" t="s">
        <v>588</v>
      </c>
      <c r="G25" s="125"/>
      <c r="H25" s="125"/>
      <c r="I25" t="s">
        <v>1016</v>
      </c>
      <c r="J25" s="125"/>
      <c r="K25" s="125"/>
      <c r="L25" s="125"/>
    </row>
    <row r="26" spans="2:12" x14ac:dyDescent="0.2">
      <c r="B26" s="152">
        <v>43255</v>
      </c>
      <c r="C26" t="s">
        <v>569</v>
      </c>
      <c r="D26">
        <v>-226.6</v>
      </c>
      <c r="E26" t="s">
        <v>579</v>
      </c>
      <c r="F26" t="s">
        <v>589</v>
      </c>
      <c r="G26" s="125"/>
      <c r="H26" s="125"/>
      <c r="I26" t="s">
        <v>1016</v>
      </c>
      <c r="J26" s="125"/>
      <c r="K26" s="125"/>
      <c r="L26" s="125"/>
    </row>
    <row r="27" spans="2:12" x14ac:dyDescent="0.2">
      <c r="B27" s="152">
        <v>43255</v>
      </c>
      <c r="C27" t="s">
        <v>569</v>
      </c>
      <c r="D27">
        <v>-186.13</v>
      </c>
      <c r="E27" t="s">
        <v>579</v>
      </c>
      <c r="F27" t="s">
        <v>590</v>
      </c>
      <c r="G27" s="125"/>
      <c r="H27" s="125"/>
      <c r="I27" t="s">
        <v>1016</v>
      </c>
      <c r="J27" s="125"/>
      <c r="K27" s="125"/>
      <c r="L27" s="125"/>
    </row>
    <row r="28" spans="2:12" x14ac:dyDescent="0.2">
      <c r="B28" s="152">
        <v>43255</v>
      </c>
      <c r="C28" t="s">
        <v>569</v>
      </c>
      <c r="D28">
        <v>-143.55000000000001</v>
      </c>
      <c r="E28" t="s">
        <v>579</v>
      </c>
      <c r="F28" t="s">
        <v>591</v>
      </c>
      <c r="G28" s="125"/>
      <c r="H28" s="125"/>
      <c r="I28" t="s">
        <v>1016</v>
      </c>
      <c r="J28" s="125"/>
      <c r="K28" s="125"/>
      <c r="L28" s="125"/>
    </row>
    <row r="29" spans="2:12" x14ac:dyDescent="0.2">
      <c r="B29" s="152">
        <v>43255</v>
      </c>
      <c r="C29" t="s">
        <v>569</v>
      </c>
      <c r="D29">
        <v>-159.34</v>
      </c>
      <c r="E29" t="s">
        <v>579</v>
      </c>
      <c r="F29" t="s">
        <v>592</v>
      </c>
      <c r="G29" s="125"/>
      <c r="H29" s="125"/>
      <c r="I29" t="s">
        <v>1016</v>
      </c>
      <c r="J29" s="125"/>
      <c r="K29" s="125"/>
      <c r="L29" s="125"/>
    </row>
    <row r="30" spans="2:12" x14ac:dyDescent="0.2">
      <c r="B30" s="152">
        <v>43255</v>
      </c>
      <c r="C30" t="s">
        <v>569</v>
      </c>
      <c r="D30">
        <v>-159.38</v>
      </c>
      <c r="E30" t="s">
        <v>579</v>
      </c>
      <c r="F30" t="s">
        <v>593</v>
      </c>
      <c r="G30" s="125"/>
      <c r="H30" s="125"/>
      <c r="I30" t="s">
        <v>1016</v>
      </c>
      <c r="J30" s="125"/>
      <c r="K30" s="125"/>
      <c r="L30" s="125"/>
    </row>
    <row r="31" spans="2:12" x14ac:dyDescent="0.2">
      <c r="B31" s="152">
        <v>43255</v>
      </c>
      <c r="C31" t="s">
        <v>569</v>
      </c>
      <c r="D31">
        <v>-152.33000000000001</v>
      </c>
      <c r="E31" t="s">
        <v>579</v>
      </c>
      <c r="F31" t="s">
        <v>594</v>
      </c>
      <c r="G31" s="125"/>
      <c r="H31" s="125"/>
      <c r="I31" t="s">
        <v>1016</v>
      </c>
      <c r="J31" s="125"/>
      <c r="K31" s="125"/>
      <c r="L31" s="125"/>
    </row>
    <row r="32" spans="2:12" x14ac:dyDescent="0.2">
      <c r="B32" s="152">
        <v>43255</v>
      </c>
      <c r="C32" t="s">
        <v>569</v>
      </c>
      <c r="D32">
        <v>-145.46</v>
      </c>
      <c r="E32" t="s">
        <v>579</v>
      </c>
      <c r="F32" t="s">
        <v>595</v>
      </c>
      <c r="G32" s="125"/>
      <c r="H32" s="125"/>
      <c r="I32" t="s">
        <v>1016</v>
      </c>
      <c r="J32" s="125"/>
      <c r="K32" s="125"/>
      <c r="L32" s="125"/>
    </row>
    <row r="33" spans="2:12" x14ac:dyDescent="0.2">
      <c r="B33" s="152">
        <v>43256</v>
      </c>
      <c r="C33" t="s">
        <v>569</v>
      </c>
      <c r="D33">
        <v>-3.1</v>
      </c>
      <c r="E33" t="s">
        <v>570</v>
      </c>
      <c r="F33" t="s">
        <v>863</v>
      </c>
      <c r="G33" s="125"/>
      <c r="H33" s="134"/>
      <c r="I33" t="s">
        <v>1015</v>
      </c>
      <c r="J33" s="125"/>
      <c r="K33" s="125"/>
      <c r="L33" s="125"/>
    </row>
    <row r="34" spans="2:12" x14ac:dyDescent="0.2">
      <c r="B34" s="152">
        <v>43257</v>
      </c>
      <c r="C34" t="s">
        <v>569</v>
      </c>
      <c r="D34">
        <v>482.56</v>
      </c>
      <c r="E34" t="s">
        <v>597</v>
      </c>
      <c r="F34" t="s">
        <v>598</v>
      </c>
      <c r="G34" s="125"/>
      <c r="H34" s="125"/>
      <c r="I34" t="s">
        <v>1015</v>
      </c>
      <c r="J34" s="133"/>
      <c r="K34" s="125"/>
      <c r="L34" s="125"/>
    </row>
    <row r="35" spans="2:12" x14ac:dyDescent="0.2">
      <c r="B35" s="152">
        <v>43257</v>
      </c>
      <c r="C35" t="s">
        <v>569</v>
      </c>
      <c r="D35">
        <v>-3.1</v>
      </c>
      <c r="E35" t="s">
        <v>570</v>
      </c>
      <c r="F35" t="s">
        <v>864</v>
      </c>
      <c r="G35" s="125"/>
      <c r="H35" s="125"/>
      <c r="I35" t="s">
        <v>1015</v>
      </c>
      <c r="J35" s="133"/>
      <c r="K35" s="125"/>
      <c r="L35" s="125"/>
    </row>
    <row r="36" spans="2:12" x14ac:dyDescent="0.2">
      <c r="B36" s="152">
        <v>43258</v>
      </c>
      <c r="C36" t="s">
        <v>569</v>
      </c>
      <c r="D36">
        <v>429.52</v>
      </c>
      <c r="E36" t="s">
        <v>597</v>
      </c>
      <c r="F36" t="s">
        <v>608</v>
      </c>
      <c r="G36" s="125"/>
      <c r="H36" s="125"/>
      <c r="I36" t="s">
        <v>1015</v>
      </c>
      <c r="J36" s="133"/>
      <c r="K36" s="125"/>
      <c r="L36" s="125"/>
    </row>
    <row r="37" spans="2:12" x14ac:dyDescent="0.2">
      <c r="B37" s="152">
        <v>43258</v>
      </c>
      <c r="C37" t="s">
        <v>569</v>
      </c>
      <c r="D37">
        <v>428.29</v>
      </c>
      <c r="E37" t="s">
        <v>597</v>
      </c>
      <c r="F37" t="s">
        <v>617</v>
      </c>
      <c r="G37" s="125"/>
      <c r="H37" s="125"/>
      <c r="I37" t="s">
        <v>1015</v>
      </c>
      <c r="J37" s="133"/>
      <c r="K37" s="125"/>
      <c r="L37" s="125"/>
    </row>
    <row r="38" spans="2:12" x14ac:dyDescent="0.2">
      <c r="B38" s="152">
        <v>43258</v>
      </c>
      <c r="C38" t="s">
        <v>569</v>
      </c>
      <c r="D38">
        <v>372.56</v>
      </c>
      <c r="E38" t="s">
        <v>597</v>
      </c>
      <c r="F38" t="s">
        <v>615</v>
      </c>
      <c r="G38" s="125"/>
      <c r="H38" s="125"/>
      <c r="I38" t="s">
        <v>1015</v>
      </c>
      <c r="J38" s="133"/>
      <c r="K38" s="125"/>
      <c r="L38" s="125"/>
    </row>
    <row r="39" spans="2:12" x14ac:dyDescent="0.2">
      <c r="B39" s="152">
        <v>43258</v>
      </c>
      <c r="C39" t="s">
        <v>569</v>
      </c>
      <c r="D39">
        <v>286.37</v>
      </c>
      <c r="E39" t="s">
        <v>597</v>
      </c>
      <c r="F39" t="s">
        <v>610</v>
      </c>
      <c r="G39" s="125"/>
      <c r="H39" s="133"/>
      <c r="I39" t="s">
        <v>1015</v>
      </c>
      <c r="J39" s="125"/>
      <c r="K39" s="125"/>
      <c r="L39" s="125"/>
    </row>
    <row r="40" spans="2:12" x14ac:dyDescent="0.2">
      <c r="B40" s="152">
        <v>43258</v>
      </c>
      <c r="C40" t="s">
        <v>569</v>
      </c>
      <c r="D40">
        <v>286.36</v>
      </c>
      <c r="E40" t="s">
        <v>597</v>
      </c>
      <c r="F40" t="s">
        <v>611</v>
      </c>
      <c r="G40" s="125"/>
      <c r="H40" s="125"/>
      <c r="I40" t="s">
        <v>1015</v>
      </c>
      <c r="J40" s="125"/>
      <c r="K40" s="125"/>
      <c r="L40" s="125"/>
    </row>
    <row r="41" spans="2:12" x14ac:dyDescent="0.2">
      <c r="B41" s="152">
        <v>43258</v>
      </c>
      <c r="C41" t="s">
        <v>569</v>
      </c>
      <c r="D41">
        <v>286.35000000000002</v>
      </c>
      <c r="E41" t="s">
        <v>597</v>
      </c>
      <c r="F41" t="s">
        <v>627</v>
      </c>
      <c r="G41" s="125"/>
      <c r="H41" s="125"/>
      <c r="I41" t="s">
        <v>1015</v>
      </c>
      <c r="J41" s="134"/>
      <c r="K41" s="125"/>
      <c r="L41" s="125"/>
    </row>
    <row r="42" spans="2:12" x14ac:dyDescent="0.2">
      <c r="B42" s="152">
        <v>43258</v>
      </c>
      <c r="C42" t="s">
        <v>569</v>
      </c>
      <c r="D42">
        <v>286.35000000000002</v>
      </c>
      <c r="E42" t="s">
        <v>597</v>
      </c>
      <c r="F42" t="s">
        <v>614</v>
      </c>
      <c r="G42" s="125"/>
      <c r="H42" s="125"/>
      <c r="I42" t="s">
        <v>1015</v>
      </c>
      <c r="J42" s="133"/>
      <c r="K42" s="125"/>
      <c r="L42" s="125"/>
    </row>
    <row r="43" spans="2:12" x14ac:dyDescent="0.2">
      <c r="B43" s="152">
        <v>43258</v>
      </c>
      <c r="C43" t="s">
        <v>569</v>
      </c>
      <c r="D43">
        <v>278.29000000000002</v>
      </c>
      <c r="E43" t="s">
        <v>597</v>
      </c>
      <c r="F43" t="s">
        <v>609</v>
      </c>
      <c r="G43" s="125"/>
      <c r="H43" s="125"/>
      <c r="I43" t="s">
        <v>1015</v>
      </c>
      <c r="J43" s="133"/>
      <c r="K43" s="125"/>
      <c r="L43" s="125"/>
    </row>
    <row r="44" spans="2:12" x14ac:dyDescent="0.2">
      <c r="B44" s="152">
        <v>43258</v>
      </c>
      <c r="C44" t="s">
        <v>569</v>
      </c>
      <c r="D44">
        <v>275.35000000000002</v>
      </c>
      <c r="E44" t="s">
        <v>597</v>
      </c>
      <c r="F44" t="s">
        <v>613</v>
      </c>
      <c r="G44" s="125"/>
      <c r="H44" s="125"/>
      <c r="I44" t="s">
        <v>1015</v>
      </c>
      <c r="J44" s="133"/>
      <c r="K44" s="125"/>
      <c r="L44" s="125"/>
    </row>
    <row r="45" spans="2:12" x14ac:dyDescent="0.2">
      <c r="B45" s="152">
        <v>43258</v>
      </c>
      <c r="C45" t="s">
        <v>569</v>
      </c>
      <c r="D45">
        <v>261.35000000000002</v>
      </c>
      <c r="E45" t="s">
        <v>597</v>
      </c>
      <c r="F45" t="s">
        <v>612</v>
      </c>
      <c r="G45" s="125"/>
      <c r="H45" s="125"/>
      <c r="I45" t="s">
        <v>1015</v>
      </c>
      <c r="J45" s="125"/>
      <c r="K45" s="125"/>
      <c r="L45" s="125"/>
    </row>
    <row r="46" spans="2:12" x14ac:dyDescent="0.2">
      <c r="B46" s="152">
        <v>43258</v>
      </c>
      <c r="C46" t="s">
        <v>569</v>
      </c>
      <c r="D46">
        <v>240.81</v>
      </c>
      <c r="E46" t="s">
        <v>597</v>
      </c>
      <c r="F46" t="s">
        <v>607</v>
      </c>
      <c r="G46" s="125"/>
      <c r="H46" s="125"/>
      <c r="I46" t="s">
        <v>1015</v>
      </c>
      <c r="J46" s="125"/>
      <c r="K46" s="125"/>
      <c r="L46" s="125"/>
    </row>
    <row r="47" spans="2:12" x14ac:dyDescent="0.2">
      <c r="B47" s="152">
        <v>43258</v>
      </c>
      <c r="C47" t="s">
        <v>569</v>
      </c>
      <c r="D47">
        <v>224.76</v>
      </c>
      <c r="E47" t="s">
        <v>597</v>
      </c>
      <c r="F47" t="s">
        <v>616</v>
      </c>
      <c r="G47" s="125"/>
      <c r="H47" s="125"/>
      <c r="I47" t="s">
        <v>1015</v>
      </c>
      <c r="J47" s="125"/>
      <c r="K47" s="125"/>
      <c r="L47" s="125"/>
    </row>
    <row r="48" spans="2:12" x14ac:dyDescent="0.2">
      <c r="B48" s="152">
        <v>43258</v>
      </c>
      <c r="C48" t="s">
        <v>569</v>
      </c>
      <c r="D48">
        <v>142.72</v>
      </c>
      <c r="E48" t="s">
        <v>597</v>
      </c>
      <c r="F48" t="s">
        <v>618</v>
      </c>
      <c r="G48" s="125"/>
      <c r="H48" s="125"/>
      <c r="I48" t="s">
        <v>1015</v>
      </c>
      <c r="J48" s="125"/>
      <c r="K48" s="125"/>
      <c r="L48" s="125"/>
    </row>
    <row r="49" spans="2:12" x14ac:dyDescent="0.2">
      <c r="B49" s="152">
        <v>43258</v>
      </c>
      <c r="C49" t="s">
        <v>569</v>
      </c>
      <c r="D49">
        <v>109.1</v>
      </c>
      <c r="E49" t="s">
        <v>597</v>
      </c>
      <c r="F49" t="s">
        <v>620</v>
      </c>
      <c r="G49" s="125"/>
      <c r="H49" s="125"/>
      <c r="I49" t="s">
        <v>1015</v>
      </c>
      <c r="J49" s="133"/>
      <c r="K49" s="125"/>
      <c r="L49" s="125"/>
    </row>
    <row r="50" spans="2:12" x14ac:dyDescent="0.2">
      <c r="B50" s="152">
        <v>43258</v>
      </c>
      <c r="C50" t="s">
        <v>569</v>
      </c>
      <c r="D50">
        <v>98.49</v>
      </c>
      <c r="E50" t="s">
        <v>597</v>
      </c>
      <c r="F50" t="s">
        <v>621</v>
      </c>
      <c r="G50" s="125"/>
      <c r="H50" s="125"/>
      <c r="I50" t="s">
        <v>1015</v>
      </c>
      <c r="J50" s="125"/>
      <c r="K50" s="125"/>
      <c r="L50" s="125"/>
    </row>
    <row r="51" spans="2:12" x14ac:dyDescent="0.2">
      <c r="B51" s="152">
        <v>43258</v>
      </c>
      <c r="C51" t="s">
        <v>569</v>
      </c>
      <c r="D51">
        <v>-30</v>
      </c>
      <c r="E51" t="s">
        <v>632</v>
      </c>
      <c r="F51" t="s">
        <v>865</v>
      </c>
      <c r="G51" s="125"/>
      <c r="H51" s="125"/>
      <c r="I51" t="s">
        <v>1015</v>
      </c>
      <c r="J51" s="134"/>
      <c r="K51" s="125"/>
      <c r="L51" s="125"/>
    </row>
    <row r="52" spans="2:12" x14ac:dyDescent="0.2">
      <c r="B52" s="152">
        <v>43259</v>
      </c>
      <c r="C52" t="s">
        <v>569</v>
      </c>
      <c r="D52">
        <v>464</v>
      </c>
      <c r="E52" t="s">
        <v>597</v>
      </c>
      <c r="F52" t="s">
        <v>600</v>
      </c>
      <c r="G52" s="125"/>
      <c r="H52" s="125"/>
      <c r="I52" t="s">
        <v>1015</v>
      </c>
      <c r="J52" s="125"/>
      <c r="K52" s="125"/>
      <c r="L52" s="125"/>
    </row>
    <row r="53" spans="2:12" x14ac:dyDescent="0.2">
      <c r="B53" s="152">
        <v>43259</v>
      </c>
      <c r="C53" t="s">
        <v>569</v>
      </c>
      <c r="D53">
        <v>-3.69</v>
      </c>
      <c r="E53" t="s">
        <v>570</v>
      </c>
      <c r="F53" t="s">
        <v>866</v>
      </c>
      <c r="G53" s="125"/>
      <c r="H53" s="125"/>
      <c r="I53" t="s">
        <v>1015</v>
      </c>
      <c r="J53" s="133"/>
      <c r="K53" s="125"/>
      <c r="L53" s="125"/>
    </row>
    <row r="54" spans="2:12" x14ac:dyDescent="0.2">
      <c r="B54" s="152">
        <v>43259</v>
      </c>
      <c r="C54" t="s">
        <v>569</v>
      </c>
      <c r="D54">
        <v>-62.72</v>
      </c>
      <c r="E54" t="s">
        <v>570</v>
      </c>
      <c r="F54" t="s">
        <v>867</v>
      </c>
      <c r="G54" s="125"/>
      <c r="H54" s="125"/>
      <c r="I54" t="s">
        <v>1015</v>
      </c>
      <c r="J54" s="125"/>
      <c r="K54" s="125"/>
      <c r="L54" s="125"/>
    </row>
    <row r="55" spans="2:12" x14ac:dyDescent="0.2">
      <c r="B55" s="152">
        <v>43259</v>
      </c>
      <c r="C55" t="s">
        <v>569</v>
      </c>
      <c r="D55">
        <v>-7.99</v>
      </c>
      <c r="E55" t="s">
        <v>570</v>
      </c>
      <c r="F55" t="s">
        <v>868</v>
      </c>
      <c r="G55" s="125"/>
      <c r="H55" s="133"/>
      <c r="I55" t="s">
        <v>1015</v>
      </c>
      <c r="J55" s="125"/>
      <c r="K55" s="125"/>
      <c r="L55" s="125"/>
    </row>
    <row r="56" spans="2:12" x14ac:dyDescent="0.2">
      <c r="B56" s="152">
        <v>43262</v>
      </c>
      <c r="C56" t="s">
        <v>569</v>
      </c>
      <c r="D56">
        <v>668.16</v>
      </c>
      <c r="E56" t="s">
        <v>597</v>
      </c>
      <c r="F56" t="s">
        <v>603</v>
      </c>
      <c r="G56" s="125"/>
      <c r="H56" s="125"/>
      <c r="I56" t="s">
        <v>1015</v>
      </c>
      <c r="J56" s="125"/>
      <c r="K56" s="125"/>
      <c r="L56" s="125"/>
    </row>
    <row r="57" spans="2:12" x14ac:dyDescent="0.2">
      <c r="B57" s="152">
        <v>43262</v>
      </c>
      <c r="C57" t="s">
        <v>569</v>
      </c>
      <c r="D57">
        <v>37.119999999999997</v>
      </c>
      <c r="E57" t="s">
        <v>597</v>
      </c>
      <c r="F57" t="s">
        <v>615</v>
      </c>
      <c r="G57" s="125"/>
      <c r="H57" s="125"/>
      <c r="I57" t="s">
        <v>1015</v>
      </c>
      <c r="J57" s="134"/>
      <c r="K57" s="125"/>
      <c r="L57" s="125"/>
    </row>
    <row r="58" spans="2:12" x14ac:dyDescent="0.2">
      <c r="B58" s="152">
        <v>43262</v>
      </c>
      <c r="C58" t="s">
        <v>569</v>
      </c>
      <c r="D58">
        <v>-28.45</v>
      </c>
      <c r="E58" t="s">
        <v>570</v>
      </c>
      <c r="F58" t="s">
        <v>869</v>
      </c>
      <c r="G58" s="125"/>
      <c r="H58" s="125"/>
      <c r="I58" t="s">
        <v>1015</v>
      </c>
      <c r="J58" s="133" t="s">
        <v>682</v>
      </c>
      <c r="K58" s="125"/>
      <c r="L58" s="125"/>
    </row>
    <row r="59" spans="2:12" x14ac:dyDescent="0.2">
      <c r="B59" s="152">
        <v>43262</v>
      </c>
      <c r="C59" t="s">
        <v>569</v>
      </c>
      <c r="D59">
        <v>-5.44</v>
      </c>
      <c r="E59" t="s">
        <v>570</v>
      </c>
      <c r="F59" t="s">
        <v>870</v>
      </c>
      <c r="G59" s="125"/>
      <c r="H59" s="125"/>
      <c r="I59" t="s">
        <v>1015</v>
      </c>
      <c r="J59" s="133"/>
      <c r="K59" s="125"/>
      <c r="L59" s="125"/>
    </row>
    <row r="60" spans="2:12" x14ac:dyDescent="0.2">
      <c r="B60" s="152">
        <v>43262</v>
      </c>
      <c r="C60" t="s">
        <v>569</v>
      </c>
      <c r="D60">
        <v>-3.1</v>
      </c>
      <c r="E60" t="s">
        <v>570</v>
      </c>
      <c r="F60" t="s">
        <v>871</v>
      </c>
      <c r="G60" s="125"/>
      <c r="H60" s="125"/>
      <c r="I60" t="s">
        <v>1015</v>
      </c>
      <c r="J60" s="125"/>
      <c r="K60" s="125"/>
      <c r="L60" s="125"/>
    </row>
    <row r="61" spans="2:12" x14ac:dyDescent="0.2">
      <c r="B61" s="152">
        <v>43262</v>
      </c>
      <c r="C61" t="s">
        <v>569</v>
      </c>
      <c r="D61">
        <v>-50</v>
      </c>
      <c r="E61" t="s">
        <v>632</v>
      </c>
      <c r="F61" t="s">
        <v>687</v>
      </c>
      <c r="G61" s="125"/>
      <c r="H61" s="125"/>
      <c r="I61" t="s">
        <v>1015</v>
      </c>
      <c r="J61" s="125"/>
      <c r="K61" s="125"/>
      <c r="L61" s="125"/>
    </row>
    <row r="62" spans="2:12" x14ac:dyDescent="0.2">
      <c r="B62" s="152">
        <v>43262</v>
      </c>
      <c r="C62" t="s">
        <v>569</v>
      </c>
      <c r="D62">
        <v>-10.35</v>
      </c>
      <c r="E62" t="s">
        <v>570</v>
      </c>
      <c r="F62" t="s">
        <v>872</v>
      </c>
      <c r="G62" s="125"/>
      <c r="H62" s="125"/>
      <c r="I62" t="s">
        <v>1015</v>
      </c>
      <c r="J62" s="133"/>
      <c r="K62" s="125"/>
      <c r="L62" s="125"/>
    </row>
    <row r="63" spans="2:12" x14ac:dyDescent="0.2">
      <c r="B63" s="152">
        <v>43262</v>
      </c>
      <c r="C63" t="s">
        <v>569</v>
      </c>
      <c r="D63">
        <v>-3.47</v>
      </c>
      <c r="E63" t="s">
        <v>570</v>
      </c>
      <c r="F63" t="s">
        <v>873</v>
      </c>
      <c r="G63" s="125"/>
      <c r="H63" s="125"/>
      <c r="I63" t="s">
        <v>1015</v>
      </c>
      <c r="J63" s="125"/>
      <c r="K63" s="125"/>
      <c r="L63" s="125"/>
    </row>
    <row r="64" spans="2:12" x14ac:dyDescent="0.2">
      <c r="B64" s="152">
        <v>43262</v>
      </c>
      <c r="C64" t="s">
        <v>569</v>
      </c>
      <c r="D64">
        <v>-19.940000000000001</v>
      </c>
      <c r="E64" t="s">
        <v>579</v>
      </c>
      <c r="F64" t="s">
        <v>599</v>
      </c>
      <c r="G64" s="125"/>
      <c r="H64" s="125"/>
      <c r="I64" t="s">
        <v>1016</v>
      </c>
      <c r="J64" s="133"/>
      <c r="K64" s="125"/>
      <c r="L64" s="125"/>
    </row>
    <row r="65" spans="2:12" x14ac:dyDescent="0.2">
      <c r="B65" s="152">
        <v>43262</v>
      </c>
      <c r="C65" t="s">
        <v>569</v>
      </c>
      <c r="D65">
        <v>-82.6</v>
      </c>
      <c r="E65" t="s">
        <v>579</v>
      </c>
      <c r="F65" t="s">
        <v>601</v>
      </c>
      <c r="G65" s="125"/>
      <c r="H65" s="125"/>
      <c r="I65" t="s">
        <v>1016</v>
      </c>
      <c r="J65" s="125"/>
      <c r="K65" s="125"/>
      <c r="L65" s="125"/>
    </row>
    <row r="66" spans="2:12" x14ac:dyDescent="0.2">
      <c r="B66" s="152">
        <v>43263</v>
      </c>
      <c r="C66" t="s">
        <v>569</v>
      </c>
      <c r="D66">
        <v>446.14</v>
      </c>
      <c r="E66" t="s">
        <v>597</v>
      </c>
      <c r="F66" t="s">
        <v>605</v>
      </c>
      <c r="G66" s="125"/>
      <c r="H66" s="125"/>
      <c r="I66" t="s">
        <v>1015</v>
      </c>
      <c r="J66" s="125"/>
      <c r="K66" s="125"/>
      <c r="L66" s="125"/>
    </row>
    <row r="67" spans="2:12" x14ac:dyDescent="0.2">
      <c r="B67" s="152">
        <v>43263</v>
      </c>
      <c r="C67" t="s">
        <v>569</v>
      </c>
      <c r="D67">
        <v>-14</v>
      </c>
      <c r="E67" t="s">
        <v>570</v>
      </c>
      <c r="F67" t="s">
        <v>874</v>
      </c>
      <c r="G67" s="125"/>
      <c r="H67" s="125"/>
      <c r="I67" t="s">
        <v>1015</v>
      </c>
      <c r="J67" s="133"/>
      <c r="K67" s="125"/>
      <c r="L67" s="125"/>
    </row>
    <row r="68" spans="2:12" x14ac:dyDescent="0.2">
      <c r="B68" s="152">
        <v>43263</v>
      </c>
      <c r="C68" t="s">
        <v>569</v>
      </c>
      <c r="D68">
        <v>-3.1</v>
      </c>
      <c r="E68" t="s">
        <v>570</v>
      </c>
      <c r="F68" t="s">
        <v>875</v>
      </c>
      <c r="G68" s="125"/>
      <c r="H68" s="125"/>
      <c r="I68" t="s">
        <v>1015</v>
      </c>
      <c r="J68" s="125"/>
      <c r="K68" s="125"/>
      <c r="L68" s="125"/>
    </row>
    <row r="69" spans="2:12" x14ac:dyDescent="0.2">
      <c r="B69" s="152">
        <v>43263</v>
      </c>
      <c r="C69" t="s">
        <v>569</v>
      </c>
      <c r="D69">
        <v>-2.99</v>
      </c>
      <c r="E69" t="s">
        <v>570</v>
      </c>
      <c r="F69" t="s">
        <v>637</v>
      </c>
      <c r="G69" s="125"/>
      <c r="H69" s="125"/>
      <c r="I69" t="s">
        <v>1015</v>
      </c>
      <c r="J69" s="133"/>
      <c r="K69" s="125"/>
      <c r="L69" s="125"/>
    </row>
    <row r="70" spans="2:12" x14ac:dyDescent="0.2">
      <c r="B70" s="152">
        <v>43263</v>
      </c>
      <c r="C70" t="s">
        <v>569</v>
      </c>
      <c r="D70">
        <v>-140.36000000000001</v>
      </c>
      <c r="E70" t="s">
        <v>579</v>
      </c>
      <c r="F70" t="s">
        <v>619</v>
      </c>
      <c r="G70" s="125"/>
      <c r="H70" s="125"/>
      <c r="I70" t="s">
        <v>1016</v>
      </c>
      <c r="J70" s="133"/>
      <c r="K70" s="125"/>
      <c r="L70" s="125"/>
    </row>
    <row r="71" spans="2:12" x14ac:dyDescent="0.2">
      <c r="B71" s="152">
        <v>43264</v>
      </c>
      <c r="C71" t="s">
        <v>569</v>
      </c>
      <c r="D71">
        <v>603.20000000000005</v>
      </c>
      <c r="E71" t="s">
        <v>597</v>
      </c>
      <c r="F71" t="s">
        <v>604</v>
      </c>
      <c r="G71" s="125"/>
      <c r="H71" s="125"/>
      <c r="I71" t="s">
        <v>1015</v>
      </c>
      <c r="J71" s="133"/>
      <c r="K71" s="125"/>
      <c r="L71" s="125"/>
    </row>
    <row r="72" spans="2:12" x14ac:dyDescent="0.2">
      <c r="B72" s="152">
        <v>43264</v>
      </c>
      <c r="C72" t="s">
        <v>569</v>
      </c>
      <c r="D72">
        <v>464</v>
      </c>
      <c r="E72" t="s">
        <v>597</v>
      </c>
      <c r="F72" t="s">
        <v>606</v>
      </c>
      <c r="G72" s="125"/>
      <c r="H72" s="125"/>
      <c r="I72" t="s">
        <v>1015</v>
      </c>
      <c r="J72" s="133"/>
      <c r="K72" s="125"/>
      <c r="L72" s="125"/>
    </row>
    <row r="73" spans="2:12" x14ac:dyDescent="0.2">
      <c r="B73" s="152">
        <v>43264</v>
      </c>
      <c r="C73" t="s">
        <v>569</v>
      </c>
      <c r="D73">
        <v>187.49</v>
      </c>
      <c r="E73" t="s">
        <v>597</v>
      </c>
      <c r="F73" t="s">
        <v>607</v>
      </c>
      <c r="G73" s="125"/>
      <c r="H73" s="125"/>
      <c r="I73" t="s">
        <v>1015</v>
      </c>
      <c r="J73" s="133"/>
      <c r="K73" s="125"/>
      <c r="L73" s="125"/>
    </row>
    <row r="74" spans="2:12" x14ac:dyDescent="0.2">
      <c r="B74" s="152">
        <v>43264</v>
      </c>
      <c r="C74" t="s">
        <v>569</v>
      </c>
      <c r="D74">
        <v>141.94</v>
      </c>
      <c r="E74" t="s">
        <v>597</v>
      </c>
      <c r="F74" t="s">
        <v>613</v>
      </c>
      <c r="G74" s="125"/>
      <c r="H74" s="125"/>
      <c r="I74" t="s">
        <v>1015</v>
      </c>
      <c r="J74" s="133"/>
      <c r="K74" s="125"/>
      <c r="L74" s="125"/>
    </row>
    <row r="75" spans="2:12" x14ac:dyDescent="0.2">
      <c r="B75" s="152">
        <v>43264</v>
      </c>
      <c r="C75" t="s">
        <v>569</v>
      </c>
      <c r="D75">
        <v>139.19999999999999</v>
      </c>
      <c r="E75" t="s">
        <v>597</v>
      </c>
      <c r="F75" t="s">
        <v>685</v>
      </c>
      <c r="G75" s="125"/>
      <c r="H75" s="125"/>
      <c r="I75" t="s">
        <v>1015</v>
      </c>
      <c r="J75" s="133"/>
      <c r="K75" s="125"/>
      <c r="L75" s="125"/>
    </row>
    <row r="76" spans="2:12" x14ac:dyDescent="0.2">
      <c r="B76" s="152">
        <v>43264</v>
      </c>
      <c r="C76" t="s">
        <v>569</v>
      </c>
      <c r="D76">
        <v>4.26</v>
      </c>
      <c r="E76" t="s">
        <v>597</v>
      </c>
      <c r="F76" t="s">
        <v>617</v>
      </c>
      <c r="G76" s="125"/>
      <c r="H76" s="125"/>
      <c r="I76" t="s">
        <v>1015</v>
      </c>
      <c r="J76" s="133"/>
      <c r="K76" s="125"/>
      <c r="L76" s="125"/>
    </row>
    <row r="77" spans="2:12" x14ac:dyDescent="0.2">
      <c r="B77" s="152">
        <v>43264</v>
      </c>
      <c r="C77" t="s">
        <v>569</v>
      </c>
      <c r="D77">
        <v>-3.1</v>
      </c>
      <c r="E77" t="s">
        <v>570</v>
      </c>
      <c r="F77" t="s">
        <v>876</v>
      </c>
      <c r="G77" s="125"/>
      <c r="H77" s="125"/>
      <c r="I77" t="s">
        <v>1015</v>
      </c>
      <c r="J77" s="133"/>
      <c r="K77" s="125"/>
      <c r="L77" s="125"/>
    </row>
    <row r="78" spans="2:12" x14ac:dyDescent="0.2">
      <c r="B78" s="152">
        <v>43264</v>
      </c>
      <c r="C78" t="s">
        <v>569</v>
      </c>
      <c r="D78" s="151">
        <v>-64.989999999999995</v>
      </c>
      <c r="E78" t="s">
        <v>570</v>
      </c>
      <c r="F78" t="s">
        <v>877</v>
      </c>
      <c r="G78" s="125"/>
      <c r="H78" s="125"/>
      <c r="I78" t="s">
        <v>1015</v>
      </c>
      <c r="J78" s="133"/>
      <c r="K78" s="125"/>
      <c r="L78" s="125"/>
    </row>
    <row r="79" spans="2:12" x14ac:dyDescent="0.2">
      <c r="B79" s="152">
        <v>43265</v>
      </c>
      <c r="C79" t="s">
        <v>569</v>
      </c>
      <c r="D79">
        <v>324.8</v>
      </c>
      <c r="E79" t="s">
        <v>597</v>
      </c>
      <c r="F79" t="s">
        <v>629</v>
      </c>
      <c r="G79" s="125"/>
      <c r="H79" s="125"/>
      <c r="I79" t="s">
        <v>1015</v>
      </c>
      <c r="J79" s="133"/>
      <c r="K79" s="125"/>
      <c r="L79" s="125"/>
    </row>
    <row r="80" spans="2:12" x14ac:dyDescent="0.2">
      <c r="B80" s="152">
        <v>43265</v>
      </c>
      <c r="C80" t="s">
        <v>569</v>
      </c>
      <c r="D80">
        <v>319.19</v>
      </c>
      <c r="E80" t="s">
        <v>597</v>
      </c>
      <c r="F80" t="s">
        <v>620</v>
      </c>
      <c r="G80" s="125"/>
      <c r="H80" s="125"/>
      <c r="I80" t="s">
        <v>1015</v>
      </c>
      <c r="J80" s="125"/>
      <c r="K80" s="125"/>
      <c r="L80" s="125"/>
    </row>
    <row r="81" spans="2:12" x14ac:dyDescent="0.2">
      <c r="B81" s="152">
        <v>43265</v>
      </c>
      <c r="C81" t="s">
        <v>569</v>
      </c>
      <c r="D81">
        <v>-42.98</v>
      </c>
      <c r="E81" t="s">
        <v>570</v>
      </c>
      <c r="F81" t="s">
        <v>878</v>
      </c>
      <c r="G81" s="125"/>
      <c r="H81" s="134"/>
      <c r="I81" t="s">
        <v>1015</v>
      </c>
      <c r="J81" s="125"/>
      <c r="K81" s="125"/>
      <c r="L81" s="125"/>
    </row>
    <row r="82" spans="2:12" x14ac:dyDescent="0.2">
      <c r="B82" s="152">
        <v>43265</v>
      </c>
      <c r="C82" t="s">
        <v>569</v>
      </c>
      <c r="D82">
        <v>-33.5</v>
      </c>
      <c r="E82" t="s">
        <v>570</v>
      </c>
      <c r="F82" t="s">
        <v>879</v>
      </c>
      <c r="G82" s="125"/>
      <c r="H82" s="125"/>
      <c r="I82" t="s">
        <v>1015</v>
      </c>
      <c r="J82" s="133" t="s">
        <v>682</v>
      </c>
      <c r="K82" s="125"/>
      <c r="L82" s="125"/>
    </row>
    <row r="83" spans="2:12" x14ac:dyDescent="0.2">
      <c r="B83" s="152">
        <v>43265</v>
      </c>
      <c r="C83" t="s">
        <v>569</v>
      </c>
      <c r="D83">
        <v>-14.99</v>
      </c>
      <c r="E83" t="s">
        <v>570</v>
      </c>
      <c r="F83" t="s">
        <v>880</v>
      </c>
      <c r="G83" s="125"/>
      <c r="H83" s="125"/>
      <c r="I83" t="s">
        <v>1015</v>
      </c>
      <c r="J83" s="125"/>
      <c r="K83" s="125"/>
      <c r="L83" s="125"/>
    </row>
    <row r="84" spans="2:12" x14ac:dyDescent="0.2">
      <c r="B84" s="152">
        <v>43266</v>
      </c>
      <c r="C84" t="s">
        <v>569</v>
      </c>
      <c r="D84">
        <v>510.4</v>
      </c>
      <c r="E84" t="s">
        <v>597</v>
      </c>
      <c r="F84" t="s">
        <v>628</v>
      </c>
      <c r="G84" s="125"/>
      <c r="H84" s="125"/>
      <c r="I84" t="s">
        <v>1015</v>
      </c>
      <c r="J84" s="125"/>
      <c r="K84" s="125"/>
      <c r="L84" s="125"/>
    </row>
    <row r="85" spans="2:12" x14ac:dyDescent="0.2">
      <c r="B85" s="152">
        <v>43266</v>
      </c>
      <c r="C85" t="s">
        <v>569</v>
      </c>
      <c r="D85">
        <v>-22</v>
      </c>
      <c r="E85" t="s">
        <v>570</v>
      </c>
      <c r="F85" t="s">
        <v>881</v>
      </c>
      <c r="G85" s="125"/>
      <c r="H85" s="125"/>
      <c r="I85" t="s">
        <v>1015</v>
      </c>
      <c r="J85" s="125"/>
      <c r="K85" s="125"/>
      <c r="L85" s="125"/>
    </row>
    <row r="86" spans="2:12" x14ac:dyDescent="0.2">
      <c r="B86" s="152">
        <v>43266</v>
      </c>
      <c r="C86" t="s">
        <v>569</v>
      </c>
      <c r="D86">
        <v>-66.349999999999994</v>
      </c>
      <c r="E86" t="s">
        <v>570</v>
      </c>
      <c r="F86" t="s">
        <v>882</v>
      </c>
      <c r="G86" s="125"/>
      <c r="H86" s="125"/>
      <c r="I86" t="s">
        <v>1015</v>
      </c>
      <c r="J86" s="125"/>
      <c r="K86" s="125"/>
      <c r="L86" s="125"/>
    </row>
    <row r="87" spans="2:12" x14ac:dyDescent="0.2">
      <c r="B87" s="152">
        <v>43266</v>
      </c>
      <c r="C87" t="s">
        <v>569</v>
      </c>
      <c r="D87">
        <v>-476.44</v>
      </c>
      <c r="E87" t="s">
        <v>579</v>
      </c>
      <c r="F87" t="s">
        <v>622</v>
      </c>
      <c r="G87" s="125"/>
      <c r="H87" s="125"/>
      <c r="I87" t="s">
        <v>1015</v>
      </c>
      <c r="J87" s="125"/>
      <c r="K87" s="125"/>
      <c r="L87" s="125"/>
    </row>
    <row r="88" spans="2:12" x14ac:dyDescent="0.2">
      <c r="B88" s="152">
        <v>43266</v>
      </c>
      <c r="C88" t="s">
        <v>569</v>
      </c>
      <c r="D88">
        <v>-219.7</v>
      </c>
      <c r="E88" t="s">
        <v>579</v>
      </c>
      <c r="F88" t="s">
        <v>625</v>
      </c>
      <c r="G88" s="125"/>
      <c r="H88" s="125"/>
      <c r="I88" t="s">
        <v>1016</v>
      </c>
      <c r="J88" s="125"/>
      <c r="K88" s="125"/>
      <c r="L88" s="125"/>
    </row>
    <row r="89" spans="2:12" x14ac:dyDescent="0.2">
      <c r="B89" s="152">
        <v>43266</v>
      </c>
      <c r="C89" t="s">
        <v>569</v>
      </c>
      <c r="D89">
        <v>-184.79</v>
      </c>
      <c r="E89" t="s">
        <v>579</v>
      </c>
      <c r="F89" t="s">
        <v>626</v>
      </c>
      <c r="G89" s="125"/>
      <c r="H89" s="125"/>
      <c r="I89" t="s">
        <v>1016</v>
      </c>
      <c r="J89" s="125"/>
      <c r="K89" s="125"/>
      <c r="L89" s="125"/>
    </row>
    <row r="90" spans="2:12" x14ac:dyDescent="0.2">
      <c r="B90" s="152">
        <v>43266</v>
      </c>
      <c r="C90" t="s">
        <v>569</v>
      </c>
      <c r="D90">
        <v>-11</v>
      </c>
      <c r="E90" t="s">
        <v>630</v>
      </c>
      <c r="F90" t="s">
        <v>883</v>
      </c>
      <c r="G90" s="125"/>
      <c r="H90" s="125"/>
      <c r="I90" t="s">
        <v>1015</v>
      </c>
      <c r="J90" s="125"/>
      <c r="K90" s="125"/>
      <c r="L90" s="125"/>
    </row>
    <row r="91" spans="2:12" x14ac:dyDescent="0.2">
      <c r="B91" s="152">
        <v>43269</v>
      </c>
      <c r="C91" t="s">
        <v>569</v>
      </c>
      <c r="D91">
        <v>334.07</v>
      </c>
      <c r="E91" t="s">
        <v>597</v>
      </c>
      <c r="F91" t="s">
        <v>621</v>
      </c>
      <c r="G91" s="125"/>
      <c r="H91" s="125"/>
      <c r="I91" t="s">
        <v>1015</v>
      </c>
      <c r="J91" s="125"/>
      <c r="K91" s="125"/>
      <c r="L91" s="125"/>
    </row>
    <row r="92" spans="2:12" x14ac:dyDescent="0.2">
      <c r="B92" s="152">
        <v>43269</v>
      </c>
      <c r="C92" t="s">
        <v>569</v>
      </c>
      <c r="D92">
        <v>160.72999999999999</v>
      </c>
      <c r="E92" t="s">
        <v>597</v>
      </c>
      <c r="F92" t="s">
        <v>616</v>
      </c>
      <c r="G92" s="125"/>
      <c r="H92" s="134"/>
      <c r="I92" t="s">
        <v>1015</v>
      </c>
      <c r="J92" s="125"/>
      <c r="K92" s="125"/>
      <c r="L92" s="125"/>
    </row>
    <row r="93" spans="2:12" x14ac:dyDescent="0.2">
      <c r="B93" s="152">
        <v>43269</v>
      </c>
      <c r="C93" t="s">
        <v>569</v>
      </c>
      <c r="D93">
        <v>141.91999999999999</v>
      </c>
      <c r="E93" t="s">
        <v>597</v>
      </c>
      <c r="F93" t="s">
        <v>610</v>
      </c>
      <c r="G93" s="125"/>
      <c r="H93" s="125"/>
      <c r="I93" t="s">
        <v>1015</v>
      </c>
      <c r="J93" s="125"/>
      <c r="K93" s="125"/>
      <c r="L93" s="125"/>
    </row>
    <row r="94" spans="2:12" x14ac:dyDescent="0.2">
      <c r="B94" s="152">
        <v>43269</v>
      </c>
      <c r="C94" t="s">
        <v>569</v>
      </c>
      <c r="D94">
        <v>-10.59</v>
      </c>
      <c r="E94" t="s">
        <v>570</v>
      </c>
      <c r="F94" t="s">
        <v>884</v>
      </c>
      <c r="G94" s="125"/>
      <c r="H94" s="134"/>
      <c r="I94" t="s">
        <v>1015</v>
      </c>
      <c r="J94" s="133" t="s">
        <v>682</v>
      </c>
      <c r="K94" s="125"/>
      <c r="L94" s="125"/>
    </row>
    <row r="95" spans="2:12" x14ac:dyDescent="0.2">
      <c r="B95" s="152">
        <v>43269</v>
      </c>
      <c r="C95" t="s">
        <v>569</v>
      </c>
      <c r="D95">
        <v>-250</v>
      </c>
      <c r="E95" t="s">
        <v>632</v>
      </c>
      <c r="F95" t="s">
        <v>885</v>
      </c>
      <c r="G95" s="125"/>
      <c r="H95" s="125"/>
      <c r="I95" t="s">
        <v>1015</v>
      </c>
      <c r="J95" s="133"/>
      <c r="K95" s="125"/>
      <c r="L95" s="125"/>
    </row>
    <row r="96" spans="2:12" x14ac:dyDescent="0.2">
      <c r="B96" s="152">
        <v>43269</v>
      </c>
      <c r="C96" t="s">
        <v>569</v>
      </c>
      <c r="D96">
        <v>-72.760000000000005</v>
      </c>
      <c r="E96" t="s">
        <v>570</v>
      </c>
      <c r="F96" t="s">
        <v>886</v>
      </c>
      <c r="G96" s="125"/>
      <c r="H96" s="134"/>
      <c r="I96" t="s">
        <v>1015</v>
      </c>
      <c r="J96" s="133"/>
      <c r="K96" s="125"/>
      <c r="L96" s="125"/>
    </row>
    <row r="97" spans="2:12" x14ac:dyDescent="0.2">
      <c r="B97" s="152">
        <v>43269</v>
      </c>
      <c r="C97" t="s">
        <v>569</v>
      </c>
      <c r="D97">
        <v>-37.72</v>
      </c>
      <c r="E97" t="s">
        <v>570</v>
      </c>
      <c r="F97" t="s">
        <v>887</v>
      </c>
      <c r="G97" s="125"/>
      <c r="H97" s="125"/>
      <c r="I97" t="s">
        <v>1015</v>
      </c>
      <c r="J97" s="133"/>
      <c r="K97" s="125"/>
      <c r="L97" s="125"/>
    </row>
    <row r="98" spans="2:12" x14ac:dyDescent="0.2">
      <c r="B98" s="152">
        <v>43269</v>
      </c>
      <c r="C98" t="s">
        <v>569</v>
      </c>
      <c r="D98">
        <v>-36.909999999999997</v>
      </c>
      <c r="E98" t="s">
        <v>570</v>
      </c>
      <c r="F98" t="s">
        <v>888</v>
      </c>
      <c r="G98" s="125"/>
      <c r="H98" s="125"/>
      <c r="I98" t="s">
        <v>1015</v>
      </c>
      <c r="J98" s="125"/>
      <c r="K98" s="125"/>
      <c r="L98" s="125"/>
    </row>
    <row r="99" spans="2:12" x14ac:dyDescent="0.2">
      <c r="B99" s="152">
        <v>43269</v>
      </c>
      <c r="C99" t="s">
        <v>569</v>
      </c>
      <c r="D99">
        <v>-14.67</v>
      </c>
      <c r="E99" t="s">
        <v>579</v>
      </c>
      <c r="F99" t="s">
        <v>623</v>
      </c>
      <c r="G99" s="125"/>
      <c r="H99" s="125"/>
      <c r="I99" t="s">
        <v>1016</v>
      </c>
      <c r="J99" s="133"/>
      <c r="K99" s="125"/>
      <c r="L99" s="125"/>
    </row>
    <row r="100" spans="2:12" x14ac:dyDescent="0.2">
      <c r="B100" s="152">
        <v>43269</v>
      </c>
      <c r="C100" t="s">
        <v>569</v>
      </c>
      <c r="D100">
        <v>-190.58</v>
      </c>
      <c r="E100" t="s">
        <v>579</v>
      </c>
      <c r="F100" t="s">
        <v>624</v>
      </c>
      <c r="G100" s="125"/>
      <c r="H100" s="125"/>
      <c r="I100" t="s">
        <v>1016</v>
      </c>
      <c r="J100" s="133"/>
      <c r="K100" s="125"/>
      <c r="L100" s="125"/>
    </row>
    <row r="101" spans="2:12" x14ac:dyDescent="0.2">
      <c r="B101" s="152">
        <v>43269</v>
      </c>
      <c r="C101" t="s">
        <v>569</v>
      </c>
      <c r="D101">
        <v>-145.03</v>
      </c>
      <c r="E101" t="s">
        <v>579</v>
      </c>
      <c r="F101" t="s">
        <v>631</v>
      </c>
      <c r="G101" s="125"/>
      <c r="H101" s="125"/>
      <c r="I101" t="s">
        <v>1016</v>
      </c>
      <c r="J101" s="133"/>
      <c r="K101" s="125"/>
      <c r="L101" s="125"/>
    </row>
    <row r="102" spans="2:12" x14ac:dyDescent="0.2">
      <c r="B102" s="152">
        <v>43270</v>
      </c>
      <c r="C102" t="s">
        <v>569</v>
      </c>
      <c r="D102">
        <v>-3.1</v>
      </c>
      <c r="E102" t="s">
        <v>570</v>
      </c>
      <c r="F102" t="s">
        <v>889</v>
      </c>
      <c r="G102" s="125"/>
      <c r="H102" s="134"/>
      <c r="I102" t="s">
        <v>1015</v>
      </c>
      <c r="J102" s="134"/>
      <c r="K102" s="125"/>
      <c r="L102" s="125"/>
    </row>
    <row r="103" spans="2:12" x14ac:dyDescent="0.2">
      <c r="B103" s="152">
        <v>43271</v>
      </c>
      <c r="C103" t="s">
        <v>569</v>
      </c>
      <c r="D103">
        <v>135.62</v>
      </c>
      <c r="E103" t="s">
        <v>597</v>
      </c>
      <c r="F103" t="s">
        <v>618</v>
      </c>
      <c r="G103" s="125"/>
      <c r="H103" s="125"/>
      <c r="I103" t="s">
        <v>1015</v>
      </c>
      <c r="J103" s="134"/>
      <c r="K103" s="125"/>
      <c r="L103" s="125"/>
    </row>
    <row r="104" spans="2:12" x14ac:dyDescent="0.2">
      <c r="B104" s="152">
        <v>43271</v>
      </c>
      <c r="C104" t="s">
        <v>569</v>
      </c>
      <c r="D104">
        <v>-3.1</v>
      </c>
      <c r="E104" t="s">
        <v>570</v>
      </c>
      <c r="F104" t="s">
        <v>890</v>
      </c>
      <c r="G104" s="125"/>
      <c r="H104" s="125"/>
      <c r="I104" t="s">
        <v>1015</v>
      </c>
      <c r="J104" s="134"/>
      <c r="K104" s="125"/>
      <c r="L104" s="125"/>
    </row>
    <row r="105" spans="2:12" x14ac:dyDescent="0.2">
      <c r="B105" s="152">
        <v>43272</v>
      </c>
      <c r="C105" t="s">
        <v>569</v>
      </c>
      <c r="D105">
        <v>-62.3</v>
      </c>
      <c r="E105" t="s">
        <v>570</v>
      </c>
      <c r="F105" t="s">
        <v>891</v>
      </c>
      <c r="G105" s="125"/>
      <c r="H105" s="125"/>
      <c r="I105" t="s">
        <v>1015</v>
      </c>
      <c r="J105" s="133"/>
      <c r="K105" s="125"/>
      <c r="L105" s="125"/>
    </row>
    <row r="106" spans="2:12" x14ac:dyDescent="0.2">
      <c r="B106" s="152">
        <v>43273</v>
      </c>
      <c r="C106" t="s">
        <v>569</v>
      </c>
      <c r="D106">
        <v>141.93</v>
      </c>
      <c r="E106" t="s">
        <v>597</v>
      </c>
      <c r="F106" t="s">
        <v>611</v>
      </c>
      <c r="G106" s="125"/>
      <c r="H106" s="125"/>
      <c r="I106" t="s">
        <v>1015</v>
      </c>
      <c r="J106" s="133"/>
      <c r="K106" s="125"/>
      <c r="L106" s="125"/>
    </row>
    <row r="107" spans="2:12" x14ac:dyDescent="0.2">
      <c r="B107" s="152">
        <v>43273</v>
      </c>
      <c r="C107" t="s">
        <v>569</v>
      </c>
      <c r="D107" s="151">
        <v>-288.81</v>
      </c>
      <c r="E107" t="s">
        <v>570</v>
      </c>
      <c r="F107" t="s">
        <v>892</v>
      </c>
      <c r="G107" s="125"/>
      <c r="H107" s="134" t="s">
        <v>1012</v>
      </c>
      <c r="I107" t="s">
        <v>1015</v>
      </c>
      <c r="J107" s="125"/>
      <c r="K107" s="125"/>
      <c r="L107" s="125"/>
    </row>
    <row r="108" spans="2:12" x14ac:dyDescent="0.2">
      <c r="B108" s="152">
        <v>43273</v>
      </c>
      <c r="C108" t="s">
        <v>569</v>
      </c>
      <c r="D108">
        <v>-20</v>
      </c>
      <c r="E108" t="s">
        <v>570</v>
      </c>
      <c r="F108" t="s">
        <v>893</v>
      </c>
      <c r="G108" s="125"/>
      <c r="H108" s="125"/>
      <c r="I108" t="s">
        <v>1015</v>
      </c>
      <c r="J108" s="125"/>
      <c r="K108" s="125"/>
      <c r="L108" s="125"/>
    </row>
    <row r="109" spans="2:12" x14ac:dyDescent="0.2">
      <c r="B109" s="152">
        <v>43273</v>
      </c>
      <c r="C109" t="s">
        <v>569</v>
      </c>
      <c r="D109">
        <v>-183.88</v>
      </c>
      <c r="E109" t="s">
        <v>579</v>
      </c>
      <c r="F109" t="s">
        <v>633</v>
      </c>
      <c r="G109" s="125"/>
      <c r="H109" s="125"/>
      <c r="I109" t="s">
        <v>1016</v>
      </c>
      <c r="J109" s="125"/>
      <c r="K109" s="125"/>
      <c r="L109" s="125"/>
    </row>
    <row r="110" spans="2:12" x14ac:dyDescent="0.2">
      <c r="B110" s="152">
        <v>43276</v>
      </c>
      <c r="C110" t="s">
        <v>569</v>
      </c>
      <c r="D110">
        <v>-7.79</v>
      </c>
      <c r="E110" t="s">
        <v>570</v>
      </c>
      <c r="F110" t="s">
        <v>894</v>
      </c>
      <c r="G110" s="125"/>
      <c r="H110" s="125"/>
      <c r="I110" t="s">
        <v>1015</v>
      </c>
      <c r="J110" s="133"/>
      <c r="K110" s="125"/>
      <c r="L110" s="125"/>
    </row>
    <row r="111" spans="2:12" x14ac:dyDescent="0.2">
      <c r="B111" s="152">
        <v>43276</v>
      </c>
      <c r="C111" t="s">
        <v>569</v>
      </c>
      <c r="D111">
        <v>-3.1</v>
      </c>
      <c r="E111" t="s">
        <v>570</v>
      </c>
      <c r="F111" t="s">
        <v>895</v>
      </c>
      <c r="G111" s="125"/>
      <c r="H111" s="125"/>
      <c r="I111" t="s">
        <v>1015</v>
      </c>
      <c r="J111" s="133"/>
      <c r="K111" s="125"/>
      <c r="L111" s="125"/>
    </row>
    <row r="112" spans="2:12" x14ac:dyDescent="0.2">
      <c r="B112" s="152">
        <v>43276</v>
      </c>
      <c r="C112" t="s">
        <v>569</v>
      </c>
      <c r="D112">
        <v>-2.6</v>
      </c>
      <c r="E112" t="s">
        <v>570</v>
      </c>
      <c r="F112" t="s">
        <v>894</v>
      </c>
      <c r="G112" s="125"/>
      <c r="H112" s="125"/>
      <c r="I112" t="s">
        <v>1015</v>
      </c>
      <c r="J112" s="133"/>
      <c r="K112" s="125"/>
      <c r="L112" s="125"/>
    </row>
    <row r="113" spans="2:12" x14ac:dyDescent="0.2">
      <c r="B113" s="152">
        <v>43276</v>
      </c>
      <c r="C113" t="s">
        <v>569</v>
      </c>
      <c r="D113">
        <v>-1</v>
      </c>
      <c r="E113" t="s">
        <v>570</v>
      </c>
      <c r="F113" t="s">
        <v>896</v>
      </c>
      <c r="G113" s="125"/>
      <c r="H113" s="125"/>
      <c r="I113" t="s">
        <v>1015</v>
      </c>
      <c r="J113" s="133"/>
      <c r="K113" s="125"/>
      <c r="L113" s="125"/>
    </row>
    <row r="114" spans="2:12" x14ac:dyDescent="0.2">
      <c r="B114" s="152">
        <v>43276</v>
      </c>
      <c r="C114" t="s">
        <v>569</v>
      </c>
      <c r="D114">
        <v>-56</v>
      </c>
      <c r="E114" t="s">
        <v>570</v>
      </c>
      <c r="F114" t="s">
        <v>897</v>
      </c>
      <c r="G114" s="125"/>
      <c r="H114" s="125"/>
      <c r="I114" t="s">
        <v>1015</v>
      </c>
      <c r="J114" s="125"/>
      <c r="K114" s="125"/>
      <c r="L114" s="125"/>
    </row>
    <row r="115" spans="2:12" x14ac:dyDescent="0.2">
      <c r="B115" s="152">
        <v>43276</v>
      </c>
      <c r="C115" t="s">
        <v>569</v>
      </c>
      <c r="D115">
        <v>-53.37</v>
      </c>
      <c r="E115" t="s">
        <v>570</v>
      </c>
      <c r="F115" t="s">
        <v>898</v>
      </c>
      <c r="G115" s="125"/>
      <c r="H115" s="133"/>
      <c r="I115" t="s">
        <v>1015</v>
      </c>
      <c r="J115" s="125"/>
      <c r="K115" s="125"/>
      <c r="L115" s="125"/>
    </row>
    <row r="116" spans="2:12" x14ac:dyDescent="0.2">
      <c r="B116" s="152">
        <v>43276</v>
      </c>
      <c r="C116" t="s">
        <v>569</v>
      </c>
      <c r="D116">
        <v>-10.199999999999999</v>
      </c>
      <c r="E116" t="s">
        <v>570</v>
      </c>
      <c r="F116" t="s">
        <v>899</v>
      </c>
      <c r="G116" s="125"/>
      <c r="H116" s="133"/>
      <c r="I116" t="s">
        <v>1015</v>
      </c>
      <c r="J116" s="125"/>
      <c r="K116" s="125"/>
      <c r="L116" s="125"/>
    </row>
    <row r="117" spans="2:12" x14ac:dyDescent="0.2">
      <c r="B117" s="152">
        <v>43276</v>
      </c>
      <c r="C117" t="s">
        <v>569</v>
      </c>
      <c r="D117">
        <v>-102</v>
      </c>
      <c r="E117" t="s">
        <v>571</v>
      </c>
      <c r="F117" t="s">
        <v>634</v>
      </c>
      <c r="G117" s="125"/>
      <c r="H117" s="125"/>
      <c r="I117" t="s">
        <v>1015</v>
      </c>
      <c r="J117" s="133"/>
      <c r="K117" s="125"/>
      <c r="L117" s="125"/>
    </row>
    <row r="118" spans="2:12" x14ac:dyDescent="0.2">
      <c r="B118" s="152">
        <v>43277</v>
      </c>
      <c r="C118" t="s">
        <v>569</v>
      </c>
      <c r="D118">
        <v>3000</v>
      </c>
      <c r="E118" t="s">
        <v>640</v>
      </c>
      <c r="F118" t="s">
        <v>900</v>
      </c>
      <c r="G118" s="125"/>
      <c r="H118" s="133" t="s">
        <v>1010</v>
      </c>
      <c r="I118" t="s">
        <v>1015</v>
      </c>
      <c r="J118" s="133"/>
      <c r="K118" s="125"/>
      <c r="L118" s="125"/>
    </row>
    <row r="119" spans="2:12" x14ac:dyDescent="0.2">
      <c r="B119" s="152">
        <v>43277</v>
      </c>
      <c r="C119" t="s">
        <v>569</v>
      </c>
      <c r="D119">
        <v>-1000</v>
      </c>
      <c r="E119" t="s">
        <v>570</v>
      </c>
      <c r="F119" t="s">
        <v>901</v>
      </c>
      <c r="G119" s="125"/>
      <c r="H119" s="134" t="s">
        <v>1011</v>
      </c>
      <c r="I119" t="s">
        <v>1015</v>
      </c>
      <c r="J119" s="133" t="s">
        <v>682</v>
      </c>
      <c r="K119" s="125"/>
      <c r="L119" s="125"/>
    </row>
    <row r="120" spans="2:12" x14ac:dyDescent="0.2">
      <c r="B120" s="152">
        <v>43277</v>
      </c>
      <c r="C120" t="s">
        <v>569</v>
      </c>
      <c r="D120">
        <v>-3.1</v>
      </c>
      <c r="E120" t="s">
        <v>570</v>
      </c>
      <c r="F120" t="s">
        <v>902</v>
      </c>
      <c r="G120" s="125"/>
      <c r="H120" s="125"/>
      <c r="I120" t="s">
        <v>1015</v>
      </c>
      <c r="J120" s="133"/>
      <c r="K120" s="125"/>
      <c r="L120" s="125"/>
    </row>
    <row r="121" spans="2:12" x14ac:dyDescent="0.2">
      <c r="B121" s="152">
        <v>43277</v>
      </c>
      <c r="C121" t="s">
        <v>569</v>
      </c>
      <c r="D121">
        <v>-30</v>
      </c>
      <c r="E121" t="s">
        <v>632</v>
      </c>
      <c r="F121" t="s">
        <v>903</v>
      </c>
      <c r="G121" s="125"/>
      <c r="H121" s="125"/>
      <c r="I121" t="s">
        <v>1015</v>
      </c>
      <c r="J121" s="125"/>
      <c r="K121" s="125"/>
      <c r="L121" s="125"/>
    </row>
    <row r="122" spans="2:12" x14ac:dyDescent="0.2">
      <c r="B122" s="152">
        <v>43277</v>
      </c>
      <c r="C122" t="s">
        <v>569</v>
      </c>
      <c r="D122">
        <v>-36.82</v>
      </c>
      <c r="E122" t="s">
        <v>570</v>
      </c>
      <c r="F122" t="s">
        <v>904</v>
      </c>
      <c r="G122" s="125"/>
      <c r="H122" s="125"/>
      <c r="I122" t="s">
        <v>1015</v>
      </c>
      <c r="J122" s="133" t="s">
        <v>682</v>
      </c>
      <c r="K122" s="125"/>
      <c r="L122" s="125"/>
    </row>
    <row r="123" spans="2:12" x14ac:dyDescent="0.2">
      <c r="B123" s="152">
        <v>43277</v>
      </c>
      <c r="C123" t="s">
        <v>569</v>
      </c>
      <c r="D123">
        <v>-2000</v>
      </c>
      <c r="E123" t="s">
        <v>630</v>
      </c>
      <c r="F123" t="s">
        <v>905</v>
      </c>
      <c r="G123" s="125"/>
      <c r="H123" s="134" t="s">
        <v>1011</v>
      </c>
      <c r="I123" t="s">
        <v>1015</v>
      </c>
      <c r="J123" s="134"/>
      <c r="K123" s="125"/>
      <c r="L123" s="125"/>
    </row>
    <row r="124" spans="2:12" x14ac:dyDescent="0.2">
      <c r="B124" s="152">
        <v>43278</v>
      </c>
      <c r="C124" t="s">
        <v>569</v>
      </c>
      <c r="D124">
        <v>141.94</v>
      </c>
      <c r="E124" t="s">
        <v>597</v>
      </c>
      <c r="F124" t="s">
        <v>612</v>
      </c>
      <c r="G124" s="125"/>
      <c r="H124" s="125"/>
      <c r="I124" t="s">
        <v>1015</v>
      </c>
      <c r="J124" s="125"/>
      <c r="K124" s="125"/>
      <c r="L124" s="125"/>
    </row>
    <row r="125" spans="2:12" x14ac:dyDescent="0.2">
      <c r="B125" s="152">
        <v>43278</v>
      </c>
      <c r="C125" t="s">
        <v>569</v>
      </c>
      <c r="D125">
        <v>-1.99</v>
      </c>
      <c r="E125" t="s">
        <v>570</v>
      </c>
      <c r="F125" t="s">
        <v>906</v>
      </c>
      <c r="G125" s="125"/>
      <c r="H125" s="125"/>
      <c r="I125" t="s">
        <v>1015</v>
      </c>
      <c r="J125" s="133"/>
      <c r="K125" s="125"/>
      <c r="L125" s="125"/>
    </row>
    <row r="126" spans="2:12" x14ac:dyDescent="0.2">
      <c r="B126" s="152">
        <v>43279</v>
      </c>
      <c r="C126" t="s">
        <v>569</v>
      </c>
      <c r="D126">
        <v>473.28</v>
      </c>
      <c r="E126" t="s">
        <v>597</v>
      </c>
      <c r="F126" t="s">
        <v>635</v>
      </c>
      <c r="G126" s="125"/>
      <c r="H126" s="125"/>
      <c r="I126" t="s">
        <v>1015</v>
      </c>
      <c r="J126" s="125"/>
      <c r="K126" s="125"/>
      <c r="L126" s="125"/>
    </row>
    <row r="127" spans="2:12" x14ac:dyDescent="0.2">
      <c r="B127" s="152">
        <v>43279</v>
      </c>
      <c r="C127" t="s">
        <v>569</v>
      </c>
      <c r="D127">
        <v>464</v>
      </c>
      <c r="E127" t="s">
        <v>597</v>
      </c>
      <c r="F127" t="s">
        <v>636</v>
      </c>
      <c r="G127" s="125"/>
      <c r="H127" s="125"/>
      <c r="I127" t="s">
        <v>1015</v>
      </c>
      <c r="J127" s="125"/>
      <c r="K127" s="125"/>
      <c r="L127" s="125"/>
    </row>
    <row r="128" spans="2:12" x14ac:dyDescent="0.2">
      <c r="B128" s="152">
        <v>43279</v>
      </c>
      <c r="C128" t="s">
        <v>569</v>
      </c>
      <c r="D128">
        <v>141.94</v>
      </c>
      <c r="E128" t="s">
        <v>597</v>
      </c>
      <c r="F128" t="s">
        <v>614</v>
      </c>
      <c r="G128" s="125"/>
      <c r="H128" s="125"/>
      <c r="I128" t="s">
        <v>1015</v>
      </c>
      <c r="J128" s="125"/>
      <c r="K128" s="125"/>
      <c r="L128" s="125"/>
    </row>
    <row r="129" spans="1:12" x14ac:dyDescent="0.2">
      <c r="B129" s="152">
        <v>43279</v>
      </c>
      <c r="C129" t="s">
        <v>569</v>
      </c>
      <c r="D129">
        <v>141.94</v>
      </c>
      <c r="E129" t="s">
        <v>597</v>
      </c>
      <c r="F129" t="s">
        <v>627</v>
      </c>
      <c r="G129" s="125"/>
      <c r="H129" s="125"/>
      <c r="I129" t="s">
        <v>1015</v>
      </c>
      <c r="J129" s="125"/>
      <c r="K129" s="125"/>
      <c r="L129" s="125"/>
    </row>
    <row r="130" spans="1:12" x14ac:dyDescent="0.2">
      <c r="B130" s="152">
        <v>43279</v>
      </c>
      <c r="C130" t="s">
        <v>569</v>
      </c>
      <c r="D130">
        <v>-247.96</v>
      </c>
      <c r="E130" t="s">
        <v>570</v>
      </c>
      <c r="F130" t="s">
        <v>907</v>
      </c>
      <c r="G130" s="125"/>
      <c r="H130" s="125"/>
      <c r="I130" t="s">
        <v>1015</v>
      </c>
      <c r="J130" s="133" t="s">
        <v>682</v>
      </c>
      <c r="K130" s="125"/>
      <c r="L130" s="125"/>
    </row>
    <row r="131" spans="1:12" x14ac:dyDescent="0.2">
      <c r="B131" s="152">
        <v>43280</v>
      </c>
      <c r="C131" t="s">
        <v>569</v>
      </c>
      <c r="D131">
        <v>92.8</v>
      </c>
      <c r="E131" t="s">
        <v>597</v>
      </c>
      <c r="F131" t="s">
        <v>685</v>
      </c>
      <c r="G131" s="125"/>
      <c r="H131" s="125"/>
      <c r="I131" t="s">
        <v>1015</v>
      </c>
      <c r="J131" s="125"/>
      <c r="K131" s="125"/>
      <c r="L131" s="125"/>
    </row>
    <row r="132" spans="1:12" x14ac:dyDescent="0.2">
      <c r="B132" s="152">
        <v>43280</v>
      </c>
      <c r="C132" t="s">
        <v>569</v>
      </c>
      <c r="D132">
        <v>-129.16999999999999</v>
      </c>
      <c r="E132" t="s">
        <v>579</v>
      </c>
      <c r="F132" t="s">
        <v>638</v>
      </c>
      <c r="G132" s="125"/>
      <c r="H132" s="125"/>
      <c r="I132" t="s">
        <v>1016</v>
      </c>
      <c r="J132" s="125"/>
      <c r="K132" s="125"/>
      <c r="L132" s="125"/>
    </row>
    <row r="133" spans="1:12" x14ac:dyDescent="0.2">
      <c r="B133" s="152">
        <v>43280</v>
      </c>
      <c r="C133" t="s">
        <v>569</v>
      </c>
      <c r="D133">
        <v>-192.89</v>
      </c>
      <c r="E133" t="s">
        <v>579</v>
      </c>
      <c r="F133" t="s">
        <v>908</v>
      </c>
      <c r="G133" s="125"/>
      <c r="H133" s="125"/>
      <c r="I133" t="s">
        <v>1016</v>
      </c>
      <c r="J133" s="125"/>
      <c r="K133" s="125"/>
      <c r="L133" s="125"/>
    </row>
    <row r="134" spans="1:12" x14ac:dyDescent="0.2">
      <c r="B134" s="152">
        <v>43280</v>
      </c>
      <c r="C134" t="s">
        <v>569</v>
      </c>
      <c r="D134">
        <v>-198</v>
      </c>
      <c r="E134" t="s">
        <v>579</v>
      </c>
      <c r="F134" t="s">
        <v>909</v>
      </c>
      <c r="G134" s="125"/>
      <c r="H134" s="125"/>
      <c r="I134" t="s">
        <v>1016</v>
      </c>
      <c r="J134" s="133"/>
      <c r="K134" s="125"/>
      <c r="L134" s="125"/>
    </row>
    <row r="135" spans="1:12" x14ac:dyDescent="0.2">
      <c r="B135" s="152">
        <v>43280</v>
      </c>
      <c r="C135" t="s">
        <v>569</v>
      </c>
      <c r="D135">
        <v>-198</v>
      </c>
      <c r="E135" t="s">
        <v>579</v>
      </c>
      <c r="F135" t="s">
        <v>910</v>
      </c>
      <c r="G135" s="125"/>
      <c r="H135" s="133"/>
      <c r="I135" t="s">
        <v>1016</v>
      </c>
      <c r="J135" s="133"/>
      <c r="K135" s="125"/>
      <c r="L135" s="125"/>
    </row>
    <row r="136" spans="1:12" x14ac:dyDescent="0.2">
      <c r="B136" s="152">
        <v>43280</v>
      </c>
      <c r="C136" t="s">
        <v>569</v>
      </c>
      <c r="D136">
        <v>-198</v>
      </c>
      <c r="E136" t="s">
        <v>579</v>
      </c>
      <c r="F136" t="s">
        <v>911</v>
      </c>
      <c r="G136" s="125"/>
      <c r="H136" s="133"/>
      <c r="I136" t="s">
        <v>1016</v>
      </c>
      <c r="J136" s="133"/>
      <c r="K136" s="125"/>
      <c r="L136" s="125"/>
    </row>
    <row r="137" spans="1:12" x14ac:dyDescent="0.2">
      <c r="A137" s="125"/>
      <c r="B137" s="135"/>
      <c r="C137" s="125"/>
      <c r="D137" s="125"/>
      <c r="E137" s="125"/>
      <c r="F137" s="125"/>
      <c r="G137" s="125"/>
      <c r="H137" s="133"/>
      <c r="I137" s="125"/>
      <c r="J137" s="133"/>
      <c r="K137" s="125"/>
      <c r="L137" s="125"/>
    </row>
    <row r="138" spans="1:12" x14ac:dyDescent="0.2">
      <c r="A138" s="125"/>
      <c r="B138" s="135"/>
      <c r="C138" s="125"/>
      <c r="D138" s="125"/>
      <c r="E138" s="125"/>
      <c r="F138" s="133"/>
      <c r="G138" s="125"/>
      <c r="H138" s="133"/>
      <c r="I138" s="125"/>
      <c r="J138" s="133"/>
      <c r="K138" s="125"/>
      <c r="L138" s="125"/>
    </row>
    <row r="139" spans="1:12" x14ac:dyDescent="0.2">
      <c r="A139" s="125"/>
      <c r="B139" s="135"/>
      <c r="C139" s="125"/>
      <c r="D139" s="125"/>
      <c r="E139" s="125"/>
      <c r="F139" s="125"/>
      <c r="G139" s="125"/>
      <c r="H139" s="133"/>
      <c r="I139" s="125"/>
      <c r="J139" s="133"/>
      <c r="K139" s="125"/>
      <c r="L139" s="125"/>
    </row>
    <row r="140" spans="1:12" x14ac:dyDescent="0.2">
      <c r="A140" s="125"/>
      <c r="B140" s="135"/>
      <c r="C140" s="125"/>
      <c r="D140" s="125"/>
      <c r="E140" s="125"/>
      <c r="F140" s="125"/>
      <c r="G140" s="125"/>
      <c r="H140" s="133"/>
      <c r="I140" s="125"/>
      <c r="J140" s="133"/>
      <c r="K140" s="125"/>
      <c r="L140" s="125"/>
    </row>
    <row r="141" spans="1:12" x14ac:dyDescent="0.2">
      <c r="A141" s="125"/>
      <c r="B141" s="135"/>
      <c r="C141" s="125"/>
      <c r="D141" s="125"/>
      <c r="E141" s="125"/>
      <c r="F141" s="125"/>
      <c r="G141" s="125"/>
      <c r="H141" s="133"/>
      <c r="I141" s="125"/>
      <c r="J141" s="133"/>
      <c r="K141" s="125"/>
      <c r="L141" s="125"/>
    </row>
    <row r="142" spans="1:12" x14ac:dyDescent="0.2">
      <c r="A142" s="125"/>
      <c r="B142" s="135"/>
      <c r="C142" s="125"/>
      <c r="D142" s="125"/>
      <c r="E142" s="125"/>
      <c r="F142" s="125"/>
      <c r="G142" s="125"/>
      <c r="H142" s="133"/>
      <c r="I142" s="125"/>
      <c r="J142" s="133"/>
      <c r="K142" s="125"/>
      <c r="L142" s="125"/>
    </row>
    <row r="143" spans="1:12" x14ac:dyDescent="0.2">
      <c r="A143" s="125"/>
      <c r="B143" s="135"/>
      <c r="C143" s="125"/>
      <c r="D143" s="125"/>
      <c r="E143" s="125"/>
      <c r="F143" s="125"/>
      <c r="G143" s="125"/>
      <c r="H143" s="133"/>
      <c r="I143" s="125"/>
      <c r="J143" s="133"/>
      <c r="K143" s="125"/>
      <c r="L143" s="125"/>
    </row>
    <row r="144" spans="1:12" x14ac:dyDescent="0.2">
      <c r="A144" s="125"/>
      <c r="B144" s="135"/>
      <c r="C144" s="125"/>
      <c r="D144" s="125"/>
      <c r="E144" s="125"/>
      <c r="F144" s="125"/>
      <c r="G144" s="125"/>
      <c r="H144" s="133"/>
      <c r="I144" s="125"/>
      <c r="J144" s="125"/>
      <c r="K144" s="125"/>
      <c r="L144" s="125"/>
    </row>
    <row r="145" spans="1:10" x14ac:dyDescent="0.2">
      <c r="A145" s="125"/>
      <c r="B145" s="135"/>
      <c r="C145" s="125"/>
      <c r="D145" s="125"/>
      <c r="E145" s="125"/>
      <c r="F145" s="125"/>
      <c r="G145" s="125"/>
      <c r="H145" s="125"/>
      <c r="I145" s="125"/>
      <c r="J145" s="125"/>
    </row>
    <row r="146" spans="1:10" x14ac:dyDescent="0.2">
      <c r="A146" s="125"/>
      <c r="B146" s="135"/>
      <c r="C146" s="125"/>
      <c r="D146" s="125"/>
      <c r="E146" s="125"/>
      <c r="F146" s="125"/>
      <c r="G146" s="125"/>
      <c r="H146" s="125"/>
      <c r="I146" s="125"/>
      <c r="J146" s="125"/>
    </row>
    <row r="147" spans="1:10" x14ac:dyDescent="0.2">
      <c r="A147" s="125"/>
      <c r="B147" s="135"/>
      <c r="C147" s="125"/>
      <c r="D147" s="125"/>
      <c r="E147" s="125"/>
      <c r="F147" s="125"/>
      <c r="G147" s="125"/>
      <c r="H147" s="133"/>
      <c r="I147" s="125"/>
      <c r="J147" s="133"/>
    </row>
    <row r="148" spans="1:10" x14ac:dyDescent="0.2">
      <c r="A148" s="125"/>
      <c r="B148" s="135"/>
      <c r="C148" s="125"/>
      <c r="D148" s="125"/>
      <c r="E148" s="125"/>
      <c r="F148" s="125"/>
      <c r="G148" s="125"/>
      <c r="H148" s="133"/>
      <c r="I148" s="125"/>
      <c r="J148" s="133"/>
    </row>
    <row r="149" spans="1:10" x14ac:dyDescent="0.2">
      <c r="A149" s="125"/>
      <c r="B149" s="135"/>
      <c r="C149" s="125"/>
      <c r="D149" s="125"/>
      <c r="E149" s="125"/>
      <c r="F149" s="125"/>
      <c r="G149" s="125"/>
      <c r="H149" s="125"/>
      <c r="I149" s="125"/>
      <c r="J149" s="125"/>
    </row>
    <row r="150" spans="1:10" x14ac:dyDescent="0.2">
      <c r="A150" s="125"/>
      <c r="B150" s="135"/>
      <c r="C150" s="125"/>
      <c r="D150" s="125"/>
      <c r="E150" s="125"/>
      <c r="F150" s="125"/>
      <c r="G150" s="125"/>
      <c r="H150" s="125"/>
      <c r="I150" s="125"/>
      <c r="J150" s="125"/>
    </row>
    <row r="151" spans="1:10" x14ac:dyDescent="0.2">
      <c r="A151" s="125"/>
      <c r="B151" s="135"/>
      <c r="C151" s="125"/>
      <c r="D151" s="125"/>
      <c r="E151" s="125"/>
      <c r="F151" s="125"/>
      <c r="G151" s="125"/>
      <c r="H151" s="125"/>
      <c r="I151" s="125"/>
      <c r="J151" s="125"/>
    </row>
    <row r="152" spans="1:10" x14ac:dyDescent="0.2">
      <c r="A152" s="125"/>
      <c r="B152" s="135"/>
      <c r="C152" s="125"/>
      <c r="D152" s="125"/>
      <c r="E152" s="125"/>
      <c r="F152" s="125"/>
      <c r="G152" s="125"/>
      <c r="H152" s="125"/>
      <c r="I152" s="125"/>
      <c r="J152" s="125"/>
    </row>
    <row r="153" spans="1:10" x14ac:dyDescent="0.2">
      <c r="A153" s="125"/>
      <c r="B153" s="125"/>
      <c r="C153" s="125"/>
      <c r="D153" s="125"/>
      <c r="E153" s="125"/>
      <c r="F153" s="125"/>
      <c r="G153" s="125"/>
      <c r="H153" s="125"/>
      <c r="I153" s="125"/>
      <c r="J153" s="125"/>
    </row>
    <row r="154" spans="1:10" x14ac:dyDescent="0.2">
      <c r="A154" s="125"/>
      <c r="B154" s="125"/>
      <c r="C154" s="125"/>
      <c r="D154" s="125"/>
      <c r="E154" s="125"/>
      <c r="F154" s="125"/>
      <c r="G154" s="125"/>
      <c r="H154" s="125"/>
      <c r="I154" s="125"/>
      <c r="J154" s="125"/>
    </row>
    <row r="155" spans="1:10" x14ac:dyDescent="0.2">
      <c r="A155" s="125"/>
      <c r="B155" s="125"/>
      <c r="C155" s="125"/>
      <c r="D155" s="125"/>
      <c r="E155" s="125"/>
      <c r="F155" s="125"/>
      <c r="G155" s="125"/>
      <c r="H155" s="125"/>
      <c r="I155" s="125"/>
      <c r="J155" s="125"/>
    </row>
    <row r="156" spans="1:10" x14ac:dyDescent="0.2">
      <c r="A156" s="125"/>
      <c r="B156" s="125"/>
      <c r="C156" s="125"/>
      <c r="D156" s="125"/>
      <c r="E156" s="125"/>
      <c r="F156" s="125"/>
      <c r="G156" s="125"/>
      <c r="H156" s="125"/>
      <c r="I156" s="125"/>
      <c r="J156" s="125"/>
    </row>
    <row r="157" spans="1:10" x14ac:dyDescent="0.2">
      <c r="A157" s="125"/>
      <c r="B157" s="125"/>
      <c r="C157" s="125"/>
      <c r="D157" s="125"/>
      <c r="E157" s="125"/>
      <c r="F157" s="125"/>
      <c r="G157" s="125"/>
      <c r="H157" s="125"/>
      <c r="I157" s="125"/>
      <c r="J157" s="125"/>
    </row>
    <row r="158" spans="1:10" x14ac:dyDescent="0.2">
      <c r="A158" s="125"/>
      <c r="B158" s="125"/>
      <c r="C158" s="125"/>
      <c r="D158" s="125"/>
      <c r="E158" s="125"/>
      <c r="F158" s="125"/>
      <c r="G158" s="125"/>
      <c r="H158" s="125"/>
      <c r="I158" s="125"/>
      <c r="J158" s="125"/>
    </row>
    <row r="159" spans="1:10" x14ac:dyDescent="0.2">
      <c r="A159" s="125"/>
      <c r="B159" s="125"/>
      <c r="C159" s="125"/>
      <c r="D159" s="125"/>
      <c r="E159" s="125"/>
      <c r="F159" s="125"/>
      <c r="G159" s="125"/>
      <c r="H159" s="125"/>
      <c r="I159" s="125"/>
      <c r="J159" s="125"/>
    </row>
  </sheetData>
  <autoFilter ref="A1:L136" xr:uid="{7B825A4A-7350-468C-B3AA-76268A0AD425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73"/>
  <sheetViews>
    <sheetView zoomScale="85" zoomScaleNormal="85" workbookViewId="0">
      <selection activeCell="F1" sqref="F1:F1048576"/>
    </sheetView>
  </sheetViews>
  <sheetFormatPr defaultRowHeight="12.75" x14ac:dyDescent="0.2"/>
  <cols>
    <col min="1" max="2" width="10.28515625" bestFit="1" customWidth="1"/>
    <col min="3" max="3" width="17.28515625" bestFit="1" customWidth="1"/>
    <col min="4" max="4" width="8.85546875" bestFit="1" customWidth="1"/>
    <col min="5" max="5" width="12.85546875" bestFit="1" customWidth="1"/>
    <col min="6" max="6" width="50.140625" bestFit="1" customWidth="1"/>
    <col min="7" max="7" width="8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A2" s="152" t="s">
        <v>1014</v>
      </c>
      <c r="B2" s="152">
        <v>43252</v>
      </c>
      <c r="C2" t="s">
        <v>646</v>
      </c>
      <c r="D2">
        <v>2609.16</v>
      </c>
      <c r="E2" t="s">
        <v>644</v>
      </c>
      <c r="F2" t="s">
        <v>647</v>
      </c>
      <c r="G2" s="125"/>
      <c r="H2" s="125"/>
      <c r="I2" t="s">
        <v>1015</v>
      </c>
      <c r="J2" s="125"/>
      <c r="K2" s="125"/>
    </row>
    <row r="3" spans="1:11" x14ac:dyDescent="0.2">
      <c r="A3" s="152" t="s">
        <v>1014</v>
      </c>
      <c r="B3" s="152">
        <v>43252</v>
      </c>
      <c r="C3" t="s">
        <v>646</v>
      </c>
      <c r="D3">
        <v>482.56</v>
      </c>
      <c r="E3" t="s">
        <v>597</v>
      </c>
      <c r="F3" t="s">
        <v>648</v>
      </c>
      <c r="G3" s="125"/>
      <c r="H3" s="125"/>
      <c r="I3" t="s">
        <v>1015</v>
      </c>
      <c r="J3" s="125"/>
      <c r="K3" s="125"/>
    </row>
    <row r="4" spans="1:11" x14ac:dyDescent="0.2">
      <c r="A4" s="152" t="s">
        <v>1014</v>
      </c>
      <c r="B4" s="152">
        <v>43252</v>
      </c>
      <c r="C4" t="s">
        <v>646</v>
      </c>
      <c r="D4">
        <v>-232.5</v>
      </c>
      <c r="E4" t="s">
        <v>571</v>
      </c>
      <c r="F4" t="s">
        <v>651</v>
      </c>
      <c r="G4" s="125"/>
      <c r="H4" s="125"/>
      <c r="I4" t="s">
        <v>1015</v>
      </c>
      <c r="J4" s="125"/>
      <c r="K4" s="125"/>
    </row>
    <row r="5" spans="1:11" x14ac:dyDescent="0.2">
      <c r="A5" s="152" t="s">
        <v>1014</v>
      </c>
      <c r="B5" s="152">
        <v>43252</v>
      </c>
      <c r="C5" t="s">
        <v>646</v>
      </c>
      <c r="D5">
        <v>-160</v>
      </c>
      <c r="E5" t="s">
        <v>571</v>
      </c>
      <c r="F5" t="s">
        <v>652</v>
      </c>
      <c r="G5" s="125"/>
      <c r="H5" s="125"/>
      <c r="I5" t="s">
        <v>1015</v>
      </c>
      <c r="J5" s="125"/>
      <c r="K5" s="125"/>
    </row>
    <row r="6" spans="1:11" x14ac:dyDescent="0.2">
      <c r="A6" s="152" t="s">
        <v>1014</v>
      </c>
      <c r="B6" s="152">
        <v>43252</v>
      </c>
      <c r="C6" t="s">
        <v>646</v>
      </c>
      <c r="D6">
        <v>-157.5</v>
      </c>
      <c r="E6" t="s">
        <v>571</v>
      </c>
      <c r="F6" t="s">
        <v>653</v>
      </c>
      <c r="G6" s="125"/>
      <c r="H6" s="125"/>
      <c r="I6" t="s">
        <v>1015</v>
      </c>
      <c r="J6" s="125"/>
      <c r="K6" s="125"/>
    </row>
    <row r="7" spans="1:11" x14ac:dyDescent="0.2">
      <c r="A7" s="152" t="s">
        <v>1014</v>
      </c>
      <c r="B7" s="152">
        <v>43252</v>
      </c>
      <c r="C7" t="s">
        <v>646</v>
      </c>
      <c r="D7">
        <v>-50</v>
      </c>
      <c r="E7" t="s">
        <v>571</v>
      </c>
      <c r="F7" t="s">
        <v>654</v>
      </c>
      <c r="G7" s="125"/>
      <c r="H7" s="125"/>
      <c r="I7" t="s">
        <v>1015</v>
      </c>
      <c r="J7" s="125"/>
      <c r="K7" s="125"/>
    </row>
    <row r="8" spans="1:11" x14ac:dyDescent="0.2">
      <c r="A8" s="152" t="s">
        <v>1014</v>
      </c>
      <c r="B8" s="152">
        <v>43252</v>
      </c>
      <c r="C8" t="s">
        <v>646</v>
      </c>
      <c r="D8">
        <v>-50</v>
      </c>
      <c r="E8" t="s">
        <v>571</v>
      </c>
      <c r="F8" t="s">
        <v>578</v>
      </c>
      <c r="G8" s="125"/>
      <c r="H8" s="125"/>
      <c r="I8" t="s">
        <v>1015</v>
      </c>
      <c r="J8" s="125"/>
      <c r="K8" s="125"/>
    </row>
    <row r="9" spans="1:11" x14ac:dyDescent="0.2">
      <c r="A9" s="152" t="s">
        <v>1014</v>
      </c>
      <c r="B9" s="152">
        <v>43252</v>
      </c>
      <c r="C9" t="s">
        <v>646</v>
      </c>
      <c r="D9">
        <v>-524.26</v>
      </c>
      <c r="E9" t="s">
        <v>579</v>
      </c>
      <c r="F9" t="s">
        <v>655</v>
      </c>
      <c r="G9" s="125"/>
      <c r="H9" s="125"/>
      <c r="I9" t="s">
        <v>1016</v>
      </c>
      <c r="J9" s="125"/>
      <c r="K9" s="125"/>
    </row>
    <row r="10" spans="1:11" x14ac:dyDescent="0.2">
      <c r="A10" s="152" t="s">
        <v>1014</v>
      </c>
      <c r="B10" s="152">
        <v>43252</v>
      </c>
      <c r="C10" t="s">
        <v>646</v>
      </c>
      <c r="D10">
        <v>-217.96</v>
      </c>
      <c r="E10" t="s">
        <v>579</v>
      </c>
      <c r="F10" t="s">
        <v>688</v>
      </c>
      <c r="G10" s="125"/>
      <c r="H10" s="125"/>
      <c r="I10" t="s">
        <v>1016</v>
      </c>
      <c r="J10" s="125"/>
      <c r="K10" s="125"/>
    </row>
    <row r="11" spans="1:11" x14ac:dyDescent="0.2">
      <c r="A11" s="152" t="s">
        <v>1014</v>
      </c>
      <c r="B11" s="152">
        <v>43252</v>
      </c>
      <c r="C11" t="s">
        <v>646</v>
      </c>
      <c r="D11">
        <v>-219.74</v>
      </c>
      <c r="E11" t="s">
        <v>579</v>
      </c>
      <c r="F11" t="s">
        <v>689</v>
      </c>
      <c r="G11" s="125"/>
      <c r="H11" s="125"/>
      <c r="I11" t="s">
        <v>1016</v>
      </c>
      <c r="J11" s="125"/>
      <c r="K11" s="125"/>
    </row>
    <row r="12" spans="1:11" x14ac:dyDescent="0.2">
      <c r="A12" s="152" t="s">
        <v>1014</v>
      </c>
      <c r="B12" s="152">
        <v>43252</v>
      </c>
      <c r="C12" t="s">
        <v>646</v>
      </c>
      <c r="D12">
        <v>-1117.8</v>
      </c>
      <c r="E12" t="s">
        <v>579</v>
      </c>
      <c r="F12" t="s">
        <v>690</v>
      </c>
      <c r="G12" s="125"/>
      <c r="H12" s="125"/>
      <c r="I12" t="s">
        <v>1015</v>
      </c>
      <c r="J12" s="125"/>
      <c r="K12" s="125"/>
    </row>
    <row r="13" spans="1:11" x14ac:dyDescent="0.2">
      <c r="A13" s="152" t="s">
        <v>1014</v>
      </c>
      <c r="B13" s="152">
        <v>43252</v>
      </c>
      <c r="C13" t="s">
        <v>646</v>
      </c>
      <c r="D13">
        <v>-1337.15</v>
      </c>
      <c r="E13" t="s">
        <v>579</v>
      </c>
      <c r="F13" t="s">
        <v>691</v>
      </c>
      <c r="G13" s="125"/>
      <c r="H13" s="125"/>
      <c r="I13" t="s">
        <v>1015</v>
      </c>
      <c r="J13" s="125"/>
      <c r="K13" s="125"/>
    </row>
    <row r="14" spans="1:11" x14ac:dyDescent="0.2">
      <c r="A14" s="152" t="s">
        <v>1014</v>
      </c>
      <c r="B14" s="152">
        <v>43252</v>
      </c>
      <c r="C14" t="s">
        <v>646</v>
      </c>
      <c r="D14">
        <v>-1281.43</v>
      </c>
      <c r="E14" t="s">
        <v>579</v>
      </c>
      <c r="F14" t="s">
        <v>692</v>
      </c>
      <c r="G14" s="125"/>
      <c r="H14" s="125"/>
      <c r="I14" t="s">
        <v>1015</v>
      </c>
      <c r="J14" s="125"/>
      <c r="K14" s="125"/>
    </row>
    <row r="15" spans="1:11" x14ac:dyDescent="0.2">
      <c r="A15" s="152" t="s">
        <v>1014</v>
      </c>
      <c r="B15" s="152">
        <v>43252</v>
      </c>
      <c r="C15" t="s">
        <v>646</v>
      </c>
      <c r="D15">
        <v>-186.14</v>
      </c>
      <c r="E15" t="s">
        <v>579</v>
      </c>
      <c r="F15" t="s">
        <v>657</v>
      </c>
      <c r="G15" s="125"/>
      <c r="H15" s="125"/>
      <c r="I15" t="s">
        <v>1016</v>
      </c>
      <c r="J15" s="125"/>
      <c r="K15" s="125"/>
    </row>
    <row r="16" spans="1:11" x14ac:dyDescent="0.2">
      <c r="A16" s="152" t="s">
        <v>1014</v>
      </c>
      <c r="B16" s="152">
        <v>43252</v>
      </c>
      <c r="C16" t="s">
        <v>646</v>
      </c>
      <c r="D16">
        <v>-367.24</v>
      </c>
      <c r="E16" t="s">
        <v>579</v>
      </c>
      <c r="F16" t="s">
        <v>658</v>
      </c>
      <c r="G16" s="125"/>
      <c r="H16" s="125"/>
      <c r="I16" t="s">
        <v>1016</v>
      </c>
      <c r="J16" s="125"/>
      <c r="K16" s="125"/>
    </row>
    <row r="17" spans="1:11" x14ac:dyDescent="0.2">
      <c r="A17" s="152" t="s">
        <v>1014</v>
      </c>
      <c r="B17" s="152">
        <v>43252</v>
      </c>
      <c r="C17" t="s">
        <v>646</v>
      </c>
      <c r="D17">
        <v>-356.87</v>
      </c>
      <c r="E17" t="s">
        <v>579</v>
      </c>
      <c r="F17" t="s">
        <v>659</v>
      </c>
      <c r="G17" s="125"/>
      <c r="H17" s="125"/>
      <c r="I17" t="s">
        <v>1016</v>
      </c>
      <c r="J17" s="125"/>
      <c r="K17" s="125"/>
    </row>
    <row r="18" spans="1:11" x14ac:dyDescent="0.2">
      <c r="A18" s="152" t="s">
        <v>1014</v>
      </c>
      <c r="B18" s="152">
        <v>43255</v>
      </c>
      <c r="C18" t="s">
        <v>646</v>
      </c>
      <c r="D18">
        <v>155.72999999999999</v>
      </c>
      <c r="E18" t="s">
        <v>597</v>
      </c>
      <c r="F18" t="s">
        <v>650</v>
      </c>
      <c r="G18" s="125"/>
      <c r="H18" s="125"/>
      <c r="I18" t="s">
        <v>1015</v>
      </c>
      <c r="J18" s="125"/>
      <c r="K18" s="125"/>
    </row>
    <row r="19" spans="1:11" x14ac:dyDescent="0.2">
      <c r="A19" s="152" t="s">
        <v>1014</v>
      </c>
      <c r="B19" s="152">
        <v>43255</v>
      </c>
      <c r="C19" t="s">
        <v>646</v>
      </c>
      <c r="D19">
        <v>-75</v>
      </c>
      <c r="E19" t="s">
        <v>571</v>
      </c>
      <c r="F19" t="s">
        <v>660</v>
      </c>
      <c r="G19" s="133"/>
      <c r="H19" s="133"/>
      <c r="I19" t="s">
        <v>1015</v>
      </c>
      <c r="J19" s="125"/>
      <c r="K19" s="125"/>
    </row>
    <row r="20" spans="1:11" x14ac:dyDescent="0.2">
      <c r="A20" s="152" t="s">
        <v>1014</v>
      </c>
      <c r="B20" s="152">
        <v>43255</v>
      </c>
      <c r="C20" t="s">
        <v>646</v>
      </c>
      <c r="D20">
        <v>-32.58</v>
      </c>
      <c r="E20" t="s">
        <v>579</v>
      </c>
      <c r="F20" t="s">
        <v>912</v>
      </c>
      <c r="G20" s="125"/>
      <c r="H20" s="125"/>
      <c r="I20" t="s">
        <v>1015</v>
      </c>
      <c r="J20" s="125"/>
      <c r="K20" s="125"/>
    </row>
    <row r="21" spans="1:11" x14ac:dyDescent="0.2">
      <c r="A21" s="152" t="s">
        <v>1014</v>
      </c>
      <c r="B21" s="152">
        <v>43255</v>
      </c>
      <c r="C21" t="s">
        <v>646</v>
      </c>
      <c r="D21">
        <v>-37.950000000000003</v>
      </c>
      <c r="E21" t="s">
        <v>579</v>
      </c>
      <c r="F21" t="s">
        <v>656</v>
      </c>
      <c r="G21" s="125"/>
      <c r="H21" s="125"/>
      <c r="I21" t="s">
        <v>1015</v>
      </c>
      <c r="J21" s="125"/>
      <c r="K21" s="125"/>
    </row>
    <row r="22" spans="1:11" x14ac:dyDescent="0.2">
      <c r="A22" s="152" t="s">
        <v>1014</v>
      </c>
      <c r="B22" s="152">
        <v>43255</v>
      </c>
      <c r="C22" t="s">
        <v>646</v>
      </c>
      <c r="D22">
        <v>-228.8</v>
      </c>
      <c r="E22" t="s">
        <v>579</v>
      </c>
      <c r="F22" t="s">
        <v>913</v>
      </c>
      <c r="G22" s="125"/>
      <c r="H22" s="125"/>
      <c r="I22" t="s">
        <v>1016</v>
      </c>
      <c r="J22" s="125"/>
      <c r="K22" s="125"/>
    </row>
    <row r="23" spans="1:11" x14ac:dyDescent="0.2">
      <c r="A23" s="152" t="s">
        <v>1014</v>
      </c>
      <c r="B23" s="152">
        <v>43255</v>
      </c>
      <c r="C23" t="s">
        <v>646</v>
      </c>
      <c r="D23">
        <v>-75</v>
      </c>
      <c r="E23" t="s">
        <v>579</v>
      </c>
      <c r="F23" t="s">
        <v>693</v>
      </c>
      <c r="G23" s="125"/>
      <c r="H23" s="125"/>
      <c r="I23" t="s">
        <v>1015</v>
      </c>
      <c r="J23" s="125"/>
      <c r="K23" s="125"/>
    </row>
    <row r="24" spans="1:11" x14ac:dyDescent="0.2">
      <c r="A24" s="152" t="s">
        <v>1014</v>
      </c>
      <c r="B24" s="152">
        <v>43258</v>
      </c>
      <c r="C24" t="s">
        <v>646</v>
      </c>
      <c r="D24">
        <v>394.85</v>
      </c>
      <c r="E24" t="s">
        <v>597</v>
      </c>
      <c r="F24" t="s">
        <v>665</v>
      </c>
      <c r="G24" s="125"/>
      <c r="H24" s="134"/>
      <c r="I24" t="s">
        <v>1015</v>
      </c>
      <c r="J24" s="125"/>
      <c r="K24" s="125"/>
    </row>
    <row r="25" spans="1:11" x14ac:dyDescent="0.2">
      <c r="A25" s="152" t="s">
        <v>1014</v>
      </c>
      <c r="B25" s="152">
        <v>43258</v>
      </c>
      <c r="C25" t="s">
        <v>646</v>
      </c>
      <c r="D25">
        <v>377.87</v>
      </c>
      <c r="E25" t="s">
        <v>597</v>
      </c>
      <c r="F25" t="s">
        <v>650</v>
      </c>
      <c r="G25" s="125"/>
      <c r="H25" s="125"/>
      <c r="I25" t="s">
        <v>1015</v>
      </c>
      <c r="J25" s="125"/>
      <c r="K25" s="125"/>
    </row>
    <row r="26" spans="1:11" x14ac:dyDescent="0.2">
      <c r="A26" s="152" t="s">
        <v>1014</v>
      </c>
      <c r="B26" s="152">
        <v>43258</v>
      </c>
      <c r="C26" t="s">
        <v>646</v>
      </c>
      <c r="D26">
        <v>290.64999999999998</v>
      </c>
      <c r="E26" t="s">
        <v>597</v>
      </c>
      <c r="F26" t="s">
        <v>667</v>
      </c>
      <c r="G26" s="133"/>
      <c r="H26" s="133"/>
      <c r="I26" t="s">
        <v>1015</v>
      </c>
      <c r="J26" s="125"/>
      <c r="K26" s="125"/>
    </row>
    <row r="27" spans="1:11" x14ac:dyDescent="0.2">
      <c r="A27" s="152" t="s">
        <v>1014</v>
      </c>
      <c r="B27" s="152">
        <v>43258</v>
      </c>
      <c r="C27" t="s">
        <v>646</v>
      </c>
      <c r="D27">
        <v>279.29000000000002</v>
      </c>
      <c r="E27" t="s">
        <v>597</v>
      </c>
      <c r="F27" t="s">
        <v>668</v>
      </c>
      <c r="G27" s="125"/>
      <c r="H27" s="125"/>
      <c r="I27" t="s">
        <v>1015</v>
      </c>
      <c r="J27" s="125"/>
      <c r="K27" s="125"/>
    </row>
    <row r="28" spans="1:11" x14ac:dyDescent="0.2">
      <c r="A28" s="152" t="s">
        <v>1014</v>
      </c>
      <c r="B28" s="152">
        <v>43258</v>
      </c>
      <c r="C28" t="s">
        <v>646</v>
      </c>
      <c r="D28">
        <v>267.79000000000002</v>
      </c>
      <c r="E28" t="s">
        <v>597</v>
      </c>
      <c r="F28" t="s">
        <v>666</v>
      </c>
      <c r="G28" s="125"/>
      <c r="H28" s="125"/>
      <c r="I28" t="s">
        <v>1015</v>
      </c>
      <c r="J28" s="125"/>
      <c r="K28" s="125"/>
    </row>
    <row r="29" spans="1:11" x14ac:dyDescent="0.2">
      <c r="A29" s="152" t="s">
        <v>1014</v>
      </c>
      <c r="B29" s="152">
        <v>43258</v>
      </c>
      <c r="C29" t="s">
        <v>646</v>
      </c>
      <c r="D29">
        <v>250.64</v>
      </c>
      <c r="E29" t="s">
        <v>597</v>
      </c>
      <c r="F29" t="s">
        <v>669</v>
      </c>
      <c r="G29" s="125"/>
      <c r="H29" s="125"/>
      <c r="I29" t="s">
        <v>1015</v>
      </c>
      <c r="J29" s="125"/>
      <c r="K29" s="125"/>
    </row>
    <row r="30" spans="1:11" x14ac:dyDescent="0.2">
      <c r="A30" s="152" t="s">
        <v>1014</v>
      </c>
      <c r="B30" s="152">
        <v>43258</v>
      </c>
      <c r="C30" t="s">
        <v>646</v>
      </c>
      <c r="D30">
        <v>233.29</v>
      </c>
      <c r="E30" t="s">
        <v>597</v>
      </c>
      <c r="F30" t="s">
        <v>664</v>
      </c>
      <c r="G30" s="125"/>
      <c r="H30" s="133"/>
      <c r="I30" t="s">
        <v>1015</v>
      </c>
      <c r="J30" s="125"/>
      <c r="K30" s="125"/>
    </row>
    <row r="31" spans="1:11" x14ac:dyDescent="0.2">
      <c r="A31" s="152" t="s">
        <v>1014</v>
      </c>
      <c r="B31" s="152">
        <v>43258</v>
      </c>
      <c r="C31" t="s">
        <v>646</v>
      </c>
      <c r="D31">
        <v>216.9</v>
      </c>
      <c r="E31" t="s">
        <v>597</v>
      </c>
      <c r="F31" t="s">
        <v>670</v>
      </c>
      <c r="G31" s="125"/>
      <c r="H31" s="133"/>
      <c r="I31" t="s">
        <v>1015</v>
      </c>
      <c r="J31" s="125"/>
      <c r="K31" s="125"/>
    </row>
    <row r="32" spans="1:11" x14ac:dyDescent="0.2">
      <c r="A32" s="152" t="s">
        <v>1014</v>
      </c>
      <c r="B32" s="152">
        <v>43258</v>
      </c>
      <c r="C32" t="s">
        <v>646</v>
      </c>
      <c r="D32">
        <v>85.74</v>
      </c>
      <c r="E32" t="s">
        <v>597</v>
      </c>
      <c r="F32" t="s">
        <v>678</v>
      </c>
      <c r="G32" s="125"/>
      <c r="H32" s="125"/>
      <c r="I32" t="s">
        <v>1015</v>
      </c>
      <c r="J32" s="125"/>
      <c r="K32" s="125"/>
    </row>
    <row r="33" spans="1:11" x14ac:dyDescent="0.2">
      <c r="A33" s="152" t="s">
        <v>1014</v>
      </c>
      <c r="B33" s="152">
        <v>43258</v>
      </c>
      <c r="C33" t="s">
        <v>646</v>
      </c>
      <c r="D33">
        <v>46.25</v>
      </c>
      <c r="E33" t="s">
        <v>597</v>
      </c>
      <c r="F33" t="s">
        <v>663</v>
      </c>
      <c r="G33" s="125"/>
      <c r="H33" s="125"/>
      <c r="I33" t="s">
        <v>1015</v>
      </c>
      <c r="J33" s="125"/>
      <c r="K33" s="125"/>
    </row>
    <row r="34" spans="1:11" x14ac:dyDescent="0.2">
      <c r="A34" s="152" t="s">
        <v>1014</v>
      </c>
      <c r="B34" s="152">
        <v>43259</v>
      </c>
      <c r="C34" t="s">
        <v>646</v>
      </c>
      <c r="D34">
        <v>-218.42</v>
      </c>
      <c r="E34" t="s">
        <v>579</v>
      </c>
      <c r="F34" t="s">
        <v>662</v>
      </c>
      <c r="G34" s="125"/>
      <c r="H34" s="125"/>
      <c r="I34" t="s">
        <v>1016</v>
      </c>
      <c r="J34" s="125"/>
      <c r="K34" s="125"/>
    </row>
    <row r="35" spans="1:11" x14ac:dyDescent="0.2">
      <c r="A35" s="152" t="s">
        <v>1014</v>
      </c>
      <c r="B35" s="152">
        <v>43263</v>
      </c>
      <c r="C35" t="s">
        <v>646</v>
      </c>
      <c r="D35">
        <v>428.13</v>
      </c>
      <c r="E35" t="s">
        <v>597</v>
      </c>
      <c r="F35" t="s">
        <v>663</v>
      </c>
      <c r="G35" s="125"/>
      <c r="H35" s="133"/>
      <c r="I35" t="s">
        <v>1015</v>
      </c>
      <c r="J35" s="125"/>
      <c r="K35" s="125"/>
    </row>
    <row r="36" spans="1:11" x14ac:dyDescent="0.2">
      <c r="A36" s="152" t="s">
        <v>1014</v>
      </c>
      <c r="B36" s="152">
        <v>43263</v>
      </c>
      <c r="C36" t="s">
        <v>646</v>
      </c>
      <c r="D36">
        <v>324.8</v>
      </c>
      <c r="E36" t="s">
        <v>597</v>
      </c>
      <c r="F36" t="s">
        <v>672</v>
      </c>
      <c r="G36" s="125"/>
      <c r="H36" s="125"/>
      <c r="I36" t="s">
        <v>1015</v>
      </c>
      <c r="J36" s="125"/>
      <c r="K36" s="125"/>
    </row>
    <row r="37" spans="1:11" x14ac:dyDescent="0.2">
      <c r="A37" s="152" t="s">
        <v>1014</v>
      </c>
      <c r="B37" s="152">
        <v>43263</v>
      </c>
      <c r="C37" t="s">
        <v>646</v>
      </c>
      <c r="D37">
        <v>160.5</v>
      </c>
      <c r="E37" t="s">
        <v>597</v>
      </c>
      <c r="F37" t="s">
        <v>666</v>
      </c>
      <c r="G37" s="125"/>
      <c r="H37" s="125"/>
      <c r="I37" t="s">
        <v>1015</v>
      </c>
      <c r="J37" s="125"/>
      <c r="K37" s="125"/>
    </row>
    <row r="38" spans="1:11" x14ac:dyDescent="0.2">
      <c r="A38" s="152" t="s">
        <v>1014</v>
      </c>
      <c r="B38" s="152">
        <v>43263</v>
      </c>
      <c r="C38" t="s">
        <v>646</v>
      </c>
      <c r="D38">
        <v>-37.68</v>
      </c>
      <c r="E38" t="s">
        <v>579</v>
      </c>
      <c r="F38" t="s">
        <v>671</v>
      </c>
      <c r="G38" s="125"/>
      <c r="H38" s="125"/>
      <c r="I38" t="s">
        <v>1015</v>
      </c>
      <c r="J38" s="125"/>
      <c r="K38" s="125"/>
    </row>
    <row r="39" spans="1:11" x14ac:dyDescent="0.2">
      <c r="A39" s="152" t="s">
        <v>1014</v>
      </c>
      <c r="B39" s="152">
        <v>43264</v>
      </c>
      <c r="C39" t="s">
        <v>646</v>
      </c>
      <c r="D39">
        <v>232</v>
      </c>
      <c r="E39" t="s">
        <v>597</v>
      </c>
      <c r="F39" t="s">
        <v>694</v>
      </c>
      <c r="G39" s="125"/>
      <c r="H39" s="125"/>
      <c r="I39" t="s">
        <v>1015</v>
      </c>
      <c r="J39" s="125"/>
      <c r="K39" s="125"/>
    </row>
    <row r="40" spans="1:11" x14ac:dyDescent="0.2">
      <c r="A40" s="152" t="s">
        <v>1014</v>
      </c>
      <c r="B40" s="152">
        <v>43264</v>
      </c>
      <c r="C40" t="s">
        <v>646</v>
      </c>
      <c r="D40">
        <v>33.44</v>
      </c>
      <c r="E40" t="s">
        <v>597</v>
      </c>
      <c r="F40" t="s">
        <v>665</v>
      </c>
      <c r="G40" s="125"/>
      <c r="H40" s="125"/>
      <c r="I40" t="s">
        <v>1015</v>
      </c>
      <c r="J40" s="125"/>
      <c r="K40" s="125"/>
    </row>
    <row r="41" spans="1:11" x14ac:dyDescent="0.2">
      <c r="A41" s="152" t="s">
        <v>1014</v>
      </c>
      <c r="B41" s="152">
        <v>43264</v>
      </c>
      <c r="C41" t="s">
        <v>646</v>
      </c>
      <c r="D41">
        <v>-260</v>
      </c>
      <c r="E41" t="s">
        <v>640</v>
      </c>
      <c r="F41" t="s">
        <v>661</v>
      </c>
      <c r="G41" s="125"/>
      <c r="H41" s="125"/>
      <c r="I41" t="s">
        <v>1015</v>
      </c>
      <c r="J41" s="125"/>
      <c r="K41" s="125"/>
    </row>
    <row r="42" spans="1:11" x14ac:dyDescent="0.2">
      <c r="A42" s="152" t="s">
        <v>1014</v>
      </c>
      <c r="B42" s="152">
        <v>43264</v>
      </c>
      <c r="C42" t="s">
        <v>646</v>
      </c>
      <c r="D42">
        <v>-130</v>
      </c>
      <c r="E42" t="s">
        <v>640</v>
      </c>
      <c r="F42" t="s">
        <v>914</v>
      </c>
      <c r="G42" s="125"/>
      <c r="H42" s="125"/>
      <c r="I42" t="s">
        <v>1015</v>
      </c>
      <c r="J42" s="125"/>
      <c r="K42" s="125"/>
    </row>
    <row r="43" spans="1:11" x14ac:dyDescent="0.2">
      <c r="A43" s="152" t="s">
        <v>1014</v>
      </c>
      <c r="B43" s="152">
        <v>43265</v>
      </c>
      <c r="C43" t="s">
        <v>646</v>
      </c>
      <c r="D43">
        <v>-56.49</v>
      </c>
      <c r="E43" t="s">
        <v>579</v>
      </c>
      <c r="F43" t="s">
        <v>915</v>
      </c>
      <c r="G43" s="125"/>
      <c r="H43" s="125"/>
      <c r="I43" t="s">
        <v>1015</v>
      </c>
      <c r="J43" s="125"/>
      <c r="K43" s="125"/>
    </row>
    <row r="44" spans="1:11" x14ac:dyDescent="0.2">
      <c r="A44" s="152" t="s">
        <v>1014</v>
      </c>
      <c r="B44" s="152">
        <v>43266</v>
      </c>
      <c r="C44" t="s">
        <v>646</v>
      </c>
      <c r="D44">
        <v>-300</v>
      </c>
      <c r="E44" t="s">
        <v>640</v>
      </c>
      <c r="F44" t="s">
        <v>661</v>
      </c>
      <c r="G44" s="125"/>
      <c r="H44" s="125"/>
      <c r="I44" t="s">
        <v>1015</v>
      </c>
      <c r="J44" s="125"/>
      <c r="K44" s="125"/>
    </row>
    <row r="45" spans="1:11" x14ac:dyDescent="0.2">
      <c r="A45" s="152" t="s">
        <v>1014</v>
      </c>
      <c r="B45" s="152">
        <v>43266</v>
      </c>
      <c r="C45" t="s">
        <v>646</v>
      </c>
      <c r="D45">
        <v>-184.79</v>
      </c>
      <c r="E45" t="s">
        <v>579</v>
      </c>
      <c r="F45" t="s">
        <v>673</v>
      </c>
      <c r="G45" s="125"/>
      <c r="H45" s="125"/>
      <c r="I45" t="s">
        <v>1016</v>
      </c>
      <c r="J45" s="125"/>
      <c r="K45" s="125"/>
    </row>
    <row r="46" spans="1:11" x14ac:dyDescent="0.2">
      <c r="A46" s="152" t="s">
        <v>1014</v>
      </c>
      <c r="B46" s="152">
        <v>43266</v>
      </c>
      <c r="C46" t="s">
        <v>646</v>
      </c>
      <c r="D46">
        <v>-186.1</v>
      </c>
      <c r="E46" t="s">
        <v>579</v>
      </c>
      <c r="F46" t="s">
        <v>674</v>
      </c>
      <c r="G46" s="125"/>
      <c r="H46" s="125"/>
      <c r="I46" t="s">
        <v>1016</v>
      </c>
      <c r="J46" s="125"/>
      <c r="K46" s="125"/>
    </row>
    <row r="47" spans="1:11" x14ac:dyDescent="0.2">
      <c r="A47" s="152" t="s">
        <v>1014</v>
      </c>
      <c r="B47" s="152">
        <v>43266</v>
      </c>
      <c r="C47" t="s">
        <v>646</v>
      </c>
      <c r="D47">
        <v>-192.58</v>
      </c>
      <c r="E47" t="s">
        <v>579</v>
      </c>
      <c r="F47" t="s">
        <v>675</v>
      </c>
      <c r="G47" s="125"/>
      <c r="H47" s="125"/>
      <c r="I47" t="s">
        <v>1016</v>
      </c>
      <c r="J47" s="125"/>
      <c r="K47" s="125"/>
    </row>
    <row r="48" spans="1:11" x14ac:dyDescent="0.2">
      <c r="A48" s="152" t="s">
        <v>1014</v>
      </c>
      <c r="B48" s="152">
        <v>43266</v>
      </c>
      <c r="C48" t="s">
        <v>646</v>
      </c>
      <c r="D48">
        <v>-192.58</v>
      </c>
      <c r="E48" t="s">
        <v>579</v>
      </c>
      <c r="F48" t="s">
        <v>695</v>
      </c>
      <c r="G48" s="125"/>
      <c r="H48" s="125"/>
      <c r="I48" t="s">
        <v>1016</v>
      </c>
      <c r="J48" s="125"/>
      <c r="K48" s="125"/>
    </row>
    <row r="49" spans="1:11" x14ac:dyDescent="0.2">
      <c r="A49" s="152" t="s">
        <v>1014</v>
      </c>
      <c r="B49" s="152">
        <v>43266</v>
      </c>
      <c r="C49" t="s">
        <v>646</v>
      </c>
      <c r="D49">
        <v>-186.1</v>
      </c>
      <c r="E49" t="s">
        <v>579</v>
      </c>
      <c r="F49" t="s">
        <v>916</v>
      </c>
      <c r="G49" s="125"/>
      <c r="H49" s="125"/>
      <c r="I49" t="s">
        <v>1016</v>
      </c>
      <c r="J49" s="125"/>
      <c r="K49" s="125"/>
    </row>
    <row r="50" spans="1:11" x14ac:dyDescent="0.2">
      <c r="A50" s="152" t="s">
        <v>1014</v>
      </c>
      <c r="B50" s="152">
        <v>43266</v>
      </c>
      <c r="C50" t="s">
        <v>646</v>
      </c>
      <c r="D50">
        <v>-186.16</v>
      </c>
      <c r="E50" t="s">
        <v>579</v>
      </c>
      <c r="F50" t="s">
        <v>676</v>
      </c>
      <c r="G50" s="125"/>
      <c r="H50" s="125"/>
      <c r="I50" t="s">
        <v>1016</v>
      </c>
      <c r="J50" s="125"/>
      <c r="K50" s="125"/>
    </row>
    <row r="51" spans="1:11" x14ac:dyDescent="0.2">
      <c r="A51" s="152" t="s">
        <v>1014</v>
      </c>
      <c r="B51" s="152">
        <v>43266</v>
      </c>
      <c r="C51" t="s">
        <v>646</v>
      </c>
      <c r="D51">
        <v>-186.13</v>
      </c>
      <c r="E51" t="s">
        <v>579</v>
      </c>
      <c r="F51" t="s">
        <v>677</v>
      </c>
      <c r="G51" s="125"/>
      <c r="H51" s="125"/>
      <c r="I51" t="s">
        <v>1016</v>
      </c>
      <c r="J51" s="125"/>
      <c r="K51" s="125"/>
    </row>
    <row r="52" spans="1:11" x14ac:dyDescent="0.2">
      <c r="A52" s="152" t="s">
        <v>1014</v>
      </c>
      <c r="B52" s="152">
        <v>43266</v>
      </c>
      <c r="C52" t="s">
        <v>646</v>
      </c>
      <c r="D52">
        <v>-186.14</v>
      </c>
      <c r="E52" t="s">
        <v>579</v>
      </c>
      <c r="F52" t="s">
        <v>917</v>
      </c>
      <c r="G52" s="125"/>
      <c r="H52" s="125"/>
      <c r="I52" t="s">
        <v>1016</v>
      </c>
      <c r="J52" s="125"/>
      <c r="K52" s="125"/>
    </row>
    <row r="53" spans="1:11" x14ac:dyDescent="0.2">
      <c r="A53" s="152" t="s">
        <v>1014</v>
      </c>
      <c r="B53" s="152">
        <v>43269</v>
      </c>
      <c r="C53" t="s">
        <v>646</v>
      </c>
      <c r="D53">
        <v>141.9</v>
      </c>
      <c r="E53" t="s">
        <v>597</v>
      </c>
      <c r="F53" t="s">
        <v>667</v>
      </c>
      <c r="G53" s="125"/>
      <c r="H53" s="125"/>
      <c r="I53" t="s">
        <v>1015</v>
      </c>
      <c r="J53" s="125"/>
      <c r="K53" s="125"/>
    </row>
    <row r="54" spans="1:11" x14ac:dyDescent="0.2">
      <c r="A54" s="152" t="s">
        <v>1014</v>
      </c>
      <c r="B54" s="152">
        <v>43269</v>
      </c>
      <c r="C54" t="s">
        <v>646</v>
      </c>
      <c r="D54">
        <v>-240</v>
      </c>
      <c r="E54" t="s">
        <v>640</v>
      </c>
      <c r="F54" t="s">
        <v>661</v>
      </c>
      <c r="G54" s="125"/>
      <c r="H54" s="125"/>
      <c r="I54" t="s">
        <v>1015</v>
      </c>
      <c r="J54" s="125"/>
      <c r="K54" s="125"/>
    </row>
    <row r="55" spans="1:11" x14ac:dyDescent="0.2">
      <c r="A55" s="152" t="s">
        <v>1014</v>
      </c>
      <c r="B55" s="152">
        <v>43271</v>
      </c>
      <c r="C55" t="s">
        <v>646</v>
      </c>
      <c r="D55">
        <v>346.83</v>
      </c>
      <c r="E55" t="s">
        <v>597</v>
      </c>
      <c r="F55" t="s">
        <v>678</v>
      </c>
      <c r="G55" s="125"/>
      <c r="H55" s="125"/>
      <c r="I55" t="s">
        <v>1015</v>
      </c>
      <c r="J55" s="125"/>
      <c r="K55" s="125"/>
    </row>
    <row r="56" spans="1:11" x14ac:dyDescent="0.2">
      <c r="A56" s="152" t="s">
        <v>1014</v>
      </c>
      <c r="B56" s="152">
        <v>43271</v>
      </c>
      <c r="C56" t="s">
        <v>646</v>
      </c>
      <c r="D56">
        <v>-31.88</v>
      </c>
      <c r="E56" t="s">
        <v>579</v>
      </c>
      <c r="F56" t="s">
        <v>918</v>
      </c>
      <c r="G56" s="125"/>
      <c r="H56" s="125"/>
      <c r="I56" t="s">
        <v>1015</v>
      </c>
      <c r="J56" s="125"/>
      <c r="K56" s="125"/>
    </row>
    <row r="57" spans="1:11" x14ac:dyDescent="0.2">
      <c r="A57" s="152" t="s">
        <v>1014</v>
      </c>
      <c r="B57" s="152">
        <v>43272</v>
      </c>
      <c r="C57" t="s">
        <v>646</v>
      </c>
      <c r="D57">
        <v>468.64</v>
      </c>
      <c r="E57" t="s">
        <v>597</v>
      </c>
      <c r="F57" t="s">
        <v>649</v>
      </c>
      <c r="G57" s="125"/>
      <c r="H57" s="125"/>
      <c r="I57" t="s">
        <v>1015</v>
      </c>
      <c r="J57" s="125"/>
      <c r="K57" s="125"/>
    </row>
    <row r="58" spans="1:11" x14ac:dyDescent="0.2">
      <c r="A58" s="152" t="s">
        <v>1014</v>
      </c>
      <c r="B58" s="152">
        <v>43272</v>
      </c>
      <c r="C58" t="s">
        <v>646</v>
      </c>
      <c r="D58">
        <v>177.65</v>
      </c>
      <c r="E58" t="s">
        <v>597</v>
      </c>
      <c r="F58" t="s">
        <v>669</v>
      </c>
      <c r="G58" s="125"/>
      <c r="H58" s="125"/>
      <c r="I58" t="s">
        <v>1015</v>
      </c>
      <c r="J58" s="125"/>
      <c r="K58" s="125"/>
    </row>
    <row r="59" spans="1:11" x14ac:dyDescent="0.2">
      <c r="A59" s="152" t="s">
        <v>1014</v>
      </c>
      <c r="B59" s="152">
        <v>43272</v>
      </c>
      <c r="C59" t="s">
        <v>646</v>
      </c>
      <c r="D59">
        <v>155.66999999999999</v>
      </c>
      <c r="E59" t="s">
        <v>597</v>
      </c>
      <c r="F59" t="s">
        <v>670</v>
      </c>
      <c r="G59" s="125"/>
      <c r="H59" s="125"/>
      <c r="I59" t="s">
        <v>1015</v>
      </c>
      <c r="J59" s="125"/>
      <c r="K59" s="125"/>
    </row>
    <row r="60" spans="1:11" x14ac:dyDescent="0.2">
      <c r="A60" s="152" t="s">
        <v>1014</v>
      </c>
      <c r="B60" s="152">
        <v>43272</v>
      </c>
      <c r="C60" t="s">
        <v>646</v>
      </c>
      <c r="D60">
        <v>-300</v>
      </c>
      <c r="E60" t="s">
        <v>640</v>
      </c>
      <c r="F60" t="s">
        <v>661</v>
      </c>
      <c r="G60" s="125"/>
      <c r="H60" s="125"/>
      <c r="I60" t="s">
        <v>1015</v>
      </c>
      <c r="J60" s="125"/>
    </row>
    <row r="61" spans="1:11" x14ac:dyDescent="0.2">
      <c r="A61" s="152" t="s">
        <v>1014</v>
      </c>
      <c r="B61" s="152">
        <v>43273</v>
      </c>
      <c r="C61" t="s">
        <v>646</v>
      </c>
      <c r="D61">
        <v>111.36</v>
      </c>
      <c r="E61" t="s">
        <v>597</v>
      </c>
      <c r="F61" t="s">
        <v>667</v>
      </c>
      <c r="G61" s="125"/>
      <c r="H61" s="125"/>
      <c r="I61" t="s">
        <v>1015</v>
      </c>
      <c r="J61" s="125"/>
    </row>
    <row r="62" spans="1:11" x14ac:dyDescent="0.2">
      <c r="A62" s="152" t="s">
        <v>1014</v>
      </c>
      <c r="B62" s="152">
        <v>43273</v>
      </c>
      <c r="C62" t="s">
        <v>646</v>
      </c>
      <c r="D62">
        <v>-99</v>
      </c>
      <c r="E62" t="s">
        <v>630</v>
      </c>
      <c r="F62" t="s">
        <v>919</v>
      </c>
      <c r="G62" s="125"/>
      <c r="H62" s="125"/>
      <c r="I62" t="s">
        <v>1015</v>
      </c>
      <c r="J62" s="125"/>
    </row>
    <row r="63" spans="1:11" x14ac:dyDescent="0.2">
      <c r="A63" s="152" t="s">
        <v>1014</v>
      </c>
      <c r="B63" s="152">
        <v>43273</v>
      </c>
      <c r="C63" t="s">
        <v>646</v>
      </c>
      <c r="D63">
        <v>-5.3</v>
      </c>
      <c r="E63" t="s">
        <v>579</v>
      </c>
      <c r="F63" t="s">
        <v>679</v>
      </c>
      <c r="G63" s="125"/>
      <c r="H63" s="125"/>
      <c r="I63" t="s">
        <v>1015</v>
      </c>
      <c r="J63" s="125"/>
    </row>
    <row r="64" spans="1:11" x14ac:dyDescent="0.2">
      <c r="A64" s="152" t="s">
        <v>1014</v>
      </c>
      <c r="B64" s="152">
        <v>43276</v>
      </c>
      <c r="C64" t="s">
        <v>646</v>
      </c>
      <c r="D64">
        <v>-220</v>
      </c>
      <c r="E64" t="s">
        <v>640</v>
      </c>
      <c r="F64" t="s">
        <v>661</v>
      </c>
      <c r="G64" s="125"/>
      <c r="H64" s="125"/>
      <c r="I64" t="s">
        <v>1015</v>
      </c>
      <c r="J64" s="125"/>
    </row>
    <row r="65" spans="1:10" x14ac:dyDescent="0.2">
      <c r="A65" s="152" t="s">
        <v>1014</v>
      </c>
      <c r="B65" s="152">
        <v>43277</v>
      </c>
      <c r="C65" t="s">
        <v>646</v>
      </c>
      <c r="D65">
        <v>-20.260000000000002</v>
      </c>
      <c r="E65" t="s">
        <v>579</v>
      </c>
      <c r="F65" t="s">
        <v>920</v>
      </c>
      <c r="G65" s="125"/>
      <c r="H65" s="125"/>
      <c r="I65" t="s">
        <v>1015</v>
      </c>
      <c r="J65" s="125"/>
    </row>
    <row r="66" spans="1:10" x14ac:dyDescent="0.2">
      <c r="A66" s="152" t="s">
        <v>1014</v>
      </c>
      <c r="B66" s="152">
        <v>43278</v>
      </c>
      <c r="C66" t="s">
        <v>646</v>
      </c>
      <c r="D66">
        <v>140.46</v>
      </c>
      <c r="E66" t="s">
        <v>597</v>
      </c>
      <c r="F66" t="s">
        <v>668</v>
      </c>
      <c r="G66" s="125"/>
      <c r="H66" s="125"/>
      <c r="I66" t="s">
        <v>1015</v>
      </c>
      <c r="J66" s="125"/>
    </row>
    <row r="67" spans="1:10" x14ac:dyDescent="0.2">
      <c r="A67" s="152" t="s">
        <v>1014</v>
      </c>
      <c r="B67" s="152">
        <v>43278</v>
      </c>
      <c r="C67" t="s">
        <v>646</v>
      </c>
      <c r="D67">
        <v>107</v>
      </c>
      <c r="E67" t="s">
        <v>597</v>
      </c>
      <c r="F67" t="s">
        <v>694</v>
      </c>
      <c r="G67" s="125"/>
      <c r="H67" s="125"/>
      <c r="I67" t="s">
        <v>1015</v>
      </c>
      <c r="J67" s="125"/>
    </row>
    <row r="68" spans="1:10" x14ac:dyDescent="0.2">
      <c r="A68" s="152" t="s">
        <v>1014</v>
      </c>
      <c r="B68" s="152">
        <v>43278</v>
      </c>
      <c r="C68" t="s">
        <v>646</v>
      </c>
      <c r="D68">
        <v>-1200</v>
      </c>
      <c r="E68" t="s">
        <v>571</v>
      </c>
      <c r="F68" t="s">
        <v>680</v>
      </c>
      <c r="G68" s="125"/>
      <c r="H68" s="125"/>
      <c r="I68" t="s">
        <v>1015</v>
      </c>
      <c r="J68" s="125"/>
    </row>
    <row r="69" spans="1:10" x14ac:dyDescent="0.2">
      <c r="A69" s="152" t="s">
        <v>1014</v>
      </c>
      <c r="B69" s="152">
        <v>43279</v>
      </c>
      <c r="C69" t="s">
        <v>646</v>
      </c>
      <c r="D69">
        <v>-33</v>
      </c>
      <c r="E69" t="s">
        <v>579</v>
      </c>
      <c r="F69" t="s">
        <v>681</v>
      </c>
      <c r="I69" t="s">
        <v>1015</v>
      </c>
    </row>
    <row r="70" spans="1:10" x14ac:dyDescent="0.2">
      <c r="A70" s="152" t="s">
        <v>1014</v>
      </c>
      <c r="B70" s="152">
        <v>43280</v>
      </c>
      <c r="C70" t="s">
        <v>646</v>
      </c>
      <c r="D70">
        <v>18.559999999999999</v>
      </c>
      <c r="E70" t="s">
        <v>597</v>
      </c>
      <c r="F70" t="s">
        <v>678</v>
      </c>
      <c r="I70" t="s">
        <v>1015</v>
      </c>
    </row>
    <row r="71" spans="1:10" x14ac:dyDescent="0.2">
      <c r="B71" s="136"/>
    </row>
    <row r="72" spans="1:10" x14ac:dyDescent="0.2">
      <c r="B72" s="136"/>
    </row>
    <row r="73" spans="1:10" x14ac:dyDescent="0.2">
      <c r="B73" s="136"/>
    </row>
  </sheetData>
  <autoFilter ref="A1:K70" xr:uid="{4B531DEC-8EB9-4AD6-A5BC-A99F52F8E6A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J185"/>
  <sheetViews>
    <sheetView zoomScale="85" zoomScaleNormal="85" workbookViewId="0"/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t="s">
        <v>921</v>
      </c>
      <c r="B2" s="152">
        <v>43255</v>
      </c>
      <c r="C2" t="s">
        <v>639</v>
      </c>
      <c r="D2">
        <v>-27.15</v>
      </c>
      <c r="E2" t="s">
        <v>570</v>
      </c>
      <c r="F2" t="s">
        <v>922</v>
      </c>
      <c r="G2" s="125"/>
      <c r="H2" s="125"/>
      <c r="I2" s="125"/>
      <c r="J2" s="125"/>
    </row>
    <row r="3" spans="1:10" x14ac:dyDescent="0.2">
      <c r="A3" t="s">
        <v>921</v>
      </c>
      <c r="B3" s="152">
        <v>43255</v>
      </c>
      <c r="C3" t="s">
        <v>639</v>
      </c>
      <c r="D3">
        <v>-15</v>
      </c>
      <c r="E3" t="s">
        <v>570</v>
      </c>
      <c r="F3" t="s">
        <v>923</v>
      </c>
      <c r="G3" s="125"/>
      <c r="H3" s="125"/>
      <c r="I3" s="125"/>
      <c r="J3" s="125"/>
    </row>
    <row r="4" spans="1:10" x14ac:dyDescent="0.2">
      <c r="A4" t="s">
        <v>921</v>
      </c>
      <c r="B4" s="152">
        <v>43255</v>
      </c>
      <c r="C4" t="s">
        <v>639</v>
      </c>
      <c r="D4">
        <v>-15</v>
      </c>
      <c r="E4" t="s">
        <v>570</v>
      </c>
      <c r="F4" t="s">
        <v>923</v>
      </c>
      <c r="G4" s="125"/>
      <c r="H4" s="125"/>
      <c r="I4" s="125"/>
      <c r="J4" s="125"/>
    </row>
    <row r="5" spans="1:10" x14ac:dyDescent="0.2">
      <c r="A5" t="s">
        <v>921</v>
      </c>
      <c r="B5" s="152">
        <v>43255</v>
      </c>
      <c r="C5" t="s">
        <v>639</v>
      </c>
      <c r="D5">
        <v>-15</v>
      </c>
      <c r="E5" t="s">
        <v>570</v>
      </c>
      <c r="F5" t="s">
        <v>923</v>
      </c>
      <c r="G5" s="125"/>
      <c r="H5" s="125"/>
      <c r="I5" s="125"/>
      <c r="J5" s="125"/>
    </row>
    <row r="6" spans="1:10" x14ac:dyDescent="0.2">
      <c r="A6" t="s">
        <v>921</v>
      </c>
      <c r="B6" s="152">
        <v>43255</v>
      </c>
      <c r="C6" t="s">
        <v>639</v>
      </c>
      <c r="D6">
        <v>-15</v>
      </c>
      <c r="E6" t="s">
        <v>570</v>
      </c>
      <c r="F6" t="s">
        <v>923</v>
      </c>
      <c r="G6" s="125"/>
      <c r="H6" s="125"/>
      <c r="I6" s="125"/>
      <c r="J6" s="125"/>
    </row>
    <row r="7" spans="1:10" x14ac:dyDescent="0.2">
      <c r="A7" t="s">
        <v>921</v>
      </c>
      <c r="B7" s="152">
        <v>43255</v>
      </c>
      <c r="C7" t="s">
        <v>639</v>
      </c>
      <c r="D7">
        <v>-8</v>
      </c>
      <c r="E7" t="s">
        <v>570</v>
      </c>
      <c r="F7" t="s">
        <v>924</v>
      </c>
      <c r="G7" s="125"/>
      <c r="H7" s="125"/>
      <c r="I7" s="125"/>
      <c r="J7" s="125"/>
    </row>
    <row r="8" spans="1:10" x14ac:dyDescent="0.2">
      <c r="A8" t="s">
        <v>921</v>
      </c>
      <c r="B8" s="152">
        <v>43255</v>
      </c>
      <c r="C8" t="s">
        <v>639</v>
      </c>
      <c r="D8">
        <v>-5.25</v>
      </c>
      <c r="E8" t="s">
        <v>570</v>
      </c>
      <c r="F8" t="s">
        <v>925</v>
      </c>
      <c r="G8" s="125"/>
      <c r="H8" s="125"/>
      <c r="I8" s="125"/>
      <c r="J8" s="125"/>
    </row>
    <row r="9" spans="1:10" x14ac:dyDescent="0.2">
      <c r="A9" t="s">
        <v>921</v>
      </c>
      <c r="B9" s="152">
        <v>43255</v>
      </c>
      <c r="C9" t="s">
        <v>639</v>
      </c>
      <c r="D9">
        <v>-4.49</v>
      </c>
      <c r="E9" t="s">
        <v>570</v>
      </c>
      <c r="F9" t="s">
        <v>926</v>
      </c>
      <c r="G9" s="125"/>
      <c r="H9" s="125"/>
      <c r="I9" s="125"/>
      <c r="J9" s="125"/>
    </row>
    <row r="10" spans="1:10" x14ac:dyDescent="0.2">
      <c r="A10" t="s">
        <v>921</v>
      </c>
      <c r="B10" s="152">
        <v>43255</v>
      </c>
      <c r="C10" t="s">
        <v>639</v>
      </c>
      <c r="D10">
        <v>-1.5</v>
      </c>
      <c r="E10" t="s">
        <v>570</v>
      </c>
      <c r="F10" t="s">
        <v>923</v>
      </c>
      <c r="G10" s="125"/>
      <c r="H10" s="125"/>
      <c r="I10" s="125"/>
      <c r="J10" s="125"/>
    </row>
    <row r="11" spans="1:10" x14ac:dyDescent="0.2">
      <c r="A11" t="s">
        <v>921</v>
      </c>
      <c r="B11" s="152">
        <v>43255</v>
      </c>
      <c r="C11" t="s">
        <v>639</v>
      </c>
      <c r="D11">
        <v>-30</v>
      </c>
      <c r="E11" t="s">
        <v>632</v>
      </c>
      <c r="F11" t="s">
        <v>927</v>
      </c>
      <c r="G11" s="125"/>
      <c r="H11" s="125"/>
      <c r="I11" s="125"/>
      <c r="J11" s="125"/>
    </row>
    <row r="12" spans="1:10" x14ac:dyDescent="0.2">
      <c r="A12" t="s">
        <v>921</v>
      </c>
      <c r="B12" s="152">
        <v>43255</v>
      </c>
      <c r="C12" t="s">
        <v>639</v>
      </c>
      <c r="D12">
        <v>-45.24</v>
      </c>
      <c r="E12" t="s">
        <v>570</v>
      </c>
      <c r="F12" t="s">
        <v>928</v>
      </c>
      <c r="G12" s="125"/>
      <c r="H12" s="125"/>
      <c r="I12" s="125"/>
      <c r="J12" s="125"/>
    </row>
    <row r="13" spans="1:10" x14ac:dyDescent="0.2">
      <c r="A13" t="s">
        <v>921</v>
      </c>
      <c r="B13" s="152">
        <v>43255</v>
      </c>
      <c r="C13" t="s">
        <v>639</v>
      </c>
      <c r="D13">
        <v>-14.56</v>
      </c>
      <c r="E13" t="s">
        <v>570</v>
      </c>
      <c r="F13" t="s">
        <v>929</v>
      </c>
      <c r="G13" s="125"/>
      <c r="H13" s="125"/>
      <c r="I13" s="125"/>
      <c r="J13" s="125"/>
    </row>
    <row r="14" spans="1:10" x14ac:dyDescent="0.2">
      <c r="A14" t="s">
        <v>921</v>
      </c>
      <c r="B14" s="152">
        <v>43256</v>
      </c>
      <c r="C14" t="s">
        <v>639</v>
      </c>
      <c r="D14">
        <v>-23</v>
      </c>
      <c r="E14" t="s">
        <v>570</v>
      </c>
      <c r="F14" t="s">
        <v>930</v>
      </c>
      <c r="G14" s="125"/>
      <c r="H14" s="125"/>
      <c r="I14" s="125"/>
      <c r="J14" s="125"/>
    </row>
    <row r="15" spans="1:10" x14ac:dyDescent="0.2">
      <c r="A15" t="s">
        <v>921</v>
      </c>
      <c r="B15" s="152">
        <v>43256</v>
      </c>
      <c r="C15" t="s">
        <v>639</v>
      </c>
      <c r="D15">
        <v>-15.9</v>
      </c>
      <c r="E15" t="s">
        <v>570</v>
      </c>
      <c r="F15" t="s">
        <v>931</v>
      </c>
      <c r="G15" s="125"/>
      <c r="H15" s="125"/>
      <c r="I15" s="125"/>
      <c r="J15" s="125"/>
    </row>
    <row r="16" spans="1:10" x14ac:dyDescent="0.2">
      <c r="A16" t="s">
        <v>921</v>
      </c>
      <c r="B16" s="152">
        <v>43256</v>
      </c>
      <c r="C16" t="s">
        <v>639</v>
      </c>
      <c r="D16">
        <v>-4</v>
      </c>
      <c r="E16" t="s">
        <v>570</v>
      </c>
      <c r="F16" t="s">
        <v>932</v>
      </c>
      <c r="G16" s="125"/>
      <c r="H16" s="125"/>
      <c r="I16" s="125"/>
      <c r="J16" s="125"/>
    </row>
    <row r="17" spans="1:10" x14ac:dyDescent="0.2">
      <c r="A17" t="s">
        <v>921</v>
      </c>
      <c r="B17" s="152">
        <v>43256</v>
      </c>
      <c r="C17" t="s">
        <v>639</v>
      </c>
      <c r="D17">
        <v>-3</v>
      </c>
      <c r="E17" t="s">
        <v>570</v>
      </c>
      <c r="F17" t="s">
        <v>931</v>
      </c>
      <c r="G17" s="125"/>
      <c r="H17" s="125"/>
      <c r="I17" s="125"/>
      <c r="J17" s="125"/>
    </row>
    <row r="18" spans="1:10" x14ac:dyDescent="0.2">
      <c r="A18" t="s">
        <v>921</v>
      </c>
      <c r="B18" s="152">
        <v>43256</v>
      </c>
      <c r="C18" t="s">
        <v>639</v>
      </c>
      <c r="D18">
        <v>-2.2999999999999998</v>
      </c>
      <c r="E18" t="s">
        <v>570</v>
      </c>
      <c r="F18" t="s">
        <v>933</v>
      </c>
      <c r="G18" s="125"/>
      <c r="H18" s="125"/>
      <c r="I18" s="125"/>
      <c r="J18" s="125"/>
    </row>
    <row r="19" spans="1:10" x14ac:dyDescent="0.2">
      <c r="A19" t="s">
        <v>921</v>
      </c>
      <c r="B19" s="152">
        <v>43256</v>
      </c>
      <c r="C19" t="s">
        <v>639</v>
      </c>
      <c r="D19">
        <v>-45.19</v>
      </c>
      <c r="E19" t="s">
        <v>570</v>
      </c>
      <c r="F19" t="s">
        <v>934</v>
      </c>
      <c r="G19" s="125"/>
      <c r="H19" s="125"/>
      <c r="I19" s="125"/>
      <c r="J19" s="125"/>
    </row>
    <row r="20" spans="1:10" x14ac:dyDescent="0.2">
      <c r="A20" t="s">
        <v>921</v>
      </c>
      <c r="B20" s="152">
        <v>43256</v>
      </c>
      <c r="C20" t="s">
        <v>639</v>
      </c>
      <c r="D20">
        <v>-35.5</v>
      </c>
      <c r="E20" t="s">
        <v>570</v>
      </c>
      <c r="F20" t="s">
        <v>935</v>
      </c>
      <c r="G20" s="125"/>
      <c r="H20" s="125"/>
      <c r="I20" s="125"/>
      <c r="J20" s="125"/>
    </row>
    <row r="21" spans="1:10" x14ac:dyDescent="0.2">
      <c r="A21" t="s">
        <v>921</v>
      </c>
      <c r="B21" s="152">
        <v>43256</v>
      </c>
      <c r="C21" t="s">
        <v>639</v>
      </c>
      <c r="D21">
        <v>-28</v>
      </c>
      <c r="E21" t="s">
        <v>570</v>
      </c>
      <c r="F21" t="s">
        <v>936</v>
      </c>
      <c r="G21" s="125"/>
      <c r="H21" s="125"/>
      <c r="I21" s="125"/>
      <c r="J21" s="125"/>
    </row>
    <row r="22" spans="1:10" x14ac:dyDescent="0.2">
      <c r="A22" t="s">
        <v>921</v>
      </c>
      <c r="B22" s="152">
        <v>43256</v>
      </c>
      <c r="C22" t="s">
        <v>639</v>
      </c>
      <c r="D22">
        <v>-21.45</v>
      </c>
      <c r="E22" t="s">
        <v>570</v>
      </c>
      <c r="F22" t="s">
        <v>937</v>
      </c>
      <c r="G22" s="125"/>
      <c r="H22" s="125"/>
      <c r="I22" s="125"/>
      <c r="J22" s="125"/>
    </row>
    <row r="23" spans="1:10" x14ac:dyDescent="0.2">
      <c r="A23" t="s">
        <v>921</v>
      </c>
      <c r="B23" s="152">
        <v>43256</v>
      </c>
      <c r="C23" t="s">
        <v>639</v>
      </c>
      <c r="D23">
        <v>-4.18</v>
      </c>
      <c r="E23" t="s">
        <v>570</v>
      </c>
      <c r="F23" t="s">
        <v>938</v>
      </c>
      <c r="G23" s="125"/>
      <c r="H23" s="125"/>
      <c r="I23" s="125"/>
      <c r="J23" s="125"/>
    </row>
    <row r="24" spans="1:10" x14ac:dyDescent="0.2">
      <c r="A24" t="s">
        <v>921</v>
      </c>
      <c r="B24" s="152">
        <v>43257</v>
      </c>
      <c r="C24" t="s">
        <v>639</v>
      </c>
      <c r="D24">
        <v>-29.34</v>
      </c>
      <c r="E24" t="s">
        <v>570</v>
      </c>
      <c r="F24" t="s">
        <v>939</v>
      </c>
      <c r="G24" s="125"/>
      <c r="H24" s="125"/>
      <c r="I24" s="125"/>
      <c r="J24" s="125"/>
    </row>
    <row r="25" spans="1:10" x14ac:dyDescent="0.2">
      <c r="A25" t="s">
        <v>921</v>
      </c>
      <c r="B25" s="152">
        <v>43257</v>
      </c>
      <c r="C25" t="s">
        <v>639</v>
      </c>
      <c r="D25">
        <v>-4.3</v>
      </c>
      <c r="E25" t="s">
        <v>570</v>
      </c>
      <c r="F25" t="s">
        <v>940</v>
      </c>
      <c r="G25" s="125"/>
      <c r="H25" s="125"/>
      <c r="I25" s="125"/>
      <c r="J25" s="125"/>
    </row>
    <row r="26" spans="1:10" x14ac:dyDescent="0.2">
      <c r="A26" t="s">
        <v>921</v>
      </c>
      <c r="B26" s="152">
        <v>43257</v>
      </c>
      <c r="C26" t="s">
        <v>639</v>
      </c>
      <c r="D26">
        <v>-3.1</v>
      </c>
      <c r="E26" t="s">
        <v>570</v>
      </c>
      <c r="F26" t="s">
        <v>940</v>
      </c>
      <c r="G26" s="125"/>
      <c r="H26" s="125"/>
      <c r="I26" s="125"/>
      <c r="J26" s="125"/>
    </row>
    <row r="27" spans="1:10" x14ac:dyDescent="0.2">
      <c r="A27" t="s">
        <v>921</v>
      </c>
      <c r="B27" s="152">
        <v>43258</v>
      </c>
      <c r="C27" t="s">
        <v>639</v>
      </c>
      <c r="D27">
        <v>-27.45</v>
      </c>
      <c r="E27" t="s">
        <v>570</v>
      </c>
      <c r="F27" t="s">
        <v>941</v>
      </c>
      <c r="G27" s="125"/>
      <c r="H27" s="125"/>
      <c r="I27" s="125"/>
      <c r="J27" s="125"/>
    </row>
    <row r="28" spans="1:10" x14ac:dyDescent="0.2">
      <c r="A28" t="s">
        <v>921</v>
      </c>
      <c r="B28" s="152">
        <v>43258</v>
      </c>
      <c r="C28" t="s">
        <v>639</v>
      </c>
      <c r="D28">
        <v>-3.65</v>
      </c>
      <c r="E28" t="s">
        <v>570</v>
      </c>
      <c r="F28" t="s">
        <v>942</v>
      </c>
      <c r="G28" s="125"/>
      <c r="H28" s="125"/>
      <c r="I28" s="125"/>
      <c r="J28" s="125"/>
    </row>
    <row r="29" spans="1:10" x14ac:dyDescent="0.2">
      <c r="A29" t="s">
        <v>921</v>
      </c>
      <c r="B29" s="152">
        <v>43258</v>
      </c>
      <c r="C29" t="s">
        <v>639</v>
      </c>
      <c r="D29">
        <v>-31.04</v>
      </c>
      <c r="E29" t="s">
        <v>570</v>
      </c>
      <c r="F29" t="s">
        <v>943</v>
      </c>
      <c r="G29" s="125"/>
      <c r="H29" s="125"/>
      <c r="I29" s="125"/>
      <c r="J29" s="125"/>
    </row>
    <row r="30" spans="1:10" x14ac:dyDescent="0.2">
      <c r="A30" t="s">
        <v>921</v>
      </c>
      <c r="B30" s="152">
        <v>43258</v>
      </c>
      <c r="C30" t="s">
        <v>639</v>
      </c>
      <c r="D30">
        <v>-14.45</v>
      </c>
      <c r="E30" t="s">
        <v>570</v>
      </c>
      <c r="F30" t="s">
        <v>944</v>
      </c>
      <c r="G30" s="125"/>
      <c r="H30" s="125"/>
      <c r="I30" s="125"/>
      <c r="J30" s="125"/>
    </row>
    <row r="31" spans="1:10" x14ac:dyDescent="0.2">
      <c r="A31" t="s">
        <v>921</v>
      </c>
      <c r="B31" s="152">
        <v>43259</v>
      </c>
      <c r="C31" t="s">
        <v>639</v>
      </c>
      <c r="D31">
        <v>24.99</v>
      </c>
      <c r="E31" t="s">
        <v>602</v>
      </c>
      <c r="F31" t="s">
        <v>945</v>
      </c>
      <c r="G31" s="125"/>
      <c r="H31" s="125"/>
      <c r="I31" s="125"/>
      <c r="J31" s="125"/>
    </row>
    <row r="32" spans="1:10" x14ac:dyDescent="0.2">
      <c r="A32" t="s">
        <v>921</v>
      </c>
      <c r="B32" s="152">
        <v>43259</v>
      </c>
      <c r="C32" t="s">
        <v>639</v>
      </c>
      <c r="D32">
        <v>22.5</v>
      </c>
      <c r="E32" t="s">
        <v>602</v>
      </c>
      <c r="F32" t="s">
        <v>946</v>
      </c>
      <c r="G32" s="125"/>
      <c r="H32" s="125"/>
      <c r="I32" s="125"/>
      <c r="J32" s="125"/>
    </row>
    <row r="33" spans="1:10" x14ac:dyDescent="0.2">
      <c r="A33" t="s">
        <v>921</v>
      </c>
      <c r="B33" s="152">
        <v>43259</v>
      </c>
      <c r="C33" t="s">
        <v>639</v>
      </c>
      <c r="D33">
        <v>14.4</v>
      </c>
      <c r="E33" t="s">
        <v>602</v>
      </c>
      <c r="F33" t="s">
        <v>946</v>
      </c>
      <c r="G33" s="125"/>
      <c r="H33" s="125"/>
      <c r="I33" s="125"/>
      <c r="J33" s="125"/>
    </row>
    <row r="34" spans="1:10" x14ac:dyDescent="0.2">
      <c r="A34" t="s">
        <v>921</v>
      </c>
      <c r="B34" s="152">
        <v>43259</v>
      </c>
      <c r="C34" t="s">
        <v>639</v>
      </c>
      <c r="D34">
        <v>-9.14</v>
      </c>
      <c r="E34" t="s">
        <v>570</v>
      </c>
      <c r="F34" t="s">
        <v>947</v>
      </c>
      <c r="G34" s="125"/>
      <c r="H34" s="125"/>
      <c r="I34" s="125"/>
      <c r="J34" s="125"/>
    </row>
    <row r="35" spans="1:10" x14ac:dyDescent="0.2">
      <c r="A35" t="s">
        <v>921</v>
      </c>
      <c r="B35" s="152">
        <v>43259</v>
      </c>
      <c r="C35" t="s">
        <v>639</v>
      </c>
      <c r="D35">
        <v>-3.75</v>
      </c>
      <c r="E35" t="s">
        <v>570</v>
      </c>
      <c r="F35" t="s">
        <v>948</v>
      </c>
      <c r="G35" s="125"/>
      <c r="H35" s="125"/>
      <c r="I35" s="125"/>
      <c r="J35" s="125"/>
    </row>
    <row r="36" spans="1:10" x14ac:dyDescent="0.2">
      <c r="A36" t="s">
        <v>921</v>
      </c>
      <c r="B36" s="152">
        <v>43259</v>
      </c>
      <c r="C36" t="s">
        <v>639</v>
      </c>
      <c r="D36">
        <v>-32.99</v>
      </c>
      <c r="E36" t="s">
        <v>570</v>
      </c>
      <c r="F36" t="s">
        <v>949</v>
      </c>
      <c r="G36" s="125"/>
      <c r="H36" s="125"/>
      <c r="I36" s="125"/>
      <c r="J36" s="125"/>
    </row>
    <row r="37" spans="1:10" x14ac:dyDescent="0.2">
      <c r="A37" t="s">
        <v>921</v>
      </c>
      <c r="B37" s="152">
        <v>43262</v>
      </c>
      <c r="C37" t="s">
        <v>639</v>
      </c>
      <c r="D37">
        <v>-30</v>
      </c>
      <c r="E37" t="s">
        <v>632</v>
      </c>
      <c r="F37" t="s">
        <v>687</v>
      </c>
      <c r="G37" s="125"/>
      <c r="H37" s="125"/>
      <c r="I37" s="125"/>
      <c r="J37" s="125"/>
    </row>
    <row r="38" spans="1:10" x14ac:dyDescent="0.2">
      <c r="A38" t="s">
        <v>921</v>
      </c>
      <c r="B38" s="152">
        <v>43262</v>
      </c>
      <c r="C38" t="s">
        <v>639</v>
      </c>
      <c r="D38">
        <v>-70</v>
      </c>
      <c r="E38" t="s">
        <v>570</v>
      </c>
      <c r="F38" t="s">
        <v>950</v>
      </c>
      <c r="G38" s="125"/>
      <c r="H38" s="125"/>
      <c r="I38" s="125"/>
      <c r="J38" s="125"/>
    </row>
    <row r="39" spans="1:10" x14ac:dyDescent="0.2">
      <c r="A39" t="s">
        <v>921</v>
      </c>
      <c r="B39" s="152">
        <v>43262</v>
      </c>
      <c r="C39" t="s">
        <v>639</v>
      </c>
      <c r="D39">
        <v>-58.53</v>
      </c>
      <c r="E39" t="s">
        <v>570</v>
      </c>
      <c r="F39" t="s">
        <v>951</v>
      </c>
      <c r="G39" s="125"/>
      <c r="H39" s="125"/>
      <c r="I39" s="125"/>
      <c r="J39" s="125"/>
    </row>
    <row r="40" spans="1:10" x14ac:dyDescent="0.2">
      <c r="A40" t="s">
        <v>921</v>
      </c>
      <c r="B40" s="152">
        <v>43262</v>
      </c>
      <c r="C40" t="s">
        <v>639</v>
      </c>
      <c r="D40">
        <v>-50.12</v>
      </c>
      <c r="E40" t="s">
        <v>570</v>
      </c>
      <c r="F40" t="s">
        <v>952</v>
      </c>
      <c r="G40" s="125"/>
      <c r="H40" s="125"/>
      <c r="I40" s="125"/>
      <c r="J40" s="125"/>
    </row>
    <row r="41" spans="1:10" x14ac:dyDescent="0.2">
      <c r="A41" t="s">
        <v>921</v>
      </c>
      <c r="B41" s="152">
        <v>43263</v>
      </c>
      <c r="C41" t="s">
        <v>639</v>
      </c>
      <c r="D41">
        <v>-15.26</v>
      </c>
      <c r="E41" t="s">
        <v>570</v>
      </c>
      <c r="F41" t="s">
        <v>953</v>
      </c>
      <c r="G41" s="125"/>
      <c r="H41" s="125"/>
      <c r="I41" s="125"/>
      <c r="J41" s="125"/>
    </row>
    <row r="42" spans="1:10" x14ac:dyDescent="0.2">
      <c r="A42" t="s">
        <v>921</v>
      </c>
      <c r="B42" s="152">
        <v>43263</v>
      </c>
      <c r="C42" t="s">
        <v>639</v>
      </c>
      <c r="D42">
        <v>-14.43</v>
      </c>
      <c r="E42" t="s">
        <v>570</v>
      </c>
      <c r="F42" t="s">
        <v>954</v>
      </c>
      <c r="G42" s="125"/>
      <c r="H42" s="125"/>
      <c r="I42" s="125"/>
      <c r="J42" s="125"/>
    </row>
    <row r="43" spans="1:10" x14ac:dyDescent="0.2">
      <c r="A43" t="s">
        <v>921</v>
      </c>
      <c r="B43" s="152">
        <v>43263</v>
      </c>
      <c r="C43" t="s">
        <v>639</v>
      </c>
      <c r="D43">
        <v>-50</v>
      </c>
      <c r="E43" t="s">
        <v>632</v>
      </c>
      <c r="F43" t="s">
        <v>955</v>
      </c>
      <c r="G43" s="125"/>
      <c r="H43" s="125"/>
      <c r="I43" s="125"/>
      <c r="J43" s="125"/>
    </row>
    <row r="44" spans="1:10" x14ac:dyDescent="0.2">
      <c r="A44" t="s">
        <v>921</v>
      </c>
      <c r="B44" s="152">
        <v>43263</v>
      </c>
      <c r="C44" t="s">
        <v>639</v>
      </c>
      <c r="D44">
        <v>-40.49</v>
      </c>
      <c r="E44" t="s">
        <v>570</v>
      </c>
      <c r="F44" t="s">
        <v>956</v>
      </c>
      <c r="G44" s="125"/>
      <c r="H44" s="125"/>
      <c r="I44" s="125"/>
      <c r="J44" s="125"/>
    </row>
    <row r="45" spans="1:10" x14ac:dyDescent="0.2">
      <c r="A45" t="s">
        <v>921</v>
      </c>
      <c r="B45" s="152">
        <v>43263</v>
      </c>
      <c r="C45" t="s">
        <v>639</v>
      </c>
      <c r="D45">
        <v>-40.369999999999997</v>
      </c>
      <c r="E45" t="s">
        <v>570</v>
      </c>
      <c r="F45" t="s">
        <v>957</v>
      </c>
      <c r="G45" s="125"/>
      <c r="H45" s="125"/>
      <c r="I45" s="125"/>
      <c r="J45" s="125"/>
    </row>
    <row r="46" spans="1:10" x14ac:dyDescent="0.2">
      <c r="A46" t="s">
        <v>921</v>
      </c>
      <c r="B46" s="152">
        <v>43264</v>
      </c>
      <c r="C46" t="s">
        <v>639</v>
      </c>
      <c r="D46">
        <v>260</v>
      </c>
      <c r="E46" t="s">
        <v>640</v>
      </c>
      <c r="F46" t="s">
        <v>641</v>
      </c>
      <c r="G46" s="125"/>
      <c r="H46" s="125"/>
      <c r="I46" s="125"/>
      <c r="J46" s="125"/>
    </row>
    <row r="47" spans="1:10" x14ac:dyDescent="0.2">
      <c r="A47" t="s">
        <v>921</v>
      </c>
      <c r="B47" s="152">
        <v>43264</v>
      </c>
      <c r="C47" t="s">
        <v>639</v>
      </c>
      <c r="D47">
        <v>-24.02</v>
      </c>
      <c r="E47" t="s">
        <v>570</v>
      </c>
      <c r="F47" t="s">
        <v>958</v>
      </c>
      <c r="G47" s="125"/>
      <c r="H47" s="125"/>
      <c r="I47" s="125"/>
      <c r="J47" s="125"/>
    </row>
    <row r="48" spans="1:10" x14ac:dyDescent="0.2">
      <c r="A48" t="s">
        <v>921</v>
      </c>
      <c r="B48" s="152">
        <v>43264</v>
      </c>
      <c r="C48" t="s">
        <v>639</v>
      </c>
      <c r="D48">
        <v>-21.13</v>
      </c>
      <c r="E48" t="s">
        <v>570</v>
      </c>
      <c r="F48" t="s">
        <v>959</v>
      </c>
      <c r="G48" s="125"/>
      <c r="H48" s="125"/>
      <c r="I48" s="125"/>
      <c r="J48" s="125"/>
    </row>
    <row r="49" spans="1:10" x14ac:dyDescent="0.2">
      <c r="A49" t="s">
        <v>921</v>
      </c>
      <c r="B49" s="152">
        <v>43264</v>
      </c>
      <c r="C49" t="s">
        <v>639</v>
      </c>
      <c r="D49">
        <v>-16.84</v>
      </c>
      <c r="E49" t="s">
        <v>570</v>
      </c>
      <c r="F49" t="s">
        <v>960</v>
      </c>
      <c r="G49" s="125"/>
      <c r="H49" s="125"/>
      <c r="I49" s="125"/>
      <c r="J49" s="125"/>
    </row>
    <row r="50" spans="1:10" x14ac:dyDescent="0.2">
      <c r="A50" t="s">
        <v>921</v>
      </c>
      <c r="B50" s="152">
        <v>43264</v>
      </c>
      <c r="C50" t="s">
        <v>639</v>
      </c>
      <c r="D50">
        <v>-9.99</v>
      </c>
      <c r="E50" t="s">
        <v>570</v>
      </c>
      <c r="F50" t="s">
        <v>961</v>
      </c>
      <c r="G50" s="125"/>
      <c r="H50" s="125"/>
      <c r="I50" s="125"/>
      <c r="J50" s="125"/>
    </row>
    <row r="51" spans="1:10" x14ac:dyDescent="0.2">
      <c r="A51" t="s">
        <v>921</v>
      </c>
      <c r="B51" s="152">
        <v>43264</v>
      </c>
      <c r="C51" t="s">
        <v>639</v>
      </c>
      <c r="D51">
        <v>-5.85</v>
      </c>
      <c r="E51" t="s">
        <v>570</v>
      </c>
      <c r="F51" t="s">
        <v>959</v>
      </c>
      <c r="G51" s="125"/>
      <c r="H51" s="125"/>
      <c r="I51" s="125"/>
      <c r="J51" s="125"/>
    </row>
    <row r="52" spans="1:10" x14ac:dyDescent="0.2">
      <c r="A52" t="s">
        <v>921</v>
      </c>
      <c r="B52" s="152">
        <v>43264</v>
      </c>
      <c r="C52" t="s">
        <v>639</v>
      </c>
      <c r="D52">
        <v>-3.75</v>
      </c>
      <c r="E52" t="s">
        <v>570</v>
      </c>
      <c r="F52" t="s">
        <v>962</v>
      </c>
      <c r="G52" s="125"/>
      <c r="H52" s="125"/>
      <c r="I52" s="125"/>
      <c r="J52" s="125"/>
    </row>
    <row r="53" spans="1:10" x14ac:dyDescent="0.2">
      <c r="A53" t="s">
        <v>921</v>
      </c>
      <c r="B53" s="152">
        <v>43264</v>
      </c>
      <c r="C53" t="s">
        <v>639</v>
      </c>
      <c r="D53">
        <v>-32.020000000000003</v>
      </c>
      <c r="E53" t="s">
        <v>570</v>
      </c>
      <c r="F53" t="s">
        <v>963</v>
      </c>
      <c r="G53" s="125"/>
      <c r="H53" s="125"/>
      <c r="I53" s="125"/>
      <c r="J53" s="125"/>
    </row>
    <row r="54" spans="1:10" x14ac:dyDescent="0.2">
      <c r="A54" t="s">
        <v>921</v>
      </c>
      <c r="B54" s="152">
        <v>43264</v>
      </c>
      <c r="C54" t="s">
        <v>639</v>
      </c>
      <c r="D54">
        <v>-3.98</v>
      </c>
      <c r="E54" t="s">
        <v>570</v>
      </c>
      <c r="F54" t="s">
        <v>642</v>
      </c>
      <c r="G54" s="125"/>
      <c r="H54" s="125"/>
      <c r="I54" s="125"/>
      <c r="J54" s="125"/>
    </row>
    <row r="55" spans="1:10" x14ac:dyDescent="0.2">
      <c r="A55" t="s">
        <v>921</v>
      </c>
      <c r="B55" s="152">
        <v>43264</v>
      </c>
      <c r="C55" t="s">
        <v>639</v>
      </c>
      <c r="D55">
        <v>-0.79</v>
      </c>
      <c r="E55" t="s">
        <v>570</v>
      </c>
      <c r="F55" t="s">
        <v>642</v>
      </c>
      <c r="G55" s="125"/>
      <c r="H55" s="125"/>
      <c r="I55" s="125"/>
      <c r="J55" s="125"/>
    </row>
    <row r="56" spans="1:10" x14ac:dyDescent="0.2">
      <c r="A56" t="s">
        <v>921</v>
      </c>
      <c r="B56" s="152">
        <v>43265</v>
      </c>
      <c r="C56" t="s">
        <v>639</v>
      </c>
      <c r="D56">
        <v>-25.01</v>
      </c>
      <c r="E56" t="s">
        <v>570</v>
      </c>
      <c r="F56" t="s">
        <v>964</v>
      </c>
      <c r="G56" s="125"/>
      <c r="H56" s="125"/>
      <c r="I56" s="125"/>
      <c r="J56" s="125"/>
    </row>
    <row r="57" spans="1:10" x14ac:dyDescent="0.2">
      <c r="A57" t="s">
        <v>921</v>
      </c>
      <c r="B57" s="152">
        <v>43265</v>
      </c>
      <c r="C57" t="s">
        <v>639</v>
      </c>
      <c r="D57">
        <v>-2</v>
      </c>
      <c r="E57" t="s">
        <v>570</v>
      </c>
      <c r="F57" t="s">
        <v>965</v>
      </c>
      <c r="G57" s="125"/>
      <c r="H57" s="125"/>
      <c r="I57" s="125"/>
      <c r="J57" s="125"/>
    </row>
    <row r="58" spans="1:10" x14ac:dyDescent="0.2">
      <c r="A58" t="s">
        <v>921</v>
      </c>
      <c r="B58" s="152">
        <v>43265</v>
      </c>
      <c r="C58" t="s">
        <v>639</v>
      </c>
      <c r="D58">
        <v>-9.99</v>
      </c>
      <c r="E58" t="s">
        <v>570</v>
      </c>
      <c r="F58" t="s">
        <v>642</v>
      </c>
      <c r="G58" s="125"/>
      <c r="H58" s="125"/>
      <c r="I58" s="125"/>
      <c r="J58" s="125"/>
    </row>
    <row r="59" spans="1:10" x14ac:dyDescent="0.2">
      <c r="A59" t="s">
        <v>921</v>
      </c>
      <c r="B59" s="152">
        <v>43265</v>
      </c>
      <c r="C59" t="s">
        <v>639</v>
      </c>
      <c r="D59">
        <v>-4.99</v>
      </c>
      <c r="E59" t="s">
        <v>570</v>
      </c>
      <c r="F59" t="s">
        <v>642</v>
      </c>
      <c r="G59" s="125"/>
      <c r="H59" s="125"/>
      <c r="I59" s="125"/>
      <c r="J59" s="125"/>
    </row>
    <row r="60" spans="1:10" x14ac:dyDescent="0.2">
      <c r="A60" t="s">
        <v>921</v>
      </c>
      <c r="B60" s="152">
        <v>43266</v>
      </c>
      <c r="C60" t="s">
        <v>639</v>
      </c>
      <c r="D60">
        <v>300</v>
      </c>
      <c r="E60" t="s">
        <v>640</v>
      </c>
      <c r="F60" t="s">
        <v>641</v>
      </c>
      <c r="G60" s="125"/>
      <c r="H60" s="125"/>
      <c r="I60" s="125"/>
      <c r="J60" s="125"/>
    </row>
    <row r="61" spans="1:10" x14ac:dyDescent="0.2">
      <c r="A61" t="s">
        <v>921</v>
      </c>
      <c r="B61" s="152">
        <v>43266</v>
      </c>
      <c r="C61" t="s">
        <v>639</v>
      </c>
      <c r="D61">
        <v>11</v>
      </c>
      <c r="E61" t="s">
        <v>630</v>
      </c>
      <c r="F61" t="s">
        <v>966</v>
      </c>
      <c r="G61" s="125"/>
      <c r="H61" s="125"/>
      <c r="I61" s="125"/>
      <c r="J61" s="125"/>
    </row>
    <row r="62" spans="1:10" x14ac:dyDescent="0.2">
      <c r="A62" t="s">
        <v>921</v>
      </c>
      <c r="B62" s="152">
        <v>43266</v>
      </c>
      <c r="C62" t="s">
        <v>639</v>
      </c>
      <c r="D62">
        <v>-3.1</v>
      </c>
      <c r="E62" t="s">
        <v>570</v>
      </c>
      <c r="F62" t="s">
        <v>967</v>
      </c>
      <c r="G62" s="125"/>
      <c r="H62" s="125"/>
      <c r="I62" s="125"/>
      <c r="J62" s="125"/>
    </row>
    <row r="63" spans="1:10" x14ac:dyDescent="0.2">
      <c r="A63" t="s">
        <v>921</v>
      </c>
      <c r="B63" s="152">
        <v>43266</v>
      </c>
      <c r="C63" t="s">
        <v>639</v>
      </c>
      <c r="D63">
        <v>-2.79</v>
      </c>
      <c r="E63" t="s">
        <v>570</v>
      </c>
      <c r="F63" t="s">
        <v>968</v>
      </c>
      <c r="G63" s="125"/>
      <c r="H63" s="125"/>
      <c r="I63" s="125"/>
      <c r="J63" s="125"/>
    </row>
    <row r="64" spans="1:10" x14ac:dyDescent="0.2">
      <c r="A64" t="s">
        <v>921</v>
      </c>
      <c r="B64" s="152">
        <v>43266</v>
      </c>
      <c r="C64" t="s">
        <v>639</v>
      </c>
      <c r="D64">
        <v>-74.2</v>
      </c>
      <c r="E64" t="s">
        <v>570</v>
      </c>
      <c r="F64" t="s">
        <v>969</v>
      </c>
      <c r="G64" s="125"/>
      <c r="H64" s="125"/>
      <c r="I64" s="125"/>
      <c r="J64" s="125"/>
    </row>
    <row r="65" spans="1:10" x14ac:dyDescent="0.2">
      <c r="A65" t="s">
        <v>921</v>
      </c>
      <c r="B65" s="152">
        <v>43266</v>
      </c>
      <c r="C65" t="s">
        <v>639</v>
      </c>
      <c r="D65">
        <v>-67.92</v>
      </c>
      <c r="E65" t="s">
        <v>570</v>
      </c>
      <c r="F65" t="s">
        <v>686</v>
      </c>
      <c r="G65" s="125"/>
      <c r="H65" s="125"/>
      <c r="I65" s="125"/>
      <c r="J65" s="125"/>
    </row>
    <row r="66" spans="1:10" x14ac:dyDescent="0.2">
      <c r="A66" t="s">
        <v>921</v>
      </c>
      <c r="B66" s="152">
        <v>43266</v>
      </c>
      <c r="C66" t="s">
        <v>639</v>
      </c>
      <c r="D66">
        <v>-53.99</v>
      </c>
      <c r="E66" t="s">
        <v>570</v>
      </c>
      <c r="F66" t="s">
        <v>970</v>
      </c>
      <c r="G66" s="125"/>
      <c r="H66" s="125"/>
      <c r="I66" s="125"/>
      <c r="J66" s="125"/>
    </row>
    <row r="67" spans="1:10" x14ac:dyDescent="0.2">
      <c r="A67" t="s">
        <v>921</v>
      </c>
      <c r="B67" s="152">
        <v>43266</v>
      </c>
      <c r="C67" t="s">
        <v>639</v>
      </c>
      <c r="D67">
        <v>-9.99</v>
      </c>
      <c r="E67" t="s">
        <v>570</v>
      </c>
      <c r="F67" t="s">
        <v>642</v>
      </c>
      <c r="G67" s="125"/>
      <c r="H67" s="125"/>
      <c r="I67" s="125"/>
      <c r="J67" s="125"/>
    </row>
    <row r="68" spans="1:10" x14ac:dyDescent="0.2">
      <c r="A68" t="s">
        <v>921</v>
      </c>
      <c r="B68" s="152">
        <v>43266</v>
      </c>
      <c r="C68" t="s">
        <v>639</v>
      </c>
      <c r="D68">
        <v>-61.5</v>
      </c>
      <c r="E68" t="s">
        <v>579</v>
      </c>
      <c r="F68" t="s">
        <v>643</v>
      </c>
      <c r="G68" s="125"/>
      <c r="H68" s="125"/>
      <c r="I68" s="125"/>
      <c r="J68" s="125"/>
    </row>
    <row r="69" spans="1:10" x14ac:dyDescent="0.2">
      <c r="A69" t="s">
        <v>921</v>
      </c>
      <c r="B69" s="152">
        <v>43269</v>
      </c>
      <c r="C69" t="s">
        <v>639</v>
      </c>
      <c r="D69">
        <v>240</v>
      </c>
      <c r="E69" t="s">
        <v>640</v>
      </c>
      <c r="F69" t="s">
        <v>641</v>
      </c>
      <c r="G69" s="125"/>
      <c r="H69" s="125"/>
      <c r="I69" s="125"/>
      <c r="J69" s="125"/>
    </row>
    <row r="70" spans="1:10" x14ac:dyDescent="0.2">
      <c r="A70" t="s">
        <v>921</v>
      </c>
      <c r="B70" s="152">
        <v>43269</v>
      </c>
      <c r="C70" t="s">
        <v>639</v>
      </c>
      <c r="D70">
        <v>-28.41</v>
      </c>
      <c r="E70" t="s">
        <v>570</v>
      </c>
      <c r="F70" t="s">
        <v>971</v>
      </c>
      <c r="G70" s="125"/>
      <c r="H70" s="125"/>
      <c r="I70" s="125"/>
      <c r="J70" s="125"/>
    </row>
    <row r="71" spans="1:10" x14ac:dyDescent="0.2">
      <c r="A71" t="s">
        <v>921</v>
      </c>
      <c r="B71" s="152">
        <v>43269</v>
      </c>
      <c r="C71" t="s">
        <v>639</v>
      </c>
      <c r="D71">
        <v>-16.05</v>
      </c>
      <c r="E71" t="s">
        <v>570</v>
      </c>
      <c r="F71" t="s">
        <v>971</v>
      </c>
      <c r="G71" s="125"/>
      <c r="H71" s="125"/>
      <c r="I71" s="125"/>
      <c r="J71" s="125"/>
    </row>
    <row r="72" spans="1:10" x14ac:dyDescent="0.2">
      <c r="A72" t="s">
        <v>921</v>
      </c>
      <c r="B72" s="152">
        <v>43269</v>
      </c>
      <c r="C72" t="s">
        <v>639</v>
      </c>
      <c r="D72">
        <v>-13.75</v>
      </c>
      <c r="E72" t="s">
        <v>570</v>
      </c>
      <c r="F72" t="s">
        <v>971</v>
      </c>
      <c r="G72" s="125"/>
      <c r="H72" s="125"/>
      <c r="I72" s="125"/>
      <c r="J72" s="125"/>
    </row>
    <row r="73" spans="1:10" x14ac:dyDescent="0.2">
      <c r="A73" t="s">
        <v>921</v>
      </c>
      <c r="B73" s="152">
        <v>43269</v>
      </c>
      <c r="C73" t="s">
        <v>639</v>
      </c>
      <c r="D73">
        <v>-6.94</v>
      </c>
      <c r="E73" t="s">
        <v>570</v>
      </c>
      <c r="F73" t="s">
        <v>972</v>
      </c>
      <c r="G73" s="125"/>
      <c r="H73" s="125"/>
      <c r="I73" s="125"/>
      <c r="J73" s="125"/>
    </row>
    <row r="74" spans="1:10" x14ac:dyDescent="0.2">
      <c r="A74" t="s">
        <v>921</v>
      </c>
      <c r="B74" s="152">
        <v>43269</v>
      </c>
      <c r="C74" t="s">
        <v>639</v>
      </c>
      <c r="D74">
        <v>-106</v>
      </c>
      <c r="E74" t="s">
        <v>570</v>
      </c>
      <c r="F74" t="s">
        <v>973</v>
      </c>
      <c r="G74" s="125"/>
      <c r="H74" s="125"/>
      <c r="I74" s="125"/>
      <c r="J74" s="125"/>
    </row>
    <row r="75" spans="1:10" x14ac:dyDescent="0.2">
      <c r="A75" t="s">
        <v>921</v>
      </c>
      <c r="B75" s="152">
        <v>43269</v>
      </c>
      <c r="C75" t="s">
        <v>639</v>
      </c>
      <c r="D75">
        <v>-44.05</v>
      </c>
      <c r="E75" t="s">
        <v>570</v>
      </c>
      <c r="F75" t="s">
        <v>974</v>
      </c>
      <c r="G75" s="125"/>
      <c r="H75" s="125"/>
      <c r="I75" s="125"/>
      <c r="J75" s="125"/>
    </row>
    <row r="76" spans="1:10" x14ac:dyDescent="0.2">
      <c r="A76" t="s">
        <v>921</v>
      </c>
      <c r="B76" s="152">
        <v>43269</v>
      </c>
      <c r="C76" t="s">
        <v>639</v>
      </c>
      <c r="D76">
        <v>-40.24</v>
      </c>
      <c r="E76" t="s">
        <v>570</v>
      </c>
      <c r="F76" t="s">
        <v>975</v>
      </c>
      <c r="G76" s="125"/>
      <c r="H76" s="125"/>
      <c r="I76" s="125"/>
      <c r="J76" s="125"/>
    </row>
    <row r="77" spans="1:10" x14ac:dyDescent="0.2">
      <c r="A77" t="s">
        <v>921</v>
      </c>
      <c r="B77" s="152">
        <v>43269</v>
      </c>
      <c r="C77" t="s">
        <v>639</v>
      </c>
      <c r="D77">
        <v>-17</v>
      </c>
      <c r="E77" t="s">
        <v>570</v>
      </c>
      <c r="F77" s="56" t="s">
        <v>1013</v>
      </c>
      <c r="G77" s="125"/>
      <c r="H77" s="125"/>
      <c r="I77" s="125"/>
      <c r="J77" s="125"/>
    </row>
    <row r="78" spans="1:10" x14ac:dyDescent="0.2">
      <c r="A78" t="s">
        <v>921</v>
      </c>
      <c r="B78" s="152">
        <v>43269</v>
      </c>
      <c r="C78" t="s">
        <v>639</v>
      </c>
      <c r="D78">
        <v>-4.18</v>
      </c>
      <c r="E78" t="s">
        <v>570</v>
      </c>
      <c r="F78" t="s">
        <v>976</v>
      </c>
      <c r="G78" s="125"/>
      <c r="H78" s="125"/>
      <c r="I78" s="125"/>
      <c r="J78" s="125"/>
    </row>
    <row r="79" spans="1:10" x14ac:dyDescent="0.2">
      <c r="A79" t="s">
        <v>921</v>
      </c>
      <c r="B79" s="152">
        <v>43270</v>
      </c>
      <c r="C79" t="s">
        <v>639</v>
      </c>
      <c r="D79">
        <v>-9.85</v>
      </c>
      <c r="E79" t="s">
        <v>570</v>
      </c>
      <c r="F79" t="s">
        <v>977</v>
      </c>
      <c r="G79" s="125"/>
      <c r="H79" s="125"/>
      <c r="I79" s="125"/>
      <c r="J79" s="125"/>
    </row>
    <row r="80" spans="1:10" x14ac:dyDescent="0.2">
      <c r="A80" t="s">
        <v>921</v>
      </c>
      <c r="B80" s="152">
        <v>43270</v>
      </c>
      <c r="C80" t="s">
        <v>639</v>
      </c>
      <c r="D80">
        <v>-2.79</v>
      </c>
      <c r="E80" t="s">
        <v>570</v>
      </c>
      <c r="F80" t="s">
        <v>978</v>
      </c>
      <c r="G80" s="125"/>
      <c r="H80" s="125"/>
      <c r="I80" s="125"/>
      <c r="J80" s="125"/>
    </row>
    <row r="81" spans="1:10" x14ac:dyDescent="0.2">
      <c r="A81" t="s">
        <v>921</v>
      </c>
      <c r="B81" s="152">
        <v>43270</v>
      </c>
      <c r="C81" t="s">
        <v>639</v>
      </c>
      <c r="D81">
        <v>-65.099999999999994</v>
      </c>
      <c r="E81" t="s">
        <v>570</v>
      </c>
      <c r="F81" t="s">
        <v>979</v>
      </c>
      <c r="G81" s="125"/>
      <c r="H81" s="125"/>
      <c r="I81" s="125"/>
      <c r="J81" s="125"/>
    </row>
    <row r="82" spans="1:10" x14ac:dyDescent="0.2">
      <c r="A82" t="s">
        <v>921</v>
      </c>
      <c r="B82" s="152">
        <v>43270</v>
      </c>
      <c r="C82" t="s">
        <v>639</v>
      </c>
      <c r="D82">
        <v>-48.54</v>
      </c>
      <c r="E82" t="s">
        <v>570</v>
      </c>
      <c r="F82" t="s">
        <v>980</v>
      </c>
      <c r="G82" s="125"/>
      <c r="H82" s="125"/>
      <c r="I82" s="125"/>
      <c r="J82" s="125"/>
    </row>
    <row r="83" spans="1:10" x14ac:dyDescent="0.2">
      <c r="A83" t="s">
        <v>921</v>
      </c>
      <c r="B83" s="152">
        <v>43270</v>
      </c>
      <c r="C83" t="s">
        <v>639</v>
      </c>
      <c r="D83">
        <v>-43.31</v>
      </c>
      <c r="E83" t="s">
        <v>570</v>
      </c>
      <c r="F83" t="s">
        <v>981</v>
      </c>
      <c r="G83" s="125"/>
      <c r="H83" s="125"/>
      <c r="I83" s="125"/>
      <c r="J83" s="125"/>
    </row>
    <row r="84" spans="1:10" x14ac:dyDescent="0.2">
      <c r="A84" t="s">
        <v>921</v>
      </c>
      <c r="B84" s="152">
        <v>43271</v>
      </c>
      <c r="C84" t="s">
        <v>639</v>
      </c>
      <c r="D84">
        <v>-29.43</v>
      </c>
      <c r="E84" t="s">
        <v>570</v>
      </c>
      <c r="F84" t="s">
        <v>982</v>
      </c>
      <c r="G84" s="125"/>
      <c r="H84" s="125"/>
      <c r="I84" s="125"/>
      <c r="J84" s="125"/>
    </row>
    <row r="85" spans="1:10" x14ac:dyDescent="0.2">
      <c r="A85" t="s">
        <v>921</v>
      </c>
      <c r="B85" s="152">
        <v>43271</v>
      </c>
      <c r="C85" t="s">
        <v>639</v>
      </c>
      <c r="D85">
        <v>-26.72</v>
      </c>
      <c r="E85" t="s">
        <v>570</v>
      </c>
      <c r="F85" t="s">
        <v>983</v>
      </c>
      <c r="G85" s="125"/>
      <c r="H85" s="125"/>
      <c r="I85" s="125"/>
      <c r="J85" s="125"/>
    </row>
    <row r="86" spans="1:10" x14ac:dyDescent="0.2">
      <c r="A86" t="s">
        <v>921</v>
      </c>
      <c r="B86" s="152">
        <v>43271</v>
      </c>
      <c r="C86" t="s">
        <v>639</v>
      </c>
      <c r="D86">
        <v>-12.17</v>
      </c>
      <c r="E86" t="s">
        <v>570</v>
      </c>
      <c r="F86" t="s">
        <v>984</v>
      </c>
      <c r="G86" s="125"/>
      <c r="H86" s="125"/>
      <c r="I86" s="125"/>
      <c r="J86" s="125"/>
    </row>
    <row r="87" spans="1:10" x14ac:dyDescent="0.2">
      <c r="A87" t="s">
        <v>921</v>
      </c>
      <c r="B87" s="152">
        <v>43271</v>
      </c>
      <c r="C87" t="s">
        <v>639</v>
      </c>
      <c r="D87">
        <v>-2.2999999999999998</v>
      </c>
      <c r="E87" t="s">
        <v>570</v>
      </c>
      <c r="F87" t="s">
        <v>985</v>
      </c>
      <c r="G87" s="125"/>
      <c r="H87" s="125"/>
      <c r="I87" s="125"/>
      <c r="J87" s="125"/>
    </row>
    <row r="88" spans="1:10" x14ac:dyDescent="0.2">
      <c r="A88" t="s">
        <v>921</v>
      </c>
      <c r="B88" s="152">
        <v>43272</v>
      </c>
      <c r="C88" t="s">
        <v>639</v>
      </c>
      <c r="D88">
        <v>300</v>
      </c>
      <c r="E88" t="s">
        <v>640</v>
      </c>
      <c r="F88" t="s">
        <v>641</v>
      </c>
      <c r="G88" s="125"/>
      <c r="H88" s="125"/>
      <c r="I88" s="125"/>
      <c r="J88" s="125"/>
    </row>
    <row r="89" spans="1:10" x14ac:dyDescent="0.2">
      <c r="A89" t="s">
        <v>921</v>
      </c>
      <c r="B89" s="152">
        <v>43272</v>
      </c>
      <c r="C89" t="s">
        <v>639</v>
      </c>
      <c r="D89">
        <v>-2.2999999999999998</v>
      </c>
      <c r="E89" t="s">
        <v>570</v>
      </c>
      <c r="F89" t="s">
        <v>986</v>
      </c>
      <c r="G89" s="125"/>
      <c r="H89" s="125"/>
      <c r="I89" s="125"/>
      <c r="J89" s="125"/>
    </row>
    <row r="90" spans="1:10" x14ac:dyDescent="0.2">
      <c r="A90" t="s">
        <v>921</v>
      </c>
      <c r="B90" s="152">
        <v>43272</v>
      </c>
      <c r="C90" t="s">
        <v>639</v>
      </c>
      <c r="D90">
        <v>-4.99</v>
      </c>
      <c r="E90" t="s">
        <v>570</v>
      </c>
      <c r="F90" t="s">
        <v>642</v>
      </c>
      <c r="G90" s="125"/>
      <c r="H90" s="125"/>
      <c r="I90" s="125"/>
      <c r="J90" s="125"/>
    </row>
    <row r="91" spans="1:10" x14ac:dyDescent="0.2">
      <c r="A91" t="s">
        <v>921</v>
      </c>
      <c r="B91" s="152">
        <v>43273</v>
      </c>
      <c r="C91" t="s">
        <v>639</v>
      </c>
      <c r="D91">
        <v>-26.6</v>
      </c>
      <c r="E91" t="s">
        <v>570</v>
      </c>
      <c r="F91" t="s">
        <v>987</v>
      </c>
      <c r="G91" s="125"/>
      <c r="H91" s="125"/>
      <c r="I91" s="125"/>
      <c r="J91" s="125"/>
    </row>
    <row r="92" spans="1:10" x14ac:dyDescent="0.2">
      <c r="A92" t="s">
        <v>921</v>
      </c>
      <c r="B92" s="152">
        <v>43276</v>
      </c>
      <c r="C92" t="s">
        <v>639</v>
      </c>
      <c r="D92">
        <v>220</v>
      </c>
      <c r="E92" t="s">
        <v>640</v>
      </c>
      <c r="F92" t="s">
        <v>641</v>
      </c>
      <c r="G92" s="125"/>
      <c r="H92" s="125"/>
      <c r="I92" s="125"/>
      <c r="J92" s="125"/>
    </row>
    <row r="93" spans="1:10" x14ac:dyDescent="0.2">
      <c r="A93" t="s">
        <v>921</v>
      </c>
      <c r="B93" s="152">
        <v>43276</v>
      </c>
      <c r="C93" t="s">
        <v>639</v>
      </c>
      <c r="D93">
        <v>-17.670000000000002</v>
      </c>
      <c r="E93" t="s">
        <v>570</v>
      </c>
      <c r="F93" t="s">
        <v>988</v>
      </c>
      <c r="G93" s="125"/>
      <c r="H93" s="125"/>
      <c r="I93" s="125"/>
      <c r="J93" s="125"/>
    </row>
    <row r="94" spans="1:10" x14ac:dyDescent="0.2">
      <c r="A94" t="s">
        <v>921</v>
      </c>
      <c r="B94" s="152">
        <v>43276</v>
      </c>
      <c r="C94" t="s">
        <v>639</v>
      </c>
      <c r="D94">
        <v>-13.3</v>
      </c>
      <c r="E94" t="s">
        <v>570</v>
      </c>
      <c r="F94" t="s">
        <v>989</v>
      </c>
      <c r="G94" s="125"/>
      <c r="H94" s="125"/>
      <c r="I94" s="125"/>
      <c r="J94" s="125"/>
    </row>
    <row r="95" spans="1:10" x14ac:dyDescent="0.2">
      <c r="A95" t="s">
        <v>921</v>
      </c>
      <c r="B95" s="152">
        <v>43276</v>
      </c>
      <c r="C95" t="s">
        <v>639</v>
      </c>
      <c r="D95">
        <v>-2.2999999999999998</v>
      </c>
      <c r="E95" t="s">
        <v>570</v>
      </c>
      <c r="F95" t="s">
        <v>990</v>
      </c>
      <c r="G95" s="125"/>
      <c r="H95" s="125"/>
      <c r="I95" s="125"/>
      <c r="J95" s="125"/>
    </row>
    <row r="96" spans="1:10" x14ac:dyDescent="0.2">
      <c r="A96" t="s">
        <v>921</v>
      </c>
      <c r="B96" s="152">
        <v>43276</v>
      </c>
      <c r="C96" t="s">
        <v>639</v>
      </c>
      <c r="D96">
        <v>-43.88</v>
      </c>
      <c r="E96" t="s">
        <v>570</v>
      </c>
      <c r="F96" t="s">
        <v>991</v>
      </c>
      <c r="G96" s="125"/>
      <c r="H96" s="125"/>
      <c r="I96" s="125"/>
      <c r="J96" s="125"/>
    </row>
    <row r="97" spans="1:10" x14ac:dyDescent="0.2">
      <c r="A97" t="s">
        <v>921</v>
      </c>
      <c r="B97" s="152">
        <v>43276</v>
      </c>
      <c r="C97" t="s">
        <v>639</v>
      </c>
      <c r="D97">
        <v>-43.73</v>
      </c>
      <c r="E97" t="s">
        <v>570</v>
      </c>
      <c r="F97" t="s">
        <v>992</v>
      </c>
      <c r="G97" s="125"/>
      <c r="H97" s="125"/>
      <c r="I97" s="125"/>
      <c r="J97" s="125"/>
    </row>
    <row r="98" spans="1:10" x14ac:dyDescent="0.2">
      <c r="A98" t="s">
        <v>921</v>
      </c>
      <c r="B98" s="152">
        <v>43276</v>
      </c>
      <c r="C98" t="s">
        <v>639</v>
      </c>
      <c r="D98">
        <v>-9.99</v>
      </c>
      <c r="E98" t="s">
        <v>570</v>
      </c>
      <c r="F98" t="s">
        <v>642</v>
      </c>
      <c r="G98" s="125"/>
      <c r="H98" s="125"/>
      <c r="I98" s="125"/>
      <c r="J98" s="125"/>
    </row>
    <row r="99" spans="1:10" x14ac:dyDescent="0.2">
      <c r="A99" t="s">
        <v>921</v>
      </c>
      <c r="B99" s="152">
        <v>43276</v>
      </c>
      <c r="C99" t="s">
        <v>639</v>
      </c>
      <c r="D99">
        <v>-9.99</v>
      </c>
      <c r="E99" t="s">
        <v>570</v>
      </c>
      <c r="F99" t="s">
        <v>642</v>
      </c>
      <c r="G99" s="125"/>
      <c r="H99" s="125"/>
      <c r="I99" s="125"/>
      <c r="J99" s="125"/>
    </row>
    <row r="100" spans="1:10" x14ac:dyDescent="0.2">
      <c r="A100" t="s">
        <v>921</v>
      </c>
      <c r="B100" s="152">
        <v>43277</v>
      </c>
      <c r="C100" t="s">
        <v>639</v>
      </c>
      <c r="D100">
        <v>6</v>
      </c>
      <c r="E100" t="s">
        <v>602</v>
      </c>
      <c r="F100" t="s">
        <v>993</v>
      </c>
      <c r="G100" s="125"/>
      <c r="H100" s="125"/>
      <c r="I100" s="125"/>
      <c r="J100" s="125"/>
    </row>
    <row r="101" spans="1:10" x14ac:dyDescent="0.2">
      <c r="A101" t="s">
        <v>921</v>
      </c>
      <c r="B101" s="152">
        <v>43277</v>
      </c>
      <c r="C101" t="s">
        <v>639</v>
      </c>
      <c r="D101">
        <v>-25.1</v>
      </c>
      <c r="E101" t="s">
        <v>570</v>
      </c>
      <c r="F101" t="s">
        <v>994</v>
      </c>
      <c r="G101" s="125"/>
      <c r="H101" s="125"/>
      <c r="I101" s="125"/>
      <c r="J101" s="125"/>
    </row>
    <row r="102" spans="1:10" x14ac:dyDescent="0.2">
      <c r="A102" t="s">
        <v>921</v>
      </c>
      <c r="B102" s="152">
        <v>43277</v>
      </c>
      <c r="C102" t="s">
        <v>639</v>
      </c>
      <c r="D102">
        <v>-5.25</v>
      </c>
      <c r="E102" t="s">
        <v>570</v>
      </c>
      <c r="F102" t="s">
        <v>995</v>
      </c>
      <c r="G102" s="125"/>
      <c r="H102" s="125"/>
      <c r="I102" s="125"/>
      <c r="J102" s="125"/>
    </row>
    <row r="103" spans="1:10" x14ac:dyDescent="0.2">
      <c r="A103" t="s">
        <v>921</v>
      </c>
      <c r="B103" s="152">
        <v>43277</v>
      </c>
      <c r="C103" t="s">
        <v>639</v>
      </c>
      <c r="D103">
        <v>-5.05</v>
      </c>
      <c r="E103" t="s">
        <v>570</v>
      </c>
      <c r="F103" t="s">
        <v>996</v>
      </c>
      <c r="G103" s="125"/>
      <c r="H103" s="125"/>
      <c r="I103" s="125"/>
      <c r="J103" s="125"/>
    </row>
    <row r="104" spans="1:10" x14ac:dyDescent="0.2">
      <c r="A104" t="s">
        <v>921</v>
      </c>
      <c r="B104" s="152">
        <v>43277</v>
      </c>
      <c r="C104" t="s">
        <v>639</v>
      </c>
      <c r="D104">
        <v>-2.95</v>
      </c>
      <c r="E104" t="s">
        <v>570</v>
      </c>
      <c r="F104" t="s">
        <v>996</v>
      </c>
      <c r="G104" s="125"/>
      <c r="H104" s="125"/>
      <c r="I104" s="125"/>
      <c r="J104" s="125"/>
    </row>
    <row r="105" spans="1:10" x14ac:dyDescent="0.2">
      <c r="A105" t="s">
        <v>921</v>
      </c>
      <c r="B105" s="152">
        <v>43277</v>
      </c>
      <c r="C105" t="s">
        <v>639</v>
      </c>
      <c r="D105">
        <v>-73</v>
      </c>
      <c r="E105" t="s">
        <v>570</v>
      </c>
      <c r="F105" t="s">
        <v>997</v>
      </c>
      <c r="G105" s="125"/>
      <c r="H105" s="125"/>
      <c r="I105" s="125"/>
      <c r="J105" s="125"/>
    </row>
    <row r="106" spans="1:10" x14ac:dyDescent="0.2">
      <c r="A106" t="s">
        <v>921</v>
      </c>
      <c r="B106" s="152">
        <v>43277</v>
      </c>
      <c r="C106" t="s">
        <v>639</v>
      </c>
      <c r="D106">
        <v>-46.78</v>
      </c>
      <c r="E106" t="s">
        <v>570</v>
      </c>
      <c r="F106" t="s">
        <v>998</v>
      </c>
      <c r="G106" s="125"/>
      <c r="H106" s="125"/>
      <c r="I106" s="125"/>
      <c r="J106" s="125"/>
    </row>
    <row r="107" spans="1:10" x14ac:dyDescent="0.2">
      <c r="A107" t="s">
        <v>921</v>
      </c>
      <c r="B107" s="152">
        <v>43277</v>
      </c>
      <c r="C107" t="s">
        <v>639</v>
      </c>
      <c r="D107">
        <v>-33.1</v>
      </c>
      <c r="E107" t="s">
        <v>570</v>
      </c>
      <c r="F107" t="s">
        <v>993</v>
      </c>
      <c r="G107" s="125"/>
      <c r="H107" s="125"/>
      <c r="I107" s="125"/>
      <c r="J107" s="125"/>
    </row>
    <row r="108" spans="1:10" x14ac:dyDescent="0.2">
      <c r="A108" t="s">
        <v>921</v>
      </c>
      <c r="B108" s="152">
        <v>43277</v>
      </c>
      <c r="C108" t="s">
        <v>639</v>
      </c>
      <c r="D108">
        <v>-1.8</v>
      </c>
      <c r="E108" t="s">
        <v>570</v>
      </c>
      <c r="F108" t="s">
        <v>999</v>
      </c>
      <c r="G108" s="125"/>
      <c r="H108" s="125"/>
      <c r="I108" s="125"/>
      <c r="J108" s="125"/>
    </row>
    <row r="109" spans="1:10" x14ac:dyDescent="0.2">
      <c r="A109" t="s">
        <v>921</v>
      </c>
      <c r="B109" s="152">
        <v>43278</v>
      </c>
      <c r="C109" t="s">
        <v>639</v>
      </c>
      <c r="D109">
        <v>1200</v>
      </c>
      <c r="E109" t="s">
        <v>644</v>
      </c>
      <c r="F109" t="s">
        <v>645</v>
      </c>
      <c r="G109" s="125"/>
      <c r="H109" s="125"/>
      <c r="I109" s="125"/>
      <c r="J109" s="125"/>
    </row>
    <row r="110" spans="1:10" x14ac:dyDescent="0.2">
      <c r="A110" t="s">
        <v>921</v>
      </c>
      <c r="B110" s="152">
        <v>43278</v>
      </c>
      <c r="C110" t="s">
        <v>639</v>
      </c>
      <c r="D110">
        <v>-26.15</v>
      </c>
      <c r="E110" t="s">
        <v>570</v>
      </c>
      <c r="F110" t="s">
        <v>1000</v>
      </c>
      <c r="G110" s="125"/>
      <c r="H110" s="125"/>
      <c r="I110" s="125"/>
      <c r="J110" s="125"/>
    </row>
    <row r="111" spans="1:10" x14ac:dyDescent="0.2">
      <c r="A111" t="s">
        <v>921</v>
      </c>
      <c r="B111" s="152">
        <v>43278</v>
      </c>
      <c r="C111" t="s">
        <v>639</v>
      </c>
      <c r="D111">
        <v>-2.2999999999999998</v>
      </c>
      <c r="E111" t="s">
        <v>570</v>
      </c>
      <c r="F111" t="s">
        <v>1001</v>
      </c>
      <c r="G111" s="125"/>
      <c r="H111" s="125"/>
      <c r="I111" s="125"/>
      <c r="J111" s="125"/>
    </row>
    <row r="112" spans="1:10" x14ac:dyDescent="0.2">
      <c r="A112" t="s">
        <v>921</v>
      </c>
      <c r="B112" s="152">
        <v>43278</v>
      </c>
      <c r="C112" t="s">
        <v>639</v>
      </c>
      <c r="D112">
        <v>-60.03</v>
      </c>
      <c r="E112" t="s">
        <v>570</v>
      </c>
      <c r="F112" t="s">
        <v>1002</v>
      </c>
      <c r="G112" s="125"/>
      <c r="H112" s="125"/>
      <c r="I112" s="125"/>
      <c r="J112" s="125"/>
    </row>
    <row r="113" spans="1:10" x14ac:dyDescent="0.2">
      <c r="A113" t="s">
        <v>921</v>
      </c>
      <c r="B113" s="152">
        <v>43279</v>
      </c>
      <c r="C113" t="s">
        <v>639</v>
      </c>
      <c r="D113">
        <v>-17.79</v>
      </c>
      <c r="E113" t="s">
        <v>570</v>
      </c>
      <c r="F113" t="s">
        <v>1003</v>
      </c>
      <c r="G113" s="125"/>
      <c r="H113" s="125"/>
      <c r="I113" s="125"/>
      <c r="J113" s="125"/>
    </row>
    <row r="114" spans="1:10" x14ac:dyDescent="0.2">
      <c r="A114" t="s">
        <v>921</v>
      </c>
      <c r="B114" s="152">
        <v>43279</v>
      </c>
      <c r="C114" t="s">
        <v>639</v>
      </c>
      <c r="D114">
        <v>-5.05</v>
      </c>
      <c r="E114" t="s">
        <v>570</v>
      </c>
      <c r="F114" t="s">
        <v>1004</v>
      </c>
      <c r="G114" s="125"/>
      <c r="H114" s="125"/>
      <c r="I114" s="125"/>
      <c r="J114" s="125"/>
    </row>
    <row r="115" spans="1:10" x14ac:dyDescent="0.2">
      <c r="A115" t="s">
        <v>921</v>
      </c>
      <c r="B115" s="152">
        <v>43279</v>
      </c>
      <c r="C115" t="s">
        <v>639</v>
      </c>
      <c r="D115">
        <v>-10</v>
      </c>
      <c r="E115" t="s">
        <v>570</v>
      </c>
      <c r="F115" t="s">
        <v>1005</v>
      </c>
      <c r="G115" s="125"/>
      <c r="H115" s="125"/>
      <c r="I115" s="125"/>
      <c r="J115" s="125"/>
    </row>
    <row r="116" spans="1:10" x14ac:dyDescent="0.2">
      <c r="A116" t="s">
        <v>921</v>
      </c>
      <c r="B116" s="152">
        <v>43280</v>
      </c>
      <c r="C116" t="s">
        <v>639</v>
      </c>
      <c r="D116">
        <v>-14.3</v>
      </c>
      <c r="E116" t="s">
        <v>570</v>
      </c>
      <c r="F116" t="s">
        <v>1006</v>
      </c>
      <c r="G116" s="125"/>
      <c r="H116" s="125"/>
      <c r="I116" s="125"/>
      <c r="J116" s="125"/>
    </row>
    <row r="117" spans="1:10" x14ac:dyDescent="0.2">
      <c r="A117" t="s">
        <v>921</v>
      </c>
      <c r="B117" s="152">
        <v>43280</v>
      </c>
      <c r="C117" t="s">
        <v>639</v>
      </c>
      <c r="D117">
        <v>-2.2999999999999998</v>
      </c>
      <c r="E117" t="s">
        <v>570</v>
      </c>
      <c r="F117" t="s">
        <v>1007</v>
      </c>
      <c r="G117" s="125"/>
      <c r="H117" s="125"/>
      <c r="I117" s="125"/>
      <c r="J117" s="125"/>
    </row>
    <row r="118" spans="1:10" x14ac:dyDescent="0.2">
      <c r="A118" t="s">
        <v>921</v>
      </c>
      <c r="B118" s="152">
        <v>43280</v>
      </c>
      <c r="C118" t="s">
        <v>639</v>
      </c>
      <c r="D118">
        <v>-30</v>
      </c>
      <c r="E118" t="s">
        <v>570</v>
      </c>
      <c r="F118" t="s">
        <v>1008</v>
      </c>
      <c r="G118" s="125"/>
      <c r="H118" s="125"/>
      <c r="I118" s="125"/>
      <c r="J118" s="125"/>
    </row>
    <row r="119" spans="1:10" x14ac:dyDescent="0.2">
      <c r="A119" t="s">
        <v>921</v>
      </c>
      <c r="B119" s="152">
        <v>43280</v>
      </c>
      <c r="C119" t="s">
        <v>639</v>
      </c>
      <c r="D119">
        <v>-9</v>
      </c>
      <c r="E119" t="s">
        <v>579</v>
      </c>
      <c r="F119" t="s">
        <v>1009</v>
      </c>
      <c r="G119" s="125"/>
      <c r="H119" s="125"/>
      <c r="I119" s="125"/>
      <c r="J119" s="125"/>
    </row>
    <row r="120" spans="1:10" x14ac:dyDescent="0.2">
      <c r="A120" s="125"/>
      <c r="B120" s="135"/>
      <c r="C120" s="125"/>
      <c r="D120" s="125"/>
      <c r="E120" s="125"/>
      <c r="F120" s="125"/>
      <c r="G120" s="125"/>
      <c r="H120" s="125"/>
      <c r="I120" s="125"/>
      <c r="J120" s="125"/>
    </row>
    <row r="121" spans="1:10" x14ac:dyDescent="0.2">
      <c r="A121" s="125"/>
      <c r="B121" s="135"/>
      <c r="C121" s="125"/>
      <c r="D121" s="125"/>
      <c r="E121" s="125"/>
      <c r="F121" s="125"/>
      <c r="G121" s="125"/>
      <c r="H121" s="125"/>
      <c r="I121" s="125"/>
      <c r="J121" s="125"/>
    </row>
    <row r="122" spans="1:10" x14ac:dyDescent="0.2">
      <c r="A122" s="125"/>
      <c r="B122" s="135"/>
      <c r="C122" s="125"/>
      <c r="D122" s="125"/>
      <c r="E122" s="125"/>
      <c r="F122" s="125"/>
      <c r="G122" s="125"/>
      <c r="H122" s="125"/>
      <c r="I122" s="125"/>
      <c r="J122" s="125"/>
    </row>
    <row r="123" spans="1:10" x14ac:dyDescent="0.2">
      <c r="A123" s="125"/>
      <c r="B123" s="135"/>
      <c r="C123" s="125"/>
      <c r="D123" s="125"/>
      <c r="E123" s="125"/>
      <c r="F123" s="125"/>
      <c r="G123" s="125"/>
      <c r="H123" s="125"/>
      <c r="I123" s="125"/>
      <c r="J123" s="125"/>
    </row>
    <row r="124" spans="1:10" x14ac:dyDescent="0.2">
      <c r="A124" s="125"/>
      <c r="B124" s="135"/>
      <c r="C124" s="125"/>
      <c r="D124" s="125"/>
      <c r="E124" s="125"/>
      <c r="F124" s="125"/>
      <c r="G124" s="125"/>
      <c r="H124" s="125"/>
      <c r="I124" s="125"/>
      <c r="J124" s="125"/>
    </row>
    <row r="125" spans="1:10" x14ac:dyDescent="0.2">
      <c r="A125" s="125"/>
      <c r="B125" s="135"/>
      <c r="C125" s="125"/>
      <c r="D125" s="125"/>
      <c r="E125" s="125"/>
      <c r="F125" s="125"/>
      <c r="G125" s="125"/>
      <c r="H125" s="125"/>
      <c r="I125" s="125"/>
      <c r="J125" s="125"/>
    </row>
    <row r="126" spans="1:10" x14ac:dyDescent="0.2">
      <c r="A126" s="125"/>
      <c r="B126" s="135"/>
      <c r="C126" s="125"/>
      <c r="D126" s="125"/>
      <c r="E126" s="125"/>
      <c r="F126" s="125"/>
      <c r="G126" s="125"/>
      <c r="H126" s="125"/>
      <c r="I126" s="125"/>
      <c r="J126" s="125"/>
    </row>
    <row r="127" spans="1:10" x14ac:dyDescent="0.2">
      <c r="A127" s="125"/>
      <c r="B127" s="135"/>
      <c r="C127" s="125"/>
      <c r="D127" s="125"/>
      <c r="E127" s="125"/>
      <c r="F127" s="125"/>
      <c r="G127" s="125"/>
      <c r="H127" s="125"/>
      <c r="I127" s="125"/>
      <c r="J127" s="125"/>
    </row>
    <row r="128" spans="1:10" x14ac:dyDescent="0.2">
      <c r="A128" s="125"/>
      <c r="B128" s="135"/>
      <c r="C128" s="125"/>
      <c r="D128" s="125"/>
      <c r="E128" s="125"/>
      <c r="F128" s="125"/>
      <c r="G128" s="125"/>
      <c r="H128" s="125"/>
      <c r="I128" s="125"/>
      <c r="J128" s="125"/>
    </row>
    <row r="129" spans="1:10" x14ac:dyDescent="0.2">
      <c r="A129" s="125"/>
      <c r="B129" s="135"/>
      <c r="C129" s="125"/>
      <c r="D129" s="125"/>
      <c r="E129" s="125"/>
      <c r="F129" s="125"/>
      <c r="G129" s="125"/>
      <c r="H129" s="125"/>
      <c r="I129" s="125"/>
      <c r="J129" s="125"/>
    </row>
    <row r="130" spans="1:10" x14ac:dyDescent="0.2">
      <c r="A130" s="125"/>
      <c r="B130" s="135"/>
      <c r="C130" s="125"/>
      <c r="D130" s="125"/>
      <c r="E130" s="125"/>
      <c r="F130" s="125"/>
      <c r="G130" s="125"/>
      <c r="H130" s="125"/>
      <c r="I130" s="125"/>
      <c r="J130" s="125"/>
    </row>
    <row r="131" spans="1:10" x14ac:dyDescent="0.2">
      <c r="A131" s="125"/>
      <c r="B131" s="135"/>
      <c r="C131" s="125"/>
      <c r="D131" s="125"/>
      <c r="E131" s="125"/>
      <c r="F131" s="125"/>
      <c r="G131" s="125"/>
      <c r="H131" s="125"/>
      <c r="I131" s="125"/>
      <c r="J131" s="125"/>
    </row>
    <row r="132" spans="1:10" x14ac:dyDescent="0.2">
      <c r="A132" s="125"/>
      <c r="B132" s="135"/>
      <c r="C132" s="125"/>
      <c r="D132" s="125"/>
      <c r="E132" s="125"/>
      <c r="F132" s="125"/>
      <c r="G132" s="125"/>
      <c r="H132" s="125"/>
      <c r="I132" s="125"/>
      <c r="J132" s="125"/>
    </row>
    <row r="133" spans="1:10" x14ac:dyDescent="0.2">
      <c r="A133" s="125"/>
      <c r="B133" s="135"/>
      <c r="C133" s="125"/>
      <c r="D133" s="125"/>
      <c r="E133" s="125"/>
      <c r="F133" s="125"/>
      <c r="G133" s="125"/>
      <c r="H133" s="125"/>
      <c r="I133" s="125"/>
      <c r="J133" s="125"/>
    </row>
    <row r="134" spans="1:10" x14ac:dyDescent="0.2">
      <c r="A134" s="125"/>
      <c r="B134" s="135"/>
      <c r="C134" s="125"/>
      <c r="D134" s="125"/>
      <c r="E134" s="125"/>
      <c r="F134" s="125"/>
      <c r="G134" s="125"/>
      <c r="H134" s="125"/>
      <c r="I134" s="125"/>
      <c r="J134" s="125"/>
    </row>
    <row r="135" spans="1:10" x14ac:dyDescent="0.2">
      <c r="A135" s="125"/>
      <c r="B135" s="135"/>
      <c r="C135" s="125"/>
      <c r="D135" s="125"/>
      <c r="E135" s="125"/>
      <c r="F135" s="125"/>
      <c r="G135" s="125"/>
      <c r="H135" s="125"/>
      <c r="I135" s="125"/>
      <c r="J135" s="125"/>
    </row>
    <row r="136" spans="1:10" x14ac:dyDescent="0.2">
      <c r="A136" s="125"/>
      <c r="B136" s="135"/>
      <c r="C136" s="125"/>
      <c r="D136" s="125"/>
      <c r="E136" s="125"/>
      <c r="F136" s="125"/>
      <c r="G136" s="125"/>
      <c r="H136" s="125"/>
      <c r="I136" s="125"/>
      <c r="J136" s="125"/>
    </row>
    <row r="137" spans="1:10" x14ac:dyDescent="0.2">
      <c r="A137" s="125"/>
      <c r="B137" s="135"/>
      <c r="C137" s="125"/>
      <c r="D137" s="125"/>
      <c r="E137" s="125"/>
      <c r="F137" s="125"/>
      <c r="G137" s="125"/>
      <c r="H137" s="125"/>
      <c r="I137" s="125"/>
      <c r="J137" s="125"/>
    </row>
    <row r="138" spans="1:10" x14ac:dyDescent="0.2">
      <c r="A138" s="125"/>
      <c r="B138" s="135"/>
      <c r="C138" s="125"/>
      <c r="D138" s="125"/>
      <c r="E138" s="125"/>
      <c r="F138" s="125"/>
      <c r="G138" s="125"/>
      <c r="H138" s="125"/>
      <c r="I138" s="125"/>
      <c r="J138" s="125"/>
    </row>
    <row r="139" spans="1:10" x14ac:dyDescent="0.2">
      <c r="A139" s="125"/>
      <c r="B139" s="135"/>
      <c r="C139" s="125"/>
      <c r="D139" s="125"/>
      <c r="E139" s="125"/>
      <c r="F139" s="125"/>
      <c r="G139" s="125"/>
      <c r="H139" s="125"/>
      <c r="I139" s="125"/>
      <c r="J139" s="125"/>
    </row>
    <row r="140" spans="1:10" x14ac:dyDescent="0.2">
      <c r="A140" s="125"/>
      <c r="B140" s="135"/>
      <c r="C140" s="125"/>
      <c r="D140" s="125"/>
      <c r="E140" s="125"/>
      <c r="F140" s="125"/>
      <c r="G140" s="125"/>
      <c r="H140" s="125"/>
      <c r="I140" s="125"/>
      <c r="J140" s="125"/>
    </row>
    <row r="141" spans="1:10" x14ac:dyDescent="0.2">
      <c r="A141" s="125"/>
      <c r="B141" s="135"/>
      <c r="C141" s="125"/>
      <c r="D141" s="125"/>
      <c r="E141" s="125"/>
      <c r="F141" s="125"/>
      <c r="G141" s="125"/>
      <c r="H141" s="125"/>
      <c r="I141" s="125"/>
      <c r="J141" s="125"/>
    </row>
    <row r="142" spans="1:10" x14ac:dyDescent="0.2">
      <c r="A142" s="125"/>
      <c r="B142" s="135"/>
      <c r="C142" s="125"/>
      <c r="D142" s="125"/>
      <c r="E142" s="125"/>
      <c r="F142" s="125"/>
      <c r="G142" s="125"/>
      <c r="H142" s="125"/>
      <c r="I142" s="125"/>
      <c r="J142" s="125"/>
    </row>
    <row r="143" spans="1:10" x14ac:dyDescent="0.2">
      <c r="A143" s="125"/>
      <c r="B143" s="135"/>
      <c r="C143" s="125"/>
      <c r="D143" s="125"/>
      <c r="E143" s="125"/>
      <c r="F143" s="125"/>
      <c r="G143" s="125"/>
      <c r="H143" s="125"/>
      <c r="I143" s="125"/>
      <c r="J143" s="125"/>
    </row>
    <row r="144" spans="1:10" x14ac:dyDescent="0.2">
      <c r="A144" s="125"/>
      <c r="B144" s="135"/>
      <c r="C144" s="125"/>
      <c r="D144" s="125"/>
      <c r="E144" s="125"/>
      <c r="F144" s="125"/>
      <c r="G144" s="125"/>
      <c r="H144" s="125"/>
      <c r="I144" s="125"/>
      <c r="J144" s="125"/>
    </row>
    <row r="145" spans="1:10" x14ac:dyDescent="0.2">
      <c r="A145" s="125"/>
      <c r="B145" s="135"/>
      <c r="C145" s="125"/>
      <c r="D145" s="125"/>
      <c r="E145" s="125"/>
      <c r="F145" s="125"/>
      <c r="G145" s="125"/>
      <c r="H145" s="125"/>
      <c r="I145" s="125"/>
      <c r="J145" s="125"/>
    </row>
    <row r="146" spans="1:10" x14ac:dyDescent="0.2">
      <c r="A146" s="125"/>
      <c r="B146" s="135"/>
      <c r="C146" s="125"/>
      <c r="D146" s="125"/>
      <c r="E146" s="125"/>
      <c r="F146" s="125"/>
      <c r="G146" s="125"/>
      <c r="H146" s="125"/>
      <c r="I146" s="125"/>
      <c r="J146" s="125"/>
    </row>
    <row r="147" spans="1:10" x14ac:dyDescent="0.2">
      <c r="A147" s="125"/>
      <c r="B147" s="135"/>
      <c r="C147" s="125"/>
      <c r="D147" s="125"/>
      <c r="E147" s="125"/>
      <c r="F147" s="125"/>
      <c r="G147" s="125"/>
      <c r="H147" s="125"/>
      <c r="I147" s="125"/>
      <c r="J147" s="125"/>
    </row>
    <row r="148" spans="1:10" x14ac:dyDescent="0.2">
      <c r="A148" s="125"/>
      <c r="B148" s="135"/>
      <c r="C148" s="125"/>
      <c r="D148" s="125"/>
      <c r="E148" s="125"/>
      <c r="F148" s="125"/>
      <c r="G148" s="125"/>
      <c r="H148" s="125"/>
      <c r="I148" s="125"/>
      <c r="J148" s="125"/>
    </row>
    <row r="149" spans="1:10" x14ac:dyDescent="0.2">
      <c r="A149" s="125"/>
      <c r="B149" s="135"/>
      <c r="C149" s="125"/>
      <c r="D149" s="125"/>
      <c r="E149" s="125"/>
      <c r="F149" s="125"/>
      <c r="G149" s="125"/>
      <c r="H149" s="125"/>
      <c r="I149" s="125"/>
      <c r="J149" s="125"/>
    </row>
    <row r="150" spans="1:10" x14ac:dyDescent="0.2">
      <c r="A150" s="125"/>
      <c r="B150" s="135"/>
      <c r="C150" s="125"/>
      <c r="D150" s="125"/>
      <c r="E150" s="125"/>
      <c r="F150" s="125"/>
      <c r="G150" s="125"/>
      <c r="H150" s="125"/>
      <c r="I150" s="125"/>
      <c r="J150" s="125"/>
    </row>
    <row r="151" spans="1:10" x14ac:dyDescent="0.2">
      <c r="A151" s="125"/>
      <c r="B151" s="135"/>
      <c r="C151" s="125"/>
      <c r="D151" s="125"/>
      <c r="E151" s="125"/>
      <c r="F151" s="125"/>
      <c r="G151" s="125"/>
      <c r="H151" s="125"/>
      <c r="I151" s="125"/>
      <c r="J151" s="125"/>
    </row>
    <row r="152" spans="1:10" x14ac:dyDescent="0.2">
      <c r="B152" s="136"/>
    </row>
    <row r="153" spans="1:10" x14ac:dyDescent="0.2">
      <c r="B153" s="136"/>
    </row>
    <row r="154" spans="1:10" x14ac:dyDescent="0.2">
      <c r="B154" s="136"/>
    </row>
    <row r="155" spans="1:10" x14ac:dyDescent="0.2">
      <c r="B155" s="136"/>
    </row>
    <row r="156" spans="1:10" x14ac:dyDescent="0.2">
      <c r="B156" s="136"/>
    </row>
    <row r="157" spans="1:10" x14ac:dyDescent="0.2">
      <c r="B157" s="136"/>
    </row>
    <row r="158" spans="1:10" x14ac:dyDescent="0.2">
      <c r="B158" s="136"/>
    </row>
    <row r="159" spans="1:10" x14ac:dyDescent="0.2">
      <c r="B159" s="136"/>
    </row>
    <row r="160" spans="1:10" x14ac:dyDescent="0.2">
      <c r="B160" s="136"/>
    </row>
    <row r="161" spans="2:2" x14ac:dyDescent="0.2">
      <c r="B161" s="136"/>
    </row>
    <row r="162" spans="2:2" x14ac:dyDescent="0.2">
      <c r="B162" s="136"/>
    </row>
    <row r="163" spans="2:2" x14ac:dyDescent="0.2">
      <c r="B163" s="136"/>
    </row>
    <row r="164" spans="2:2" x14ac:dyDescent="0.2">
      <c r="B164" s="136"/>
    </row>
    <row r="165" spans="2:2" x14ac:dyDescent="0.2">
      <c r="B165" s="136"/>
    </row>
    <row r="166" spans="2:2" x14ac:dyDescent="0.2">
      <c r="B166" s="136"/>
    </row>
    <row r="167" spans="2:2" x14ac:dyDescent="0.2">
      <c r="B167" s="136"/>
    </row>
    <row r="168" spans="2:2" x14ac:dyDescent="0.2">
      <c r="B168" s="136"/>
    </row>
    <row r="169" spans="2:2" x14ac:dyDescent="0.2">
      <c r="B169" s="136"/>
    </row>
    <row r="170" spans="2:2" x14ac:dyDescent="0.2">
      <c r="B170" s="136"/>
    </row>
    <row r="171" spans="2:2" x14ac:dyDescent="0.2">
      <c r="B171" s="136"/>
    </row>
    <row r="172" spans="2:2" x14ac:dyDescent="0.2">
      <c r="B172" s="136"/>
    </row>
    <row r="173" spans="2:2" x14ac:dyDescent="0.2">
      <c r="B173" s="136"/>
    </row>
    <row r="174" spans="2:2" x14ac:dyDescent="0.2">
      <c r="B174" s="136"/>
    </row>
    <row r="175" spans="2:2" x14ac:dyDescent="0.2">
      <c r="B175" s="136"/>
    </row>
    <row r="176" spans="2:2" x14ac:dyDescent="0.2">
      <c r="B176" s="136"/>
    </row>
    <row r="177" spans="2:2" x14ac:dyDescent="0.2">
      <c r="B177" s="136"/>
    </row>
    <row r="178" spans="2:2" x14ac:dyDescent="0.2">
      <c r="B178" s="136"/>
    </row>
    <row r="179" spans="2:2" x14ac:dyDescent="0.2">
      <c r="B179" s="136"/>
    </row>
    <row r="180" spans="2:2" x14ac:dyDescent="0.2">
      <c r="B180" s="136"/>
    </row>
    <row r="181" spans="2:2" x14ac:dyDescent="0.2">
      <c r="B181" s="136"/>
    </row>
    <row r="182" spans="2:2" x14ac:dyDescent="0.2">
      <c r="B182" s="136"/>
    </row>
    <row r="183" spans="2:2" x14ac:dyDescent="0.2">
      <c r="B183" s="136"/>
    </row>
    <row r="184" spans="2:2" x14ac:dyDescent="0.2">
      <c r="B184" s="136"/>
    </row>
    <row r="185" spans="2:2" x14ac:dyDescent="0.2">
      <c r="B185" s="136"/>
    </row>
  </sheetData>
  <autoFilter ref="A1:J119" xr:uid="{E226E0AA-079C-460A-94C7-1C74543100C8}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310"/>
  <sheetViews>
    <sheetView topLeftCell="A97" zoomScale="85" zoomScaleNormal="85" workbookViewId="0">
      <selection activeCell="A132" sqref="A132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1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1" x14ac:dyDescent="0.2">
      <c r="A2" t="s">
        <v>494</v>
      </c>
      <c r="B2">
        <v>507506</v>
      </c>
      <c r="C2" s="80">
        <v>43256.647951388892</v>
      </c>
      <c r="D2" t="s">
        <v>716</v>
      </c>
      <c r="F2">
        <v>0</v>
      </c>
      <c r="G2">
        <v>0</v>
      </c>
      <c r="H2">
        <v>300.95999999999998</v>
      </c>
      <c r="J2" t="s">
        <v>1017</v>
      </c>
      <c r="K2" s="125"/>
    </row>
    <row r="3" spans="1:11" x14ac:dyDescent="0.2">
      <c r="A3" t="s">
        <v>494</v>
      </c>
      <c r="B3">
        <v>507506</v>
      </c>
      <c r="C3" s="80">
        <v>43256.647951388892</v>
      </c>
      <c r="D3" t="s">
        <v>714</v>
      </c>
      <c r="E3" t="s">
        <v>698</v>
      </c>
      <c r="F3">
        <v>158751</v>
      </c>
      <c r="G3">
        <v>21.67</v>
      </c>
      <c r="H3">
        <v>0</v>
      </c>
      <c r="J3" t="s">
        <v>1018</v>
      </c>
      <c r="K3" s="125"/>
    </row>
    <row r="4" spans="1:11" x14ac:dyDescent="0.2">
      <c r="A4" t="s">
        <v>494</v>
      </c>
      <c r="B4">
        <v>507544</v>
      </c>
      <c r="C4" s="80">
        <v>43256.650567129633</v>
      </c>
      <c r="D4" t="s">
        <v>715</v>
      </c>
      <c r="E4" t="s">
        <v>700</v>
      </c>
      <c r="F4">
        <v>137056</v>
      </c>
      <c r="G4">
        <v>279.29000000000002</v>
      </c>
      <c r="H4">
        <v>0</v>
      </c>
      <c r="J4" t="s">
        <v>1019</v>
      </c>
      <c r="K4" s="125"/>
    </row>
    <row r="5" spans="1:11" x14ac:dyDescent="0.2">
      <c r="A5" t="s">
        <v>494</v>
      </c>
      <c r="B5">
        <v>512053</v>
      </c>
      <c r="C5" s="80">
        <v>43276.649606481478</v>
      </c>
      <c r="D5" t="s">
        <v>803</v>
      </c>
      <c r="F5">
        <v>0</v>
      </c>
      <c r="G5">
        <v>0</v>
      </c>
      <c r="H5">
        <v>151.36000000000001</v>
      </c>
      <c r="J5" t="s">
        <v>1017</v>
      </c>
      <c r="K5" s="125"/>
    </row>
    <row r="6" spans="1:11" x14ac:dyDescent="0.2">
      <c r="A6" t="s">
        <v>494</v>
      </c>
      <c r="B6">
        <v>512053</v>
      </c>
      <c r="C6" s="80">
        <v>43276.649606481478</v>
      </c>
      <c r="D6" t="s">
        <v>714</v>
      </c>
      <c r="E6" t="s">
        <v>698</v>
      </c>
      <c r="F6">
        <v>160246</v>
      </c>
      <c r="G6">
        <v>10.9</v>
      </c>
      <c r="H6">
        <v>0</v>
      </c>
      <c r="J6" t="s">
        <v>1018</v>
      </c>
      <c r="K6" s="125"/>
    </row>
    <row r="7" spans="1:11" x14ac:dyDescent="0.2">
      <c r="A7" t="s">
        <v>494</v>
      </c>
      <c r="B7">
        <v>512063</v>
      </c>
      <c r="C7" s="80">
        <v>43276.658946759257</v>
      </c>
      <c r="D7" t="s">
        <v>715</v>
      </c>
      <c r="E7" t="s">
        <v>700</v>
      </c>
      <c r="F7">
        <v>138555</v>
      </c>
      <c r="G7">
        <v>140.46</v>
      </c>
      <c r="H7">
        <v>0</v>
      </c>
      <c r="J7" t="s">
        <v>1019</v>
      </c>
      <c r="K7" s="125"/>
    </row>
    <row r="8" spans="1:11" x14ac:dyDescent="0.2">
      <c r="A8" t="s">
        <v>493</v>
      </c>
      <c r="B8">
        <v>507498</v>
      </c>
      <c r="C8" s="80">
        <v>43256.647951388892</v>
      </c>
      <c r="D8" t="s">
        <v>717</v>
      </c>
      <c r="F8">
        <v>0</v>
      </c>
      <c r="G8">
        <v>0</v>
      </c>
      <c r="H8">
        <v>92.39</v>
      </c>
      <c r="J8" t="s">
        <v>1017</v>
      </c>
      <c r="K8" s="125"/>
    </row>
    <row r="9" spans="1:11" x14ac:dyDescent="0.2">
      <c r="A9" t="s">
        <v>493</v>
      </c>
      <c r="B9">
        <v>507498</v>
      </c>
      <c r="C9" s="80">
        <v>43256.647951388892</v>
      </c>
      <c r="D9" t="s">
        <v>718</v>
      </c>
      <c r="E9" t="s">
        <v>698</v>
      </c>
      <c r="F9">
        <v>158743</v>
      </c>
      <c r="G9">
        <v>6.65</v>
      </c>
      <c r="H9">
        <v>0</v>
      </c>
      <c r="J9" t="s">
        <v>1018</v>
      </c>
      <c r="K9" s="125"/>
    </row>
    <row r="10" spans="1:11" x14ac:dyDescent="0.2">
      <c r="A10" t="s">
        <v>493</v>
      </c>
      <c r="B10">
        <v>507544</v>
      </c>
      <c r="C10" s="80">
        <v>43256.650567129633</v>
      </c>
      <c r="D10" t="s">
        <v>719</v>
      </c>
      <c r="E10" t="s">
        <v>700</v>
      </c>
      <c r="F10">
        <v>137048</v>
      </c>
      <c r="G10">
        <v>85.74</v>
      </c>
      <c r="H10">
        <v>0</v>
      </c>
      <c r="J10" t="s">
        <v>1019</v>
      </c>
      <c r="K10" s="125"/>
    </row>
    <row r="11" spans="1:11" x14ac:dyDescent="0.2">
      <c r="A11" t="s">
        <v>493</v>
      </c>
      <c r="B11">
        <v>510595</v>
      </c>
      <c r="C11" s="80">
        <v>43269.654236111113</v>
      </c>
      <c r="D11" t="s">
        <v>804</v>
      </c>
      <c r="F11">
        <v>0</v>
      </c>
      <c r="G11">
        <v>0</v>
      </c>
      <c r="H11">
        <v>373.73</v>
      </c>
      <c r="J11" t="s">
        <v>1017</v>
      </c>
      <c r="K11" s="125"/>
    </row>
    <row r="12" spans="1:11" x14ac:dyDescent="0.2">
      <c r="A12" t="s">
        <v>493</v>
      </c>
      <c r="B12">
        <v>510595</v>
      </c>
      <c r="C12" s="80">
        <v>43269.654236111113</v>
      </c>
      <c r="D12" t="s">
        <v>718</v>
      </c>
      <c r="E12" t="s">
        <v>698</v>
      </c>
      <c r="F12">
        <v>159763</v>
      </c>
      <c r="G12">
        <v>26.9</v>
      </c>
      <c r="H12">
        <v>0</v>
      </c>
      <c r="J12" t="s">
        <v>1018</v>
      </c>
      <c r="K12" s="125"/>
    </row>
    <row r="13" spans="1:11" x14ac:dyDescent="0.2">
      <c r="A13" t="s">
        <v>493</v>
      </c>
      <c r="B13">
        <v>510608</v>
      </c>
      <c r="C13" s="80">
        <v>43269.656076388892</v>
      </c>
      <c r="D13" t="s">
        <v>719</v>
      </c>
      <c r="E13" t="s">
        <v>700</v>
      </c>
      <c r="F13">
        <v>138148</v>
      </c>
      <c r="G13">
        <v>346.83</v>
      </c>
      <c r="H13">
        <v>0</v>
      </c>
      <c r="J13" t="s">
        <v>1019</v>
      </c>
      <c r="K13" s="125"/>
    </row>
    <row r="14" spans="1:11" x14ac:dyDescent="0.2">
      <c r="A14" t="s">
        <v>493</v>
      </c>
      <c r="B14">
        <v>512733</v>
      </c>
      <c r="C14" s="80">
        <v>43278.667997685188</v>
      </c>
      <c r="D14" t="s">
        <v>804</v>
      </c>
      <c r="F14">
        <v>0</v>
      </c>
      <c r="G14">
        <v>0</v>
      </c>
      <c r="H14">
        <v>20</v>
      </c>
      <c r="J14" t="s">
        <v>1017</v>
      </c>
      <c r="K14" s="125"/>
    </row>
    <row r="15" spans="1:11" x14ac:dyDescent="0.2">
      <c r="A15" t="s">
        <v>493</v>
      </c>
      <c r="B15">
        <v>512733</v>
      </c>
      <c r="C15" s="80">
        <v>43278.667997685188</v>
      </c>
      <c r="D15" t="s">
        <v>718</v>
      </c>
      <c r="E15" t="s">
        <v>698</v>
      </c>
      <c r="F15">
        <v>160539</v>
      </c>
      <c r="G15">
        <v>1.44</v>
      </c>
      <c r="H15">
        <v>0</v>
      </c>
      <c r="J15" t="s">
        <v>1018</v>
      </c>
      <c r="K15" s="125"/>
    </row>
    <row r="16" spans="1:11" x14ac:dyDescent="0.2">
      <c r="A16" t="s">
        <v>493</v>
      </c>
      <c r="B16">
        <v>512747</v>
      </c>
      <c r="C16" s="80">
        <v>43278.672800925924</v>
      </c>
      <c r="D16" t="s">
        <v>719</v>
      </c>
      <c r="E16" t="s">
        <v>700</v>
      </c>
      <c r="F16">
        <v>138716</v>
      </c>
      <c r="G16">
        <v>18.559999999999999</v>
      </c>
      <c r="H16">
        <v>0</v>
      </c>
      <c r="J16" t="s">
        <v>1019</v>
      </c>
      <c r="K16" s="125"/>
    </row>
    <row r="17" spans="1:11" x14ac:dyDescent="0.2">
      <c r="A17" t="s">
        <v>510</v>
      </c>
      <c r="B17">
        <v>507497</v>
      </c>
      <c r="C17" s="80">
        <v>43256.647951388892</v>
      </c>
      <c r="D17" t="s">
        <v>722</v>
      </c>
      <c r="F17">
        <v>0</v>
      </c>
      <c r="G17">
        <v>0</v>
      </c>
      <c r="H17">
        <v>407.19</v>
      </c>
      <c r="J17" t="s">
        <v>1017</v>
      </c>
      <c r="K17" s="125"/>
    </row>
    <row r="18" spans="1:11" x14ac:dyDescent="0.2">
      <c r="A18" t="s">
        <v>510</v>
      </c>
      <c r="B18">
        <v>507497</v>
      </c>
      <c r="C18" s="80">
        <v>43256.647951388892</v>
      </c>
      <c r="D18" t="s">
        <v>720</v>
      </c>
      <c r="E18" t="s">
        <v>698</v>
      </c>
      <c r="F18">
        <v>158742</v>
      </c>
      <c r="G18">
        <v>29.32</v>
      </c>
      <c r="H18">
        <v>0</v>
      </c>
      <c r="J18" t="s">
        <v>1018</v>
      </c>
      <c r="K18" s="125"/>
    </row>
    <row r="19" spans="1:11" x14ac:dyDescent="0.2">
      <c r="A19" t="s">
        <v>510</v>
      </c>
      <c r="B19">
        <v>507544</v>
      </c>
      <c r="C19" s="80">
        <v>43256.650567129633</v>
      </c>
      <c r="D19" t="s">
        <v>721</v>
      </c>
      <c r="E19" t="s">
        <v>700</v>
      </c>
      <c r="F19">
        <v>137047</v>
      </c>
      <c r="G19">
        <v>377.87</v>
      </c>
      <c r="H19">
        <v>0</v>
      </c>
      <c r="J19" t="s">
        <v>1019</v>
      </c>
      <c r="K19" s="125"/>
    </row>
    <row r="20" spans="1:11" x14ac:dyDescent="0.2">
      <c r="A20" t="s">
        <v>492</v>
      </c>
      <c r="B20">
        <v>507496</v>
      </c>
      <c r="C20" s="80">
        <v>43256.647951388892</v>
      </c>
      <c r="D20" t="s">
        <v>724</v>
      </c>
      <c r="F20">
        <v>0</v>
      </c>
      <c r="G20">
        <v>0</v>
      </c>
      <c r="H20">
        <v>49.84</v>
      </c>
      <c r="J20" t="s">
        <v>1017</v>
      </c>
      <c r="K20" s="125"/>
    </row>
    <row r="21" spans="1:11" x14ac:dyDescent="0.2">
      <c r="A21" t="s">
        <v>492</v>
      </c>
      <c r="B21">
        <v>507496</v>
      </c>
      <c r="C21" s="80">
        <v>43256.647951388892</v>
      </c>
      <c r="D21" t="s">
        <v>723</v>
      </c>
      <c r="E21" t="s">
        <v>698</v>
      </c>
      <c r="F21">
        <v>158741</v>
      </c>
      <c r="G21">
        <v>3.59</v>
      </c>
      <c r="H21">
        <v>0</v>
      </c>
      <c r="J21" t="s">
        <v>1018</v>
      </c>
      <c r="K21" s="125"/>
    </row>
    <row r="22" spans="1:11" x14ac:dyDescent="0.2">
      <c r="A22" t="s">
        <v>492</v>
      </c>
      <c r="B22">
        <v>507544</v>
      </c>
      <c r="C22" s="80">
        <v>43256.650567129633</v>
      </c>
      <c r="D22" t="s">
        <v>725</v>
      </c>
      <c r="E22" t="s">
        <v>700</v>
      </c>
      <c r="F22">
        <v>137046</v>
      </c>
      <c r="G22">
        <v>46.25</v>
      </c>
      <c r="H22">
        <v>0</v>
      </c>
      <c r="J22" t="s">
        <v>1019</v>
      </c>
      <c r="K22" s="125"/>
    </row>
    <row r="23" spans="1:11" x14ac:dyDescent="0.2">
      <c r="A23" t="s">
        <v>492</v>
      </c>
      <c r="B23">
        <v>508416</v>
      </c>
      <c r="C23" s="80">
        <v>43259.540775462963</v>
      </c>
      <c r="D23" t="s">
        <v>805</v>
      </c>
      <c r="F23">
        <v>0</v>
      </c>
      <c r="G23">
        <v>0</v>
      </c>
      <c r="H23">
        <v>461.35</v>
      </c>
      <c r="J23" t="s">
        <v>1017</v>
      </c>
      <c r="K23" s="125"/>
    </row>
    <row r="24" spans="1:11" x14ac:dyDescent="0.2">
      <c r="A24" t="s">
        <v>492</v>
      </c>
      <c r="B24">
        <v>508416</v>
      </c>
      <c r="C24" s="80">
        <v>43259.540775462963</v>
      </c>
      <c r="D24" t="s">
        <v>723</v>
      </c>
      <c r="E24" t="s">
        <v>698</v>
      </c>
      <c r="F24">
        <v>159062</v>
      </c>
      <c r="G24">
        <v>33.22</v>
      </c>
      <c r="H24">
        <v>0</v>
      </c>
      <c r="J24" t="s">
        <v>1018</v>
      </c>
      <c r="K24" s="125"/>
    </row>
    <row r="25" spans="1:11" x14ac:dyDescent="0.2">
      <c r="A25" t="s">
        <v>492</v>
      </c>
      <c r="B25">
        <v>508430</v>
      </c>
      <c r="C25" s="80">
        <v>43259.544641203705</v>
      </c>
      <c r="D25" t="s">
        <v>725</v>
      </c>
      <c r="E25" t="s">
        <v>700</v>
      </c>
      <c r="F25">
        <v>137325</v>
      </c>
      <c r="G25">
        <v>428.13</v>
      </c>
      <c r="H25">
        <v>0</v>
      </c>
      <c r="J25" t="s">
        <v>1019</v>
      </c>
      <c r="K25" s="125"/>
    </row>
    <row r="26" spans="1:11" x14ac:dyDescent="0.2">
      <c r="A26" t="s">
        <v>486</v>
      </c>
      <c r="B26">
        <v>510955</v>
      </c>
      <c r="C26" s="80">
        <v>43270.641481481478</v>
      </c>
      <c r="D26" t="s">
        <v>806</v>
      </c>
      <c r="F26">
        <v>0</v>
      </c>
      <c r="G26">
        <v>0</v>
      </c>
      <c r="H26">
        <v>505</v>
      </c>
      <c r="J26" t="s">
        <v>1017</v>
      </c>
      <c r="K26" s="125"/>
    </row>
    <row r="27" spans="1:11" x14ac:dyDescent="0.2">
      <c r="A27" t="s">
        <v>486</v>
      </c>
      <c r="B27">
        <v>510955</v>
      </c>
      <c r="C27" s="80">
        <v>43270.641481481478</v>
      </c>
      <c r="D27" t="s">
        <v>726</v>
      </c>
      <c r="E27" t="s">
        <v>698</v>
      </c>
      <c r="F27">
        <v>159908</v>
      </c>
      <c r="G27">
        <v>36.36</v>
      </c>
      <c r="H27">
        <v>0</v>
      </c>
      <c r="J27" t="s">
        <v>1018</v>
      </c>
      <c r="K27" s="125"/>
    </row>
    <row r="28" spans="1:11" x14ac:dyDescent="0.2">
      <c r="A28" t="s">
        <v>486</v>
      </c>
      <c r="B28">
        <v>510960</v>
      </c>
      <c r="C28" s="80">
        <v>43270.644618055558</v>
      </c>
      <c r="D28" t="s">
        <v>727</v>
      </c>
      <c r="E28" t="s">
        <v>700</v>
      </c>
      <c r="F28">
        <v>138253</v>
      </c>
      <c r="G28">
        <v>468.64</v>
      </c>
      <c r="H28">
        <v>0</v>
      </c>
      <c r="J28" t="s">
        <v>1019</v>
      </c>
      <c r="K28" s="125"/>
    </row>
    <row r="29" spans="1:11" x14ac:dyDescent="0.2">
      <c r="A29" t="s">
        <v>485</v>
      </c>
      <c r="B29">
        <v>508746</v>
      </c>
      <c r="C29" s="80">
        <v>43262.639143518521</v>
      </c>
      <c r="D29" t="s">
        <v>807</v>
      </c>
      <c r="F29">
        <v>0</v>
      </c>
      <c r="G29">
        <v>0</v>
      </c>
      <c r="H29">
        <v>250</v>
      </c>
      <c r="J29" t="s">
        <v>1017</v>
      </c>
      <c r="K29" s="125"/>
    </row>
    <row r="30" spans="1:11" x14ac:dyDescent="0.2">
      <c r="A30" t="s">
        <v>485</v>
      </c>
      <c r="B30">
        <v>508746</v>
      </c>
      <c r="C30" s="80">
        <v>43262.639143518521</v>
      </c>
      <c r="D30" t="s">
        <v>728</v>
      </c>
      <c r="E30" t="s">
        <v>698</v>
      </c>
      <c r="F30">
        <v>159244</v>
      </c>
      <c r="G30">
        <v>18</v>
      </c>
      <c r="H30">
        <v>0</v>
      </c>
      <c r="J30" t="s">
        <v>1018</v>
      </c>
      <c r="K30" s="125"/>
    </row>
    <row r="31" spans="1:11" x14ac:dyDescent="0.2">
      <c r="A31" t="s">
        <v>485</v>
      </c>
      <c r="B31">
        <v>508757</v>
      </c>
      <c r="C31" s="80">
        <v>43262.641192129631</v>
      </c>
      <c r="D31" t="s">
        <v>729</v>
      </c>
      <c r="E31" t="s">
        <v>700</v>
      </c>
      <c r="F31">
        <v>137442</v>
      </c>
      <c r="G31">
        <v>232</v>
      </c>
      <c r="H31">
        <v>0</v>
      </c>
      <c r="J31" t="s">
        <v>1019</v>
      </c>
      <c r="K31" s="125"/>
    </row>
    <row r="32" spans="1:11" x14ac:dyDescent="0.2">
      <c r="A32" t="s">
        <v>485</v>
      </c>
      <c r="B32">
        <v>510746</v>
      </c>
      <c r="C32" s="80">
        <v>43270.404513888891</v>
      </c>
      <c r="D32" t="s">
        <v>808</v>
      </c>
      <c r="E32" t="s">
        <v>710</v>
      </c>
      <c r="F32">
        <v>3656</v>
      </c>
      <c r="G32">
        <v>125</v>
      </c>
      <c r="H32">
        <v>0</v>
      </c>
      <c r="J32" t="s">
        <v>1020</v>
      </c>
      <c r="K32" s="125"/>
    </row>
    <row r="33" spans="1:11" x14ac:dyDescent="0.2">
      <c r="A33" t="s">
        <v>485</v>
      </c>
      <c r="B33">
        <v>512054</v>
      </c>
      <c r="C33" s="80">
        <v>43276.649606481478</v>
      </c>
      <c r="D33" t="s">
        <v>807</v>
      </c>
      <c r="F33">
        <v>0</v>
      </c>
      <c r="G33">
        <v>0</v>
      </c>
      <c r="H33">
        <v>250</v>
      </c>
      <c r="J33" t="s">
        <v>1017</v>
      </c>
      <c r="K33" s="125"/>
    </row>
    <row r="34" spans="1:11" x14ac:dyDescent="0.2">
      <c r="A34" t="s">
        <v>485</v>
      </c>
      <c r="B34">
        <v>512054</v>
      </c>
      <c r="C34" s="80">
        <v>43276.649606481478</v>
      </c>
      <c r="D34" t="s">
        <v>728</v>
      </c>
      <c r="E34" t="s">
        <v>698</v>
      </c>
      <c r="F34">
        <v>160247</v>
      </c>
      <c r="G34">
        <v>18</v>
      </c>
      <c r="H34">
        <v>0</v>
      </c>
      <c r="J34" t="s">
        <v>1018</v>
      </c>
      <c r="K34" s="125"/>
    </row>
    <row r="35" spans="1:11" x14ac:dyDescent="0.2">
      <c r="A35" t="s">
        <v>485</v>
      </c>
      <c r="B35">
        <v>512063</v>
      </c>
      <c r="C35" s="80">
        <v>43276.658946759257</v>
      </c>
      <c r="D35" t="s">
        <v>729</v>
      </c>
      <c r="E35" t="s">
        <v>700</v>
      </c>
      <c r="F35">
        <v>138556</v>
      </c>
      <c r="G35">
        <v>107</v>
      </c>
      <c r="H35">
        <v>0</v>
      </c>
      <c r="J35" t="s">
        <v>1019</v>
      </c>
      <c r="K35" s="125"/>
    </row>
    <row r="36" spans="1:11" x14ac:dyDescent="0.2">
      <c r="A36" t="s">
        <v>482</v>
      </c>
      <c r="B36">
        <v>508372</v>
      </c>
      <c r="C36" s="80">
        <v>43259.540775462963</v>
      </c>
      <c r="D36" t="s">
        <v>730</v>
      </c>
      <c r="F36">
        <v>0</v>
      </c>
      <c r="G36">
        <v>0</v>
      </c>
      <c r="H36">
        <v>350</v>
      </c>
      <c r="J36" t="s">
        <v>1017</v>
      </c>
      <c r="K36" s="125"/>
    </row>
    <row r="37" spans="1:11" x14ac:dyDescent="0.2">
      <c r="A37" t="s">
        <v>482</v>
      </c>
      <c r="B37">
        <v>508372</v>
      </c>
      <c r="C37" s="80">
        <v>43259.540775462963</v>
      </c>
      <c r="D37" t="s">
        <v>731</v>
      </c>
      <c r="E37" t="s">
        <v>698</v>
      </c>
      <c r="F37">
        <v>159025</v>
      </c>
      <c r="G37">
        <v>25.2</v>
      </c>
      <c r="H37">
        <v>0</v>
      </c>
      <c r="J37" t="s">
        <v>1018</v>
      </c>
      <c r="K37" s="125"/>
    </row>
    <row r="38" spans="1:11" x14ac:dyDescent="0.2">
      <c r="A38" t="s">
        <v>482</v>
      </c>
      <c r="B38">
        <v>508430</v>
      </c>
      <c r="C38" s="80">
        <v>43259.544641203705</v>
      </c>
      <c r="D38" t="s">
        <v>732</v>
      </c>
      <c r="E38" t="s">
        <v>700</v>
      </c>
      <c r="F38">
        <v>137281</v>
      </c>
      <c r="G38">
        <v>324.8</v>
      </c>
      <c r="H38">
        <v>0</v>
      </c>
      <c r="J38" t="s">
        <v>1019</v>
      </c>
      <c r="K38" s="125"/>
    </row>
    <row r="39" spans="1:11" x14ac:dyDescent="0.2">
      <c r="A39" t="s">
        <v>480</v>
      </c>
      <c r="B39">
        <v>507362</v>
      </c>
      <c r="C39" s="80">
        <v>43256.631851851853</v>
      </c>
      <c r="D39" t="s">
        <v>735</v>
      </c>
      <c r="F39">
        <v>0</v>
      </c>
      <c r="G39">
        <v>0</v>
      </c>
      <c r="H39">
        <v>313.2</v>
      </c>
      <c r="J39" t="s">
        <v>1017</v>
      </c>
      <c r="K39" s="125"/>
    </row>
    <row r="40" spans="1:11" x14ac:dyDescent="0.2">
      <c r="A40" t="s">
        <v>480</v>
      </c>
      <c r="B40">
        <v>507362</v>
      </c>
      <c r="C40" s="80">
        <v>43256.631851851853</v>
      </c>
      <c r="D40" t="s">
        <v>733</v>
      </c>
      <c r="E40" t="s">
        <v>698</v>
      </c>
      <c r="F40">
        <v>158613</v>
      </c>
      <c r="G40">
        <v>22.55</v>
      </c>
      <c r="H40">
        <v>0</v>
      </c>
      <c r="J40" t="s">
        <v>1018</v>
      </c>
      <c r="K40" s="125"/>
    </row>
    <row r="41" spans="1:11" x14ac:dyDescent="0.2">
      <c r="A41" t="s">
        <v>480</v>
      </c>
      <c r="B41">
        <v>507544</v>
      </c>
      <c r="C41" s="80">
        <v>43256.650567129633</v>
      </c>
      <c r="D41" t="s">
        <v>734</v>
      </c>
      <c r="E41" t="s">
        <v>700</v>
      </c>
      <c r="F41">
        <v>136912</v>
      </c>
      <c r="G41">
        <v>290.64999999999998</v>
      </c>
      <c r="H41">
        <v>0</v>
      </c>
      <c r="J41" t="s">
        <v>1019</v>
      </c>
      <c r="K41" s="125"/>
    </row>
    <row r="42" spans="1:11" x14ac:dyDescent="0.2">
      <c r="A42" t="s">
        <v>480</v>
      </c>
      <c r="B42">
        <v>510017</v>
      </c>
      <c r="C42" s="80">
        <v>43265.661932870367</v>
      </c>
      <c r="D42" t="s">
        <v>809</v>
      </c>
      <c r="F42">
        <v>0</v>
      </c>
      <c r="G42">
        <v>0</v>
      </c>
      <c r="H42">
        <v>152.91999999999999</v>
      </c>
      <c r="J42" t="s">
        <v>1017</v>
      </c>
      <c r="K42" s="125"/>
    </row>
    <row r="43" spans="1:11" x14ac:dyDescent="0.2">
      <c r="A43" t="s">
        <v>480</v>
      </c>
      <c r="B43">
        <v>510017</v>
      </c>
      <c r="C43" s="80">
        <v>43265.661932870367</v>
      </c>
      <c r="D43" t="s">
        <v>733</v>
      </c>
      <c r="E43" t="s">
        <v>698</v>
      </c>
      <c r="F43">
        <v>159530</v>
      </c>
      <c r="G43">
        <v>11.02</v>
      </c>
      <c r="H43">
        <v>0</v>
      </c>
      <c r="J43" t="s">
        <v>1018</v>
      </c>
      <c r="K43" s="125"/>
    </row>
    <row r="44" spans="1:11" x14ac:dyDescent="0.2">
      <c r="A44" t="s">
        <v>480</v>
      </c>
      <c r="B44">
        <v>510053</v>
      </c>
      <c r="C44" s="80">
        <v>43265.66505787037</v>
      </c>
      <c r="D44" t="s">
        <v>734</v>
      </c>
      <c r="E44" t="s">
        <v>700</v>
      </c>
      <c r="F44">
        <v>137963</v>
      </c>
      <c r="G44">
        <v>141.9</v>
      </c>
      <c r="H44">
        <v>0</v>
      </c>
      <c r="J44" t="s">
        <v>1019</v>
      </c>
      <c r="K44" s="125"/>
    </row>
    <row r="45" spans="1:11" x14ac:dyDescent="0.2">
      <c r="A45" t="s">
        <v>480</v>
      </c>
      <c r="B45">
        <v>511220</v>
      </c>
      <c r="C45" s="80">
        <v>43271.633055555554</v>
      </c>
      <c r="D45" t="s">
        <v>809</v>
      </c>
      <c r="F45">
        <v>0</v>
      </c>
      <c r="G45">
        <v>0</v>
      </c>
      <c r="H45">
        <v>120</v>
      </c>
      <c r="J45" t="s">
        <v>1017</v>
      </c>
      <c r="K45" s="125"/>
    </row>
    <row r="46" spans="1:11" x14ac:dyDescent="0.2">
      <c r="A46" t="s">
        <v>480</v>
      </c>
      <c r="B46">
        <v>511220</v>
      </c>
      <c r="C46" s="80">
        <v>43271.633055555554</v>
      </c>
      <c r="D46" t="s">
        <v>733</v>
      </c>
      <c r="E46" t="s">
        <v>698</v>
      </c>
      <c r="F46">
        <v>159964</v>
      </c>
      <c r="G46">
        <v>8.64</v>
      </c>
      <c r="H46">
        <v>0</v>
      </c>
      <c r="J46" t="s">
        <v>1018</v>
      </c>
      <c r="K46" s="125"/>
    </row>
    <row r="47" spans="1:11" x14ac:dyDescent="0.2">
      <c r="A47" t="s">
        <v>480</v>
      </c>
      <c r="B47">
        <v>511276</v>
      </c>
      <c r="C47" s="80">
        <v>43271.647453703707</v>
      </c>
      <c r="D47" t="s">
        <v>734</v>
      </c>
      <c r="E47" t="s">
        <v>700</v>
      </c>
      <c r="F47">
        <v>138310</v>
      </c>
      <c r="G47">
        <v>111.36</v>
      </c>
      <c r="H47">
        <v>0</v>
      </c>
      <c r="J47" t="s">
        <v>1019</v>
      </c>
      <c r="K47" s="125"/>
    </row>
    <row r="48" spans="1:11" x14ac:dyDescent="0.2">
      <c r="A48" t="s">
        <v>497</v>
      </c>
      <c r="B48">
        <v>507484</v>
      </c>
      <c r="C48" s="80">
        <v>43256.647951388892</v>
      </c>
      <c r="D48" t="s">
        <v>713</v>
      </c>
      <c r="F48">
        <v>0</v>
      </c>
      <c r="G48">
        <v>0</v>
      </c>
      <c r="H48">
        <v>270.08</v>
      </c>
      <c r="J48" t="s">
        <v>1017</v>
      </c>
      <c r="K48" s="125"/>
    </row>
    <row r="49" spans="1:11" x14ac:dyDescent="0.2">
      <c r="A49" t="s">
        <v>497</v>
      </c>
      <c r="B49">
        <v>507484</v>
      </c>
      <c r="C49" s="80">
        <v>43256.647951388892</v>
      </c>
      <c r="D49" t="s">
        <v>711</v>
      </c>
      <c r="E49" t="s">
        <v>698</v>
      </c>
      <c r="F49">
        <v>158730</v>
      </c>
      <c r="G49">
        <v>19.440000000000001</v>
      </c>
      <c r="H49">
        <v>0</v>
      </c>
      <c r="J49" t="s">
        <v>1018</v>
      </c>
      <c r="K49" s="125"/>
    </row>
    <row r="50" spans="1:11" x14ac:dyDescent="0.2">
      <c r="A50" t="s">
        <v>497</v>
      </c>
      <c r="B50">
        <v>507544</v>
      </c>
      <c r="C50" s="80">
        <v>43256.650567129633</v>
      </c>
      <c r="D50" t="s">
        <v>712</v>
      </c>
      <c r="E50" t="s">
        <v>700</v>
      </c>
      <c r="F50">
        <v>137034</v>
      </c>
      <c r="G50">
        <v>250.64</v>
      </c>
      <c r="H50">
        <v>0</v>
      </c>
      <c r="J50" t="s">
        <v>1019</v>
      </c>
      <c r="K50" s="125"/>
    </row>
    <row r="51" spans="1:11" x14ac:dyDescent="0.2">
      <c r="A51" t="s">
        <v>497</v>
      </c>
      <c r="B51">
        <v>510950</v>
      </c>
      <c r="C51" s="80">
        <v>43270.641481481478</v>
      </c>
      <c r="D51" t="s">
        <v>810</v>
      </c>
      <c r="F51">
        <v>0</v>
      </c>
      <c r="G51">
        <v>0</v>
      </c>
      <c r="H51">
        <v>191.44</v>
      </c>
      <c r="J51" t="s">
        <v>1017</v>
      </c>
      <c r="K51" s="125"/>
    </row>
    <row r="52" spans="1:11" x14ac:dyDescent="0.2">
      <c r="A52" t="s">
        <v>497</v>
      </c>
      <c r="B52">
        <v>510950</v>
      </c>
      <c r="C52" s="80">
        <v>43270.641481481478</v>
      </c>
      <c r="D52" t="s">
        <v>711</v>
      </c>
      <c r="E52" t="s">
        <v>698</v>
      </c>
      <c r="F52">
        <v>159903</v>
      </c>
      <c r="G52">
        <v>13.79</v>
      </c>
      <c r="H52">
        <v>0</v>
      </c>
      <c r="J52" t="s">
        <v>1018</v>
      </c>
      <c r="K52" s="125"/>
    </row>
    <row r="53" spans="1:11" x14ac:dyDescent="0.2">
      <c r="A53" t="s">
        <v>497</v>
      </c>
      <c r="B53">
        <v>510960</v>
      </c>
      <c r="C53" s="80">
        <v>43270.644618055558</v>
      </c>
      <c r="D53" t="s">
        <v>712</v>
      </c>
      <c r="E53" t="s">
        <v>700</v>
      </c>
      <c r="F53">
        <v>138248</v>
      </c>
      <c r="G53">
        <v>177.65</v>
      </c>
      <c r="H53">
        <v>0</v>
      </c>
      <c r="J53" t="s">
        <v>1019</v>
      </c>
      <c r="K53" s="125"/>
    </row>
    <row r="54" spans="1:11" x14ac:dyDescent="0.2">
      <c r="A54" t="s">
        <v>497</v>
      </c>
      <c r="B54">
        <v>513556</v>
      </c>
      <c r="C54" s="80">
        <v>43281.543136574073</v>
      </c>
      <c r="D54" t="s">
        <v>811</v>
      </c>
      <c r="E54" t="s">
        <v>710</v>
      </c>
      <c r="F54">
        <v>3680</v>
      </c>
      <c r="G54">
        <v>85</v>
      </c>
      <c r="H54">
        <v>0</v>
      </c>
      <c r="J54" t="s">
        <v>1020</v>
      </c>
      <c r="K54" s="125"/>
    </row>
    <row r="55" spans="1:11" x14ac:dyDescent="0.2">
      <c r="A55" t="s">
        <v>475</v>
      </c>
      <c r="B55">
        <v>507500</v>
      </c>
      <c r="C55" s="80">
        <v>43256.647951388892</v>
      </c>
      <c r="D55" t="s">
        <v>696</v>
      </c>
      <c r="F55">
        <v>0</v>
      </c>
      <c r="G55">
        <v>0</v>
      </c>
      <c r="H55">
        <v>425.49</v>
      </c>
      <c r="J55" t="s">
        <v>1017</v>
      </c>
      <c r="K55" s="125"/>
    </row>
    <row r="56" spans="1:11" x14ac:dyDescent="0.2">
      <c r="A56" t="s">
        <v>475</v>
      </c>
      <c r="B56">
        <v>507500</v>
      </c>
      <c r="C56" s="80">
        <v>43256.647951388892</v>
      </c>
      <c r="D56" t="s">
        <v>697</v>
      </c>
      <c r="E56" t="s">
        <v>698</v>
      </c>
      <c r="F56">
        <v>158745</v>
      </c>
      <c r="G56">
        <v>30.64</v>
      </c>
      <c r="H56">
        <v>0</v>
      </c>
      <c r="J56" t="s">
        <v>1018</v>
      </c>
      <c r="K56" s="125"/>
    </row>
    <row r="57" spans="1:11" x14ac:dyDescent="0.2">
      <c r="A57" t="s">
        <v>475</v>
      </c>
      <c r="B57">
        <v>507544</v>
      </c>
      <c r="C57" s="80">
        <v>43256.650567129633</v>
      </c>
      <c r="D57" t="s">
        <v>699</v>
      </c>
      <c r="E57" t="s">
        <v>700</v>
      </c>
      <c r="F57">
        <v>137050</v>
      </c>
      <c r="G57">
        <v>394.85</v>
      </c>
      <c r="H57">
        <v>0</v>
      </c>
      <c r="J57" t="s">
        <v>1019</v>
      </c>
      <c r="K57" s="125"/>
    </row>
    <row r="58" spans="1:11" x14ac:dyDescent="0.2">
      <c r="A58" t="s">
        <v>475</v>
      </c>
      <c r="B58">
        <v>508740</v>
      </c>
      <c r="C58" s="80">
        <v>43262.639143518521</v>
      </c>
      <c r="D58" t="s">
        <v>812</v>
      </c>
      <c r="F58">
        <v>0</v>
      </c>
      <c r="G58">
        <v>0</v>
      </c>
      <c r="H58">
        <v>36.03</v>
      </c>
      <c r="J58" t="s">
        <v>1017</v>
      </c>
      <c r="K58" s="125"/>
    </row>
    <row r="59" spans="1:11" x14ac:dyDescent="0.2">
      <c r="A59" t="s">
        <v>475</v>
      </c>
      <c r="B59">
        <v>508740</v>
      </c>
      <c r="C59" s="80">
        <v>43262.639143518521</v>
      </c>
      <c r="D59" t="s">
        <v>697</v>
      </c>
      <c r="E59" t="s">
        <v>698</v>
      </c>
      <c r="F59">
        <v>159238</v>
      </c>
      <c r="G59">
        <v>2.59</v>
      </c>
      <c r="H59">
        <v>0</v>
      </c>
      <c r="J59" t="s">
        <v>1018</v>
      </c>
      <c r="K59" s="125"/>
    </row>
    <row r="60" spans="1:11" x14ac:dyDescent="0.2">
      <c r="A60" t="s">
        <v>475</v>
      </c>
      <c r="B60">
        <v>508757</v>
      </c>
      <c r="C60" s="80">
        <v>43262.641192129631</v>
      </c>
      <c r="D60" t="s">
        <v>699</v>
      </c>
      <c r="E60" t="s">
        <v>700</v>
      </c>
      <c r="F60">
        <v>137436</v>
      </c>
      <c r="G60">
        <v>33.44</v>
      </c>
      <c r="H60">
        <v>0</v>
      </c>
      <c r="J60" t="s">
        <v>1019</v>
      </c>
      <c r="K60" s="125"/>
    </row>
    <row r="61" spans="1:11" x14ac:dyDescent="0.2">
      <c r="A61" t="s">
        <v>505</v>
      </c>
      <c r="B61">
        <v>511686</v>
      </c>
      <c r="C61" s="80">
        <v>43273.498842592591</v>
      </c>
      <c r="D61" t="s">
        <v>813</v>
      </c>
      <c r="E61" t="s">
        <v>710</v>
      </c>
      <c r="F61">
        <v>1001</v>
      </c>
      <c r="G61">
        <v>90</v>
      </c>
      <c r="H61">
        <v>0</v>
      </c>
      <c r="J61" t="s">
        <v>1020</v>
      </c>
      <c r="K61" s="125"/>
    </row>
    <row r="62" spans="1:11" x14ac:dyDescent="0.2">
      <c r="A62" t="s">
        <v>505</v>
      </c>
      <c r="B62">
        <v>507485</v>
      </c>
      <c r="C62" s="80">
        <v>43256.647951388892</v>
      </c>
      <c r="D62" t="s">
        <v>703</v>
      </c>
      <c r="F62">
        <v>0</v>
      </c>
      <c r="G62">
        <v>0</v>
      </c>
      <c r="H62">
        <v>233.72</v>
      </c>
      <c r="J62" t="s">
        <v>1017</v>
      </c>
      <c r="K62" s="125"/>
    </row>
    <row r="63" spans="1:11" x14ac:dyDescent="0.2">
      <c r="A63" t="s">
        <v>505</v>
      </c>
      <c r="B63">
        <v>507485</v>
      </c>
      <c r="C63" s="80">
        <v>43256.647951388892</v>
      </c>
      <c r="D63" t="s">
        <v>701</v>
      </c>
      <c r="E63" t="s">
        <v>698</v>
      </c>
      <c r="F63">
        <v>158731</v>
      </c>
      <c r="G63">
        <v>16.82</v>
      </c>
      <c r="H63">
        <v>0</v>
      </c>
      <c r="J63" t="s">
        <v>1018</v>
      </c>
      <c r="K63" s="125"/>
    </row>
    <row r="64" spans="1:11" x14ac:dyDescent="0.2">
      <c r="A64" t="s">
        <v>505</v>
      </c>
      <c r="B64">
        <v>507544</v>
      </c>
      <c r="C64" s="80">
        <v>43256.650567129633</v>
      </c>
      <c r="D64" t="s">
        <v>702</v>
      </c>
      <c r="E64" t="s">
        <v>700</v>
      </c>
      <c r="F64">
        <v>137035</v>
      </c>
      <c r="G64">
        <v>216.9</v>
      </c>
      <c r="H64">
        <v>0</v>
      </c>
      <c r="J64" t="s">
        <v>1019</v>
      </c>
      <c r="K64" s="125"/>
    </row>
    <row r="65" spans="1:11" x14ac:dyDescent="0.2">
      <c r="A65" t="s">
        <v>505</v>
      </c>
      <c r="B65">
        <v>507658</v>
      </c>
      <c r="C65" s="80">
        <v>43257.440069444441</v>
      </c>
      <c r="D65" t="s">
        <v>814</v>
      </c>
      <c r="E65" t="s">
        <v>710</v>
      </c>
      <c r="F65" t="s">
        <v>815</v>
      </c>
      <c r="G65">
        <v>60</v>
      </c>
      <c r="H65">
        <v>0</v>
      </c>
      <c r="J65" t="s">
        <v>1020</v>
      </c>
      <c r="K65" s="125"/>
    </row>
    <row r="66" spans="1:11" x14ac:dyDescent="0.2">
      <c r="A66" t="s">
        <v>505</v>
      </c>
      <c r="B66">
        <v>510951</v>
      </c>
      <c r="C66" s="80">
        <v>43270.641481481478</v>
      </c>
      <c r="D66" t="s">
        <v>816</v>
      </c>
      <c r="F66">
        <v>0</v>
      </c>
      <c r="G66">
        <v>0</v>
      </c>
      <c r="H66">
        <v>232.4</v>
      </c>
      <c r="J66" t="s">
        <v>1017</v>
      </c>
      <c r="K66" s="125"/>
    </row>
    <row r="67" spans="1:11" x14ac:dyDescent="0.2">
      <c r="A67" t="s">
        <v>505</v>
      </c>
      <c r="B67">
        <v>510951</v>
      </c>
      <c r="C67" s="80">
        <v>43270.641481481478</v>
      </c>
      <c r="D67" t="s">
        <v>701</v>
      </c>
      <c r="E67" t="s">
        <v>698</v>
      </c>
      <c r="F67">
        <v>159904</v>
      </c>
      <c r="G67">
        <v>16.73</v>
      </c>
      <c r="H67">
        <v>0</v>
      </c>
      <c r="J67" t="s">
        <v>1018</v>
      </c>
      <c r="K67" s="125"/>
    </row>
    <row r="68" spans="1:11" x14ac:dyDescent="0.2">
      <c r="A68" t="s">
        <v>505</v>
      </c>
      <c r="B68">
        <v>510960</v>
      </c>
      <c r="C68" s="80">
        <v>43270.644618055558</v>
      </c>
      <c r="D68" t="s">
        <v>702</v>
      </c>
      <c r="E68" t="s">
        <v>700</v>
      </c>
      <c r="F68">
        <v>138249</v>
      </c>
      <c r="G68">
        <v>155.66999999999999</v>
      </c>
      <c r="H68">
        <v>0</v>
      </c>
      <c r="J68" t="s">
        <v>1019</v>
      </c>
      <c r="K68" s="125"/>
    </row>
    <row r="69" spans="1:11" x14ac:dyDescent="0.2">
      <c r="A69" t="s">
        <v>503</v>
      </c>
      <c r="B69">
        <v>507511</v>
      </c>
      <c r="C69" s="80">
        <v>43256.647951388892</v>
      </c>
      <c r="D69" t="s">
        <v>705</v>
      </c>
      <c r="F69">
        <v>0</v>
      </c>
      <c r="G69">
        <v>0</v>
      </c>
      <c r="H69">
        <v>288.56</v>
      </c>
      <c r="J69" t="s">
        <v>1017</v>
      </c>
      <c r="K69" s="125"/>
    </row>
    <row r="70" spans="1:11" x14ac:dyDescent="0.2">
      <c r="A70" t="s">
        <v>503</v>
      </c>
      <c r="B70">
        <v>507511</v>
      </c>
      <c r="C70" s="80">
        <v>43256.647951388892</v>
      </c>
      <c r="D70" t="s">
        <v>704</v>
      </c>
      <c r="E70" t="s">
        <v>698</v>
      </c>
      <c r="F70">
        <v>158756</v>
      </c>
      <c r="G70">
        <v>20.77</v>
      </c>
      <c r="H70">
        <v>0</v>
      </c>
      <c r="J70" t="s">
        <v>1018</v>
      </c>
      <c r="K70" s="125"/>
    </row>
    <row r="71" spans="1:11" x14ac:dyDescent="0.2">
      <c r="A71" t="s">
        <v>503</v>
      </c>
      <c r="B71">
        <v>507544</v>
      </c>
      <c r="C71" s="80">
        <v>43256.650567129633</v>
      </c>
      <c r="D71" t="s">
        <v>706</v>
      </c>
      <c r="E71" t="s">
        <v>700</v>
      </c>
      <c r="F71">
        <v>137061</v>
      </c>
      <c r="G71">
        <v>267.79000000000002</v>
      </c>
      <c r="H71">
        <v>0</v>
      </c>
      <c r="J71" t="s">
        <v>1019</v>
      </c>
      <c r="K71" s="125"/>
    </row>
    <row r="72" spans="1:11" x14ac:dyDescent="0.2">
      <c r="A72" t="s">
        <v>503</v>
      </c>
      <c r="B72">
        <v>508420</v>
      </c>
      <c r="C72" s="80">
        <v>43259.540775462963</v>
      </c>
      <c r="D72" t="s">
        <v>817</v>
      </c>
      <c r="F72">
        <v>0</v>
      </c>
      <c r="G72">
        <v>0</v>
      </c>
      <c r="H72">
        <v>172.96</v>
      </c>
      <c r="J72" t="s">
        <v>1017</v>
      </c>
      <c r="K72" s="125"/>
    </row>
    <row r="73" spans="1:11" x14ac:dyDescent="0.2">
      <c r="A73" t="s">
        <v>503</v>
      </c>
      <c r="B73">
        <v>508420</v>
      </c>
      <c r="C73" s="80">
        <v>43259.540775462963</v>
      </c>
      <c r="D73" t="s">
        <v>704</v>
      </c>
      <c r="E73" t="s">
        <v>698</v>
      </c>
      <c r="F73">
        <v>159066</v>
      </c>
      <c r="G73">
        <v>12.46</v>
      </c>
      <c r="H73">
        <v>0</v>
      </c>
      <c r="J73" t="s">
        <v>1018</v>
      </c>
      <c r="K73" s="125"/>
    </row>
    <row r="74" spans="1:11" x14ac:dyDescent="0.2">
      <c r="A74" t="s">
        <v>503</v>
      </c>
      <c r="B74">
        <v>508430</v>
      </c>
      <c r="C74" s="80">
        <v>43259.544641203705</v>
      </c>
      <c r="D74" t="s">
        <v>706</v>
      </c>
      <c r="E74" t="s">
        <v>700</v>
      </c>
      <c r="F74">
        <v>137329</v>
      </c>
      <c r="G74">
        <v>160.5</v>
      </c>
      <c r="H74">
        <v>0</v>
      </c>
      <c r="J74" t="s">
        <v>1019</v>
      </c>
      <c r="K74" s="125"/>
    </row>
    <row r="75" spans="1:11" x14ac:dyDescent="0.2">
      <c r="A75" t="s">
        <v>499</v>
      </c>
      <c r="B75">
        <v>507489</v>
      </c>
      <c r="C75" s="80">
        <v>43256.647951388892</v>
      </c>
      <c r="D75" t="s">
        <v>818</v>
      </c>
      <c r="F75">
        <v>0</v>
      </c>
      <c r="G75">
        <v>0</v>
      </c>
      <c r="H75">
        <v>383.84</v>
      </c>
      <c r="J75" t="s">
        <v>1017</v>
      </c>
      <c r="K75" s="125"/>
    </row>
    <row r="76" spans="1:11" x14ac:dyDescent="0.2">
      <c r="A76" t="s">
        <v>499</v>
      </c>
      <c r="B76">
        <v>507489</v>
      </c>
      <c r="C76" s="80">
        <v>43256.647951388892</v>
      </c>
      <c r="D76" t="s">
        <v>708</v>
      </c>
      <c r="E76" t="s">
        <v>698</v>
      </c>
      <c r="F76">
        <v>158734</v>
      </c>
      <c r="G76">
        <v>27.64</v>
      </c>
      <c r="H76">
        <v>0</v>
      </c>
      <c r="J76" t="s">
        <v>1018</v>
      </c>
      <c r="K76" s="125"/>
    </row>
    <row r="77" spans="1:11" x14ac:dyDescent="0.2">
      <c r="A77" t="s">
        <v>499</v>
      </c>
      <c r="B77">
        <v>507489</v>
      </c>
      <c r="C77" s="80">
        <v>43256.647951388892</v>
      </c>
      <c r="D77" t="s">
        <v>707</v>
      </c>
      <c r="F77">
        <v>0</v>
      </c>
      <c r="G77">
        <v>0</v>
      </c>
      <c r="H77">
        <v>77.680000000000007</v>
      </c>
      <c r="J77" t="s">
        <v>1017</v>
      </c>
      <c r="K77" s="125"/>
    </row>
    <row r="78" spans="1:11" x14ac:dyDescent="0.2">
      <c r="A78" t="s">
        <v>499</v>
      </c>
      <c r="B78">
        <v>507489</v>
      </c>
      <c r="C78" s="80">
        <v>43256.647951388892</v>
      </c>
      <c r="D78" t="s">
        <v>708</v>
      </c>
      <c r="E78" t="s">
        <v>698</v>
      </c>
      <c r="F78">
        <v>158734</v>
      </c>
      <c r="G78">
        <v>5.59</v>
      </c>
      <c r="H78">
        <v>0</v>
      </c>
      <c r="J78" t="s">
        <v>1018</v>
      </c>
      <c r="K78" s="125"/>
    </row>
    <row r="79" spans="1:11" x14ac:dyDescent="0.2">
      <c r="A79" t="s">
        <v>499</v>
      </c>
      <c r="B79">
        <v>507544</v>
      </c>
      <c r="C79" s="80">
        <v>43256.650567129633</v>
      </c>
      <c r="D79" t="s">
        <v>709</v>
      </c>
      <c r="E79" t="s">
        <v>700</v>
      </c>
      <c r="F79">
        <v>137039</v>
      </c>
      <c r="G79">
        <v>233.29</v>
      </c>
      <c r="H79">
        <v>0</v>
      </c>
      <c r="J79" t="s">
        <v>1019</v>
      </c>
      <c r="K79" s="125"/>
    </row>
    <row r="80" spans="1:11" x14ac:dyDescent="0.2">
      <c r="A80" t="s">
        <v>490</v>
      </c>
      <c r="B80">
        <v>508739</v>
      </c>
      <c r="C80" s="80">
        <v>43262.639143518521</v>
      </c>
      <c r="D80" t="s">
        <v>819</v>
      </c>
      <c r="F80">
        <v>0</v>
      </c>
      <c r="G80">
        <v>0</v>
      </c>
      <c r="H80">
        <v>150</v>
      </c>
      <c r="J80" t="s">
        <v>1017</v>
      </c>
      <c r="K80" s="125"/>
    </row>
    <row r="81" spans="1:11" x14ac:dyDescent="0.2">
      <c r="A81" t="s">
        <v>490</v>
      </c>
      <c r="B81">
        <v>508739</v>
      </c>
      <c r="C81" s="80">
        <v>43262.639143518521</v>
      </c>
      <c r="D81" t="s">
        <v>820</v>
      </c>
      <c r="E81" t="s">
        <v>698</v>
      </c>
      <c r="F81">
        <v>159237</v>
      </c>
      <c r="G81">
        <v>10.8</v>
      </c>
      <c r="H81">
        <v>0</v>
      </c>
      <c r="J81" t="s">
        <v>1018</v>
      </c>
      <c r="K81" s="125"/>
    </row>
    <row r="82" spans="1:11" x14ac:dyDescent="0.2">
      <c r="A82" t="s">
        <v>490</v>
      </c>
      <c r="B82">
        <v>508757</v>
      </c>
      <c r="C82" s="80">
        <v>43262.641192129631</v>
      </c>
      <c r="D82" t="s">
        <v>821</v>
      </c>
      <c r="E82" t="s">
        <v>700</v>
      </c>
      <c r="F82">
        <v>137435</v>
      </c>
      <c r="G82">
        <v>139.19999999999999</v>
      </c>
      <c r="H82">
        <v>0</v>
      </c>
      <c r="J82" t="s">
        <v>1019</v>
      </c>
      <c r="K82" s="125"/>
    </row>
    <row r="83" spans="1:11" x14ac:dyDescent="0.2">
      <c r="A83" t="s">
        <v>490</v>
      </c>
      <c r="B83">
        <v>512732</v>
      </c>
      <c r="C83" s="80">
        <v>43278.667997685188</v>
      </c>
      <c r="D83" t="s">
        <v>819</v>
      </c>
      <c r="F83">
        <v>0</v>
      </c>
      <c r="G83">
        <v>0</v>
      </c>
      <c r="H83">
        <v>100</v>
      </c>
      <c r="J83" t="s">
        <v>1017</v>
      </c>
      <c r="K83" s="125"/>
    </row>
    <row r="84" spans="1:11" x14ac:dyDescent="0.2">
      <c r="A84" t="s">
        <v>490</v>
      </c>
      <c r="B84">
        <v>512732</v>
      </c>
      <c r="C84" s="80">
        <v>43278.667997685188</v>
      </c>
      <c r="D84" t="s">
        <v>820</v>
      </c>
      <c r="E84" t="s">
        <v>698</v>
      </c>
      <c r="F84">
        <v>160538</v>
      </c>
      <c r="G84">
        <v>7.2</v>
      </c>
      <c r="H84">
        <v>0</v>
      </c>
      <c r="J84" t="s">
        <v>1018</v>
      </c>
      <c r="K84" s="125"/>
    </row>
    <row r="85" spans="1:11" x14ac:dyDescent="0.2">
      <c r="A85" t="s">
        <v>490</v>
      </c>
      <c r="B85">
        <v>512747</v>
      </c>
      <c r="C85" s="80">
        <v>43278.672800925924</v>
      </c>
      <c r="D85" t="s">
        <v>821</v>
      </c>
      <c r="E85" t="s">
        <v>700</v>
      </c>
      <c r="F85">
        <v>138715</v>
      </c>
      <c r="G85">
        <v>92.8</v>
      </c>
      <c r="H85">
        <v>0</v>
      </c>
      <c r="J85" t="s">
        <v>1019</v>
      </c>
      <c r="K85" s="125"/>
    </row>
    <row r="86" spans="1:11" x14ac:dyDescent="0.2">
      <c r="A86" t="s">
        <v>490</v>
      </c>
      <c r="B86">
        <v>513031</v>
      </c>
      <c r="C86" s="80">
        <v>43279.642465277779</v>
      </c>
      <c r="D86" t="s">
        <v>819</v>
      </c>
      <c r="F86">
        <v>0</v>
      </c>
      <c r="G86">
        <v>0</v>
      </c>
      <c r="H86">
        <v>100</v>
      </c>
      <c r="J86" t="s">
        <v>1017</v>
      </c>
      <c r="K86" s="125"/>
    </row>
    <row r="87" spans="1:11" x14ac:dyDescent="0.2">
      <c r="A87" t="s">
        <v>490</v>
      </c>
      <c r="B87">
        <v>513031</v>
      </c>
      <c r="C87" s="80">
        <v>43279.642465277779</v>
      </c>
      <c r="D87" t="s">
        <v>820</v>
      </c>
      <c r="E87" t="s">
        <v>698</v>
      </c>
      <c r="F87">
        <v>160704</v>
      </c>
      <c r="G87">
        <v>7.2</v>
      </c>
      <c r="H87">
        <v>0</v>
      </c>
      <c r="J87" t="s">
        <v>1018</v>
      </c>
      <c r="K87" s="125"/>
    </row>
    <row r="88" spans="1:11" x14ac:dyDescent="0.2">
      <c r="A88" t="s">
        <v>490</v>
      </c>
      <c r="B88">
        <v>513035</v>
      </c>
      <c r="C88" s="80">
        <v>43279.645486111112</v>
      </c>
      <c r="D88" t="s">
        <v>821</v>
      </c>
      <c r="E88" t="s">
        <v>700</v>
      </c>
      <c r="F88">
        <v>138807</v>
      </c>
      <c r="G88">
        <v>92.8</v>
      </c>
      <c r="H88">
        <v>0</v>
      </c>
      <c r="J88" t="s">
        <v>1019</v>
      </c>
      <c r="K88" s="125"/>
    </row>
    <row r="89" spans="1:11" x14ac:dyDescent="0.2">
      <c r="A89" t="s">
        <v>489</v>
      </c>
      <c r="B89">
        <v>507492</v>
      </c>
      <c r="C89" s="80">
        <v>43256.647951388892</v>
      </c>
      <c r="D89" t="s">
        <v>822</v>
      </c>
      <c r="F89">
        <v>0</v>
      </c>
      <c r="G89">
        <v>0</v>
      </c>
      <c r="H89">
        <v>120.04</v>
      </c>
      <c r="J89" t="s">
        <v>1017</v>
      </c>
      <c r="K89" s="125"/>
    </row>
    <row r="90" spans="1:11" x14ac:dyDescent="0.2">
      <c r="A90" t="s">
        <v>489</v>
      </c>
      <c r="B90">
        <v>507492</v>
      </c>
      <c r="C90" s="80">
        <v>43256.647951388892</v>
      </c>
      <c r="D90" t="s">
        <v>737</v>
      </c>
      <c r="E90" t="s">
        <v>698</v>
      </c>
      <c r="F90">
        <v>158737</v>
      </c>
      <c r="G90">
        <v>8.64</v>
      </c>
      <c r="H90">
        <v>0</v>
      </c>
      <c r="J90" t="s">
        <v>1018</v>
      </c>
      <c r="K90" s="125"/>
    </row>
    <row r="91" spans="1:11" x14ac:dyDescent="0.2">
      <c r="A91" t="s">
        <v>489</v>
      </c>
      <c r="B91">
        <v>507492</v>
      </c>
      <c r="C91" s="80">
        <v>43256.647951388892</v>
      </c>
      <c r="D91" t="s">
        <v>736</v>
      </c>
      <c r="F91">
        <v>0</v>
      </c>
      <c r="G91">
        <v>0</v>
      </c>
      <c r="H91">
        <v>342.8</v>
      </c>
      <c r="J91" t="s">
        <v>1017</v>
      </c>
      <c r="K91" s="125"/>
    </row>
    <row r="92" spans="1:11" x14ac:dyDescent="0.2">
      <c r="A92" t="s">
        <v>489</v>
      </c>
      <c r="B92">
        <v>507492</v>
      </c>
      <c r="C92" s="80">
        <v>43256.647951388892</v>
      </c>
      <c r="D92" t="s">
        <v>737</v>
      </c>
      <c r="E92" t="s">
        <v>698</v>
      </c>
      <c r="F92">
        <v>158737</v>
      </c>
      <c r="G92">
        <v>24.68</v>
      </c>
      <c r="H92">
        <v>0</v>
      </c>
      <c r="J92" t="s">
        <v>1018</v>
      </c>
      <c r="K92" s="125"/>
    </row>
    <row r="93" spans="1:11" x14ac:dyDescent="0.2">
      <c r="A93" t="s">
        <v>489</v>
      </c>
      <c r="B93">
        <v>507544</v>
      </c>
      <c r="C93" s="80">
        <v>43256.650567129633</v>
      </c>
      <c r="D93" t="s">
        <v>738</v>
      </c>
      <c r="E93" t="s">
        <v>700</v>
      </c>
      <c r="F93">
        <v>137042</v>
      </c>
      <c r="G93">
        <v>429.52</v>
      </c>
      <c r="H93">
        <v>0</v>
      </c>
      <c r="J93" t="s">
        <v>1019</v>
      </c>
      <c r="K93" s="125"/>
    </row>
    <row r="94" spans="1:11" x14ac:dyDescent="0.2">
      <c r="A94" t="s">
        <v>487</v>
      </c>
      <c r="B94">
        <v>507490</v>
      </c>
      <c r="C94" s="80">
        <v>43256.647951388892</v>
      </c>
      <c r="D94" t="s">
        <v>741</v>
      </c>
      <c r="F94">
        <v>0</v>
      </c>
      <c r="G94">
        <v>0</v>
      </c>
      <c r="H94">
        <v>259.49</v>
      </c>
      <c r="J94" t="s">
        <v>1017</v>
      </c>
      <c r="K94" s="125"/>
    </row>
    <row r="95" spans="1:11" x14ac:dyDescent="0.2">
      <c r="A95" t="s">
        <v>487</v>
      </c>
      <c r="B95">
        <v>507490</v>
      </c>
      <c r="C95" s="80">
        <v>43256.647951388892</v>
      </c>
      <c r="D95" t="s">
        <v>739</v>
      </c>
      <c r="E95" t="s">
        <v>698</v>
      </c>
      <c r="F95">
        <v>158735</v>
      </c>
      <c r="G95">
        <v>18.68</v>
      </c>
      <c r="H95">
        <v>0</v>
      </c>
      <c r="J95" t="s">
        <v>1018</v>
      </c>
      <c r="K95" s="125"/>
    </row>
    <row r="96" spans="1:11" x14ac:dyDescent="0.2">
      <c r="A96" t="s">
        <v>487</v>
      </c>
      <c r="B96">
        <v>507544</v>
      </c>
      <c r="C96" s="80">
        <v>43256.650567129633</v>
      </c>
      <c r="D96" t="s">
        <v>740</v>
      </c>
      <c r="E96" t="s">
        <v>700</v>
      </c>
      <c r="F96">
        <v>137040</v>
      </c>
      <c r="G96">
        <v>240.81</v>
      </c>
      <c r="H96">
        <v>0</v>
      </c>
      <c r="J96" t="s">
        <v>1019</v>
      </c>
      <c r="K96" s="125"/>
    </row>
    <row r="97" spans="1:11" x14ac:dyDescent="0.2">
      <c r="A97" t="s">
        <v>487</v>
      </c>
      <c r="B97">
        <v>508735</v>
      </c>
      <c r="C97" s="80">
        <v>43262.639143518521</v>
      </c>
      <c r="D97" t="s">
        <v>823</v>
      </c>
      <c r="F97">
        <v>0</v>
      </c>
      <c r="G97">
        <v>0</v>
      </c>
      <c r="H97">
        <v>202.03</v>
      </c>
      <c r="J97" t="s">
        <v>1017</v>
      </c>
      <c r="K97" s="125"/>
    </row>
    <row r="98" spans="1:11" x14ac:dyDescent="0.2">
      <c r="A98" t="s">
        <v>487</v>
      </c>
      <c r="B98">
        <v>508735</v>
      </c>
      <c r="C98" s="80">
        <v>43262.639143518521</v>
      </c>
      <c r="D98" t="s">
        <v>739</v>
      </c>
      <c r="E98" t="s">
        <v>698</v>
      </c>
      <c r="F98">
        <v>159233</v>
      </c>
      <c r="G98">
        <v>14.54</v>
      </c>
      <c r="H98">
        <v>0</v>
      </c>
      <c r="J98" t="s">
        <v>1018</v>
      </c>
      <c r="K98" s="125"/>
    </row>
    <row r="99" spans="1:11" x14ac:dyDescent="0.2">
      <c r="A99" t="s">
        <v>487</v>
      </c>
      <c r="B99">
        <v>508757</v>
      </c>
      <c r="C99" s="80">
        <v>43262.641192129631</v>
      </c>
      <c r="D99" t="s">
        <v>740</v>
      </c>
      <c r="E99" t="s">
        <v>700</v>
      </c>
      <c r="F99">
        <v>137431</v>
      </c>
      <c r="G99">
        <v>187.49</v>
      </c>
      <c r="H99">
        <v>0</v>
      </c>
      <c r="J99" t="s">
        <v>1019</v>
      </c>
      <c r="K99" s="125"/>
    </row>
    <row r="100" spans="1:11" x14ac:dyDescent="0.2">
      <c r="A100" t="s">
        <v>488</v>
      </c>
      <c r="B100">
        <v>507491</v>
      </c>
      <c r="C100" s="80">
        <v>43256.647951388892</v>
      </c>
      <c r="D100" t="s">
        <v>744</v>
      </c>
      <c r="F100">
        <v>0</v>
      </c>
      <c r="G100">
        <v>0</v>
      </c>
      <c r="H100">
        <v>308.56</v>
      </c>
      <c r="J100" t="s">
        <v>1017</v>
      </c>
      <c r="K100" s="125"/>
    </row>
    <row r="101" spans="1:11" x14ac:dyDescent="0.2">
      <c r="A101" t="s">
        <v>488</v>
      </c>
      <c r="B101">
        <v>507491</v>
      </c>
      <c r="C101" s="80">
        <v>43256.647951388892</v>
      </c>
      <c r="D101" t="s">
        <v>742</v>
      </c>
      <c r="E101" t="s">
        <v>698</v>
      </c>
      <c r="F101">
        <v>158736</v>
      </c>
      <c r="G101">
        <v>22.21</v>
      </c>
      <c r="H101">
        <v>0</v>
      </c>
      <c r="J101" t="s">
        <v>1018</v>
      </c>
      <c r="K101" s="125"/>
    </row>
    <row r="102" spans="1:11" x14ac:dyDescent="0.2">
      <c r="A102" t="s">
        <v>488</v>
      </c>
      <c r="B102">
        <v>507544</v>
      </c>
      <c r="C102" s="80">
        <v>43256.650567129633</v>
      </c>
      <c r="D102" t="s">
        <v>743</v>
      </c>
      <c r="E102" t="s">
        <v>700</v>
      </c>
      <c r="F102">
        <v>137041</v>
      </c>
      <c r="G102">
        <v>286.35000000000002</v>
      </c>
      <c r="H102">
        <v>0</v>
      </c>
      <c r="J102" t="s">
        <v>1019</v>
      </c>
      <c r="K102" s="125"/>
    </row>
    <row r="103" spans="1:11" x14ac:dyDescent="0.2">
      <c r="A103" t="s">
        <v>488</v>
      </c>
      <c r="B103">
        <v>512402</v>
      </c>
      <c r="C103" s="80">
        <v>43277.637418981481</v>
      </c>
      <c r="D103" t="s">
        <v>824</v>
      </c>
      <c r="F103">
        <v>0</v>
      </c>
      <c r="G103">
        <v>0</v>
      </c>
      <c r="H103">
        <v>152.96</v>
      </c>
      <c r="J103" t="s">
        <v>1017</v>
      </c>
      <c r="K103" s="125"/>
    </row>
    <row r="104" spans="1:11" x14ac:dyDescent="0.2">
      <c r="A104" t="s">
        <v>488</v>
      </c>
      <c r="B104">
        <v>512402</v>
      </c>
      <c r="C104" s="80">
        <v>43277.637418981481</v>
      </c>
      <c r="D104" t="s">
        <v>742</v>
      </c>
      <c r="E104" t="s">
        <v>698</v>
      </c>
      <c r="F104">
        <v>160409</v>
      </c>
      <c r="G104">
        <v>11.02</v>
      </c>
      <c r="H104">
        <v>0</v>
      </c>
      <c r="J104" t="s">
        <v>1018</v>
      </c>
      <c r="K104" s="125"/>
    </row>
    <row r="105" spans="1:11" x14ac:dyDescent="0.2">
      <c r="A105" t="s">
        <v>488</v>
      </c>
      <c r="B105">
        <v>512412</v>
      </c>
      <c r="C105" s="80">
        <v>43277.639456018522</v>
      </c>
      <c r="D105" t="s">
        <v>743</v>
      </c>
      <c r="E105" t="s">
        <v>700</v>
      </c>
      <c r="F105">
        <v>138633</v>
      </c>
      <c r="G105">
        <v>141.94</v>
      </c>
      <c r="H105">
        <v>0</v>
      </c>
      <c r="J105" t="s">
        <v>1019</v>
      </c>
      <c r="K105" s="125"/>
    </row>
    <row r="106" spans="1:11" x14ac:dyDescent="0.2">
      <c r="A106" t="s">
        <v>496</v>
      </c>
      <c r="B106">
        <v>507483</v>
      </c>
      <c r="C106" s="80">
        <v>43256.647951388892</v>
      </c>
      <c r="D106" t="s">
        <v>747</v>
      </c>
      <c r="F106">
        <v>0</v>
      </c>
      <c r="G106">
        <v>0</v>
      </c>
      <c r="H106">
        <v>308.57</v>
      </c>
      <c r="J106" t="s">
        <v>1017</v>
      </c>
      <c r="K106" s="125"/>
    </row>
    <row r="107" spans="1:11" x14ac:dyDescent="0.2">
      <c r="A107" t="s">
        <v>496</v>
      </c>
      <c r="B107">
        <v>507483</v>
      </c>
      <c r="C107" s="80">
        <v>43256.647951388892</v>
      </c>
      <c r="D107" t="s">
        <v>745</v>
      </c>
      <c r="E107" t="s">
        <v>698</v>
      </c>
      <c r="F107">
        <v>158729</v>
      </c>
      <c r="G107">
        <v>22.21</v>
      </c>
      <c r="H107">
        <v>0</v>
      </c>
      <c r="J107" t="s">
        <v>1018</v>
      </c>
      <c r="K107" s="125"/>
    </row>
    <row r="108" spans="1:11" x14ac:dyDescent="0.2">
      <c r="A108" t="s">
        <v>496</v>
      </c>
      <c r="B108">
        <v>507544</v>
      </c>
      <c r="C108" s="80">
        <v>43256.650567129633</v>
      </c>
      <c r="D108" t="s">
        <v>746</v>
      </c>
      <c r="E108" t="s">
        <v>700</v>
      </c>
      <c r="F108">
        <v>137033</v>
      </c>
      <c r="G108">
        <v>286.36</v>
      </c>
      <c r="H108">
        <v>0</v>
      </c>
      <c r="J108" t="s">
        <v>1019</v>
      </c>
      <c r="K108" s="125"/>
    </row>
    <row r="109" spans="1:11" x14ac:dyDescent="0.2">
      <c r="A109" t="s">
        <v>496</v>
      </c>
      <c r="B109">
        <v>511269</v>
      </c>
      <c r="C109" s="80">
        <v>43271.643449074072</v>
      </c>
      <c r="D109" t="s">
        <v>825</v>
      </c>
      <c r="F109">
        <v>0</v>
      </c>
      <c r="G109">
        <v>0</v>
      </c>
      <c r="H109">
        <v>152.94999999999999</v>
      </c>
      <c r="J109" t="s">
        <v>1017</v>
      </c>
      <c r="K109" s="125"/>
    </row>
    <row r="110" spans="1:11" x14ac:dyDescent="0.2">
      <c r="A110" t="s">
        <v>496</v>
      </c>
      <c r="B110">
        <v>511269</v>
      </c>
      <c r="C110" s="80">
        <v>43271.643449074072</v>
      </c>
      <c r="D110" t="s">
        <v>745</v>
      </c>
      <c r="E110" t="s">
        <v>698</v>
      </c>
      <c r="F110">
        <v>159997</v>
      </c>
      <c r="G110">
        <v>11.02</v>
      </c>
      <c r="H110">
        <v>0</v>
      </c>
      <c r="J110" t="s">
        <v>1018</v>
      </c>
      <c r="K110" s="125"/>
    </row>
    <row r="111" spans="1:11" x14ac:dyDescent="0.2">
      <c r="A111" t="s">
        <v>496</v>
      </c>
      <c r="B111">
        <v>511276</v>
      </c>
      <c r="C111" s="80">
        <v>43271.647453703707</v>
      </c>
      <c r="D111" t="s">
        <v>746</v>
      </c>
      <c r="E111" t="s">
        <v>700</v>
      </c>
      <c r="F111">
        <v>138349</v>
      </c>
      <c r="G111">
        <v>141.93</v>
      </c>
      <c r="H111">
        <v>0</v>
      </c>
      <c r="J111" t="s">
        <v>1019</v>
      </c>
      <c r="K111" s="125"/>
    </row>
    <row r="112" spans="1:11" x14ac:dyDescent="0.2">
      <c r="A112" t="s">
        <v>498</v>
      </c>
      <c r="B112">
        <v>507819</v>
      </c>
      <c r="C112" s="80">
        <v>43257.642754629633</v>
      </c>
      <c r="D112" t="s">
        <v>826</v>
      </c>
      <c r="F112">
        <v>0</v>
      </c>
      <c r="G112">
        <v>0</v>
      </c>
      <c r="H112">
        <v>500</v>
      </c>
      <c r="J112" t="s">
        <v>1017</v>
      </c>
      <c r="K112" s="125"/>
    </row>
    <row r="113" spans="1:11" x14ac:dyDescent="0.2">
      <c r="A113" t="s">
        <v>498</v>
      </c>
      <c r="B113">
        <v>507819</v>
      </c>
      <c r="C113" s="80">
        <v>43257.642754629633</v>
      </c>
      <c r="D113" t="s">
        <v>748</v>
      </c>
      <c r="E113" t="s">
        <v>698</v>
      </c>
      <c r="F113">
        <v>158875</v>
      </c>
      <c r="G113">
        <v>36</v>
      </c>
      <c r="H113">
        <v>0</v>
      </c>
      <c r="J113" t="s">
        <v>1018</v>
      </c>
      <c r="K113" s="125"/>
    </row>
    <row r="114" spans="1:11" x14ac:dyDescent="0.2">
      <c r="A114" t="s">
        <v>498</v>
      </c>
      <c r="B114">
        <v>507830</v>
      </c>
      <c r="C114" s="80">
        <v>43257.648414351854</v>
      </c>
      <c r="D114" t="s">
        <v>749</v>
      </c>
      <c r="E114" t="s">
        <v>700</v>
      </c>
      <c r="F114">
        <v>137169</v>
      </c>
      <c r="G114">
        <v>464</v>
      </c>
      <c r="H114">
        <v>0</v>
      </c>
      <c r="J114" t="s">
        <v>1019</v>
      </c>
      <c r="K114" s="125"/>
    </row>
    <row r="115" spans="1:11" x14ac:dyDescent="0.2">
      <c r="A115" t="s">
        <v>511</v>
      </c>
      <c r="B115">
        <v>506542</v>
      </c>
      <c r="C115" s="80">
        <v>43255.436631944445</v>
      </c>
      <c r="D115" t="s">
        <v>827</v>
      </c>
      <c r="E115" t="s">
        <v>710</v>
      </c>
      <c r="F115">
        <v>32983</v>
      </c>
      <c r="G115">
        <v>60</v>
      </c>
      <c r="H115">
        <v>0</v>
      </c>
      <c r="J115" t="s">
        <v>1020</v>
      </c>
      <c r="K115" s="125"/>
    </row>
    <row r="116" spans="1:11" x14ac:dyDescent="0.2">
      <c r="A116" t="s">
        <v>511</v>
      </c>
      <c r="B116">
        <v>507502</v>
      </c>
      <c r="C116" s="80">
        <v>43256.647951388892</v>
      </c>
      <c r="D116" t="s">
        <v>828</v>
      </c>
      <c r="F116">
        <v>0</v>
      </c>
      <c r="G116">
        <v>0</v>
      </c>
      <c r="H116">
        <v>374.51</v>
      </c>
      <c r="J116" t="s">
        <v>1017</v>
      </c>
      <c r="K116" s="125"/>
    </row>
    <row r="117" spans="1:11" x14ac:dyDescent="0.2">
      <c r="A117" t="s">
        <v>511</v>
      </c>
      <c r="B117">
        <v>507502</v>
      </c>
      <c r="C117" s="80">
        <v>43256.647951388892</v>
      </c>
      <c r="D117" t="s">
        <v>751</v>
      </c>
      <c r="E117" t="s">
        <v>698</v>
      </c>
      <c r="F117">
        <v>158747</v>
      </c>
      <c r="G117">
        <v>26.96</v>
      </c>
      <c r="H117">
        <v>0</v>
      </c>
      <c r="J117" t="s">
        <v>1018</v>
      </c>
      <c r="K117" s="125"/>
    </row>
    <row r="118" spans="1:11" x14ac:dyDescent="0.2">
      <c r="A118" t="s">
        <v>511</v>
      </c>
      <c r="B118">
        <v>507502</v>
      </c>
      <c r="C118" s="80">
        <v>43256.647951388892</v>
      </c>
      <c r="D118" t="s">
        <v>750</v>
      </c>
      <c r="F118">
        <v>0</v>
      </c>
      <c r="G118">
        <v>0</v>
      </c>
      <c r="H118">
        <v>91.61</v>
      </c>
      <c r="J118" t="s">
        <v>1017</v>
      </c>
      <c r="K118" s="125"/>
    </row>
    <row r="119" spans="1:11" x14ac:dyDescent="0.2">
      <c r="A119" t="s">
        <v>511</v>
      </c>
      <c r="B119">
        <v>507502</v>
      </c>
      <c r="C119" s="80">
        <v>43256.647951388892</v>
      </c>
      <c r="D119" t="s">
        <v>751</v>
      </c>
      <c r="E119" t="s">
        <v>698</v>
      </c>
      <c r="F119">
        <v>158747</v>
      </c>
      <c r="G119">
        <v>6.6</v>
      </c>
      <c r="H119">
        <v>0</v>
      </c>
      <c r="J119" t="s">
        <v>1018</v>
      </c>
      <c r="K119" s="125"/>
    </row>
    <row r="120" spans="1:11" x14ac:dyDescent="0.2">
      <c r="A120" t="s">
        <v>511</v>
      </c>
      <c r="B120">
        <v>507544</v>
      </c>
      <c r="C120" s="80">
        <v>43256.650567129633</v>
      </c>
      <c r="D120" t="s">
        <v>752</v>
      </c>
      <c r="E120" t="s">
        <v>700</v>
      </c>
      <c r="F120">
        <v>137052</v>
      </c>
      <c r="G120">
        <v>372.56</v>
      </c>
      <c r="H120">
        <v>0</v>
      </c>
      <c r="J120" t="s">
        <v>1019</v>
      </c>
      <c r="K120" s="125"/>
    </row>
    <row r="121" spans="1:11" x14ac:dyDescent="0.2">
      <c r="A121" t="s">
        <v>511</v>
      </c>
      <c r="B121">
        <v>508161</v>
      </c>
      <c r="C121" s="80">
        <v>43258.638784722221</v>
      </c>
      <c r="D121" t="s">
        <v>828</v>
      </c>
      <c r="F121">
        <v>0</v>
      </c>
      <c r="G121">
        <v>0</v>
      </c>
      <c r="H121">
        <v>40</v>
      </c>
      <c r="J121" t="s">
        <v>1017</v>
      </c>
      <c r="K121" s="125"/>
    </row>
    <row r="122" spans="1:11" x14ac:dyDescent="0.2">
      <c r="A122" t="s">
        <v>511</v>
      </c>
      <c r="B122">
        <v>508161</v>
      </c>
      <c r="C122" s="80">
        <v>43258.638784722221</v>
      </c>
      <c r="D122" t="s">
        <v>751</v>
      </c>
      <c r="E122" t="s">
        <v>698</v>
      </c>
      <c r="F122">
        <v>158976</v>
      </c>
      <c r="G122">
        <v>2.88</v>
      </c>
      <c r="H122">
        <v>0</v>
      </c>
      <c r="J122" t="s">
        <v>1018</v>
      </c>
      <c r="K122" s="125"/>
    </row>
    <row r="123" spans="1:11" x14ac:dyDescent="0.2">
      <c r="A123" t="s">
        <v>511</v>
      </c>
      <c r="B123">
        <v>508168</v>
      </c>
      <c r="C123" s="80">
        <v>43258.643425925926</v>
      </c>
      <c r="D123" t="s">
        <v>752</v>
      </c>
      <c r="E123" t="s">
        <v>700</v>
      </c>
      <c r="F123">
        <v>137251</v>
      </c>
      <c r="G123">
        <v>37.119999999999997</v>
      </c>
      <c r="H123">
        <v>0</v>
      </c>
      <c r="J123" t="s">
        <v>1019</v>
      </c>
      <c r="K123" s="125"/>
    </row>
    <row r="124" spans="1:11" x14ac:dyDescent="0.2">
      <c r="A124" t="s">
        <v>502</v>
      </c>
      <c r="B124">
        <v>507509</v>
      </c>
      <c r="C124" s="80">
        <v>43256.647951388892</v>
      </c>
      <c r="D124" t="s">
        <v>755</v>
      </c>
      <c r="F124">
        <v>0</v>
      </c>
      <c r="G124">
        <v>0</v>
      </c>
      <c r="H124">
        <v>117.56</v>
      </c>
      <c r="J124" t="s">
        <v>1017</v>
      </c>
      <c r="K124" s="125"/>
    </row>
    <row r="125" spans="1:11" x14ac:dyDescent="0.2">
      <c r="A125" t="s">
        <v>502</v>
      </c>
      <c r="B125">
        <v>507509</v>
      </c>
      <c r="C125" s="80">
        <v>43256.647951388892</v>
      </c>
      <c r="D125" t="s">
        <v>753</v>
      </c>
      <c r="E125" t="s">
        <v>698</v>
      </c>
      <c r="F125">
        <v>158754</v>
      </c>
      <c r="G125">
        <v>8.4600000000000009</v>
      </c>
      <c r="H125">
        <v>0</v>
      </c>
      <c r="J125" t="s">
        <v>1018</v>
      </c>
      <c r="K125" s="125"/>
    </row>
    <row r="126" spans="1:11" x14ac:dyDescent="0.2">
      <c r="A126" t="s">
        <v>502</v>
      </c>
      <c r="B126">
        <v>507544</v>
      </c>
      <c r="C126" s="80">
        <v>43256.650567129633</v>
      </c>
      <c r="D126" t="s">
        <v>754</v>
      </c>
      <c r="E126" t="s">
        <v>700</v>
      </c>
      <c r="F126">
        <v>137059</v>
      </c>
      <c r="G126">
        <v>109.1</v>
      </c>
      <c r="H126">
        <v>0</v>
      </c>
      <c r="J126" t="s">
        <v>1019</v>
      </c>
      <c r="K126" s="125"/>
    </row>
    <row r="127" spans="1:11" x14ac:dyDescent="0.2">
      <c r="A127" t="s">
        <v>502</v>
      </c>
      <c r="B127">
        <v>509146</v>
      </c>
      <c r="C127" s="80">
        <v>43263.65111111111</v>
      </c>
      <c r="D127" t="s">
        <v>829</v>
      </c>
      <c r="F127">
        <v>0</v>
      </c>
      <c r="G127">
        <v>0</v>
      </c>
      <c r="H127">
        <v>343.96</v>
      </c>
      <c r="J127" t="s">
        <v>1017</v>
      </c>
      <c r="K127" s="125"/>
    </row>
    <row r="128" spans="1:11" x14ac:dyDescent="0.2">
      <c r="A128" t="s">
        <v>502</v>
      </c>
      <c r="B128">
        <v>509146</v>
      </c>
      <c r="C128" s="80">
        <v>43263.65111111111</v>
      </c>
      <c r="D128" t="s">
        <v>753</v>
      </c>
      <c r="E128" t="s">
        <v>698</v>
      </c>
      <c r="F128">
        <v>159391</v>
      </c>
      <c r="G128">
        <v>24.77</v>
      </c>
      <c r="H128">
        <v>0</v>
      </c>
      <c r="J128" t="s">
        <v>1018</v>
      </c>
      <c r="K128" s="125"/>
    </row>
    <row r="129" spans="1:11" x14ac:dyDescent="0.2">
      <c r="A129" t="s">
        <v>502</v>
      </c>
      <c r="B129">
        <v>509157</v>
      </c>
      <c r="C129" s="80">
        <v>43263.655451388891</v>
      </c>
      <c r="D129" t="s">
        <v>754</v>
      </c>
      <c r="E129" t="s">
        <v>700</v>
      </c>
      <c r="F129">
        <v>137572</v>
      </c>
      <c r="G129">
        <v>319.19</v>
      </c>
      <c r="H129">
        <v>0</v>
      </c>
      <c r="J129" t="s">
        <v>1019</v>
      </c>
      <c r="K129" s="125"/>
    </row>
    <row r="130" spans="1:11" x14ac:dyDescent="0.2">
      <c r="A130" t="s">
        <v>502</v>
      </c>
      <c r="B130">
        <v>510750</v>
      </c>
      <c r="C130" s="80">
        <v>43270.40519675926</v>
      </c>
      <c r="D130" t="s">
        <v>830</v>
      </c>
      <c r="E130" t="s">
        <v>710</v>
      </c>
      <c r="F130">
        <v>64</v>
      </c>
      <c r="G130">
        <v>160</v>
      </c>
      <c r="H130">
        <v>0</v>
      </c>
      <c r="J130" t="s">
        <v>1020</v>
      </c>
      <c r="K130" s="125"/>
    </row>
    <row r="131" spans="1:11" x14ac:dyDescent="0.2">
      <c r="A131" t="s">
        <v>502</v>
      </c>
      <c r="B131">
        <v>511150</v>
      </c>
      <c r="C131" s="80">
        <v>43271.501030092593</v>
      </c>
      <c r="D131" t="s">
        <v>831</v>
      </c>
      <c r="E131" t="s">
        <v>710</v>
      </c>
      <c r="F131" t="s">
        <v>832</v>
      </c>
      <c r="G131">
        <v>78</v>
      </c>
      <c r="H131">
        <v>0</v>
      </c>
      <c r="J131" t="s">
        <v>1020</v>
      </c>
      <c r="K131" s="125"/>
    </row>
    <row r="132" spans="1:11" x14ac:dyDescent="0.2">
      <c r="A132" t="s">
        <v>500</v>
      </c>
      <c r="B132">
        <v>508730</v>
      </c>
      <c r="C132" s="80">
        <v>43262.639143518521</v>
      </c>
      <c r="D132" t="s">
        <v>833</v>
      </c>
      <c r="F132">
        <v>0</v>
      </c>
      <c r="G132">
        <v>0</v>
      </c>
      <c r="H132">
        <v>650</v>
      </c>
      <c r="J132" t="s">
        <v>1017</v>
      </c>
      <c r="K132" s="125"/>
    </row>
    <row r="133" spans="1:11" x14ac:dyDescent="0.2">
      <c r="A133" t="s">
        <v>500</v>
      </c>
      <c r="B133">
        <v>508730</v>
      </c>
      <c r="C133" s="80">
        <v>43262.639143518521</v>
      </c>
      <c r="D133" t="s">
        <v>756</v>
      </c>
      <c r="E133" t="s">
        <v>698</v>
      </c>
      <c r="F133">
        <v>159228</v>
      </c>
      <c r="G133">
        <v>46.8</v>
      </c>
      <c r="H133">
        <v>0</v>
      </c>
      <c r="J133" t="s">
        <v>1018</v>
      </c>
      <c r="K133" s="125"/>
    </row>
    <row r="134" spans="1:11" x14ac:dyDescent="0.2">
      <c r="A134" t="s">
        <v>500</v>
      </c>
      <c r="B134">
        <v>508757</v>
      </c>
      <c r="C134" s="80">
        <v>43262.641192129631</v>
      </c>
      <c r="D134" t="s">
        <v>757</v>
      </c>
      <c r="E134" t="s">
        <v>700</v>
      </c>
      <c r="F134">
        <v>137426</v>
      </c>
      <c r="G134">
        <v>603.20000000000005</v>
      </c>
      <c r="H134">
        <v>0</v>
      </c>
      <c r="J134" t="s">
        <v>1019</v>
      </c>
      <c r="K134" s="125"/>
    </row>
    <row r="135" spans="1:11" x14ac:dyDescent="0.2">
      <c r="A135" t="s">
        <v>500</v>
      </c>
      <c r="B135">
        <v>511683</v>
      </c>
      <c r="C135" s="80">
        <v>43273.492488425924</v>
      </c>
      <c r="D135" t="s">
        <v>834</v>
      </c>
      <c r="E135" t="s">
        <v>710</v>
      </c>
      <c r="F135">
        <v>1168</v>
      </c>
      <c r="G135">
        <v>85</v>
      </c>
      <c r="H135">
        <v>0</v>
      </c>
      <c r="J135" t="s">
        <v>1020</v>
      </c>
      <c r="K135" s="125"/>
    </row>
    <row r="136" spans="1:11" x14ac:dyDescent="0.2">
      <c r="A136" t="s">
        <v>500</v>
      </c>
      <c r="B136">
        <v>513549</v>
      </c>
      <c r="C136" s="80">
        <v>43281.5390162037</v>
      </c>
      <c r="D136" t="s">
        <v>835</v>
      </c>
      <c r="E136" t="s">
        <v>710</v>
      </c>
      <c r="F136">
        <v>1168</v>
      </c>
      <c r="G136">
        <v>85</v>
      </c>
      <c r="H136">
        <v>0</v>
      </c>
      <c r="J136" t="s">
        <v>1020</v>
      </c>
      <c r="K136" s="125"/>
    </row>
    <row r="137" spans="1:11" x14ac:dyDescent="0.2">
      <c r="A137" t="s">
        <v>504</v>
      </c>
      <c r="B137">
        <v>509519</v>
      </c>
      <c r="C137" s="80">
        <v>43264.627870370372</v>
      </c>
      <c r="D137" t="s">
        <v>836</v>
      </c>
      <c r="F137">
        <v>0</v>
      </c>
      <c r="G137">
        <v>0</v>
      </c>
      <c r="H137">
        <v>550</v>
      </c>
      <c r="J137" t="s">
        <v>1017</v>
      </c>
      <c r="K137" s="125"/>
    </row>
    <row r="138" spans="1:11" x14ac:dyDescent="0.2">
      <c r="A138" t="s">
        <v>504</v>
      </c>
      <c r="B138">
        <v>509519</v>
      </c>
      <c r="C138" s="80">
        <v>43264.627870370372</v>
      </c>
      <c r="D138" t="s">
        <v>758</v>
      </c>
      <c r="E138" t="s">
        <v>698</v>
      </c>
      <c r="F138">
        <v>159461</v>
      </c>
      <c r="G138">
        <v>39.6</v>
      </c>
      <c r="H138">
        <v>0</v>
      </c>
      <c r="J138" t="s">
        <v>1018</v>
      </c>
      <c r="K138" s="125"/>
    </row>
    <row r="139" spans="1:11" x14ac:dyDescent="0.2">
      <c r="A139" t="s">
        <v>504</v>
      </c>
      <c r="B139">
        <v>509523</v>
      </c>
      <c r="C139" s="80">
        <v>43264.632384259261</v>
      </c>
      <c r="D139" t="s">
        <v>759</v>
      </c>
      <c r="E139" t="s">
        <v>700</v>
      </c>
      <c r="F139">
        <v>137759</v>
      </c>
      <c r="G139">
        <v>510.4</v>
      </c>
      <c r="H139">
        <v>0</v>
      </c>
      <c r="J139" t="s">
        <v>1019</v>
      </c>
      <c r="K139" s="125"/>
    </row>
    <row r="140" spans="1:11" x14ac:dyDescent="0.2">
      <c r="A140" t="s">
        <v>469</v>
      </c>
      <c r="B140">
        <v>507479</v>
      </c>
      <c r="C140" s="80">
        <v>43256.647951388892</v>
      </c>
      <c r="D140" t="s">
        <v>762</v>
      </c>
      <c r="F140">
        <v>0</v>
      </c>
      <c r="G140">
        <v>0</v>
      </c>
      <c r="H140">
        <v>308.56</v>
      </c>
      <c r="J140" t="s">
        <v>1017</v>
      </c>
      <c r="K140" s="125"/>
    </row>
    <row r="141" spans="1:11" x14ac:dyDescent="0.2">
      <c r="A141" t="s">
        <v>469</v>
      </c>
      <c r="B141">
        <v>507479</v>
      </c>
      <c r="C141" s="80">
        <v>43256.647951388892</v>
      </c>
      <c r="D141" t="s">
        <v>760</v>
      </c>
      <c r="E141" t="s">
        <v>698</v>
      </c>
      <c r="F141">
        <v>158725</v>
      </c>
      <c r="G141">
        <v>22.21</v>
      </c>
      <c r="H141">
        <v>0</v>
      </c>
      <c r="J141" t="s">
        <v>1018</v>
      </c>
      <c r="K141" s="125"/>
    </row>
    <row r="142" spans="1:11" x14ac:dyDescent="0.2">
      <c r="A142" t="s">
        <v>469</v>
      </c>
      <c r="B142">
        <v>507544</v>
      </c>
      <c r="C142" s="80">
        <v>43256.650567129633</v>
      </c>
      <c r="D142" t="s">
        <v>761</v>
      </c>
      <c r="E142" t="s">
        <v>700</v>
      </c>
      <c r="F142">
        <v>137029</v>
      </c>
      <c r="G142">
        <v>261.35000000000002</v>
      </c>
      <c r="H142">
        <v>0</v>
      </c>
      <c r="J142" t="s">
        <v>1019</v>
      </c>
      <c r="K142" s="125"/>
    </row>
    <row r="143" spans="1:11" x14ac:dyDescent="0.2">
      <c r="A143" t="s">
        <v>469</v>
      </c>
      <c r="B143">
        <v>512046</v>
      </c>
      <c r="C143" s="80">
        <v>43276.649606481478</v>
      </c>
      <c r="D143" t="s">
        <v>837</v>
      </c>
      <c r="F143">
        <v>0</v>
      </c>
      <c r="G143">
        <v>0</v>
      </c>
      <c r="H143">
        <v>152.96</v>
      </c>
      <c r="J143" t="s">
        <v>1017</v>
      </c>
      <c r="K143" s="125"/>
    </row>
    <row r="144" spans="1:11" x14ac:dyDescent="0.2">
      <c r="A144" t="s">
        <v>469</v>
      </c>
      <c r="B144">
        <v>512046</v>
      </c>
      <c r="C144" s="80">
        <v>43276.649606481478</v>
      </c>
      <c r="D144" t="s">
        <v>760</v>
      </c>
      <c r="E144" t="s">
        <v>698</v>
      </c>
      <c r="F144">
        <v>160239</v>
      </c>
      <c r="G144">
        <v>11.02</v>
      </c>
      <c r="H144">
        <v>0</v>
      </c>
      <c r="J144" t="s">
        <v>1018</v>
      </c>
      <c r="K144" s="125"/>
    </row>
    <row r="145" spans="1:11" x14ac:dyDescent="0.2">
      <c r="A145" t="s">
        <v>469</v>
      </c>
      <c r="B145">
        <v>512063</v>
      </c>
      <c r="C145" s="80">
        <v>43276.658946759257</v>
      </c>
      <c r="D145" t="s">
        <v>761</v>
      </c>
      <c r="E145" t="s">
        <v>700</v>
      </c>
      <c r="F145">
        <v>138548</v>
      </c>
      <c r="G145">
        <v>141.94</v>
      </c>
      <c r="H145">
        <v>0</v>
      </c>
      <c r="J145" t="s">
        <v>1019</v>
      </c>
      <c r="K145" s="125"/>
    </row>
    <row r="146" spans="1:11" x14ac:dyDescent="0.2">
      <c r="A146" t="s">
        <v>561</v>
      </c>
      <c r="B146">
        <v>508738</v>
      </c>
      <c r="C146" s="80">
        <v>43262.639143518521</v>
      </c>
      <c r="D146" t="s">
        <v>838</v>
      </c>
      <c r="F146">
        <v>0</v>
      </c>
      <c r="G146">
        <v>0</v>
      </c>
      <c r="H146">
        <v>421.73</v>
      </c>
      <c r="J146" t="s">
        <v>1017</v>
      </c>
      <c r="K146" s="125"/>
    </row>
    <row r="147" spans="1:11" x14ac:dyDescent="0.2">
      <c r="A147" t="s">
        <v>561</v>
      </c>
      <c r="B147">
        <v>508738</v>
      </c>
      <c r="C147" s="80">
        <v>43262.639143518521</v>
      </c>
      <c r="D147" t="s">
        <v>764</v>
      </c>
      <c r="E147" t="s">
        <v>698</v>
      </c>
      <c r="F147">
        <v>159236</v>
      </c>
      <c r="G147">
        <v>30.36</v>
      </c>
      <c r="H147">
        <v>0</v>
      </c>
      <c r="J147" t="s">
        <v>1018</v>
      </c>
      <c r="K147" s="125"/>
    </row>
    <row r="148" spans="1:11" x14ac:dyDescent="0.2">
      <c r="A148" t="s">
        <v>561</v>
      </c>
      <c r="B148">
        <v>508738</v>
      </c>
      <c r="C148" s="80">
        <v>43262.639143518521</v>
      </c>
      <c r="D148" t="s">
        <v>763</v>
      </c>
      <c r="F148">
        <v>0</v>
      </c>
      <c r="G148">
        <v>0</v>
      </c>
      <c r="H148">
        <v>78.27</v>
      </c>
      <c r="J148" t="s">
        <v>1017</v>
      </c>
      <c r="K148" s="125"/>
    </row>
    <row r="149" spans="1:11" x14ac:dyDescent="0.2">
      <c r="A149" t="s">
        <v>561</v>
      </c>
      <c r="B149">
        <v>508738</v>
      </c>
      <c r="C149" s="80">
        <v>43262.639143518521</v>
      </c>
      <c r="D149" t="s">
        <v>764</v>
      </c>
      <c r="E149" t="s">
        <v>698</v>
      </c>
      <c r="F149">
        <v>159236</v>
      </c>
      <c r="G149">
        <v>5.64</v>
      </c>
      <c r="H149">
        <v>0</v>
      </c>
      <c r="J149" t="s">
        <v>1018</v>
      </c>
      <c r="K149" s="125"/>
    </row>
    <row r="150" spans="1:11" x14ac:dyDescent="0.2">
      <c r="A150" t="s">
        <v>561</v>
      </c>
      <c r="B150">
        <v>508757</v>
      </c>
      <c r="C150" s="80">
        <v>43262.641192129631</v>
      </c>
      <c r="D150" t="s">
        <v>765</v>
      </c>
      <c r="E150" t="s">
        <v>700</v>
      </c>
      <c r="F150">
        <v>137434</v>
      </c>
      <c r="G150">
        <v>464</v>
      </c>
      <c r="H150">
        <v>0</v>
      </c>
      <c r="J150" t="s">
        <v>1019</v>
      </c>
      <c r="K150" s="125"/>
    </row>
    <row r="151" spans="1:11" x14ac:dyDescent="0.2">
      <c r="A151" t="s">
        <v>471</v>
      </c>
      <c r="B151">
        <v>507504</v>
      </c>
      <c r="C151" s="80">
        <v>43256.647951388892</v>
      </c>
      <c r="D151" t="s">
        <v>768</v>
      </c>
      <c r="F151">
        <v>0</v>
      </c>
      <c r="G151">
        <v>0</v>
      </c>
      <c r="H151">
        <v>308.56</v>
      </c>
      <c r="J151" t="s">
        <v>1017</v>
      </c>
      <c r="K151" s="125"/>
    </row>
    <row r="152" spans="1:11" x14ac:dyDescent="0.2">
      <c r="A152" t="s">
        <v>471</v>
      </c>
      <c r="B152">
        <v>507504</v>
      </c>
      <c r="C152" s="80">
        <v>43256.647951388892</v>
      </c>
      <c r="D152" t="s">
        <v>766</v>
      </c>
      <c r="E152" t="s">
        <v>698</v>
      </c>
      <c r="F152">
        <v>158749</v>
      </c>
      <c r="G152">
        <v>22.21</v>
      </c>
      <c r="H152">
        <v>0</v>
      </c>
      <c r="J152" t="s">
        <v>1018</v>
      </c>
      <c r="K152" s="125"/>
    </row>
    <row r="153" spans="1:11" x14ac:dyDescent="0.2">
      <c r="A153" t="s">
        <v>471</v>
      </c>
      <c r="B153">
        <v>507544</v>
      </c>
      <c r="C153" s="80">
        <v>43256.650567129633</v>
      </c>
      <c r="D153" t="s">
        <v>767</v>
      </c>
      <c r="E153" t="s">
        <v>700</v>
      </c>
      <c r="F153">
        <v>137054</v>
      </c>
      <c r="G153">
        <v>286.35000000000002</v>
      </c>
      <c r="H153">
        <v>0</v>
      </c>
      <c r="J153" t="s">
        <v>1019</v>
      </c>
      <c r="K153" s="125"/>
    </row>
    <row r="154" spans="1:11" x14ac:dyDescent="0.2">
      <c r="A154" t="s">
        <v>471</v>
      </c>
      <c r="B154">
        <v>512404</v>
      </c>
      <c r="C154" s="80">
        <v>43277.637418981481</v>
      </c>
      <c r="D154" t="s">
        <v>839</v>
      </c>
      <c r="F154">
        <v>0</v>
      </c>
      <c r="G154">
        <v>0</v>
      </c>
      <c r="H154">
        <v>152.96</v>
      </c>
      <c r="J154" t="s">
        <v>1017</v>
      </c>
      <c r="K154" s="125"/>
    </row>
    <row r="155" spans="1:11" x14ac:dyDescent="0.2">
      <c r="A155" t="s">
        <v>471</v>
      </c>
      <c r="B155">
        <v>512404</v>
      </c>
      <c r="C155" s="80">
        <v>43277.637418981481</v>
      </c>
      <c r="D155" t="s">
        <v>766</v>
      </c>
      <c r="E155" t="s">
        <v>698</v>
      </c>
      <c r="F155">
        <v>160411</v>
      </c>
      <c r="G155">
        <v>11.02</v>
      </c>
      <c r="H155">
        <v>0</v>
      </c>
      <c r="J155" t="s">
        <v>1018</v>
      </c>
      <c r="K155" s="125"/>
    </row>
    <row r="156" spans="1:11" x14ac:dyDescent="0.2">
      <c r="A156" t="s">
        <v>471</v>
      </c>
      <c r="B156">
        <v>512412</v>
      </c>
      <c r="C156" s="80">
        <v>43277.639456018522</v>
      </c>
      <c r="D156" t="s">
        <v>767</v>
      </c>
      <c r="E156" t="s">
        <v>700</v>
      </c>
      <c r="F156">
        <v>138635</v>
      </c>
      <c r="G156">
        <v>141.94</v>
      </c>
      <c r="H156">
        <v>0</v>
      </c>
      <c r="J156" t="s">
        <v>1019</v>
      </c>
      <c r="K156" s="125"/>
    </row>
    <row r="157" spans="1:11" x14ac:dyDescent="0.2">
      <c r="A157" t="s">
        <v>478</v>
      </c>
      <c r="B157">
        <v>507503</v>
      </c>
      <c r="C157" s="80">
        <v>43256.647951388892</v>
      </c>
      <c r="D157" t="s">
        <v>771</v>
      </c>
      <c r="F157">
        <v>0</v>
      </c>
      <c r="G157">
        <v>0</v>
      </c>
      <c r="H157">
        <v>153.80000000000001</v>
      </c>
      <c r="J157" t="s">
        <v>1017</v>
      </c>
      <c r="K157" s="125"/>
    </row>
    <row r="158" spans="1:11" x14ac:dyDescent="0.2">
      <c r="A158" t="s">
        <v>478</v>
      </c>
      <c r="B158">
        <v>507503</v>
      </c>
      <c r="C158" s="80">
        <v>43256.647951388892</v>
      </c>
      <c r="D158" t="s">
        <v>769</v>
      </c>
      <c r="E158" t="s">
        <v>698</v>
      </c>
      <c r="F158">
        <v>158748</v>
      </c>
      <c r="G158">
        <v>11.08</v>
      </c>
      <c r="H158">
        <v>0</v>
      </c>
      <c r="J158" t="s">
        <v>1018</v>
      </c>
      <c r="K158" s="125"/>
    </row>
    <row r="159" spans="1:11" x14ac:dyDescent="0.2">
      <c r="A159" t="s">
        <v>478</v>
      </c>
      <c r="B159">
        <v>507544</v>
      </c>
      <c r="C159" s="80">
        <v>43256.650567129633</v>
      </c>
      <c r="D159" t="s">
        <v>770</v>
      </c>
      <c r="E159" t="s">
        <v>700</v>
      </c>
      <c r="F159">
        <v>137053</v>
      </c>
      <c r="G159">
        <v>142.72</v>
      </c>
      <c r="H159">
        <v>0</v>
      </c>
      <c r="J159" t="s">
        <v>1019</v>
      </c>
      <c r="K159" s="125"/>
    </row>
    <row r="160" spans="1:11" x14ac:dyDescent="0.2">
      <c r="A160" t="s">
        <v>478</v>
      </c>
      <c r="B160">
        <v>507662</v>
      </c>
      <c r="C160" s="80">
        <v>43257.444224537037</v>
      </c>
      <c r="D160" t="s">
        <v>840</v>
      </c>
      <c r="E160" t="s">
        <v>710</v>
      </c>
      <c r="F160" t="s">
        <v>841</v>
      </c>
      <c r="G160">
        <v>60</v>
      </c>
      <c r="H160">
        <v>0</v>
      </c>
      <c r="J160" t="s">
        <v>1020</v>
      </c>
      <c r="K160" s="125"/>
    </row>
    <row r="161" spans="1:11" x14ac:dyDescent="0.2">
      <c r="A161" t="s">
        <v>478</v>
      </c>
      <c r="B161">
        <v>510601</v>
      </c>
      <c r="C161" s="80">
        <v>43269.654236111113</v>
      </c>
      <c r="D161" t="s">
        <v>842</v>
      </c>
      <c r="F161">
        <v>0</v>
      </c>
      <c r="G161">
        <v>0</v>
      </c>
      <c r="H161">
        <v>210.8</v>
      </c>
      <c r="J161" t="s">
        <v>1017</v>
      </c>
      <c r="K161" s="125"/>
    </row>
    <row r="162" spans="1:11" x14ac:dyDescent="0.2">
      <c r="A162" t="s">
        <v>478</v>
      </c>
      <c r="B162">
        <v>510601</v>
      </c>
      <c r="C162" s="80">
        <v>43269.654236111113</v>
      </c>
      <c r="D162" t="s">
        <v>769</v>
      </c>
      <c r="E162" t="s">
        <v>698</v>
      </c>
      <c r="F162">
        <v>159769</v>
      </c>
      <c r="G162">
        <v>15.18</v>
      </c>
      <c r="H162">
        <v>0</v>
      </c>
      <c r="J162" t="s">
        <v>1018</v>
      </c>
      <c r="K162" s="125"/>
    </row>
    <row r="163" spans="1:11" x14ac:dyDescent="0.2">
      <c r="A163" t="s">
        <v>478</v>
      </c>
      <c r="B163">
        <v>510608</v>
      </c>
      <c r="C163" s="80">
        <v>43269.656076388892</v>
      </c>
      <c r="D163" t="s">
        <v>770</v>
      </c>
      <c r="E163" t="s">
        <v>700</v>
      </c>
      <c r="F163">
        <v>138154</v>
      </c>
      <c r="G163">
        <v>135.62</v>
      </c>
      <c r="H163">
        <v>0</v>
      </c>
      <c r="J163" t="s">
        <v>1019</v>
      </c>
      <c r="K163" s="125"/>
    </row>
    <row r="164" spans="1:11" x14ac:dyDescent="0.2">
      <c r="A164" t="s">
        <v>474</v>
      </c>
      <c r="B164">
        <v>507494</v>
      </c>
      <c r="C164" s="80">
        <v>43256.647951388892</v>
      </c>
      <c r="D164" t="s">
        <v>843</v>
      </c>
      <c r="F164">
        <v>0</v>
      </c>
      <c r="G164">
        <v>0</v>
      </c>
      <c r="H164">
        <v>148.13999999999999</v>
      </c>
      <c r="J164" t="s">
        <v>1017</v>
      </c>
      <c r="K164" s="125"/>
    </row>
    <row r="165" spans="1:11" x14ac:dyDescent="0.2">
      <c r="A165" t="s">
        <v>474</v>
      </c>
      <c r="B165">
        <v>507494</v>
      </c>
      <c r="C165" s="80">
        <v>43256.647951388892</v>
      </c>
      <c r="D165" t="s">
        <v>773</v>
      </c>
      <c r="E165" t="s">
        <v>698</v>
      </c>
      <c r="F165">
        <v>158739</v>
      </c>
      <c r="G165">
        <v>10.67</v>
      </c>
      <c r="H165">
        <v>0</v>
      </c>
      <c r="J165" t="s">
        <v>1018</v>
      </c>
      <c r="K165" s="125"/>
    </row>
    <row r="166" spans="1:11" x14ac:dyDescent="0.2">
      <c r="A166" t="s">
        <v>474</v>
      </c>
      <c r="B166">
        <v>507494</v>
      </c>
      <c r="C166" s="80">
        <v>43256.647951388892</v>
      </c>
      <c r="D166" t="s">
        <v>772</v>
      </c>
      <c r="F166">
        <v>0</v>
      </c>
      <c r="G166">
        <v>0</v>
      </c>
      <c r="H166">
        <v>313.38</v>
      </c>
      <c r="J166" t="s">
        <v>1017</v>
      </c>
      <c r="K166" s="125"/>
    </row>
    <row r="167" spans="1:11" x14ac:dyDescent="0.2">
      <c r="A167" t="s">
        <v>474</v>
      </c>
      <c r="B167">
        <v>507494</v>
      </c>
      <c r="C167" s="80">
        <v>43256.647951388892</v>
      </c>
      <c r="D167" t="s">
        <v>773</v>
      </c>
      <c r="E167" t="s">
        <v>698</v>
      </c>
      <c r="F167">
        <v>158739</v>
      </c>
      <c r="G167">
        <v>22.56</v>
      </c>
      <c r="H167">
        <v>0</v>
      </c>
      <c r="J167" t="s">
        <v>1018</v>
      </c>
      <c r="K167" s="125"/>
    </row>
    <row r="168" spans="1:11" x14ac:dyDescent="0.2">
      <c r="A168" t="s">
        <v>474</v>
      </c>
      <c r="B168">
        <v>507544</v>
      </c>
      <c r="C168" s="80">
        <v>43256.650567129633</v>
      </c>
      <c r="D168" t="s">
        <v>774</v>
      </c>
      <c r="E168" t="s">
        <v>700</v>
      </c>
      <c r="F168">
        <v>137044</v>
      </c>
      <c r="G168">
        <v>278.29000000000002</v>
      </c>
      <c r="H168">
        <v>0</v>
      </c>
      <c r="J168" t="s">
        <v>1019</v>
      </c>
      <c r="K168" s="125"/>
    </row>
    <row r="169" spans="1:11" x14ac:dyDescent="0.2">
      <c r="A169" t="s">
        <v>509</v>
      </c>
      <c r="B169">
        <v>512403</v>
      </c>
      <c r="C169" s="80">
        <v>43277.637418981481</v>
      </c>
      <c r="D169" t="s">
        <v>844</v>
      </c>
      <c r="F169">
        <v>0</v>
      </c>
      <c r="G169">
        <v>0</v>
      </c>
      <c r="H169">
        <v>500</v>
      </c>
      <c r="J169" t="s">
        <v>1017</v>
      </c>
      <c r="K169" s="125"/>
    </row>
    <row r="170" spans="1:11" x14ac:dyDescent="0.2">
      <c r="A170" t="s">
        <v>509</v>
      </c>
      <c r="B170">
        <v>512403</v>
      </c>
      <c r="C170" s="80">
        <v>43277.637418981481</v>
      </c>
      <c r="D170" t="s">
        <v>775</v>
      </c>
      <c r="E170" t="s">
        <v>698</v>
      </c>
      <c r="F170">
        <v>160410</v>
      </c>
      <c r="G170">
        <v>36</v>
      </c>
      <c r="H170">
        <v>0</v>
      </c>
      <c r="J170" t="s">
        <v>1018</v>
      </c>
      <c r="K170" s="125"/>
    </row>
    <row r="171" spans="1:11" x14ac:dyDescent="0.2">
      <c r="A171" t="s">
        <v>509</v>
      </c>
      <c r="B171">
        <v>512412</v>
      </c>
      <c r="C171" s="80">
        <v>43277.639456018522</v>
      </c>
      <c r="D171" t="s">
        <v>776</v>
      </c>
      <c r="E171" t="s">
        <v>700</v>
      </c>
      <c r="F171">
        <v>138634</v>
      </c>
      <c r="G171">
        <v>464</v>
      </c>
      <c r="H171">
        <v>0</v>
      </c>
      <c r="J171" t="s">
        <v>1019</v>
      </c>
      <c r="K171" s="125"/>
    </row>
    <row r="172" spans="1:11" x14ac:dyDescent="0.2">
      <c r="A172" t="s">
        <v>473</v>
      </c>
      <c r="B172">
        <v>507493</v>
      </c>
      <c r="C172" s="80">
        <v>43256.647951388892</v>
      </c>
      <c r="D172" t="s">
        <v>779</v>
      </c>
      <c r="F172">
        <v>0</v>
      </c>
      <c r="G172">
        <v>0</v>
      </c>
      <c r="H172">
        <v>308.56</v>
      </c>
      <c r="J172" t="s">
        <v>1017</v>
      </c>
      <c r="K172" s="125"/>
    </row>
    <row r="173" spans="1:11" x14ac:dyDescent="0.2">
      <c r="A173" t="s">
        <v>473</v>
      </c>
      <c r="B173">
        <v>507493</v>
      </c>
      <c r="C173" s="80">
        <v>43256.647951388892</v>
      </c>
      <c r="D173" t="s">
        <v>777</v>
      </c>
      <c r="E173" t="s">
        <v>698</v>
      </c>
      <c r="F173">
        <v>158738</v>
      </c>
      <c r="G173">
        <v>22.21</v>
      </c>
      <c r="H173">
        <v>0</v>
      </c>
      <c r="J173" t="s">
        <v>1018</v>
      </c>
      <c r="K173" s="125"/>
    </row>
    <row r="174" spans="1:11" x14ac:dyDescent="0.2">
      <c r="A174" t="s">
        <v>473</v>
      </c>
      <c r="B174">
        <v>507544</v>
      </c>
      <c r="C174" s="80">
        <v>43256.650567129633</v>
      </c>
      <c r="D174" t="s">
        <v>778</v>
      </c>
      <c r="E174" t="s">
        <v>700</v>
      </c>
      <c r="F174">
        <v>137043</v>
      </c>
      <c r="G174">
        <v>275.35000000000002</v>
      </c>
      <c r="H174">
        <v>0</v>
      </c>
      <c r="J174" t="s">
        <v>1019</v>
      </c>
      <c r="K174" s="125"/>
    </row>
    <row r="175" spans="1:11" x14ac:dyDescent="0.2">
      <c r="A175" t="s">
        <v>473</v>
      </c>
      <c r="B175">
        <v>508737</v>
      </c>
      <c r="C175" s="80">
        <v>43262.639143518521</v>
      </c>
      <c r="D175" t="s">
        <v>845</v>
      </c>
      <c r="F175">
        <v>0</v>
      </c>
      <c r="G175">
        <v>0</v>
      </c>
      <c r="H175">
        <v>152.96</v>
      </c>
      <c r="J175" t="s">
        <v>1017</v>
      </c>
      <c r="K175" s="125"/>
    </row>
    <row r="176" spans="1:11" x14ac:dyDescent="0.2">
      <c r="A176" t="s">
        <v>473</v>
      </c>
      <c r="B176">
        <v>508737</v>
      </c>
      <c r="C176" s="80">
        <v>43262.639143518521</v>
      </c>
      <c r="D176" t="s">
        <v>777</v>
      </c>
      <c r="E176" t="s">
        <v>698</v>
      </c>
      <c r="F176">
        <v>159235</v>
      </c>
      <c r="G176">
        <v>11.02</v>
      </c>
      <c r="H176">
        <v>0</v>
      </c>
      <c r="J176" t="s">
        <v>1018</v>
      </c>
      <c r="K176" s="125"/>
    </row>
    <row r="177" spans="1:11" x14ac:dyDescent="0.2">
      <c r="A177" t="s">
        <v>473</v>
      </c>
      <c r="B177">
        <v>508757</v>
      </c>
      <c r="C177" s="80">
        <v>43262.641192129631</v>
      </c>
      <c r="D177" t="s">
        <v>778</v>
      </c>
      <c r="E177" t="s">
        <v>700</v>
      </c>
      <c r="F177">
        <v>137433</v>
      </c>
      <c r="G177">
        <v>141.94</v>
      </c>
      <c r="H177">
        <v>0</v>
      </c>
      <c r="J177" t="s">
        <v>1019</v>
      </c>
      <c r="K177" s="125"/>
    </row>
    <row r="178" spans="1:11" x14ac:dyDescent="0.2">
      <c r="A178" t="s">
        <v>472</v>
      </c>
      <c r="B178">
        <v>507477</v>
      </c>
      <c r="C178" s="80">
        <v>43256.647951388892</v>
      </c>
      <c r="D178" t="s">
        <v>781</v>
      </c>
      <c r="F178">
        <v>0</v>
      </c>
      <c r="G178">
        <v>0</v>
      </c>
      <c r="H178">
        <v>461.52</v>
      </c>
      <c r="J178" t="s">
        <v>1017</v>
      </c>
      <c r="K178" s="125"/>
    </row>
    <row r="179" spans="1:11" x14ac:dyDescent="0.2">
      <c r="A179" t="s">
        <v>472</v>
      </c>
      <c r="B179">
        <v>507477</v>
      </c>
      <c r="C179" s="80">
        <v>43256.647951388892</v>
      </c>
      <c r="D179" t="s">
        <v>780</v>
      </c>
      <c r="E179" t="s">
        <v>698</v>
      </c>
      <c r="F179">
        <v>158723</v>
      </c>
      <c r="G179">
        <v>33.229999999999997</v>
      </c>
      <c r="H179">
        <v>0</v>
      </c>
      <c r="J179" t="s">
        <v>1018</v>
      </c>
      <c r="K179" s="125"/>
    </row>
    <row r="180" spans="1:11" x14ac:dyDescent="0.2">
      <c r="A180" t="s">
        <v>472</v>
      </c>
      <c r="B180">
        <v>507544</v>
      </c>
      <c r="C180" s="80">
        <v>43256.650567129633</v>
      </c>
      <c r="D180" t="s">
        <v>782</v>
      </c>
      <c r="E180" t="s">
        <v>700</v>
      </c>
      <c r="F180">
        <v>137027</v>
      </c>
      <c r="G180">
        <v>428.29</v>
      </c>
      <c r="H180">
        <v>0</v>
      </c>
      <c r="J180" t="s">
        <v>1019</v>
      </c>
      <c r="K180" s="125"/>
    </row>
    <row r="181" spans="1:11" x14ac:dyDescent="0.2">
      <c r="A181" t="s">
        <v>472</v>
      </c>
      <c r="B181">
        <v>508731</v>
      </c>
      <c r="C181" s="80">
        <v>43262.639143518521</v>
      </c>
      <c r="D181" t="s">
        <v>846</v>
      </c>
      <c r="F181">
        <v>0</v>
      </c>
      <c r="G181">
        <v>0</v>
      </c>
      <c r="H181">
        <v>4.5999999999999996</v>
      </c>
      <c r="J181" t="s">
        <v>1017</v>
      </c>
      <c r="K181" s="125"/>
    </row>
    <row r="182" spans="1:11" x14ac:dyDescent="0.2">
      <c r="A182" t="s">
        <v>472</v>
      </c>
      <c r="B182">
        <v>508731</v>
      </c>
      <c r="C182" s="80">
        <v>43262.639143518521</v>
      </c>
      <c r="D182" t="s">
        <v>780</v>
      </c>
      <c r="E182" t="s">
        <v>698</v>
      </c>
      <c r="F182">
        <v>159229</v>
      </c>
      <c r="G182">
        <v>0.34</v>
      </c>
      <c r="H182">
        <v>0</v>
      </c>
      <c r="J182" t="s">
        <v>1018</v>
      </c>
      <c r="K182" s="125"/>
    </row>
    <row r="183" spans="1:11" x14ac:dyDescent="0.2">
      <c r="A183" t="s">
        <v>472</v>
      </c>
      <c r="B183">
        <v>508757</v>
      </c>
      <c r="C183" s="80">
        <v>43262.641192129631</v>
      </c>
      <c r="D183" t="s">
        <v>782</v>
      </c>
      <c r="E183" t="s">
        <v>700</v>
      </c>
      <c r="F183">
        <v>137427</v>
      </c>
      <c r="G183">
        <v>4.26</v>
      </c>
      <c r="H183">
        <v>0</v>
      </c>
      <c r="J183" t="s">
        <v>1019</v>
      </c>
      <c r="K183" s="125"/>
    </row>
    <row r="184" spans="1:11" x14ac:dyDescent="0.2">
      <c r="A184" t="s">
        <v>479</v>
      </c>
      <c r="B184">
        <v>509150</v>
      </c>
      <c r="C184" s="80">
        <v>43263.65111111111</v>
      </c>
      <c r="D184" t="s">
        <v>847</v>
      </c>
      <c r="F184">
        <v>0</v>
      </c>
      <c r="G184">
        <v>0</v>
      </c>
      <c r="H184">
        <v>350</v>
      </c>
      <c r="J184" t="s">
        <v>1017</v>
      </c>
      <c r="K184" s="125"/>
    </row>
    <row r="185" spans="1:11" x14ac:dyDescent="0.2">
      <c r="A185" t="s">
        <v>479</v>
      </c>
      <c r="B185">
        <v>509150</v>
      </c>
      <c r="C185" s="80">
        <v>43263.65111111111</v>
      </c>
      <c r="D185" t="s">
        <v>783</v>
      </c>
      <c r="E185" t="s">
        <v>698</v>
      </c>
      <c r="F185">
        <v>159395</v>
      </c>
      <c r="G185">
        <v>25.2</v>
      </c>
      <c r="H185">
        <v>0</v>
      </c>
      <c r="J185" t="s">
        <v>1018</v>
      </c>
      <c r="K185" s="125"/>
    </row>
    <row r="186" spans="1:11" x14ac:dyDescent="0.2">
      <c r="A186" t="s">
        <v>479</v>
      </c>
      <c r="B186">
        <v>509157</v>
      </c>
      <c r="C186" s="80">
        <v>43263.655451388891</v>
      </c>
      <c r="D186" t="s">
        <v>784</v>
      </c>
      <c r="E186" t="s">
        <v>700</v>
      </c>
      <c r="F186">
        <v>137576</v>
      </c>
      <c r="G186">
        <v>324.8</v>
      </c>
      <c r="H186">
        <v>0</v>
      </c>
      <c r="J186" t="s">
        <v>1019</v>
      </c>
      <c r="K186" s="125"/>
    </row>
    <row r="187" spans="1:11" x14ac:dyDescent="0.2">
      <c r="A187" t="s">
        <v>562</v>
      </c>
      <c r="B187">
        <v>506805</v>
      </c>
      <c r="C187" s="80">
        <v>43255.649664351855</v>
      </c>
      <c r="D187" t="s">
        <v>848</v>
      </c>
      <c r="F187">
        <v>0</v>
      </c>
      <c r="G187">
        <v>0</v>
      </c>
      <c r="H187">
        <v>520</v>
      </c>
      <c r="J187" t="s">
        <v>1017</v>
      </c>
      <c r="K187" s="125"/>
    </row>
    <row r="188" spans="1:11" x14ac:dyDescent="0.2">
      <c r="A188" t="s">
        <v>562</v>
      </c>
      <c r="B188">
        <v>506805</v>
      </c>
      <c r="C188" s="80">
        <v>43255.649664351855</v>
      </c>
      <c r="D188" t="s">
        <v>785</v>
      </c>
      <c r="E188" t="s">
        <v>698</v>
      </c>
      <c r="F188">
        <v>158384</v>
      </c>
      <c r="G188">
        <v>37.44</v>
      </c>
      <c r="H188">
        <v>0</v>
      </c>
      <c r="J188" t="s">
        <v>1018</v>
      </c>
      <c r="K188" s="125"/>
    </row>
    <row r="189" spans="1:11" x14ac:dyDescent="0.2">
      <c r="A189" t="s">
        <v>562</v>
      </c>
      <c r="B189">
        <v>506964</v>
      </c>
      <c r="C189" s="80">
        <v>43255.670069444444</v>
      </c>
      <c r="D189" t="s">
        <v>786</v>
      </c>
      <c r="E189" t="s">
        <v>700</v>
      </c>
      <c r="F189">
        <v>136693</v>
      </c>
      <c r="G189">
        <v>482.56</v>
      </c>
      <c r="H189">
        <v>0</v>
      </c>
      <c r="J189" t="s">
        <v>1019</v>
      </c>
      <c r="K189" s="125"/>
    </row>
    <row r="190" spans="1:11" x14ac:dyDescent="0.2">
      <c r="A190" t="s">
        <v>484</v>
      </c>
      <c r="B190">
        <v>508419</v>
      </c>
      <c r="C190" s="80">
        <v>43259.540775462963</v>
      </c>
      <c r="D190" t="s">
        <v>849</v>
      </c>
      <c r="F190">
        <v>0</v>
      </c>
      <c r="G190">
        <v>0</v>
      </c>
      <c r="H190">
        <v>480.76</v>
      </c>
      <c r="J190" t="s">
        <v>1017</v>
      </c>
      <c r="K190" s="125"/>
    </row>
    <row r="191" spans="1:11" x14ac:dyDescent="0.2">
      <c r="A191" t="s">
        <v>484</v>
      </c>
      <c r="B191">
        <v>508419</v>
      </c>
      <c r="C191" s="80">
        <v>43259.540775462963</v>
      </c>
      <c r="D191" t="s">
        <v>787</v>
      </c>
      <c r="E191" t="s">
        <v>698</v>
      </c>
      <c r="F191">
        <v>159065</v>
      </c>
      <c r="G191">
        <v>34.619999999999997</v>
      </c>
      <c r="H191">
        <v>0</v>
      </c>
      <c r="J191" t="s">
        <v>1018</v>
      </c>
      <c r="K191" s="125"/>
    </row>
    <row r="192" spans="1:11" x14ac:dyDescent="0.2">
      <c r="A192" t="s">
        <v>484</v>
      </c>
      <c r="B192">
        <v>508430</v>
      </c>
      <c r="C192" s="80">
        <v>43259.544641203705</v>
      </c>
      <c r="D192" t="s">
        <v>788</v>
      </c>
      <c r="E192" t="s">
        <v>700</v>
      </c>
      <c r="F192">
        <v>137328</v>
      </c>
      <c r="G192">
        <v>446.14</v>
      </c>
      <c r="H192">
        <v>0</v>
      </c>
      <c r="J192" t="s">
        <v>1019</v>
      </c>
      <c r="K192" s="125"/>
    </row>
    <row r="193" spans="1:11" x14ac:dyDescent="0.2">
      <c r="A193" t="s">
        <v>483</v>
      </c>
      <c r="B193">
        <v>507507</v>
      </c>
      <c r="C193" s="80">
        <v>43256.647951388892</v>
      </c>
      <c r="D193" t="s">
        <v>791</v>
      </c>
      <c r="F193">
        <v>0</v>
      </c>
      <c r="G193">
        <v>0</v>
      </c>
      <c r="H193">
        <v>106.13</v>
      </c>
      <c r="J193" t="s">
        <v>1017</v>
      </c>
      <c r="K193" s="125"/>
    </row>
    <row r="194" spans="1:11" x14ac:dyDescent="0.2">
      <c r="A194" t="s">
        <v>483</v>
      </c>
      <c r="B194">
        <v>507507</v>
      </c>
      <c r="C194" s="80">
        <v>43256.647951388892</v>
      </c>
      <c r="D194" t="s">
        <v>789</v>
      </c>
      <c r="E194" t="s">
        <v>698</v>
      </c>
      <c r="F194">
        <v>158752</v>
      </c>
      <c r="G194">
        <v>7.64</v>
      </c>
      <c r="H194">
        <v>0</v>
      </c>
      <c r="J194" t="s">
        <v>1018</v>
      </c>
      <c r="K194" s="125"/>
    </row>
    <row r="195" spans="1:11" x14ac:dyDescent="0.2">
      <c r="A195" t="s">
        <v>483</v>
      </c>
      <c r="B195">
        <v>507544</v>
      </c>
      <c r="C195" s="80">
        <v>43256.650567129633</v>
      </c>
      <c r="D195" t="s">
        <v>790</v>
      </c>
      <c r="E195" t="s">
        <v>700</v>
      </c>
      <c r="F195">
        <v>137057</v>
      </c>
      <c r="G195">
        <v>98.49</v>
      </c>
      <c r="H195">
        <v>0</v>
      </c>
      <c r="J195" t="s">
        <v>1019</v>
      </c>
      <c r="K195" s="125"/>
    </row>
    <row r="196" spans="1:11" x14ac:dyDescent="0.2">
      <c r="A196" t="s">
        <v>483</v>
      </c>
      <c r="B196">
        <v>510047</v>
      </c>
      <c r="C196" s="80">
        <v>43265.661932870367</v>
      </c>
      <c r="D196" t="s">
        <v>850</v>
      </c>
      <c r="F196">
        <v>0</v>
      </c>
      <c r="G196">
        <v>0</v>
      </c>
      <c r="H196">
        <v>359.99</v>
      </c>
      <c r="J196" t="s">
        <v>1017</v>
      </c>
      <c r="K196" s="125"/>
    </row>
    <row r="197" spans="1:11" x14ac:dyDescent="0.2">
      <c r="A197" t="s">
        <v>483</v>
      </c>
      <c r="B197">
        <v>510047</v>
      </c>
      <c r="C197" s="80">
        <v>43265.661932870367</v>
      </c>
      <c r="D197" t="s">
        <v>789</v>
      </c>
      <c r="E197" t="s">
        <v>698</v>
      </c>
      <c r="F197">
        <v>159553</v>
      </c>
      <c r="G197">
        <v>25.92</v>
      </c>
      <c r="H197">
        <v>0</v>
      </c>
      <c r="J197" t="s">
        <v>1018</v>
      </c>
      <c r="K197" s="125"/>
    </row>
    <row r="198" spans="1:11" x14ac:dyDescent="0.2">
      <c r="A198" t="s">
        <v>483</v>
      </c>
      <c r="B198">
        <v>510053</v>
      </c>
      <c r="C198" s="80">
        <v>43265.66505787037</v>
      </c>
      <c r="D198" t="s">
        <v>790</v>
      </c>
      <c r="E198" t="s">
        <v>700</v>
      </c>
      <c r="F198">
        <v>137993</v>
      </c>
      <c r="G198">
        <v>334.07</v>
      </c>
      <c r="H198">
        <v>0</v>
      </c>
      <c r="J198" t="s">
        <v>1019</v>
      </c>
      <c r="K198" s="125"/>
    </row>
    <row r="199" spans="1:11" x14ac:dyDescent="0.2">
      <c r="A199" t="s">
        <v>481</v>
      </c>
      <c r="B199">
        <v>508120</v>
      </c>
      <c r="C199" s="80">
        <v>43258.638784722221</v>
      </c>
      <c r="D199" t="s">
        <v>851</v>
      </c>
      <c r="F199">
        <v>0</v>
      </c>
      <c r="G199">
        <v>0</v>
      </c>
      <c r="H199">
        <v>360</v>
      </c>
      <c r="J199" t="s">
        <v>1017</v>
      </c>
      <c r="K199" s="125"/>
    </row>
    <row r="200" spans="1:11" x14ac:dyDescent="0.2">
      <c r="A200" t="s">
        <v>481</v>
      </c>
      <c r="B200">
        <v>508120</v>
      </c>
      <c r="C200" s="80">
        <v>43258.638784722221</v>
      </c>
      <c r="D200" t="s">
        <v>792</v>
      </c>
      <c r="E200" t="s">
        <v>698</v>
      </c>
      <c r="F200">
        <v>158945</v>
      </c>
      <c r="G200">
        <v>25.92</v>
      </c>
      <c r="H200">
        <v>0</v>
      </c>
      <c r="J200" t="s">
        <v>1018</v>
      </c>
      <c r="K200" s="125"/>
    </row>
    <row r="201" spans="1:11" x14ac:dyDescent="0.2">
      <c r="A201" t="s">
        <v>481</v>
      </c>
      <c r="B201">
        <v>508120</v>
      </c>
      <c r="C201" s="80">
        <v>43258.638784722221</v>
      </c>
      <c r="D201" t="s">
        <v>852</v>
      </c>
      <c r="F201">
        <v>0</v>
      </c>
      <c r="G201">
        <v>0</v>
      </c>
      <c r="H201">
        <v>360</v>
      </c>
      <c r="J201" t="s">
        <v>1017</v>
      </c>
      <c r="K201" s="125"/>
    </row>
    <row r="202" spans="1:11" x14ac:dyDescent="0.2">
      <c r="A202" t="s">
        <v>481</v>
      </c>
      <c r="B202">
        <v>508120</v>
      </c>
      <c r="C202" s="80">
        <v>43258.638784722221</v>
      </c>
      <c r="D202" t="s">
        <v>792</v>
      </c>
      <c r="E202" t="s">
        <v>698</v>
      </c>
      <c r="F202">
        <v>158945</v>
      </c>
      <c r="G202">
        <v>25.92</v>
      </c>
      <c r="H202">
        <v>0</v>
      </c>
      <c r="J202" t="s">
        <v>1018</v>
      </c>
      <c r="K202" s="125"/>
    </row>
    <row r="203" spans="1:11" x14ac:dyDescent="0.2">
      <c r="A203" t="s">
        <v>481</v>
      </c>
      <c r="B203">
        <v>508168</v>
      </c>
      <c r="C203" s="80">
        <v>43258.643425925926</v>
      </c>
      <c r="D203" t="s">
        <v>793</v>
      </c>
      <c r="E203" t="s">
        <v>700</v>
      </c>
      <c r="F203">
        <v>137210</v>
      </c>
      <c r="G203">
        <v>668.16</v>
      </c>
      <c r="H203">
        <v>0</v>
      </c>
      <c r="J203" t="s">
        <v>1019</v>
      </c>
      <c r="K203" s="125"/>
    </row>
    <row r="204" spans="1:11" x14ac:dyDescent="0.2">
      <c r="A204" t="s">
        <v>477</v>
      </c>
      <c r="B204">
        <v>507499</v>
      </c>
      <c r="C204" s="80">
        <v>43256.647951388892</v>
      </c>
      <c r="D204" t="s">
        <v>796</v>
      </c>
      <c r="F204">
        <v>0</v>
      </c>
      <c r="G204">
        <v>0</v>
      </c>
      <c r="H204">
        <v>242.2</v>
      </c>
      <c r="J204" t="s">
        <v>1017</v>
      </c>
      <c r="K204" s="125"/>
    </row>
    <row r="205" spans="1:11" x14ac:dyDescent="0.2">
      <c r="A205" t="s">
        <v>477</v>
      </c>
      <c r="B205">
        <v>507499</v>
      </c>
      <c r="C205" s="80">
        <v>43256.647951388892</v>
      </c>
      <c r="D205" t="s">
        <v>794</v>
      </c>
      <c r="E205" t="s">
        <v>698</v>
      </c>
      <c r="F205">
        <v>158744</v>
      </c>
      <c r="G205">
        <v>17.440000000000001</v>
      </c>
      <c r="H205">
        <v>0</v>
      </c>
      <c r="J205" t="s">
        <v>1018</v>
      </c>
      <c r="K205" s="125"/>
    </row>
    <row r="206" spans="1:11" x14ac:dyDescent="0.2">
      <c r="A206" t="s">
        <v>477</v>
      </c>
      <c r="B206">
        <v>507544</v>
      </c>
      <c r="C206" s="80">
        <v>43256.650567129633</v>
      </c>
      <c r="D206" t="s">
        <v>795</v>
      </c>
      <c r="E206" t="s">
        <v>700</v>
      </c>
      <c r="F206">
        <v>137049</v>
      </c>
      <c r="G206">
        <v>224.76</v>
      </c>
      <c r="H206">
        <v>0</v>
      </c>
      <c r="J206" t="s">
        <v>1019</v>
      </c>
      <c r="K206" s="125"/>
    </row>
    <row r="207" spans="1:11" x14ac:dyDescent="0.2">
      <c r="A207" t="s">
        <v>477</v>
      </c>
      <c r="B207">
        <v>510044</v>
      </c>
      <c r="C207" s="80">
        <v>43265.661932870367</v>
      </c>
      <c r="D207" t="s">
        <v>853</v>
      </c>
      <c r="F207">
        <v>0</v>
      </c>
      <c r="G207">
        <v>0</v>
      </c>
      <c r="H207">
        <v>173.2</v>
      </c>
      <c r="J207" t="s">
        <v>1017</v>
      </c>
      <c r="K207" s="125"/>
    </row>
    <row r="208" spans="1:11" x14ac:dyDescent="0.2">
      <c r="A208" t="s">
        <v>477</v>
      </c>
      <c r="B208">
        <v>510044</v>
      </c>
      <c r="C208" s="80">
        <v>43265.661932870367</v>
      </c>
      <c r="D208" t="s">
        <v>794</v>
      </c>
      <c r="E208" t="s">
        <v>698</v>
      </c>
      <c r="F208">
        <v>159550</v>
      </c>
      <c r="G208">
        <v>12.47</v>
      </c>
      <c r="H208">
        <v>0</v>
      </c>
      <c r="J208" t="s">
        <v>1018</v>
      </c>
      <c r="K208" s="125"/>
    </row>
    <row r="209" spans="1:11" x14ac:dyDescent="0.2">
      <c r="A209" t="s">
        <v>477</v>
      </c>
      <c r="B209">
        <v>510053</v>
      </c>
      <c r="C209" s="80">
        <v>43265.66505787037</v>
      </c>
      <c r="D209" t="s">
        <v>795</v>
      </c>
      <c r="E209" t="s">
        <v>700</v>
      </c>
      <c r="F209">
        <v>137990</v>
      </c>
      <c r="G209">
        <v>160.72999999999999</v>
      </c>
      <c r="H209">
        <v>0</v>
      </c>
      <c r="J209" t="s">
        <v>1019</v>
      </c>
      <c r="K209" s="125"/>
    </row>
    <row r="210" spans="1:11" x14ac:dyDescent="0.2">
      <c r="A210" t="s">
        <v>495</v>
      </c>
      <c r="B210">
        <v>507510</v>
      </c>
      <c r="C210" s="80">
        <v>43256.647951388892</v>
      </c>
      <c r="D210" t="s">
        <v>799</v>
      </c>
      <c r="F210">
        <v>0</v>
      </c>
      <c r="G210">
        <v>0</v>
      </c>
      <c r="H210">
        <v>308.58</v>
      </c>
      <c r="J210" t="s">
        <v>1017</v>
      </c>
      <c r="K210" s="125"/>
    </row>
    <row r="211" spans="1:11" x14ac:dyDescent="0.2">
      <c r="A211" t="s">
        <v>495</v>
      </c>
      <c r="B211">
        <v>507510</v>
      </c>
      <c r="C211" s="80">
        <v>43256.647951388892</v>
      </c>
      <c r="D211" t="s">
        <v>797</v>
      </c>
      <c r="E211" t="s">
        <v>698</v>
      </c>
      <c r="F211">
        <v>158755</v>
      </c>
      <c r="G211">
        <v>22.21</v>
      </c>
      <c r="H211">
        <v>0</v>
      </c>
      <c r="J211" t="s">
        <v>1018</v>
      </c>
      <c r="K211" s="125"/>
    </row>
    <row r="212" spans="1:11" x14ac:dyDescent="0.2">
      <c r="A212" t="s">
        <v>495</v>
      </c>
      <c r="B212">
        <v>507544</v>
      </c>
      <c r="C212" s="80">
        <v>43256.650567129633</v>
      </c>
      <c r="D212" t="s">
        <v>798</v>
      </c>
      <c r="E212" t="s">
        <v>700</v>
      </c>
      <c r="F212">
        <v>137060</v>
      </c>
      <c r="G212">
        <v>286.37</v>
      </c>
      <c r="H212">
        <v>0</v>
      </c>
      <c r="J212" t="s">
        <v>1019</v>
      </c>
      <c r="K212" s="125"/>
    </row>
    <row r="213" spans="1:11" x14ac:dyDescent="0.2">
      <c r="A213" t="s">
        <v>495</v>
      </c>
      <c r="B213">
        <v>510048</v>
      </c>
      <c r="C213" s="80">
        <v>43265.661932870367</v>
      </c>
      <c r="D213" t="s">
        <v>854</v>
      </c>
      <c r="F213">
        <v>0</v>
      </c>
      <c r="G213">
        <v>0</v>
      </c>
      <c r="H213">
        <v>152.94</v>
      </c>
      <c r="J213" t="s">
        <v>1017</v>
      </c>
      <c r="K213" s="125"/>
    </row>
    <row r="214" spans="1:11" x14ac:dyDescent="0.2">
      <c r="A214" t="s">
        <v>495</v>
      </c>
      <c r="B214">
        <v>510048</v>
      </c>
      <c r="C214" s="80">
        <v>43265.661932870367</v>
      </c>
      <c r="D214" t="s">
        <v>797</v>
      </c>
      <c r="E214" t="s">
        <v>698</v>
      </c>
      <c r="F214">
        <v>159554</v>
      </c>
      <c r="G214">
        <v>11.02</v>
      </c>
      <c r="H214">
        <v>0</v>
      </c>
      <c r="J214" t="s">
        <v>1018</v>
      </c>
      <c r="K214" s="125"/>
    </row>
    <row r="215" spans="1:11" x14ac:dyDescent="0.2">
      <c r="A215" t="s">
        <v>495</v>
      </c>
      <c r="B215">
        <v>510053</v>
      </c>
      <c r="C215" s="80">
        <v>43265.66505787037</v>
      </c>
      <c r="D215" t="s">
        <v>798</v>
      </c>
      <c r="E215" t="s">
        <v>700</v>
      </c>
      <c r="F215">
        <v>137994</v>
      </c>
      <c r="G215">
        <v>141.91999999999999</v>
      </c>
      <c r="H215">
        <v>0</v>
      </c>
      <c r="J215" t="s">
        <v>1019</v>
      </c>
      <c r="K215" s="125"/>
    </row>
    <row r="216" spans="1:11" x14ac:dyDescent="0.2">
      <c r="A216" t="s">
        <v>563</v>
      </c>
      <c r="B216">
        <v>512399</v>
      </c>
      <c r="C216" s="80">
        <v>43277.637418981481</v>
      </c>
      <c r="D216" t="s">
        <v>800</v>
      </c>
      <c r="F216">
        <v>0</v>
      </c>
      <c r="G216">
        <v>0</v>
      </c>
      <c r="H216">
        <v>1.73</v>
      </c>
      <c r="J216" t="s">
        <v>1017</v>
      </c>
    </row>
    <row r="217" spans="1:11" x14ac:dyDescent="0.2">
      <c r="A217" t="s">
        <v>563</v>
      </c>
      <c r="B217">
        <v>512399</v>
      </c>
      <c r="C217" s="80">
        <v>43277.637418981481</v>
      </c>
      <c r="D217" t="s">
        <v>801</v>
      </c>
      <c r="E217" t="s">
        <v>698</v>
      </c>
      <c r="F217">
        <v>160406</v>
      </c>
      <c r="G217">
        <v>0.12</v>
      </c>
      <c r="H217">
        <v>0</v>
      </c>
      <c r="J217" t="s">
        <v>1018</v>
      </c>
    </row>
    <row r="218" spans="1:11" x14ac:dyDescent="0.2">
      <c r="A218" t="s">
        <v>563</v>
      </c>
      <c r="B218">
        <v>512399</v>
      </c>
      <c r="C218" s="80">
        <v>43277.637418981481</v>
      </c>
      <c r="D218" t="s">
        <v>855</v>
      </c>
      <c r="F218">
        <v>0</v>
      </c>
      <c r="G218">
        <v>0</v>
      </c>
      <c r="H218">
        <v>508.27</v>
      </c>
      <c r="J218" t="s">
        <v>1017</v>
      </c>
    </row>
    <row r="219" spans="1:11" x14ac:dyDescent="0.2">
      <c r="A219" t="s">
        <v>563</v>
      </c>
      <c r="B219">
        <v>512399</v>
      </c>
      <c r="C219" s="80">
        <v>43277.637418981481</v>
      </c>
      <c r="D219" t="s">
        <v>801</v>
      </c>
      <c r="E219" t="s">
        <v>698</v>
      </c>
      <c r="F219">
        <v>160406</v>
      </c>
      <c r="G219">
        <v>36.6</v>
      </c>
      <c r="H219">
        <v>0</v>
      </c>
      <c r="J219" t="s">
        <v>1018</v>
      </c>
    </row>
    <row r="220" spans="1:11" x14ac:dyDescent="0.2">
      <c r="A220" t="s">
        <v>563</v>
      </c>
      <c r="B220">
        <v>512412</v>
      </c>
      <c r="C220" s="80">
        <v>43277.639456018522</v>
      </c>
      <c r="D220" t="s">
        <v>802</v>
      </c>
      <c r="E220" t="s">
        <v>700</v>
      </c>
      <c r="F220">
        <v>138630</v>
      </c>
      <c r="G220">
        <v>473.28</v>
      </c>
      <c r="H220">
        <v>0</v>
      </c>
      <c r="J220" t="s">
        <v>1019</v>
      </c>
    </row>
    <row r="221" spans="1:11" x14ac:dyDescent="0.2">
      <c r="C221" s="80"/>
    </row>
    <row r="222" spans="1:11" x14ac:dyDescent="0.2">
      <c r="C222" s="80"/>
    </row>
    <row r="223" spans="1:11" x14ac:dyDescent="0.2">
      <c r="C223" s="80"/>
    </row>
    <row r="224" spans="1:11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  <row r="310" spans="3:3" x14ac:dyDescent="0.2">
      <c r="C310" s="80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workbookViewId="0">
      <selection activeCell="E35" sqref="E35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s="56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Rent Statement</vt:lpstr>
      <vt:lpstr>Statistics-1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2018-07-11T14:57:20Z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