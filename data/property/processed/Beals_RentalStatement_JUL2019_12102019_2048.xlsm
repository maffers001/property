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D8F19A91-7027-45AA-9887-6F6C273E616A}" xr6:coauthVersionLast="45" xr6:coauthVersionMax="45" xr10:uidLastSave="{00000000-0000-0000-0000-000000000000}"/>
  <bookViews>
    <workbookView xWindow="-28920" yWindow="-1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Beals!$A$1:$J$267</definedName>
    <definedName name="_xlnm._FilterDatabase" localSheetId="4" hidden="1">IV!$A$1:$I$77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MT!$A$1:$J$257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MT!$D$2:$D$539</definedName>
    <definedName name="MT_BankRef">MT!$F$2:$F$539</definedName>
    <definedName name="MT_Desc">MT!$H$2:$H$539</definedName>
    <definedName name="MT_Include">MT!$J$2:$J$539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3" i="31690" l="1"/>
  <c r="B18" i="31690"/>
  <c r="B17" i="31690"/>
  <c r="C22" i="31690"/>
  <c r="C29" i="31690"/>
  <c r="B22" i="31690"/>
  <c r="B31" i="31690"/>
  <c r="B29" i="31690"/>
  <c r="C32" i="31690"/>
  <c r="B21" i="31690"/>
  <c r="C24" i="31690"/>
  <c r="C30" i="31690"/>
  <c r="C25" i="31690"/>
  <c r="C21" i="31690"/>
  <c r="B24" i="31690"/>
  <c r="B25" i="31690"/>
  <c r="C31" i="31690"/>
  <c r="B30" i="31690"/>
  <c r="B26" i="31690"/>
  <c r="C17" i="31690"/>
  <c r="B32" i="31690"/>
  <c r="E39" i="31690"/>
  <c r="C34" i="31690"/>
  <c r="C18" i="31690"/>
  <c r="C26" i="31690"/>
  <c r="B34" i="31690"/>
  <c r="C33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20" i="31680"/>
  <c r="AB245" i="31680"/>
  <c r="AB42" i="31680"/>
  <c r="AB39" i="31680"/>
  <c r="AB153" i="31680"/>
  <c r="AB135" i="31680"/>
  <c r="AB27" i="31680"/>
  <c r="AB6" i="31680"/>
  <c r="AB242" i="31680"/>
  <c r="AB73" i="31680"/>
  <c r="AB102" i="31680"/>
  <c r="AB265" i="31680"/>
  <c r="AB201" i="31680"/>
  <c r="AB131" i="31680"/>
  <c r="AB33" i="31680"/>
  <c r="AB208" i="31680"/>
  <c r="AB99" i="31680"/>
  <c r="AB29" i="31680"/>
  <c r="AB56" i="31680"/>
  <c r="AB133" i="31680"/>
  <c r="AB86" i="31680"/>
  <c r="AB269" i="31680"/>
  <c r="AB270" i="31680"/>
  <c r="AB271" i="31680"/>
  <c r="AB209" i="31680"/>
  <c r="AB163" i="31680"/>
  <c r="AB119" i="31680"/>
  <c r="AB272" i="31680"/>
  <c r="AB206" i="31680"/>
  <c r="AB149" i="31680"/>
  <c r="AB212" i="31680"/>
  <c r="AB226" i="31680"/>
  <c r="AB227" i="31680"/>
  <c r="AB241" i="31680"/>
  <c r="AB170" i="31680"/>
  <c r="AB62" i="31680"/>
  <c r="AB30" i="31680"/>
  <c r="AB32" i="31680"/>
  <c r="AB31" i="31680"/>
  <c r="AB108" i="31680"/>
  <c r="AB142" i="31680"/>
  <c r="AB103" i="31680"/>
  <c r="AB243" i="31680"/>
  <c r="AB11" i="31680"/>
  <c r="AB13" i="31680"/>
  <c r="AB121" i="31680"/>
  <c r="AB67" i="31680"/>
  <c r="AB190" i="31680"/>
  <c r="AB158" i="31680"/>
  <c r="AB240" i="31680"/>
  <c r="AB274" i="31680"/>
  <c r="AB157" i="31680"/>
  <c r="AB188" i="31680"/>
  <c r="AB192" i="31680"/>
  <c r="AB151" i="31680"/>
  <c r="AB5" i="31680"/>
  <c r="AB7" i="31680"/>
  <c r="AB173" i="31680"/>
  <c r="AB267" i="31680"/>
  <c r="AB147" i="31680"/>
  <c r="AB72" i="31680"/>
  <c r="AB71" i="31680"/>
  <c r="AB266" i="31680"/>
  <c r="AB193" i="31680"/>
  <c r="AB18" i="31680"/>
  <c r="AB126" i="31680"/>
  <c r="AB237" i="31680"/>
  <c r="AB181" i="31680"/>
  <c r="AB268" i="31680"/>
  <c r="AB230" i="31680"/>
  <c r="AB65" i="31680"/>
  <c r="AB20" i="31680"/>
  <c r="AB171" i="31680"/>
  <c r="AB113" i="31680"/>
  <c r="AB217" i="31680"/>
  <c r="AB185" i="31680"/>
  <c r="AB132" i="31680"/>
  <c r="AB41" i="31680"/>
  <c r="AB140" i="31680"/>
  <c r="AB107" i="31680"/>
  <c r="AB150" i="31680"/>
  <c r="AB22" i="31680"/>
  <c r="AB16" i="31680"/>
  <c r="AB47" i="31680"/>
  <c r="AB141" i="31680"/>
  <c r="AB48" i="31680"/>
  <c r="AB275" i="31680"/>
  <c r="AB210" i="31680"/>
  <c r="AB262" i="31680"/>
  <c r="AB44" i="31680"/>
  <c r="AB45" i="31680"/>
  <c r="AB36" i="31680"/>
  <c r="AB137" i="31680"/>
  <c r="AB169" i="31680"/>
  <c r="AB8" i="31680"/>
  <c r="AB38" i="31680"/>
  <c r="AB17" i="31680"/>
  <c r="AB155" i="31680"/>
  <c r="AB214" i="31680"/>
  <c r="AB43" i="31680"/>
  <c r="AB57" i="31680"/>
  <c r="AB112" i="31680"/>
  <c r="AB15" i="31680"/>
  <c r="AB254" i="31680"/>
  <c r="AB249" i="31680"/>
  <c r="AB213" i="31680"/>
  <c r="AB60" i="31680"/>
  <c r="AB125" i="31680"/>
  <c r="AB233" i="31680"/>
  <c r="AB82" i="31680"/>
  <c r="AB199" i="31680"/>
  <c r="AB53" i="31680"/>
  <c r="AB46" i="31680"/>
  <c r="AB98" i="31680"/>
  <c r="AB139" i="31680"/>
  <c r="AB182" i="31680"/>
  <c r="AB168" i="31680"/>
  <c r="AB175" i="31680"/>
  <c r="AB104" i="31680"/>
  <c r="AB257" i="31680"/>
  <c r="AB258" i="31680"/>
  <c r="AB106" i="31680"/>
  <c r="AB167" i="31680"/>
  <c r="AB219" i="31680"/>
  <c r="AB100" i="31680"/>
  <c r="AB70" i="31680"/>
  <c r="AB205" i="31680"/>
  <c r="AB116" i="31680"/>
  <c r="AB152" i="31680"/>
  <c r="AB154" i="31680"/>
  <c r="AB273" i="31680"/>
  <c r="AB105" i="31680"/>
  <c r="AB204" i="31680"/>
  <c r="AB96" i="31680"/>
  <c r="AB224" i="31680"/>
  <c r="AB77" i="31680"/>
  <c r="AB76" i="31680"/>
  <c r="AB122" i="31680"/>
  <c r="AB234" i="31680"/>
  <c r="AB228" i="31680"/>
  <c r="AB252" i="31680"/>
  <c r="AB251" i="31680"/>
  <c r="AB231" i="31680"/>
  <c r="AB207" i="31680"/>
  <c r="AB114" i="31680"/>
  <c r="AB9" i="31680"/>
  <c r="AB115" i="31680"/>
  <c r="AB75" i="31680"/>
  <c r="AB177" i="31680"/>
  <c r="AB63" i="31680"/>
  <c r="AB176" i="31680"/>
  <c r="AB92" i="31680"/>
  <c r="AB21" i="31680"/>
  <c r="AB109" i="31680"/>
  <c r="AB97" i="31680"/>
  <c r="AB166" i="31680"/>
  <c r="AB52" i="31680"/>
  <c r="AB59" i="31680"/>
  <c r="AB61" i="31680"/>
  <c r="AB225" i="31680"/>
  <c r="AB87" i="31680"/>
  <c r="AB88" i="31680"/>
  <c r="AB172" i="31680"/>
  <c r="AB68" i="31680"/>
  <c r="AB248" i="31680"/>
  <c r="AB89" i="31680"/>
  <c r="AB198" i="31680"/>
  <c r="AB197" i="31680"/>
  <c r="AB211" i="31680"/>
  <c r="AB261" i="31680"/>
  <c r="AB260" i="31680"/>
  <c r="AB216" i="31680"/>
  <c r="AB111" i="31680"/>
  <c r="AB250" i="31680"/>
  <c r="AB148" i="31680"/>
  <c r="AB146" i="31680"/>
  <c r="AB156" i="31680"/>
  <c r="AB4" i="31680"/>
  <c r="AB143" i="31680"/>
  <c r="AB144" i="31680"/>
  <c r="AB145" i="31680"/>
  <c r="AB130" i="31680"/>
  <c r="AB120" i="31680"/>
  <c r="AB186" i="31680"/>
  <c r="AB134" i="31680"/>
  <c r="AB165" i="31680"/>
  <c r="AB195" i="31680"/>
  <c r="AB232" i="31680"/>
  <c r="AB54" i="31680"/>
  <c r="AB81" i="31680"/>
  <c r="AB229" i="31680"/>
  <c r="AB191" i="31680"/>
  <c r="AB84" i="31680"/>
  <c r="AB255" i="31680"/>
  <c r="AB129" i="31680"/>
  <c r="AB256" i="31680"/>
  <c r="AB110" i="31680"/>
  <c r="AB238" i="31680"/>
  <c r="AB239" i="31680"/>
  <c r="AB94" i="31680"/>
  <c r="AB95" i="31680"/>
  <c r="AB174" i="31680"/>
  <c r="AB244" i="31680"/>
  <c r="AB246" i="31680"/>
  <c r="AB91" i="31680"/>
  <c r="AB26" i="31680"/>
  <c r="AB247" i="31680"/>
  <c r="AB189" i="31680"/>
  <c r="AB37" i="31680"/>
  <c r="AB159" i="31680"/>
  <c r="AB235" i="31680"/>
  <c r="AB50" i="31680"/>
  <c r="AB184" i="31680"/>
  <c r="AB183" i="31680"/>
  <c r="AB236" i="31680"/>
  <c r="AB160" i="31680"/>
  <c r="AB162" i="31680"/>
  <c r="AB161" i="31680"/>
  <c r="AB55" i="31680"/>
  <c r="AB14" i="31680"/>
  <c r="AB25" i="31680"/>
  <c r="AB49" i="31680"/>
  <c r="AB259" i="31680"/>
  <c r="AB118" i="31680"/>
  <c r="AB58" i="31680"/>
  <c r="AB200" i="31680"/>
  <c r="AB123" i="31680"/>
  <c r="AB222" i="31680"/>
  <c r="AB202" i="31680"/>
  <c r="AB101" i="31680"/>
  <c r="AB28" i="31680"/>
  <c r="AB83" i="31680"/>
  <c r="AB164" i="31680"/>
  <c r="AB196" i="31680"/>
  <c r="AB19" i="31680"/>
  <c r="AB127" i="31680"/>
  <c r="AB10" i="31680"/>
  <c r="AB34" i="31680"/>
  <c r="AB12" i="31680"/>
  <c r="AB203" i="31680"/>
  <c r="AB74" i="31680"/>
  <c r="AB69" i="31680"/>
  <c r="AB90" i="31680"/>
  <c r="AB138" i="31680"/>
  <c r="AB78" i="31680"/>
  <c r="AB178" i="31680"/>
  <c r="AB40" i="31680"/>
  <c r="AB253" i="31680"/>
  <c r="AB218" i="31680"/>
  <c r="AB221" i="31680"/>
  <c r="AB79" i="31680"/>
  <c r="AB117" i="31680"/>
  <c r="AB179" i="31680"/>
  <c r="AB35" i="31680"/>
  <c r="AB24" i="31680"/>
  <c r="AB180" i="31680"/>
  <c r="AB23" i="31680"/>
  <c r="AB187" i="31680"/>
  <c r="AB128" i="31680"/>
  <c r="AB85" i="31680"/>
  <c r="AB223" i="31680"/>
  <c r="AB66" i="31680"/>
  <c r="AB80" i="31680"/>
  <c r="AB194" i="31680"/>
  <c r="AB64" i="31680"/>
  <c r="AB264" i="31680"/>
  <c r="AB215" i="31680"/>
  <c r="AB263" i="31680"/>
  <c r="AB136" i="31680"/>
  <c r="AB124" i="31680"/>
  <c r="AB51" i="31680"/>
  <c r="AB2" i="31680"/>
  <c r="AB3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AB510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<sst xmlns="http://schemas.openxmlformats.org/spreadsheetml/2006/main" count="4953" uniqueCount="1175">
  <si>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</si>
  <si>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</si>
  <si>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</si>
  <si>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</si>
  <si>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</si>
  <si>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</si>
  <si>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</si>
  <si>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</si>
  <si>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</si>
  <si>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</si>
  <si>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</si>
  <si>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</si>
  <si>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</si>
  <si>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</si>
  <si>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</si>
  <si>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</si>
  <si>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</si>
  <si>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</si>
  <si>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</si>
  <si>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</si>
  <si>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</si>
  <si>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</si>
  <si>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</si>
  <si>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</si>
  <si>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</si>
  <si>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</si>
  <si>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</si>
  <si>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</si>
  <si>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</si>
  <si>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</si>
  <si>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</si>
  <si>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</si>
  <si>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</si>
  <si>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</si>
  <si>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</si>
  <si>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</si>
  <si>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</si>
  <si>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</si>
  <si>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</si>
  <si>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</si>
  <si>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</si>
  <si>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</si>
  <si>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</si>
  <si>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</si>
  <si>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</si>
  <si>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</si>
  <si>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</si>
  <si>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</si>
  <si>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</si>
  <si>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</si>
  <si>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</si>
  <si>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</si>
  <si>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</si>
  <si>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</si>
  <si>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</si>
  <si>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</si>
  <si>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</si>
  <si>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</si>
  <si>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</si>
  <si>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</si>
  <si>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</si>
  <si>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</si>
  <si>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</si>
  <si>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</si>
  <si>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</si>
  <si>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</si>
  <si>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</si>
  <si>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</si>
  <si>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</si>
  <si>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</si>
  <si>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</si>
  <si>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</si>
  <si>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</si>
  <si>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</si>
  <si>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</si>
  <si>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</si>
  <si>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</si>
  <si>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</si>
  <si>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</si>
  <si>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</si>
  <si>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</si>
  <si>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</si>
  <si>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</si>
  <si>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</si>
  <si>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</si>
  <si>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</si>
  <si>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</si>
  <si>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</si>
  <si>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</si>
  <si>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</si>
  <si>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</si>
  <si>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</si>
  <si>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</si>
  <si>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</si>
  <si>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</si>
  <si>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</si>
  <si>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</si>
  <si>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</si>
  <si>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</si>
  <si>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</si>
  <si>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</si>
  <si>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</si>
  <si>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</si>
  <si>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</si>
  <si>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</si>
  <si>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</si>
  <si>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</si>
  <si>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</si>
  <si>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</si>
  <si>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</si>
  <si>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</si>
  <si>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</si>
  <si>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</si>
  <si>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</si>
  <si>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</si>
  <si>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</si>
  <si>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</si>
  <si>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</si>
  <si>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</si>
  <si>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</si>
  <si>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</si>
  <si>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</si>
  <si>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</si>
  <si>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</si>
  <si>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</si>
  <si>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</si>
  <si>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</si>
  <si>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</si>
  <si>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</si>
  <si>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</si>
  <si>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</si>
  <si>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</si>
  <si>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</si>
  <si>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</si>
  <si>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</si>
  <si>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</si>
  <si>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</si>
  <si>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</si>
  <si>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</si>
  <si>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</si>
  <si>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</si>
  <si>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</si>
  <si>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</si>
  <si>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</si>
  <si>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</si>
  <si>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</si>
  <si>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</si>
  <si>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</si>
  <si>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</si>
  <si>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</si>
  <si>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</si>
  <si>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</si>
  <si>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</si>
  <si>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</si>
  <si>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</si>
  <si>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</si>
  <si>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</si>
  <si>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</si>
  <si>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</si>
  <si>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</si>
  <si>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</si>
  <si>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</si>
  <si>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</si>
  <si>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</si>
  <si>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</si>
  <si>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</si>
  <si>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</si>
  <si>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</si>
  <si>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</si>
  <si>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</si>
  <si>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</si>
  <si>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</si>
  <si>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</si>
  <si>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</si>
  <si>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</si>
  <si>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</si>
  <si>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</si>
  <si>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</si>
  <si>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</si>
  <si>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</si>
  <si>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</si>
  <si>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</si>
  <si>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</si>
  <si>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</si>
  <si>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</si>
  <si>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</si>
  <si>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</si>
  <si>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</si>
  <si>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</si>
  <si>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</si>
  <si>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</si>
  <si>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</si>
  <si>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</si>
  <si>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</si>
  <si>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</si>
  <si>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</si>
  <si>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</si>
  <si>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</si>
  <si>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</si>
  <si>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</si>
  <si>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</si>
  <si>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</si>
  <si>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</si>
  <si>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</si>
  <si>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</si>
  <si>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</si>
  <si>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</si>
  <si>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</si>
  <si>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</si>
  <si>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</si>
  <si>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</si>
  <si>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</si>
  <si>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</si>
  <si>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</si>
  <si>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</si>
  <si>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</si>
  <si>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</si>
  <si>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</si>
  <si>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</si>
  <si>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</si>
  <si>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</si>
  <si>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</si>
  <si>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</si>
  <si>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</si>
  <si>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</si>
  <si>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</si>
  <si>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</si>
  <si>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</si>
  <si>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</si>
  <si>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</si>
  <si>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</si>
  <si>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</si>
  <si>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</si>
  <si>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</si>
  <si>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</si>
  <si>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</si>
  <si>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</si>
  <si>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</si>
  <si>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</si>
  <si>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</si>
  <si>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</si>
  <si>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</si>
  <si>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</si>
  <si>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</si>
  <si>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</si>
  <si>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</si>
  <si>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</si>
  <si>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</si>
  <si>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</si>
  <si>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</si>
  <si>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</si>
  <si>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</si>
  <si>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</si>
  <si>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</si>
  <si>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</si>
  <si>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</si>
  <si>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</si>
  <si>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</si>
  <si>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</si>
  <si>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</si>
  <si>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</si>
  <si>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</si>
  <si>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</si>
  <si>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</si>
  <si>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</si>
  <si>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</si>
  <si>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</si>
  <si>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</si>
  <si>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</si>
  <si>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</si>
  <si>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</si>
  <si>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</si>
  <si>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</si>
  <si>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</si>
  <si>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</si>
  <si>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</si>
  <si>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</si>
  <si>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</si>
  <si>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</si>
  <si>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</si>
  <si>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</si>
  <si>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</si>
  <si>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</si>
  <si>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</si>
  <si>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</si>
  <si>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</si>
  <si>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</si>
  <si>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</si>
  <si>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</si>
  <si>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</si>
  <si>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</si>
  <si>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</si>
  <si>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</si>
  <si>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</si>
  <si>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</si>
  <si>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</si>
  <si>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</si>
  <si>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</si>
  <si>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</si>
  <si>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</si>
  <si>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</si>
  <si>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</si>
  <si>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</si>
  <si>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</si>
  <si>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</si>
  <si>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</si>
  <si>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</si>
  <si>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</si>
  <si>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</si>
  <si>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</si>
  <si>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</si>
  <si>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</si>
  <si>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</si>
  <si>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</si>
  <si>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</si>
  <si>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</si>
  <si>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</si>
  <si>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</si>
  <si>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</si>
  <si>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</si>
  <si>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</si>
  <si>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</si>
  <si>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</si>
  <si>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</si>
  <si>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</si>
  <si>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</si>
  <si>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</si>
  <si>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</si>
  <si>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</si>
  <si>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</si>
  <si>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</si>
  <si>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</si>
  <si>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</si>
  <si>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</si>
  <si>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</si>
  <si>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</si>
  <si>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</si>
  <si>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</si>
  <si>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</si>
  <si>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</si>
  <si>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</si>
  <si>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</si>
  <si>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</si>
  <si>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</si>
  <si>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</si>
  <si>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</si>
  <si>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</si>
  <si>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</si>
  <si>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</si>
  <si>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</si>
  <si>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</si>
  <si>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</si>
  <si>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</si>
  <si>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</si>
  <si>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</si>
  <si>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</si>
  <si>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</si>
  <si>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</si>
  <si>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</si>
  <si>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</si>
  <si>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</si>
  <si>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</si>
  <si>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</si>
  <si>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</si>
  <si>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</si>
  <si>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</si>
  <si>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</si>
  <si>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</si>
  <si>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</si>
  <si>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</si>
  <si>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</si>
  <si>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</si>
  <si>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</si>
  <si>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</si>
  <si>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</si>
  <si>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</si>
  <si>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</si>
  <si>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</si>
  <si>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</si>
  <si>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</si>
  <si>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</si>
  <si>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</si>
  <si>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</si>
  <si>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</si>
  <si>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</si>
  <si>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</si>
  <si>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</si>
  <si>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</si>
  <si>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</si>
  <si>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</si>
  <si>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</si>
  <si>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</si>
  <si>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</si>
  <si>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</si>
  <si>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</si>
  <si>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</si>
  <si>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</si>
  <si>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</si>
  <si>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</si>
  <si>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</si>
  <si>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</si>
  <si>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</si>
  <si>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</si>
  <si>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</si>
  <si>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</si>
  <si>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</si>
  <si>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</si>
  <si>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</si>
  <si>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</si>
  <si>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</si>
  <si>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</si>
  <si>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</si>
  <si>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</si>
  <si>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</si>
  <si>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</si>
  <si>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</si>
  <si>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</si>
  <si>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</si>
  <si>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</si>
  <si>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</si>
  <si>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</si>
  <si>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</si>
  <si>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</si>
  <si>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</si>
  <si>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</si>
  <si>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</si>
  <si>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</si>
  <si>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</si>
  <si>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</si>
  <si>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</si>
  <si>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</si>
  <si>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</si>
  <si>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</si>
  <si>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</si>
  <si>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</si>
  <si>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</si>
  <si>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</si>
  <si>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</si>
  <si>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</si>
  <si>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</si>
  <si>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</si>
  <si>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</si>
  <si>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</si>
  <si>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</si>
  <si>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</si>
  <si>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</si>
  <si>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</si>
  <si>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</si>
  <si>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</si>
  <si>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</si>
  <si>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</si>
  <si>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</si>
  <si>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</si>
  <si>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</si>
  <si>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</si>
  <si>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</si>
  <si>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</si>
  <si>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</si>
  <si>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</si>
  <si>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</si>
  <si>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</si>
  <si>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</si>
  <si>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</si>
  <si>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</si>
  <si>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</si>
  <si>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</si>
  <si>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</si>
  <si>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</si>
  <si>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</si>
  <si>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</si>
  <si>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</si>
  <si>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</si>
  <si>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</si>
  <si>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</si>
  <si>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</si>
  <si>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</si>
  <si>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</si>
  <si>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</si>
  <si>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</si>
  <si>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</si>
  <si>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</si>
  <si>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</si>
  <si>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</si>
  <si>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</si>
  <si>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</si>
  <si>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</si>
  <si>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</si>
  <si>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</si>
  <si>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</si>
  <si>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</si>
  <si>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</si>
  <si>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</si>
  <si>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</si>
  <si>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</si>
  <si>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</si>
  <si>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</si>
  <si>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</si>
  <si>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</si>
  <si>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</si>
  <si>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</si>
  <si>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</si>
  <si>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</si>
  <si>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</si>
  <si>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</si>
  <si>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</si>
  <si>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</si>
  <si>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</si>
  <si>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</si>
  <si>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</si>
  <si>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</si>
  <si>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</si>
  <si>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</si>
  <si>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</si>
  <si>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</si>
  <si>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</si>
  <si>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</si>
  <si>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</si>
  <si>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</si>
  <si>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</si>
  <si>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</si>
  <si>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</si>
  <si>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</si>
  <si>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</si>
  <si>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</si>
  <si>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</si>
  <si>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</si>
  <si>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</si>
  <si>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</si>
  <si>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</si>
  <si>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</si>
  <si>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</si>
  <si>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</si>
  <si>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</si>
  <si>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</si>
  <si>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</si>
  <si>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</si>
  <si>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</si>
  <si>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</si>
  <si>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</si>
  <si>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</si>
  <si>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</si>
  <si>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</si>
  <si>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</si>
  <si>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</si>
  <si>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</si>
  <si>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</si>
  <si>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</si>
  <si>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</si>
  <si>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</si>
  <si>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</si>
  <si>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</si>
  <si>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</si>
  <si>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</si>
  <si>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</si>
  <si>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</si>
  <si>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</si>
  <si>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</si>
  <si>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</si>
  <si>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</si>
  <si>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</si>
  <si>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</si>
  <si>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</si>
  <si>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</si>
  <si>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</si>
  <si>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IVANA TO CHASE UP NON PAID owes 1400 guarantor</t>
  </si>
  <si>
    <t>Both tenants paid in advance to 17/08/2019</t>
  </si>
  <si>
    <t>{"JASPER*","TOPAZ*","MORTGAGE EXPRESS*","NRAM*","PLATFORM*","AMBER*","BHAM*","CAPITAL*", "MORTGAGE TRUST*"}</t>
  </si>
  <si>
    <t>fu</t>
  </si>
  <si>
    <t>Notice given to Sharon Briscoe on 31 October - expires 21 January 2to 3 m9onths after that</t>
  </si>
  <si>
    <t>this is a big fat pile of shit</t>
  </si>
  <si>
    <t>c</t>
  </si>
  <si>
    <t>can we sell and invest in your trading machine</t>
  </si>
  <si>
    <t>today, I have cleaned piss from the floor, picked up leos shit and had 20 calls from sofia @worrying because she is unprepared. Then a new council order. Im getting proper pissed on the 14th and going to be reckless</t>
  </si>
  <si>
    <t>Not paid in Oct - please check - Dates do not continue Set, Oct, Dec</t>
  </si>
  <si>
    <t>paid up until feb 2019</t>
  </si>
  <si>
    <t>163FRA</t>
  </si>
  <si>
    <t>For sale</t>
  </si>
  <si>
    <t>ID Check</t>
  </si>
  <si>
    <t>Beals</t>
  </si>
  <si>
    <t>Sharon Briscoe not paid</t>
  </si>
  <si>
    <t>Need to serve notice</t>
  </si>
  <si>
    <t>Sold 22/2</t>
  </si>
  <si>
    <t>Not full amount</t>
  </si>
  <si>
    <t>Maja Zuzanna Olczak</t>
  </si>
  <si>
    <t>Olczak (28/02/2019 -  present)</t>
  </si>
  <si>
    <t>Check tenant name and details is correct in pap, also check move out date of J Hill</t>
  </si>
  <si>
    <t>Check eviction - how do we evict</t>
  </si>
  <si>
    <t>To be evicted 2/5</t>
  </si>
  <si>
    <t>Check Fox and Sons payment</t>
  </si>
  <si>
    <t>Empty due to damp problems</t>
  </si>
  <si>
    <t>Paid to Jan in advance, not paid after</t>
  </si>
  <si>
    <t>Carry forward from FEB</t>
  </si>
  <si>
    <t>20-74-09 60458872</t>
  </si>
  <si>
    <t>PAYMENT</t>
  </si>
  <si>
    <t>DIRECTDEP</t>
  </si>
  <si>
    <t>BEALS ESTATE AGENT    FLAT 204-6 ALHAMBR BGC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</si>
  <si>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</si>
  <si>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</si>
  <si>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</si>
  <si>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</si>
  <si>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</si>
  <si>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</si>
  <si>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</si>
  <si>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</si>
  <si>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</si>
  <si>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01050230313307     DDR</t>
  </si>
  <si>
    <t>PLATFORM FUNDING      01050229961082     DDR</t>
  </si>
  <si>
    <t>CHL HOME LOAN         CHL00002/907372200 DDR</t>
  </si>
  <si>
    <t>CHL HOME LOAN         CHL00002/907371904 DDR</t>
  </si>
  <si>
    <t>BEALS ESTATE AGENT    FLAT 1321 LONDON R BGC</t>
  </si>
  <si>
    <t>BEALS ESTATE AGENT    196A KINGSTON ROAD BGC</t>
  </si>
  <si>
    <t>BEALS ESTATE AGENT    FLAT 174-6 ALHAMBR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</si>
  <si>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</si>
  <si>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</si>
  <si>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</si>
  <si>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</si>
  <si>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</si>
  <si>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</si>
  <si>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</si>
  <si>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</si>
  <si>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</si>
  <si>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</si>
  <si>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</si>
  <si>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 xml:space="preserve">FT </t>
  </si>
  <si>
    <t>BEALS ESTATE AGENT    FLAT 1412-14 ALHAM BGC</t>
  </si>
  <si>
    <t>BEALS ESTATE AGENT    FLAT 3163 FRATTON  BGC</t>
  </si>
  <si>
    <t>BEALS ESTATE AGENT    FLAT 68 ALHAMBRA R BGC</t>
  </si>
  <si>
    <t>BEALS ESTATE AGENT    FLAT 712-14 ALHAMB BGC</t>
  </si>
  <si>
    <t>BEALS ESTATE AGENT    FLAT 1012-14 ALHAM BGC</t>
  </si>
  <si>
    <t>BEALS ESTATE AGENT    FLAT 1169 FAWCETT  BGC</t>
  </si>
  <si>
    <t>BEALS ESTATE AGENT    FLAT 184-6 ALHAMBR BGC</t>
  </si>
  <si>
    <t>BEALS ESTATE AGENT    FLAT 2171 FAWCETT  BGC</t>
  </si>
  <si>
    <t>BEALS ESTATE AGENT    FLAT 412-14 ALHAMB BGC</t>
  </si>
  <si>
    <t>BEALS ESTATE AGENT    FLAT 4321 LONDON R BGC</t>
  </si>
  <si>
    <t>BHAM MIDSHIRES        020010556389/35299 DDR</t>
  </si>
  <si>
    <t>BHAM MIDSHIRES        020009309942/35735 DDR</t>
  </si>
  <si>
    <t>BEALS ESTATE AGENT    FLAT 58 ALHAMBRA R BGC</t>
  </si>
  <si>
    <t>BEALS ESTATE AGENT    FLAT 616-18 ALHAMB BGC</t>
  </si>
  <si>
    <t>BHAM MIDSHIRES        020000389757/37175 DDR</t>
  </si>
  <si>
    <t>PAYPAL PAYMENT        5CM22229DF5GW      DDR</t>
  </si>
  <si>
    <t>BOOTS</t>
  </si>
  <si>
    <t>PLATFORM FUNDING      01050228979115     DDR</t>
  </si>
  <si>
    <t>PLATFORM FUNDING      01050228957650     DDR</t>
  </si>
  <si>
    <t>LAND ROVER FS         579452160          DDR</t>
  </si>
  <si>
    <t>BEALS ESTATE AGENT    FLAT 1116-18 ALHAM BGC</t>
  </si>
  <si>
    <t>BEALS ESTATE AGENT    FLAT 3321 LONDON R BGC</t>
  </si>
  <si>
    <t>BHAM MIDSHIRES        020010557032/41445 DDR</t>
  </si>
  <si>
    <t>BHAM MIDSHIRES        020004110676/41435 DDR</t>
  </si>
  <si>
    <t>BEALS ESTATE AGENT    SHOP196 KINGSTON R BGC</t>
  </si>
  <si>
    <t>BHAM MIDSHIRES        020003649652/41838 DDR</t>
  </si>
  <si>
    <t>BHAM MIDSHIRES        020007882432/46801 DDR</t>
  </si>
  <si>
    <t>G&amp;F VALENTINO         MTUCKER            STO</t>
  </si>
  <si>
    <t>BEALS ESTATE AGENT    FLAT 3169 FAWCETT  BGC</t>
  </si>
  <si>
    <t>BEALS ESTATE AGENT    FLAT 1171 FAWCETT  BGC</t>
  </si>
  <si>
    <t>20-74-09 40406538</t>
  </si>
  <si>
    <t>CASH</t>
  </si>
  <si>
    <t xml:space="preserve">205397 30728691       OPTIONAL           FT </t>
  </si>
  <si>
    <t>STO</t>
  </si>
  <si>
    <t>TUCK&amp;VALEN HSE%0 P    207409 40406538    STO</t>
  </si>
  <si>
    <t>20-53-97 30728691</t>
  </si>
  <si>
    <t>OTH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</si>
  <si>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</si>
  <si>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</si>
  <si>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</si>
  <si>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</si>
  <si>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</si>
  <si>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</si>
  <si>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</si>
  <si>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MORTGAGE EXPRESS      MEC02005/480016104 DDR</t>
  </si>
  <si>
    <t>TOPAZ FIN JASPER      PRU00010/190859005 DDR</t>
  </si>
  <si>
    <t>AMBER HOMELOANS       AHG00001/480441702 DDR</t>
  </si>
  <si>
    <t>NRAM                  24935234           DDR</t>
  </si>
  <si>
    <t>THE HARPUR TRUST D    TUCKMS  GVALS1     DDR</t>
  </si>
  <si>
    <t>THE HARPUR TRUST D    TUCKM8  PVALA1     DDR</t>
  </si>
  <si>
    <t>THE HARPUR TRUST D    TUCKM8  BVALR8     DDR</t>
  </si>
  <si>
    <t>BEALS ESTATE AGENT    FLAT 214-6 ALHAMBR BGC</t>
  </si>
  <si>
    <t>BEALS ESTATE AGENT    FLAT 78 ALHAMBRA R BGC</t>
  </si>
  <si>
    <t>LEGAL &amp; GEN MI C/L    011439921-5        DDR</t>
  </si>
  <si>
    <t>BEALS ESTATE AGENT    23C HAMPSHIRE TERR BGC</t>
  </si>
  <si>
    <t>BEALS ESTATE AGENT    FLAT 316-18 ALHAMB BGC</t>
  </si>
  <si>
    <t>BEALS ESTATE AGENT    FLAT 88 ALHAMBRA R BGC</t>
  </si>
  <si>
    <t>TOPAZ FIN JASPER      PRU00010/191462710 DDR</t>
  </si>
  <si>
    <t>BEALS ESTATE AGENT    FLAT 1112-14 ALHAM BGC</t>
  </si>
  <si>
    <t>KINGSTON UNITY        PL684048A VALENTNO STO</t>
  </si>
  <si>
    <t>SHEPHERDS FS          PN026484A          DDR</t>
  </si>
  <si>
    <t>BHAM MIDSHIRES        020007900597/59348 DDR</t>
  </si>
  <si>
    <t>BEALS ESTATE AGENT    FLAT 312-14 ALHAMB BGC</t>
  </si>
  <si>
    <t>BEALS ESTATE AGENT    FLAT 512-14 ALHAMB BGC</t>
  </si>
  <si>
    <t>BEALS ESTATE AGENT    FLAT 1216-18 ALHAM BGC</t>
  </si>
  <si>
    <t>BEALS ESTATE AGENT    FLAT 1612-14 ALHAM BGC</t>
  </si>
  <si>
    <t>BEALS ESTATE AGENT    FLAT 716-18 ALHAMB BGC</t>
  </si>
  <si>
    <t>AVIVA LIFE            014033997     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</si>
  <si>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</si>
  <si>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</si>
  <si>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</si>
  <si>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</si>
  <si>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</si>
  <si>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</si>
  <si>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</si>
  <si>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</si>
  <si>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 xml:space="preserve">207409 40406538       OPTIONAL           FT </t>
  </si>
  <si>
    <t>ONECALL INSURANCE     OIP-5-3104389      DDR</t>
  </si>
  <si>
    <t>ID MOBILE LIMITED     11245718/001       DDR</t>
  </si>
  <si>
    <t>MR MATTHEW STUART     207409 40406538    STO</t>
  </si>
  <si>
    <t>BOOTS REWARDSCHEME    A45028400000736    DDR</t>
  </si>
  <si>
    <t>PCC COLLECTION ACC    104637393          DDR</t>
  </si>
  <si>
    <t>PCC COLLECTION ACC    104587475          DDR</t>
  </si>
  <si>
    <t>BCC</t>
  </si>
  <si>
    <t>CHARGES               UNPAID FEE       £8.00</t>
  </si>
  <si>
    <t>Invoice</t>
  </si>
  <si>
    <t>Statement</t>
  </si>
  <si>
    <t>Legislation &amp; Compliance  - 196b Kingston Road, Portsmouth</t>
  </si>
  <si>
    <t>Management Fee at 6% - 23c Hampshire Terrace, Portsmouth</t>
  </si>
  <si>
    <t>Amount payable to Ms Ivana Valentino - 23c Hampshire Terrace, Portsmouth</t>
  </si>
  <si>
    <t>Management Fee at 6% - Flat 8, 8 Alhambra Road, Southsea</t>
  </si>
  <si>
    <t>Amount payable to Ms Ivana Valentino - Flat 8, 8 Alhambra Road, Southsea</t>
  </si>
  <si>
    <t>Legislation &amp; Compliance  - Flat 8, 8 Alhambra Road, Southsea</t>
  </si>
  <si>
    <t>Management Fee at 6% - Flat 21, 4-6 Alhambra Road, Southsea</t>
  </si>
  <si>
    <t>Amount payable to Ms Ivana Valentino - Flat 21, 4-6 Alhambra Road, Southsea</t>
  </si>
  <si>
    <t>Legislation &amp; Compliance  - Flat 21, 4-6 Alhambra Road, Southsea</t>
  </si>
  <si>
    <t>Rent for period 18/05/2019 - 17/06/2019 from Mr Andrew Greer - Flat 3, 12-14 Alhambra Road, Southsea</t>
  </si>
  <si>
    <t>Management Fee at 6% - Flat 3, 12-14 Alhambra Road, Southsea</t>
  </si>
  <si>
    <t>Amount payable to Ms Ivana Valentino - Flat 3, 12-14 Alhambra Road, Southsea</t>
  </si>
  <si>
    <t>Legislation &amp; Compliance  - Flat 3, 12-14 Alhambra Road, Southsea</t>
  </si>
  <si>
    <t>Management Fee at 6% - Flat 5, 12-14 Alhambra Road, Southsea</t>
  </si>
  <si>
    <t>Amount payable to Ms Ivana Valentino - Flat 5, 12-14 Alhambra Road, Southsea</t>
  </si>
  <si>
    <t>Rent for period 23/06/2019 - 22/07/2019 from Mr Michael Valverde - Flat 5, 12-14 Alhambra Road, Southsea</t>
  </si>
  <si>
    <t>Legislation &amp; Compliance  - Flat 5, 12-14 Alhambra Road, Southsea</t>
  </si>
  <si>
    <t>Rent for period 19/05/2019 - 18/06/2019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</si>
  <si>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</si>
  <si>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</si>
  <si>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Legislation &amp; Compliance  - Flat 16, 12-14 Alhambra Road, Southsea</t>
  </si>
  <si>
    <t>Management Fee at 6% - Flat 3, 16-18 Alhambra Road, Southsea</t>
  </si>
  <si>
    <t>Amount payable to Ms Ivana Valentino - Flat 3, 16-18 Alhambra Road, Southsea</t>
  </si>
  <si>
    <t>Legislation &amp; Compliance  - Flat 3, 16-18 Alhambra Road, Southsea</t>
  </si>
  <si>
    <t>Management Fee at 6% - Flat 7, 16-18 Alhambra Road, Southsea</t>
  </si>
  <si>
    <t>Amount payable to Ms Ivana Valentino - Flat 7, 16-18 Alhambra Road, Southsea</t>
  </si>
  <si>
    <t>Rent for period 08/06/2019 - 07/07/2019 from Mr Alan Young - Flat 7, 16-18 Alhambra Road, Southsea</t>
  </si>
  <si>
    <t>Legislation &amp; Compliance  - Flat 7, 16-18 Alhambra Road, Southsea</t>
  </si>
  <si>
    <t>Management Fee at 6% - Flat 12, 16-18 Alhambra Road, Southsea</t>
  </si>
  <si>
    <t>Amount payable to Ms Ivana Valentino - Flat 12, 16-18 Alhambra Road, Southsea</t>
  </si>
  <si>
    <t>Rent for period 19/06/2019 - 18/07/2019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</si>
  <si>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</si>
  <si>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</si>
  <si>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>Management Fee at 6% - Flat 16, 16-18 Alhambra Road, Southsea</t>
  </si>
  <si>
    <t>Amount payable to Ms Ivana Valentino - Flat 16, 16-18 Alhambra Road, Southsea</t>
  </si>
  <si>
    <t>Legislation &amp; Compliance  - Flat 3, 171 Fawcett Road, Southsea</t>
  </si>
  <si>
    <t>Management Fee at 6% - Flat 20, 4-6 Alhambra Road, Southsea</t>
  </si>
  <si>
    <t>Amount payable to Mr Mathew Tucker - Flat 20, 4-6 Alhambra Road, Southsea</t>
  </si>
  <si>
    <t>Legislation &amp; Compliance  - Flat 20, 4-6 Alhambra Road, Southsea</t>
  </si>
  <si>
    <t>Legislation &amp; Compliance  - Flat 19,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</si>
  <si>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</si>
  <si>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</si>
  <si>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</si>
  <si>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</si>
  <si>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Rent for period 26/06/2019 - 25/07/2019 from Mrs Dionne McLaughlin - Flat 18, 4-6 Alhambra Road, Southsea</t>
  </si>
  <si>
    <t>Legislation &amp; Compliance  - Flat 18, 4-6 Alhambra Road, Southsea</t>
  </si>
  <si>
    <t>Management Fee at 6% - Flat 10, 12-14 Alhambra Road, Southsea</t>
  </si>
  <si>
    <t>Amount payable to Mr Mathew Tucker - Flat 10, 12-14 Alhambra Road, Southsea</t>
  </si>
  <si>
    <t>Rent for period 20/06/2019 - 19/07/2019 from Mr Andrew England - Flat 10, 12-14 Alhambra Road, Southsea</t>
  </si>
  <si>
    <t>Legislation &amp; Compliance  - Flat 10, 12-14 Alhambra Road, Southsea</t>
  </si>
  <si>
    <t>Management Fee at 6% - Flat 14, 12-14 Alhambra Road, Southsea</t>
  </si>
  <si>
    <t>Amount payable to Mr Mathew Tucker - Flat 14, 12-14 Alhambra Road, Southsea</t>
  </si>
  <si>
    <t>Legislation &amp; Compliance  - Flat 14, 12-14 Alhambra Road, Southsea</t>
  </si>
  <si>
    <t>Management Fee at 6% - Flat 4, 12-14 Alhambra Road, Southsea</t>
  </si>
  <si>
    <t>Amount payable to Mr Mathew Tucker - Flat 4, 12-14 Alhambra Road, Southsea</t>
  </si>
  <si>
    <t>Rent for period 06/06/2019 - 05/07/2019 from Mr Tony Di-Marco - Flat 4, 12-14 Alhambra Road, Southsea</t>
  </si>
  <si>
    <t>Legislation &amp; Compliance  - Flat 4, 12-14 Alhambra Road, Southsea</t>
  </si>
  <si>
    <t>Management Fee at 6% - Flat 6, 16-18 Alhambra Road, Southsea</t>
  </si>
  <si>
    <t>Amount payable to Mr Mathew Tucker - Flat 6, 16-18 Alhambra Road, Southsea</t>
  </si>
  <si>
    <t>Rent for period 12/06/2019 - 11/07/2019 from Mr Peter Taperek - Flat 6, 16-18 Alhambra Road, Southsea</t>
  </si>
  <si>
    <t>Legislation &amp; Compliance  - Flat 6, 16-18 Alhambra Road, Southsea</t>
  </si>
  <si>
    <t>Management Fee at 6%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</si>
  <si>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</si>
  <si>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</si>
  <si>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</si>
  <si>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Management Fee at 6% - Flat 13, 16-18 Alhambra Road, Southsea</t>
  </si>
  <si>
    <t>Amount payable to Mr Mathew Tucker - Flat 13, 16-18 Alhambra Road, Southsea</t>
  </si>
  <si>
    <t>Rent for period 25/06/2019 - 24/07/2019 from Ms Sharon Briscoe - Flat 1, 321 London Road, Portsmouth</t>
  </si>
  <si>
    <t>Management Fee at 6% - Flat 1, 321 London Road, Portsmouth</t>
  </si>
  <si>
    <t>Amount payable to Mr Mathew Tucker - Flat 1, 321 London Road, Portsmouth</t>
  </si>
  <si>
    <t>Legislation &amp; Compliance  - Flat 1, 321 London Road, Portsmouth</t>
  </si>
  <si>
    <t>Management Fee at 6% - Flat 3, 321 London Road, Portsmouth</t>
  </si>
  <si>
    <t>Amount payable to Mr Mathew Tucker - Flat 3, 321 London Road, Portsmouth</t>
  </si>
  <si>
    <t>Legislation &amp; Compliance  - Flat 3, 321 London Road, Portsmouth</t>
  </si>
  <si>
    <t>Management Fee at 6% - Flat 4, 321 London Road, Portsmouth</t>
  </si>
  <si>
    <t>Amount payable to Mr Mathew Tucker - Flat 4, 321 London Road, Portsmouth</t>
  </si>
  <si>
    <t>Rent for period 26/06/2019 - 25/07/2019 from Miss Carol Carrington - Flat 4, 321 London Road, Portsmouth</t>
  </si>
  <si>
    <t>Legislation &amp; Compliance  - Flat 4, 321 London Road, Portsmouth</t>
  </si>
  <si>
    <t>Management Fee at 6% - Flat 2, 171 Fawcett Road, Southsea</t>
  </si>
  <si>
    <t>Rent for period 02/06/2019 - 01/07/2019 from Mr Michael Pedace - Flat 2, 171 Fawcett Road, Southsea</t>
  </si>
  <si>
    <t>Amount payable to Mr Mathew Tucker - Flat 2, 171 Fawcett Road, Southsea</t>
  </si>
  <si>
    <t>Legislation &amp; Compliance  - Flat 2, 171 Fawcett Road, Southsea</t>
  </si>
  <si>
    <t>Management Fee at 6% - Flat 3, 169 Fawcett Road, Southsea</t>
  </si>
  <si>
    <t>Amount payable to Mr Mathew Tucker - Flat 3, 169 Fawcett Road, Southsea</t>
  </si>
  <si>
    <t>Legislation &amp; Compliance  - Flat 3, 169 Fawcett Road, Southsea</t>
  </si>
  <si>
    <t>Management Fee at 6% - Flat 1, 169 Fawcett Road, Southsea</t>
  </si>
  <si>
    <t>Amount payable to Mr Mathew Tucker - Flat 1, 169 Fawcett Road, Southsea</t>
  </si>
  <si>
    <t>Rent for period 06/06/2019 - 05/07/2019 from Ms Susan Parkinson - Flat 1, 169 Fawcett Road, Southsea</t>
  </si>
  <si>
    <t>Legislation &amp; Compliance  - Flat 1, 169 Fawcett Road, Southsea</t>
  </si>
  <si>
    <t>Management Fee at 6% - Shop, 196 Kingston Road, Portsmouth</t>
  </si>
  <si>
    <t>Amount payable to Mr Mathew Tucker - Shop, 196 Kingston Road, Portsmouth</t>
  </si>
  <si>
    <t>Legislation &amp; Compliance  - Shop, 196 Kingston Road, Portsmouth</t>
  </si>
  <si>
    <t>Management Fee at 6% - 196a Kingston Road, Portsmouth</t>
  </si>
  <si>
    <t>Amount payable to Mr Mathew Tucker - 196a Kingston Road, Portsmouth</t>
  </si>
  <si>
    <t>Legislation &amp; Compliance  - 196a Kingston Road, Portsmouth</t>
  </si>
  <si>
    <t>Rent for period 08/06/2019 - 07/07/2019 from Mr Antony Raymond Hinks - Flat 6, 8 Alhambra Road, Southsea</t>
  </si>
  <si>
    <t>Management Fee at 6% - Flat 6, 8 Alhambra Road, Southsea</t>
  </si>
  <si>
    <t>Amount payable to Mr Mathew Tucker - Flat 6, 8 Alhambra Road, Southsea</t>
  </si>
  <si>
    <t>Legislation &amp; Compliance  - Flat 6, 8 Alhambra Road, Southsea</t>
  </si>
  <si>
    <t>Management Fee at 6% - Flat 5, 8 Alhambra Road, Southsea</t>
  </si>
  <si>
    <t>Amount payable to Mr Mathew Tucker - Flat 5, 8 Alhambra Road, Southsea</t>
  </si>
  <si>
    <t>Rent for period 14/06/2019 - 13/07/2019 from Ms Sharon Smith - Flat 5, 8 Alhambra Road, Southsea</t>
  </si>
  <si>
    <t>Legislation &amp; Compliance  - Flat 5, 8 Alhambra Road, Southsea</t>
  </si>
  <si>
    <t>Supplier</t>
  </si>
  <si>
    <t>Legislation &amp; Compliance  - 23b Hampshire Terrace, Portsmouth</t>
  </si>
  <si>
    <t>Management Fee at 6% - Flat 3, 163 Fratton Road, Portsmouth</t>
  </si>
  <si>
    <t>Amount payable to Mr Mathew Tucker - Flat 3, 163 Fratton Road, Portsmouth</t>
  </si>
  <si>
    <t>Rent for period 14/06/2019 - 13/07/2019 from Mr Martin Brett - Flat 3, 163 Fratton Road, Portsmouth</t>
  </si>
  <si>
    <t>Legislation &amp; Compliance  - Flat 3, 163 Fratton Road, Portsmouth</t>
  </si>
  <si>
    <t>Management Fee at 6% - Flat 7, 12-14 Alhambra Road, Southsea</t>
  </si>
  <si>
    <t>Amount payable to Mr Mathew Tucker - Flat 7, 12-14 Alhambra Road, Southsea</t>
  </si>
  <si>
    <t>Rent for period 14/06/2019 - 13/07/2019 from Mr Aleksandra Radzevics - Flat 7, 12-14 Alhambra Road, Southsea</t>
  </si>
  <si>
    <t>Legislation &amp; Compliance  - Flat 7, 12-14 Alhambra Road, Southsea</t>
  </si>
  <si>
    <t>Rent for period 06/06/2019 - 05/07/2019 from Ms Kirstine Aldridge - Flat 1, 171 Fawcett Road, Southsea</t>
  </si>
  <si>
    <t>Management Fee at 6% - Flat 1, 171 Fawcett Road, Southsea</t>
  </si>
  <si>
    <t>Amount payable to Mr Mathew Tucker - Flat 1, 171 Fawcett Road, Southsea</t>
  </si>
  <si>
    <t>Legislation &amp; Compliance  - Flat 1, 171 Fawcett Road, Southsea</t>
  </si>
  <si>
    <t>Rent for period 01/07/2019 - 31/07/2019 from Miss Phoebe Louise Ranger - 23c Hampshire Terrace, Portsmouth</t>
  </si>
  <si>
    <t>Deposit to landlord for cleaning - 23c Hampshire Terrace, Portsmouth</t>
  </si>
  <si>
    <t>Amount payable to Ms Ivana Valentino</t>
  </si>
  <si>
    <t>Rent for period 30/06/2019 - 29/07/2019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</si>
  <si>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</si>
  <si>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</si>
  <si>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</si>
  <si>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Rent for period 30/07/2019 - 29/08/2019 from Mr Andrew Austin - Flat 7, 8 Alhambra Road, Southsea</t>
  </si>
  <si>
    <t>Rent for period 26/06/2019 - 25/07/2019 from Ms Lisa Pegg - Flat 8, 8 Alhambra Road, Southsea</t>
  </si>
  <si>
    <t>Rent for period 14/07/2019 - 13/08/2019 from Mr Christian John Bartlett - Flat 21, 4-6 Alhambra Road, Southsea</t>
  </si>
  <si>
    <t>Rent for period 18/06/2019 - 17/07/2019 from Mr Andrew Greer - Flat 3, 12-14 Alhambra Road, Southsea</t>
  </si>
  <si>
    <t>Rent for period 18/07/2019 - 17/08/2019 from Mr Andrew Greer - Flat 3, 12-14 Alhambra Road, Southsea</t>
  </si>
  <si>
    <t>Rent for period 23/07/2019 - 22/08/2019 from Mr Michael Valverde - Flat 5, 12-14 Alhambra Road, Southsea</t>
  </si>
  <si>
    <t>Rent for period 03/07/2019 - 02/08/2019 from Mr Charles Ponan - Flat 11, 12-14 Alhambra Road, Southsea</t>
  </si>
  <si>
    <t>Management Fee at 6% - Flat 11, 12-14 Alhambra Road, Southsea</t>
  </si>
  <si>
    <t>Amount payable to Ms Ivana Valentino - Flat 11, 12-14 Alhambra Road, Southsea</t>
  </si>
  <si>
    <t>Legislation &amp; Compliance  - Flat 11, 12-14 Alhambra Road, Southsea</t>
  </si>
  <si>
    <t>Rent for period 19/06/2019 - 18/07/2019 from Mr Aubrey Milligan - Flat 16, 12-14 Alhambra Road, Southsea</t>
  </si>
  <si>
    <t>Rent for period 19/07/2019 - 18/08/2019 from Mr Aubrey Milligan - Flat 16, 12-14 Alhambra Road, Southsea</t>
  </si>
  <si>
    <t>Rent for period 28/06/2019 - 27/07/2019 from Miss Julie Betteridge - Flat 3, 16-18 Alhambra Road, Southsea</t>
  </si>
  <si>
    <t>Rent for period 08/07/2019 - 07/08/2019 from Mr Alan Young - Flat 7, 16-18 Alhambra Road, Southsea</t>
  </si>
  <si>
    <t>Rent for period 19/07/2019 - 18/08/2019 from Mr Jason Passmore - Flat 12, 16-18 Alhambra Road, Southsea</t>
  </si>
  <si>
    <t>Rent for period 28/07/2019 - 27/08/2019 from Mr Peter Gradon - Flat 16, 16-18 Alhambra Road, Southsea</t>
  </si>
  <si>
    <t>AD Fridge - Kingston Domestics - Flat 3, 171 Fawcett Road, Southsea</t>
  </si>
  <si>
    <t>PCC Recalled Funds 20.05.19 - 27.05.19 - Beals Client - Flat 3, 171 Fawcett Road, Southsea</t>
  </si>
  <si>
    <t>Rent for period 16/06/2019 - 15/07/2019 from Miss Ausra Baziukiene - Flat 20, 4-6 Alhambra Road, Southsea</t>
  </si>
  <si>
    <t>Rent for period 16/07/2019 - 15/08/2019 from Miss Ausra Baziukiene - Flat 20, 4-6 Alhambra Road, Southsea</t>
  </si>
  <si>
    <t>Rent for period 01/07/2019 - 31/07/2019 from Miss Maja Zuzanna Olczak - Flat 17, 4-6 Alhambra Road, Southsea</t>
  </si>
  <si>
    <t>Rent for period 01/08/2019 - 27/08/2019 from Miss Maja Zuzanna Olczak - Flat 17, 4-6 Alhambra Road, Southsea</t>
  </si>
  <si>
    <t>Rent for period 26/07/2019 - 25/08/2019 from Mrs Dionne McLaughlin - Flat 18, 4-6 Alhambra Road, Southsea</t>
  </si>
  <si>
    <t>Rent for period 20/07/2019 - 19/08/2019 from Mr Andrew England - Flat 10, 12-14 Alhambra Road, Southsea</t>
  </si>
  <si>
    <t>Rent for period 06/07/2019 - 05/08/2019 from Mr Paul McIlwraith - Flat 14, 12-14 Alhambra Road, Southsea</t>
  </si>
  <si>
    <t>Rent for period 06/07/2019 - 05/08/2019 from Mr Tony Di-Marco - Flat 4, 12-14 Alhambra Road, Southsea</t>
  </si>
  <si>
    <t>Rent for period 12/07/2019 - 11/08/2019 from Mr Peter Taperek - Flat 6, 16-18 Alhambra Road, Southsea</t>
  </si>
  <si>
    <t>Rent for period 12/07/2019 - 11/08/2019 from Mr Sam Yates - Flat 11, 16-18 Alhambra Road, Southsea</t>
  </si>
  <si>
    <t>Rent for period 28/07/2019 - 27/08/2019 from Mr Tomas Gamarro Garcia, Miss Agnieszka Helena Kraus - Flat 13, 16-18 Alhambra Road, Southsea</t>
  </si>
  <si>
    <t>Renew Fire Certificate and Emergency lighting  - Express Electrical - Flat 1, 321 London Road, Portsmouth</t>
  </si>
  <si>
    <t>Rent for period 25/07/2019 - 24/08/2019 from Ms Sharon Briscoe - Flat 1, 321 London Road, Portsmouth</t>
  </si>
  <si>
    <t>Rent for period 15/06/2019 - 14/07/2019 from Miss Nathalie Rockmer - Flat 3, 321 London Road, Portsmouth</t>
  </si>
  <si>
    <t>Rent for period 26/07/2019 - 25/08/2019 from Miss Carol Carrington - Flat 4, 321 London Road, Portsmouth</t>
  </si>
  <si>
    <t>Rent for period 02/07/2019 - 01/08/2019 from Mr Michael Pedace - Flat 2, 171 Fawcett Road, Southsea</t>
  </si>
  <si>
    <t>Rent for period 15/07/2019 - 14/08/2019 from Mr Graham Robinson - Flat 3, 169 Fawcett Road, Southsea</t>
  </si>
  <si>
    <t>Legislation &amp; Compliance  - Flat 2, 169 Fawcett Road, Southsea</t>
  </si>
  <si>
    <t>Rent for period 06/07/2019 - 05/08/2019 from Ms Susan Parkinson - Flat 1, 169 Fawcett Road, Southsea</t>
  </si>
  <si>
    <t>Rent for period 11/07/2019 - 10/08/2019 from Mr Martin Gliszczynski (SIE-SOF T/A Pol Help) - Shop, 196 Kingston Road, Portsmouth</t>
  </si>
  <si>
    <t>Rent for period 01/07/2019 - 31/07/2019 from Ms Jo Henson - 196a Kingston Road, Portsmouth</t>
  </si>
  <si>
    <t>Rent for period 08/07/2019 - 07/08/2019 from Mr Antony Raymond Hinks - Flat 6, 8 Alhambra Road, Southsea</t>
  </si>
  <si>
    <t>Rent for period 14/07/2019 - 13/08/2019 from Ms Sharon Smith - Flat 5, 8 Alhambra Road, Southsea</t>
  </si>
  <si>
    <t>Rent for period 14/07/2019 - 13/08/2019 from Mr Martin Brett - Flat 3, 163 Fratton Road, Portsmouth</t>
  </si>
  <si>
    <t>Rent for period 14/07/2019 - 13/08/2019 from Mr Aleksandra Radzevics - Flat 7, 12-14 Alhambra Road, Southsea</t>
  </si>
  <si>
    <t>Rent for period 06/07/2019 - 05/08/2019 from Ms Kirstine Aldridge - Flat 1, 171 Fawcett Road, Southsea</t>
  </si>
  <si>
    <t>Amount payable to Mr Mathew Tucker</t>
  </si>
  <si>
    <t xml:space="preserve"> </t>
  </si>
  <si>
    <t xml:space="preserve">205397 30728691       MT                 FT </t>
  </si>
  <si>
    <t>CO OPERATIVE FOOD     ON 30 JUN          CLP</t>
  </si>
  <si>
    <t>IZ *Prestige Locks    ON 29 JUN          BCC</t>
  </si>
  <si>
    <t>CO OPERATIVE FOOD     ON 29 JUN          BCC</t>
  </si>
  <si>
    <t>BHAM MIDSHIRES        020002731371/28015 DDR</t>
  </si>
  <si>
    <t>EE LIMITED            Q13077400940680194 DDR</t>
  </si>
  <si>
    <t>BEALS ESTATE AGENT    FLAT 1316-18 ALHAM BGC</t>
  </si>
  <si>
    <t>MARKS&amp;SPENCER PLC     ON 01 JUL          CLP</t>
  </si>
  <si>
    <t>POST OFFICE COUNTE    ON 01 JUL          CLP</t>
  </si>
  <si>
    <t>STARBUCKS             ON 01 JUL          CLP</t>
  </si>
  <si>
    <t>NYA*Express Vendin    ON 01 JUL          CLP</t>
  </si>
  <si>
    <t>DMZ CLEANING          3003 F2 169 FAWCET BBP</t>
  </si>
  <si>
    <t>DMZ CLEANING          3006 2 321 LONDON  BBP</t>
  </si>
  <si>
    <t>DMZ CLEANING          3004 FAWCETT COM   BBP</t>
  </si>
  <si>
    <t>DMZ CLEANING          RUBBISH REMOVAL    BBP</t>
  </si>
  <si>
    <t>THE HIGHLANDER PUB    ON 02 JUL          CLP</t>
  </si>
  <si>
    <t>NYA*Express Vendin    ON 02 JUL          CLP</t>
  </si>
  <si>
    <t>CURRYS ONLINE         ON 02 JUL          BCC</t>
  </si>
  <si>
    <t>MARKS&amp;SPENCER PLC     ON 03 JUL          CLP</t>
  </si>
  <si>
    <t>NYA*Express Vendin    ON 03 JUL          CLP</t>
  </si>
  <si>
    <t>ARGOS PET INS         RSAP9346579200     DDR</t>
  </si>
  <si>
    <t>13.31 on 05/07/19     B5 HITCHIN         ASD</t>
  </si>
  <si>
    <t>TWISTED FABRIC        ON 05 JUL          CLP</t>
  </si>
  <si>
    <t>WINE VAULTS           ON 06 JUL          CLP</t>
  </si>
  <si>
    <t>BP WISLEY SOUTH       ON 06 JUL          CLP</t>
  </si>
  <si>
    <t>MARKS&amp;SPENCER PLC     ON 05 JUL          CLP</t>
  </si>
  <si>
    <t>WWW.JOHNLEWIS.COM     ON 07 JUL          BCC</t>
  </si>
  <si>
    <t>DEBENHAMS.COM         ON 06 JUL          BCC</t>
  </si>
  <si>
    <t>PHASE EIGHT           ON 07 JUL          BCC</t>
  </si>
  <si>
    <t>NEW COUNTY SERVICE    ON 06 JUL          BCC</t>
  </si>
  <si>
    <t>Audible.co.uk         ON 07 JUL          BCC</t>
  </si>
  <si>
    <t>POST OFFICE COUNTE    ON 08 JUL          CLP</t>
  </si>
  <si>
    <t>DEBENHAMS.COM         ON 08 JUL          BCC</t>
  </si>
  <si>
    <t>NEXT DIRECTORY        ON 07 JUL          BCC</t>
  </si>
  <si>
    <t>CO OPERATIVE FOOD     ON 10 JUL          CLP</t>
  </si>
  <si>
    <t xml:space="preserve">NATIONWIDE B.S.       SILBURY ARCADE        </t>
  </si>
  <si>
    <t>NEXTR ETAIL LTD       ON 10 JUL          BCC</t>
  </si>
  <si>
    <t>DEBENHAMS PLC         ON 11 JUL          BCC</t>
  </si>
  <si>
    <t>MARK JONES PAINTER    PAINTING           BBP</t>
  </si>
  <si>
    <t>DANIEL WELLS          009 LEAK F11 1214  BBP</t>
  </si>
  <si>
    <t>J M BAILEY            EPC 4 321          BBP</t>
  </si>
  <si>
    <t>J M BAILEY            EPC 2 321          BBP</t>
  </si>
  <si>
    <t>DMZ CLEANING          3009 F2 169FAW     BBP</t>
  </si>
  <si>
    <t>NEXTR ETAIL LTD       ON 11 JUL          CLP</t>
  </si>
  <si>
    <t>NEW LOOK 1625         ON 11 JUL          CLP</t>
  </si>
  <si>
    <t>PRET A MANGER         ON 11 JUL          CLP</t>
  </si>
  <si>
    <t>JOHN LEWIS            ON 11 JUL          BCC</t>
  </si>
  <si>
    <t>MARKS&amp;SPENCER PLC     ON 11 JUL          BCC</t>
  </si>
  <si>
    <t>T K MAXX              ON 11 JUL          BCC</t>
  </si>
  <si>
    <t>OUTFIT                ON 11 JUL          BCC</t>
  </si>
  <si>
    <t>APRICOT               ON 11 JUL          BCC</t>
  </si>
  <si>
    <t>SumUp *Antonia Cul    ON 12 JUL          BCC</t>
  </si>
  <si>
    <t>Spotify P0BCB6352A    ON 13 JUL          BCC</t>
  </si>
  <si>
    <t xml:space="preserve">CUEVAS DEL DRACH W    SPAIN                 </t>
  </si>
  <si>
    <t xml:space="preserve">INGOLDSBY K A         FLAT 19 ALHAMBRA   FT </t>
  </si>
  <si>
    <t>REFUND</t>
  </si>
  <si>
    <t>NEXTR ETAIL LTD       ON 21 JUL          CLR</t>
  </si>
  <si>
    <t>T K MAXX              ON 21 JUL          BCC</t>
  </si>
  <si>
    <t xml:space="preserve">TENANTFINDERS         TUCKER             FT </t>
  </si>
  <si>
    <t>DMZ CLEANING          KINGSTON COM AREA  BBP</t>
  </si>
  <si>
    <t>CLASSIC CARPET        INV9058 2 169 CARP BBP</t>
  </si>
  <si>
    <t>TOBY STOKES           2 169 CARPET FIT   BBP</t>
  </si>
  <si>
    <t>MARKS&amp;SPENCER PLC     ON 21 JUL          BCC</t>
  </si>
  <si>
    <t>PUSH DOCTOR PREMIU    ON 21 JUL          BCC</t>
  </si>
  <si>
    <t>A BECK PLUMBING       5323 F2 171 GS     BBP</t>
  </si>
  <si>
    <t>WWW.JOHNLEWIS.COM     ON 27 JUL          BCC</t>
  </si>
  <si>
    <t>JOHN LEWIS            ON 27 JUL          BCC</t>
  </si>
  <si>
    <t>PHASE EIGHT           ON 27 JUL          BCC</t>
  </si>
  <si>
    <t>APRICOT               ON 27 JUL          BCC</t>
  </si>
  <si>
    <t>CO OPERATIVE FOOD     ON 28 JUL          CLP</t>
  </si>
  <si>
    <t>COTTON ON UK (PTY)    ON 27 JUL          CLP</t>
  </si>
  <si>
    <t>COSTA COFFEE          ON 27 JUL          CLP</t>
  </si>
  <si>
    <t>THE POST OFFICE       ON 27 JUL          CLP</t>
  </si>
  <si>
    <t>PANDORA               ON 27 JUL          BCC</t>
  </si>
  <si>
    <t>DMZ CLEANING          3024 19 4-6 OVEN   BBP</t>
  </si>
  <si>
    <t>MORTGAGE TRUST        002197389 10108040 DDR</t>
  </si>
  <si>
    <t>MORTGAGE TRUST        002186357 10108040 DDR</t>
  </si>
  <si>
    <t>MORTGAGE TRUST        002186356 10108040 DDR</t>
  </si>
  <si>
    <t>MORTGAGE TRUST        002186317 10108040 DDR</t>
  </si>
  <si>
    <t>EE LIMITED            Q13077400949281435 DDR</t>
  </si>
  <si>
    <t xml:space="preserve">207409 60458872       MT                 FT </t>
  </si>
  <si>
    <t>PCC COLLECTION ACC    104782557          DDR</t>
  </si>
  <si>
    <t>BEALS ESTATE AGENT    FLAT 1616-18 ALHAM BGC</t>
  </si>
  <si>
    <t>206934 60124710       RENT               STO</t>
  </si>
  <si>
    <t>DMZ GROUP UK          3005 23C HAMP      BBP</t>
  </si>
  <si>
    <t>VLS RE KLARNA BANK    273295206173734    DDR</t>
  </si>
  <si>
    <t>IZ *Cable Cafe        ON 05 JUL          CLP</t>
  </si>
  <si>
    <t>BP BEDFORD EXPRESS    ON 05 JUL          CLP</t>
  </si>
  <si>
    <t>DMZ GROUP UK          3009 23C HAMP      BBP</t>
  </si>
  <si>
    <t>TIMPSON LTD           ON 08 JUL          BCC</t>
  </si>
  <si>
    <t>CURRYS ONLINE         ON 09 JUL          BCC</t>
  </si>
  <si>
    <t>DMZ GROUP UK          3012 23C HAMP      BBP</t>
  </si>
  <si>
    <t>CIGMA                 3993 8 8  WINDOW   BBP</t>
  </si>
  <si>
    <t>CIGMA                 3993 8 8 LOCK      BBP</t>
  </si>
  <si>
    <t>BT GROUP PLC          GB14092007-000058  DDR</t>
  </si>
  <si>
    <t>DMZ GROUP UK          3015 23C HAMP      BBP</t>
  </si>
  <si>
    <t>H3G                   980404269602240719 DDR</t>
  </si>
  <si>
    <t xml:space="preserve">TRACEY OWNERS         LEO                FT </t>
  </si>
  <si>
    <t xml:space="preserve">KATIE GUEST           ALESSIO            FT </t>
  </si>
  <si>
    <t xml:space="preserve">S BARNES              ROCCO              FT </t>
  </si>
  <si>
    <t>DANIEL WELLS          IN147 FAWCETDOOR   BBP</t>
  </si>
  <si>
    <t>NEXTR ETAIL LTD       ON 28 JUN          CLP</t>
  </si>
  <si>
    <t>W M MORRISON STORE    ON 30 JUN          CLP</t>
  </si>
  <si>
    <t>CO OPERATIVE FOOD     ON 29 JUN          CLP</t>
  </si>
  <si>
    <t>LAKESIDE FISH AND     ON 28 JUN          CLP</t>
  </si>
  <si>
    <t>IZ *PHONES A&amp;E LIM    ON 28 JUN          CLP</t>
  </si>
  <si>
    <t>BP BEDFORD EXPRESS    ON 28 JUN          CLP</t>
  </si>
  <si>
    <t>STARBUCKS             ON 28 JUN          CLP</t>
  </si>
  <si>
    <t xml:space="preserve">CARDTRONICS UK LTD    NEWNHAM AVENUE        </t>
  </si>
  <si>
    <t>OUTFIT                ON 28 JUN          BCC</t>
  </si>
  <si>
    <t>WM MORRISONS PETRO    ON 30 JUN          BCC</t>
  </si>
  <si>
    <t>MARKS&amp;SPENCER PLC     ON 30 JUN          BCC</t>
  </si>
  <si>
    <t>MKC PARKING RINGGO    ON 28 JUN          BCC</t>
  </si>
  <si>
    <t>H3G                   976046856201270619 DDR</t>
  </si>
  <si>
    <t>TESCO STORE 2105      ON 01 JUL          CLP</t>
  </si>
  <si>
    <t>BOOTS 6407            ON 02 JUL          BCC</t>
  </si>
  <si>
    <t xml:space="preserve">L GREENWOOD           THANK YOU LISA XX  FT </t>
  </si>
  <si>
    <t>BP NEWHAM AVENUE C    ON 02 JUL          CLP</t>
  </si>
  <si>
    <t>COSTA COFFEE 43035    ON 03 JUL          CLP</t>
  </si>
  <si>
    <t>TESCO STORE 2105      ON 03 JUL          BCC</t>
  </si>
  <si>
    <t>TESCO STORE 2105      ON 04 JUL          CLP</t>
  </si>
  <si>
    <t>KFC BEDFORD           ON 03 JUL          CLP</t>
  </si>
  <si>
    <t>BP BEDFORD EXPRESS    ON 03 JUL          CLP</t>
  </si>
  <si>
    <t>NYA*Express Vendin    ON 04 JUL          CLP</t>
  </si>
  <si>
    <t>IZ *THE PAVILION T    ON 04 JUL          CLP</t>
  </si>
  <si>
    <t xml:space="preserve">NOTEMACHINE           ELSTOW SS             </t>
  </si>
  <si>
    <t>SPORTSDIRECT 233      ON 05 JUL          CLP</t>
  </si>
  <si>
    <t>LAKESIDE FISH AND     ON 06 JUL          CLP</t>
  </si>
  <si>
    <t>CO OPERATIVE FOOD     ON 07 JUL          CLP</t>
  </si>
  <si>
    <t>WIXAMS STORES LTD     ON 06 JUL          CLP</t>
  </si>
  <si>
    <t>COSTA COFFEE 43035    ON 06 JUL          CLP</t>
  </si>
  <si>
    <t>WILKO BEDFORD INT     ON 05 JUL          CLP</t>
  </si>
  <si>
    <t>COSTA COFFEE 43035    ON 05 JUL          CLP</t>
  </si>
  <si>
    <t>TESCO STORE 2105      ON 05 JUL          CLP</t>
  </si>
  <si>
    <t>NYA*Express Vendin    ON 05 JUL          CLP</t>
  </si>
  <si>
    <t xml:space="preserve">NOTEMACHINE           KASH'S BUDGENS        </t>
  </si>
  <si>
    <t>BP BEDFORD EXPRESS    ON 04 JUL          BCC</t>
  </si>
  <si>
    <t>MARKS&amp;SPENCER PLC     ON 05 JUL          BCC</t>
  </si>
  <si>
    <t>TESCO STORE 2105      ON 08 JUL          CLP</t>
  </si>
  <si>
    <t>COSTA COFFEE 43035    ON 08 JUL          CLP</t>
  </si>
  <si>
    <t>STARBUCKS             ON 08 JUL          CLP</t>
  </si>
  <si>
    <t>TESCO PAY AT PUMP     ON 08 JUL          BCC</t>
  </si>
  <si>
    <t>TESCO STORE 2105      ON 08 JUL          BCC</t>
  </si>
  <si>
    <t>200574 09JUL 08.50    BEDFORD 1          ATM</t>
  </si>
  <si>
    <t>TESCO STORE 2105      ON 09 JUL          CLP</t>
  </si>
  <si>
    <t>BP BEDFORD EXPRESS    ON 08 JUL          CLP</t>
  </si>
  <si>
    <t>COSTA COFFEE 43035    ON 09 JUL          CLP</t>
  </si>
  <si>
    <t>CARDTRONICS UK LTD    NISA LOCAL</t>
  </si>
  <si>
    <t>TESCO STORE 2105      ON 09 JUL          BCC</t>
  </si>
  <si>
    <t>PHONEANDPAY.CO.UK     ON 09 JUL          BCC</t>
  </si>
  <si>
    <t>T K MAXX              ON 10 JUL          CLR</t>
  </si>
  <si>
    <t>TESCO STORE 2087      ON 10 JUL          BCC</t>
  </si>
  <si>
    <t>BP BEDFORD EXPRESS    ON 10 JUL          CLP</t>
  </si>
  <si>
    <t>MKC PARKING RINGGO    ON 11 JUL          BCC</t>
  </si>
  <si>
    <t>OUTFIT                ON 12 JUL          CLR</t>
  </si>
  <si>
    <t xml:space="preserve">CLAUDIA TOLLETT       MARVELLOUS BOUFANT FT </t>
  </si>
  <si>
    <t>WAITROSE              ON 12 JUL          CLP</t>
  </si>
  <si>
    <t>BP BEDFORD EXPRESS    ON 11 JUL          CLP</t>
  </si>
  <si>
    <t>CO OPERATIVE FOOD     ON 12 JUL          CLP</t>
  </si>
  <si>
    <t>TESCO PAY AT PUMP     ON 12 JUL          BCC</t>
  </si>
  <si>
    <t>TUI AIRWAY LTD        ON 13 JUL          BCC</t>
  </si>
  <si>
    <t>STARBUCKS - 182814    ON 13 JUL          BCC</t>
  </si>
  <si>
    <t>M&amp;S SIMPLY FOOD-SS    ON 20 JUL          CLP</t>
  </si>
  <si>
    <t>TESCO STORE 2105      ON 21 JUL          CLP</t>
  </si>
  <si>
    <t xml:space="preserve">AER.PALMA DE MALLO    SPAIN                 </t>
  </si>
  <si>
    <t>CO OPERATIVE FOOD     ON 22 JUL          CLP</t>
  </si>
  <si>
    <t>CO OPERATIVE FOOD     ON 23 JUL          CLP</t>
  </si>
  <si>
    <t>STARBUCKS             ON 23 JUL          CLP</t>
  </si>
  <si>
    <t>Harpur Centre         ON 23 JUL          CLP</t>
  </si>
  <si>
    <t>ARGOS LTD             ON 23 JUL          BCC</t>
  </si>
  <si>
    <t>ALDI STORES 776-97    ON 23 JUL          BCC</t>
  </si>
  <si>
    <t>WH SMITH              ON 23 JUL          BCC</t>
  </si>
  <si>
    <t>BOOTS 6407            ON 24 JUL          CLP</t>
  </si>
  <si>
    <t>CO OPERATIVE FOOD     ON 24 JUL          CLP</t>
  </si>
  <si>
    <t>MARKS&amp;SPENCER PLC     ON 24 JUL          BCC</t>
  </si>
  <si>
    <t>CO OPERATIVE FOOD     ON 25 JUL          BCC</t>
  </si>
  <si>
    <t>WH SMITH              ON 27 JUL          CLP</t>
  </si>
  <si>
    <t>BP BEDFORD EXPRESS    ON 27 JUL          CLP</t>
  </si>
  <si>
    <t>WATERSTONES           ON 27 JUL          CLP</t>
  </si>
  <si>
    <t>CHOPSTIX RESTAURAN    ON 27 JUL          CLP</t>
  </si>
  <si>
    <t>CO OPERATIVE FOOD     ON 26 JUL          CLP</t>
  </si>
  <si>
    <t>ALDI STORES 776-97    ON 26 JUL          CLP</t>
  </si>
  <si>
    <t>FRANKIE &amp; BENNYS 5    ON 26 JUL          BCC</t>
  </si>
  <si>
    <t>ALDI STORES 776-97    ON 26 JUL          BCC</t>
  </si>
  <si>
    <t>MKC PARKING RINGGO    ON 27 JUL          BCC</t>
  </si>
  <si>
    <t>H3G                   976046856201250719 DDR</t>
  </si>
  <si>
    <t>COSTA COFFEE 43035    ON 29 JUL          CLP</t>
  </si>
  <si>
    <t>Harpur Centre         ON 29 JUL          CLP</t>
  </si>
  <si>
    <t>PHONEANDPAY.CO.UK     ON 29 JUL          BCC</t>
  </si>
  <si>
    <t>BP BEDFORD EXPRESS    ON 29 JUL          CLP</t>
  </si>
  <si>
    <t>CO OPERATIVE FOOD     ON 30 JUL          CLP</t>
  </si>
  <si>
    <t>BP BEDFORD EXPRESS    ON 29 JUL          BCC</t>
  </si>
  <si>
    <t>TESCO STORE 2105      ON 30 JUL          BCC</t>
  </si>
  <si>
    <t>Locksmith HT</t>
  </si>
  <si>
    <t>Flat 2 169 Reference</t>
  </si>
  <si>
    <t>Pay roofer Fratton Rd</t>
  </si>
  <si>
    <t>Beals letter</t>
  </si>
  <si>
    <t>To Ivana</t>
  </si>
  <si>
    <t>Washing machine</t>
  </si>
  <si>
    <t>Use communal ref instead of A</t>
  </si>
  <si>
    <t>Paint and clean</t>
  </si>
  <si>
    <t>Keys</t>
  </si>
  <si>
    <t>Furniture removal</t>
  </si>
  <si>
    <t>inv 3993flat 8 8 alhambra - windowunit and glass</t>
  </si>
  <si>
    <t>inv 3999flat 8 8 alhambra - window glass</t>
  </si>
  <si>
    <t>new washing mashine</t>
  </si>
  <si>
    <t>23 c hamshire terrace kitchen work top</t>
  </si>
  <si>
    <t>inv 3012 com area painting and rubbish clearance</t>
  </si>
  <si>
    <t>DMZ invoice 3003 flat 2 169 fawcett rd end of tenancy clean, oven,cupboard kitchen seal shoer reseal</t>
  </si>
  <si>
    <t>DMZ invoice 3006 flat 2 cleaning sealing shower etc</t>
  </si>
  <si>
    <t>DMZ invoice 3004 comunal are clean</t>
  </si>
  <si>
    <t xml:space="preserve">DMZ invoice 3007 tmz cleaning - sofa removal </t>
  </si>
  <si>
    <t>Mark Jones invoice 0260</t>
  </si>
  <si>
    <t>Mark Jones invoice 0259</t>
  </si>
  <si>
    <t>D Wells inv 009 hole in ceiling due to leak above</t>
  </si>
  <si>
    <t>EPC</t>
  </si>
  <si>
    <t>D Wells 3009 - flat 2 169 fawcett road- vaccum after new carpet</t>
  </si>
  <si>
    <t>Classic Carpets - invoice 9058</t>
  </si>
  <si>
    <t>Classic Carpets - invoice toby stokes</t>
  </si>
  <si>
    <t>A Beck GSC inv 5323 flat 2 171 fawcett road</t>
  </si>
  <si>
    <t>DMZ inv 3024 - flat 19 4-6</t>
  </si>
  <si>
    <t>Rent for period 03/07/2019 - 03/08/2019 from Mr A Stancu - Flat 22, 4-6 Alhambra Road, Southsea</t>
  </si>
  <si>
    <t>Rent for period 29/06/2019 - 13/07/2019 from Miss Katie Ingoldsby - Flat 19, 4-6 Alhambra Road, Southsea</t>
  </si>
  <si>
    <t>SPLIT FOX &amp; SONS</t>
  </si>
  <si>
    <t>Rent for period 29/06/2019 - 28/07/2019 from Miss Katie Ingoldsby - Flat 19, 4-6 Alhambra Road, Southsea</t>
  </si>
  <si>
    <t>Fox &amp; Sons</t>
  </si>
  <si>
    <t/>
  </si>
  <si>
    <t>BK</t>
  </si>
  <si>
    <t>BK,PM,EX</t>
  </si>
  <si>
    <t>BK,MT</t>
  </si>
  <si>
    <t>BK,PM,RT</t>
  </si>
  <si>
    <t>EX</t>
  </si>
  <si>
    <t>RT</t>
  </si>
  <si>
    <t>MF</t>
  </si>
  <si>
    <t>PM</t>
  </si>
  <si>
    <t>321 London Rd</t>
  </si>
  <si>
    <t>Sharon Briscoe (25/01/2019 - present)</t>
  </si>
  <si>
    <t>Nathalie Rockmer (15/09/2018 - present)</t>
  </si>
  <si>
    <t>Carrington (26/11/2010 - present)</t>
  </si>
  <si>
    <t>169 Fawcett Rd</t>
  </si>
  <si>
    <t>Susan Parkinson (06/11/2016 - present)</t>
  </si>
  <si>
    <t>Mr Robinson (15/05/2013 - present)</t>
  </si>
  <si>
    <t>K Aldridge (06/01/2012 - present)</t>
  </si>
  <si>
    <t>Mr Pedace (02/04/2015 - present)</t>
  </si>
  <si>
    <t>163 Fratton Rd</t>
  </si>
  <si>
    <t>Martin Brett (14/04/2010 - present)</t>
  </si>
  <si>
    <t>Martin Gliszczynski (SIE-SOF T/A Pol Help) (11/12/2016 - present)</t>
  </si>
  <si>
    <t>Ms J Henson (01/02/2016 -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</si>
  <si>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</si>
  <si>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</si>
  <si>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</si>
  <si>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</si>
  <si>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Ms Pegg (26/08/2015 - present)</t>
  </si>
  <si>
    <t>Maja Zuzanna Olczak (28/03/2019 - present)</t>
  </si>
  <si>
    <t>Dionne McLaughlin (26/06/2009 - present)</t>
  </si>
  <si>
    <t>Katie Ingoldsby (29/06/2019 - present)</t>
  </si>
  <si>
    <t>Ms Baziukiene (16/09/2015 - present)</t>
  </si>
  <si>
    <t>Christian John Bartlett (14/12/2018 - present)</t>
  </si>
  <si>
    <t>A Stancu (03/06/2019 -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</si>
  <si>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</si>
  <si>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</si>
  <si>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</si>
  <si>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</si>
  <si>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Charles Ponan (03/11/2018 - present)</t>
  </si>
  <si>
    <t>Andrew England (20/11/2009 - present)</t>
  </si>
  <si>
    <t>Paul McIlwraith (06/12/2016 - present)</t>
  </si>
  <si>
    <t>Mr Milligan (19/03/2015 - present)</t>
  </si>
  <si>
    <t>Julie Betteridge (28/02/2018 -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</si>
  <si>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</si>
  <si>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</si>
  <si>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</si>
  <si>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</si>
  <si>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</si>
  <si>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</si>
  <si>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</si>
  <si>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</si>
  <si>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</si>
  <si>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</si>
  <si>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</si>
  <si>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</si>
  <si>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</si>
  <si>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</si>
  <si>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</si>
  <si>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Legislation &amp; Compliance  - 23c Hampshire Terrace, Portsmouth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</si>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</sst>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0"/>
      <color indexed="9"/>
      <name val="Arial"/>
      <family val="2"/>
    </font>
    <font>
      <i/>
      <sz val="11"/>
      <name val="Calibri"/>
      <family val="2"/>
    </font>
    <font>
      <i/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3" fillId="10" borderId="0" applyNumberFormat="0" applyBorder="0" applyAlignment="0" applyProtection="0"/>
    <xf numFmtId="0" fontId="24" fillId="11" borderId="0" applyNumberFormat="0" applyBorder="0" applyAlignment="0" applyProtection="0"/>
  </cellStyleXfs>
  <cellXfs count="186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1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20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Protection="1">
      <protection locked="0"/>
    </xf>
    <xf numFmtId="0" fontId="23" fillId="10" borderId="6" xfId="1" applyBorder="1"/>
    <xf numFmtId="0" fontId="24" fillId="11" borderId="6" xfId="2" applyBorder="1"/>
    <xf numFmtId="0" fontId="25" fillId="11" borderId="6" xfId="2" applyFont="1" applyBorder="1"/>
    <xf numFmtId="0" fontId="2" fillId="6" borderId="0" xfId="0" applyFont="1" applyFill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10" fillId="6" borderId="21" xfId="0" applyFont="1" applyFill="1" applyBorder="1"/>
    <xf numFmtId="0" fontId="0" fillId="6" borderId="22" xfId="0" applyFill="1" applyBorder="1"/>
    <xf numFmtId="0" fontId="5" fillId="6" borderId="17" xfId="0" applyFont="1" applyFill="1" applyBorder="1"/>
    <xf numFmtId="0" fontId="2" fillId="6" borderId="17" xfId="0" applyFont="1" applyFill="1" applyBorder="1"/>
    <xf numFmtId="0" fontId="2" fillId="6" borderId="18" xfId="0" applyFont="1" applyFill="1" applyBorder="1"/>
    <xf numFmtId="0" fontId="2" fillId="6" borderId="19" xfId="0" applyFont="1" applyFill="1" applyBorder="1"/>
    <xf numFmtId="0" fontId="26" fillId="6" borderId="0" xfId="0" applyFont="1" applyFill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7" fillId="0" borderId="0" xfId="0" applyFont="1"/>
    <xf numFmtId="14" fontId="0" fillId="0" borderId="0" xfId="0" applyNumberFormat="1"/>
    <xf numFmtId="0" fontId="3" fillId="12" borderId="9" xfId="0" applyFont="1" applyFill="1" applyBorder="1"/>
    <xf numFmtId="0" fontId="0" fillId="12" borderId="0" xfId="0" applyFill="1" applyProtection="1">
      <protection locked="0"/>
    </xf>
    <xf numFmtId="0" fontId="0" fillId="12" borderId="7" xfId="0" applyFill="1" applyBorder="1"/>
    <xf numFmtId="167" fontId="5" fillId="12" borderId="6" xfId="0" applyNumberFormat="1" applyFont="1" applyFill="1" applyBorder="1" applyProtection="1">
      <protection locked="0"/>
    </xf>
    <xf numFmtId="167" fontId="5" fillId="12" borderId="9" xfId="0" applyNumberFormat="1" applyFont="1" applyFill="1" applyBorder="1" applyProtection="1">
      <protection locked="0"/>
    </xf>
    <xf numFmtId="166" fontId="5" fillId="12" borderId="9" xfId="0" applyNumberFormat="1" applyFont="1" applyFill="1" applyBorder="1" applyAlignment="1" applyProtection="1">
      <alignment horizontal="center"/>
      <protection locked="0"/>
    </xf>
    <xf numFmtId="166" fontId="0" fillId="12" borderId="6" xfId="0" applyNumberFormat="1" applyFill="1" applyBorder="1" applyAlignment="1">
      <alignment horizontal="center"/>
    </xf>
    <xf numFmtId="166" fontId="4" fillId="12" borderId="6" xfId="0" applyNumberFormat="1" applyFont="1" applyFill="1" applyBorder="1" applyAlignment="1">
      <alignment horizontal="center" wrapText="1"/>
    </xf>
    <xf numFmtId="166" fontId="15" fillId="12" borderId="6" xfId="0" applyNumberFormat="1" applyFont="1" applyFill="1" applyBorder="1" applyAlignment="1">
      <alignment horizontal="center"/>
    </xf>
    <xf numFmtId="166" fontId="5" fillId="12" borderId="6" xfId="0" applyNumberFormat="1" applyFont="1" applyFill="1" applyBorder="1" applyAlignment="1">
      <alignment horizontal="center"/>
    </xf>
    <xf numFmtId="0" fontId="0" fillId="12" borderId="6" xfId="0" applyFill="1" applyBorder="1" applyProtection="1">
      <protection locked="0"/>
    </xf>
    <xf numFmtId="166" fontId="0" fillId="12" borderId="9" xfId="0" applyNumberFormat="1" applyFill="1" applyBorder="1"/>
    <xf numFmtId="2" fontId="5" fillId="12" borderId="6" xfId="0" applyNumberFormat="1" applyFont="1" applyFill="1" applyBorder="1" applyAlignment="1" applyProtection="1">
      <alignment horizontal="right"/>
      <protection locked="0"/>
    </xf>
    <xf numFmtId="0" fontId="5" fillId="12" borderId="6" xfId="0" applyFont="1" applyFill="1" applyBorder="1" applyProtection="1">
      <protection locked="0"/>
    </xf>
    <xf numFmtId="0" fontId="0" fillId="12" borderId="9" xfId="0" applyFill="1" applyBorder="1"/>
    <xf numFmtId="0" fontId="0" fillId="12" borderId="6" xfId="0" applyFill="1" applyBorder="1"/>
    <xf numFmtId="0" fontId="0" fillId="12" borderId="0" xfId="0" applyFill="1"/>
    <xf numFmtId="3" fontId="18" fillId="6" borderId="0" xfId="0" applyNumberFormat="1" applyFont="1" applyFill="1"/>
    <xf numFmtId="0" fontId="18" fillId="6" borderId="0" xfId="0" applyFont="1" applyFill="1"/>
    <xf numFmtId="14" fontId="18" fillId="6" borderId="0" xfId="0" applyNumberFormat="1" applyFont="1" applyFill="1"/>
    <xf numFmtId="166" fontId="5" fillId="6" borderId="6" xfId="0" applyNumberFormat="1" applyFont="1" applyFill="1" applyBorder="1" applyProtection="1">
      <protection locked="0"/>
    </xf>
    <xf numFmtId="0" fontId="0" fillId="8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0" fontId="5" fillId="13" borderId="0" xfId="0" applyFont="1" applyFill="1"/>
    <xf numFmtId="2" fontId="0" fillId="0" borderId="0" xfId="0" applyNumberFormat="1" applyFill="1"/>
    <xf numFmtId="0" fontId="18" fillId="0" borderId="0" xfId="0" applyFont="1" applyFill="1"/>
    <xf numFmtId="2" fontId="0" fillId="8" borderId="0" xfId="0" applyNumberFormat="1" applyFill="1"/>
    <xf numFmtId="0" fontId="0" fillId="14" borderId="0" xfId="0" applyFill="1"/>
    <xf numFmtId="0" fontId="5" fillId="8" borderId="0" xfId="0" applyFont="1" applyFill="1"/>
    <xf numFmtId="0" fontId="0" fillId="15" borderId="0" xfId="0" applyFill="1"/>
    <xf numFmtId="0" fontId="5" fillId="15" borderId="0" xfId="0" applyFont="1" applyFill="1"/>
    <xf numFmtId="0" fontId="28" fillId="0" borderId="0" xfId="0" applyFont="1"/>
    <xf numFmtId="14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F36" sqref="F36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M1" s="138" t="s">
        <v>572</v>
      </c>
      <c r="N1" s="139"/>
      <c r="O1" s="139"/>
      <c r="P1" s="140"/>
      <c r="Q1" s="141"/>
      <c r="R1" s="130"/>
      <c r="S1" s="130"/>
      <c r="T1" s="130"/>
      <c r="U1" s="130"/>
      <c r="V1" s="52"/>
      <c r="W1" s="52"/>
    </row>
    <row r="2" spans="1:23" ht="18.75" thickBot="1" x14ac:dyDescent="0.3">
      <c r="M2" s="134"/>
      <c r="N2" s="135" t="s">
        <v>569</v>
      </c>
      <c r="O2" s="135"/>
      <c r="P2" s="136"/>
    </row>
    <row r="3" spans="1:23" ht="15.75" thickBot="1" x14ac:dyDescent="0.25">
      <c r="A3" s="7" t="s">
        <v>31</v>
      </c>
      <c r="B3" s="79">
        <v>43677</v>
      </c>
    </row>
    <row r="4" spans="1:23" ht="14.25" x14ac:dyDescent="0.2">
      <c r="A4" s="7"/>
      <c r="B4" s="7"/>
      <c r="M4" s="131"/>
      <c r="N4" s="132"/>
      <c r="O4" s="132"/>
      <c r="P4" s="133"/>
      <c r="Q4" s="137" t="s">
        <v>570</v>
      </c>
      <c r="R4" s="132"/>
      <c r="S4" s="132"/>
      <c r="T4" s="133"/>
    </row>
    <row r="5" spans="1:23" ht="14.25" customHeight="1" thickBot="1" x14ac:dyDescent="0.3">
      <c r="A5" s="47" t="s">
        <v>547</v>
      </c>
      <c r="B5" s="36"/>
      <c r="M5" s="134"/>
      <c r="N5" s="135" t="s">
        <v>569</v>
      </c>
      <c r="O5" s="135"/>
      <c r="P5" s="136"/>
      <c r="Q5" s="134"/>
      <c r="R5" s="135" t="s">
        <v>571</v>
      </c>
      <c r="S5" s="135"/>
      <c r="T5" s="136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r="9" spans="1:23" ht="12.75" customHeight="1" x14ac:dyDescent="0.2">
      <c r="A9" s="41" t="s">
        <v>1116</v>
      </c>
      <c r="B9" s="37" t="s">
        <v>1107</v>
      </c>
      <c r="C9" s="38"/>
      <c r="D9" s="68"/>
      <c r="E9" s="68"/>
      <c r="F9" s="69"/>
      <c r="G9" s="70"/>
      <c r="H9" s="70"/>
      <c r="I9" s="71"/>
      <c r="J9" s="74"/>
      <c r="K9" s="72"/>
      <c r="L9" s="71">
        <v>6.6</v>
      </c>
      <c r="M9" s="104"/>
      <c r="N9" s="40"/>
      <c r="O9" s="69"/>
      <c r="P9" s="39" t="str">
        <f t="shared" ref="P9:P20" si="0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567</v>
      </c>
    </row>
    <row r="10" spans="1:23" ht="12.75" customHeight="1" x14ac:dyDescent="0.2">
      <c r="A10" s="22" t="s">
        <v>53</v>
      </c>
      <c r="B10" s="16" t="s">
        <v>1117</v>
      </c>
      <c r="C10" s="20" t="s">
        <v>578</v>
      </c>
      <c r="D10" s="68">
        <v>43641</v>
      </c>
      <c r="E10" s="72">
        <v>43701</v>
      </c>
      <c r="F10" s="73">
        <v>508.62</v>
      </c>
      <c r="G10" s="70">
        <v>30.52</v>
      </c>
      <c r="H10" s="70">
        <v>6.1</v>
      </c>
      <c r="I10" s="71">
        <v>162</v>
      </c>
      <c r="J10" s="74">
        <v>310</v>
      </c>
      <c r="K10" s="72">
        <v>43671.605115740742</v>
      </c>
      <c r="L10" s="71"/>
      <c r="M10" s="104">
        <f t="shared" ref="M10:M63" si="1">IF(F10-G10-H10-I10-L10&lt;&gt;0, F10-G10-H10-I10-L10,"")</f>
        <v>310</v>
      </c>
      <c r="N10" s="40" t="s">
        <v>258</v>
      </c>
      <c r="O10" s="73">
        <v>177.04</v>
      </c>
      <c r="P10" s="39">
        <f t="shared" si="0"/>
        <v>132.96</v>
      </c>
      <c r="Q10" s="120">
        <f t="shared" ref="Q10:Q63" si="2">IF(F10&lt;&gt;"",-(F10-G10-H10-I10-J10),0)</f>
        <v>0</v>
      </c>
      <c r="R10" s="126" t="s">
        <v>579</v>
      </c>
      <c r="S10" s="62" t="s">
        <v>197</v>
      </c>
      <c r="T10" s="19" t="s">
        <v>406</v>
      </c>
      <c r="U10" s="19" t="s">
        <v>416</v>
      </c>
      <c r="V10" s="19">
        <v>1</v>
      </c>
    </row>
    <row r="11" spans="1:23" ht="12.75" customHeight="1" x14ac:dyDescent="0.2">
      <c r="A11" s="22" t="s">
        <v>54</v>
      </c>
      <c r="B11" s="16" t="s">
        <v>1107</v>
      </c>
      <c r="C11" s="20"/>
      <c r="D11" s="68"/>
      <c r="E11" s="72"/>
      <c r="F11" s="73"/>
      <c r="G11" s="70"/>
      <c r="H11" s="70"/>
      <c r="I11" s="71"/>
      <c r="J11" s="74"/>
      <c r="K11" s="72"/>
      <c r="L11" s="71">
        <v>193</v>
      </c>
      <c r="M11" s="104">
        <f t="shared" si="1"/>
        <v>-193</v>
      </c>
      <c r="N11" s="40" t="s">
        <v>202</v>
      </c>
      <c r="O11" s="73">
        <v>159.83000000000001</v>
      </c>
      <c r="P11" s="39">
        <f t="shared" si="0"/>
        <v>-352.83000000000004</v>
      </c>
      <c r="Q11" s="120">
        <f t="shared" si="2"/>
        <v>0</v>
      </c>
      <c r="R11" s="55" t="s">
        <v>568</v>
      </c>
      <c r="S11" s="62" t="s">
        <v>197</v>
      </c>
      <c r="T11" s="19" t="s">
        <v>407</v>
      </c>
      <c r="U11" s="19" t="s">
        <v>417</v>
      </c>
      <c r="V11" s="19">
        <v>14</v>
      </c>
    </row>
    <row r="12" spans="1:23" ht="12.75" customHeight="1" x14ac:dyDescent="0.2">
      <c r="A12" s="22" t="s">
        <v>55</v>
      </c>
      <c r="B12" s="16" t="s">
        <v>1118</v>
      </c>
      <c r="C12" s="20" t="s">
        <v>578</v>
      </c>
      <c r="D12" s="68">
        <v>43631</v>
      </c>
      <c r="E12" s="72">
        <v>43660</v>
      </c>
      <c r="F12" s="73">
        <v>600</v>
      </c>
      <c r="G12" s="70">
        <v>36</v>
      </c>
      <c r="H12" s="70">
        <v>7.2</v>
      </c>
      <c r="I12" s="71">
        <v>6</v>
      </c>
      <c r="J12" s="74">
        <v>550.79999999999995</v>
      </c>
      <c r="K12" s="72">
        <v>43657.656412037039</v>
      </c>
      <c r="L12" s="71"/>
      <c r="M12" s="104">
        <f t="shared" si="1"/>
        <v>550.79999999999995</v>
      </c>
      <c r="N12" s="40" t="s">
        <v>258</v>
      </c>
      <c r="O12" s="125">
        <v>124.68</v>
      </c>
      <c r="P12" s="39">
        <f t="shared" si="0"/>
        <v>426.11999999999995</v>
      </c>
      <c r="Q12" s="120">
        <f t="shared" si="2"/>
        <v>0</v>
      </c>
      <c r="R12" s="143" t="s">
        <v>203</v>
      </c>
      <c r="S12" s="62" t="s">
        <v>197</v>
      </c>
      <c r="T12" s="19" t="s">
        <v>408</v>
      </c>
      <c r="U12" s="19" t="s">
        <v>418</v>
      </c>
      <c r="V12" s="19">
        <v>3</v>
      </c>
    </row>
    <row r="13" spans="1:23" ht="12.75" customHeight="1" x14ac:dyDescent="0.2">
      <c r="A13" s="22" t="s">
        <v>56</v>
      </c>
      <c r="B13" s="16" t="s">
        <v>1119</v>
      </c>
      <c r="C13" s="20" t="s">
        <v>95</v>
      </c>
      <c r="D13" s="68">
        <v>43642</v>
      </c>
      <c r="E13" s="72">
        <v>43702</v>
      </c>
      <c r="F13" s="73">
        <v>807.84</v>
      </c>
      <c r="G13" s="70">
        <v>48.47</v>
      </c>
      <c r="H13" s="70">
        <v>9.69</v>
      </c>
      <c r="I13" s="71">
        <v>12</v>
      </c>
      <c r="J13" s="74">
        <v>737.68</v>
      </c>
      <c r="K13" s="72">
        <v>43648.764282407406</v>
      </c>
      <c r="L13" s="71">
        <v>45</v>
      </c>
      <c r="M13" s="104">
        <f t="shared" si="1"/>
        <v>692.68</v>
      </c>
      <c r="N13" s="40" t="s">
        <v>6</v>
      </c>
      <c r="O13" s="73">
        <v>177.08</v>
      </c>
      <c r="P13" s="39">
        <f t="shared" si="0"/>
        <v>515.59999999999991</v>
      </c>
      <c r="Q13" s="120">
        <f t="shared" si="2"/>
        <v>0</v>
      </c>
      <c r="R13" s="55"/>
      <c r="S13" s="62" t="s">
        <v>197</v>
      </c>
      <c r="T13" s="19" t="s">
        <v>406</v>
      </c>
      <c r="U13" s="19" t="s">
        <v>419</v>
      </c>
      <c r="V13" s="19">
        <v>4</v>
      </c>
    </row>
    <row r="14" spans="1:23" ht="12.75" customHeight="1" x14ac:dyDescent="0.2">
      <c r="A14" s="41" t="s">
        <v>1120</v>
      </c>
      <c r="B14" s="37" t="s">
        <v>1107</v>
      </c>
      <c r="C14" s="38"/>
      <c r="D14" s="68"/>
      <c r="E14" s="68"/>
      <c r="F14" s="69"/>
      <c r="G14" s="70"/>
      <c r="H14" s="70"/>
      <c r="I14" s="71"/>
      <c r="J14" s="74"/>
      <c r="K14" s="72"/>
      <c r="L14" s="71">
        <v>78</v>
      </c>
      <c r="M14" s="104">
        <f t="shared" si="1"/>
        <v>-78</v>
      </c>
      <c r="N14" s="40"/>
      <c r="O14" s="69"/>
      <c r="P14" s="39">
        <f t="shared" si="0"/>
        <v>-78</v>
      </c>
      <c r="Q14" s="120">
        <f t="shared" si="2"/>
        <v>0</v>
      </c>
      <c r="R14" s="40"/>
      <c r="S14" s="62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1121</v>
      </c>
      <c r="C15" s="20" t="s">
        <v>578</v>
      </c>
      <c r="D15" s="68">
        <v>43622</v>
      </c>
      <c r="E15" s="68">
        <v>43682</v>
      </c>
      <c r="F15" s="73">
        <v>932.24</v>
      </c>
      <c r="G15" s="70">
        <v>55.93</v>
      </c>
      <c r="H15" s="70">
        <v>11.19</v>
      </c>
      <c r="I15" s="71">
        <v>12</v>
      </c>
      <c r="J15" s="74">
        <v>853.12</v>
      </c>
      <c r="K15" s="72">
        <v>43648.764282407406</v>
      </c>
      <c r="L15" s="71"/>
      <c r="M15" s="104">
        <f t="shared" si="1"/>
        <v>853.12</v>
      </c>
      <c r="N15" s="40" t="s">
        <v>6</v>
      </c>
      <c r="O15" s="73">
        <v>159.5</v>
      </c>
      <c r="P15" s="39">
        <f t="shared" si="0"/>
        <v>693.62</v>
      </c>
      <c r="Q15" s="120">
        <f t="shared" si="2"/>
        <v>0</v>
      </c>
      <c r="R15" s="55"/>
      <c r="S15" s="62" t="s">
        <v>197</v>
      </c>
      <c r="T15" s="19" t="s">
        <v>406</v>
      </c>
      <c r="U15" s="19" t="s">
        <v>420</v>
      </c>
      <c r="V15" s="19">
        <v>5</v>
      </c>
    </row>
    <row r="16" spans="1:23" ht="12.75" customHeight="1" x14ac:dyDescent="0.2">
      <c r="A16" s="22" t="s">
        <v>58</v>
      </c>
      <c r="B16" s="16" t="s">
        <v>1107</v>
      </c>
      <c r="C16" s="20"/>
      <c r="D16" s="68"/>
      <c r="E16" s="72"/>
      <c r="F16" s="73"/>
      <c r="G16" s="70"/>
      <c r="H16" s="70"/>
      <c r="I16" s="71"/>
      <c r="J16" s="74"/>
      <c r="K16" s="72"/>
      <c r="L16" s="71">
        <v>976</v>
      </c>
      <c r="M16" s="104">
        <f t="shared" si="1"/>
        <v>-976</v>
      </c>
      <c r="N16" s="40" t="s">
        <v>202</v>
      </c>
      <c r="O16" s="125">
        <v>125.34</v>
      </c>
      <c r="P16" s="39">
        <f t="shared" si="0"/>
        <v>-1101.3399999999999</v>
      </c>
      <c r="Q16" s="120">
        <f t="shared" si="2"/>
        <v>0</v>
      </c>
      <c r="R16" s="55"/>
      <c r="S16" s="62" t="s">
        <v>197</v>
      </c>
      <c r="T16" s="19" t="s">
        <v>408</v>
      </c>
      <c r="U16" s="66">
        <v>907372200</v>
      </c>
      <c r="V16" s="81">
        <v>6</v>
      </c>
    </row>
    <row r="17" spans="1:22" ht="12.75" customHeight="1" x14ac:dyDescent="0.2">
      <c r="A17" s="22" t="s">
        <v>59</v>
      </c>
      <c r="B17" s="16" t="s">
        <v>1122</v>
      </c>
      <c r="C17" s="20" t="s">
        <v>95</v>
      </c>
      <c r="D17" s="68">
        <v>43661</v>
      </c>
      <c r="E17" s="72">
        <v>43691</v>
      </c>
      <c r="F17" s="73">
        <v>500</v>
      </c>
      <c r="G17" s="70">
        <v>30</v>
      </c>
      <c r="H17" s="70">
        <v>6</v>
      </c>
      <c r="I17" s="71">
        <v>6</v>
      </c>
      <c r="J17" s="74">
        <v>458</v>
      </c>
      <c r="K17" s="72">
        <v>43671.605115740742</v>
      </c>
      <c r="L17" s="71"/>
      <c r="M17" s="104">
        <f t="shared" si="1"/>
        <v>458</v>
      </c>
      <c r="N17" s="40" t="s">
        <v>6</v>
      </c>
      <c r="O17" s="73">
        <v>153.87</v>
      </c>
      <c r="P17" s="39">
        <f t="shared" si="0"/>
        <v>304.13</v>
      </c>
      <c r="Q17" s="120">
        <f t="shared" si="2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r="18" spans="1:22" ht="12.75" customHeight="1" x14ac:dyDescent="0.2">
      <c r="A18" s="41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t="shared" si="1"/>
        <v/>
      </c>
      <c r="N18" s="40"/>
      <c r="O18" s="69"/>
      <c r="P18" s="39">
        <f t="shared" si="0"/>
        <v>0</v>
      </c>
      <c r="Q18" s="120">
        <f t="shared" si="2"/>
        <v>0</v>
      </c>
      <c r="R18" s="40"/>
      <c r="S18" s="62" t="s">
        <v>395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1123</v>
      </c>
      <c r="C19" s="20" t="s">
        <v>95</v>
      </c>
      <c r="D19" s="68">
        <v>43622</v>
      </c>
      <c r="E19" s="68">
        <v>43682</v>
      </c>
      <c r="F19" s="73">
        <v>700</v>
      </c>
      <c r="G19" s="70">
        <v>42</v>
      </c>
      <c r="H19" s="70">
        <v>8.4</v>
      </c>
      <c r="I19" s="71">
        <v>6</v>
      </c>
      <c r="J19" s="74">
        <v>1200.4000000000001</v>
      </c>
      <c r="K19" s="72">
        <v>43671.605115740742</v>
      </c>
      <c r="L19" s="71">
        <v>19.8</v>
      </c>
      <c r="M19" s="104">
        <f t="shared" si="1"/>
        <v>623.80000000000007</v>
      </c>
      <c r="N19" s="40" t="s">
        <v>6</v>
      </c>
      <c r="O19" s="73">
        <v>236.44</v>
      </c>
      <c r="P19" s="39">
        <f t="shared" si="0"/>
        <v>387.36000000000007</v>
      </c>
      <c r="Q19" s="120">
        <f t="shared" si="2"/>
        <v>556.80000000000007</v>
      </c>
      <c r="R19" s="55"/>
      <c r="S19" s="62" t="s">
        <v>197</v>
      </c>
      <c r="T19" s="19" t="s">
        <v>406</v>
      </c>
      <c r="U19" s="19" t="s">
        <v>422</v>
      </c>
      <c r="V19" s="19">
        <v>73</v>
      </c>
    </row>
    <row r="20" spans="1:22" ht="12.75" customHeight="1" x14ac:dyDescent="0.2">
      <c r="A20" s="22" t="s">
        <v>187</v>
      </c>
      <c r="B20" s="16" t="s">
        <v>1124</v>
      </c>
      <c r="C20" s="20" t="s">
        <v>95</v>
      </c>
      <c r="D20" s="68">
        <v>43618</v>
      </c>
      <c r="E20" s="72">
        <v>43678</v>
      </c>
      <c r="F20" s="73">
        <v>769.36</v>
      </c>
      <c r="G20" s="70">
        <v>46.16</v>
      </c>
      <c r="H20" s="70">
        <v>9.23</v>
      </c>
      <c r="I20" s="71">
        <v>12</v>
      </c>
      <c r="J20" s="74">
        <v>701.97</v>
      </c>
      <c r="K20" s="72">
        <v>43648.764282407406</v>
      </c>
      <c r="L20" s="71">
        <v>258</v>
      </c>
      <c r="M20" s="104">
        <f t="shared" si="1"/>
        <v>443.97</v>
      </c>
      <c r="N20" s="40" t="s">
        <v>6</v>
      </c>
      <c r="O20" s="73">
        <v>209.16</v>
      </c>
      <c r="P20" s="39">
        <f t="shared" si="0"/>
        <v>234.81000000000003</v>
      </c>
      <c r="Q20" s="120">
        <f t="shared" si="2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r="21" spans="1:22" ht="12.75" customHeight="1" x14ac:dyDescent="0.2">
      <c r="A21" s="22" t="s">
        <v>188</v>
      </c>
      <c r="B21" s="16" t="s">
        <v>1107</v>
      </c>
      <c r="C21" s="20"/>
      <c r="D21" s="68"/>
      <c r="E21" s="72"/>
      <c r="F21" s="73"/>
      <c r="G21" s="70"/>
      <c r="H21" s="70"/>
      <c r="I21" s="71"/>
      <c r="J21" s="74"/>
      <c r="K21" s="72"/>
      <c r="L21" s="71"/>
      <c r="M21" s="104" t="str">
        <f t="shared" si="1"/>
        <v/>
      </c>
      <c r="N21" s="40" t="s">
        <v>202</v>
      </c>
      <c r="O21" s="73">
        <v>254.22</v>
      </c>
      <c r="P21" s="39">
        <f>IFERROR(IF(M21-O21&lt;&gt;0,M21-O21,""),-O21)</f>
        <v>-254.22</v>
      </c>
      <c r="Q21" s="120">
        <f t="shared" si="2"/>
        <v>0</v>
      </c>
      <c r="R21" s="124" t="s">
        <v>580</v>
      </c>
      <c r="S21" s="62" t="s">
        <v>396</v>
      </c>
      <c r="T21" s="19" t="s">
        <v>406</v>
      </c>
      <c r="U21" s="19" t="s">
        <v>424</v>
      </c>
      <c r="V21" s="19">
        <v>75</v>
      </c>
    </row>
    <row r="22" spans="1:22" ht="12.75" customHeight="1" x14ac:dyDescent="0.2">
      <c r="A22" s="41" t="s">
        <v>1125</v>
      </c>
      <c r="B22" s="37" t="s">
        <v>1107</v>
      </c>
      <c r="C22" s="38"/>
      <c r="D22" s="68"/>
      <c r="E22" s="68"/>
      <c r="F22" s="69"/>
      <c r="G22" s="70"/>
      <c r="H22" s="70"/>
      <c r="I22" s="71"/>
      <c r="J22" s="74"/>
      <c r="K22" s="72"/>
      <c r="L22" s="71">
        <v>1700</v>
      </c>
      <c r="M22" s="104">
        <f t="shared" si="1"/>
        <v>-1700</v>
      </c>
      <c r="N22" s="40"/>
      <c r="O22" s="69"/>
      <c r="P22" s="39">
        <f t="shared" ref="P22:P63" si="3">IFERROR(IF(M22-O22&lt;&gt;0,M22-O22,""),-O22)</f>
        <v>-1700</v>
      </c>
      <c r="Q22" s="120">
        <f t="shared" si="2"/>
        <v>0</v>
      </c>
      <c r="R22" s="40"/>
      <c r="S22" s="62" t="s">
        <v>197</v>
      </c>
      <c r="T22" s="19"/>
      <c r="U22" s="19"/>
      <c r="V22" s="19">
        <v>12</v>
      </c>
    </row>
    <row r="23" spans="1:22" s="168" customFormat="1" ht="12.75" customHeight="1" x14ac:dyDescent="0.2">
      <c r="A23" s="152"/>
      <c r="B23" s="153"/>
      <c r="C23" s="154"/>
      <c r="D23" s="155"/>
      <c r="E23" s="156"/>
      <c r="F23" s="157"/>
      <c r="G23" s="158"/>
      <c r="H23" s="158"/>
      <c r="I23" s="159"/>
      <c r="J23" s="160"/>
      <c r="K23" s="156"/>
      <c r="L23" s="159"/>
      <c r="M23" s="161" t="str">
        <f t="shared" si="1"/>
        <v/>
      </c>
      <c r="N23" s="162"/>
      <c r="O23" s="157"/>
      <c r="P23" s="163">
        <f t="shared" si="3"/>
        <v>0</v>
      </c>
      <c r="Q23" s="164">
        <f t="shared" si="2"/>
        <v>0</v>
      </c>
      <c r="R23" s="165" t="s">
        <v>581</v>
      </c>
      <c r="S23" s="166" t="s">
        <v>197</v>
      </c>
      <c r="T23" s="167" t="s">
        <v>406</v>
      </c>
      <c r="U23" s="167" t="s">
        <v>425</v>
      </c>
      <c r="V23" s="167">
        <v>9</v>
      </c>
    </row>
    <row r="24" spans="1:22" ht="12.75" customHeight="1" x14ac:dyDescent="0.2">
      <c r="A24" s="22" t="s">
        <v>61</v>
      </c>
      <c r="B24" s="16" t="s">
        <v>1126</v>
      </c>
      <c r="C24" s="20" t="s">
        <v>95</v>
      </c>
      <c r="D24" s="68">
        <v>43630</v>
      </c>
      <c r="E24" s="72">
        <v>43690</v>
      </c>
      <c r="F24" s="73">
        <v>726.6</v>
      </c>
      <c r="G24" s="70">
        <v>43.6</v>
      </c>
      <c r="H24" s="70">
        <v>8.7200000000000006</v>
      </c>
      <c r="I24" s="71">
        <v>12</v>
      </c>
      <c r="J24" s="74">
        <v>662.28</v>
      </c>
      <c r="K24" s="72">
        <v>43648.764282407406</v>
      </c>
      <c r="L24" s="71"/>
      <c r="M24" s="104">
        <f t="shared" si="1"/>
        <v>662.28</v>
      </c>
      <c r="N24" s="40" t="s">
        <v>6</v>
      </c>
      <c r="O24" s="73">
        <v>161.62</v>
      </c>
      <c r="P24" s="39">
        <f t="shared" si="3"/>
        <v>500.65999999999997</v>
      </c>
      <c r="Q24" s="120">
        <f t="shared" si="2"/>
        <v>0</v>
      </c>
      <c r="R24" s="55"/>
      <c r="S24" s="62" t="s">
        <v>197</v>
      </c>
      <c r="T24" s="19" t="s">
        <v>406</v>
      </c>
      <c r="U24" s="19" t="s">
        <v>426</v>
      </c>
      <c r="V24" s="19">
        <v>10</v>
      </c>
    </row>
    <row r="25" spans="1:22" ht="12.75" customHeight="1" x14ac:dyDescent="0.2">
      <c r="A25" s="22" t="s">
        <v>62</v>
      </c>
      <c r="B25" s="16" t="s">
        <v>1107</v>
      </c>
      <c r="C25" s="20"/>
      <c r="D25" s="68"/>
      <c r="E25" s="72"/>
      <c r="F25" s="73"/>
      <c r="G25" s="70"/>
      <c r="H25" s="70"/>
      <c r="I25" s="71"/>
      <c r="J25" s="74"/>
      <c r="K25" s="72"/>
      <c r="L25" s="71">
        <v>500</v>
      </c>
      <c r="M25" s="104">
        <f t="shared" si="1"/>
        <v>-500</v>
      </c>
      <c r="N25" s="40" t="s">
        <v>202</v>
      </c>
      <c r="O25" s="73">
        <v>284.7</v>
      </c>
      <c r="P25" s="39">
        <f t="shared" si="3"/>
        <v>-784.7</v>
      </c>
      <c r="Q25" s="120">
        <f t="shared" si="2"/>
        <v>0</v>
      </c>
      <c r="R25" s="55"/>
      <c r="S25" s="62" t="s">
        <v>197</v>
      </c>
      <c r="T25" s="19" t="s">
        <v>407</v>
      </c>
      <c r="U25" s="19" t="s">
        <v>427</v>
      </c>
      <c r="V25" s="19">
        <v>11</v>
      </c>
    </row>
    <row r="26" spans="1:22" ht="12.75" customHeight="1" x14ac:dyDescent="0.2">
      <c r="A26" s="41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t="shared" si="1"/>
        <v/>
      </c>
      <c r="N26" s="40"/>
      <c r="O26" s="69"/>
      <c r="P26" s="39">
        <f t="shared" si="3"/>
        <v>0</v>
      </c>
      <c r="Q26" s="120">
        <f t="shared" si="2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1127</v>
      </c>
      <c r="C27" s="20" t="s">
        <v>578</v>
      </c>
      <c r="D27" s="68">
        <v>43657</v>
      </c>
      <c r="E27" s="68">
        <v>43687</v>
      </c>
      <c r="F27" s="69">
        <v>350</v>
      </c>
      <c r="G27" s="70">
        <v>21</v>
      </c>
      <c r="H27" s="70">
        <v>4.2</v>
      </c>
      <c r="I27" s="71">
        <v>6</v>
      </c>
      <c r="J27" s="74">
        <v>318.8</v>
      </c>
      <c r="K27" s="72">
        <v>43657.656412037039</v>
      </c>
      <c r="L27" s="71"/>
      <c r="M27" s="104">
        <f t="shared" si="1"/>
        <v>318.8</v>
      </c>
      <c r="N27" s="40" t="s">
        <v>6</v>
      </c>
      <c r="O27" s="108">
        <v>140</v>
      </c>
      <c r="P27" s="39">
        <f t="shared" si="3"/>
        <v>178.8</v>
      </c>
      <c r="Q27" s="120">
        <f t="shared" si="2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1128</v>
      </c>
      <c r="C28" s="20" t="s">
        <v>95</v>
      </c>
      <c r="D28" s="68">
        <v>43647</v>
      </c>
      <c r="E28" s="68">
        <v>43677</v>
      </c>
      <c r="F28" s="69">
        <v>520</v>
      </c>
      <c r="G28" s="70">
        <v>31.2</v>
      </c>
      <c r="H28" s="70">
        <v>6.24</v>
      </c>
      <c r="I28" s="71">
        <v>6</v>
      </c>
      <c r="J28" s="74">
        <v>476.56</v>
      </c>
      <c r="K28" s="72">
        <v>43647.623391203706</v>
      </c>
      <c r="L28" s="71">
        <v>656</v>
      </c>
      <c r="M28" s="104">
        <f t="shared" si="1"/>
        <v>-179.44</v>
      </c>
      <c r="N28" s="40" t="s">
        <v>6</v>
      </c>
      <c r="O28" s="69">
        <v>202.32</v>
      </c>
      <c r="P28" s="39">
        <f t="shared" si="3"/>
        <v>-381.76</v>
      </c>
      <c r="Q28" s="120">
        <f t="shared" si="2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r="29" spans="1:22" ht="12.75" customHeight="1" x14ac:dyDescent="0.25">
      <c r="A29" s="22" t="s">
        <v>65</v>
      </c>
      <c r="B29" s="16" t="s">
        <v>1107</v>
      </c>
      <c r="C29" s="20"/>
      <c r="D29" s="68"/>
      <c r="E29" s="68"/>
      <c r="F29" s="73"/>
      <c r="G29" s="70"/>
      <c r="H29" s="70"/>
      <c r="I29" s="71"/>
      <c r="J29" s="74"/>
      <c r="K29" s="72"/>
      <c r="L29" s="71"/>
      <c r="M29" s="104" t="str">
        <f t="shared" si="1"/>
        <v/>
      </c>
      <c r="N29" s="40" t="s">
        <v>202</v>
      </c>
      <c r="O29" s="73">
        <v>240.47</v>
      </c>
      <c r="P29" s="39">
        <f t="shared" si="3"/>
        <v>-240.47</v>
      </c>
      <c r="Q29" s="120">
        <f t="shared" si="2"/>
        <v>0</v>
      </c>
      <c r="R29" s="55"/>
      <c r="S29" s="62" t="s">
        <v>396</v>
      </c>
      <c r="T29" s="19" t="s">
        <v>407</v>
      </c>
      <c r="U29" s="127" t="s">
        <v>430</v>
      </c>
      <c r="V29" s="127">
        <v>16</v>
      </c>
    </row>
    <row r="30" spans="1:22" ht="12.75" customHeight="1" x14ac:dyDescent="0.2">
      <c r="A30" s="41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t="shared" si="1"/>
        <v/>
      </c>
      <c r="N30" s="40"/>
      <c r="O30" s="69"/>
      <c r="P30" s="39">
        <f t="shared" si="3"/>
        <v>0</v>
      </c>
      <c r="Q30" s="120">
        <f t="shared" si="2"/>
        <v>0</v>
      </c>
      <c r="R30" s="55"/>
      <c r="S30" s="62" t="s">
        <v>397</v>
      </c>
      <c r="T30" s="19"/>
      <c r="U30" s="19"/>
      <c r="V30" s="19">
        <v>18</v>
      </c>
    </row>
    <row r="31" spans="1:22" ht="12.75" customHeight="1" x14ac:dyDescent="0.2">
      <c r="A31" s="22" t="s">
        <v>99</v>
      </c>
      <c r="B31" s="16" t="s">
        <v>1107</v>
      </c>
      <c r="C31" s="20"/>
      <c r="D31" s="68"/>
      <c r="E31" s="68"/>
      <c r="F31" s="69"/>
      <c r="G31" s="70"/>
      <c r="H31" s="70"/>
      <c r="I31" s="71"/>
      <c r="J31" s="74"/>
      <c r="K31" s="72"/>
      <c r="L31" s="71">
        <v>340</v>
      </c>
      <c r="M31" s="104">
        <f t="shared" si="1"/>
        <v>-340</v>
      </c>
      <c r="N31" s="40" t="s">
        <v>202</v>
      </c>
      <c r="O31" s="69">
        <v>217.44</v>
      </c>
      <c r="P31" s="39">
        <f t="shared" si="3"/>
        <v>-557.44000000000005</v>
      </c>
      <c r="Q31" s="120">
        <f t="shared" si="2"/>
        <v>0</v>
      </c>
      <c r="R31" s="51" t="s">
        <v>565</v>
      </c>
      <c r="S31" s="62" t="s">
        <v>197</v>
      </c>
      <c r="T31" s="19" t="s">
        <v>407</v>
      </c>
      <c r="U31" s="19" t="s">
        <v>431</v>
      </c>
      <c r="V31" s="19">
        <v>19</v>
      </c>
    </row>
    <row r="32" spans="1:22" ht="12.75" customHeight="1" x14ac:dyDescent="0.25">
      <c r="A32" s="22" t="s">
        <v>102</v>
      </c>
      <c r="B32" s="16" t="s">
        <v>1129</v>
      </c>
      <c r="C32" s="20" t="s">
        <v>578</v>
      </c>
      <c r="D32" s="68">
        <v>43647</v>
      </c>
      <c r="E32" s="68">
        <v>43677</v>
      </c>
      <c r="F32" s="73">
        <v>297</v>
      </c>
      <c r="G32" s="70">
        <v>6</v>
      </c>
      <c r="H32" s="70">
        <v>1.2</v>
      </c>
      <c r="I32" s="71">
        <v>6</v>
      </c>
      <c r="J32" s="74">
        <v>283.8</v>
      </c>
      <c r="K32" s="72">
        <v>43647.623391203706</v>
      </c>
      <c r="L32" s="71">
        <v>1210.05</v>
      </c>
      <c r="M32" s="104">
        <f t="shared" si="1"/>
        <v>-926.25</v>
      </c>
      <c r="N32" s="40" t="s">
        <v>6</v>
      </c>
      <c r="O32" s="73">
        <v>551.52</v>
      </c>
      <c r="P32" s="39">
        <f t="shared" si="3"/>
        <v>-1477.77</v>
      </c>
      <c r="Q32" s="120">
        <f t="shared" si="2"/>
        <v>0</v>
      </c>
      <c r="R32" s="40" t="s">
        <v>564</v>
      </c>
      <c r="S32" s="62" t="s">
        <v>396</v>
      </c>
      <c r="T32" s="19" t="s">
        <v>410</v>
      </c>
      <c r="U32" s="128" t="s">
        <v>432</v>
      </c>
      <c r="V32" s="128">
        <v>34</v>
      </c>
    </row>
    <row r="33" spans="1:22" ht="12.75" customHeight="1" x14ac:dyDescent="0.2">
      <c r="A33" s="41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t="shared" si="1"/>
        <v/>
      </c>
      <c r="N33" s="50"/>
      <c r="O33" s="69"/>
      <c r="P33" s="39">
        <f t="shared" si="3"/>
        <v>0</v>
      </c>
      <c r="Q33" s="120">
        <f t="shared" si="2"/>
        <v>0</v>
      </c>
      <c r="R33" s="40"/>
      <c r="S33" s="2" t="s">
        <v>399</v>
      </c>
      <c r="T33" s="64"/>
      <c r="U33" s="64"/>
      <c r="V33" s="64">
        <v>20</v>
      </c>
    </row>
    <row r="34" spans="1:22" ht="12.75" customHeight="1" x14ac:dyDescent="0.2">
      <c r="A34" s="22" t="s">
        <v>103</v>
      </c>
      <c r="B34" s="16" t="s">
        <v>1130</v>
      </c>
      <c r="C34" s="20" t="s">
        <v>95</v>
      </c>
      <c r="D34" s="68">
        <v>43630</v>
      </c>
      <c r="E34" s="72">
        <v>43690</v>
      </c>
      <c r="F34" s="73">
        <v>650.36</v>
      </c>
      <c r="G34" s="70">
        <v>39.020000000000003</v>
      </c>
      <c r="H34" s="70">
        <v>7.8</v>
      </c>
      <c r="I34" s="71">
        <v>12</v>
      </c>
      <c r="J34" s="74">
        <v>591.54</v>
      </c>
      <c r="K34" s="68">
        <v>43648.764282407406</v>
      </c>
      <c r="L34" s="71"/>
      <c r="M34" s="104">
        <f t="shared" si="1"/>
        <v>591.54000000000008</v>
      </c>
      <c r="N34" s="50" t="s">
        <v>6</v>
      </c>
      <c r="O34" s="73">
        <v>211.68</v>
      </c>
      <c r="P34" s="39">
        <f t="shared" si="3"/>
        <v>379.86000000000007</v>
      </c>
      <c r="Q34" s="120">
        <f t="shared" si="2"/>
        <v>-1.1368683772161603E-13</v>
      </c>
      <c r="R34" s="124" t="s">
        <v>582</v>
      </c>
      <c r="S34" s="62" t="s">
        <v>197</v>
      </c>
      <c r="T34" s="19" t="s">
        <v>411</v>
      </c>
      <c r="U34" s="19" t="s">
        <v>433</v>
      </c>
      <c r="V34" s="19">
        <v>31</v>
      </c>
    </row>
    <row r="35" spans="1:22" ht="12.75" customHeight="1" x14ac:dyDescent="0.2">
      <c r="A35" s="22" t="s">
        <v>66</v>
      </c>
      <c r="B35" s="16" t="s">
        <v>1131</v>
      </c>
      <c r="C35" s="20" t="s">
        <v>95</v>
      </c>
      <c r="D35" s="68">
        <v>43624</v>
      </c>
      <c r="E35" s="68">
        <v>43684</v>
      </c>
      <c r="F35" s="69">
        <v>519.48</v>
      </c>
      <c r="G35" s="70">
        <v>31.17</v>
      </c>
      <c r="H35" s="70">
        <v>6.23</v>
      </c>
      <c r="I35" s="71">
        <v>12</v>
      </c>
      <c r="J35" s="74">
        <v>470.08</v>
      </c>
      <c r="K35" s="68">
        <v>43648.764282407406</v>
      </c>
      <c r="L35" s="71"/>
      <c r="M35" s="104">
        <f t="shared" si="1"/>
        <v>470.08</v>
      </c>
      <c r="N35" s="50" t="s">
        <v>6</v>
      </c>
      <c r="O35" s="69">
        <v>203.62</v>
      </c>
      <c r="P35" s="39">
        <f t="shared" si="3"/>
        <v>266.45999999999998</v>
      </c>
      <c r="Q35" s="120">
        <f t="shared" si="2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r="36" spans="1:22" ht="12.75" customHeight="1" x14ac:dyDescent="0.2">
      <c r="A36" s="22" t="s">
        <v>105</v>
      </c>
      <c r="B36" s="16" t="s">
        <v>1132</v>
      </c>
      <c r="C36" s="20" t="s">
        <v>578</v>
      </c>
      <c r="D36" s="72">
        <v>43646</v>
      </c>
      <c r="E36" s="72">
        <v>43706</v>
      </c>
      <c r="F36" s="73">
        <v>1000</v>
      </c>
      <c r="G36" s="70">
        <v>60</v>
      </c>
      <c r="H36" s="70">
        <v>12</v>
      </c>
      <c r="I36" s="71">
        <v>6</v>
      </c>
      <c r="J36" s="74">
        <v>916</v>
      </c>
      <c r="K36" s="72">
        <v>43647.623391203706</v>
      </c>
      <c r="L36" s="71"/>
      <c r="M36" s="104">
        <f t="shared" si="1"/>
        <v>922</v>
      </c>
      <c r="N36" s="50" t="s">
        <v>6</v>
      </c>
      <c r="O36" s="73">
        <v>203.62</v>
      </c>
      <c r="P36" s="39">
        <f t="shared" si="3"/>
        <v>718.38</v>
      </c>
      <c r="Q36" s="120">
        <f t="shared" si="2"/>
        <v>-6</v>
      </c>
      <c r="R36" s="124" t="s">
        <v>582</v>
      </c>
      <c r="S36" s="62" t="s">
        <v>396</v>
      </c>
      <c r="T36" s="19" t="s">
        <v>412</v>
      </c>
      <c r="U36" s="19" t="s">
        <v>435</v>
      </c>
      <c r="V36" s="19">
        <v>33</v>
      </c>
    </row>
    <row r="37" spans="1:22" ht="12.75" customHeight="1" x14ac:dyDescent="0.25">
      <c r="A37" s="22" t="s">
        <v>106</v>
      </c>
      <c r="B37" s="16" t="s">
        <v>1133</v>
      </c>
      <c r="C37" s="20" t="s">
        <v>95</v>
      </c>
      <c r="D37" s="68">
        <v>43642</v>
      </c>
      <c r="E37" s="68">
        <v>43671</v>
      </c>
      <c r="F37" s="73">
        <v>505</v>
      </c>
      <c r="G37" s="70">
        <v>30.3</v>
      </c>
      <c r="H37" s="70">
        <v>6.06</v>
      </c>
      <c r="I37" s="71">
        <v>6</v>
      </c>
      <c r="J37" s="74">
        <v>462.64</v>
      </c>
      <c r="K37" s="72">
        <v>43647.623391203706</v>
      </c>
      <c r="L37" s="71">
        <v>230</v>
      </c>
      <c r="M37" s="104">
        <f t="shared" si="1"/>
        <v>232.64</v>
      </c>
      <c r="N37" s="40" t="s">
        <v>6</v>
      </c>
      <c r="O37" s="73">
        <v>375.8</v>
      </c>
      <c r="P37" s="39">
        <f t="shared" si="3"/>
        <v>-143.16000000000003</v>
      </c>
      <c r="Q37" s="120">
        <f t="shared" si="2"/>
        <v>0</v>
      </c>
      <c r="R37" s="40"/>
      <c r="S37" s="62" t="s">
        <v>396</v>
      </c>
      <c r="T37" s="19" t="s">
        <v>413</v>
      </c>
      <c r="U37" s="128" t="s">
        <v>436</v>
      </c>
      <c r="V37" s="128">
        <v>32</v>
      </c>
    </row>
    <row r="38" spans="1:22" ht="12.75" customHeight="1" x14ac:dyDescent="0.2">
      <c r="A38" s="22" t="s">
        <v>224</v>
      </c>
      <c r="B38" s="16" t="s">
        <v>1134</v>
      </c>
      <c r="C38" s="20" t="s">
        <v>578</v>
      </c>
      <c r="D38" s="72">
        <v>43647</v>
      </c>
      <c r="E38" s="72">
        <v>43704</v>
      </c>
      <c r="F38" s="69">
        <v>619.25</v>
      </c>
      <c r="G38" s="70">
        <v>37.17</v>
      </c>
      <c r="H38" s="70">
        <v>7.43</v>
      </c>
      <c r="I38" s="71"/>
      <c r="J38" s="74">
        <v>574.65</v>
      </c>
      <c r="K38" s="72">
        <v>43647.623391203706</v>
      </c>
      <c r="L38" s="71"/>
      <c r="M38" s="104">
        <f t="shared" si="1"/>
        <v>574.65000000000009</v>
      </c>
      <c r="N38" s="40" t="s">
        <v>6</v>
      </c>
      <c r="O38" s="69">
        <v>211.68</v>
      </c>
      <c r="P38" s="39">
        <f t="shared" si="3"/>
        <v>362.97000000000008</v>
      </c>
      <c r="Q38" s="120">
        <f t="shared" si="2"/>
        <v>-1.1368683772161603E-13</v>
      </c>
      <c r="R38" s="55" t="s">
        <v>585</v>
      </c>
      <c r="S38" s="62" t="s">
        <v>197</v>
      </c>
      <c r="T38" s="19" t="s">
        <v>411</v>
      </c>
      <c r="U38" s="19" t="s">
        <v>437</v>
      </c>
      <c r="V38" s="19">
        <v>26</v>
      </c>
    </row>
    <row r="39" spans="1:22" ht="12.75" customHeight="1" x14ac:dyDescent="0.2">
      <c r="A39" s="22" t="s">
        <v>226</v>
      </c>
      <c r="B39" s="16" t="s">
        <v>1135</v>
      </c>
      <c r="C39" s="20" t="s">
        <v>95</v>
      </c>
      <c r="D39" s="72">
        <v>43642</v>
      </c>
      <c r="E39" s="72">
        <v>43702</v>
      </c>
      <c r="F39" s="69">
        <v>846.32</v>
      </c>
      <c r="G39" s="70">
        <v>50.78</v>
      </c>
      <c r="H39" s="70">
        <v>10.16</v>
      </c>
      <c r="I39" s="71">
        <v>12</v>
      </c>
      <c r="J39" s="74">
        <v>773.38</v>
      </c>
      <c r="K39" s="68">
        <v>43648.764282407406</v>
      </c>
      <c r="L39" s="71"/>
      <c r="M39" s="104">
        <f t="shared" si="1"/>
        <v>773.38000000000011</v>
      </c>
      <c r="N39" s="40" t="s">
        <v>6</v>
      </c>
      <c r="O39" s="69">
        <v>211.68</v>
      </c>
      <c r="P39" s="39">
        <f t="shared" si="3"/>
        <v>561.70000000000005</v>
      </c>
      <c r="Q39" s="120">
        <f t="shared" si="2"/>
        <v>-1.1368683772161603E-13</v>
      </c>
      <c r="R39" s="124" t="s">
        <v>586</v>
      </c>
      <c r="S39" s="62" t="s">
        <v>197</v>
      </c>
      <c r="T39" s="19" t="s">
        <v>411</v>
      </c>
      <c r="U39" s="19" t="s">
        <v>438</v>
      </c>
      <c r="V39" s="19">
        <v>22</v>
      </c>
    </row>
    <row r="40" spans="1:22" ht="12.75" customHeight="1" x14ac:dyDescent="0.2">
      <c r="A40" s="22" t="s">
        <v>227</v>
      </c>
      <c r="B40" s="16" t="s">
        <v>1136</v>
      </c>
      <c r="C40" s="20" t="s">
        <v>130</v>
      </c>
      <c r="D40" s="72">
        <v>43645</v>
      </c>
      <c r="E40" s="72">
        <v>43674</v>
      </c>
      <c r="F40" s="73">
        <v>1050</v>
      </c>
      <c r="G40" s="70"/>
      <c r="H40" s="70"/>
      <c r="I40" s="71"/>
      <c r="J40" s="74">
        <v>1050</v>
      </c>
      <c r="K40" s="72">
        <v>43647</v>
      </c>
      <c r="L40" s="71">
        <v>873</v>
      </c>
      <c r="M40" s="104">
        <f t="shared" si="1"/>
        <v>177</v>
      </c>
      <c r="N40" s="40" t="s">
        <v>6</v>
      </c>
      <c r="O40" s="73">
        <v>242.09</v>
      </c>
      <c r="P40" s="39">
        <f t="shared" si="3"/>
        <v>-65.09</v>
      </c>
      <c r="Q40" s="120">
        <f t="shared" si="2"/>
        <v>0</v>
      </c>
      <c r="R40" s="126" t="s">
        <v>587</v>
      </c>
      <c r="S40" s="62" t="s">
        <v>197</v>
      </c>
      <c r="T40" s="19" t="s">
        <v>412</v>
      </c>
      <c r="U40" s="19" t="s">
        <v>439</v>
      </c>
      <c r="V40" s="19">
        <v>21</v>
      </c>
    </row>
    <row r="41" spans="1:22" ht="12.75" customHeight="1" x14ac:dyDescent="0.2">
      <c r="A41" s="22" t="s">
        <v>228</v>
      </c>
      <c r="B41" s="16" t="s">
        <v>1137</v>
      </c>
      <c r="C41" s="20" t="s">
        <v>95</v>
      </c>
      <c r="D41" s="68">
        <v>43632</v>
      </c>
      <c r="E41" s="68">
        <v>43692</v>
      </c>
      <c r="F41" s="69">
        <v>850</v>
      </c>
      <c r="G41" s="70">
        <v>51</v>
      </c>
      <c r="H41" s="70">
        <v>10.199999999999999</v>
      </c>
      <c r="I41" s="71">
        <v>12</v>
      </c>
      <c r="J41" s="74">
        <v>776.8</v>
      </c>
      <c r="K41" s="68">
        <v>43655.645844907405</v>
      </c>
      <c r="L41" s="71"/>
      <c r="M41" s="104">
        <f t="shared" si="1"/>
        <v>776.8</v>
      </c>
      <c r="N41" s="40" t="s">
        <v>6</v>
      </c>
      <c r="O41" s="69">
        <v>240.21</v>
      </c>
      <c r="P41" s="39">
        <f t="shared" si="3"/>
        <v>536.58999999999992</v>
      </c>
      <c r="Q41" s="120">
        <f t="shared" si="2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r="42" spans="1:22" ht="12.75" customHeight="1" x14ac:dyDescent="0.25">
      <c r="A42" s="22" t="s">
        <v>107</v>
      </c>
      <c r="B42" s="16" t="s">
        <v>1138</v>
      </c>
      <c r="C42" s="20" t="s">
        <v>578</v>
      </c>
      <c r="D42" s="68">
        <v>43660</v>
      </c>
      <c r="E42" s="68">
        <v>43690</v>
      </c>
      <c r="F42" s="73">
        <v>500</v>
      </c>
      <c r="G42" s="70">
        <v>30</v>
      </c>
      <c r="H42" s="70">
        <v>6</v>
      </c>
      <c r="I42" s="71">
        <v>6</v>
      </c>
      <c r="J42" s="74">
        <v>458</v>
      </c>
      <c r="K42" s="72">
        <v>43672.611932870372</v>
      </c>
      <c r="L42" s="71"/>
      <c r="M42" s="104">
        <f t="shared" si="1"/>
        <v>458</v>
      </c>
      <c r="N42" s="40" t="s">
        <v>6</v>
      </c>
      <c r="O42" s="73">
        <v>386.17</v>
      </c>
      <c r="P42" s="39">
        <f t="shared" si="3"/>
        <v>71.829999999999984</v>
      </c>
      <c r="Q42" s="120">
        <f t="shared" si="2"/>
        <v>0</v>
      </c>
      <c r="R42" s="40"/>
      <c r="S42" s="62" t="s">
        <v>396</v>
      </c>
      <c r="T42" s="19" t="s">
        <v>414</v>
      </c>
      <c r="U42" s="128" t="s">
        <v>441</v>
      </c>
      <c r="V42" s="128">
        <v>28</v>
      </c>
    </row>
    <row r="43" spans="1:22" ht="12.75" customHeight="1" x14ac:dyDescent="0.25">
      <c r="A43" s="22" t="s">
        <v>67</v>
      </c>
      <c r="B43" s="16" t="s">
        <v>1139</v>
      </c>
      <c r="C43" s="20" t="s">
        <v>130</v>
      </c>
      <c r="D43" s="68">
        <v>43649</v>
      </c>
      <c r="E43" s="68">
        <v>43680</v>
      </c>
      <c r="F43" s="73">
        <v>600</v>
      </c>
      <c r="G43" s="70"/>
      <c r="H43" s="70"/>
      <c r="I43" s="71"/>
      <c r="J43" s="74">
        <v>600</v>
      </c>
      <c r="K43" s="72">
        <v>43649</v>
      </c>
      <c r="L43" s="71">
        <v>204</v>
      </c>
      <c r="M43" s="104">
        <f t="shared" si="1"/>
        <v>396</v>
      </c>
      <c r="N43" s="40" t="s">
        <v>6</v>
      </c>
      <c r="O43" s="73">
        <v>240.21</v>
      </c>
      <c r="P43" s="39">
        <f t="shared" si="3"/>
        <v>155.79</v>
      </c>
      <c r="Q43" s="120">
        <f t="shared" si="2"/>
        <v>0</v>
      </c>
      <c r="R43" s="51" t="s">
        <v>576</v>
      </c>
      <c r="S43" s="62" t="s">
        <v>396</v>
      </c>
      <c r="T43" s="19" t="s">
        <v>412</v>
      </c>
      <c r="U43" s="128" t="s">
        <v>442</v>
      </c>
      <c r="V43" s="128">
        <v>23</v>
      </c>
    </row>
    <row r="44" spans="1:22" ht="12.75" customHeight="1" x14ac:dyDescent="0.25">
      <c r="A44" s="22" t="s">
        <v>109</v>
      </c>
      <c r="B44" s="16" t="s">
        <v>1107</v>
      </c>
      <c r="C44" s="20"/>
      <c r="D44" s="68"/>
      <c r="E44" s="68"/>
      <c r="F44" s="73"/>
      <c r="G44" s="70"/>
      <c r="H44" s="70"/>
      <c r="I44" s="71"/>
      <c r="J44" s="74"/>
      <c r="K44" s="72"/>
      <c r="L44" s="71"/>
      <c r="M44" s="104" t="str">
        <f t="shared" si="1"/>
        <v/>
      </c>
      <c r="N44" s="40" t="s">
        <v>6</v>
      </c>
      <c r="O44" s="73">
        <v>242.16</v>
      </c>
      <c r="P44" s="39">
        <f t="shared" si="3"/>
        <v>-242.16</v>
      </c>
      <c r="Q44" s="120">
        <f t="shared" si="2"/>
        <v>0</v>
      </c>
      <c r="R44" s="124" t="s">
        <v>588</v>
      </c>
      <c r="S44" s="62" t="s">
        <v>396</v>
      </c>
      <c r="T44" s="19" t="s">
        <v>412</v>
      </c>
      <c r="U44" s="129" t="s">
        <v>443</v>
      </c>
      <c r="V44" s="129">
        <v>27</v>
      </c>
    </row>
    <row r="45" spans="1:22" ht="12.75" customHeight="1" x14ac:dyDescent="0.2">
      <c r="A45" s="41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t="shared" si="1"/>
        <v/>
      </c>
      <c r="N45" s="40"/>
      <c r="O45" s="69"/>
      <c r="P45" s="39">
        <f t="shared" si="3"/>
        <v>0</v>
      </c>
      <c r="Q45" s="120">
        <f t="shared" si="2"/>
        <v>0</v>
      </c>
      <c r="R45" s="51"/>
      <c r="S45" s="2" t="s">
        <v>399</v>
      </c>
      <c r="T45" s="64"/>
      <c r="U45" s="64"/>
      <c r="V45" s="64">
        <v>51</v>
      </c>
    </row>
    <row r="46" spans="1:22" ht="12.75" customHeight="1" x14ac:dyDescent="0.25">
      <c r="A46" s="22" t="s">
        <v>68</v>
      </c>
      <c r="B46" s="16" t="s">
        <v>1140</v>
      </c>
      <c r="C46" s="20" t="s">
        <v>578</v>
      </c>
      <c r="D46" s="68">
        <v>43603</v>
      </c>
      <c r="E46" s="68">
        <v>43694</v>
      </c>
      <c r="F46" s="73">
        <v>960.24</v>
      </c>
      <c r="G46" s="70">
        <v>57.61</v>
      </c>
      <c r="H46" s="70">
        <v>11.52</v>
      </c>
      <c r="I46" s="71">
        <v>12</v>
      </c>
      <c r="J46" s="74">
        <v>879.11</v>
      </c>
      <c r="K46" s="72">
        <v>43648.764282407406</v>
      </c>
      <c r="L46" s="71"/>
      <c r="M46" s="104">
        <f t="shared" si="1"/>
        <v>879.11</v>
      </c>
      <c r="N46" s="40" t="s">
        <v>6</v>
      </c>
      <c r="O46" s="73">
        <v>206.85</v>
      </c>
      <c r="P46" s="39">
        <f t="shared" si="3"/>
        <v>672.26</v>
      </c>
      <c r="Q46" s="120">
        <f t="shared" si="2"/>
        <v>0</v>
      </c>
      <c r="R46" s="40"/>
      <c r="S46" s="62" t="s">
        <v>396</v>
      </c>
      <c r="T46" s="19" t="s">
        <v>406</v>
      </c>
      <c r="U46" s="127" t="s">
        <v>444</v>
      </c>
      <c r="V46" s="127">
        <v>46</v>
      </c>
    </row>
    <row r="47" spans="1:22" ht="12.75" customHeight="1" x14ac:dyDescent="0.2">
      <c r="A47" s="22" t="s">
        <v>69</v>
      </c>
      <c r="B47" s="16" t="s">
        <v>1141</v>
      </c>
      <c r="C47" s="20" t="s">
        <v>578</v>
      </c>
      <c r="D47" s="68">
        <v>43622</v>
      </c>
      <c r="E47" s="68">
        <v>43682</v>
      </c>
      <c r="F47" s="69">
        <v>684.43</v>
      </c>
      <c r="G47" s="70">
        <v>41.07</v>
      </c>
      <c r="H47" s="70">
        <v>8.2100000000000009</v>
      </c>
      <c r="I47" s="71">
        <v>12</v>
      </c>
      <c r="J47" s="74">
        <v>623.15</v>
      </c>
      <c r="K47" s="72">
        <v>43648.764282407406</v>
      </c>
      <c r="L47" s="71"/>
      <c r="M47" s="104">
        <f t="shared" si="1"/>
        <v>623.14999999999986</v>
      </c>
      <c r="N47" s="40" t="s">
        <v>6</v>
      </c>
      <c r="O47" s="69">
        <v>103.25</v>
      </c>
      <c r="P47" s="39">
        <f t="shared" si="3"/>
        <v>519.89999999999986</v>
      </c>
      <c r="Q47" s="120">
        <f t="shared" si="2"/>
        <v>1.1368683772161603E-13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r="48" spans="1:22" ht="12.75" customHeight="1" x14ac:dyDescent="0.25">
      <c r="A48" s="22" t="s">
        <v>86</v>
      </c>
      <c r="B48" s="16" t="s">
        <v>1142</v>
      </c>
      <c r="C48" s="20" t="s">
        <v>95</v>
      </c>
      <c r="D48" s="68">
        <v>43639</v>
      </c>
      <c r="E48" s="68">
        <v>43699</v>
      </c>
      <c r="F48" s="73">
        <v>828.48</v>
      </c>
      <c r="G48" s="70">
        <v>49.71</v>
      </c>
      <c r="H48" s="70">
        <v>9.94</v>
      </c>
      <c r="I48" s="71">
        <v>12</v>
      </c>
      <c r="J48" s="74">
        <v>756.83</v>
      </c>
      <c r="K48" s="72">
        <v>43648.764282407406</v>
      </c>
      <c r="L48" s="71"/>
      <c r="M48" s="104">
        <f t="shared" si="1"/>
        <v>756.82999999999993</v>
      </c>
      <c r="N48" s="40" t="s">
        <v>6</v>
      </c>
      <c r="O48" s="73">
        <v>206.81</v>
      </c>
      <c r="P48" s="39">
        <f t="shared" si="3"/>
        <v>550.02</v>
      </c>
      <c r="Q48" s="120">
        <f t="shared" si="2"/>
        <v>1.1368683772161603E-13</v>
      </c>
      <c r="R48" s="40"/>
      <c r="S48" s="62" t="s">
        <v>396</v>
      </c>
      <c r="T48" s="19" t="s">
        <v>406</v>
      </c>
      <c r="U48" s="127" t="s">
        <v>446</v>
      </c>
      <c r="V48" s="127">
        <v>47</v>
      </c>
    </row>
    <row r="49" spans="1:22" x14ac:dyDescent="0.2">
      <c r="A49" s="22" t="s">
        <v>111</v>
      </c>
      <c r="B49" s="16" t="s">
        <v>1143</v>
      </c>
      <c r="C49" s="20" t="s">
        <v>95</v>
      </c>
      <c r="D49" s="72">
        <v>43630</v>
      </c>
      <c r="E49" s="72">
        <v>43690</v>
      </c>
      <c r="F49" s="73">
        <v>846.32</v>
      </c>
      <c r="G49" s="70">
        <v>50.78</v>
      </c>
      <c r="H49" s="70">
        <v>10.16</v>
      </c>
      <c r="I49" s="71">
        <v>12</v>
      </c>
      <c r="J49" s="74">
        <v>773.38</v>
      </c>
      <c r="K49" s="72">
        <v>43648.764282407406</v>
      </c>
      <c r="L49" s="71"/>
      <c r="M49" s="104">
        <f t="shared" si="1"/>
        <v>773.38000000000011</v>
      </c>
      <c r="N49" s="40" t="s">
        <v>6</v>
      </c>
      <c r="O49" s="73">
        <v>207.56</v>
      </c>
      <c r="P49" s="39">
        <f t="shared" si="3"/>
        <v>565.82000000000016</v>
      </c>
      <c r="Q49" s="120">
        <f t="shared" si="2"/>
        <v>-1.1368683772161603E-13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r="50" spans="1:22" ht="12.75" customHeight="1" x14ac:dyDescent="0.2">
      <c r="A50" s="22" t="s">
        <v>231</v>
      </c>
      <c r="B50" s="16" t="s">
        <v>1144</v>
      </c>
      <c r="C50" s="20" t="s">
        <v>578</v>
      </c>
      <c r="D50" s="68">
        <v>43649</v>
      </c>
      <c r="E50" s="68">
        <v>43679</v>
      </c>
      <c r="F50" s="69">
        <v>550</v>
      </c>
      <c r="G50" s="70">
        <v>33</v>
      </c>
      <c r="H50" s="70">
        <v>6.6</v>
      </c>
      <c r="I50" s="71">
        <v>6</v>
      </c>
      <c r="J50" s="74">
        <v>504.4</v>
      </c>
      <c r="K50" s="72">
        <v>43649.716423611113</v>
      </c>
      <c r="L50" s="71">
        <v>190</v>
      </c>
      <c r="M50" s="104">
        <f t="shared" si="1"/>
        <v>314.39999999999998</v>
      </c>
      <c r="N50" s="40" t="s">
        <v>258</v>
      </c>
      <c r="O50" s="69">
        <v>206.8</v>
      </c>
      <c r="P50" s="39">
        <f t="shared" si="3"/>
        <v>107.59999999999997</v>
      </c>
      <c r="Q50" s="120">
        <f t="shared" si="2"/>
        <v>0</v>
      </c>
      <c r="R50" s="51"/>
      <c r="S50" s="62" t="s">
        <v>197</v>
      </c>
      <c r="T50" s="19" t="s">
        <v>406</v>
      </c>
      <c r="U50" s="19" t="s">
        <v>448</v>
      </c>
      <c r="V50" s="19">
        <v>49</v>
      </c>
    </row>
    <row r="51" spans="1:22" ht="12.75" customHeight="1" x14ac:dyDescent="0.25">
      <c r="A51" s="22" t="s">
        <v>70</v>
      </c>
      <c r="B51" s="16" t="s">
        <v>1145</v>
      </c>
      <c r="C51" s="20" t="s">
        <v>95</v>
      </c>
      <c r="D51" s="68">
        <v>43636</v>
      </c>
      <c r="E51" s="68">
        <v>43696</v>
      </c>
      <c r="F51" s="73">
        <v>846.32</v>
      </c>
      <c r="G51" s="70">
        <v>50.78</v>
      </c>
      <c r="H51" s="70">
        <v>10.16</v>
      </c>
      <c r="I51" s="71">
        <v>12</v>
      </c>
      <c r="J51" s="74">
        <v>773.38</v>
      </c>
      <c r="K51" s="72">
        <v>43648.764282407406</v>
      </c>
      <c r="L51" s="71"/>
      <c r="M51" s="104">
        <f t="shared" si="1"/>
        <v>773.38000000000011</v>
      </c>
      <c r="N51" s="40" t="s">
        <v>6</v>
      </c>
      <c r="O51" s="73">
        <v>206.82</v>
      </c>
      <c r="P51" s="39">
        <f t="shared" si="3"/>
        <v>566.56000000000017</v>
      </c>
      <c r="Q51" s="120">
        <f t="shared" si="2"/>
        <v>-1.1368683772161603E-13</v>
      </c>
      <c r="R51" s="40"/>
      <c r="S51" s="62" t="s">
        <v>396</v>
      </c>
      <c r="T51" s="19" t="s">
        <v>406</v>
      </c>
      <c r="U51" s="128" t="s">
        <v>449</v>
      </c>
      <c r="V51" s="128">
        <v>53</v>
      </c>
    </row>
    <row r="52" spans="1:22" ht="12.75" customHeight="1" x14ac:dyDescent="0.2">
      <c r="A52" s="22" t="s">
        <v>71</v>
      </c>
      <c r="B52" s="16" t="s">
        <v>1146</v>
      </c>
      <c r="C52" s="20" t="s">
        <v>578</v>
      </c>
      <c r="D52" s="68">
        <v>43652</v>
      </c>
      <c r="E52" s="68">
        <v>43682</v>
      </c>
      <c r="F52" s="69">
        <v>500</v>
      </c>
      <c r="G52" s="70">
        <v>30</v>
      </c>
      <c r="H52" s="70">
        <v>6</v>
      </c>
      <c r="I52" s="71">
        <v>6</v>
      </c>
      <c r="J52" s="74">
        <v>458</v>
      </c>
      <c r="K52" s="72">
        <v>43654.678703703707</v>
      </c>
      <c r="L52" s="71"/>
      <c r="M52" s="104">
        <f t="shared" si="1"/>
        <v>458</v>
      </c>
      <c r="N52" s="40" t="s">
        <v>6</v>
      </c>
      <c r="O52" s="69">
        <v>260.98</v>
      </c>
      <c r="P52" s="39">
        <f t="shared" si="3"/>
        <v>197.01999999999998</v>
      </c>
      <c r="Q52" s="120">
        <f t="shared" si="2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r="53" spans="1:22" ht="12.75" customHeight="1" x14ac:dyDescent="0.25">
      <c r="A53" s="22" t="s">
        <v>72</v>
      </c>
      <c r="B53" s="16" t="s">
        <v>1147</v>
      </c>
      <c r="C53" s="20" t="s">
        <v>95</v>
      </c>
      <c r="D53" s="68">
        <v>43604</v>
      </c>
      <c r="E53" s="68">
        <v>43695</v>
      </c>
      <c r="F53" s="73">
        <v>923.04</v>
      </c>
      <c r="G53" s="70">
        <v>55.38</v>
      </c>
      <c r="H53" s="70">
        <v>11.08</v>
      </c>
      <c r="I53" s="71">
        <v>12</v>
      </c>
      <c r="J53" s="74">
        <v>844.58</v>
      </c>
      <c r="K53" s="72">
        <v>43648.764282407406</v>
      </c>
      <c r="L53" s="71"/>
      <c r="M53" s="104">
        <f t="shared" si="1"/>
        <v>844.57999999999993</v>
      </c>
      <c r="N53" s="40" t="s">
        <v>6</v>
      </c>
      <c r="O53" s="73">
        <v>213.98</v>
      </c>
      <c r="P53" s="39">
        <f t="shared" si="3"/>
        <v>630.59999999999991</v>
      </c>
      <c r="Q53" s="120">
        <f t="shared" si="2"/>
        <v>1.1368683772161603E-13</v>
      </c>
      <c r="R53" s="40"/>
      <c r="S53" s="62" t="s">
        <v>396</v>
      </c>
      <c r="T53" s="19" t="s">
        <v>406</v>
      </c>
      <c r="U53" s="127" t="s">
        <v>451</v>
      </c>
      <c r="V53" s="127">
        <v>55</v>
      </c>
    </row>
    <row r="54" spans="1:22" ht="12.75" customHeight="1" x14ac:dyDescent="0.2">
      <c r="A54" s="41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t="shared" si="1"/>
        <v/>
      </c>
      <c r="N54" s="40"/>
      <c r="O54" s="69"/>
      <c r="P54" s="39">
        <f t="shared" si="3"/>
        <v>0</v>
      </c>
      <c r="Q54" s="120">
        <f t="shared" si="2"/>
        <v>0</v>
      </c>
      <c r="R54" s="40"/>
      <c r="S54" s="2" t="s">
        <v>399</v>
      </c>
      <c r="T54" s="64"/>
      <c r="U54" s="64"/>
      <c r="V54" s="64">
        <v>61</v>
      </c>
    </row>
    <row r="55" spans="1:22" ht="12.75" customHeight="1" x14ac:dyDescent="0.2">
      <c r="A55" s="22" t="s">
        <v>73</v>
      </c>
      <c r="B55" s="16" t="s">
        <v>1107</v>
      </c>
      <c r="C55" s="20"/>
      <c r="D55" s="68"/>
      <c r="E55" s="68"/>
      <c r="F55" s="69"/>
      <c r="G55" s="70"/>
      <c r="H55" s="70"/>
      <c r="I55" s="71"/>
      <c r="J55" s="74"/>
      <c r="K55" s="72"/>
      <c r="L55" s="71">
        <v>900</v>
      </c>
      <c r="M55" s="104">
        <f t="shared" si="1"/>
        <v>-900</v>
      </c>
      <c r="N55" s="40" t="s">
        <v>202</v>
      </c>
      <c r="O55" s="69">
        <v>251.78</v>
      </c>
      <c r="P55" s="39">
        <f t="shared" si="3"/>
        <v>-1151.78</v>
      </c>
      <c r="Q55" s="120">
        <f t="shared" si="2"/>
        <v>0</v>
      </c>
      <c r="R55" s="51" t="s">
        <v>589</v>
      </c>
      <c r="S55" s="62" t="s">
        <v>197</v>
      </c>
      <c r="T55" s="19" t="s">
        <v>406</v>
      </c>
      <c r="U55" s="19" t="s">
        <v>452</v>
      </c>
      <c r="V55" s="19">
        <v>66</v>
      </c>
    </row>
    <row r="56" spans="1:22" ht="12.75" customHeight="1" x14ac:dyDescent="0.25">
      <c r="A56" s="22" t="s">
        <v>112</v>
      </c>
      <c r="B56" s="16" t="s">
        <v>1148</v>
      </c>
      <c r="C56" s="20" t="s">
        <v>578</v>
      </c>
      <c r="D56" s="68">
        <v>43644</v>
      </c>
      <c r="E56" s="68">
        <v>43673</v>
      </c>
      <c r="F56" s="73">
        <v>600</v>
      </c>
      <c r="G56" s="70">
        <v>36</v>
      </c>
      <c r="H56" s="70">
        <v>7.2</v>
      </c>
      <c r="I56" s="71">
        <v>6</v>
      </c>
      <c r="J56" s="74">
        <v>550.79999999999995</v>
      </c>
      <c r="K56" s="72">
        <v>43670.701273148145</v>
      </c>
      <c r="L56" s="71"/>
      <c r="M56" s="104">
        <f t="shared" si="1"/>
        <v>550.79999999999995</v>
      </c>
      <c r="N56" s="40" t="s">
        <v>6</v>
      </c>
      <c r="O56" s="73">
        <v>206.82</v>
      </c>
      <c r="P56" s="39">
        <f t="shared" si="3"/>
        <v>343.97999999999996</v>
      </c>
      <c r="Q56" s="120">
        <f t="shared" si="2"/>
        <v>0</v>
      </c>
      <c r="R56" s="51" t="s">
        <v>574</v>
      </c>
      <c r="S56" s="62" t="s">
        <v>396</v>
      </c>
      <c r="T56" s="19" t="s">
        <v>406</v>
      </c>
      <c r="U56" s="128" t="s">
        <v>453</v>
      </c>
      <c r="V56" s="128">
        <v>67</v>
      </c>
    </row>
    <row r="57" spans="1:22" ht="12.75" customHeight="1" x14ac:dyDescent="0.2">
      <c r="A57" s="22" t="s">
        <v>115</v>
      </c>
      <c r="B57" s="16" t="s">
        <v>1149</v>
      </c>
      <c r="C57" s="20" t="s">
        <v>95</v>
      </c>
      <c r="D57" s="68">
        <v>43628</v>
      </c>
      <c r="E57" s="68">
        <v>43688</v>
      </c>
      <c r="F57" s="69">
        <v>656.28</v>
      </c>
      <c r="G57" s="70">
        <v>39.380000000000003</v>
      </c>
      <c r="H57" s="70">
        <v>7.88</v>
      </c>
      <c r="I57" s="71">
        <v>12</v>
      </c>
      <c r="J57" s="74">
        <v>597.02</v>
      </c>
      <c r="K57" s="72">
        <v>43648.764282407406</v>
      </c>
      <c r="L57" s="71"/>
      <c r="M57" s="104">
        <f t="shared" si="1"/>
        <v>597.02</v>
      </c>
      <c r="N57" s="40" t="s">
        <v>6</v>
      </c>
      <c r="O57" s="69">
        <v>221.36</v>
      </c>
      <c r="P57" s="39">
        <f t="shared" si="3"/>
        <v>375.65999999999997</v>
      </c>
      <c r="Q57" s="120">
        <f t="shared" si="2"/>
        <v>0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r="58" spans="1:22" ht="15" x14ac:dyDescent="0.25">
      <c r="A58" s="22" t="s">
        <v>117</v>
      </c>
      <c r="B58" s="16" t="s">
        <v>1150</v>
      </c>
      <c r="C58" s="20" t="s">
        <v>95</v>
      </c>
      <c r="D58" s="68">
        <v>43624</v>
      </c>
      <c r="E58" s="68">
        <v>43684</v>
      </c>
      <c r="F58" s="73">
        <v>827.28</v>
      </c>
      <c r="G58" s="70">
        <v>49.64</v>
      </c>
      <c r="H58" s="70">
        <v>9.93</v>
      </c>
      <c r="I58" s="71">
        <v>12</v>
      </c>
      <c r="J58" s="74">
        <v>755.71</v>
      </c>
      <c r="K58" s="72">
        <v>43648.764282407406</v>
      </c>
      <c r="L58" s="71"/>
      <c r="M58" s="104">
        <f t="shared" si="1"/>
        <v>755.71</v>
      </c>
      <c r="N58" s="40" t="s">
        <v>6</v>
      </c>
      <c r="O58" s="73">
        <v>206.77</v>
      </c>
      <c r="P58" s="39">
        <f t="shared" si="3"/>
        <v>548.94000000000005</v>
      </c>
      <c r="Q58" s="120">
        <f t="shared" si="2"/>
        <v>0</v>
      </c>
      <c r="R58" s="40"/>
      <c r="S58" s="62" t="s">
        <v>396</v>
      </c>
      <c r="T58" s="19" t="s">
        <v>406</v>
      </c>
      <c r="U58" s="127" t="s">
        <v>455</v>
      </c>
      <c r="V58" s="127">
        <v>68</v>
      </c>
    </row>
    <row r="59" spans="1:22" ht="12.75" customHeight="1" x14ac:dyDescent="0.2">
      <c r="A59" s="22" t="s">
        <v>74</v>
      </c>
      <c r="B59" s="16" t="s">
        <v>1151</v>
      </c>
      <c r="C59" s="20" t="s">
        <v>578</v>
      </c>
      <c r="D59" s="68">
        <v>43658</v>
      </c>
      <c r="E59" s="68">
        <v>43688</v>
      </c>
      <c r="F59" s="69">
        <v>550</v>
      </c>
      <c r="G59" s="70">
        <v>33</v>
      </c>
      <c r="H59" s="70">
        <v>6.6</v>
      </c>
      <c r="I59" s="71">
        <v>6</v>
      </c>
      <c r="J59" s="74">
        <v>504.4</v>
      </c>
      <c r="K59" s="72">
        <v>43661.703981481478</v>
      </c>
      <c r="L59" s="71"/>
      <c r="M59" s="104">
        <f t="shared" si="1"/>
        <v>504.4</v>
      </c>
      <c r="N59" s="40" t="s">
        <v>6</v>
      </c>
      <c r="O59" s="69">
        <v>206.93</v>
      </c>
      <c r="P59" s="39">
        <f t="shared" si="3"/>
        <v>297.46999999999997</v>
      </c>
      <c r="Q59" s="120">
        <f t="shared" si="2"/>
        <v>0</v>
      </c>
      <c r="R59" s="172" t="s">
        <v>573</v>
      </c>
      <c r="S59" s="62" t="s">
        <v>197</v>
      </c>
      <c r="T59" s="19" t="s">
        <v>406</v>
      </c>
      <c r="U59" s="19" t="s">
        <v>456</v>
      </c>
      <c r="V59" s="19">
        <v>64</v>
      </c>
    </row>
    <row r="60" spans="1:22" ht="12.75" customHeight="1" x14ac:dyDescent="0.25">
      <c r="A60" s="22" t="s">
        <v>118</v>
      </c>
      <c r="B60" s="16" t="s">
        <v>1152</v>
      </c>
      <c r="C60" s="20" t="s">
        <v>95</v>
      </c>
      <c r="D60" s="68">
        <v>43635</v>
      </c>
      <c r="E60" s="68">
        <v>43695</v>
      </c>
      <c r="F60" s="73">
        <v>777.07</v>
      </c>
      <c r="G60" s="70">
        <v>46.62</v>
      </c>
      <c r="H60" s="70">
        <v>9.32</v>
      </c>
      <c r="I60" s="71">
        <v>12</v>
      </c>
      <c r="J60" s="74">
        <v>709.13</v>
      </c>
      <c r="K60" s="72">
        <v>43648.764282407406</v>
      </c>
      <c r="L60" s="71"/>
      <c r="M60" s="104">
        <f t="shared" si="1"/>
        <v>709.13</v>
      </c>
      <c r="N60" s="40" t="s">
        <v>6</v>
      </c>
      <c r="O60" s="73">
        <v>206.77</v>
      </c>
      <c r="P60" s="39">
        <f t="shared" si="3"/>
        <v>502.36</v>
      </c>
      <c r="Q60" s="120">
        <f t="shared" si="2"/>
        <v>0</v>
      </c>
      <c r="R60" s="40"/>
      <c r="S60" s="62" t="s">
        <v>396</v>
      </c>
      <c r="T60" s="19" t="s">
        <v>406</v>
      </c>
      <c r="U60" s="127" t="s">
        <v>457</v>
      </c>
      <c r="V60" s="127">
        <v>71</v>
      </c>
    </row>
    <row r="61" spans="1:22" ht="12.75" customHeight="1" x14ac:dyDescent="0.2">
      <c r="A61" s="22" t="s">
        <v>119</v>
      </c>
      <c r="B61" s="16" t="s">
        <v>1153</v>
      </c>
      <c r="C61" s="33" t="s">
        <v>578</v>
      </c>
      <c r="D61" s="68">
        <v>43674</v>
      </c>
      <c r="E61" s="68">
        <v>43704</v>
      </c>
      <c r="F61" s="69">
        <v>550</v>
      </c>
      <c r="G61" s="70">
        <v>33</v>
      </c>
      <c r="H61" s="70">
        <v>6.6</v>
      </c>
      <c r="I61" s="71">
        <v>6</v>
      </c>
      <c r="J61" s="74">
        <v>504.4</v>
      </c>
      <c r="K61" s="72">
        <v>43675.642060185186</v>
      </c>
      <c r="L61" s="71"/>
      <c r="M61" s="104">
        <f t="shared" si="1"/>
        <v>504.4</v>
      </c>
      <c r="N61" s="40" t="s">
        <v>6</v>
      </c>
      <c r="O61" s="69">
        <v>251.96</v>
      </c>
      <c r="P61" s="39">
        <f t="shared" si="3"/>
        <v>252.43999999999997</v>
      </c>
      <c r="Q61" s="120">
        <f t="shared" si="2"/>
        <v>0</v>
      </c>
      <c r="R61" s="143" t="s">
        <v>590</v>
      </c>
      <c r="S61" s="62" t="s">
        <v>197</v>
      </c>
      <c r="T61" s="19" t="s">
        <v>406</v>
      </c>
      <c r="U61" s="19" t="s">
        <v>458</v>
      </c>
      <c r="V61" s="19">
        <v>70</v>
      </c>
    </row>
    <row r="62" spans="1:22" ht="12.75" customHeight="1" x14ac:dyDescent="0.25">
      <c r="A62" s="22" t="s">
        <v>75</v>
      </c>
      <c r="B62" s="16" t="s">
        <v>1154</v>
      </c>
      <c r="C62" s="20" t="s">
        <v>578</v>
      </c>
      <c r="D62" s="68">
        <v>43674</v>
      </c>
      <c r="E62" s="68">
        <v>43704</v>
      </c>
      <c r="F62" s="73">
        <v>525</v>
      </c>
      <c r="G62" s="70">
        <v>31.5</v>
      </c>
      <c r="H62" s="70">
        <v>6.3</v>
      </c>
      <c r="I62" s="71">
        <v>6</v>
      </c>
      <c r="J62" s="74">
        <v>481.2</v>
      </c>
      <c r="K62" s="72">
        <v>43675.642060185186</v>
      </c>
      <c r="L62" s="71"/>
      <c r="M62" s="104">
        <f t="shared" si="1"/>
        <v>481.2</v>
      </c>
      <c r="N62" s="40" t="s">
        <v>6</v>
      </c>
      <c r="O62" s="73">
        <v>213.98</v>
      </c>
      <c r="P62" s="39">
        <f t="shared" si="3"/>
        <v>267.22000000000003</v>
      </c>
      <c r="Q62" s="120">
        <f t="shared" si="2"/>
        <v>0</v>
      </c>
      <c r="R62" s="40"/>
      <c r="S62" s="62" t="s">
        <v>396</v>
      </c>
      <c r="T62" s="19" t="s">
        <v>406</v>
      </c>
      <c r="U62" s="127" t="s">
        <v>459</v>
      </c>
      <c r="V62" s="127">
        <v>65</v>
      </c>
    </row>
    <row r="63" spans="1:22" ht="12.75" customHeight="1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t="shared" si="1"/>
        <v/>
      </c>
      <c r="N63" s="45"/>
      <c r="O63" s="76"/>
      <c r="P63" s="103">
        <f t="shared" si="3"/>
        <v>0</v>
      </c>
      <c r="Q63" s="121">
        <f t="shared" si="2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1"/>
      <c r="B65" s="11"/>
      <c r="C65" s="11"/>
      <c r="E65" s="12" t="s">
        <v>19</v>
      </c>
      <c r="F65" s="35">
        <f>SUM(F9:F63)</f>
        <v>24476.53</v>
      </c>
      <c r="G65" s="35">
        <f>SUM(G9:G63)</f>
        <v>1357.7900000000002</v>
      </c>
      <c r="H65" s="35">
        <f>SUM(H9:H63)</f>
        <v>271.55</v>
      </c>
      <c r="I65" s="35">
        <f>SUM(I9:I63)</f>
        <v>456</v>
      </c>
      <c r="J65" s="35">
        <f>SUM(J9:J63)</f>
        <v>22941.990000000005</v>
      </c>
      <c r="K65" s="34"/>
      <c r="L65" s="35">
        <f>SUM(L9:L63)</f>
        <v>8379.4500000000007</v>
      </c>
      <c r="M65" s="35">
        <f>SUM(M9:M63)</f>
        <v>14018.339999999998</v>
      </c>
      <c r="N65" s="34"/>
      <c r="O65" s="35">
        <f>SUM(O9:O63)</f>
        <v>9723.5700000000015</v>
      </c>
      <c r="P65" s="35">
        <f>SUM(P9:P63)</f>
        <v>4294.7699999999995</v>
      </c>
      <c r="R65" s="34"/>
    </row>
    <row r="66" spans="1:18" ht="13.5" thickTop="1" x14ac:dyDescent="0.2">
      <c r="A66" s="47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C50" sqref="A1:XFD1048576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6" t="s">
        <v>520</v>
      </c>
      <c r="B1" s="86"/>
    </row>
    <row r="2" spans="1:9" ht="15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24476.53</v>
      </c>
      <c r="E5" s="34">
        <f>SUMIF('Rent Statement'!S9:S63,"=Mathew Tucker", 'Rent Statement'!F9:F63)</f>
        <v>15287.1</v>
      </c>
      <c r="H5" s="34">
        <f>SUMIF('Rent Statement'!S9:S63,"Ivana Valentino", 'Rent Statement'!F9:F63)</f>
        <v>9189.4299999999985</v>
      </c>
    </row>
    <row r="6" spans="1:9" x14ac:dyDescent="0.2">
      <c r="A6" t="s">
        <v>214</v>
      </c>
      <c r="C6" s="46">
        <f>-SUM('Rent Statement'!O9:O63)</f>
        <v>-9723.5700000000015</v>
      </c>
      <c r="F6" s="46">
        <f>-SUMIF('Rent Statement'!S9:S63,"Mathew Tucker",'Rent Statement'!O9:O63)</f>
        <v>-5560.5999999999995</v>
      </c>
      <c r="I6" s="46">
        <f>-SUMIF('Rent Statement'!S9:S63,"Ivana Valentino",'Rent Statement'!O9:O63)</f>
        <v>-4162.9699999999993</v>
      </c>
    </row>
    <row r="7" spans="1:9" x14ac:dyDescent="0.2">
      <c r="A7" t="s">
        <v>213</v>
      </c>
      <c r="C7" s="46">
        <f>-SUM('Rent Statement'!G9:G63)</f>
        <v>-1357.7900000000002</v>
      </c>
      <c r="F7" s="46">
        <f>-SUMIF('Rent Statement'!S9:S63,"Mathew Tucker",'Rent Statement'!G9:G63)</f>
        <v>-854.25</v>
      </c>
      <c r="I7" s="46">
        <f>-SUMIF('Rent Statement'!S9:S63,"Ivana Valentino",'Rent Statement'!G9:G63)</f>
        <v>-503.53999999999996</v>
      </c>
    </row>
    <row r="8" spans="1:9" x14ac:dyDescent="0.2">
      <c r="A8" t="s">
        <v>212</v>
      </c>
      <c r="C8" s="46">
        <f>-SUM('Rent Statement'!H9:H63)</f>
        <v>-271.55</v>
      </c>
      <c r="F8" s="46">
        <f>-SUMIF('Rent Statement'!S9:S63,"Mathew Tucker",'Rent Statement'!H9:H63)</f>
        <v>-170.83999999999997</v>
      </c>
      <c r="I8" s="46">
        <f>-SUMIF('Rent Statement'!S9:S63,"Ivana Valentino",'Rent Statement'!H9:H63)</f>
        <v>-100.71</v>
      </c>
    </row>
    <row r="9" spans="1:9" x14ac:dyDescent="0.2">
      <c r="A9" t="s">
        <v>211</v>
      </c>
      <c r="C9" s="46">
        <f>-SUM('Rent Statement'!I9:I63)-SUM('Rent Statement'!L9:L63)</f>
        <v>-8835.4500000000007</v>
      </c>
      <c r="F9" s="46">
        <f>-SUMIF('Rent Statement'!S9:S63,"Mathew Tucker",'Rent Statement'!I9:I63)-SUMIF('Rent Statement'!S9:S63,"Mathew Tucker",'Rent Statement'!L9:L63)</f>
        <v>-7083.4</v>
      </c>
      <c r="I9" s="46">
        <f>-SUMIF('Rent Statement'!S9:S63,"Ivana Valentino",'Rent Statement'!I9:I63)-SUMIF('Rent Statement'!S9:S63,"Ivana Valentino",'Rent Statement'!L9:L63)</f>
        <v>-1752.05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4288.1699999999983</v>
      </c>
      <c r="D12" s="44"/>
      <c r="E12" s="111">
        <f>E5+SUM(F6:F10)</f>
        <v>1618.0100000000002</v>
      </c>
      <c r="H12" s="111">
        <f>H5+SUM(I6:I10)</f>
        <v>2670.1599999999989</v>
      </c>
    </row>
    <row r="13" spans="1:9" ht="15.75" thickTop="1" x14ac:dyDescent="0.25">
      <c r="A13" s="87"/>
      <c r="B13" s="87"/>
      <c r="C13" s="83"/>
      <c r="F13" s="83"/>
    </row>
    <row r="14" spans="1:9" ht="30" x14ac:dyDescent="0.25">
      <c r="A14" s="87"/>
      <c r="B14" s="88" t="s">
        <v>521</v>
      </c>
      <c r="C14" s="88" t="s">
        <v>522</v>
      </c>
      <c r="D14" s="89" t="s">
        <v>552</v>
      </c>
      <c r="E14" s="123" t="s">
        <v>521</v>
      </c>
      <c r="F14" s="90" t="s">
        <v>522</v>
      </c>
    </row>
    <row r="15" spans="1:9" ht="15" x14ac:dyDescent="0.25">
      <c r="A15" s="87" t="s">
        <v>523</v>
      </c>
      <c r="B15" s="84">
        <f>E12</f>
        <v>1618.0100000000002</v>
      </c>
      <c r="C15" s="84">
        <f>H12</f>
        <v>2670.1599999999989</v>
      </c>
      <c r="D15" s="91"/>
      <c r="E15" s="174">
        <v>0.5</v>
      </c>
      <c r="F15" s="175">
        <v>0.5</v>
      </c>
    </row>
    <row r="16" spans="1:9" ht="15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-5208.72</v>
      </c>
      <c r="C17" s="84">
        <f>EVAL("SUM(SUMIFS(IV_Amount, IV_BankRef," &amp;$H17&amp; "))")</f>
        <v>-4162.97</v>
      </c>
      <c r="D17" s="96"/>
      <c r="E17" s="97"/>
      <c r="F17" s="98"/>
      <c r="G17" s="47"/>
      <c r="H17" s="47" t="s">
        <v>566</v>
      </c>
    </row>
    <row r="18" spans="1:17" x14ac:dyDescent="0.2">
      <c r="A18" t="s">
        <v>25</v>
      </c>
      <c r="B18" s="84">
        <f>EVAL("SUM(SUMIFS(MT_Amount, MT_BankRef," &amp;$H18&amp; "))")</f>
        <v>11265.449999999999</v>
      </c>
      <c r="C18" s="84">
        <f>EVAL("SUM(SUMIFS(IV_Amount, IV_BankRef," &amp;$H18&amp; "))")</f>
        <v>6262.52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6056.7299999999987</v>
      </c>
      <c r="C19" s="85">
        <f>SUM(C17:C18)</f>
        <v>2099.5500000000002</v>
      </c>
      <c r="D19" s="96"/>
      <c r="E19" s="97"/>
      <c r="F19" s="98"/>
    </row>
    <row r="20" spans="1:17" ht="15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-550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-109.69</v>
      </c>
      <c r="C24" s="84">
        <f>EVAL("SUM(SUMIFS(IV_Amount, IV_BankRef," &amp;$H24&amp; "))")</f>
        <v>0</v>
      </c>
      <c r="D24" s="96"/>
      <c r="E24" s="97">
        <f t="shared" ref="E24:F26" si="0">IFERROR(($D24)*E$15,"")</f>
        <v>0</v>
      </c>
      <c r="F24" s="98">
        <f t="shared" si="0"/>
        <v>0</v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t="shared" si="0"/>
        <v>0</v>
      </c>
      <c r="F25" s="98">
        <f t="shared" si="0"/>
        <v>0</v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>
        <f t="shared" si="0"/>
        <v>0</v>
      </c>
      <c r="F26" s="98">
        <f t="shared" si="0"/>
        <v>0</v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555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-10</v>
      </c>
      <c r="C29" s="85">
        <f>EVAL("SUM(SUMIFS(IV_Amount, IV_BankRef," &amp;$H29&amp; "))")</f>
        <v>-200</v>
      </c>
      <c r="D29" s="113">
        <f t="shared" ref="D29:D35" si="1">B29+C29</f>
        <v>-210</v>
      </c>
      <c r="E29" s="114">
        <f>IFERROR(($D29)*E$15,"")</f>
        <v>-105</v>
      </c>
      <c r="F29" s="115">
        <f>IFERROR(($D29)*F$15,"")</f>
        <v>-105</v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0</v>
      </c>
      <c r="C30" s="84">
        <f>EVAL("SUM(SUMIFS(IV_Amount, IV_BankRef," &amp;$H30&amp; "))")</f>
        <v>-4433.0599999999995</v>
      </c>
      <c r="D30" s="96">
        <f t="shared" si="1"/>
        <v>-4433.0599999999995</v>
      </c>
      <c r="E30" s="97">
        <f t="shared" ref="E30:F35" si="2">IFERROR(($D30)*E$15,"")</f>
        <v>-2216.5299999999997</v>
      </c>
      <c r="F30" s="98">
        <f t="shared" si="2"/>
        <v>-2216.5299999999997</v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t="shared" si="1"/>
        <v>-37.950000000000003</v>
      </c>
      <c r="E31" s="97">
        <f t="shared" si="2"/>
        <v>-18.975000000000001</v>
      </c>
      <c r="F31" s="98">
        <f t="shared" si="2"/>
        <v>-18.975000000000001</v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0</v>
      </c>
      <c r="C32" s="84">
        <f>EVAL("SUM(SUMIFS(IV_Amount, IV_BankRef," &amp;$H32&amp; "))")</f>
        <v>-58.99</v>
      </c>
      <c r="D32" s="96">
        <f t="shared" si="1"/>
        <v>-58.99</v>
      </c>
      <c r="E32" s="97">
        <f t="shared" si="2"/>
        <v>-29.495000000000001</v>
      </c>
      <c r="F32" s="98">
        <f t="shared" si="2"/>
        <v>-29.495000000000001</v>
      </c>
      <c r="H32" t="s">
        <v>537</v>
      </c>
    </row>
    <row r="33" spans="1:8" ht="15" x14ac:dyDescent="0.25">
      <c r="A33" s="83" t="s">
        <v>538</v>
      </c>
      <c r="B33" s="122">
        <f>SUMIFS(MT_Amount, MT_Include,"I")</f>
        <v>0</v>
      </c>
      <c r="C33" s="84">
        <f>EVAL("SUM(SUMIFS(IV_Amount, IV_BankRef," &amp;$H33&amp; "))")-SUMIFS(IV_Amount_4040, IV_BankRef_4040,"=X")</f>
        <v>-1833</v>
      </c>
      <c r="D33" s="96">
        <f t="shared" si="1"/>
        <v>-1833</v>
      </c>
      <c r="E33" s="97">
        <f t="shared" si="2"/>
        <v>-916.5</v>
      </c>
      <c r="F33" s="98">
        <f t="shared" si="2"/>
        <v>-916.5</v>
      </c>
      <c r="H33" s="47" t="s">
        <v>563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t="shared" si="1"/>
        <v>0</v>
      </c>
      <c r="E34" s="97">
        <f t="shared" si="2"/>
        <v>0</v>
      </c>
      <c r="F34" s="98">
        <f t="shared" si="2"/>
        <v>0</v>
      </c>
      <c r="H34" s="83" t="s">
        <v>543</v>
      </c>
    </row>
    <row r="35" spans="1:8" x14ac:dyDescent="0.2">
      <c r="A35" s="107" t="s">
        <v>562</v>
      </c>
      <c r="B35" s="117">
        <v>0</v>
      </c>
      <c r="C35" s="118">
        <v>0</v>
      </c>
      <c r="D35" s="96">
        <f t="shared" si="1"/>
        <v>0</v>
      </c>
      <c r="E35" s="97">
        <f t="shared" si="2"/>
        <v>0</v>
      </c>
      <c r="F35" s="98">
        <f t="shared" si="2"/>
        <v>0</v>
      </c>
      <c r="H35" s="107"/>
    </row>
    <row r="36" spans="1:8" x14ac:dyDescent="0.2">
      <c r="B36" s="99">
        <f>SUBTOTAL(9,B29:B35)</f>
        <v>-10</v>
      </c>
      <c r="C36" s="99">
        <f>SUBTOTAL(9,C29:C35)</f>
        <v>-6562.9999999999991</v>
      </c>
      <c r="D36" s="100">
        <f>SUBTOTAL(9,D20:D35)</f>
        <v>-6572.9999999999991</v>
      </c>
      <c r="E36" s="101">
        <f>SUBTOTAL(9,E29:E35)</f>
        <v>-3286.4999999999995</v>
      </c>
      <c r="F36" s="99">
        <f>SUBTOTAL(9,F29:F35)</f>
        <v>-3286.4999999999995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553</v>
      </c>
      <c r="E38" s="84">
        <f>SUM(B29:B35)</f>
        <v>-10</v>
      </c>
      <c r="F38" s="84">
        <f>SUM(C29:C35)</f>
        <v>-6562.9999999999991</v>
      </c>
    </row>
    <row r="39" spans="1:8" x14ac:dyDescent="0.2">
      <c r="A39" s="107" t="s">
        <v>554</v>
      </c>
      <c r="E39" s="97">
        <f>EVAL("SUM(SUMIFS(MT_Amount, MT_BankRef," &amp;$H39&amp; "))")</f>
        <v>-2609.16</v>
      </c>
      <c r="F39" s="84">
        <f>-E39</f>
        <v>2609.16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-667.33999999999969</v>
      </c>
      <c r="F41" s="101">
        <f>F36-F38-F39</f>
        <v>667.33999999999969</v>
      </c>
    </row>
    <row r="42" spans="1:8" x14ac:dyDescent="0.2">
      <c r="A42" s="110" t="s">
        <v>556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591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1597.3200000000002</v>
      </c>
      <c r="F48" s="47"/>
    </row>
    <row r="50" spans="1:7" x14ac:dyDescent="0.2">
      <c r="A50" s="43" t="s">
        <v>546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42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 spans="1:9" ht="15" x14ac:dyDescent="0.25">
      <c r="A3" s="184" t="s">
        <v>1155</v>
      </c>
    </row>
    <row r="4" spans="1:9" x14ac:dyDescent="0.2">
      <c r="A4" t="s">
        <v>1156</v>
      </c>
      <c r="B4">
        <v>40</v>
      </c>
    </row>
    <row r="5" spans="1:9" x14ac:dyDescent="0.2">
      <c r="A5" t="s">
        <v>1157</v>
      </c>
      <c r="B5">
        <v>78</v>
      </c>
    </row>
    <row r="6" spans="1:9" x14ac:dyDescent="0.2">
      <c r="A6" t="s">
        <v>1158</v>
      </c>
      <c r="B6">
        <v>77</v>
      </c>
    </row>
    <row r="7" spans="1:9" x14ac:dyDescent="0.2">
      <c r="A7" t="s">
        <v>1159</v>
      </c>
      <c r="B7">
        <v>71</v>
      </c>
    </row>
    <row r="8" spans="1:9" x14ac:dyDescent="0.2">
      <c r="A8" t="s">
        <v>1160</v>
      </c>
      <c r="B8">
        <v>30</v>
      </c>
    </row>
    <row r="9" spans="1:9" x14ac:dyDescent="0.2">
      <c r="A9" t="s">
        <v>1161</v>
      </c>
      <c r="B9">
        <v>19</v>
      </c>
    </row>
    <row r="11" spans="1:9" ht="15" x14ac:dyDescent="0.25">
      <c r="A11" s="184" t="s">
        <v>24</v>
      </c>
      <c r="B11" s="184" t="s">
        <v>513</v>
      </c>
      <c r="C11" s="184" t="s">
        <v>515</v>
      </c>
      <c r="D11" s="184" t="s">
        <v>548</v>
      </c>
      <c r="E11" s="184" t="s">
        <v>1162</v>
      </c>
      <c r="F11" s="184" t="s">
        <v>1163</v>
      </c>
    </row>
    <row r="12" spans="1:9" x14ac:dyDescent="0.2">
      <c r="A12" t="s">
        <v>102</v>
      </c>
      <c r="B12" s="185">
        <v>43644.024305555555</v>
      </c>
      <c r="C12">
        <v>-6</v>
      </c>
      <c r="D12" t="s">
        <v>1164</v>
      </c>
      <c r="E12">
        <v>203660</v>
      </c>
      <c r="F12" t="s">
        <v>1165</v>
      </c>
    </row>
    <row r="13" spans="1:9" x14ac:dyDescent="0.2">
      <c r="A13" t="s">
        <v>106</v>
      </c>
      <c r="B13" s="185">
        <v>43644.024305555555</v>
      </c>
      <c r="C13">
        <v>-6</v>
      </c>
      <c r="D13" t="s">
        <v>716</v>
      </c>
      <c r="E13">
        <v>203664</v>
      </c>
      <c r="F13" t="s">
        <v>1165</v>
      </c>
    </row>
    <row r="14" spans="1:9" x14ac:dyDescent="0.2">
      <c r="A14" t="s">
        <v>107</v>
      </c>
      <c r="B14" s="185">
        <v>43644.024305555555</v>
      </c>
      <c r="C14">
        <v>-6</v>
      </c>
      <c r="D14" t="s">
        <v>719</v>
      </c>
      <c r="E14">
        <v>203671</v>
      </c>
      <c r="F14" t="s">
        <v>1165</v>
      </c>
    </row>
    <row r="15" spans="1:9" x14ac:dyDescent="0.2">
      <c r="A15" t="s">
        <v>68</v>
      </c>
      <c r="B15" s="185">
        <v>43644.024305555555</v>
      </c>
      <c r="C15">
        <v>-6</v>
      </c>
      <c r="D15" t="s">
        <v>723</v>
      </c>
      <c r="E15">
        <v>203677</v>
      </c>
      <c r="F15" t="s">
        <v>1165</v>
      </c>
    </row>
    <row r="16" spans="1:9" x14ac:dyDescent="0.2">
      <c r="A16" t="s">
        <v>86</v>
      </c>
      <c r="B16" s="185">
        <v>43644.024305555555</v>
      </c>
      <c r="C16">
        <v>-6</v>
      </c>
      <c r="D16" t="s">
        <v>727</v>
      </c>
      <c r="E16">
        <v>203684</v>
      </c>
      <c r="F16" t="s">
        <v>1165</v>
      </c>
    </row>
    <row r="17" spans="1:6" x14ac:dyDescent="0.2">
      <c r="A17" t="s">
        <v>231</v>
      </c>
      <c r="B17" s="185">
        <v>43613.024652777778</v>
      </c>
      <c r="C17">
        <v>-6</v>
      </c>
      <c r="D17" t="s">
        <v>844</v>
      </c>
      <c r="E17">
        <v>202725</v>
      </c>
      <c r="F17" t="s">
        <v>1165</v>
      </c>
    </row>
    <row r="18" spans="1:6" x14ac:dyDescent="0.2">
      <c r="A18" t="s">
        <v>72</v>
      </c>
      <c r="B18" s="185">
        <v>43644.024305555555</v>
      </c>
      <c r="C18">
        <v>-6</v>
      </c>
      <c r="D18" t="s">
        <v>731</v>
      </c>
      <c r="E18">
        <v>203690</v>
      </c>
      <c r="F18" t="s">
        <v>1165</v>
      </c>
    </row>
    <row r="19" spans="1:6" x14ac:dyDescent="0.2">
      <c r="A19" t="s">
        <v>112</v>
      </c>
      <c r="B19" s="185">
        <v>43644.024305555555</v>
      </c>
      <c r="C19">
        <v>-6</v>
      </c>
      <c r="D19" t="s">
        <v>734</v>
      </c>
      <c r="E19">
        <v>203694</v>
      </c>
      <c r="F19" t="s">
        <v>1165</v>
      </c>
    </row>
    <row r="20" spans="1:6" x14ac:dyDescent="0.2">
      <c r="A20" t="s">
        <v>117</v>
      </c>
      <c r="B20" s="185">
        <v>43644.024305555555</v>
      </c>
      <c r="C20">
        <v>-6</v>
      </c>
      <c r="D20" t="s">
        <v>738</v>
      </c>
      <c r="E20">
        <v>203701</v>
      </c>
      <c r="F20" t="s">
        <v>1165</v>
      </c>
    </row>
    <row r="21" spans="1:6" x14ac:dyDescent="0.2">
      <c r="A21" t="s">
        <v>118</v>
      </c>
      <c r="B21" s="185">
        <v>43644.024305555555</v>
      </c>
      <c r="C21">
        <v>-6</v>
      </c>
      <c r="D21" t="s">
        <v>742</v>
      </c>
      <c r="E21">
        <v>203708</v>
      </c>
      <c r="F21" t="s">
        <v>1165</v>
      </c>
    </row>
    <row r="22" spans="1:6" x14ac:dyDescent="0.2">
      <c r="A22" t="s">
        <v>228</v>
      </c>
      <c r="B22" s="185">
        <v>43644.024305555555</v>
      </c>
      <c r="C22">
        <v>-6</v>
      </c>
      <c r="D22" t="s">
        <v>749</v>
      </c>
      <c r="E22">
        <v>203728</v>
      </c>
      <c r="F22" t="s">
        <v>1165</v>
      </c>
    </row>
    <row r="23" spans="1:6" x14ac:dyDescent="0.2">
      <c r="A23" t="s">
        <v>226</v>
      </c>
      <c r="B23" s="185">
        <v>43644.024305555555</v>
      </c>
      <c r="C23">
        <v>-6</v>
      </c>
      <c r="D23" t="s">
        <v>756</v>
      </c>
      <c r="E23">
        <v>203747</v>
      </c>
      <c r="F23" t="s">
        <v>1165</v>
      </c>
    </row>
    <row r="24" spans="1:6" x14ac:dyDescent="0.2">
      <c r="A24" t="s">
        <v>70</v>
      </c>
      <c r="B24" s="185">
        <v>43644.024305555555</v>
      </c>
      <c r="C24">
        <v>-6</v>
      </c>
      <c r="D24" t="s">
        <v>760</v>
      </c>
      <c r="E24">
        <v>203754</v>
      </c>
      <c r="F24" t="s">
        <v>1165</v>
      </c>
    </row>
    <row r="25" spans="1:6" x14ac:dyDescent="0.2">
      <c r="A25" t="s">
        <v>71</v>
      </c>
      <c r="B25" s="185">
        <v>43644.024305555555</v>
      </c>
      <c r="C25">
        <v>-6</v>
      </c>
      <c r="D25" t="s">
        <v>763</v>
      </c>
      <c r="E25">
        <v>203758</v>
      </c>
      <c r="F25" t="s">
        <v>1165</v>
      </c>
    </row>
    <row r="26" spans="1:6" x14ac:dyDescent="0.2">
      <c r="A26" t="s">
        <v>69</v>
      </c>
      <c r="B26" s="185">
        <v>43644.024305555555</v>
      </c>
      <c r="C26">
        <v>-6</v>
      </c>
      <c r="D26" t="s">
        <v>767</v>
      </c>
      <c r="E26">
        <v>203765</v>
      </c>
      <c r="F26" t="s">
        <v>1165</v>
      </c>
    </row>
    <row r="27" spans="1:6" x14ac:dyDescent="0.2">
      <c r="A27" t="s">
        <v>115</v>
      </c>
      <c r="B27" s="185">
        <v>43644.024305555555</v>
      </c>
      <c r="C27">
        <v>-6</v>
      </c>
      <c r="D27" t="s">
        <v>771</v>
      </c>
      <c r="E27">
        <v>203772</v>
      </c>
      <c r="F27" t="s">
        <v>1165</v>
      </c>
    </row>
    <row r="28" spans="1:6" x14ac:dyDescent="0.2">
      <c r="A28" t="s">
        <v>74</v>
      </c>
      <c r="B28" s="185">
        <v>43644.024305555555</v>
      </c>
      <c r="C28">
        <v>-6</v>
      </c>
      <c r="D28" t="s">
        <v>774</v>
      </c>
      <c r="E28">
        <v>203776</v>
      </c>
      <c r="F28" t="s">
        <v>1165</v>
      </c>
    </row>
    <row r="29" spans="1:6" x14ac:dyDescent="0.2">
      <c r="A29" t="s">
        <v>53</v>
      </c>
      <c r="B29" s="185">
        <v>43644.024305555555</v>
      </c>
      <c r="C29">
        <v>-12</v>
      </c>
      <c r="D29" t="s">
        <v>781</v>
      </c>
      <c r="E29">
        <v>203784</v>
      </c>
      <c r="F29" t="s">
        <v>1165</v>
      </c>
    </row>
    <row r="30" spans="1:6" x14ac:dyDescent="0.2">
      <c r="A30" t="s">
        <v>55</v>
      </c>
      <c r="B30" s="185">
        <v>43644.024305555555</v>
      </c>
      <c r="C30">
        <v>-6</v>
      </c>
      <c r="D30" t="s">
        <v>784</v>
      </c>
      <c r="E30">
        <v>203788</v>
      </c>
      <c r="F30" t="s">
        <v>1165</v>
      </c>
    </row>
    <row r="31" spans="1:6" x14ac:dyDescent="0.2">
      <c r="A31" t="s">
        <v>56</v>
      </c>
      <c r="B31" s="185">
        <v>43644.024305555555</v>
      </c>
      <c r="C31">
        <v>-6</v>
      </c>
      <c r="D31" t="s">
        <v>788</v>
      </c>
      <c r="E31">
        <v>203795</v>
      </c>
      <c r="F31" t="s">
        <v>1165</v>
      </c>
    </row>
    <row r="32" spans="1:6" x14ac:dyDescent="0.2">
      <c r="A32" t="s">
        <v>187</v>
      </c>
      <c r="B32" s="185">
        <v>43644.024305555555</v>
      </c>
      <c r="C32">
        <v>-6</v>
      </c>
      <c r="D32" t="s">
        <v>792</v>
      </c>
      <c r="E32">
        <v>203801</v>
      </c>
      <c r="F32" t="s">
        <v>1165</v>
      </c>
    </row>
    <row r="33" spans="1:6" x14ac:dyDescent="0.2">
      <c r="A33" t="s">
        <v>59</v>
      </c>
      <c r="B33" s="185">
        <v>43644.024305555555</v>
      </c>
      <c r="C33">
        <v>-6</v>
      </c>
      <c r="D33" t="s">
        <v>795</v>
      </c>
      <c r="E33">
        <v>203805</v>
      </c>
      <c r="F33" t="s">
        <v>1165</v>
      </c>
    </row>
    <row r="34" spans="1:6" x14ac:dyDescent="0.2">
      <c r="A34" t="s">
        <v>57</v>
      </c>
      <c r="B34" s="185">
        <v>43644.024305555555</v>
      </c>
      <c r="C34">
        <v>-6</v>
      </c>
      <c r="D34" t="s">
        <v>799</v>
      </c>
      <c r="E34">
        <v>203812</v>
      </c>
      <c r="F34" t="s">
        <v>1165</v>
      </c>
    </row>
    <row r="35" spans="1:6" x14ac:dyDescent="0.2">
      <c r="A35" t="s">
        <v>63</v>
      </c>
      <c r="B35" s="185">
        <v>43644.024305555555</v>
      </c>
      <c r="C35">
        <v>-6</v>
      </c>
      <c r="D35" t="s">
        <v>802</v>
      </c>
      <c r="E35">
        <v>203816</v>
      </c>
      <c r="F35" t="s">
        <v>1165</v>
      </c>
    </row>
    <row r="36" spans="1:6" x14ac:dyDescent="0.2">
      <c r="A36" t="s">
        <v>64</v>
      </c>
      <c r="B36" s="185">
        <v>43644.024305555555</v>
      </c>
      <c r="C36">
        <v>-6</v>
      </c>
      <c r="D36" t="s">
        <v>805</v>
      </c>
      <c r="E36">
        <v>203820</v>
      </c>
      <c r="F36" t="s">
        <v>1165</v>
      </c>
    </row>
    <row r="37" spans="1:6" x14ac:dyDescent="0.2">
      <c r="A37" t="s">
        <v>66</v>
      </c>
      <c r="B37" s="185">
        <v>43644.024305555555</v>
      </c>
      <c r="C37">
        <v>-6</v>
      </c>
      <c r="D37" t="s">
        <v>809</v>
      </c>
      <c r="E37">
        <v>203824</v>
      </c>
      <c r="F37" t="s">
        <v>1165</v>
      </c>
    </row>
    <row r="38" spans="1:6" x14ac:dyDescent="0.2">
      <c r="A38" t="s">
        <v>103</v>
      </c>
      <c r="B38" s="185">
        <v>43644.024305555555</v>
      </c>
      <c r="C38">
        <v>-6</v>
      </c>
      <c r="D38" t="s">
        <v>813</v>
      </c>
      <c r="E38">
        <v>203831</v>
      </c>
      <c r="F38" t="s">
        <v>1165</v>
      </c>
    </row>
    <row r="39" spans="1:6" x14ac:dyDescent="0.2">
      <c r="A39" t="s">
        <v>61</v>
      </c>
      <c r="B39" s="185">
        <v>43644.024305555555</v>
      </c>
      <c r="C39">
        <v>-6</v>
      </c>
      <c r="D39" t="s">
        <v>819</v>
      </c>
      <c r="E39">
        <v>203840</v>
      </c>
      <c r="F39" t="s">
        <v>1165</v>
      </c>
    </row>
    <row r="40" spans="1:6" x14ac:dyDescent="0.2">
      <c r="A40" t="s">
        <v>111</v>
      </c>
      <c r="B40" s="185">
        <v>43644.024305555555</v>
      </c>
      <c r="C40">
        <v>-6</v>
      </c>
      <c r="D40" t="s">
        <v>823</v>
      </c>
      <c r="E40">
        <v>203847</v>
      </c>
      <c r="F40" t="s">
        <v>1165</v>
      </c>
    </row>
    <row r="41" spans="1:6" x14ac:dyDescent="0.2">
      <c r="A41" t="s">
        <v>186</v>
      </c>
      <c r="B41" s="185">
        <v>43644.024305555555</v>
      </c>
      <c r="C41">
        <v>-6</v>
      </c>
      <c r="D41" t="s">
        <v>827</v>
      </c>
      <c r="E41">
        <v>203853</v>
      </c>
      <c r="F41" t="s">
        <v>1165</v>
      </c>
    </row>
    <row r="42" spans="1:6" x14ac:dyDescent="0.2">
      <c r="A42" t="s">
        <v>65</v>
      </c>
      <c r="B42" s="185">
        <v>43674.024629629632</v>
      </c>
      <c r="C42">
        <v>-6</v>
      </c>
      <c r="D42" t="s">
        <v>711</v>
      </c>
      <c r="E42">
        <v>206959</v>
      </c>
      <c r="F42" t="s">
        <v>1166</v>
      </c>
    </row>
    <row r="43" spans="1:6" x14ac:dyDescent="0.2">
      <c r="A43" t="s">
        <v>106</v>
      </c>
      <c r="B43" s="185">
        <v>43674.024629629632</v>
      </c>
      <c r="C43">
        <v>-6</v>
      </c>
      <c r="D43" t="s">
        <v>716</v>
      </c>
      <c r="E43">
        <v>206975</v>
      </c>
      <c r="F43" t="s">
        <v>1166</v>
      </c>
    </row>
    <row r="44" spans="1:6" x14ac:dyDescent="0.2">
      <c r="A44" t="s">
        <v>107</v>
      </c>
      <c r="B44" s="185">
        <v>43674.024629629632</v>
      </c>
      <c r="C44">
        <v>-6</v>
      </c>
      <c r="D44" t="s">
        <v>719</v>
      </c>
      <c r="E44">
        <v>206979</v>
      </c>
      <c r="F44" t="s">
        <v>1166</v>
      </c>
    </row>
    <row r="45" spans="1:6" x14ac:dyDescent="0.2">
      <c r="A45" t="s">
        <v>231</v>
      </c>
      <c r="B45" s="185">
        <v>43674.024629629632</v>
      </c>
      <c r="C45">
        <v>-6</v>
      </c>
      <c r="D45" t="s">
        <v>844</v>
      </c>
      <c r="E45">
        <v>207004</v>
      </c>
      <c r="F45" t="s">
        <v>1166</v>
      </c>
    </row>
    <row r="46" spans="1:6" x14ac:dyDescent="0.2">
      <c r="A46" t="s">
        <v>112</v>
      </c>
      <c r="B46" s="185">
        <v>43674.024629629632</v>
      </c>
      <c r="C46">
        <v>-6</v>
      </c>
      <c r="D46" t="s">
        <v>734</v>
      </c>
      <c r="E46">
        <v>207019</v>
      </c>
      <c r="F46" t="s">
        <v>1166</v>
      </c>
    </row>
    <row r="47" spans="1:6" x14ac:dyDescent="0.2">
      <c r="A47" t="s">
        <v>188</v>
      </c>
      <c r="B47" s="185">
        <v>43656.604618055557</v>
      </c>
      <c r="C47">
        <v>-85</v>
      </c>
      <c r="D47" t="s">
        <v>851</v>
      </c>
      <c r="E47">
        <v>207044</v>
      </c>
      <c r="F47" t="s">
        <v>1166</v>
      </c>
    </row>
    <row r="48" spans="1:6" x14ac:dyDescent="0.2">
      <c r="A48" t="s">
        <v>188</v>
      </c>
      <c r="B48" s="185">
        <v>43674.024629629632</v>
      </c>
      <c r="C48">
        <v>-6</v>
      </c>
      <c r="D48" t="s">
        <v>746</v>
      </c>
      <c r="E48">
        <v>207045</v>
      </c>
      <c r="F48" t="s">
        <v>1166</v>
      </c>
    </row>
    <row r="49" spans="1:6" x14ac:dyDescent="0.2">
      <c r="A49" t="s">
        <v>188</v>
      </c>
      <c r="B49" s="185">
        <v>43676.417523148149</v>
      </c>
      <c r="C49">
        <v>-131.86000000000001</v>
      </c>
      <c r="D49" t="s">
        <v>852</v>
      </c>
      <c r="E49">
        <v>207046</v>
      </c>
      <c r="F49" t="s">
        <v>1166</v>
      </c>
    </row>
    <row r="50" spans="1:6" x14ac:dyDescent="0.2">
      <c r="A50" t="s">
        <v>227</v>
      </c>
      <c r="B50" s="185">
        <v>43674.024629629632</v>
      </c>
      <c r="C50">
        <v>-6</v>
      </c>
      <c r="D50" t="s">
        <v>750</v>
      </c>
      <c r="E50">
        <v>207060</v>
      </c>
      <c r="F50" t="s">
        <v>1166</v>
      </c>
    </row>
    <row r="51" spans="1:6" x14ac:dyDescent="0.2">
      <c r="A51" t="s">
        <v>71</v>
      </c>
      <c r="B51" s="185">
        <v>43674.024629629632</v>
      </c>
      <c r="C51">
        <v>-6</v>
      </c>
      <c r="D51" t="s">
        <v>763</v>
      </c>
      <c r="E51">
        <v>207093</v>
      </c>
      <c r="F51" t="s">
        <v>1166</v>
      </c>
    </row>
    <row r="52" spans="1:6" x14ac:dyDescent="0.2">
      <c r="A52" t="s">
        <v>74</v>
      </c>
      <c r="B52" s="185">
        <v>43674.024629629632</v>
      </c>
      <c r="C52">
        <v>-6</v>
      </c>
      <c r="D52" t="s">
        <v>774</v>
      </c>
      <c r="E52">
        <v>207117</v>
      </c>
      <c r="F52" t="s">
        <v>1166</v>
      </c>
    </row>
    <row r="53" spans="1:6" x14ac:dyDescent="0.2">
      <c r="A53" t="s">
        <v>53</v>
      </c>
      <c r="B53" s="185">
        <v>43674.024629629632</v>
      </c>
      <c r="C53">
        <v>-12</v>
      </c>
      <c r="D53" t="s">
        <v>781</v>
      </c>
      <c r="E53">
        <v>207128</v>
      </c>
      <c r="F53" t="s">
        <v>1166</v>
      </c>
    </row>
    <row r="54" spans="1:6" x14ac:dyDescent="0.2">
      <c r="A54" t="s">
        <v>55</v>
      </c>
      <c r="B54" s="185">
        <v>43674.024629629632</v>
      </c>
      <c r="C54">
        <v>-6</v>
      </c>
      <c r="D54" t="s">
        <v>784</v>
      </c>
      <c r="E54">
        <v>207132</v>
      </c>
      <c r="F54" t="s">
        <v>1166</v>
      </c>
    </row>
    <row r="55" spans="1:6" x14ac:dyDescent="0.2">
      <c r="A55" t="s">
        <v>59</v>
      </c>
      <c r="B55" s="185">
        <v>43674.024629629632</v>
      </c>
      <c r="C55">
        <v>-6</v>
      </c>
      <c r="D55" t="s">
        <v>795</v>
      </c>
      <c r="E55">
        <v>207155</v>
      </c>
      <c r="F55" t="s">
        <v>1166</v>
      </c>
    </row>
    <row r="56" spans="1:6" x14ac:dyDescent="0.2">
      <c r="A56" t="s">
        <v>58</v>
      </c>
      <c r="B56" s="185">
        <v>43674.024629629632</v>
      </c>
      <c r="C56">
        <v>-6</v>
      </c>
      <c r="D56" t="s">
        <v>870</v>
      </c>
      <c r="E56">
        <v>207156</v>
      </c>
      <c r="F56" t="s">
        <v>1166</v>
      </c>
    </row>
    <row r="57" spans="1:6" x14ac:dyDescent="0.2">
      <c r="A57" t="s">
        <v>63</v>
      </c>
      <c r="B57" s="185">
        <v>43674.024629629632</v>
      </c>
      <c r="C57">
        <v>-6</v>
      </c>
      <c r="D57" t="s">
        <v>802</v>
      </c>
      <c r="E57">
        <v>207169</v>
      </c>
      <c r="F57" t="s">
        <v>1166</v>
      </c>
    </row>
    <row r="58" spans="1:6" x14ac:dyDescent="0.2">
      <c r="A58" t="s">
        <v>64</v>
      </c>
      <c r="B58" s="185">
        <v>43674.024629629632</v>
      </c>
      <c r="C58">
        <v>-6</v>
      </c>
      <c r="D58" t="s">
        <v>805</v>
      </c>
      <c r="E58">
        <v>207176</v>
      </c>
      <c r="F58" t="s">
        <v>1166</v>
      </c>
    </row>
    <row r="59" spans="1:6" x14ac:dyDescent="0.2">
      <c r="A59" t="s">
        <v>99</v>
      </c>
      <c r="B59" s="185">
        <v>43674.024629629632</v>
      </c>
      <c r="C59">
        <v>-6</v>
      </c>
      <c r="D59" t="s">
        <v>815</v>
      </c>
      <c r="E59">
        <v>207197</v>
      </c>
      <c r="F59" t="s">
        <v>1166</v>
      </c>
    </row>
    <row r="60" spans="1:6" x14ac:dyDescent="0.2">
      <c r="A60" t="s">
        <v>186</v>
      </c>
      <c r="B60" s="185">
        <v>43674.024629629632</v>
      </c>
      <c r="C60">
        <v>-6</v>
      </c>
      <c r="D60" t="s">
        <v>827</v>
      </c>
      <c r="E60">
        <v>207224</v>
      </c>
      <c r="F60" t="s">
        <v>1166</v>
      </c>
    </row>
    <row r="61" spans="1:6" x14ac:dyDescent="0.2">
      <c r="B61" s="151"/>
    </row>
    <row r="62" spans="1:6" ht="15" x14ac:dyDescent="0.25">
      <c r="A62" s="184" t="s">
        <v>1167</v>
      </c>
    </row>
    <row r="63" spans="1:6" x14ac:dyDescent="0.2">
      <c r="A63" t="s">
        <v>1168</v>
      </c>
      <c r="B63" t="s">
        <v>521</v>
      </c>
    </row>
    <row r="64" spans="1:6" x14ac:dyDescent="0.2">
      <c r="A64" t="s">
        <v>1169</v>
      </c>
      <c r="B64">
        <v>162</v>
      </c>
    </row>
    <row r="65" spans="1:3" x14ac:dyDescent="0.2">
      <c r="A65" t="s">
        <v>1170</v>
      </c>
      <c r="B65">
        <v>162</v>
      </c>
    </row>
    <row r="66" spans="1:3" x14ac:dyDescent="0.2">
      <c r="A66" t="s">
        <v>1171</v>
      </c>
      <c r="B66">
        <v>0</v>
      </c>
    </row>
    <row r="67" spans="1:3" x14ac:dyDescent="0.2">
      <c r="A67" t="s">
        <v>1172</v>
      </c>
      <c r="B67">
        <v>162</v>
      </c>
      <c r="C67">
        <v>161</v>
      </c>
    </row>
    <row r="68" spans="1:3" x14ac:dyDescent="0.2">
      <c r="A68" t="s">
        <v>1173</v>
      </c>
      <c r="B68">
        <v>22</v>
      </c>
      <c r="C68">
        <v>22</v>
      </c>
    </row>
    <row r="69" spans="1:3" x14ac:dyDescent="0.2">
      <c r="A69" t="s">
        <v>1174</v>
      </c>
      <c r="B69">
        <v>28</v>
      </c>
      <c r="C69">
        <v>28</v>
      </c>
    </row>
    <row r="70" spans="1:3" x14ac:dyDescent="0.2">
      <c r="B70" s="151"/>
    </row>
    <row r="71" spans="1:3" x14ac:dyDescent="0.2">
      <c r="A71" t="s">
        <v>1168</v>
      </c>
      <c r="B71" t="s">
        <v>522</v>
      </c>
    </row>
    <row r="72" spans="1:3" x14ac:dyDescent="0.2">
      <c r="A72" t="s">
        <v>1169</v>
      </c>
      <c r="B72">
        <v>74</v>
      </c>
    </row>
    <row r="73" spans="1:3" x14ac:dyDescent="0.2">
      <c r="A73" t="s">
        <v>1170</v>
      </c>
      <c r="B73">
        <v>74</v>
      </c>
    </row>
    <row r="74" spans="1:3" x14ac:dyDescent="0.2">
      <c r="A74" t="s">
        <v>1171</v>
      </c>
      <c r="B74">
        <v>0</v>
      </c>
    </row>
    <row r="75" spans="1:3" x14ac:dyDescent="0.2">
      <c r="A75" t="s">
        <v>1172</v>
      </c>
      <c r="B75">
        <v>74</v>
      </c>
      <c r="C75">
        <v>74</v>
      </c>
    </row>
    <row r="76" spans="1:3" x14ac:dyDescent="0.2">
      <c r="A76" t="s">
        <v>1173</v>
      </c>
      <c r="B76">
        <v>8</v>
      </c>
      <c r="C76">
        <v>8</v>
      </c>
    </row>
    <row r="77" spans="1:3" x14ac:dyDescent="0.2">
      <c r="A77" t="s">
        <v>1174</v>
      </c>
      <c r="B77">
        <v>16</v>
      </c>
      <c r="C77">
        <v>16</v>
      </c>
    </row>
    <row r="78" spans="1:3" x14ac:dyDescent="0.2">
      <c r="B78" s="151"/>
    </row>
    <row r="79" spans="1:3" x14ac:dyDescent="0.2">
      <c r="B79" s="151"/>
    </row>
    <row r="80" spans="1:3" x14ac:dyDescent="0.2">
      <c r="B80" s="151"/>
    </row>
    <row r="81" spans="2:2" x14ac:dyDescent="0.2">
      <c r="B81" s="151"/>
    </row>
    <row r="82" spans="2:2" x14ac:dyDescent="0.2">
      <c r="B82" s="151"/>
    </row>
    <row r="83" spans="2:2" x14ac:dyDescent="0.2">
      <c r="B83" s="151"/>
    </row>
    <row r="84" spans="2:2" x14ac:dyDescent="0.2">
      <c r="B84" s="151"/>
    </row>
    <row r="85" spans="2:2" x14ac:dyDescent="0.2">
      <c r="B85" s="151"/>
    </row>
    <row r="86" spans="2:2" x14ac:dyDescent="0.2">
      <c r="B86" s="151"/>
    </row>
    <row r="87" spans="2:2" x14ac:dyDescent="0.2">
      <c r="B87" s="151"/>
    </row>
    <row r="88" spans="2:2" x14ac:dyDescent="0.2">
      <c r="B88" s="151"/>
    </row>
    <row r="89" spans="2:2" x14ac:dyDescent="0.2">
      <c r="B89" s="151"/>
    </row>
    <row r="90" spans="2:2" x14ac:dyDescent="0.2">
      <c r="B90" s="151"/>
    </row>
    <row r="91" spans="2:2" x14ac:dyDescent="0.2">
      <c r="B91" s="151"/>
    </row>
    <row r="92" spans="2:2" x14ac:dyDescent="0.2">
      <c r="B92" s="151"/>
    </row>
    <row r="93" spans="2:2" x14ac:dyDescent="0.2">
      <c r="B93" s="151"/>
    </row>
    <row r="94" spans="2:2" x14ac:dyDescent="0.2">
      <c r="B94" s="151"/>
    </row>
    <row r="95" spans="2:2" x14ac:dyDescent="0.2">
      <c r="B95" s="151"/>
    </row>
    <row r="96" spans="2:2" x14ac:dyDescent="0.2">
      <c r="B96" s="151"/>
    </row>
    <row r="97" spans="1:2" x14ac:dyDescent="0.2">
      <c r="B97" s="151"/>
    </row>
    <row r="98" spans="1:2" x14ac:dyDescent="0.2">
      <c r="B98" s="151"/>
    </row>
    <row r="99" spans="1:2" x14ac:dyDescent="0.2">
      <c r="B99" s="151"/>
    </row>
    <row r="101" spans="1:2" ht="15" x14ac:dyDescent="0.25">
      <c r="A101" s="150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57"/>
  <sheetViews>
    <sheetView topLeftCell="A82" zoomScale="85" zoomScaleNormal="85" workbookViewId="0">
      <selection activeCell="B116" sqref="B116:I117"/>
    </sheetView>
  </sheetViews>
  <sheetFormatPr defaultRowHeight="12.75" x14ac:dyDescent="0.2"/>
  <cols>
    <col min="1" max="2" width="10.28515625" style="144" bestFit="1" customWidth="1"/>
    <col min="3" max="3" width="17.28515625" style="144" bestFit="1" customWidth="1"/>
    <col min="4" max="4" width="12.85546875" style="144" bestFit="1" customWidth="1"/>
    <col min="5" max="5" width="14.28515625" style="144" bestFit="1" customWidth="1"/>
    <col min="6" max="6" width="50.140625" style="144" bestFit="1" customWidth="1"/>
    <col min="7" max="7" width="10.7109375" style="144" bestFit="1" customWidth="1"/>
    <col min="8" max="8" width="25.5703125" style="144" customWidth="1"/>
    <col min="9" max="9" width="8.7109375" style="144" bestFit="1" customWidth="1"/>
    <col min="10" max="16384" width="9.140625" style="144"/>
  </cols>
  <sheetData>
    <row r="1" spans="1:9" x14ac:dyDescent="0.2">
      <c r="A1" s="144" t="s">
        <v>512</v>
      </c>
      <c r="B1" s="144" t="s">
        <v>513</v>
      </c>
      <c r="C1" s="144" t="s">
        <v>514</v>
      </c>
      <c r="D1" s="144" t="s">
        <v>515</v>
      </c>
      <c r="E1" s="144" t="s">
        <v>516</v>
      </c>
      <c r="F1" s="144" t="s">
        <v>517</v>
      </c>
      <c r="G1" s="146" t="s">
        <v>24</v>
      </c>
      <c r="H1" s="146" t="s">
        <v>548</v>
      </c>
      <c r="I1" s="146" t="s">
        <v>549</v>
      </c>
    </row>
    <row r="2" spans="1:9" x14ac:dyDescent="0.2">
      <c r="A2" s="144" t="s">
        <v>880</v>
      </c>
      <c r="B2" s="145">
        <v>43647</v>
      </c>
      <c r="C2" s="144" t="s">
        <v>592</v>
      </c>
      <c r="D2" s="173">
        <v>-2500</v>
      </c>
      <c r="E2" s="144" t="s">
        <v>623</v>
      </c>
      <c r="F2" s="144" t="s">
        <v>881</v>
      </c>
      <c r="G2" s="146"/>
      <c r="H2" s="146" t="s">
        <v>1078</v>
      </c>
      <c r="I2" t="s">
        <v>1108</v>
      </c>
    </row>
    <row r="3" spans="1:9" x14ac:dyDescent="0.2">
      <c r="A3" s="144" t="s">
        <v>880</v>
      </c>
      <c r="B3" s="145">
        <v>43647</v>
      </c>
      <c r="C3" s="144" t="s">
        <v>592</v>
      </c>
      <c r="D3" s="173">
        <v>-1000</v>
      </c>
      <c r="E3" s="144" t="s">
        <v>623</v>
      </c>
      <c r="F3" s="144" t="s">
        <v>881</v>
      </c>
      <c r="G3" s="146"/>
      <c r="H3" s="146" t="s">
        <v>1078</v>
      </c>
      <c r="I3" t="s">
        <v>1108</v>
      </c>
    </row>
    <row r="4" spans="1:9" x14ac:dyDescent="0.2">
      <c r="A4" s="144" t="s">
        <v>880</v>
      </c>
      <c r="B4" s="145">
        <v>43647</v>
      </c>
      <c r="C4" s="144" t="s">
        <v>592</v>
      </c>
      <c r="D4" s="144">
        <v>-7.1</v>
      </c>
      <c r="E4" s="144" t="s">
        <v>593</v>
      </c>
      <c r="F4" s="146" t="s">
        <v>882</v>
      </c>
      <c r="G4" s="146"/>
      <c r="H4" s="146"/>
      <c r="I4" t="s">
        <v>1108</v>
      </c>
    </row>
    <row r="5" spans="1:9" x14ac:dyDescent="0.2">
      <c r="A5" s="144" t="s">
        <v>880</v>
      </c>
      <c r="B5" s="145">
        <v>43647</v>
      </c>
      <c r="C5" s="144" t="s">
        <v>592</v>
      </c>
      <c r="D5" s="177">
        <v>-340</v>
      </c>
      <c r="E5" s="148" t="s">
        <v>593</v>
      </c>
      <c r="F5" s="178" t="s">
        <v>883</v>
      </c>
      <c r="G5" s="52" t="s">
        <v>481</v>
      </c>
      <c r="H5" s="148" t="s">
        <v>1074</v>
      </c>
      <c r="I5" t="s">
        <v>1109</v>
      </c>
    </row>
    <row r="6" spans="1:9" x14ac:dyDescent="0.2">
      <c r="A6" s="144" t="s">
        <v>880</v>
      </c>
      <c r="B6" s="145">
        <v>43647</v>
      </c>
      <c r="C6" s="144" t="s">
        <v>592</v>
      </c>
      <c r="D6" s="177">
        <v>-42.15</v>
      </c>
      <c r="E6" s="148" t="s">
        <v>593</v>
      </c>
      <c r="F6" s="178" t="s">
        <v>884</v>
      </c>
      <c r="G6" s="146"/>
      <c r="H6" s="146"/>
      <c r="I6" t="s">
        <v>1108</v>
      </c>
    </row>
    <row r="7" spans="1:9" x14ac:dyDescent="0.2">
      <c r="A7" s="144" t="s">
        <v>880</v>
      </c>
      <c r="B7" s="145">
        <v>43647</v>
      </c>
      <c r="C7" s="144" t="s">
        <v>592</v>
      </c>
      <c r="D7" s="179">
        <v>-2609.16</v>
      </c>
      <c r="E7" s="148" t="s">
        <v>596</v>
      </c>
      <c r="F7" s="178" t="s">
        <v>597</v>
      </c>
      <c r="H7" s="146" t="s">
        <v>1078</v>
      </c>
      <c r="I7" t="s">
        <v>1108</v>
      </c>
    </row>
    <row r="8" spans="1:9" x14ac:dyDescent="0.2">
      <c r="A8" s="144" t="s">
        <v>880</v>
      </c>
      <c r="B8" s="145">
        <v>43647</v>
      </c>
      <c r="C8" s="144" t="s">
        <v>592</v>
      </c>
      <c r="D8" s="177">
        <v>-232.5</v>
      </c>
      <c r="E8" s="148" t="s">
        <v>596</v>
      </c>
      <c r="F8" s="178" t="s">
        <v>603</v>
      </c>
      <c r="H8" s="146"/>
      <c r="I8" t="s">
        <v>1108</v>
      </c>
    </row>
    <row r="9" spans="1:9" x14ac:dyDescent="0.2">
      <c r="A9" s="144" t="s">
        <v>880</v>
      </c>
      <c r="B9" s="145">
        <v>43647</v>
      </c>
      <c r="C9" s="144" t="s">
        <v>592</v>
      </c>
      <c r="D9" s="177">
        <v>-196.79</v>
      </c>
      <c r="E9" s="148" t="s">
        <v>596</v>
      </c>
      <c r="F9" s="178" t="s">
        <v>598</v>
      </c>
      <c r="G9" s="146"/>
      <c r="H9" s="146"/>
      <c r="I9" t="s">
        <v>1108</v>
      </c>
    </row>
    <row r="10" spans="1:9" x14ac:dyDescent="0.2">
      <c r="A10" s="144" t="s">
        <v>880</v>
      </c>
      <c r="B10" s="145">
        <v>43647</v>
      </c>
      <c r="C10" s="144" t="s">
        <v>592</v>
      </c>
      <c r="D10" s="177">
        <v>-160</v>
      </c>
      <c r="E10" s="148" t="s">
        <v>596</v>
      </c>
      <c r="F10" s="178" t="s">
        <v>601</v>
      </c>
      <c r="H10" s="146"/>
      <c r="I10" t="s">
        <v>1108</v>
      </c>
    </row>
    <row r="11" spans="1:9" x14ac:dyDescent="0.2">
      <c r="A11" s="144" t="s">
        <v>880</v>
      </c>
      <c r="B11" s="145">
        <v>43647</v>
      </c>
      <c r="C11" s="144" t="s">
        <v>592</v>
      </c>
      <c r="D11" s="177">
        <v>-157.5</v>
      </c>
      <c r="E11" s="148" t="s">
        <v>596</v>
      </c>
      <c r="F11" s="178" t="s">
        <v>602</v>
      </c>
      <c r="H11" s="146"/>
      <c r="I11" t="s">
        <v>1108</v>
      </c>
    </row>
    <row r="12" spans="1:9" x14ac:dyDescent="0.2">
      <c r="A12" s="144" t="s">
        <v>880</v>
      </c>
      <c r="B12" s="145">
        <v>43647</v>
      </c>
      <c r="C12" s="144" t="s">
        <v>592</v>
      </c>
      <c r="D12" s="177">
        <v>-50</v>
      </c>
      <c r="E12" s="148" t="s">
        <v>596</v>
      </c>
      <c r="F12" s="178" t="s">
        <v>599</v>
      </c>
      <c r="G12" s="146"/>
      <c r="H12" s="146"/>
      <c r="I12" t="s">
        <v>1108</v>
      </c>
    </row>
    <row r="13" spans="1:9" x14ac:dyDescent="0.2">
      <c r="A13" s="144" t="s">
        <v>880</v>
      </c>
      <c r="B13" s="145">
        <v>43647</v>
      </c>
      <c r="C13" s="144" t="s">
        <v>592</v>
      </c>
      <c r="D13" s="177">
        <v>-50</v>
      </c>
      <c r="E13" s="148" t="s">
        <v>596</v>
      </c>
      <c r="F13" s="178" t="s">
        <v>600</v>
      </c>
      <c r="H13" s="146"/>
      <c r="I13" t="s">
        <v>1108</v>
      </c>
    </row>
    <row r="14" spans="1:9" x14ac:dyDescent="0.2">
      <c r="A14" s="144" t="s">
        <v>880</v>
      </c>
      <c r="B14" s="145">
        <v>43647</v>
      </c>
      <c r="C14" s="144" t="s">
        <v>592</v>
      </c>
      <c r="D14" s="177">
        <v>-142.35</v>
      </c>
      <c r="E14" s="148" t="s">
        <v>604</v>
      </c>
      <c r="F14" s="178" t="s">
        <v>885</v>
      </c>
      <c r="H14" s="146"/>
      <c r="I14" t="s">
        <v>1110</v>
      </c>
    </row>
    <row r="15" spans="1:9" x14ac:dyDescent="0.2">
      <c r="A15" s="144" t="s">
        <v>880</v>
      </c>
      <c r="B15" s="145">
        <v>43647</v>
      </c>
      <c r="C15" s="144" t="s">
        <v>592</v>
      </c>
      <c r="D15" s="177">
        <v>-221.36</v>
      </c>
      <c r="E15" s="148" t="s">
        <v>604</v>
      </c>
      <c r="F15" s="178" t="s">
        <v>605</v>
      </c>
      <c r="H15" s="146"/>
      <c r="I15" t="s">
        <v>1110</v>
      </c>
    </row>
    <row r="16" spans="1:9" x14ac:dyDescent="0.2">
      <c r="A16" s="144" t="s">
        <v>880</v>
      </c>
      <c r="B16" s="145">
        <v>43647</v>
      </c>
      <c r="C16" s="144" t="s">
        <v>592</v>
      </c>
      <c r="D16" s="177">
        <v>-240.21</v>
      </c>
      <c r="E16" s="148" t="s">
        <v>604</v>
      </c>
      <c r="F16" s="178" t="s">
        <v>606</v>
      </c>
      <c r="H16" s="146"/>
      <c r="I16" t="s">
        <v>1110</v>
      </c>
    </row>
    <row r="17" spans="1:9" x14ac:dyDescent="0.2">
      <c r="A17" s="144" t="s">
        <v>880</v>
      </c>
      <c r="B17" s="145">
        <v>43647</v>
      </c>
      <c r="C17" s="144" t="s">
        <v>592</v>
      </c>
      <c r="D17" s="177">
        <v>-58.85</v>
      </c>
      <c r="E17" s="148" t="s">
        <v>604</v>
      </c>
      <c r="F17" s="178" t="s">
        <v>886</v>
      </c>
      <c r="H17" s="146"/>
      <c r="I17" t="s">
        <v>1108</v>
      </c>
    </row>
    <row r="18" spans="1:9" x14ac:dyDescent="0.2">
      <c r="A18" s="144" t="s">
        <v>880</v>
      </c>
      <c r="B18" s="145">
        <v>43647</v>
      </c>
      <c r="C18" s="144" t="s">
        <v>592</v>
      </c>
      <c r="D18" s="177">
        <v>-124.68</v>
      </c>
      <c r="E18" s="148" t="s">
        <v>604</v>
      </c>
      <c r="F18" s="178" t="s">
        <v>607</v>
      </c>
      <c r="G18" s="146"/>
      <c r="H18" s="146"/>
      <c r="I18" t="s">
        <v>1108</v>
      </c>
    </row>
    <row r="19" spans="1:9" x14ac:dyDescent="0.2">
      <c r="A19" s="144" t="s">
        <v>880</v>
      </c>
      <c r="B19" s="145">
        <v>43647</v>
      </c>
      <c r="C19" s="144" t="s">
        <v>592</v>
      </c>
      <c r="D19" s="177">
        <v>-125.34</v>
      </c>
      <c r="E19" s="148" t="s">
        <v>604</v>
      </c>
      <c r="F19" s="178" t="s">
        <v>608</v>
      </c>
      <c r="G19" s="146"/>
      <c r="H19" s="146"/>
      <c r="I19" t="s">
        <v>1108</v>
      </c>
    </row>
    <row r="20" spans="1:9" x14ac:dyDescent="0.2">
      <c r="A20" s="144" t="s">
        <v>880</v>
      </c>
      <c r="B20" s="145">
        <v>43648</v>
      </c>
      <c r="C20" s="144" t="s">
        <v>592</v>
      </c>
      <c r="D20" s="177">
        <v>504.4</v>
      </c>
      <c r="E20" s="148" t="s">
        <v>594</v>
      </c>
      <c r="F20" s="178" t="s">
        <v>887</v>
      </c>
      <c r="H20" s="146"/>
      <c r="I20" t="s">
        <v>1108</v>
      </c>
    </row>
    <row r="21" spans="1:9" x14ac:dyDescent="0.2">
      <c r="A21" s="144" t="s">
        <v>880</v>
      </c>
      <c r="B21" s="145">
        <v>43648</v>
      </c>
      <c r="C21" s="144" t="s">
        <v>592</v>
      </c>
      <c r="D21" s="177">
        <v>-12.45</v>
      </c>
      <c r="E21" s="148" t="s">
        <v>593</v>
      </c>
      <c r="F21" s="178" t="s">
        <v>888</v>
      </c>
      <c r="H21" s="146"/>
      <c r="I21" t="s">
        <v>1108</v>
      </c>
    </row>
    <row r="22" spans="1:9" x14ac:dyDescent="0.2">
      <c r="A22" s="144" t="s">
        <v>880</v>
      </c>
      <c r="B22" s="145">
        <v>43648</v>
      </c>
      <c r="C22" s="144" t="s">
        <v>592</v>
      </c>
      <c r="D22" s="177">
        <v>-6.6</v>
      </c>
      <c r="E22" s="148" t="s">
        <v>593</v>
      </c>
      <c r="F22" s="178" t="s">
        <v>889</v>
      </c>
      <c r="G22" s="146" t="s">
        <v>557</v>
      </c>
      <c r="H22" s="146" t="s">
        <v>1077</v>
      </c>
      <c r="I22" t="s">
        <v>1109</v>
      </c>
    </row>
    <row r="23" spans="1:9" x14ac:dyDescent="0.2">
      <c r="A23" s="144" t="s">
        <v>880</v>
      </c>
      <c r="B23" s="145">
        <v>43648</v>
      </c>
      <c r="C23" s="144" t="s">
        <v>592</v>
      </c>
      <c r="D23" s="177">
        <v>-3.99</v>
      </c>
      <c r="E23" s="148" t="s">
        <v>593</v>
      </c>
      <c r="F23" s="178" t="s">
        <v>890</v>
      </c>
      <c r="G23" s="146"/>
      <c r="H23" s="146"/>
      <c r="I23" t="s">
        <v>1108</v>
      </c>
    </row>
    <row r="24" spans="1:9" x14ac:dyDescent="0.2">
      <c r="A24" s="144" t="s">
        <v>880</v>
      </c>
      <c r="B24" s="145">
        <v>43648</v>
      </c>
      <c r="C24" s="144" t="s">
        <v>592</v>
      </c>
      <c r="D24" s="177">
        <v>-3.18</v>
      </c>
      <c r="E24" s="148" t="s">
        <v>593</v>
      </c>
      <c r="F24" s="178" t="s">
        <v>891</v>
      </c>
      <c r="G24" s="146"/>
      <c r="H24" s="146"/>
      <c r="I24" t="s">
        <v>1108</v>
      </c>
    </row>
    <row r="25" spans="1:9" x14ac:dyDescent="0.2">
      <c r="A25" s="144" t="s">
        <v>880</v>
      </c>
      <c r="B25" s="145">
        <v>43649</v>
      </c>
      <c r="C25" s="144" t="s">
        <v>592</v>
      </c>
      <c r="D25" s="177">
        <v>110.66</v>
      </c>
      <c r="E25" s="148" t="s">
        <v>594</v>
      </c>
      <c r="F25" s="178" t="s">
        <v>611</v>
      </c>
      <c r="G25" s="146"/>
      <c r="H25" s="146"/>
      <c r="I25" t="s">
        <v>1108</v>
      </c>
    </row>
    <row r="26" spans="1:9" x14ac:dyDescent="0.2">
      <c r="A26" s="144" t="s">
        <v>880</v>
      </c>
      <c r="B26" s="145">
        <v>43649</v>
      </c>
      <c r="C26" s="144" t="s">
        <v>592</v>
      </c>
      <c r="D26" s="177">
        <v>45.04</v>
      </c>
      <c r="E26" s="148" t="s">
        <v>594</v>
      </c>
      <c r="F26" s="178" t="s">
        <v>610</v>
      </c>
      <c r="H26" s="146"/>
      <c r="I26" t="s">
        <v>1108</v>
      </c>
    </row>
    <row r="27" spans="1:9" x14ac:dyDescent="0.2">
      <c r="A27" s="144" t="s">
        <v>880</v>
      </c>
      <c r="B27" s="145">
        <v>43649</v>
      </c>
      <c r="C27" s="144" t="s">
        <v>592</v>
      </c>
      <c r="D27" s="177">
        <v>-241</v>
      </c>
      <c r="E27" s="148" t="s">
        <v>593</v>
      </c>
      <c r="F27" s="178" t="s">
        <v>892</v>
      </c>
      <c r="G27" s="149" t="s">
        <v>473</v>
      </c>
      <c r="H27" s="146" t="s">
        <v>1089</v>
      </c>
      <c r="I27" t="s">
        <v>1109</v>
      </c>
    </row>
    <row r="28" spans="1:9" x14ac:dyDescent="0.2">
      <c r="A28" s="144" t="s">
        <v>880</v>
      </c>
      <c r="B28" s="145">
        <v>43649</v>
      </c>
      <c r="C28" s="144" t="s">
        <v>592</v>
      </c>
      <c r="D28" s="177">
        <v>-148</v>
      </c>
      <c r="E28" s="148" t="s">
        <v>593</v>
      </c>
      <c r="F28" s="178" t="s">
        <v>893</v>
      </c>
      <c r="G28" s="149" t="s">
        <v>559</v>
      </c>
      <c r="H28" s="146" t="s">
        <v>1090</v>
      </c>
      <c r="I28" t="s">
        <v>1109</v>
      </c>
    </row>
    <row r="29" spans="1:9" x14ac:dyDescent="0.2">
      <c r="A29" s="144" t="s">
        <v>880</v>
      </c>
      <c r="B29" s="145">
        <v>43649</v>
      </c>
      <c r="C29" s="144" t="s">
        <v>592</v>
      </c>
      <c r="D29" s="177">
        <v>-49</v>
      </c>
      <c r="E29" s="148" t="s">
        <v>593</v>
      </c>
      <c r="F29" s="178" t="s">
        <v>894</v>
      </c>
      <c r="G29" s="52" t="s">
        <v>558</v>
      </c>
      <c r="H29" s="146" t="s">
        <v>1091</v>
      </c>
      <c r="I29" t="s">
        <v>1109</v>
      </c>
    </row>
    <row r="30" spans="1:9" x14ac:dyDescent="0.2">
      <c r="A30" s="144" t="s">
        <v>880</v>
      </c>
      <c r="B30" s="145">
        <v>43649</v>
      </c>
      <c r="C30" s="144" t="s">
        <v>592</v>
      </c>
      <c r="D30" s="177">
        <v>-29</v>
      </c>
      <c r="E30" s="148" t="s">
        <v>593</v>
      </c>
      <c r="F30" s="178" t="s">
        <v>895</v>
      </c>
      <c r="G30" s="52" t="s">
        <v>558</v>
      </c>
      <c r="H30" s="146" t="s">
        <v>1092</v>
      </c>
      <c r="I30" t="s">
        <v>1109</v>
      </c>
    </row>
    <row r="31" spans="1:9" x14ac:dyDescent="0.2">
      <c r="A31" s="144" t="s">
        <v>880</v>
      </c>
      <c r="B31" s="145">
        <v>43649</v>
      </c>
      <c r="C31" s="144" t="s">
        <v>592</v>
      </c>
      <c r="D31" s="177">
        <v>-13.95</v>
      </c>
      <c r="E31" s="148" t="s">
        <v>593</v>
      </c>
      <c r="F31" s="178" t="s">
        <v>896</v>
      </c>
      <c r="G31" s="146"/>
      <c r="H31" s="146"/>
      <c r="I31" t="s">
        <v>1108</v>
      </c>
    </row>
    <row r="32" spans="1:9" x14ac:dyDescent="0.2">
      <c r="A32" s="144" t="s">
        <v>880</v>
      </c>
      <c r="B32" s="145">
        <v>43649</v>
      </c>
      <c r="C32" s="144" t="s">
        <v>592</v>
      </c>
      <c r="D32" s="177">
        <v>-0.89</v>
      </c>
      <c r="E32" s="148" t="s">
        <v>593</v>
      </c>
      <c r="F32" s="178" t="s">
        <v>897</v>
      </c>
      <c r="G32" s="146"/>
      <c r="H32" s="146"/>
      <c r="I32" t="s">
        <v>1108</v>
      </c>
    </row>
    <row r="33" spans="1:9" x14ac:dyDescent="0.2">
      <c r="A33" s="144" t="s">
        <v>880</v>
      </c>
      <c r="B33" s="145">
        <v>43649</v>
      </c>
      <c r="C33" s="144" t="s">
        <v>592</v>
      </c>
      <c r="D33" s="177">
        <v>-0.89</v>
      </c>
      <c r="E33" s="148" t="s">
        <v>593</v>
      </c>
      <c r="F33" s="178" t="s">
        <v>897</v>
      </c>
      <c r="G33" s="146"/>
      <c r="H33" s="146"/>
      <c r="I33" t="s">
        <v>1108</v>
      </c>
    </row>
    <row r="34" spans="1:9" x14ac:dyDescent="0.2">
      <c r="A34" s="144" t="s">
        <v>880</v>
      </c>
      <c r="B34" s="145">
        <v>43649</v>
      </c>
      <c r="C34" s="144" t="s">
        <v>592</v>
      </c>
      <c r="D34" s="177">
        <v>-204</v>
      </c>
      <c r="E34" s="148" t="s">
        <v>593</v>
      </c>
      <c r="F34" s="178" t="s">
        <v>898</v>
      </c>
      <c r="G34" s="149" t="s">
        <v>474</v>
      </c>
      <c r="H34" s="146" t="s">
        <v>1079</v>
      </c>
      <c r="I34" t="s">
        <v>1109</v>
      </c>
    </row>
    <row r="35" spans="1:9" x14ac:dyDescent="0.2">
      <c r="A35" s="144" t="s">
        <v>880</v>
      </c>
      <c r="B35" s="145">
        <v>43649</v>
      </c>
      <c r="C35" s="144" t="s">
        <v>592</v>
      </c>
      <c r="D35" s="177">
        <v>-209.16</v>
      </c>
      <c r="E35" s="148" t="s">
        <v>604</v>
      </c>
      <c r="F35" s="178" t="s">
        <v>612</v>
      </c>
      <c r="G35" s="146"/>
      <c r="H35" s="146"/>
      <c r="I35" t="s">
        <v>1110</v>
      </c>
    </row>
    <row r="36" spans="1:9" x14ac:dyDescent="0.2">
      <c r="A36" s="144" t="s">
        <v>880</v>
      </c>
      <c r="B36" s="145">
        <v>43649</v>
      </c>
      <c r="C36" s="144" t="s">
        <v>592</v>
      </c>
      <c r="D36" s="177">
        <v>-236.44</v>
      </c>
      <c r="E36" s="148" t="s">
        <v>604</v>
      </c>
      <c r="F36" s="178" t="s">
        <v>613</v>
      </c>
      <c r="G36" s="146"/>
      <c r="H36" s="146"/>
      <c r="I36" t="s">
        <v>1110</v>
      </c>
    </row>
    <row r="37" spans="1:9" x14ac:dyDescent="0.2">
      <c r="A37" s="144" t="s">
        <v>880</v>
      </c>
      <c r="B37" s="145">
        <v>43649</v>
      </c>
      <c r="C37" s="144" t="s">
        <v>592</v>
      </c>
      <c r="D37" s="177">
        <v>-260.98</v>
      </c>
      <c r="E37" s="148" t="s">
        <v>604</v>
      </c>
      <c r="F37" s="178" t="s">
        <v>614</v>
      </c>
      <c r="H37" s="146"/>
      <c r="I37" t="s">
        <v>1110</v>
      </c>
    </row>
    <row r="38" spans="1:9" x14ac:dyDescent="0.2">
      <c r="A38" s="144" t="s">
        <v>880</v>
      </c>
      <c r="B38" s="145">
        <v>43649</v>
      </c>
      <c r="C38" s="144" t="s">
        <v>592</v>
      </c>
      <c r="D38" s="177">
        <v>-251.96</v>
      </c>
      <c r="E38" s="148" t="s">
        <v>604</v>
      </c>
      <c r="F38" s="178" t="s">
        <v>615</v>
      </c>
      <c r="G38" s="146"/>
      <c r="H38" s="146"/>
      <c r="I38" t="s">
        <v>1110</v>
      </c>
    </row>
    <row r="39" spans="1:9" x14ac:dyDescent="0.2">
      <c r="A39" s="144" t="s">
        <v>880</v>
      </c>
      <c r="B39" s="145">
        <v>43649</v>
      </c>
      <c r="C39" s="144" t="s">
        <v>592</v>
      </c>
      <c r="D39" s="177">
        <v>-206.93</v>
      </c>
      <c r="E39" s="148" t="s">
        <v>604</v>
      </c>
      <c r="F39" s="178" t="s">
        <v>616</v>
      </c>
      <c r="H39" s="146"/>
      <c r="I39" t="s">
        <v>1110</v>
      </c>
    </row>
    <row r="40" spans="1:9" x14ac:dyDescent="0.2">
      <c r="A40" s="144" t="s">
        <v>880</v>
      </c>
      <c r="B40" s="145">
        <v>43649</v>
      </c>
      <c r="C40" s="144" t="s">
        <v>592</v>
      </c>
      <c r="D40" s="177">
        <v>-251.78</v>
      </c>
      <c r="E40" s="148" t="s">
        <v>604</v>
      </c>
      <c r="F40" s="178" t="s">
        <v>617</v>
      </c>
      <c r="G40" s="146"/>
      <c r="H40" s="146"/>
      <c r="I40" t="s">
        <v>1110</v>
      </c>
    </row>
    <row r="41" spans="1:9" x14ac:dyDescent="0.2">
      <c r="A41" s="144" t="s">
        <v>880</v>
      </c>
      <c r="B41" s="145">
        <v>43649</v>
      </c>
      <c r="C41" s="144" t="s">
        <v>592</v>
      </c>
      <c r="D41" s="177">
        <v>-206.8</v>
      </c>
      <c r="E41" s="148" t="s">
        <v>604</v>
      </c>
      <c r="F41" s="178" t="s">
        <v>618</v>
      </c>
      <c r="H41" s="146"/>
      <c r="I41" t="s">
        <v>1110</v>
      </c>
    </row>
    <row r="42" spans="1:9" x14ac:dyDescent="0.2">
      <c r="A42" s="144" t="s">
        <v>880</v>
      </c>
      <c r="B42" s="145">
        <v>43649</v>
      </c>
      <c r="C42" s="144" t="s">
        <v>592</v>
      </c>
      <c r="D42" s="177">
        <v>-159.5</v>
      </c>
      <c r="E42" s="148" t="s">
        <v>604</v>
      </c>
      <c r="F42" s="178" t="s">
        <v>619</v>
      </c>
      <c r="G42" s="146"/>
      <c r="H42" s="146"/>
      <c r="I42" t="s">
        <v>1110</v>
      </c>
    </row>
    <row r="43" spans="1:9" x14ac:dyDescent="0.2">
      <c r="A43" s="144" t="s">
        <v>880</v>
      </c>
      <c r="B43" s="145">
        <v>43649</v>
      </c>
      <c r="C43" s="144" t="s">
        <v>592</v>
      </c>
      <c r="D43" s="177">
        <v>-177.04</v>
      </c>
      <c r="E43" s="148" t="s">
        <v>604</v>
      </c>
      <c r="F43" s="178" t="s">
        <v>620</v>
      </c>
      <c r="H43" s="146"/>
      <c r="I43" t="s">
        <v>1110</v>
      </c>
    </row>
    <row r="44" spans="1:9" x14ac:dyDescent="0.2">
      <c r="A44" s="144" t="s">
        <v>880</v>
      </c>
      <c r="B44" s="145">
        <v>43649</v>
      </c>
      <c r="C44" s="144" t="s">
        <v>592</v>
      </c>
      <c r="D44" s="177">
        <v>-177.08</v>
      </c>
      <c r="E44" s="148" t="s">
        <v>604</v>
      </c>
      <c r="F44" s="178" t="s">
        <v>621</v>
      </c>
      <c r="H44" s="146"/>
      <c r="I44" t="s">
        <v>1110</v>
      </c>
    </row>
    <row r="45" spans="1:9" x14ac:dyDescent="0.2">
      <c r="A45" s="144" t="s">
        <v>880</v>
      </c>
      <c r="B45" s="145">
        <v>43649</v>
      </c>
      <c r="C45" s="144" t="s">
        <v>592</v>
      </c>
      <c r="D45" s="177">
        <v>-161.62</v>
      </c>
      <c r="E45" s="148" t="s">
        <v>604</v>
      </c>
      <c r="F45" s="178" t="s">
        <v>622</v>
      </c>
      <c r="G45" s="146"/>
      <c r="H45" s="146"/>
      <c r="I45" t="s">
        <v>1110</v>
      </c>
    </row>
    <row r="46" spans="1:9" x14ac:dyDescent="0.2">
      <c r="A46" s="144" t="s">
        <v>880</v>
      </c>
      <c r="B46" s="145">
        <v>43650</v>
      </c>
      <c r="C46" s="144" t="s">
        <v>592</v>
      </c>
      <c r="D46" s="177">
        <v>431.52</v>
      </c>
      <c r="E46" s="148" t="s">
        <v>594</v>
      </c>
      <c r="F46" s="178" t="s">
        <v>610</v>
      </c>
      <c r="G46" s="146"/>
      <c r="H46" s="146"/>
      <c r="I46" t="s">
        <v>1108</v>
      </c>
    </row>
    <row r="47" spans="1:9" x14ac:dyDescent="0.2">
      <c r="A47" s="144" t="s">
        <v>880</v>
      </c>
      <c r="B47" s="145">
        <v>43650</v>
      </c>
      <c r="C47" s="144" t="s">
        <v>592</v>
      </c>
      <c r="D47" s="177">
        <v>426.56</v>
      </c>
      <c r="E47" s="148" t="s">
        <v>594</v>
      </c>
      <c r="F47" s="178" t="s">
        <v>629</v>
      </c>
      <c r="H47" s="146"/>
      <c r="I47" t="s">
        <v>1108</v>
      </c>
    </row>
    <row r="48" spans="1:9" x14ac:dyDescent="0.2">
      <c r="A48" s="144" t="s">
        <v>880</v>
      </c>
      <c r="B48" s="145">
        <v>43650</v>
      </c>
      <c r="C48" s="144" t="s">
        <v>592</v>
      </c>
      <c r="D48" s="177">
        <v>422.29</v>
      </c>
      <c r="E48" s="148" t="s">
        <v>594</v>
      </c>
      <c r="F48" s="178" t="s">
        <v>631</v>
      </c>
      <c r="H48" s="146"/>
      <c r="I48" t="s">
        <v>1108</v>
      </c>
    </row>
    <row r="49" spans="1:10" x14ac:dyDescent="0.2">
      <c r="A49" s="144" t="s">
        <v>880</v>
      </c>
      <c r="B49" s="145">
        <v>43650</v>
      </c>
      <c r="C49" s="144" t="s">
        <v>592</v>
      </c>
      <c r="D49" s="144">
        <v>353.33</v>
      </c>
      <c r="E49" s="144" t="s">
        <v>594</v>
      </c>
      <c r="F49" s="144" t="s">
        <v>611</v>
      </c>
      <c r="I49" t="s">
        <v>1108</v>
      </c>
    </row>
    <row r="50" spans="1:10" x14ac:dyDescent="0.2">
      <c r="A50" s="144" t="s">
        <v>880</v>
      </c>
      <c r="B50" s="145">
        <v>43650</v>
      </c>
      <c r="C50" s="144" t="s">
        <v>592</v>
      </c>
      <c r="D50" s="144">
        <v>315.38</v>
      </c>
      <c r="E50" s="144" t="s">
        <v>594</v>
      </c>
      <c r="F50" s="144" t="s">
        <v>630</v>
      </c>
      <c r="G50" s="146"/>
      <c r="H50" s="146"/>
      <c r="I50" t="s">
        <v>1108</v>
      </c>
    </row>
    <row r="51" spans="1:10" x14ac:dyDescent="0.2">
      <c r="A51" s="144" t="s">
        <v>880</v>
      </c>
      <c r="B51" s="145">
        <v>43650</v>
      </c>
      <c r="C51" s="144" t="s">
        <v>592</v>
      </c>
      <c r="D51" s="144">
        <v>315.38</v>
      </c>
      <c r="E51" s="144" t="s">
        <v>594</v>
      </c>
      <c r="F51" s="144" t="s">
        <v>627</v>
      </c>
      <c r="I51" t="s">
        <v>1108</v>
      </c>
    </row>
    <row r="52" spans="1:10" x14ac:dyDescent="0.2">
      <c r="A52" s="144" t="s">
        <v>880</v>
      </c>
      <c r="B52" s="145">
        <v>43650</v>
      </c>
      <c r="C52" s="144" t="s">
        <v>592</v>
      </c>
      <c r="D52" s="144">
        <v>315.38</v>
      </c>
      <c r="E52" s="144" t="s">
        <v>594</v>
      </c>
      <c r="F52" s="144" t="s">
        <v>628</v>
      </c>
      <c r="I52" t="s">
        <v>1108</v>
      </c>
      <c r="J52" s="146"/>
    </row>
    <row r="53" spans="1:10" x14ac:dyDescent="0.2">
      <c r="A53" s="144" t="s">
        <v>880</v>
      </c>
      <c r="B53" s="145">
        <v>43650</v>
      </c>
      <c r="C53" s="144" t="s">
        <v>592</v>
      </c>
      <c r="D53" s="144">
        <v>279.68</v>
      </c>
      <c r="E53" s="144" t="s">
        <v>594</v>
      </c>
      <c r="F53" s="144" t="s">
        <v>633</v>
      </c>
      <c r="I53" t="s">
        <v>1108</v>
      </c>
      <c r="J53" s="146"/>
    </row>
    <row r="54" spans="1:10" x14ac:dyDescent="0.2">
      <c r="A54" s="144" t="s">
        <v>880</v>
      </c>
      <c r="B54" s="145">
        <v>43650</v>
      </c>
      <c r="C54" s="144" t="s">
        <v>592</v>
      </c>
      <c r="D54" s="144">
        <v>250.68</v>
      </c>
      <c r="E54" s="144" t="s">
        <v>594</v>
      </c>
      <c r="F54" s="144" t="s">
        <v>625</v>
      </c>
      <c r="I54" t="s">
        <v>1108</v>
      </c>
    </row>
    <row r="55" spans="1:10" x14ac:dyDescent="0.2">
      <c r="A55" s="144" t="s">
        <v>880</v>
      </c>
      <c r="B55" s="145">
        <v>43650</v>
      </c>
      <c r="C55" s="144" t="s">
        <v>592</v>
      </c>
      <c r="D55" s="144">
        <v>141.94999999999999</v>
      </c>
      <c r="E55" s="144" t="s">
        <v>594</v>
      </c>
      <c r="F55" s="144" t="s">
        <v>632</v>
      </c>
      <c r="I55" t="s">
        <v>1108</v>
      </c>
    </row>
    <row r="56" spans="1:10" x14ac:dyDescent="0.2">
      <c r="A56" s="144" t="s">
        <v>880</v>
      </c>
      <c r="B56" s="145">
        <v>43650</v>
      </c>
      <c r="C56" s="144" t="s">
        <v>592</v>
      </c>
      <c r="D56" s="144">
        <v>139.02000000000001</v>
      </c>
      <c r="E56" s="144" t="s">
        <v>594</v>
      </c>
      <c r="F56" s="144" t="s">
        <v>637</v>
      </c>
      <c r="I56" t="s">
        <v>1108</v>
      </c>
    </row>
    <row r="57" spans="1:10" x14ac:dyDescent="0.2">
      <c r="A57" s="144" t="s">
        <v>880</v>
      </c>
      <c r="B57" s="145">
        <v>43650</v>
      </c>
      <c r="C57" s="144" t="s">
        <v>592</v>
      </c>
      <c r="D57" s="144">
        <v>128.9</v>
      </c>
      <c r="E57" s="144" t="s">
        <v>594</v>
      </c>
      <c r="F57" s="144" t="s">
        <v>636</v>
      </c>
      <c r="I57" t="s">
        <v>1108</v>
      </c>
    </row>
    <row r="58" spans="1:10" x14ac:dyDescent="0.2">
      <c r="A58" s="144" t="s">
        <v>880</v>
      </c>
      <c r="B58" s="145">
        <v>43650</v>
      </c>
      <c r="C58" s="144" t="s">
        <v>592</v>
      </c>
      <c r="D58" s="144">
        <v>12.08</v>
      </c>
      <c r="E58" s="144" t="s">
        <v>594</v>
      </c>
      <c r="F58" s="144" t="s">
        <v>626</v>
      </c>
      <c r="H58" s="146"/>
      <c r="I58" t="s">
        <v>1108</v>
      </c>
    </row>
    <row r="59" spans="1:10" x14ac:dyDescent="0.2">
      <c r="A59" s="144" t="s">
        <v>880</v>
      </c>
      <c r="B59" s="145">
        <v>43650</v>
      </c>
      <c r="C59" s="144" t="s">
        <v>592</v>
      </c>
      <c r="D59" s="144">
        <v>-9.57</v>
      </c>
      <c r="E59" s="144" t="s">
        <v>593</v>
      </c>
      <c r="F59" s="144" t="s">
        <v>899</v>
      </c>
      <c r="G59" s="146"/>
      <c r="H59" s="146"/>
      <c r="I59" t="s">
        <v>1108</v>
      </c>
    </row>
    <row r="60" spans="1:10" x14ac:dyDescent="0.2">
      <c r="A60" s="144" t="s">
        <v>880</v>
      </c>
      <c r="B60" s="145">
        <v>43650</v>
      </c>
      <c r="C60" s="144" t="s">
        <v>592</v>
      </c>
      <c r="D60" s="144">
        <v>-3.18</v>
      </c>
      <c r="E60" s="144" t="s">
        <v>593</v>
      </c>
      <c r="F60" s="144" t="s">
        <v>900</v>
      </c>
      <c r="G60" s="146"/>
      <c r="I60" t="s">
        <v>1108</v>
      </c>
    </row>
    <row r="61" spans="1:10" x14ac:dyDescent="0.2">
      <c r="A61" s="144" t="s">
        <v>880</v>
      </c>
      <c r="B61" s="145">
        <v>43650</v>
      </c>
      <c r="C61" s="144" t="s">
        <v>592</v>
      </c>
      <c r="D61" s="144">
        <v>-54.27</v>
      </c>
      <c r="E61" s="144" t="s">
        <v>604</v>
      </c>
      <c r="F61" s="144" t="s">
        <v>901</v>
      </c>
      <c r="I61" t="s">
        <v>1108</v>
      </c>
      <c r="J61" s="146"/>
    </row>
    <row r="62" spans="1:10" x14ac:dyDescent="0.2">
      <c r="A62" s="144" t="s">
        <v>880</v>
      </c>
      <c r="B62" s="145">
        <v>43651</v>
      </c>
      <c r="C62" s="144" t="s">
        <v>592</v>
      </c>
      <c r="D62" s="144">
        <v>-1700</v>
      </c>
      <c r="E62" s="144" t="s">
        <v>660</v>
      </c>
      <c r="F62" s="144" t="s">
        <v>902</v>
      </c>
      <c r="G62" s="146" t="s">
        <v>575</v>
      </c>
      <c r="H62" s="146" t="s">
        <v>1076</v>
      </c>
      <c r="I62" t="s">
        <v>1109</v>
      </c>
      <c r="J62" s="146"/>
    </row>
    <row r="63" spans="1:10" x14ac:dyDescent="0.2">
      <c r="A63" s="144" t="s">
        <v>880</v>
      </c>
      <c r="B63" s="145">
        <v>43654</v>
      </c>
      <c r="C63" s="144" t="s">
        <v>592</v>
      </c>
      <c r="D63" s="144">
        <v>-25</v>
      </c>
      <c r="E63" s="144" t="s">
        <v>593</v>
      </c>
      <c r="F63" s="146" t="s">
        <v>903</v>
      </c>
      <c r="I63" t="s">
        <v>1108</v>
      </c>
      <c r="J63" s="146"/>
    </row>
    <row r="64" spans="1:10" x14ac:dyDescent="0.2">
      <c r="A64" s="144" t="s">
        <v>880</v>
      </c>
      <c r="B64" s="145">
        <v>43654</v>
      </c>
      <c r="C64" s="144" t="s">
        <v>592</v>
      </c>
      <c r="D64" s="144">
        <v>-19.149999999999999</v>
      </c>
      <c r="E64" s="144" t="s">
        <v>593</v>
      </c>
      <c r="F64" s="144" t="s">
        <v>904</v>
      </c>
      <c r="I64" t="s">
        <v>1108</v>
      </c>
      <c r="J64" s="146"/>
    </row>
    <row r="65" spans="1:10" x14ac:dyDescent="0.2">
      <c r="A65" s="144" t="s">
        <v>880</v>
      </c>
      <c r="B65" s="145">
        <v>43654</v>
      </c>
      <c r="C65" s="144" t="s">
        <v>592</v>
      </c>
      <c r="D65" s="144">
        <v>-15.83</v>
      </c>
      <c r="E65" s="144" t="s">
        <v>593</v>
      </c>
      <c r="F65" s="144" t="s">
        <v>905</v>
      </c>
      <c r="I65" t="s">
        <v>1108</v>
      </c>
      <c r="J65" s="146"/>
    </row>
    <row r="66" spans="1:10" x14ac:dyDescent="0.2">
      <c r="A66" s="144" t="s">
        <v>880</v>
      </c>
      <c r="B66" s="145">
        <v>43654</v>
      </c>
      <c r="C66" s="144" t="s">
        <v>592</v>
      </c>
      <c r="D66" s="144">
        <v>-3.5</v>
      </c>
      <c r="E66" s="144" t="s">
        <v>593</v>
      </c>
      <c r="F66" s="144" t="s">
        <v>906</v>
      </c>
      <c r="I66" t="s">
        <v>1108</v>
      </c>
      <c r="J66" s="146"/>
    </row>
    <row r="67" spans="1:10" x14ac:dyDescent="0.2">
      <c r="A67" s="144" t="s">
        <v>880</v>
      </c>
      <c r="B67" s="145">
        <v>43654</v>
      </c>
      <c r="C67" s="144" t="s">
        <v>592</v>
      </c>
      <c r="D67" s="144">
        <v>-168</v>
      </c>
      <c r="E67" s="144" t="s">
        <v>593</v>
      </c>
      <c r="F67" s="144" t="s">
        <v>907</v>
      </c>
      <c r="H67" s="148"/>
      <c r="I67" t="s">
        <v>1108</v>
      </c>
    </row>
    <row r="68" spans="1:10" x14ac:dyDescent="0.2">
      <c r="A68" s="144" t="s">
        <v>880</v>
      </c>
      <c r="B68" s="145">
        <v>43654</v>
      </c>
      <c r="C68" s="144" t="s">
        <v>592</v>
      </c>
      <c r="D68" s="144">
        <v>-130.47999999999999</v>
      </c>
      <c r="E68" s="144" t="s">
        <v>593</v>
      </c>
      <c r="F68" s="144" t="s">
        <v>908</v>
      </c>
      <c r="I68" t="s">
        <v>1108</v>
      </c>
    </row>
    <row r="69" spans="1:10" x14ac:dyDescent="0.2">
      <c r="A69" s="144" t="s">
        <v>880</v>
      </c>
      <c r="B69" s="145">
        <v>43654</v>
      </c>
      <c r="C69" s="144" t="s">
        <v>592</v>
      </c>
      <c r="D69" s="144">
        <v>-73.5</v>
      </c>
      <c r="E69" s="144" t="s">
        <v>593</v>
      </c>
      <c r="F69" s="144" t="s">
        <v>909</v>
      </c>
      <c r="H69" s="148"/>
      <c r="I69" t="s">
        <v>1108</v>
      </c>
      <c r="J69" s="146"/>
    </row>
    <row r="70" spans="1:10" x14ac:dyDescent="0.2">
      <c r="A70" s="144" t="s">
        <v>880</v>
      </c>
      <c r="B70" s="145">
        <v>43654</v>
      </c>
      <c r="C70" s="144" t="s">
        <v>592</v>
      </c>
      <c r="D70" s="144">
        <v>-35.14</v>
      </c>
      <c r="E70" s="144" t="s">
        <v>593</v>
      </c>
      <c r="F70" s="144" t="s">
        <v>910</v>
      </c>
      <c r="I70" t="s">
        <v>1108</v>
      </c>
      <c r="J70" s="146"/>
    </row>
    <row r="71" spans="1:10" x14ac:dyDescent="0.2">
      <c r="A71" s="144" t="s">
        <v>880</v>
      </c>
      <c r="B71" s="145">
        <v>43654</v>
      </c>
      <c r="C71" s="144" t="s">
        <v>592</v>
      </c>
      <c r="D71" s="144">
        <v>-16.239999999999998</v>
      </c>
      <c r="E71" s="144" t="s">
        <v>593</v>
      </c>
      <c r="F71" s="144" t="s">
        <v>908</v>
      </c>
      <c r="G71" s="146"/>
      <c r="I71" t="s">
        <v>1108</v>
      </c>
      <c r="J71" s="146"/>
    </row>
    <row r="72" spans="1:10" x14ac:dyDescent="0.2">
      <c r="A72" s="144" t="s">
        <v>880</v>
      </c>
      <c r="B72" s="145">
        <v>43654</v>
      </c>
      <c r="C72" s="144" t="s">
        <v>592</v>
      </c>
      <c r="D72" s="144">
        <v>-7.99</v>
      </c>
      <c r="E72" s="144" t="s">
        <v>593</v>
      </c>
      <c r="F72" s="144" t="s">
        <v>911</v>
      </c>
      <c r="G72" s="146"/>
      <c r="H72" s="146"/>
      <c r="I72" t="s">
        <v>1108</v>
      </c>
    </row>
    <row r="73" spans="1:10" x14ac:dyDescent="0.2">
      <c r="A73" s="144" t="s">
        <v>880</v>
      </c>
      <c r="B73" s="145">
        <v>43655</v>
      </c>
      <c r="C73" s="144" t="s">
        <v>592</v>
      </c>
      <c r="D73" s="144">
        <v>-19.8</v>
      </c>
      <c r="E73" s="144" t="s">
        <v>593</v>
      </c>
      <c r="F73" s="144" t="s">
        <v>912</v>
      </c>
      <c r="G73" s="52" t="s">
        <v>561</v>
      </c>
      <c r="H73" s="148" t="s">
        <v>1077</v>
      </c>
      <c r="I73" t="s">
        <v>1109</v>
      </c>
      <c r="J73" s="146"/>
    </row>
    <row r="74" spans="1:10" x14ac:dyDescent="0.2">
      <c r="A74" s="144" t="s">
        <v>880</v>
      </c>
      <c r="B74" s="145">
        <v>43655</v>
      </c>
      <c r="C74" s="144" t="s">
        <v>592</v>
      </c>
      <c r="D74" s="144">
        <v>-99.95</v>
      </c>
      <c r="E74" s="144" t="s">
        <v>593</v>
      </c>
      <c r="F74" s="144" t="s">
        <v>913</v>
      </c>
      <c r="H74" s="146"/>
      <c r="I74" t="s">
        <v>1108</v>
      </c>
    </row>
    <row r="75" spans="1:10" x14ac:dyDescent="0.2">
      <c r="A75" s="144" t="s">
        <v>880</v>
      </c>
      <c r="B75" s="145">
        <v>43655</v>
      </c>
      <c r="C75" s="144" t="s">
        <v>592</v>
      </c>
      <c r="D75" s="144">
        <v>-71.989999999999995</v>
      </c>
      <c r="E75" s="144" t="s">
        <v>593</v>
      </c>
      <c r="F75" s="144" t="s">
        <v>914</v>
      </c>
      <c r="I75" t="s">
        <v>1108</v>
      </c>
    </row>
    <row r="76" spans="1:10" x14ac:dyDescent="0.2">
      <c r="A76" s="144" t="s">
        <v>880</v>
      </c>
      <c r="B76" s="145">
        <v>43655</v>
      </c>
      <c r="C76" s="144" t="s">
        <v>592</v>
      </c>
      <c r="D76" s="144">
        <v>-21.97</v>
      </c>
      <c r="E76" s="144" t="s">
        <v>604</v>
      </c>
      <c r="F76" s="144" t="s">
        <v>634</v>
      </c>
      <c r="I76" t="s">
        <v>1110</v>
      </c>
    </row>
    <row r="77" spans="1:10" x14ac:dyDescent="0.2">
      <c r="A77" s="144" t="s">
        <v>880</v>
      </c>
      <c r="B77" s="145">
        <v>43656</v>
      </c>
      <c r="C77" s="144" t="s">
        <v>592</v>
      </c>
      <c r="D77" s="144">
        <v>458</v>
      </c>
      <c r="E77" s="144" t="s">
        <v>594</v>
      </c>
      <c r="F77" s="144" t="s">
        <v>624</v>
      </c>
      <c r="H77" s="146"/>
      <c r="I77" t="s">
        <v>1108</v>
      </c>
      <c r="J77" s="146"/>
    </row>
    <row r="78" spans="1:10" x14ac:dyDescent="0.2">
      <c r="A78" s="144" t="s">
        <v>880</v>
      </c>
      <c r="B78" s="145">
        <v>43656</v>
      </c>
      <c r="C78" s="144" t="s">
        <v>592</v>
      </c>
      <c r="D78" s="144">
        <v>410.22</v>
      </c>
      <c r="E78" s="144" t="s">
        <v>594</v>
      </c>
      <c r="F78" s="144" t="s">
        <v>626</v>
      </c>
      <c r="H78" s="148"/>
      <c r="I78" t="s">
        <v>1108</v>
      </c>
    </row>
    <row r="79" spans="1:10" x14ac:dyDescent="0.2">
      <c r="A79" s="144" t="s">
        <v>880</v>
      </c>
      <c r="B79" s="145">
        <v>43656</v>
      </c>
      <c r="C79" s="144" t="s">
        <v>592</v>
      </c>
      <c r="D79" s="144">
        <v>297.60000000000002</v>
      </c>
      <c r="E79" s="144" t="s">
        <v>594</v>
      </c>
      <c r="F79" s="144" t="s">
        <v>632</v>
      </c>
      <c r="H79" s="148"/>
      <c r="I79" t="s">
        <v>1108</v>
      </c>
    </row>
    <row r="80" spans="1:10" x14ac:dyDescent="0.2">
      <c r="A80" s="144" t="s">
        <v>880</v>
      </c>
      <c r="B80" s="145">
        <v>43656</v>
      </c>
      <c r="C80" s="144" t="s">
        <v>592</v>
      </c>
      <c r="D80" s="144">
        <v>-103.25</v>
      </c>
      <c r="E80" s="144" t="s">
        <v>604</v>
      </c>
      <c r="F80" s="144" t="s">
        <v>635</v>
      </c>
      <c r="H80" s="148"/>
      <c r="I80" t="s">
        <v>1110</v>
      </c>
      <c r="J80" s="148"/>
    </row>
    <row r="81" spans="1:10" x14ac:dyDescent="0.2">
      <c r="A81" s="144" t="s">
        <v>880</v>
      </c>
      <c r="B81" s="145">
        <v>43657</v>
      </c>
      <c r="C81" s="144" t="s">
        <v>592</v>
      </c>
      <c r="D81" s="144">
        <v>179.6</v>
      </c>
      <c r="E81" s="144" t="s">
        <v>594</v>
      </c>
      <c r="F81" s="144" t="s">
        <v>595</v>
      </c>
      <c r="G81" s="146"/>
      <c r="H81" s="146"/>
      <c r="I81" t="s">
        <v>1108</v>
      </c>
    </row>
    <row r="82" spans="1:10" x14ac:dyDescent="0.2">
      <c r="A82" s="144" t="s">
        <v>880</v>
      </c>
      <c r="B82" s="145">
        <v>43657</v>
      </c>
      <c r="C82" s="144" t="s">
        <v>592</v>
      </c>
      <c r="D82" s="144">
        <v>-12.47</v>
      </c>
      <c r="E82" s="144" t="s">
        <v>593</v>
      </c>
      <c r="F82" s="144" t="s">
        <v>915</v>
      </c>
      <c r="H82" s="148"/>
      <c r="I82" t="s">
        <v>1108</v>
      </c>
    </row>
    <row r="83" spans="1:10" x14ac:dyDescent="0.2">
      <c r="A83" s="144" t="s">
        <v>880</v>
      </c>
      <c r="B83" s="145">
        <v>43657</v>
      </c>
      <c r="C83" s="144" t="s">
        <v>592</v>
      </c>
      <c r="D83" s="144">
        <v>-10</v>
      </c>
      <c r="E83" s="144" t="s">
        <v>655</v>
      </c>
      <c r="F83" s="144" t="s">
        <v>916</v>
      </c>
      <c r="G83" s="146"/>
      <c r="H83" s="146"/>
      <c r="I83" t="s">
        <v>1108</v>
      </c>
    </row>
    <row r="84" spans="1:10" x14ac:dyDescent="0.2">
      <c r="A84" s="144" t="s">
        <v>880</v>
      </c>
      <c r="B84" s="145">
        <v>43657</v>
      </c>
      <c r="C84" s="144" t="s">
        <v>592</v>
      </c>
      <c r="D84" s="144">
        <v>-61.5</v>
      </c>
      <c r="E84" s="144" t="s">
        <v>593</v>
      </c>
      <c r="F84" s="144" t="s">
        <v>917</v>
      </c>
      <c r="I84" t="s">
        <v>1108</v>
      </c>
    </row>
    <row r="85" spans="1:10" x14ac:dyDescent="0.2">
      <c r="A85" s="144" t="s">
        <v>880</v>
      </c>
      <c r="B85" s="145">
        <v>43658</v>
      </c>
      <c r="C85" s="144" t="s">
        <v>592</v>
      </c>
      <c r="D85" s="144">
        <v>164.72</v>
      </c>
      <c r="E85" s="144" t="s">
        <v>707</v>
      </c>
      <c r="F85" s="144" t="s">
        <v>918</v>
      </c>
      <c r="I85" t="s">
        <v>1108</v>
      </c>
    </row>
    <row r="86" spans="1:10" x14ac:dyDescent="0.2">
      <c r="A86" s="144" t="s">
        <v>880</v>
      </c>
      <c r="B86" s="145">
        <v>43658</v>
      </c>
      <c r="C86" s="144" t="s">
        <v>592</v>
      </c>
      <c r="D86" s="144">
        <v>-900</v>
      </c>
      <c r="E86" s="144" t="s">
        <v>593</v>
      </c>
      <c r="F86" s="144" t="s">
        <v>919</v>
      </c>
      <c r="G86" s="52" t="s">
        <v>500</v>
      </c>
      <c r="H86" s="146" t="s">
        <v>1094</v>
      </c>
      <c r="I86" t="s">
        <v>1109</v>
      </c>
    </row>
    <row r="87" spans="1:10" x14ac:dyDescent="0.2">
      <c r="A87" s="144" t="s">
        <v>880</v>
      </c>
      <c r="B87" s="145">
        <v>43658</v>
      </c>
      <c r="C87" s="144" t="s">
        <v>592</v>
      </c>
      <c r="D87" s="144">
        <v>-500</v>
      </c>
      <c r="E87" s="144" t="s">
        <v>593</v>
      </c>
      <c r="F87" s="144" t="s">
        <v>919</v>
      </c>
      <c r="G87" s="52" t="s">
        <v>478</v>
      </c>
      <c r="H87" s="148" t="s">
        <v>1093</v>
      </c>
      <c r="I87" t="s">
        <v>1109</v>
      </c>
      <c r="J87" s="146"/>
    </row>
    <row r="88" spans="1:10" x14ac:dyDescent="0.2">
      <c r="A88" s="144" t="s">
        <v>880</v>
      </c>
      <c r="B88" s="145">
        <v>43658</v>
      </c>
      <c r="C88" s="144" t="s">
        <v>592</v>
      </c>
      <c r="D88" s="144">
        <v>-190</v>
      </c>
      <c r="E88" s="144" t="s">
        <v>593</v>
      </c>
      <c r="F88" s="144" t="s">
        <v>920</v>
      </c>
      <c r="G88" s="52" t="s">
        <v>497</v>
      </c>
      <c r="H88" s="146" t="s">
        <v>1097</v>
      </c>
      <c r="I88" t="s">
        <v>1109</v>
      </c>
      <c r="J88" s="146"/>
    </row>
    <row r="89" spans="1:10" x14ac:dyDescent="0.2">
      <c r="A89" s="144" t="s">
        <v>880</v>
      </c>
      <c r="B89" s="145">
        <v>43658</v>
      </c>
      <c r="C89" s="144" t="s">
        <v>592</v>
      </c>
      <c r="D89" s="144">
        <v>-45</v>
      </c>
      <c r="E89" s="144" t="s">
        <v>593</v>
      </c>
      <c r="F89" s="144" t="s">
        <v>921</v>
      </c>
      <c r="G89" s="52" t="s">
        <v>471</v>
      </c>
      <c r="H89" s="148" t="s">
        <v>1096</v>
      </c>
      <c r="I89" t="s">
        <v>1109</v>
      </c>
      <c r="J89" s="146"/>
    </row>
    <row r="90" spans="1:10" x14ac:dyDescent="0.2">
      <c r="A90" s="144" t="s">
        <v>880</v>
      </c>
      <c r="B90" s="145">
        <v>43658</v>
      </c>
      <c r="C90" s="144" t="s">
        <v>592</v>
      </c>
      <c r="D90" s="144">
        <v>-45</v>
      </c>
      <c r="E90" s="144" t="s">
        <v>593</v>
      </c>
      <c r="F90" s="146" t="s">
        <v>922</v>
      </c>
      <c r="G90" s="52" t="s">
        <v>559</v>
      </c>
      <c r="H90" s="146" t="s">
        <v>1096</v>
      </c>
      <c r="I90" t="s">
        <v>1109</v>
      </c>
      <c r="J90" s="146"/>
    </row>
    <row r="91" spans="1:10" x14ac:dyDescent="0.2">
      <c r="A91" s="144" t="s">
        <v>880</v>
      </c>
      <c r="B91" s="145">
        <v>43658</v>
      </c>
      <c r="C91" s="144" t="s">
        <v>592</v>
      </c>
      <c r="D91" s="144">
        <v>-29</v>
      </c>
      <c r="E91" s="144" t="s">
        <v>593</v>
      </c>
      <c r="F91" s="146" t="s">
        <v>923</v>
      </c>
      <c r="G91" s="52" t="s">
        <v>473</v>
      </c>
      <c r="H91" s="148" t="s">
        <v>1095</v>
      </c>
      <c r="I91" t="s">
        <v>1109</v>
      </c>
      <c r="J91" s="146"/>
    </row>
    <row r="92" spans="1:10" x14ac:dyDescent="0.2">
      <c r="A92" s="144" t="s">
        <v>880</v>
      </c>
      <c r="B92" s="145">
        <v>43658</v>
      </c>
      <c r="C92" s="144" t="s">
        <v>592</v>
      </c>
      <c r="D92" s="144">
        <v>-30</v>
      </c>
      <c r="E92" s="144" t="s">
        <v>593</v>
      </c>
      <c r="F92" s="144" t="s">
        <v>924</v>
      </c>
      <c r="G92" s="146"/>
      <c r="H92" s="146"/>
      <c r="I92" t="s">
        <v>1108</v>
      </c>
    </row>
    <row r="93" spans="1:10" x14ac:dyDescent="0.2">
      <c r="A93" s="144" t="s">
        <v>880</v>
      </c>
      <c r="B93" s="145">
        <v>43658</v>
      </c>
      <c r="C93" s="144" t="s">
        <v>592</v>
      </c>
      <c r="D93" s="144">
        <v>-27.76</v>
      </c>
      <c r="E93" s="144" t="s">
        <v>593</v>
      </c>
      <c r="F93" s="146" t="s">
        <v>640</v>
      </c>
      <c r="I93" t="s">
        <v>1108</v>
      </c>
      <c r="J93" s="146"/>
    </row>
    <row r="94" spans="1:10" x14ac:dyDescent="0.2">
      <c r="A94" s="144" t="s">
        <v>880</v>
      </c>
      <c r="B94" s="145">
        <v>43658</v>
      </c>
      <c r="C94" s="144" t="s">
        <v>592</v>
      </c>
      <c r="D94" s="144">
        <v>-24.05</v>
      </c>
      <c r="E94" s="144" t="s">
        <v>593</v>
      </c>
      <c r="F94" s="144" t="s">
        <v>924</v>
      </c>
      <c r="H94" s="148"/>
      <c r="I94" t="s">
        <v>1108</v>
      </c>
      <c r="J94" s="148"/>
    </row>
    <row r="95" spans="1:10" x14ac:dyDescent="0.2">
      <c r="A95" s="144" t="s">
        <v>880</v>
      </c>
      <c r="B95" s="145">
        <v>43658</v>
      </c>
      <c r="C95" s="144" t="s">
        <v>592</v>
      </c>
      <c r="D95" s="144">
        <v>-19.98</v>
      </c>
      <c r="E95" s="144" t="s">
        <v>593</v>
      </c>
      <c r="F95" s="144" t="s">
        <v>640</v>
      </c>
      <c r="G95" s="146"/>
      <c r="I95" t="s">
        <v>1108</v>
      </c>
    </row>
    <row r="96" spans="1:10" x14ac:dyDescent="0.2">
      <c r="A96" s="144" t="s">
        <v>880</v>
      </c>
      <c r="B96" s="145">
        <v>43658</v>
      </c>
      <c r="C96" s="144" t="s">
        <v>592</v>
      </c>
      <c r="D96" s="144">
        <v>-18.28</v>
      </c>
      <c r="E96" s="144" t="s">
        <v>593</v>
      </c>
      <c r="F96" s="144" t="s">
        <v>925</v>
      </c>
      <c r="I96" t="s">
        <v>1108</v>
      </c>
    </row>
    <row r="97" spans="1:10" x14ac:dyDescent="0.2">
      <c r="A97" s="144" t="s">
        <v>880</v>
      </c>
      <c r="B97" s="145">
        <v>43658</v>
      </c>
      <c r="C97" s="144" t="s">
        <v>592</v>
      </c>
      <c r="D97" s="144">
        <v>-4.49</v>
      </c>
      <c r="E97" s="144" t="s">
        <v>593</v>
      </c>
      <c r="F97" s="144" t="s">
        <v>926</v>
      </c>
      <c r="I97" t="s">
        <v>1108</v>
      </c>
    </row>
    <row r="98" spans="1:10" x14ac:dyDescent="0.2">
      <c r="A98" s="144" t="s">
        <v>880</v>
      </c>
      <c r="B98" s="145">
        <v>43658</v>
      </c>
      <c r="C98" s="144" t="s">
        <v>592</v>
      </c>
      <c r="D98" s="144">
        <v>-110.7</v>
      </c>
      <c r="E98" s="144" t="s">
        <v>593</v>
      </c>
      <c r="F98" s="144" t="s">
        <v>927</v>
      </c>
      <c r="I98" t="s">
        <v>1108</v>
      </c>
    </row>
    <row r="99" spans="1:10" x14ac:dyDescent="0.2">
      <c r="A99" s="144" t="s">
        <v>880</v>
      </c>
      <c r="B99" s="145">
        <v>43658</v>
      </c>
      <c r="C99" s="144" t="s">
        <v>592</v>
      </c>
      <c r="D99" s="144">
        <v>-56.05</v>
      </c>
      <c r="E99" s="144" t="s">
        <v>593</v>
      </c>
      <c r="F99" s="146" t="s">
        <v>928</v>
      </c>
      <c r="G99" s="146"/>
      <c r="H99" s="146"/>
      <c r="I99" t="s">
        <v>1108</v>
      </c>
      <c r="J99" s="146"/>
    </row>
    <row r="100" spans="1:10" x14ac:dyDescent="0.2">
      <c r="A100" s="144" t="s">
        <v>880</v>
      </c>
      <c r="B100" s="145">
        <v>43658</v>
      </c>
      <c r="C100" s="144" t="s">
        <v>592</v>
      </c>
      <c r="D100" s="144">
        <v>-50.77</v>
      </c>
      <c r="E100" s="144" t="s">
        <v>593</v>
      </c>
      <c r="F100" s="144" t="s">
        <v>929</v>
      </c>
      <c r="I100" t="s">
        <v>1108</v>
      </c>
    </row>
    <row r="101" spans="1:10" x14ac:dyDescent="0.2">
      <c r="A101" s="144" t="s">
        <v>880</v>
      </c>
      <c r="B101" s="145">
        <v>43658</v>
      </c>
      <c r="C101" s="144" t="s">
        <v>592</v>
      </c>
      <c r="D101" s="144">
        <v>-42.05</v>
      </c>
      <c r="E101" s="144" t="s">
        <v>593</v>
      </c>
      <c r="F101" s="144" t="s">
        <v>930</v>
      </c>
      <c r="H101" s="148"/>
      <c r="I101" t="s">
        <v>1108</v>
      </c>
      <c r="J101" s="146"/>
    </row>
    <row r="102" spans="1:10" x14ac:dyDescent="0.2">
      <c r="A102" s="144" t="s">
        <v>880</v>
      </c>
      <c r="B102" s="145">
        <v>43658</v>
      </c>
      <c r="C102" s="144" t="s">
        <v>592</v>
      </c>
      <c r="D102" s="144">
        <v>-41</v>
      </c>
      <c r="E102" s="144" t="s">
        <v>593</v>
      </c>
      <c r="F102" s="144" t="s">
        <v>931</v>
      </c>
      <c r="H102" s="148"/>
      <c r="I102" t="s">
        <v>1108</v>
      </c>
      <c r="J102" s="146"/>
    </row>
    <row r="103" spans="1:10" x14ac:dyDescent="0.2">
      <c r="A103" s="144" t="s">
        <v>880</v>
      </c>
      <c r="B103" s="145">
        <v>43658</v>
      </c>
      <c r="C103" s="144" t="s">
        <v>592</v>
      </c>
      <c r="D103" s="144">
        <v>-153.87</v>
      </c>
      <c r="E103" s="144" t="s">
        <v>604</v>
      </c>
      <c r="F103" s="144" t="s">
        <v>638</v>
      </c>
      <c r="I103" t="s">
        <v>1110</v>
      </c>
    </row>
    <row r="104" spans="1:10" x14ac:dyDescent="0.2">
      <c r="A104" s="144" t="s">
        <v>880</v>
      </c>
      <c r="B104" s="145">
        <v>43661</v>
      </c>
      <c r="C104" s="144" t="s">
        <v>592</v>
      </c>
      <c r="D104" s="144">
        <v>550.79999999999995</v>
      </c>
      <c r="E104" s="144" t="s">
        <v>594</v>
      </c>
      <c r="F104" s="144" t="s">
        <v>645</v>
      </c>
      <c r="G104" s="146"/>
      <c r="I104" t="s">
        <v>1108</v>
      </c>
    </row>
    <row r="105" spans="1:10" x14ac:dyDescent="0.2">
      <c r="A105" s="144" t="s">
        <v>880</v>
      </c>
      <c r="B105" s="145">
        <v>43661</v>
      </c>
      <c r="C105" s="144" t="s">
        <v>592</v>
      </c>
      <c r="D105" s="144">
        <v>318.8</v>
      </c>
      <c r="E105" s="144" t="s">
        <v>594</v>
      </c>
      <c r="F105" s="144" t="s">
        <v>648</v>
      </c>
      <c r="I105" t="s">
        <v>1108</v>
      </c>
    </row>
    <row r="106" spans="1:10" x14ac:dyDescent="0.2">
      <c r="A106" s="144" t="s">
        <v>880</v>
      </c>
      <c r="B106" s="145">
        <v>43661</v>
      </c>
      <c r="C106" s="144" t="s">
        <v>592</v>
      </c>
      <c r="D106" s="144">
        <v>-48</v>
      </c>
      <c r="E106" s="144" t="s">
        <v>593</v>
      </c>
      <c r="F106" s="144" t="s">
        <v>932</v>
      </c>
      <c r="I106" t="s">
        <v>1108</v>
      </c>
    </row>
    <row r="107" spans="1:10" x14ac:dyDescent="0.2">
      <c r="A107" s="144" t="s">
        <v>880</v>
      </c>
      <c r="B107" s="145">
        <v>43661</v>
      </c>
      <c r="C107" s="144" t="s">
        <v>592</v>
      </c>
      <c r="D107" s="144">
        <v>-14.99</v>
      </c>
      <c r="E107" s="144" t="s">
        <v>593</v>
      </c>
      <c r="F107" s="144" t="s">
        <v>933</v>
      </c>
      <c r="H107" s="146"/>
      <c r="I107" t="s">
        <v>1108</v>
      </c>
      <c r="J107" s="146"/>
    </row>
    <row r="108" spans="1:10" x14ac:dyDescent="0.2">
      <c r="A108" s="144" t="s">
        <v>880</v>
      </c>
      <c r="B108" s="145">
        <v>43661</v>
      </c>
      <c r="C108" s="144" t="s">
        <v>592</v>
      </c>
      <c r="D108" s="144">
        <v>-476.44</v>
      </c>
      <c r="E108" s="144" t="s">
        <v>604</v>
      </c>
      <c r="F108" s="144" t="s">
        <v>643</v>
      </c>
      <c r="I108" t="s">
        <v>1108</v>
      </c>
      <c r="J108" s="146"/>
    </row>
    <row r="109" spans="1:10" x14ac:dyDescent="0.2">
      <c r="A109" s="144" t="s">
        <v>880</v>
      </c>
      <c r="B109" s="145">
        <v>43661</v>
      </c>
      <c r="C109" s="144" t="s">
        <v>592</v>
      </c>
      <c r="D109" s="144">
        <v>-242.09</v>
      </c>
      <c r="E109" s="144" t="s">
        <v>604</v>
      </c>
      <c r="F109" s="144" t="s">
        <v>641</v>
      </c>
      <c r="H109" s="146"/>
      <c r="I109" t="s">
        <v>1110</v>
      </c>
      <c r="J109" s="146"/>
    </row>
    <row r="110" spans="1:10" x14ac:dyDescent="0.2">
      <c r="A110" s="144" t="s">
        <v>880</v>
      </c>
      <c r="B110" s="145">
        <v>43661</v>
      </c>
      <c r="C110" s="144" t="s">
        <v>592</v>
      </c>
      <c r="D110" s="144">
        <v>-203.62</v>
      </c>
      <c r="E110" s="144" t="s">
        <v>604</v>
      </c>
      <c r="F110" s="144" t="s">
        <v>642</v>
      </c>
      <c r="H110" s="146"/>
      <c r="I110" t="s">
        <v>1110</v>
      </c>
    </row>
    <row r="111" spans="1:10" x14ac:dyDescent="0.2">
      <c r="A111" s="144" t="s">
        <v>880</v>
      </c>
      <c r="B111" s="145">
        <v>43662</v>
      </c>
      <c r="C111" s="144" t="s">
        <v>592</v>
      </c>
      <c r="D111" s="144">
        <v>283.27</v>
      </c>
      <c r="E111" s="144" t="s">
        <v>594</v>
      </c>
      <c r="F111" s="144" t="s">
        <v>637</v>
      </c>
      <c r="G111" s="147"/>
      <c r="H111" s="146"/>
      <c r="I111" t="s">
        <v>1108</v>
      </c>
    </row>
    <row r="112" spans="1:10" x14ac:dyDescent="0.2">
      <c r="A112" s="144" t="s">
        <v>880</v>
      </c>
      <c r="B112" s="145">
        <v>43662</v>
      </c>
      <c r="C112" s="144" t="s">
        <v>592</v>
      </c>
      <c r="D112" s="144">
        <v>139.19999999999999</v>
      </c>
      <c r="E112" s="144" t="s">
        <v>594</v>
      </c>
      <c r="F112" s="144" t="s">
        <v>595</v>
      </c>
      <c r="G112" s="147"/>
      <c r="H112" s="148"/>
      <c r="I112" t="s">
        <v>1108</v>
      </c>
    </row>
    <row r="113" spans="1:10" x14ac:dyDescent="0.2">
      <c r="A113" s="144" t="s">
        <v>880</v>
      </c>
      <c r="B113" s="145">
        <v>43662</v>
      </c>
      <c r="C113" s="144" t="s">
        <v>592</v>
      </c>
      <c r="D113" s="144">
        <v>-50.5</v>
      </c>
      <c r="E113" s="144" t="s">
        <v>593</v>
      </c>
      <c r="F113" s="144" t="s">
        <v>934</v>
      </c>
      <c r="G113" s="146"/>
      <c r="H113" s="146"/>
      <c r="I113" t="s">
        <v>1108</v>
      </c>
      <c r="J113" s="146"/>
    </row>
    <row r="114" spans="1:10" x14ac:dyDescent="0.2">
      <c r="A114" s="144" t="s">
        <v>880</v>
      </c>
      <c r="B114" s="145">
        <v>43662</v>
      </c>
      <c r="C114" s="144" t="s">
        <v>592</v>
      </c>
      <c r="D114" s="144">
        <v>-16.170000000000002</v>
      </c>
      <c r="E114" s="144" t="s">
        <v>604</v>
      </c>
      <c r="F114" s="144" t="s">
        <v>646</v>
      </c>
      <c r="I114" t="s">
        <v>1110</v>
      </c>
    </row>
    <row r="115" spans="1:10" x14ac:dyDescent="0.2">
      <c r="A115" s="144" t="s">
        <v>880</v>
      </c>
      <c r="B115" s="145">
        <v>43662</v>
      </c>
      <c r="C115" s="144" t="s">
        <v>592</v>
      </c>
      <c r="D115" s="144">
        <v>-217.44</v>
      </c>
      <c r="E115" s="144" t="s">
        <v>604</v>
      </c>
      <c r="F115" s="144" t="s">
        <v>647</v>
      </c>
      <c r="I115" t="s">
        <v>1110</v>
      </c>
    </row>
    <row r="116" spans="1:10" x14ac:dyDescent="0.2">
      <c r="B116" s="151">
        <v>43647</v>
      </c>
      <c r="C116" t="s">
        <v>592</v>
      </c>
      <c r="D116">
        <v>700</v>
      </c>
      <c r="E116" t="s">
        <v>623</v>
      </c>
      <c r="F116" t="s">
        <v>1104</v>
      </c>
      <c r="G116" s="182" t="s">
        <v>489</v>
      </c>
      <c r="H116" s="183" t="s">
        <v>1105</v>
      </c>
      <c r="I116" t="s">
        <v>1111</v>
      </c>
    </row>
    <row r="117" spans="1:10" x14ac:dyDescent="0.2">
      <c r="B117" s="151">
        <v>43647</v>
      </c>
      <c r="C117" t="s">
        <v>592</v>
      </c>
      <c r="D117">
        <v>-700</v>
      </c>
      <c r="E117" t="s">
        <v>623</v>
      </c>
      <c r="F117" t="s">
        <v>1104</v>
      </c>
      <c r="G117" s="182" t="s">
        <v>489</v>
      </c>
      <c r="H117" s="183" t="s">
        <v>1106</v>
      </c>
      <c r="I117" t="s">
        <v>1109</v>
      </c>
    </row>
    <row r="118" spans="1:10" x14ac:dyDescent="0.2">
      <c r="A118" s="144" t="s">
        <v>880</v>
      </c>
      <c r="B118" s="145">
        <v>43663</v>
      </c>
      <c r="C118" s="144" t="s">
        <v>592</v>
      </c>
      <c r="D118" s="144">
        <v>350</v>
      </c>
      <c r="E118" s="144" t="s">
        <v>623</v>
      </c>
      <c r="F118" s="144" t="s">
        <v>935</v>
      </c>
      <c r="G118" s="182" t="s">
        <v>489</v>
      </c>
      <c r="H118" s="183" t="s">
        <v>1103</v>
      </c>
      <c r="I118" t="s">
        <v>1111</v>
      </c>
    </row>
    <row r="119" spans="1:10" x14ac:dyDescent="0.2">
      <c r="A119" s="144" t="s">
        <v>880</v>
      </c>
      <c r="B119" s="145">
        <v>43663</v>
      </c>
      <c r="C119" s="144" t="s">
        <v>592</v>
      </c>
      <c r="D119" s="144">
        <v>504.4</v>
      </c>
      <c r="E119" s="144" t="s">
        <v>594</v>
      </c>
      <c r="F119" s="144" t="s">
        <v>644</v>
      </c>
      <c r="H119" s="148"/>
      <c r="I119" t="s">
        <v>1108</v>
      </c>
      <c r="J119" s="148"/>
    </row>
    <row r="120" spans="1:10" x14ac:dyDescent="0.2">
      <c r="A120" s="144" t="s">
        <v>880</v>
      </c>
      <c r="B120" s="145">
        <v>43663</v>
      </c>
      <c r="C120" s="144" t="s">
        <v>592</v>
      </c>
      <c r="D120" s="144">
        <v>110.66</v>
      </c>
      <c r="E120" s="144" t="s">
        <v>594</v>
      </c>
      <c r="F120" s="144" t="s">
        <v>611</v>
      </c>
      <c r="H120" s="148"/>
      <c r="I120" t="s">
        <v>1108</v>
      </c>
      <c r="J120" s="148"/>
    </row>
    <row r="121" spans="1:10" x14ac:dyDescent="0.2">
      <c r="A121" s="144" t="s">
        <v>880</v>
      </c>
      <c r="B121" s="145">
        <v>43663</v>
      </c>
      <c r="C121" s="144" t="s">
        <v>592</v>
      </c>
      <c r="D121" s="144">
        <v>106.91</v>
      </c>
      <c r="E121" s="144" t="s">
        <v>594</v>
      </c>
      <c r="F121" s="144" t="s">
        <v>627</v>
      </c>
      <c r="I121" t="s">
        <v>1108</v>
      </c>
      <c r="J121" s="146"/>
    </row>
    <row r="122" spans="1:10" x14ac:dyDescent="0.2">
      <c r="A122" s="144" t="s">
        <v>880</v>
      </c>
      <c r="B122" s="145">
        <v>43663</v>
      </c>
      <c r="C122" s="144" t="s">
        <v>592</v>
      </c>
      <c r="D122" s="144">
        <v>-9.99</v>
      </c>
      <c r="E122" s="144" t="s">
        <v>604</v>
      </c>
      <c r="F122" s="144" t="s">
        <v>639</v>
      </c>
      <c r="I122" t="s">
        <v>1108</v>
      </c>
      <c r="J122" s="146"/>
    </row>
    <row r="123" spans="1:10" x14ac:dyDescent="0.2">
      <c r="A123" s="144" t="s">
        <v>880</v>
      </c>
      <c r="B123" s="145">
        <v>43664</v>
      </c>
      <c r="C123" s="144" t="s">
        <v>592</v>
      </c>
      <c r="D123" s="144">
        <v>-159.83000000000001</v>
      </c>
      <c r="E123" s="144" t="s">
        <v>604</v>
      </c>
      <c r="F123" s="144" t="s">
        <v>649</v>
      </c>
      <c r="I123" t="s">
        <v>1110</v>
      </c>
    </row>
    <row r="124" spans="1:10" x14ac:dyDescent="0.2">
      <c r="A124" s="144" t="s">
        <v>880</v>
      </c>
      <c r="B124" s="145">
        <v>43665</v>
      </c>
      <c r="C124" s="144" t="s">
        <v>592</v>
      </c>
      <c r="D124" s="144">
        <v>297.7</v>
      </c>
      <c r="E124" s="144" t="s">
        <v>594</v>
      </c>
      <c r="F124" s="144" t="s">
        <v>636</v>
      </c>
      <c r="H124" s="148"/>
      <c r="I124" t="s">
        <v>1108</v>
      </c>
      <c r="J124" s="146"/>
    </row>
    <row r="125" spans="1:10" x14ac:dyDescent="0.2">
      <c r="A125" s="144" t="s">
        <v>880</v>
      </c>
      <c r="B125" s="145">
        <v>43665</v>
      </c>
      <c r="C125" s="144" t="s">
        <v>592</v>
      </c>
      <c r="D125" s="144">
        <v>128.80000000000001</v>
      </c>
      <c r="E125" s="144" t="s">
        <v>594</v>
      </c>
      <c r="F125" s="144" t="s">
        <v>625</v>
      </c>
      <c r="I125" t="s">
        <v>1108</v>
      </c>
    </row>
    <row r="126" spans="1:10" x14ac:dyDescent="0.2">
      <c r="A126" s="144" t="s">
        <v>880</v>
      </c>
      <c r="B126" s="145">
        <v>43668</v>
      </c>
      <c r="C126" s="144" t="s">
        <v>592</v>
      </c>
      <c r="D126" s="144">
        <v>24</v>
      </c>
      <c r="E126" s="144" t="s">
        <v>936</v>
      </c>
      <c r="F126" s="144" t="s">
        <v>937</v>
      </c>
      <c r="H126" s="148"/>
      <c r="I126" t="s">
        <v>1108</v>
      </c>
      <c r="J126" s="146"/>
    </row>
    <row r="127" spans="1:10" x14ac:dyDescent="0.2">
      <c r="A127" s="144" t="s">
        <v>880</v>
      </c>
      <c r="B127" s="145">
        <v>43668</v>
      </c>
      <c r="C127" s="144" t="s">
        <v>592</v>
      </c>
      <c r="D127" s="144">
        <v>37</v>
      </c>
      <c r="E127" s="144" t="s">
        <v>707</v>
      </c>
      <c r="F127" s="144" t="s">
        <v>938</v>
      </c>
      <c r="I127" t="s">
        <v>1108</v>
      </c>
    </row>
    <row r="128" spans="1:10" x14ac:dyDescent="0.2">
      <c r="A128" s="144" t="s">
        <v>880</v>
      </c>
      <c r="B128" s="145">
        <v>43668</v>
      </c>
      <c r="C128" s="144" t="s">
        <v>592</v>
      </c>
      <c r="D128" s="144">
        <v>-60</v>
      </c>
      <c r="E128" s="144" t="s">
        <v>623</v>
      </c>
      <c r="F128" s="144" t="s">
        <v>939</v>
      </c>
      <c r="G128" s="144" t="s">
        <v>473</v>
      </c>
      <c r="H128" s="148" t="s">
        <v>1075</v>
      </c>
      <c r="I128" t="s">
        <v>1109</v>
      </c>
      <c r="J128" s="146"/>
    </row>
    <row r="129" spans="1:10" x14ac:dyDescent="0.2">
      <c r="A129" s="144" t="s">
        <v>880</v>
      </c>
      <c r="B129" s="145">
        <v>43668</v>
      </c>
      <c r="C129" s="144" t="s">
        <v>592</v>
      </c>
      <c r="D129" s="144">
        <v>-656</v>
      </c>
      <c r="E129" s="144" t="s">
        <v>593</v>
      </c>
      <c r="F129" s="144" t="s">
        <v>940</v>
      </c>
      <c r="G129" s="181" t="s">
        <v>560</v>
      </c>
      <c r="H129" s="148" t="s">
        <v>1080</v>
      </c>
      <c r="I129" t="s">
        <v>1109</v>
      </c>
    </row>
    <row r="130" spans="1:10" x14ac:dyDescent="0.2">
      <c r="A130" s="144" t="s">
        <v>880</v>
      </c>
      <c r="B130" s="145">
        <v>43668</v>
      </c>
      <c r="C130" s="144" t="s">
        <v>592</v>
      </c>
      <c r="D130" s="144">
        <v>-461</v>
      </c>
      <c r="E130" s="144" t="s">
        <v>593</v>
      </c>
      <c r="F130" s="144" t="s">
        <v>941</v>
      </c>
      <c r="G130" s="149" t="s">
        <v>473</v>
      </c>
      <c r="H130" s="148" t="s">
        <v>1098</v>
      </c>
      <c r="I130" t="s">
        <v>1109</v>
      </c>
    </row>
    <row r="131" spans="1:10" x14ac:dyDescent="0.2">
      <c r="A131" s="144" t="s">
        <v>880</v>
      </c>
      <c r="B131" s="145">
        <v>43668</v>
      </c>
      <c r="C131" s="144" t="s">
        <v>592</v>
      </c>
      <c r="D131" s="144">
        <v>-185</v>
      </c>
      <c r="E131" s="144" t="s">
        <v>593</v>
      </c>
      <c r="F131" s="144" t="s">
        <v>942</v>
      </c>
      <c r="G131" s="52" t="s">
        <v>473</v>
      </c>
      <c r="H131" s="148" t="s">
        <v>1099</v>
      </c>
      <c r="I131" t="s">
        <v>1109</v>
      </c>
    </row>
    <row r="132" spans="1:10" x14ac:dyDescent="0.2">
      <c r="A132" s="144" t="s">
        <v>880</v>
      </c>
      <c r="B132" s="145">
        <v>43668</v>
      </c>
      <c r="C132" s="144" t="s">
        <v>592</v>
      </c>
      <c r="D132" s="144">
        <v>-38.549999999999997</v>
      </c>
      <c r="E132" s="144" t="s">
        <v>593</v>
      </c>
      <c r="F132" s="144" t="s">
        <v>943</v>
      </c>
      <c r="I132" t="s">
        <v>1108</v>
      </c>
    </row>
    <row r="133" spans="1:10" x14ac:dyDescent="0.2">
      <c r="A133" s="144" t="s">
        <v>880</v>
      </c>
      <c r="B133" s="145">
        <v>43668</v>
      </c>
      <c r="C133" s="144" t="s">
        <v>592</v>
      </c>
      <c r="D133" s="144">
        <v>-20</v>
      </c>
      <c r="E133" s="144" t="s">
        <v>593</v>
      </c>
      <c r="F133" s="144" t="s">
        <v>944</v>
      </c>
      <c r="H133" s="148"/>
      <c r="I133" t="s">
        <v>1108</v>
      </c>
      <c r="J133" s="148"/>
    </row>
    <row r="134" spans="1:10" x14ac:dyDescent="0.2">
      <c r="A134" s="144" t="s">
        <v>880</v>
      </c>
      <c r="B134" s="145">
        <v>43668</v>
      </c>
      <c r="C134" s="144" t="s">
        <v>592</v>
      </c>
      <c r="D134" s="144">
        <v>-202.32</v>
      </c>
      <c r="E134" s="144" t="s">
        <v>604</v>
      </c>
      <c r="F134" s="144" t="s">
        <v>650</v>
      </c>
      <c r="H134" s="148"/>
      <c r="I134" t="s">
        <v>1110</v>
      </c>
    </row>
    <row r="135" spans="1:10" x14ac:dyDescent="0.2">
      <c r="A135" s="144" t="s">
        <v>880</v>
      </c>
      <c r="B135" s="145">
        <v>43670</v>
      </c>
      <c r="C135" s="144" t="s">
        <v>592</v>
      </c>
      <c r="D135" s="144">
        <v>106.91</v>
      </c>
      <c r="E135" s="144" t="s">
        <v>594</v>
      </c>
      <c r="F135" s="144" t="s">
        <v>628</v>
      </c>
      <c r="I135" t="s">
        <v>1108</v>
      </c>
      <c r="J135" s="146"/>
    </row>
    <row r="136" spans="1:10" x14ac:dyDescent="0.2">
      <c r="A136" s="144" t="s">
        <v>880</v>
      </c>
      <c r="B136" s="145">
        <v>43670</v>
      </c>
      <c r="C136" s="144" t="s">
        <v>592</v>
      </c>
      <c r="D136" s="144">
        <v>-54</v>
      </c>
      <c r="E136" s="144" t="s">
        <v>593</v>
      </c>
      <c r="F136" s="144" t="s">
        <v>945</v>
      </c>
      <c r="G136" s="52" t="s">
        <v>474</v>
      </c>
      <c r="H136" s="148" t="s">
        <v>1100</v>
      </c>
      <c r="I136" t="s">
        <v>1109</v>
      </c>
    </row>
    <row r="137" spans="1:10" x14ac:dyDescent="0.2">
      <c r="A137" s="144" t="s">
        <v>880</v>
      </c>
      <c r="B137" s="145">
        <v>43671</v>
      </c>
      <c r="C137" s="144" t="s">
        <v>592</v>
      </c>
      <c r="D137" s="144">
        <v>232</v>
      </c>
      <c r="E137" s="144" t="s">
        <v>594</v>
      </c>
      <c r="F137" s="144" t="s">
        <v>595</v>
      </c>
      <c r="I137" t="s">
        <v>1108</v>
      </c>
    </row>
    <row r="138" spans="1:10" x14ac:dyDescent="0.2">
      <c r="A138" s="144" t="s">
        <v>880</v>
      </c>
      <c r="B138" s="145">
        <v>43671</v>
      </c>
      <c r="C138" s="144" t="s">
        <v>592</v>
      </c>
      <c r="D138" s="144">
        <v>-102</v>
      </c>
      <c r="E138" s="144" t="s">
        <v>596</v>
      </c>
      <c r="F138" s="144" t="s">
        <v>651</v>
      </c>
      <c r="H138" s="148"/>
      <c r="I138" t="s">
        <v>1108</v>
      </c>
      <c r="J138" s="146"/>
    </row>
    <row r="139" spans="1:10" x14ac:dyDescent="0.2">
      <c r="A139" s="144" t="s">
        <v>880</v>
      </c>
      <c r="B139" s="145">
        <v>43671</v>
      </c>
      <c r="C139" s="144" t="s">
        <v>592</v>
      </c>
      <c r="D139" s="144">
        <v>-31.84</v>
      </c>
      <c r="E139" s="144" t="s">
        <v>604</v>
      </c>
      <c r="F139" s="144" t="s">
        <v>639</v>
      </c>
      <c r="G139" s="146"/>
      <c r="H139" s="146"/>
      <c r="I139" t="s">
        <v>1108</v>
      </c>
      <c r="J139" s="146"/>
    </row>
    <row r="140" spans="1:10" x14ac:dyDescent="0.2">
      <c r="A140" s="144" t="s">
        <v>880</v>
      </c>
      <c r="B140" s="145">
        <v>43675</v>
      </c>
      <c r="C140" s="144" t="s">
        <v>592</v>
      </c>
      <c r="D140" s="144">
        <v>168</v>
      </c>
      <c r="E140" s="144" t="s">
        <v>707</v>
      </c>
      <c r="F140" s="144" t="s">
        <v>946</v>
      </c>
      <c r="H140" s="148"/>
      <c r="I140" t="s">
        <v>1108</v>
      </c>
      <c r="J140" s="146"/>
    </row>
    <row r="141" spans="1:10" x14ac:dyDescent="0.2">
      <c r="A141" s="144" t="s">
        <v>880</v>
      </c>
      <c r="B141" s="145">
        <v>43675</v>
      </c>
      <c r="C141" s="144" t="s">
        <v>592</v>
      </c>
      <c r="D141" s="144">
        <v>41.65</v>
      </c>
      <c r="E141" s="144" t="s">
        <v>707</v>
      </c>
      <c r="F141" s="144" t="s">
        <v>947</v>
      </c>
      <c r="I141" t="s">
        <v>1108</v>
      </c>
    </row>
    <row r="142" spans="1:10" x14ac:dyDescent="0.2">
      <c r="A142" s="144" t="s">
        <v>880</v>
      </c>
      <c r="B142" s="145">
        <v>43675</v>
      </c>
      <c r="C142" s="144" t="s">
        <v>592</v>
      </c>
      <c r="D142" s="144">
        <v>28.5</v>
      </c>
      <c r="E142" s="144" t="s">
        <v>707</v>
      </c>
      <c r="F142" s="146" t="s">
        <v>948</v>
      </c>
      <c r="I142" t="s">
        <v>1108</v>
      </c>
    </row>
    <row r="143" spans="1:10" x14ac:dyDescent="0.2">
      <c r="A143" s="144" t="s">
        <v>880</v>
      </c>
      <c r="B143" s="145">
        <v>43675</v>
      </c>
      <c r="C143" s="144" t="s">
        <v>592</v>
      </c>
      <c r="D143" s="144">
        <v>18</v>
      </c>
      <c r="E143" s="144" t="s">
        <v>707</v>
      </c>
      <c r="F143" s="144" t="s">
        <v>949</v>
      </c>
      <c r="I143" t="s">
        <v>1108</v>
      </c>
    </row>
    <row r="144" spans="1:10" x14ac:dyDescent="0.2">
      <c r="A144" s="144" t="s">
        <v>880</v>
      </c>
      <c r="B144" s="145">
        <v>43675</v>
      </c>
      <c r="C144" s="144" t="s">
        <v>592</v>
      </c>
      <c r="D144" s="144">
        <v>643.6</v>
      </c>
      <c r="E144" s="144" t="s">
        <v>594</v>
      </c>
      <c r="F144" s="144" t="s">
        <v>653</v>
      </c>
      <c r="H144" s="146"/>
      <c r="I144" t="s">
        <v>1108</v>
      </c>
    </row>
    <row r="145" spans="1:10" x14ac:dyDescent="0.2">
      <c r="A145" s="144" t="s">
        <v>880</v>
      </c>
      <c r="B145" s="145">
        <v>43675</v>
      </c>
      <c r="C145" s="144" t="s">
        <v>592</v>
      </c>
      <c r="D145" s="144">
        <v>458</v>
      </c>
      <c r="E145" s="144" t="s">
        <v>594</v>
      </c>
      <c r="F145" s="144" t="s">
        <v>652</v>
      </c>
      <c r="I145" t="s">
        <v>1108</v>
      </c>
    </row>
    <row r="146" spans="1:10" x14ac:dyDescent="0.2">
      <c r="A146" s="144" t="s">
        <v>880</v>
      </c>
      <c r="B146" s="145">
        <v>43675</v>
      </c>
      <c r="C146" s="144" t="s">
        <v>592</v>
      </c>
      <c r="D146" s="144">
        <v>310</v>
      </c>
      <c r="E146" s="144" t="s">
        <v>594</v>
      </c>
      <c r="F146" s="144" t="s">
        <v>609</v>
      </c>
      <c r="I146" t="s">
        <v>1108</v>
      </c>
    </row>
    <row r="147" spans="1:10" x14ac:dyDescent="0.2">
      <c r="A147" s="144" t="s">
        <v>880</v>
      </c>
      <c r="B147" s="145">
        <v>43675</v>
      </c>
      <c r="C147" s="144" t="s">
        <v>592</v>
      </c>
      <c r="D147" s="144">
        <v>-22.67</v>
      </c>
      <c r="E147" s="144" t="s">
        <v>593</v>
      </c>
      <c r="F147" s="144" t="s">
        <v>950</v>
      </c>
      <c r="I147" t="s">
        <v>1108</v>
      </c>
    </row>
    <row r="148" spans="1:10" x14ac:dyDescent="0.2">
      <c r="A148" s="144" t="s">
        <v>880</v>
      </c>
      <c r="B148" s="145">
        <v>43675</v>
      </c>
      <c r="C148" s="144" t="s">
        <v>592</v>
      </c>
      <c r="D148" s="144">
        <v>-10.5</v>
      </c>
      <c r="E148" s="144" t="s">
        <v>593</v>
      </c>
      <c r="F148" s="144" t="s">
        <v>951</v>
      </c>
      <c r="I148" t="s">
        <v>1108</v>
      </c>
    </row>
    <row r="149" spans="1:10" x14ac:dyDescent="0.2">
      <c r="A149" s="144" t="s">
        <v>880</v>
      </c>
      <c r="B149" s="145">
        <v>43675</v>
      </c>
      <c r="C149" s="144" t="s">
        <v>592</v>
      </c>
      <c r="D149" s="144">
        <v>-10.5</v>
      </c>
      <c r="E149" s="144" t="s">
        <v>593</v>
      </c>
      <c r="F149" s="144" t="s">
        <v>952</v>
      </c>
      <c r="I149" t="s">
        <v>1108</v>
      </c>
    </row>
    <row r="150" spans="1:10" x14ac:dyDescent="0.2">
      <c r="A150" s="144" t="s">
        <v>880</v>
      </c>
      <c r="B150" s="145">
        <v>43675</v>
      </c>
      <c r="C150" s="144" t="s">
        <v>592</v>
      </c>
      <c r="D150" s="144">
        <v>-6.6</v>
      </c>
      <c r="E150" s="144" t="s">
        <v>593</v>
      </c>
      <c r="F150" s="144" t="s">
        <v>953</v>
      </c>
      <c r="I150" t="s">
        <v>1108</v>
      </c>
    </row>
    <row r="151" spans="1:10" x14ac:dyDescent="0.2">
      <c r="A151" s="144" t="s">
        <v>880</v>
      </c>
      <c r="B151" s="145">
        <v>43675</v>
      </c>
      <c r="C151" s="144" t="s">
        <v>592</v>
      </c>
      <c r="D151" s="144">
        <v>-50</v>
      </c>
      <c r="E151" s="144" t="s">
        <v>593</v>
      </c>
      <c r="F151" s="144" t="s">
        <v>954</v>
      </c>
      <c r="I151" t="s">
        <v>1108</v>
      </c>
    </row>
    <row r="152" spans="1:10" x14ac:dyDescent="0.2">
      <c r="A152" s="144" t="s">
        <v>880</v>
      </c>
      <c r="B152" s="145">
        <v>43675</v>
      </c>
      <c r="C152" s="144" t="s">
        <v>592</v>
      </c>
      <c r="D152" s="144">
        <v>-142.35</v>
      </c>
      <c r="E152" s="144" t="s">
        <v>604</v>
      </c>
      <c r="F152" s="144" t="s">
        <v>885</v>
      </c>
      <c r="I152" t="s">
        <v>1110</v>
      </c>
    </row>
    <row r="153" spans="1:10" x14ac:dyDescent="0.2">
      <c r="A153" s="144" t="s">
        <v>880</v>
      </c>
      <c r="B153" s="145">
        <v>43676</v>
      </c>
      <c r="C153" s="144" t="s">
        <v>592</v>
      </c>
      <c r="D153" s="144">
        <v>556.79999999999995</v>
      </c>
      <c r="E153" s="144" t="s">
        <v>594</v>
      </c>
      <c r="F153" s="144" t="s">
        <v>653</v>
      </c>
      <c r="H153" s="146"/>
      <c r="I153" t="s">
        <v>1108</v>
      </c>
      <c r="J153" s="146"/>
    </row>
    <row r="154" spans="1:10" x14ac:dyDescent="0.2">
      <c r="A154" s="144" t="s">
        <v>880</v>
      </c>
      <c r="B154" s="145">
        <v>43676</v>
      </c>
      <c r="C154" s="144" t="s">
        <v>592</v>
      </c>
      <c r="D154" s="144">
        <v>142.62</v>
      </c>
      <c r="E154" s="144" t="s">
        <v>594</v>
      </c>
      <c r="F154" s="144" t="s">
        <v>633</v>
      </c>
      <c r="I154" t="s">
        <v>1108</v>
      </c>
      <c r="J154" s="146"/>
    </row>
    <row r="155" spans="1:10" x14ac:dyDescent="0.2">
      <c r="A155" s="144" t="s">
        <v>880</v>
      </c>
      <c r="B155" s="145">
        <v>43676</v>
      </c>
      <c r="C155" s="144" t="s">
        <v>592</v>
      </c>
      <c r="D155" s="144">
        <v>106.91</v>
      </c>
      <c r="E155" s="144" t="s">
        <v>594</v>
      </c>
      <c r="F155" s="144" t="s">
        <v>630</v>
      </c>
      <c r="H155" s="148"/>
      <c r="I155" t="s">
        <v>1108</v>
      </c>
      <c r="J155" s="148"/>
    </row>
    <row r="156" spans="1:10" x14ac:dyDescent="0.2">
      <c r="A156" s="144" t="s">
        <v>880</v>
      </c>
      <c r="B156" s="145">
        <v>43677</v>
      </c>
      <c r="C156" s="144" t="s">
        <v>592</v>
      </c>
      <c r="D156" s="144">
        <v>504.4</v>
      </c>
      <c r="E156" s="144" t="s">
        <v>594</v>
      </c>
      <c r="F156" s="144" t="s">
        <v>887</v>
      </c>
      <c r="I156" t="s">
        <v>1108</v>
      </c>
    </row>
    <row r="157" spans="1:10" x14ac:dyDescent="0.2">
      <c r="A157" s="144" t="s">
        <v>880</v>
      </c>
      <c r="B157" s="145">
        <v>43677</v>
      </c>
      <c r="C157" s="144" t="s">
        <v>592</v>
      </c>
      <c r="D157" s="144">
        <v>226</v>
      </c>
      <c r="E157" s="144" t="s">
        <v>594</v>
      </c>
      <c r="F157" s="144" t="s">
        <v>595</v>
      </c>
      <c r="I157" t="s">
        <v>1108</v>
      </c>
      <c r="J157" s="146"/>
    </row>
    <row r="158" spans="1:10" x14ac:dyDescent="0.2">
      <c r="A158" s="144" t="s">
        <v>880</v>
      </c>
      <c r="B158" s="145">
        <v>43677</v>
      </c>
      <c r="C158" s="144" t="s">
        <v>592</v>
      </c>
      <c r="D158" s="144">
        <v>-173</v>
      </c>
      <c r="E158" s="144" t="s">
        <v>593</v>
      </c>
      <c r="F158" s="144" t="s">
        <v>955</v>
      </c>
      <c r="G158" s="52" t="s">
        <v>489</v>
      </c>
      <c r="H158" s="148" t="s">
        <v>1101</v>
      </c>
      <c r="I158" t="s">
        <v>1109</v>
      </c>
      <c r="J158" s="146"/>
    </row>
    <row r="159" spans="1:10" x14ac:dyDescent="0.2">
      <c r="A159" s="144" t="s">
        <v>880</v>
      </c>
      <c r="B159" s="145">
        <v>43677</v>
      </c>
      <c r="C159" s="144" t="s">
        <v>592</v>
      </c>
      <c r="D159" s="144">
        <v>-207.56</v>
      </c>
      <c r="E159" s="144" t="s">
        <v>604</v>
      </c>
      <c r="F159" s="144" t="s">
        <v>956</v>
      </c>
      <c r="I159" t="s">
        <v>1110</v>
      </c>
      <c r="J159" s="146"/>
    </row>
    <row r="160" spans="1:10" x14ac:dyDescent="0.2">
      <c r="A160" s="144" t="s">
        <v>880</v>
      </c>
      <c r="B160" s="145">
        <v>43677</v>
      </c>
      <c r="C160" s="144" t="s">
        <v>592</v>
      </c>
      <c r="D160" s="144">
        <v>-211.68</v>
      </c>
      <c r="E160" s="144" t="s">
        <v>604</v>
      </c>
      <c r="F160" s="144" t="s">
        <v>957</v>
      </c>
      <c r="I160" t="s">
        <v>1110</v>
      </c>
    </row>
    <row r="161" spans="1:10" x14ac:dyDescent="0.2">
      <c r="A161" s="144" t="s">
        <v>880</v>
      </c>
      <c r="B161" s="145">
        <v>43677</v>
      </c>
      <c r="C161" s="144" t="s">
        <v>592</v>
      </c>
      <c r="D161" s="144">
        <v>-211.68</v>
      </c>
      <c r="E161" s="144" t="s">
        <v>604</v>
      </c>
      <c r="F161" s="144" t="s">
        <v>958</v>
      </c>
      <c r="I161" t="s">
        <v>1110</v>
      </c>
    </row>
    <row r="162" spans="1:10" x14ac:dyDescent="0.2">
      <c r="A162" s="144" t="s">
        <v>880</v>
      </c>
      <c r="B162" s="145">
        <v>43677</v>
      </c>
      <c r="C162" s="144" t="s">
        <v>592</v>
      </c>
      <c r="D162" s="144">
        <v>-211.68</v>
      </c>
      <c r="E162" s="144" t="s">
        <v>604</v>
      </c>
      <c r="F162" s="144" t="s">
        <v>959</v>
      </c>
      <c r="H162" s="148"/>
      <c r="I162" t="s">
        <v>1110</v>
      </c>
    </row>
    <row r="163" spans="1:10" x14ac:dyDescent="0.2">
      <c r="A163" s="144" t="s">
        <v>880</v>
      </c>
      <c r="B163" s="145">
        <v>43677</v>
      </c>
      <c r="C163" s="144" t="s">
        <v>592</v>
      </c>
      <c r="D163" s="144">
        <v>-50.84</v>
      </c>
      <c r="E163" s="144" t="s">
        <v>604</v>
      </c>
      <c r="F163" s="144" t="s">
        <v>960</v>
      </c>
      <c r="H163" s="148"/>
      <c r="I163" t="s">
        <v>1108</v>
      </c>
      <c r="J163" s="146"/>
    </row>
    <row r="164" spans="1:10" x14ac:dyDescent="0.2">
      <c r="B164" s="145"/>
      <c r="G164" s="146"/>
      <c r="H164" s="148"/>
      <c r="J164" s="146"/>
    </row>
    <row r="165" spans="1:10" x14ac:dyDescent="0.2">
      <c r="B165" s="145"/>
      <c r="J165" s="146"/>
    </row>
    <row r="166" spans="1:10" x14ac:dyDescent="0.2">
      <c r="B166" s="145"/>
      <c r="J166" s="146"/>
    </row>
    <row r="167" spans="1:10" x14ac:dyDescent="0.2">
      <c r="B167" s="145"/>
      <c r="J167" s="146"/>
    </row>
    <row r="168" spans="1:10" x14ac:dyDescent="0.2">
      <c r="B168" s="145"/>
      <c r="J168" s="146"/>
    </row>
    <row r="169" spans="1:10" x14ac:dyDescent="0.2">
      <c r="B169" s="145"/>
      <c r="F169" s="146"/>
      <c r="G169" s="146"/>
      <c r="H169" s="146"/>
      <c r="J169" s="146"/>
    </row>
    <row r="170" spans="1:10" x14ac:dyDescent="0.2">
      <c r="B170" s="145"/>
      <c r="F170" s="146"/>
      <c r="G170" s="147"/>
    </row>
    <row r="171" spans="1:10" x14ac:dyDescent="0.2">
      <c r="B171" s="145"/>
      <c r="J171" s="146"/>
    </row>
    <row r="172" spans="1:10" x14ac:dyDescent="0.2">
      <c r="B172" s="145"/>
      <c r="H172" s="146"/>
      <c r="J172" s="146"/>
    </row>
    <row r="173" spans="1:10" x14ac:dyDescent="0.2">
      <c r="B173" s="145"/>
      <c r="H173" s="146"/>
      <c r="J173" s="146"/>
    </row>
    <row r="174" spans="1:10" x14ac:dyDescent="0.2">
      <c r="B174" s="145"/>
      <c r="J174" s="146"/>
    </row>
    <row r="175" spans="1:10" x14ac:dyDescent="0.2">
      <c r="B175" s="145"/>
      <c r="J175" s="146"/>
    </row>
    <row r="176" spans="1:10" x14ac:dyDescent="0.2">
      <c r="B176" s="145"/>
      <c r="J176" s="146"/>
    </row>
    <row r="177" spans="2:10" x14ac:dyDescent="0.2">
      <c r="B177" s="145"/>
      <c r="J177" s="146"/>
    </row>
    <row r="178" spans="2:10" x14ac:dyDescent="0.2">
      <c r="B178" s="145"/>
      <c r="G178" s="146"/>
      <c r="H178" s="146"/>
    </row>
    <row r="179" spans="2:10" x14ac:dyDescent="0.2">
      <c r="B179" s="145"/>
      <c r="G179" s="146"/>
      <c r="H179" s="146"/>
    </row>
    <row r="180" spans="2:10" x14ac:dyDescent="0.2">
      <c r="B180" s="145"/>
      <c r="G180" s="146"/>
      <c r="H180" s="146"/>
    </row>
    <row r="181" spans="2:10" x14ac:dyDescent="0.2">
      <c r="B181" s="145"/>
      <c r="G181" s="146"/>
      <c r="H181" s="146"/>
    </row>
    <row r="182" spans="2:10" x14ac:dyDescent="0.2">
      <c r="B182" s="145"/>
      <c r="H182" s="146"/>
    </row>
    <row r="183" spans="2:10" x14ac:dyDescent="0.2">
      <c r="B183" s="145"/>
      <c r="H183" s="148"/>
      <c r="J183" s="146"/>
    </row>
    <row r="184" spans="2:10" x14ac:dyDescent="0.2">
      <c r="B184" s="145"/>
      <c r="J184" s="146"/>
    </row>
    <row r="185" spans="2:10" x14ac:dyDescent="0.2">
      <c r="B185" s="145"/>
    </row>
    <row r="186" spans="2:10" x14ac:dyDescent="0.2">
      <c r="B186" s="145"/>
      <c r="J186" s="146"/>
    </row>
    <row r="187" spans="2:10" x14ac:dyDescent="0.2">
      <c r="B187" s="145"/>
      <c r="H187" s="146"/>
      <c r="J187" s="146"/>
    </row>
    <row r="188" spans="2:10" x14ac:dyDescent="0.2">
      <c r="B188" s="145"/>
      <c r="H188" s="148"/>
    </row>
    <row r="189" spans="2:10" x14ac:dyDescent="0.2">
      <c r="B189" s="145"/>
      <c r="H189" s="148"/>
    </row>
    <row r="190" spans="2:10" x14ac:dyDescent="0.2">
      <c r="B190" s="145"/>
      <c r="H190" s="146"/>
    </row>
    <row r="191" spans="2:10" x14ac:dyDescent="0.2">
      <c r="B191" s="145"/>
      <c r="H191" s="146"/>
    </row>
    <row r="192" spans="2:10" x14ac:dyDescent="0.2">
      <c r="B192" s="145"/>
      <c r="H192" s="146"/>
    </row>
    <row r="193" spans="2:10" x14ac:dyDescent="0.2">
      <c r="B193" s="145"/>
    </row>
    <row r="194" spans="2:10" x14ac:dyDescent="0.2">
      <c r="B194" s="145"/>
    </row>
    <row r="195" spans="2:10" x14ac:dyDescent="0.2">
      <c r="B195" s="145"/>
    </row>
    <row r="196" spans="2:10" x14ac:dyDescent="0.2">
      <c r="B196" s="145"/>
      <c r="H196" s="146"/>
      <c r="J196" s="146"/>
    </row>
    <row r="197" spans="2:10" x14ac:dyDescent="0.2">
      <c r="B197" s="145"/>
      <c r="H197" s="146"/>
    </row>
    <row r="198" spans="2:10" x14ac:dyDescent="0.2">
      <c r="B198" s="145"/>
    </row>
    <row r="199" spans="2:10" x14ac:dyDescent="0.2">
      <c r="B199" s="145"/>
    </row>
    <row r="200" spans="2:10" x14ac:dyDescent="0.2">
      <c r="B200" s="145"/>
      <c r="H200" s="146"/>
      <c r="J200" s="146"/>
    </row>
    <row r="201" spans="2:10" x14ac:dyDescent="0.2">
      <c r="B201" s="145"/>
      <c r="H201" s="146"/>
      <c r="J201" s="146"/>
    </row>
    <row r="202" spans="2:10" x14ac:dyDescent="0.2">
      <c r="B202" s="145"/>
    </row>
    <row r="203" spans="2:10" x14ac:dyDescent="0.2">
      <c r="B203" s="145"/>
    </row>
    <row r="204" spans="2:10" x14ac:dyDescent="0.2">
      <c r="B204" s="145"/>
      <c r="H204" s="146"/>
    </row>
    <row r="205" spans="2:10" x14ac:dyDescent="0.2">
      <c r="B205" s="145"/>
    </row>
    <row r="206" spans="2:10" x14ac:dyDescent="0.2">
      <c r="B206" s="145"/>
      <c r="H206" s="146"/>
    </row>
    <row r="207" spans="2:10" x14ac:dyDescent="0.2">
      <c r="B207" s="145"/>
    </row>
    <row r="208" spans="2:10" x14ac:dyDescent="0.2">
      <c r="B208" s="145"/>
      <c r="H208" s="146"/>
    </row>
    <row r="209" spans="2:10" x14ac:dyDescent="0.2">
      <c r="B209" s="145"/>
      <c r="G209" s="146"/>
      <c r="H209" s="146"/>
    </row>
    <row r="210" spans="2:10" x14ac:dyDescent="0.2">
      <c r="B210" s="145"/>
      <c r="H210" s="148"/>
    </row>
    <row r="211" spans="2:10" x14ac:dyDescent="0.2">
      <c r="B211" s="145"/>
      <c r="J211" s="146"/>
    </row>
    <row r="212" spans="2:10" x14ac:dyDescent="0.2">
      <c r="B212" s="145"/>
      <c r="J212" s="146"/>
    </row>
    <row r="213" spans="2:10" x14ac:dyDescent="0.2">
      <c r="B213" s="145"/>
      <c r="G213" s="146"/>
    </row>
    <row r="214" spans="2:10" x14ac:dyDescent="0.2">
      <c r="B214" s="145"/>
      <c r="H214" s="146"/>
      <c r="J214" s="146"/>
    </row>
    <row r="215" spans="2:10" x14ac:dyDescent="0.2">
      <c r="B215" s="145"/>
      <c r="H215" s="146"/>
      <c r="J215" s="146"/>
    </row>
    <row r="216" spans="2:10" x14ac:dyDescent="0.2">
      <c r="B216" s="145"/>
    </row>
    <row r="217" spans="2:10" x14ac:dyDescent="0.2">
      <c r="B217" s="145"/>
    </row>
    <row r="218" spans="2:10" x14ac:dyDescent="0.2">
      <c r="B218" s="145"/>
      <c r="F218" s="146"/>
    </row>
    <row r="219" spans="2:10" x14ac:dyDescent="0.2">
      <c r="B219" s="145"/>
      <c r="H219" s="146"/>
    </row>
    <row r="220" spans="2:10" x14ac:dyDescent="0.2">
      <c r="B220" s="145"/>
      <c r="J220" s="146"/>
    </row>
    <row r="221" spans="2:10" x14ac:dyDescent="0.2">
      <c r="B221" s="145"/>
      <c r="H221" s="148"/>
      <c r="J221" s="148"/>
    </row>
    <row r="222" spans="2:10" x14ac:dyDescent="0.2">
      <c r="B222" s="145"/>
    </row>
    <row r="223" spans="2:10" x14ac:dyDescent="0.2">
      <c r="B223" s="145"/>
      <c r="J223" s="146"/>
    </row>
    <row r="224" spans="2:10" x14ac:dyDescent="0.2">
      <c r="B224" s="145"/>
      <c r="H224" s="146"/>
      <c r="J224" s="146"/>
    </row>
    <row r="225" spans="2:10" x14ac:dyDescent="0.2">
      <c r="B225" s="145"/>
    </row>
    <row r="226" spans="2:10" x14ac:dyDescent="0.2">
      <c r="B226" s="145"/>
    </row>
    <row r="227" spans="2:10" x14ac:dyDescent="0.2">
      <c r="B227" s="145"/>
    </row>
    <row r="228" spans="2:10" x14ac:dyDescent="0.2">
      <c r="B228" s="145"/>
    </row>
    <row r="229" spans="2:10" x14ac:dyDescent="0.2">
      <c r="B229" s="145"/>
    </row>
    <row r="230" spans="2:10" x14ac:dyDescent="0.2">
      <c r="B230" s="145"/>
      <c r="J230" s="146"/>
    </row>
    <row r="231" spans="2:10" x14ac:dyDescent="0.2">
      <c r="B231" s="145"/>
      <c r="J231" s="146"/>
    </row>
    <row r="232" spans="2:10" x14ac:dyDescent="0.2">
      <c r="B232" s="145"/>
    </row>
    <row r="233" spans="2:10" x14ac:dyDescent="0.2">
      <c r="B233" s="145"/>
      <c r="H233" s="146"/>
    </row>
    <row r="234" spans="2:10" x14ac:dyDescent="0.2">
      <c r="B234" s="145"/>
    </row>
    <row r="235" spans="2:10" x14ac:dyDescent="0.2">
      <c r="B235" s="145"/>
    </row>
    <row r="236" spans="2:10" x14ac:dyDescent="0.2">
      <c r="B236" s="145"/>
    </row>
    <row r="237" spans="2:10" x14ac:dyDescent="0.2">
      <c r="B237" s="145"/>
    </row>
    <row r="238" spans="2:10" x14ac:dyDescent="0.2">
      <c r="B238" s="145"/>
    </row>
    <row r="239" spans="2:10" x14ac:dyDescent="0.2">
      <c r="B239" s="145"/>
    </row>
    <row r="240" spans="2:10" x14ac:dyDescent="0.2">
      <c r="B240" s="145"/>
    </row>
    <row r="241" spans="2:10" x14ac:dyDescent="0.2">
      <c r="B241" s="145"/>
    </row>
    <row r="242" spans="2:10" x14ac:dyDescent="0.2">
      <c r="B242" s="145"/>
      <c r="H242" s="146"/>
    </row>
    <row r="243" spans="2:10" x14ac:dyDescent="0.2">
      <c r="B243" s="145"/>
      <c r="H243" s="146"/>
      <c r="J243" s="146"/>
    </row>
    <row r="244" spans="2:10" x14ac:dyDescent="0.2">
      <c r="B244" s="145"/>
      <c r="H244" s="146"/>
      <c r="J244" s="146"/>
    </row>
    <row r="245" spans="2:10" x14ac:dyDescent="0.2">
      <c r="B245" s="145"/>
      <c r="J245" s="146"/>
    </row>
    <row r="246" spans="2:10" x14ac:dyDescent="0.2">
      <c r="B246" s="145"/>
      <c r="J246" s="146"/>
    </row>
    <row r="247" spans="2:10" x14ac:dyDescent="0.2">
      <c r="B247" s="145"/>
      <c r="G247" s="146"/>
      <c r="H247" s="146"/>
    </row>
    <row r="248" spans="2:10" x14ac:dyDescent="0.2">
      <c r="B248" s="145"/>
      <c r="J248" s="146"/>
    </row>
    <row r="249" spans="2:10" x14ac:dyDescent="0.2">
      <c r="B249" s="145"/>
      <c r="J249" s="146"/>
    </row>
    <row r="250" spans="2:10" x14ac:dyDescent="0.2">
      <c r="B250" s="145"/>
    </row>
    <row r="251" spans="2:10" x14ac:dyDescent="0.2">
      <c r="B251" s="145"/>
    </row>
    <row r="252" spans="2:10" x14ac:dyDescent="0.2">
      <c r="B252" s="145"/>
    </row>
    <row r="253" spans="2:10" x14ac:dyDescent="0.2">
      <c r="B253" s="145"/>
    </row>
    <row r="254" spans="2:10" x14ac:dyDescent="0.2">
      <c r="B254" s="145"/>
    </row>
    <row r="255" spans="2:10" x14ac:dyDescent="0.2">
      <c r="B255" s="145"/>
    </row>
    <row r="256" spans="2:10" x14ac:dyDescent="0.2">
      <c r="B256" s="145"/>
    </row>
    <row r="257" spans="2:2" x14ac:dyDescent="0.2">
      <c r="B257" s="145"/>
    </row>
  </sheetData>
  <autoFilter ref="A1:J257" xr:uid="{5DF26C40-5963-4697-8D42-D69A2622B74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77"/>
  <sheetViews>
    <sheetView topLeftCell="A16" zoomScale="85" zoomScaleNormal="85" workbookViewId="0">
      <selection activeCell="H22" sqref="H22"/>
    </sheetView>
  </sheetViews>
  <sheetFormatPr defaultRowHeight="12.75" x14ac:dyDescent="0.2"/>
  <cols>
    <col min="1" max="2" width="10.28515625" style="144" bestFit="1" customWidth="1"/>
    <col min="3" max="3" width="17.28515625" style="144" bestFit="1" customWidth="1"/>
    <col min="4" max="4" width="8.85546875" style="144" bestFit="1" customWidth="1"/>
    <col min="5" max="5" width="12.85546875" style="144" customWidth="1"/>
    <col min="6" max="6" width="50.140625" style="144" bestFit="1" customWidth="1"/>
    <col min="7" max="7" width="8" style="144" bestFit="1" customWidth="1"/>
    <col min="8" max="8" width="25.140625" style="144" customWidth="1"/>
    <col min="9" max="9" width="8.7109375" style="144" bestFit="1" customWidth="1"/>
    <col min="10" max="16384" width="9.140625" style="144"/>
  </cols>
  <sheetData>
    <row r="1" spans="1:9" x14ac:dyDescent="0.2">
      <c r="A1" s="144" t="s">
        <v>512</v>
      </c>
      <c r="B1" s="144" t="s">
        <v>513</v>
      </c>
      <c r="C1" s="144" t="s">
        <v>514</v>
      </c>
      <c r="D1" s="144" t="s">
        <v>515</v>
      </c>
      <c r="E1" s="144" t="s">
        <v>516</v>
      </c>
      <c r="F1" s="144" t="s">
        <v>517</v>
      </c>
      <c r="G1" s="146" t="s">
        <v>24</v>
      </c>
      <c r="H1" s="146" t="s">
        <v>548</v>
      </c>
      <c r="I1" s="146" t="s">
        <v>549</v>
      </c>
    </row>
    <row r="2" spans="1:9" x14ac:dyDescent="0.2">
      <c r="A2" s="144" t="s">
        <v>880</v>
      </c>
      <c r="B2" s="145">
        <v>43647</v>
      </c>
      <c r="C2" s="144" t="s">
        <v>659</v>
      </c>
      <c r="D2" s="173">
        <v>2500</v>
      </c>
      <c r="E2" s="144" t="s">
        <v>623</v>
      </c>
      <c r="F2" s="144" t="s">
        <v>961</v>
      </c>
      <c r="G2" s="146"/>
      <c r="H2" s="148"/>
      <c r="I2" t="s">
        <v>1108</v>
      </c>
    </row>
    <row r="3" spans="1:9" x14ac:dyDescent="0.2">
      <c r="A3" s="144" t="s">
        <v>880</v>
      </c>
      <c r="B3" s="145">
        <v>43647</v>
      </c>
      <c r="C3" s="144" t="s">
        <v>659</v>
      </c>
      <c r="D3" s="173">
        <v>1000</v>
      </c>
      <c r="E3" s="144" t="s">
        <v>623</v>
      </c>
      <c r="F3" s="144" t="s">
        <v>961</v>
      </c>
      <c r="I3" t="s">
        <v>1108</v>
      </c>
    </row>
    <row r="4" spans="1:9" x14ac:dyDescent="0.2">
      <c r="A4" s="144" t="s">
        <v>880</v>
      </c>
      <c r="B4" s="145">
        <v>43647</v>
      </c>
      <c r="C4" s="144" t="s">
        <v>659</v>
      </c>
      <c r="D4" s="144">
        <v>2609.16</v>
      </c>
      <c r="E4" s="144" t="s">
        <v>657</v>
      </c>
      <c r="F4" s="144" t="s">
        <v>661</v>
      </c>
      <c r="I4" t="s">
        <v>1108</v>
      </c>
    </row>
    <row r="5" spans="1:9" x14ac:dyDescent="0.2">
      <c r="A5" s="144" t="s">
        <v>880</v>
      </c>
      <c r="B5" s="145">
        <v>43647</v>
      </c>
      <c r="C5" s="144" t="s">
        <v>659</v>
      </c>
      <c r="D5" s="144">
        <v>-232.5</v>
      </c>
      <c r="E5" s="144" t="s">
        <v>596</v>
      </c>
      <c r="F5" s="144" t="s">
        <v>665</v>
      </c>
      <c r="I5" t="s">
        <v>1108</v>
      </c>
    </row>
    <row r="6" spans="1:9" x14ac:dyDescent="0.2">
      <c r="A6" s="144" t="s">
        <v>880</v>
      </c>
      <c r="B6" s="145">
        <v>43647</v>
      </c>
      <c r="C6" s="144" t="s">
        <v>659</v>
      </c>
      <c r="D6" s="144">
        <v>-160</v>
      </c>
      <c r="E6" s="144" t="s">
        <v>596</v>
      </c>
      <c r="F6" s="144" t="s">
        <v>663</v>
      </c>
      <c r="I6" t="s">
        <v>1108</v>
      </c>
    </row>
    <row r="7" spans="1:9" x14ac:dyDescent="0.2">
      <c r="A7" s="144" t="s">
        <v>880</v>
      </c>
      <c r="B7" s="145">
        <v>43647</v>
      </c>
      <c r="C7" s="144" t="s">
        <v>659</v>
      </c>
      <c r="D7" s="144">
        <v>-157.5</v>
      </c>
      <c r="E7" s="144" t="s">
        <v>596</v>
      </c>
      <c r="F7" s="144" t="s">
        <v>664</v>
      </c>
      <c r="I7" t="s">
        <v>1108</v>
      </c>
    </row>
    <row r="8" spans="1:9" x14ac:dyDescent="0.2">
      <c r="A8" s="144" t="s">
        <v>880</v>
      </c>
      <c r="B8" s="145">
        <v>43647</v>
      </c>
      <c r="C8" s="144" t="s">
        <v>659</v>
      </c>
      <c r="D8" s="144">
        <v>-50</v>
      </c>
      <c r="E8" s="144" t="s">
        <v>596</v>
      </c>
      <c r="F8" s="144" t="s">
        <v>662</v>
      </c>
      <c r="I8" t="s">
        <v>1108</v>
      </c>
    </row>
    <row r="9" spans="1:9" x14ac:dyDescent="0.2">
      <c r="A9" s="144" t="s">
        <v>880</v>
      </c>
      <c r="B9" s="145">
        <v>43647</v>
      </c>
      <c r="C9" s="144" t="s">
        <v>659</v>
      </c>
      <c r="D9" s="144">
        <v>-50</v>
      </c>
      <c r="E9" s="144" t="s">
        <v>596</v>
      </c>
      <c r="F9" s="144" t="s">
        <v>600</v>
      </c>
      <c r="I9" t="s">
        <v>1108</v>
      </c>
    </row>
    <row r="10" spans="1:9" x14ac:dyDescent="0.2">
      <c r="A10" s="144" t="s">
        <v>880</v>
      </c>
      <c r="B10" s="145">
        <v>43647</v>
      </c>
      <c r="C10" s="144" t="s">
        <v>659</v>
      </c>
      <c r="D10" s="144">
        <v>-551.52</v>
      </c>
      <c r="E10" s="144" t="s">
        <v>604</v>
      </c>
      <c r="F10" s="144" t="s">
        <v>671</v>
      </c>
      <c r="I10" t="s">
        <v>1110</v>
      </c>
    </row>
    <row r="11" spans="1:9" x14ac:dyDescent="0.2">
      <c r="A11" s="144" t="s">
        <v>880</v>
      </c>
      <c r="B11" s="145">
        <v>43647</v>
      </c>
      <c r="C11" s="144" t="s">
        <v>659</v>
      </c>
      <c r="D11" s="144">
        <v>-60</v>
      </c>
      <c r="E11" s="144" t="s">
        <v>604</v>
      </c>
      <c r="F11" s="144" t="s">
        <v>962</v>
      </c>
      <c r="I11" t="s">
        <v>1108</v>
      </c>
    </row>
    <row r="12" spans="1:9" x14ac:dyDescent="0.2">
      <c r="A12" s="144" t="s">
        <v>880</v>
      </c>
      <c r="B12" s="145">
        <v>43647</v>
      </c>
      <c r="C12" s="144" t="s">
        <v>659</v>
      </c>
      <c r="D12" s="144">
        <v>-240.21</v>
      </c>
      <c r="E12" s="144" t="s">
        <v>604</v>
      </c>
      <c r="F12" s="144" t="s">
        <v>666</v>
      </c>
      <c r="I12" t="s">
        <v>1110</v>
      </c>
    </row>
    <row r="13" spans="1:9" x14ac:dyDescent="0.2">
      <c r="A13" s="144" t="s">
        <v>880</v>
      </c>
      <c r="B13" s="145">
        <v>43647</v>
      </c>
      <c r="C13" s="144" t="s">
        <v>659</v>
      </c>
      <c r="D13" s="144">
        <v>-242.16</v>
      </c>
      <c r="E13" s="144" t="s">
        <v>604</v>
      </c>
      <c r="F13" s="144" t="s">
        <v>667</v>
      </c>
      <c r="I13" t="s">
        <v>1110</v>
      </c>
    </row>
    <row r="14" spans="1:9" x14ac:dyDescent="0.2">
      <c r="A14" s="144" t="s">
        <v>880</v>
      </c>
      <c r="B14" s="145">
        <v>43647</v>
      </c>
      <c r="C14" s="144" t="s">
        <v>659</v>
      </c>
      <c r="D14" s="144">
        <v>-1144.27</v>
      </c>
      <c r="E14" s="144" t="s">
        <v>604</v>
      </c>
      <c r="F14" s="144" t="s">
        <v>673</v>
      </c>
      <c r="I14" t="s">
        <v>1108</v>
      </c>
    </row>
    <row r="15" spans="1:9" x14ac:dyDescent="0.2">
      <c r="A15" s="144" t="s">
        <v>880</v>
      </c>
      <c r="B15" s="145">
        <v>43647</v>
      </c>
      <c r="C15" s="144" t="s">
        <v>659</v>
      </c>
      <c r="D15" s="144">
        <v>-1795.67</v>
      </c>
      <c r="E15" s="144" t="s">
        <v>604</v>
      </c>
      <c r="F15" s="144" t="s">
        <v>674</v>
      </c>
      <c r="I15" t="s">
        <v>1108</v>
      </c>
    </row>
    <row r="16" spans="1:9" x14ac:dyDescent="0.2">
      <c r="A16" s="144" t="s">
        <v>880</v>
      </c>
      <c r="B16" s="145">
        <v>43647</v>
      </c>
      <c r="C16" s="144" t="s">
        <v>659</v>
      </c>
      <c r="D16" s="144">
        <v>-1493.12</v>
      </c>
      <c r="E16" s="144" t="s">
        <v>604</v>
      </c>
      <c r="F16" s="144" t="s">
        <v>672</v>
      </c>
      <c r="I16" t="s">
        <v>1108</v>
      </c>
    </row>
    <row r="17" spans="1:9" x14ac:dyDescent="0.2">
      <c r="A17" s="144" t="s">
        <v>880</v>
      </c>
      <c r="B17" s="145">
        <v>43647</v>
      </c>
      <c r="C17" s="144" t="s">
        <v>659</v>
      </c>
      <c r="D17" s="144">
        <v>-206.82</v>
      </c>
      <c r="E17" s="144" t="s">
        <v>604</v>
      </c>
      <c r="F17" s="144" t="s">
        <v>669</v>
      </c>
      <c r="I17" t="s">
        <v>1110</v>
      </c>
    </row>
    <row r="18" spans="1:9" x14ac:dyDescent="0.2">
      <c r="A18" s="144" t="s">
        <v>880</v>
      </c>
      <c r="B18" s="145">
        <v>43647</v>
      </c>
      <c r="C18" s="144" t="s">
        <v>659</v>
      </c>
      <c r="D18" s="144">
        <v>-386.17</v>
      </c>
      <c r="E18" s="144" t="s">
        <v>604</v>
      </c>
      <c r="F18" s="144" t="s">
        <v>668</v>
      </c>
      <c r="I18" t="s">
        <v>1110</v>
      </c>
    </row>
    <row r="19" spans="1:9" x14ac:dyDescent="0.2">
      <c r="A19" s="144" t="s">
        <v>880</v>
      </c>
      <c r="B19" s="145">
        <v>43647</v>
      </c>
      <c r="C19" s="144" t="s">
        <v>659</v>
      </c>
      <c r="D19" s="144">
        <v>-375.8</v>
      </c>
      <c r="E19" s="144" t="s">
        <v>604</v>
      </c>
      <c r="F19" s="144" t="s">
        <v>670</v>
      </c>
      <c r="G19" s="146"/>
      <c r="H19" s="146"/>
      <c r="I19" t="s">
        <v>1110</v>
      </c>
    </row>
    <row r="20" spans="1:9" x14ac:dyDescent="0.2">
      <c r="A20" s="144" t="s">
        <v>880</v>
      </c>
      <c r="B20" s="145">
        <v>43648</v>
      </c>
      <c r="C20" s="144" t="s">
        <v>659</v>
      </c>
      <c r="D20" s="144">
        <v>481.2</v>
      </c>
      <c r="E20" s="144" t="s">
        <v>594</v>
      </c>
      <c r="F20" s="144" t="s">
        <v>963</v>
      </c>
      <c r="I20" t="s">
        <v>1108</v>
      </c>
    </row>
    <row r="21" spans="1:9" x14ac:dyDescent="0.2">
      <c r="A21" s="144" t="s">
        <v>880</v>
      </c>
      <c r="B21" s="145">
        <v>43648</v>
      </c>
      <c r="C21" s="144" t="s">
        <v>659</v>
      </c>
      <c r="D21" s="144">
        <v>-37.950000000000003</v>
      </c>
      <c r="E21" s="144" t="s">
        <v>604</v>
      </c>
      <c r="F21" s="144" t="s">
        <v>677</v>
      </c>
      <c r="I21" t="s">
        <v>1108</v>
      </c>
    </row>
    <row r="22" spans="1:9" x14ac:dyDescent="0.2">
      <c r="A22" s="144" t="s">
        <v>880</v>
      </c>
      <c r="B22" s="145">
        <v>43649</v>
      </c>
      <c r="C22" s="144" t="s">
        <v>659</v>
      </c>
      <c r="D22" s="180">
        <v>600</v>
      </c>
      <c r="E22" s="144" t="s">
        <v>657</v>
      </c>
      <c r="F22" s="144" t="s">
        <v>964</v>
      </c>
      <c r="G22" s="176" t="s">
        <v>492</v>
      </c>
      <c r="H22" s="146" t="s">
        <v>1102</v>
      </c>
      <c r="I22" t="s">
        <v>1111</v>
      </c>
    </row>
    <row r="23" spans="1:9" x14ac:dyDescent="0.2">
      <c r="A23" s="144" t="s">
        <v>880</v>
      </c>
      <c r="B23" s="145">
        <v>43649</v>
      </c>
      <c r="C23" s="144" t="s">
        <v>659</v>
      </c>
      <c r="D23" s="144">
        <v>462.64</v>
      </c>
      <c r="E23" s="144" t="s">
        <v>594</v>
      </c>
      <c r="F23" s="144" t="s">
        <v>680</v>
      </c>
      <c r="H23" s="148"/>
      <c r="I23" t="s">
        <v>1108</v>
      </c>
    </row>
    <row r="24" spans="1:9" x14ac:dyDescent="0.2">
      <c r="A24" s="144" t="s">
        <v>880</v>
      </c>
      <c r="B24" s="145">
        <v>43649</v>
      </c>
      <c r="C24" s="144" t="s">
        <v>659</v>
      </c>
      <c r="D24" s="144">
        <v>458</v>
      </c>
      <c r="E24" s="144" t="s">
        <v>594</v>
      </c>
      <c r="F24" s="144" t="s">
        <v>676</v>
      </c>
      <c r="I24" t="s">
        <v>1108</v>
      </c>
    </row>
    <row r="25" spans="1:9" x14ac:dyDescent="0.2">
      <c r="A25" s="144" t="s">
        <v>880</v>
      </c>
      <c r="B25" s="145">
        <v>43649</v>
      </c>
      <c r="C25" s="144" t="s">
        <v>659</v>
      </c>
      <c r="D25" s="144">
        <v>86.8</v>
      </c>
      <c r="E25" s="144" t="s">
        <v>594</v>
      </c>
      <c r="F25" s="144" t="s">
        <v>678</v>
      </c>
      <c r="H25" s="148"/>
      <c r="I25" t="s">
        <v>1108</v>
      </c>
    </row>
    <row r="26" spans="1:9" x14ac:dyDescent="0.2">
      <c r="A26" s="144" t="s">
        <v>880</v>
      </c>
      <c r="B26" s="145">
        <v>43649</v>
      </c>
      <c r="C26" s="144" t="s">
        <v>659</v>
      </c>
      <c r="D26" s="144">
        <v>-197</v>
      </c>
      <c r="E26" s="144" t="s">
        <v>593</v>
      </c>
      <c r="F26" s="144" t="s">
        <v>965</v>
      </c>
      <c r="G26" s="149" t="s">
        <v>482</v>
      </c>
      <c r="H26" s="148" t="s">
        <v>1081</v>
      </c>
      <c r="I26" t="s">
        <v>1109</v>
      </c>
    </row>
    <row r="27" spans="1:9" x14ac:dyDescent="0.2">
      <c r="A27" s="144" t="s">
        <v>880</v>
      </c>
      <c r="B27" s="145">
        <v>43649</v>
      </c>
      <c r="C27" s="144" t="s">
        <v>659</v>
      </c>
      <c r="D27" s="144">
        <v>-254.22</v>
      </c>
      <c r="E27" s="144" t="s">
        <v>604</v>
      </c>
      <c r="F27" s="144" t="s">
        <v>681</v>
      </c>
      <c r="H27" s="146"/>
      <c r="I27" t="s">
        <v>1110</v>
      </c>
    </row>
    <row r="28" spans="1:9" x14ac:dyDescent="0.2">
      <c r="A28" s="144" t="s">
        <v>880</v>
      </c>
      <c r="B28" s="145">
        <v>43650</v>
      </c>
      <c r="C28" s="144" t="s">
        <v>659</v>
      </c>
      <c r="D28" s="144">
        <v>439.55</v>
      </c>
      <c r="E28" s="144" t="s">
        <v>594</v>
      </c>
      <c r="F28" s="144" t="s">
        <v>686</v>
      </c>
      <c r="I28" t="s">
        <v>1108</v>
      </c>
    </row>
    <row r="29" spans="1:9" x14ac:dyDescent="0.2">
      <c r="A29" s="144" t="s">
        <v>880</v>
      </c>
      <c r="B29" s="145">
        <v>43650</v>
      </c>
      <c r="C29" s="144" t="s">
        <v>659</v>
      </c>
      <c r="D29" s="144">
        <v>422.29</v>
      </c>
      <c r="E29" s="144" t="s">
        <v>594</v>
      </c>
      <c r="F29" s="144" t="s">
        <v>689</v>
      </c>
      <c r="H29" s="146"/>
      <c r="I29" t="s">
        <v>1108</v>
      </c>
    </row>
    <row r="30" spans="1:9" x14ac:dyDescent="0.2">
      <c r="A30" s="144" t="s">
        <v>880</v>
      </c>
      <c r="B30" s="145">
        <v>43650</v>
      </c>
      <c r="C30" s="144" t="s">
        <v>659</v>
      </c>
      <c r="D30" s="144">
        <v>308.11</v>
      </c>
      <c r="E30" s="144" t="s">
        <v>594</v>
      </c>
      <c r="F30" s="144" t="s">
        <v>687</v>
      </c>
      <c r="H30" s="146"/>
      <c r="I30" t="s">
        <v>1108</v>
      </c>
    </row>
    <row r="31" spans="1:9" x14ac:dyDescent="0.2">
      <c r="A31" s="144" t="s">
        <v>880</v>
      </c>
      <c r="B31" s="145">
        <v>43650</v>
      </c>
      <c r="C31" s="144" t="s">
        <v>659</v>
      </c>
      <c r="D31" s="144">
        <v>297.70999999999998</v>
      </c>
      <c r="E31" s="144" t="s">
        <v>594</v>
      </c>
      <c r="F31" s="144" t="s">
        <v>690</v>
      </c>
      <c r="H31" s="146"/>
      <c r="I31" t="s">
        <v>1108</v>
      </c>
    </row>
    <row r="32" spans="1:9" x14ac:dyDescent="0.2">
      <c r="A32" s="144" t="s">
        <v>880</v>
      </c>
      <c r="B32" s="145">
        <v>43650</v>
      </c>
      <c r="C32" s="144" t="s">
        <v>659</v>
      </c>
      <c r="D32" s="144">
        <v>246.49</v>
      </c>
      <c r="E32" s="144" t="s">
        <v>594</v>
      </c>
      <c r="F32" s="144" t="s">
        <v>688</v>
      </c>
      <c r="I32" t="s">
        <v>1108</v>
      </c>
    </row>
    <row r="33" spans="1:9" x14ac:dyDescent="0.2">
      <c r="A33" s="144" t="s">
        <v>880</v>
      </c>
      <c r="B33" s="145">
        <v>43650</v>
      </c>
      <c r="C33" s="144" t="s">
        <v>659</v>
      </c>
      <c r="D33" s="144">
        <v>-75</v>
      </c>
      <c r="E33" s="144" t="s">
        <v>596</v>
      </c>
      <c r="F33" s="144" t="s">
        <v>683</v>
      </c>
      <c r="H33" s="146"/>
      <c r="I33" t="s">
        <v>1108</v>
      </c>
    </row>
    <row r="34" spans="1:9" x14ac:dyDescent="0.2">
      <c r="A34" s="144" t="s">
        <v>880</v>
      </c>
      <c r="B34" s="145">
        <v>43650</v>
      </c>
      <c r="C34" s="144" t="s">
        <v>659</v>
      </c>
      <c r="D34" s="144">
        <v>-32.58</v>
      </c>
      <c r="E34" s="144" t="s">
        <v>604</v>
      </c>
      <c r="F34" s="144" t="s">
        <v>966</v>
      </c>
      <c r="I34" t="s">
        <v>1108</v>
      </c>
    </row>
    <row r="35" spans="1:9" x14ac:dyDescent="0.2">
      <c r="A35" s="144" t="s">
        <v>880</v>
      </c>
      <c r="B35" s="145">
        <v>43650</v>
      </c>
      <c r="C35" s="144" t="s">
        <v>659</v>
      </c>
      <c r="D35" s="144">
        <v>-75</v>
      </c>
      <c r="E35" s="144" t="s">
        <v>604</v>
      </c>
      <c r="F35" s="144" t="s">
        <v>684</v>
      </c>
      <c r="H35" s="148"/>
      <c r="I35" t="s">
        <v>1108</v>
      </c>
    </row>
    <row r="36" spans="1:9" x14ac:dyDescent="0.2">
      <c r="A36" s="144" t="s">
        <v>880</v>
      </c>
      <c r="B36" s="145">
        <v>43651</v>
      </c>
      <c r="C36" s="144" t="s">
        <v>659</v>
      </c>
      <c r="D36" s="144">
        <v>504.4</v>
      </c>
      <c r="E36" s="144" t="s">
        <v>594</v>
      </c>
      <c r="F36" s="144" t="s">
        <v>682</v>
      </c>
      <c r="H36" s="148"/>
      <c r="I36" t="s">
        <v>1108</v>
      </c>
    </row>
    <row r="37" spans="1:9" x14ac:dyDescent="0.2">
      <c r="A37" s="144" t="s">
        <v>880</v>
      </c>
      <c r="B37" s="145">
        <v>43654</v>
      </c>
      <c r="C37" s="144" t="s">
        <v>659</v>
      </c>
      <c r="D37" s="144">
        <v>-6</v>
      </c>
      <c r="E37" s="144" t="s">
        <v>593</v>
      </c>
      <c r="F37" s="144" t="s">
        <v>967</v>
      </c>
      <c r="H37" s="148"/>
      <c r="I37" t="s">
        <v>1108</v>
      </c>
    </row>
    <row r="38" spans="1:9" x14ac:dyDescent="0.2">
      <c r="A38" s="144" t="s">
        <v>880</v>
      </c>
      <c r="B38" s="145">
        <v>43654</v>
      </c>
      <c r="C38" s="144" t="s">
        <v>659</v>
      </c>
      <c r="D38" s="144">
        <v>-0.75</v>
      </c>
      <c r="E38" s="144" t="s">
        <v>593</v>
      </c>
      <c r="F38" s="144" t="s">
        <v>968</v>
      </c>
      <c r="H38" s="146"/>
      <c r="I38" t="s">
        <v>1108</v>
      </c>
    </row>
    <row r="39" spans="1:9" x14ac:dyDescent="0.2">
      <c r="A39" s="144" t="s">
        <v>880</v>
      </c>
      <c r="B39" s="145">
        <v>43654</v>
      </c>
      <c r="C39" s="144" t="s">
        <v>659</v>
      </c>
      <c r="D39" s="144">
        <v>-240.47</v>
      </c>
      <c r="E39" s="144" t="s">
        <v>604</v>
      </c>
      <c r="F39" s="144" t="s">
        <v>685</v>
      </c>
      <c r="I39" t="s">
        <v>1110</v>
      </c>
    </row>
    <row r="40" spans="1:9" x14ac:dyDescent="0.2">
      <c r="A40" s="144" t="s">
        <v>880</v>
      </c>
      <c r="B40" s="145">
        <v>43655</v>
      </c>
      <c r="C40" s="144" t="s">
        <v>659</v>
      </c>
      <c r="D40" s="144">
        <v>-150</v>
      </c>
      <c r="E40" s="144" t="s">
        <v>593</v>
      </c>
      <c r="F40" s="144" t="s">
        <v>969</v>
      </c>
      <c r="G40" s="149" t="s">
        <v>482</v>
      </c>
      <c r="H40" s="146" t="s">
        <v>1083</v>
      </c>
      <c r="I40" t="s">
        <v>1109</v>
      </c>
    </row>
    <row r="41" spans="1:9" x14ac:dyDescent="0.2">
      <c r="A41" s="144" t="s">
        <v>880</v>
      </c>
      <c r="B41" s="145">
        <v>43655</v>
      </c>
      <c r="C41" s="144" t="s">
        <v>659</v>
      </c>
      <c r="D41" s="144">
        <v>-37.049999999999997</v>
      </c>
      <c r="E41" s="144" t="s">
        <v>593</v>
      </c>
      <c r="F41" s="144" t="s">
        <v>970</v>
      </c>
      <c r="G41" s="149" t="s">
        <v>482</v>
      </c>
      <c r="H41" s="148" t="s">
        <v>1082</v>
      </c>
      <c r="I41" t="s">
        <v>1109</v>
      </c>
    </row>
    <row r="42" spans="1:9" x14ac:dyDescent="0.2">
      <c r="A42" s="144" t="s">
        <v>880</v>
      </c>
      <c r="B42" s="145">
        <v>43656</v>
      </c>
      <c r="C42" s="144" t="s">
        <v>659</v>
      </c>
      <c r="D42" s="144">
        <v>124.58</v>
      </c>
      <c r="E42" s="144" t="s">
        <v>594</v>
      </c>
      <c r="F42" s="144" t="s">
        <v>690</v>
      </c>
      <c r="I42" t="s">
        <v>1108</v>
      </c>
    </row>
    <row r="43" spans="1:9" x14ac:dyDescent="0.2">
      <c r="A43" s="144" t="s">
        <v>880</v>
      </c>
      <c r="B43" s="145">
        <v>43656</v>
      </c>
      <c r="C43" s="144" t="s">
        <v>659</v>
      </c>
      <c r="D43" s="144">
        <v>-204</v>
      </c>
      <c r="E43" s="144" t="s">
        <v>593</v>
      </c>
      <c r="F43" s="144" t="s">
        <v>971</v>
      </c>
      <c r="G43" s="52" t="s">
        <v>492</v>
      </c>
      <c r="H43" s="144" t="s">
        <v>1086</v>
      </c>
      <c r="I43" t="s">
        <v>1109</v>
      </c>
    </row>
    <row r="44" spans="1:9" x14ac:dyDescent="0.2">
      <c r="A44" s="144" t="s">
        <v>880</v>
      </c>
      <c r="B44" s="145">
        <v>43657</v>
      </c>
      <c r="C44" s="144" t="s">
        <v>659</v>
      </c>
      <c r="D44" s="144">
        <v>-250</v>
      </c>
      <c r="E44" s="144" t="s">
        <v>623</v>
      </c>
      <c r="F44" s="144" t="s">
        <v>700</v>
      </c>
      <c r="I44" t="s">
        <v>1108</v>
      </c>
    </row>
    <row r="45" spans="1:9" x14ac:dyDescent="0.2">
      <c r="A45" s="144" t="s">
        <v>880</v>
      </c>
      <c r="B45" s="145">
        <v>43658</v>
      </c>
      <c r="C45" s="144" t="s">
        <v>659</v>
      </c>
      <c r="D45" s="144">
        <v>-656</v>
      </c>
      <c r="E45" s="144" t="s">
        <v>593</v>
      </c>
      <c r="F45" s="144" t="s">
        <v>972</v>
      </c>
      <c r="G45" s="149" t="s">
        <v>482</v>
      </c>
      <c r="H45" s="146" t="s">
        <v>1088</v>
      </c>
      <c r="I45" t="s">
        <v>1109</v>
      </c>
    </row>
    <row r="46" spans="1:9" x14ac:dyDescent="0.2">
      <c r="A46" s="144" t="s">
        <v>880</v>
      </c>
      <c r="B46" s="145">
        <v>43658</v>
      </c>
      <c r="C46" s="144" t="s">
        <v>659</v>
      </c>
      <c r="D46" s="144">
        <v>-195</v>
      </c>
      <c r="E46" s="144" t="s">
        <v>593</v>
      </c>
      <c r="F46" s="144" t="s">
        <v>973</v>
      </c>
      <c r="G46" s="52" t="s">
        <v>486</v>
      </c>
      <c r="H46" s="144" t="s">
        <v>1084</v>
      </c>
      <c r="I46" t="s">
        <v>1109</v>
      </c>
    </row>
    <row r="47" spans="1:9" x14ac:dyDescent="0.2">
      <c r="A47" s="144" t="s">
        <v>880</v>
      </c>
      <c r="B47" s="145">
        <v>43658</v>
      </c>
      <c r="C47" s="144" t="s">
        <v>659</v>
      </c>
      <c r="D47" s="144">
        <v>-35</v>
      </c>
      <c r="E47" s="144" t="s">
        <v>593</v>
      </c>
      <c r="F47" s="144" t="s">
        <v>974</v>
      </c>
      <c r="G47" s="52" t="s">
        <v>486</v>
      </c>
      <c r="H47" s="148" t="s">
        <v>1085</v>
      </c>
      <c r="I47" t="s">
        <v>1109</v>
      </c>
    </row>
    <row r="48" spans="1:9" x14ac:dyDescent="0.2">
      <c r="A48" s="144" t="s">
        <v>880</v>
      </c>
      <c r="B48" s="145">
        <v>43658</v>
      </c>
      <c r="C48" s="144" t="s">
        <v>659</v>
      </c>
      <c r="D48" s="144">
        <v>-37.68</v>
      </c>
      <c r="E48" s="144" t="s">
        <v>604</v>
      </c>
      <c r="F48" s="144" t="s">
        <v>691</v>
      </c>
      <c r="H48" s="148"/>
      <c r="I48" t="s">
        <v>1108</v>
      </c>
    </row>
    <row r="49" spans="1:9" x14ac:dyDescent="0.2">
      <c r="A49" s="144" t="s">
        <v>880</v>
      </c>
      <c r="B49" s="145">
        <v>43661</v>
      </c>
      <c r="C49" s="144" t="s">
        <v>659</v>
      </c>
      <c r="D49" s="144">
        <v>-20</v>
      </c>
      <c r="E49" s="144" t="s">
        <v>604</v>
      </c>
      <c r="F49" s="144" t="s">
        <v>705</v>
      </c>
      <c r="I49" t="s">
        <v>1108</v>
      </c>
    </row>
    <row r="50" spans="1:9" x14ac:dyDescent="0.2">
      <c r="A50" s="144" t="s">
        <v>880</v>
      </c>
      <c r="B50" s="145">
        <v>43661</v>
      </c>
      <c r="C50" s="144" t="s">
        <v>659</v>
      </c>
      <c r="D50" s="144">
        <v>-75</v>
      </c>
      <c r="E50" s="144" t="s">
        <v>604</v>
      </c>
      <c r="F50" s="144" t="s">
        <v>706</v>
      </c>
      <c r="I50" t="s">
        <v>1108</v>
      </c>
    </row>
    <row r="51" spans="1:9" x14ac:dyDescent="0.2">
      <c r="A51" s="144" t="s">
        <v>880</v>
      </c>
      <c r="B51" s="145">
        <v>43661</v>
      </c>
      <c r="C51" s="144" t="s">
        <v>659</v>
      </c>
      <c r="D51" s="144">
        <v>-203.62</v>
      </c>
      <c r="E51" s="144" t="s">
        <v>604</v>
      </c>
      <c r="F51" s="144" t="s">
        <v>699</v>
      </c>
      <c r="I51" t="s">
        <v>1110</v>
      </c>
    </row>
    <row r="52" spans="1:9" x14ac:dyDescent="0.2">
      <c r="A52" s="144" t="s">
        <v>880</v>
      </c>
      <c r="B52" s="145">
        <v>43661</v>
      </c>
      <c r="C52" s="144" t="s">
        <v>659</v>
      </c>
      <c r="D52" s="144">
        <v>-206.77</v>
      </c>
      <c r="E52" s="144" t="s">
        <v>604</v>
      </c>
      <c r="F52" s="144" t="s">
        <v>692</v>
      </c>
      <c r="I52" t="s">
        <v>1110</v>
      </c>
    </row>
    <row r="53" spans="1:9" x14ac:dyDescent="0.2">
      <c r="A53" s="144" t="s">
        <v>880</v>
      </c>
      <c r="B53" s="145">
        <v>43661</v>
      </c>
      <c r="C53" s="144" t="s">
        <v>659</v>
      </c>
      <c r="D53" s="144">
        <v>-213.98</v>
      </c>
      <c r="E53" s="144" t="s">
        <v>604</v>
      </c>
      <c r="F53" s="144" t="s">
        <v>693</v>
      </c>
      <c r="I53" t="s">
        <v>1110</v>
      </c>
    </row>
    <row r="54" spans="1:9" x14ac:dyDescent="0.2">
      <c r="A54" s="144" t="s">
        <v>880</v>
      </c>
      <c r="B54" s="145">
        <v>43661</v>
      </c>
      <c r="C54" s="144" t="s">
        <v>659</v>
      </c>
      <c r="D54" s="144">
        <v>-213.98</v>
      </c>
      <c r="E54" s="144" t="s">
        <v>604</v>
      </c>
      <c r="F54" s="144" t="s">
        <v>694</v>
      </c>
      <c r="I54" t="s">
        <v>1110</v>
      </c>
    </row>
    <row r="55" spans="1:9" x14ac:dyDescent="0.2">
      <c r="A55" s="144" t="s">
        <v>880</v>
      </c>
      <c r="B55" s="145">
        <v>43661</v>
      </c>
      <c r="C55" s="144" t="s">
        <v>659</v>
      </c>
      <c r="D55" s="144">
        <v>-206.82</v>
      </c>
      <c r="E55" s="144" t="s">
        <v>604</v>
      </c>
      <c r="F55" s="144" t="s">
        <v>695</v>
      </c>
      <c r="I55" t="s">
        <v>1110</v>
      </c>
    </row>
    <row r="56" spans="1:9" x14ac:dyDescent="0.2">
      <c r="A56" s="144" t="s">
        <v>880</v>
      </c>
      <c r="B56" s="145">
        <v>43661</v>
      </c>
      <c r="C56" s="144" t="s">
        <v>659</v>
      </c>
      <c r="D56" s="144">
        <v>-206.77</v>
      </c>
      <c r="E56" s="144" t="s">
        <v>604</v>
      </c>
      <c r="F56" s="144" t="s">
        <v>696</v>
      </c>
      <c r="I56" t="s">
        <v>1110</v>
      </c>
    </row>
    <row r="57" spans="1:9" x14ac:dyDescent="0.2">
      <c r="A57" s="144" t="s">
        <v>880</v>
      </c>
      <c r="B57" s="145">
        <v>43661</v>
      </c>
      <c r="C57" s="144" t="s">
        <v>659</v>
      </c>
      <c r="D57" s="144">
        <v>-206.85</v>
      </c>
      <c r="E57" s="144" t="s">
        <v>604</v>
      </c>
      <c r="F57" s="144" t="s">
        <v>697</v>
      </c>
      <c r="H57" s="148"/>
      <c r="I57" t="s">
        <v>1110</v>
      </c>
    </row>
    <row r="58" spans="1:9" x14ac:dyDescent="0.2">
      <c r="A58" s="144" t="s">
        <v>880</v>
      </c>
      <c r="B58" s="145">
        <v>43661</v>
      </c>
      <c r="C58" s="144" t="s">
        <v>659</v>
      </c>
      <c r="D58" s="144">
        <v>-206.81</v>
      </c>
      <c r="E58" s="144" t="s">
        <v>604</v>
      </c>
      <c r="F58" s="144" t="s">
        <v>698</v>
      </c>
      <c r="I58" t="s">
        <v>1110</v>
      </c>
    </row>
    <row r="59" spans="1:9" x14ac:dyDescent="0.2">
      <c r="A59" s="144" t="s">
        <v>880</v>
      </c>
      <c r="B59" s="145">
        <v>43661</v>
      </c>
      <c r="C59" s="144" t="s">
        <v>659</v>
      </c>
      <c r="D59" s="144">
        <v>-58.99</v>
      </c>
      <c r="E59" s="144" t="s">
        <v>604</v>
      </c>
      <c r="F59" s="144" t="s">
        <v>975</v>
      </c>
      <c r="H59" s="148"/>
      <c r="I59" t="s">
        <v>1108</v>
      </c>
    </row>
    <row r="60" spans="1:9" x14ac:dyDescent="0.2">
      <c r="A60" s="144" t="s">
        <v>880</v>
      </c>
      <c r="B60" s="145">
        <v>43668</v>
      </c>
      <c r="C60" s="144" t="s">
        <v>659</v>
      </c>
      <c r="D60" s="144">
        <v>197</v>
      </c>
      <c r="E60" s="144" t="s">
        <v>594</v>
      </c>
      <c r="F60" s="144" t="s">
        <v>678</v>
      </c>
      <c r="G60" s="146"/>
      <c r="H60" s="146"/>
      <c r="I60" t="s">
        <v>1108</v>
      </c>
    </row>
    <row r="61" spans="1:9" x14ac:dyDescent="0.2">
      <c r="A61" s="144" t="s">
        <v>880</v>
      </c>
      <c r="B61" s="145">
        <v>43668</v>
      </c>
      <c r="C61" s="144" t="s">
        <v>659</v>
      </c>
      <c r="D61" s="144">
        <v>-170</v>
      </c>
      <c r="E61" s="144" t="s">
        <v>593</v>
      </c>
      <c r="F61" s="144" t="s">
        <v>976</v>
      </c>
      <c r="G61" s="149" t="s">
        <v>482</v>
      </c>
      <c r="H61" s="146" t="s">
        <v>1087</v>
      </c>
      <c r="I61" t="s">
        <v>1109</v>
      </c>
    </row>
    <row r="62" spans="1:9" x14ac:dyDescent="0.2">
      <c r="A62" s="144" t="s">
        <v>880</v>
      </c>
      <c r="B62" s="145">
        <v>43668</v>
      </c>
      <c r="C62" s="144" t="s">
        <v>659</v>
      </c>
      <c r="D62" s="144">
        <v>-92</v>
      </c>
      <c r="E62" s="144" t="s">
        <v>660</v>
      </c>
      <c r="F62" s="144" t="s">
        <v>708</v>
      </c>
      <c r="H62" s="146"/>
      <c r="I62" t="s">
        <v>1108</v>
      </c>
    </row>
    <row r="63" spans="1:9" x14ac:dyDescent="0.2">
      <c r="A63" s="144" t="s">
        <v>880</v>
      </c>
      <c r="B63" s="145">
        <v>43668</v>
      </c>
      <c r="C63" s="144" t="s">
        <v>659</v>
      </c>
      <c r="D63" s="144">
        <v>-31.88</v>
      </c>
      <c r="E63" s="144" t="s">
        <v>604</v>
      </c>
      <c r="F63" s="144" t="s">
        <v>701</v>
      </c>
      <c r="I63" t="s">
        <v>1108</v>
      </c>
    </row>
    <row r="64" spans="1:9" x14ac:dyDescent="0.2">
      <c r="A64" s="144" t="s">
        <v>880</v>
      </c>
      <c r="B64" s="145">
        <v>43669</v>
      </c>
      <c r="C64" s="144" t="s">
        <v>659</v>
      </c>
      <c r="D64" s="144">
        <v>180.11</v>
      </c>
      <c r="E64" s="144" t="s">
        <v>594</v>
      </c>
      <c r="F64" s="144" t="s">
        <v>688</v>
      </c>
      <c r="I64" t="s">
        <v>1108</v>
      </c>
    </row>
    <row r="65" spans="1:9" x14ac:dyDescent="0.2">
      <c r="A65" s="144" t="s">
        <v>880</v>
      </c>
      <c r="B65" s="145">
        <v>43669</v>
      </c>
      <c r="C65" s="144" t="s">
        <v>659</v>
      </c>
      <c r="D65" s="144">
        <v>-250</v>
      </c>
      <c r="E65" s="144" t="s">
        <v>623</v>
      </c>
      <c r="F65" s="144" t="s">
        <v>700</v>
      </c>
      <c r="H65" s="146"/>
      <c r="I65" t="s">
        <v>1108</v>
      </c>
    </row>
    <row r="66" spans="1:9" x14ac:dyDescent="0.2">
      <c r="A66" s="144" t="s">
        <v>880</v>
      </c>
      <c r="B66" s="145">
        <v>43670</v>
      </c>
      <c r="C66" s="144" t="s">
        <v>659</v>
      </c>
      <c r="D66" s="144">
        <v>-10</v>
      </c>
      <c r="E66" s="144" t="s">
        <v>604</v>
      </c>
      <c r="F66" s="144" t="s">
        <v>702</v>
      </c>
      <c r="I66" t="s">
        <v>1108</v>
      </c>
    </row>
    <row r="67" spans="1:9" x14ac:dyDescent="0.2">
      <c r="A67" s="145" t="s">
        <v>880</v>
      </c>
      <c r="B67" s="145">
        <v>43671</v>
      </c>
      <c r="C67" s="144" t="s">
        <v>659</v>
      </c>
      <c r="D67" s="144">
        <v>105.64</v>
      </c>
      <c r="E67" s="144" t="s">
        <v>594</v>
      </c>
      <c r="F67" s="144" t="s">
        <v>687</v>
      </c>
      <c r="I67" t="s">
        <v>1108</v>
      </c>
    </row>
    <row r="68" spans="1:9" x14ac:dyDescent="0.2">
      <c r="A68" s="145" t="s">
        <v>880</v>
      </c>
      <c r="B68" s="145">
        <v>43672</v>
      </c>
      <c r="C68" s="144" t="s">
        <v>659</v>
      </c>
      <c r="D68" s="144">
        <v>550.79999999999995</v>
      </c>
      <c r="E68" s="144" t="s">
        <v>594</v>
      </c>
      <c r="F68" s="144" t="s">
        <v>679</v>
      </c>
      <c r="I68" t="s">
        <v>1108</v>
      </c>
    </row>
    <row r="69" spans="1:9" x14ac:dyDescent="0.2">
      <c r="A69" s="145" t="s">
        <v>880</v>
      </c>
      <c r="B69" s="145">
        <v>43672</v>
      </c>
      <c r="C69" s="144" t="s">
        <v>659</v>
      </c>
      <c r="D69" s="144">
        <v>-100</v>
      </c>
      <c r="E69" s="144" t="s">
        <v>623</v>
      </c>
      <c r="F69" s="144" t="s">
        <v>700</v>
      </c>
      <c r="I69" t="s">
        <v>1108</v>
      </c>
    </row>
    <row r="70" spans="1:9" x14ac:dyDescent="0.2">
      <c r="A70" s="145" t="s">
        <v>880</v>
      </c>
      <c r="B70" s="145">
        <v>43672</v>
      </c>
      <c r="C70" s="144" t="s">
        <v>659</v>
      </c>
      <c r="D70" s="144">
        <v>-13.51</v>
      </c>
      <c r="E70" s="144" t="s">
        <v>604</v>
      </c>
      <c r="F70" s="144" t="s">
        <v>977</v>
      </c>
      <c r="I70" t="s">
        <v>1108</v>
      </c>
    </row>
    <row r="71" spans="1:9" x14ac:dyDescent="0.2">
      <c r="A71" s="144" t="s">
        <v>880</v>
      </c>
      <c r="B71" s="145">
        <v>43675</v>
      </c>
      <c r="C71" s="144" t="s">
        <v>659</v>
      </c>
      <c r="D71" s="144">
        <v>-1200</v>
      </c>
      <c r="E71" s="144" t="s">
        <v>596</v>
      </c>
      <c r="F71" s="144" t="s">
        <v>703</v>
      </c>
      <c r="I71" t="s">
        <v>1108</v>
      </c>
    </row>
    <row r="72" spans="1:9" x14ac:dyDescent="0.2">
      <c r="A72" s="144" t="s">
        <v>880</v>
      </c>
      <c r="B72" s="145">
        <v>43675</v>
      </c>
      <c r="C72" s="144" t="s">
        <v>659</v>
      </c>
      <c r="D72" s="144">
        <v>-33</v>
      </c>
      <c r="E72" s="144" t="s">
        <v>604</v>
      </c>
      <c r="F72" s="144" t="s">
        <v>704</v>
      </c>
      <c r="I72" t="s">
        <v>1108</v>
      </c>
    </row>
    <row r="73" spans="1:9" x14ac:dyDescent="0.2">
      <c r="A73" s="144" t="s">
        <v>880</v>
      </c>
      <c r="B73" s="145">
        <v>43676</v>
      </c>
      <c r="C73" s="144" t="s">
        <v>659</v>
      </c>
      <c r="D73" s="144">
        <v>458</v>
      </c>
      <c r="E73" s="144" t="s">
        <v>594</v>
      </c>
      <c r="F73" s="144" t="s">
        <v>675</v>
      </c>
      <c r="I73" t="s">
        <v>1108</v>
      </c>
    </row>
    <row r="74" spans="1:9" x14ac:dyDescent="0.2">
      <c r="A74" s="144" t="s">
        <v>880</v>
      </c>
      <c r="B74" s="145">
        <v>43677</v>
      </c>
      <c r="C74" s="144" t="s">
        <v>659</v>
      </c>
      <c r="D74" s="144">
        <v>481.2</v>
      </c>
      <c r="E74" s="144" t="s">
        <v>594</v>
      </c>
      <c r="F74" s="144" t="s">
        <v>963</v>
      </c>
      <c r="I74" t="s">
        <v>1108</v>
      </c>
    </row>
    <row r="75" spans="1:9" x14ac:dyDescent="0.2">
      <c r="A75" s="144" t="s">
        <v>880</v>
      </c>
      <c r="B75" s="145">
        <v>43677</v>
      </c>
      <c r="C75" s="144" t="s">
        <v>659</v>
      </c>
      <c r="D75" s="144">
        <v>458</v>
      </c>
      <c r="E75" s="144" t="s">
        <v>594</v>
      </c>
      <c r="F75" s="144" t="s">
        <v>676</v>
      </c>
      <c r="G75" s="146"/>
      <c r="H75" s="146"/>
      <c r="I75" t="s">
        <v>1108</v>
      </c>
    </row>
    <row r="76" spans="1:9" x14ac:dyDescent="0.2">
      <c r="B76" s="145"/>
    </row>
    <row r="77" spans="1:9" x14ac:dyDescent="0.2">
      <c r="B77" s="145"/>
    </row>
  </sheetData>
  <autoFilter ref="A1:I77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H40" sqref="H40"/>
    </sheetView>
  </sheetViews>
  <sheetFormatPr defaultRowHeight="12.75" x14ac:dyDescent="0.2"/>
  <cols>
    <col min="1" max="1" width="9.140625" style="144"/>
    <col min="2" max="2" width="10.140625" style="144" bestFit="1" customWidth="1"/>
    <col min="3" max="3" width="17.28515625" style="144" bestFit="1" customWidth="1"/>
    <col min="4" max="4" width="9.140625" style="144"/>
    <col min="5" max="5" width="12.85546875" style="144" customWidth="1"/>
    <col min="6" max="6" width="50.140625" style="144" bestFit="1" customWidth="1"/>
    <col min="7" max="7" width="10.7109375" style="144" bestFit="1" customWidth="1"/>
    <col min="8" max="8" width="25.140625" style="144" customWidth="1"/>
    <col min="9" max="9" width="8.7109375" style="144" bestFit="1" customWidth="1"/>
    <col min="10" max="16384" width="9.140625" style="144"/>
  </cols>
  <sheetData>
    <row r="1" spans="1:9" x14ac:dyDescent="0.2">
      <c r="A1" s="144" t="s">
        <v>512</v>
      </c>
      <c r="B1" s="144" t="s">
        <v>513</v>
      </c>
      <c r="C1" s="144" t="s">
        <v>514</v>
      </c>
      <c r="D1" s="144" t="s">
        <v>515</v>
      </c>
      <c r="E1" s="144" t="s">
        <v>516</v>
      </c>
      <c r="F1" s="144" t="s">
        <v>517</v>
      </c>
      <c r="G1" s="146" t="s">
        <v>24</v>
      </c>
      <c r="H1" s="146" t="s">
        <v>548</v>
      </c>
      <c r="I1" s="146" t="s">
        <v>549</v>
      </c>
    </row>
    <row r="2" spans="1:9" x14ac:dyDescent="0.2">
      <c r="B2" s="151">
        <v>43647</v>
      </c>
      <c r="C2" t="s">
        <v>654</v>
      </c>
      <c r="D2">
        <v>-33</v>
      </c>
      <c r="E2" t="s">
        <v>623</v>
      </c>
      <c r="F2" t="s">
        <v>978</v>
      </c>
    </row>
    <row r="3" spans="1:9" x14ac:dyDescent="0.2">
      <c r="B3" s="151">
        <v>43647</v>
      </c>
      <c r="C3" t="s">
        <v>654</v>
      </c>
      <c r="D3">
        <v>-25</v>
      </c>
      <c r="E3" t="s">
        <v>623</v>
      </c>
      <c r="F3" t="s">
        <v>979</v>
      </c>
    </row>
    <row r="4" spans="1:9" x14ac:dyDescent="0.2">
      <c r="B4" s="151">
        <v>43647</v>
      </c>
      <c r="C4" t="s">
        <v>654</v>
      </c>
      <c r="D4">
        <v>-15</v>
      </c>
      <c r="E4" t="s">
        <v>623</v>
      </c>
      <c r="F4" t="s">
        <v>980</v>
      </c>
    </row>
    <row r="5" spans="1:9" x14ac:dyDescent="0.2">
      <c r="B5" s="151">
        <v>43647</v>
      </c>
      <c r="C5" t="s">
        <v>654</v>
      </c>
      <c r="D5">
        <v>-175</v>
      </c>
      <c r="E5" t="s">
        <v>593</v>
      </c>
      <c r="F5" t="s">
        <v>981</v>
      </c>
    </row>
    <row r="6" spans="1:9" x14ac:dyDescent="0.2">
      <c r="B6" s="151">
        <v>43647</v>
      </c>
      <c r="C6" t="s">
        <v>654</v>
      </c>
      <c r="D6">
        <v>-29.05</v>
      </c>
      <c r="E6" t="s">
        <v>593</v>
      </c>
      <c r="F6" t="s">
        <v>982</v>
      </c>
    </row>
    <row r="7" spans="1:9" x14ac:dyDescent="0.2">
      <c r="B7" s="151">
        <v>43647</v>
      </c>
      <c r="C7" t="s">
        <v>654</v>
      </c>
      <c r="D7">
        <v>-28.05</v>
      </c>
      <c r="E7" t="s">
        <v>593</v>
      </c>
      <c r="F7" t="s">
        <v>982</v>
      </c>
    </row>
    <row r="8" spans="1:9" x14ac:dyDescent="0.2">
      <c r="B8" s="151">
        <v>43647</v>
      </c>
      <c r="C8" t="s">
        <v>654</v>
      </c>
      <c r="D8">
        <v>-27</v>
      </c>
      <c r="E8" t="s">
        <v>593</v>
      </c>
      <c r="F8" t="s">
        <v>983</v>
      </c>
    </row>
    <row r="9" spans="1:9" x14ac:dyDescent="0.2">
      <c r="B9" s="151">
        <v>43647</v>
      </c>
      <c r="C9" t="s">
        <v>654</v>
      </c>
      <c r="D9">
        <v>-19.82</v>
      </c>
      <c r="E9" t="s">
        <v>593</v>
      </c>
      <c r="F9" t="s">
        <v>984</v>
      </c>
    </row>
    <row r="10" spans="1:9" x14ac:dyDescent="0.2">
      <c r="B10" s="151">
        <v>43647</v>
      </c>
      <c r="C10" t="s">
        <v>654</v>
      </c>
      <c r="D10">
        <v>-11.85</v>
      </c>
      <c r="E10" t="s">
        <v>593</v>
      </c>
      <c r="F10" t="s">
        <v>985</v>
      </c>
    </row>
    <row r="11" spans="1:9" x14ac:dyDescent="0.2">
      <c r="B11" s="151">
        <v>43647</v>
      </c>
      <c r="C11" t="s">
        <v>654</v>
      </c>
      <c r="D11">
        <v>-10</v>
      </c>
      <c r="E11" t="s">
        <v>593</v>
      </c>
      <c r="F11" t="s">
        <v>986</v>
      </c>
    </row>
    <row r="12" spans="1:9" x14ac:dyDescent="0.2">
      <c r="B12" s="151">
        <v>43647</v>
      </c>
      <c r="C12" t="s">
        <v>654</v>
      </c>
      <c r="D12">
        <v>-7.29</v>
      </c>
      <c r="E12" t="s">
        <v>593</v>
      </c>
      <c r="F12" t="s">
        <v>987</v>
      </c>
    </row>
    <row r="13" spans="1:9" x14ac:dyDescent="0.2">
      <c r="B13" s="151">
        <v>43647</v>
      </c>
      <c r="C13" t="s">
        <v>654</v>
      </c>
      <c r="D13">
        <v>-2</v>
      </c>
      <c r="E13" t="s">
        <v>593</v>
      </c>
      <c r="F13" t="s">
        <v>988</v>
      </c>
    </row>
    <row r="14" spans="1:9" x14ac:dyDescent="0.2">
      <c r="B14" s="151">
        <v>43647</v>
      </c>
      <c r="C14" t="s">
        <v>654</v>
      </c>
      <c r="D14">
        <v>-20</v>
      </c>
      <c r="E14" t="s">
        <v>655</v>
      </c>
      <c r="F14" t="s">
        <v>989</v>
      </c>
    </row>
    <row r="15" spans="1:9" x14ac:dyDescent="0.2">
      <c r="B15" s="151">
        <v>43647</v>
      </c>
      <c r="C15" t="s">
        <v>654</v>
      </c>
      <c r="D15">
        <v>-50.05</v>
      </c>
      <c r="E15" t="s">
        <v>593</v>
      </c>
      <c r="F15" t="s">
        <v>990</v>
      </c>
    </row>
    <row r="16" spans="1:9" x14ac:dyDescent="0.2">
      <c r="B16" s="151">
        <v>43647</v>
      </c>
      <c r="C16" t="s">
        <v>654</v>
      </c>
      <c r="D16">
        <v>-44.04</v>
      </c>
      <c r="E16" t="s">
        <v>593</v>
      </c>
      <c r="F16" t="s">
        <v>991</v>
      </c>
    </row>
    <row r="17" spans="2:6" x14ac:dyDescent="0.2">
      <c r="B17" s="151">
        <v>43647</v>
      </c>
      <c r="C17" t="s">
        <v>654</v>
      </c>
      <c r="D17">
        <v>-36.6</v>
      </c>
      <c r="E17" t="s">
        <v>593</v>
      </c>
      <c r="F17" t="s">
        <v>992</v>
      </c>
    </row>
    <row r="18" spans="2:6" x14ac:dyDescent="0.2">
      <c r="B18" s="151">
        <v>43647</v>
      </c>
      <c r="C18" t="s">
        <v>654</v>
      </c>
      <c r="D18">
        <v>-4.18</v>
      </c>
      <c r="E18" t="s">
        <v>593</v>
      </c>
      <c r="F18" t="s">
        <v>993</v>
      </c>
    </row>
    <row r="19" spans="2:6" x14ac:dyDescent="0.2">
      <c r="B19" s="151">
        <v>43647</v>
      </c>
      <c r="C19" t="s">
        <v>654</v>
      </c>
      <c r="D19">
        <v>-9.77</v>
      </c>
      <c r="E19" t="s">
        <v>604</v>
      </c>
      <c r="F19" t="s">
        <v>994</v>
      </c>
    </row>
    <row r="20" spans="2:6" x14ac:dyDescent="0.2">
      <c r="B20" s="151">
        <v>43648</v>
      </c>
      <c r="C20" t="s">
        <v>654</v>
      </c>
      <c r="D20">
        <v>-25.5</v>
      </c>
      <c r="E20" t="s">
        <v>593</v>
      </c>
      <c r="F20" t="s">
        <v>995</v>
      </c>
    </row>
    <row r="21" spans="2:6" x14ac:dyDescent="0.2">
      <c r="B21" s="151">
        <v>43649</v>
      </c>
      <c r="C21" t="s">
        <v>654</v>
      </c>
      <c r="D21">
        <v>-52.82</v>
      </c>
      <c r="E21" t="s">
        <v>593</v>
      </c>
      <c r="F21" t="s">
        <v>996</v>
      </c>
    </row>
    <row r="22" spans="2:6" x14ac:dyDescent="0.2">
      <c r="B22" s="151">
        <v>43650</v>
      </c>
      <c r="C22" t="s">
        <v>654</v>
      </c>
      <c r="D22">
        <v>-5</v>
      </c>
      <c r="E22" t="s">
        <v>623</v>
      </c>
      <c r="F22" t="s">
        <v>997</v>
      </c>
    </row>
    <row r="23" spans="2:6" x14ac:dyDescent="0.2">
      <c r="B23" s="151">
        <v>43650</v>
      </c>
      <c r="C23" t="s">
        <v>654</v>
      </c>
      <c r="D23">
        <v>-8.49</v>
      </c>
      <c r="E23" t="s">
        <v>593</v>
      </c>
      <c r="F23" t="s">
        <v>998</v>
      </c>
    </row>
    <row r="24" spans="2:6" x14ac:dyDescent="0.2">
      <c r="B24" s="151">
        <v>43650</v>
      </c>
      <c r="C24" t="s">
        <v>654</v>
      </c>
      <c r="D24">
        <v>-2.1</v>
      </c>
      <c r="E24" t="s">
        <v>593</v>
      </c>
      <c r="F24" t="s">
        <v>999</v>
      </c>
    </row>
    <row r="25" spans="2:6" x14ac:dyDescent="0.2">
      <c r="B25" s="151">
        <v>43650</v>
      </c>
      <c r="C25" t="s">
        <v>654</v>
      </c>
      <c r="D25">
        <v>-35.85</v>
      </c>
      <c r="E25" t="s">
        <v>593</v>
      </c>
      <c r="F25" t="s">
        <v>1000</v>
      </c>
    </row>
    <row r="26" spans="2:6" x14ac:dyDescent="0.2">
      <c r="B26" s="151">
        <v>43651</v>
      </c>
      <c r="C26" t="s">
        <v>654</v>
      </c>
      <c r="D26">
        <v>-26.71</v>
      </c>
      <c r="E26" t="s">
        <v>593</v>
      </c>
      <c r="F26" t="s">
        <v>1001</v>
      </c>
    </row>
    <row r="27" spans="2:6" x14ac:dyDescent="0.2">
      <c r="B27" s="151">
        <v>43651</v>
      </c>
      <c r="C27" t="s">
        <v>654</v>
      </c>
      <c r="D27">
        <v>-13.77</v>
      </c>
      <c r="E27" t="s">
        <v>593</v>
      </c>
      <c r="F27" t="s">
        <v>1002</v>
      </c>
    </row>
    <row r="28" spans="2:6" x14ac:dyDescent="0.2">
      <c r="B28" s="151">
        <v>43651</v>
      </c>
      <c r="C28" t="s">
        <v>654</v>
      </c>
      <c r="D28">
        <v>-8.92</v>
      </c>
      <c r="E28" t="s">
        <v>593</v>
      </c>
      <c r="F28" t="s">
        <v>1003</v>
      </c>
    </row>
    <row r="29" spans="2:6" x14ac:dyDescent="0.2">
      <c r="B29" s="151">
        <v>43651</v>
      </c>
      <c r="C29" t="s">
        <v>654</v>
      </c>
      <c r="D29">
        <v>-3.18</v>
      </c>
      <c r="E29" t="s">
        <v>593</v>
      </c>
      <c r="F29" t="s">
        <v>1004</v>
      </c>
    </row>
    <row r="30" spans="2:6" x14ac:dyDescent="0.2">
      <c r="B30" s="151">
        <v>43651</v>
      </c>
      <c r="C30" t="s">
        <v>654</v>
      </c>
      <c r="D30">
        <v>-2.1</v>
      </c>
      <c r="E30" t="s">
        <v>593</v>
      </c>
      <c r="F30" t="s">
        <v>1005</v>
      </c>
    </row>
    <row r="31" spans="2:6" x14ac:dyDescent="0.2">
      <c r="B31" s="151">
        <v>43651</v>
      </c>
      <c r="C31" t="s">
        <v>654</v>
      </c>
      <c r="D31">
        <v>-1.5</v>
      </c>
      <c r="E31" t="s">
        <v>593</v>
      </c>
      <c r="F31" t="s">
        <v>1001</v>
      </c>
    </row>
    <row r="32" spans="2:6" x14ac:dyDescent="0.2">
      <c r="B32" s="151">
        <v>43651</v>
      </c>
      <c r="C32" t="s">
        <v>654</v>
      </c>
      <c r="D32">
        <v>-10</v>
      </c>
      <c r="E32" t="s">
        <v>655</v>
      </c>
      <c r="F32" t="s">
        <v>1006</v>
      </c>
    </row>
    <row r="33" spans="2:8" x14ac:dyDescent="0.2">
      <c r="B33" s="151">
        <v>43654</v>
      </c>
      <c r="C33" t="s">
        <v>654</v>
      </c>
      <c r="D33">
        <v>-26.05</v>
      </c>
      <c r="E33" t="s">
        <v>593</v>
      </c>
      <c r="F33" t="s">
        <v>1007</v>
      </c>
    </row>
    <row r="34" spans="2:8" x14ac:dyDescent="0.2">
      <c r="B34" s="151">
        <v>43654</v>
      </c>
      <c r="C34" t="s">
        <v>654</v>
      </c>
      <c r="D34">
        <v>-25.9</v>
      </c>
      <c r="E34" t="s">
        <v>593</v>
      </c>
      <c r="F34" t="s">
        <v>1008</v>
      </c>
    </row>
    <row r="35" spans="2:8" x14ac:dyDescent="0.2">
      <c r="B35" s="151">
        <v>43654</v>
      </c>
      <c r="C35" t="s">
        <v>654</v>
      </c>
      <c r="D35">
        <v>-20.38</v>
      </c>
      <c r="E35" t="s">
        <v>593</v>
      </c>
      <c r="F35" t="s">
        <v>1009</v>
      </c>
    </row>
    <row r="36" spans="2:8" x14ac:dyDescent="0.2">
      <c r="B36" s="151">
        <v>43654</v>
      </c>
      <c r="C36" t="s">
        <v>654</v>
      </c>
      <c r="D36">
        <v>-14.68</v>
      </c>
      <c r="E36" t="s">
        <v>593</v>
      </c>
      <c r="F36" t="s">
        <v>1010</v>
      </c>
    </row>
    <row r="37" spans="2:8" x14ac:dyDescent="0.2">
      <c r="B37" s="151">
        <v>43654</v>
      </c>
      <c r="C37" t="s">
        <v>654</v>
      </c>
      <c r="D37">
        <v>-11.8</v>
      </c>
      <c r="E37" t="s">
        <v>593</v>
      </c>
      <c r="F37" t="s">
        <v>1011</v>
      </c>
    </row>
    <row r="38" spans="2:8" x14ac:dyDescent="0.2">
      <c r="B38" s="151">
        <v>43654</v>
      </c>
      <c r="C38" t="s">
        <v>654</v>
      </c>
      <c r="D38">
        <v>-10</v>
      </c>
      <c r="E38" t="s">
        <v>593</v>
      </c>
      <c r="F38" t="s">
        <v>1012</v>
      </c>
    </row>
    <row r="39" spans="2:8" x14ac:dyDescent="0.2">
      <c r="B39" s="151">
        <v>43654</v>
      </c>
      <c r="C39" t="s">
        <v>654</v>
      </c>
      <c r="D39">
        <v>-9.1</v>
      </c>
      <c r="E39" t="s">
        <v>593</v>
      </c>
      <c r="F39" t="s">
        <v>1013</v>
      </c>
    </row>
    <row r="40" spans="2:8" x14ac:dyDescent="0.2">
      <c r="B40" s="151">
        <v>43654</v>
      </c>
      <c r="C40" t="s">
        <v>654</v>
      </c>
      <c r="D40">
        <v>-3.4</v>
      </c>
      <c r="E40" t="s">
        <v>593</v>
      </c>
      <c r="F40" t="s">
        <v>1011</v>
      </c>
    </row>
    <row r="41" spans="2:8" x14ac:dyDescent="0.2">
      <c r="B41" s="151">
        <v>43654</v>
      </c>
      <c r="C41" t="s">
        <v>654</v>
      </c>
      <c r="D41">
        <v>-2.63</v>
      </c>
      <c r="E41" t="s">
        <v>593</v>
      </c>
      <c r="F41" t="s">
        <v>1014</v>
      </c>
    </row>
    <row r="42" spans="2:8" x14ac:dyDescent="0.2">
      <c r="B42" s="151">
        <v>43654</v>
      </c>
      <c r="C42" t="s">
        <v>654</v>
      </c>
      <c r="D42">
        <v>-0.89</v>
      </c>
      <c r="E42" t="s">
        <v>593</v>
      </c>
      <c r="F42" t="s">
        <v>1015</v>
      </c>
    </row>
    <row r="43" spans="2:8" x14ac:dyDescent="0.2">
      <c r="B43" s="151">
        <v>43654</v>
      </c>
      <c r="C43" t="s">
        <v>654</v>
      </c>
      <c r="D43">
        <v>-20</v>
      </c>
      <c r="E43" t="s">
        <v>655</v>
      </c>
      <c r="F43" t="s">
        <v>1016</v>
      </c>
    </row>
    <row r="44" spans="2:8" x14ac:dyDescent="0.2">
      <c r="B44" s="151">
        <v>43654</v>
      </c>
      <c r="C44" t="s">
        <v>654</v>
      </c>
      <c r="D44">
        <v>-44.96</v>
      </c>
      <c r="E44" t="s">
        <v>593</v>
      </c>
      <c r="F44" t="s">
        <v>1017</v>
      </c>
    </row>
    <row r="45" spans="2:8" x14ac:dyDescent="0.2">
      <c r="B45" s="151">
        <v>43654</v>
      </c>
      <c r="C45" t="s">
        <v>654</v>
      </c>
      <c r="D45">
        <v>-39.69</v>
      </c>
      <c r="E45" t="s">
        <v>593</v>
      </c>
      <c r="F45" t="s">
        <v>1018</v>
      </c>
    </row>
    <row r="46" spans="2:8" x14ac:dyDescent="0.2">
      <c r="B46" s="151">
        <v>43655</v>
      </c>
      <c r="C46" t="s">
        <v>654</v>
      </c>
      <c r="D46">
        <v>-24.25</v>
      </c>
      <c r="E46" t="s">
        <v>593</v>
      </c>
      <c r="F46" t="s">
        <v>1019</v>
      </c>
    </row>
    <row r="47" spans="2:8" x14ac:dyDescent="0.2">
      <c r="B47" s="151">
        <v>43655</v>
      </c>
      <c r="C47" t="s">
        <v>654</v>
      </c>
      <c r="D47">
        <v>-4.4000000000000004</v>
      </c>
      <c r="E47" t="s">
        <v>593</v>
      </c>
      <c r="F47" t="s">
        <v>1020</v>
      </c>
      <c r="H47" s="148"/>
    </row>
    <row r="48" spans="2:8" x14ac:dyDescent="0.2">
      <c r="B48" s="151">
        <v>43655</v>
      </c>
      <c r="C48" t="s">
        <v>654</v>
      </c>
      <c r="D48">
        <v>-2.35</v>
      </c>
      <c r="E48" t="s">
        <v>593</v>
      </c>
      <c r="F48" t="s">
        <v>1021</v>
      </c>
    </row>
    <row r="49" spans="2:6" x14ac:dyDescent="0.2">
      <c r="B49" s="151">
        <v>43655</v>
      </c>
      <c r="C49" t="s">
        <v>654</v>
      </c>
      <c r="D49">
        <v>-60</v>
      </c>
      <c r="E49" t="s">
        <v>593</v>
      </c>
      <c r="F49" t="s">
        <v>1022</v>
      </c>
    </row>
    <row r="50" spans="2:6" x14ac:dyDescent="0.2">
      <c r="B50" s="151">
        <v>43655</v>
      </c>
      <c r="C50" t="s">
        <v>654</v>
      </c>
      <c r="D50">
        <v>-36.64</v>
      </c>
      <c r="E50" t="s">
        <v>593</v>
      </c>
      <c r="F50" t="s">
        <v>1023</v>
      </c>
    </row>
    <row r="51" spans="2:6" x14ac:dyDescent="0.2">
      <c r="B51" s="151">
        <v>43655</v>
      </c>
      <c r="C51" t="s">
        <v>654</v>
      </c>
      <c r="D51">
        <v>-50</v>
      </c>
      <c r="E51" t="s">
        <v>655</v>
      </c>
      <c r="F51" t="s">
        <v>1024</v>
      </c>
    </row>
    <row r="52" spans="2:6" x14ac:dyDescent="0.2">
      <c r="B52" s="151">
        <v>43656</v>
      </c>
      <c r="C52" t="s">
        <v>654</v>
      </c>
      <c r="D52">
        <v>-14.07</v>
      </c>
      <c r="E52" t="s">
        <v>593</v>
      </c>
      <c r="F52" t="s">
        <v>1025</v>
      </c>
    </row>
    <row r="53" spans="2:6" x14ac:dyDescent="0.2">
      <c r="B53" s="151">
        <v>43656</v>
      </c>
      <c r="C53" t="s">
        <v>654</v>
      </c>
      <c r="D53">
        <v>-11.63</v>
      </c>
      <c r="E53" t="s">
        <v>593</v>
      </c>
      <c r="F53" t="s">
        <v>1026</v>
      </c>
    </row>
    <row r="54" spans="2:6" x14ac:dyDescent="0.2">
      <c r="B54" s="151">
        <v>43656</v>
      </c>
      <c r="C54" t="s">
        <v>654</v>
      </c>
      <c r="D54">
        <v>-4.4000000000000004</v>
      </c>
      <c r="E54" t="s">
        <v>593</v>
      </c>
      <c r="F54" t="s">
        <v>1027</v>
      </c>
    </row>
    <row r="55" spans="2:6" x14ac:dyDescent="0.2">
      <c r="B55" s="151">
        <v>43656</v>
      </c>
      <c r="C55" t="s">
        <v>654</v>
      </c>
      <c r="D55">
        <v>-2.25</v>
      </c>
      <c r="E55" t="s">
        <v>593</v>
      </c>
      <c r="F55" t="s">
        <v>1025</v>
      </c>
    </row>
    <row r="56" spans="2:6" x14ac:dyDescent="0.2">
      <c r="B56" s="151">
        <v>43656</v>
      </c>
      <c r="C56" t="s">
        <v>654</v>
      </c>
      <c r="D56">
        <v>-30.95</v>
      </c>
      <c r="E56" t="s">
        <v>655</v>
      </c>
      <c r="F56" t="s">
        <v>1028</v>
      </c>
    </row>
    <row r="57" spans="2:6" x14ac:dyDescent="0.2">
      <c r="B57" s="151">
        <v>43656</v>
      </c>
      <c r="C57" t="s">
        <v>654</v>
      </c>
      <c r="D57">
        <v>-53.7</v>
      </c>
      <c r="E57" t="s">
        <v>593</v>
      </c>
      <c r="F57" t="s">
        <v>1029</v>
      </c>
    </row>
    <row r="58" spans="2:6" x14ac:dyDescent="0.2">
      <c r="B58" s="151">
        <v>43656</v>
      </c>
      <c r="C58" t="s">
        <v>654</v>
      </c>
      <c r="D58">
        <v>-1.8</v>
      </c>
      <c r="E58" t="s">
        <v>593</v>
      </c>
      <c r="F58" t="s">
        <v>1030</v>
      </c>
    </row>
    <row r="59" spans="2:6" x14ac:dyDescent="0.2">
      <c r="B59" s="151">
        <v>43657</v>
      </c>
      <c r="C59" t="s">
        <v>654</v>
      </c>
      <c r="D59">
        <v>250</v>
      </c>
      <c r="E59" t="s">
        <v>623</v>
      </c>
      <c r="F59" t="s">
        <v>656</v>
      </c>
    </row>
    <row r="60" spans="2:6" x14ac:dyDescent="0.2">
      <c r="B60" s="151">
        <v>43657</v>
      </c>
      <c r="C60" t="s">
        <v>654</v>
      </c>
      <c r="D60">
        <v>7.99</v>
      </c>
      <c r="E60" t="s">
        <v>936</v>
      </c>
      <c r="F60" t="s">
        <v>1031</v>
      </c>
    </row>
    <row r="61" spans="2:6" x14ac:dyDescent="0.2">
      <c r="B61" s="151">
        <v>43657</v>
      </c>
      <c r="C61" t="s">
        <v>654</v>
      </c>
      <c r="D61">
        <v>20</v>
      </c>
      <c r="E61" t="s">
        <v>707</v>
      </c>
      <c r="F61" t="s">
        <v>1032</v>
      </c>
    </row>
    <row r="62" spans="2:6" x14ac:dyDescent="0.2">
      <c r="B62" s="151">
        <v>43657</v>
      </c>
      <c r="C62" t="s">
        <v>654</v>
      </c>
      <c r="D62">
        <v>-75.599999999999994</v>
      </c>
      <c r="E62" t="s">
        <v>593</v>
      </c>
      <c r="F62" t="s">
        <v>1032</v>
      </c>
    </row>
    <row r="63" spans="2:6" x14ac:dyDescent="0.2">
      <c r="B63" s="151">
        <v>43658</v>
      </c>
      <c r="C63" t="s">
        <v>654</v>
      </c>
      <c r="D63">
        <v>-26.24</v>
      </c>
      <c r="E63" t="s">
        <v>593</v>
      </c>
      <c r="F63" t="s">
        <v>1033</v>
      </c>
    </row>
    <row r="64" spans="2:6" x14ac:dyDescent="0.2">
      <c r="B64" s="151">
        <v>43658</v>
      </c>
      <c r="C64" t="s">
        <v>654</v>
      </c>
      <c r="D64">
        <v>-6.18</v>
      </c>
      <c r="E64" t="s">
        <v>593</v>
      </c>
      <c r="F64" t="s">
        <v>1034</v>
      </c>
    </row>
    <row r="65" spans="2:6" x14ac:dyDescent="0.2">
      <c r="B65" s="151">
        <v>43661</v>
      </c>
      <c r="C65" t="s">
        <v>654</v>
      </c>
      <c r="D65">
        <v>26</v>
      </c>
      <c r="E65" t="s">
        <v>936</v>
      </c>
      <c r="F65" t="s">
        <v>1035</v>
      </c>
    </row>
    <row r="66" spans="2:6" x14ac:dyDescent="0.2">
      <c r="B66" s="151">
        <v>43661</v>
      </c>
      <c r="C66" t="s">
        <v>654</v>
      </c>
      <c r="D66">
        <v>-20</v>
      </c>
      <c r="E66" t="s">
        <v>623</v>
      </c>
      <c r="F66" t="s">
        <v>1036</v>
      </c>
    </row>
    <row r="67" spans="2:6" x14ac:dyDescent="0.2">
      <c r="B67" s="151">
        <v>43661</v>
      </c>
      <c r="C67" t="s">
        <v>654</v>
      </c>
      <c r="D67">
        <v>-30</v>
      </c>
      <c r="E67" t="s">
        <v>593</v>
      </c>
      <c r="F67" t="s">
        <v>1037</v>
      </c>
    </row>
    <row r="68" spans="2:6" x14ac:dyDescent="0.2">
      <c r="B68" s="151">
        <v>43661</v>
      </c>
      <c r="C68" t="s">
        <v>654</v>
      </c>
      <c r="D68">
        <v>-27.74</v>
      </c>
      <c r="E68" t="s">
        <v>593</v>
      </c>
      <c r="F68" t="s">
        <v>1037</v>
      </c>
    </row>
    <row r="69" spans="2:6" x14ac:dyDescent="0.2">
      <c r="B69" s="151">
        <v>43661</v>
      </c>
      <c r="C69" t="s">
        <v>654</v>
      </c>
      <c r="D69">
        <v>-7.99</v>
      </c>
      <c r="E69" t="s">
        <v>593</v>
      </c>
      <c r="F69" t="s">
        <v>1038</v>
      </c>
    </row>
    <row r="70" spans="2:6" x14ac:dyDescent="0.2">
      <c r="B70" s="151">
        <v>43661</v>
      </c>
      <c r="C70" t="s">
        <v>654</v>
      </c>
      <c r="D70">
        <v>-5.14</v>
      </c>
      <c r="E70" t="s">
        <v>593</v>
      </c>
      <c r="F70" t="s">
        <v>1039</v>
      </c>
    </row>
    <row r="71" spans="2:6" x14ac:dyDescent="0.2">
      <c r="B71" s="151">
        <v>43661</v>
      </c>
      <c r="C71" t="s">
        <v>654</v>
      </c>
      <c r="D71">
        <v>-40.159999999999997</v>
      </c>
      <c r="E71" t="s">
        <v>593</v>
      </c>
      <c r="F71" t="s">
        <v>1040</v>
      </c>
    </row>
    <row r="72" spans="2:6" x14ac:dyDescent="0.2">
      <c r="B72" s="151">
        <v>43661</v>
      </c>
      <c r="C72" t="s">
        <v>654</v>
      </c>
      <c r="D72">
        <v>-34</v>
      </c>
      <c r="E72" t="s">
        <v>593</v>
      </c>
      <c r="F72" t="s">
        <v>1041</v>
      </c>
    </row>
    <row r="73" spans="2:6" x14ac:dyDescent="0.2">
      <c r="B73" s="151">
        <v>43661</v>
      </c>
      <c r="C73" t="s">
        <v>654</v>
      </c>
      <c r="D73">
        <v>-33.1</v>
      </c>
      <c r="E73" t="s">
        <v>593</v>
      </c>
      <c r="F73" t="s">
        <v>1042</v>
      </c>
    </row>
    <row r="74" spans="2:6" x14ac:dyDescent="0.2">
      <c r="B74" s="151">
        <v>43668</v>
      </c>
      <c r="C74" t="s">
        <v>654</v>
      </c>
      <c r="D74">
        <v>-24.88</v>
      </c>
      <c r="E74" t="s">
        <v>593</v>
      </c>
      <c r="F74" t="s">
        <v>1043</v>
      </c>
    </row>
    <row r="75" spans="2:6" x14ac:dyDescent="0.2">
      <c r="B75" s="151">
        <v>43668</v>
      </c>
      <c r="C75" t="s">
        <v>654</v>
      </c>
      <c r="D75">
        <v>-23.04</v>
      </c>
      <c r="E75" t="s">
        <v>593</v>
      </c>
      <c r="F75" t="s">
        <v>1044</v>
      </c>
    </row>
    <row r="76" spans="2:6" x14ac:dyDescent="0.2">
      <c r="B76" s="151">
        <v>43668</v>
      </c>
      <c r="C76" t="s">
        <v>654</v>
      </c>
      <c r="D76">
        <v>-10.08</v>
      </c>
      <c r="E76" t="s">
        <v>593</v>
      </c>
      <c r="F76" t="s">
        <v>1045</v>
      </c>
    </row>
    <row r="77" spans="2:6" x14ac:dyDescent="0.2">
      <c r="B77" s="151">
        <v>43668</v>
      </c>
      <c r="C77" t="s">
        <v>654</v>
      </c>
      <c r="D77">
        <v>-7.81</v>
      </c>
      <c r="E77" t="s">
        <v>593</v>
      </c>
      <c r="F77" t="s">
        <v>1045</v>
      </c>
    </row>
    <row r="78" spans="2:6" x14ac:dyDescent="0.2">
      <c r="B78" s="151">
        <v>43669</v>
      </c>
      <c r="C78" t="s">
        <v>654</v>
      </c>
      <c r="D78">
        <v>250</v>
      </c>
      <c r="E78" t="s">
        <v>623</v>
      </c>
      <c r="F78" t="s">
        <v>656</v>
      </c>
    </row>
    <row r="79" spans="2:6" x14ac:dyDescent="0.2">
      <c r="B79" s="151">
        <v>43669</v>
      </c>
      <c r="C79" t="s">
        <v>654</v>
      </c>
      <c r="D79">
        <v>-15.47</v>
      </c>
      <c r="E79" t="s">
        <v>593</v>
      </c>
      <c r="F79" t="s">
        <v>1046</v>
      </c>
    </row>
    <row r="80" spans="2:6" x14ac:dyDescent="0.2">
      <c r="B80" s="151">
        <v>43670</v>
      </c>
      <c r="C80" t="s">
        <v>654</v>
      </c>
      <c r="D80">
        <v>-17.489999999999998</v>
      </c>
      <c r="E80" t="s">
        <v>593</v>
      </c>
      <c r="F80" t="s">
        <v>1047</v>
      </c>
    </row>
    <row r="81" spans="2:6" x14ac:dyDescent="0.2">
      <c r="B81" s="151">
        <v>43670</v>
      </c>
      <c r="C81" t="s">
        <v>654</v>
      </c>
      <c r="D81">
        <v>-15.67</v>
      </c>
      <c r="E81" t="s">
        <v>593</v>
      </c>
      <c r="F81" t="s">
        <v>1048</v>
      </c>
    </row>
    <row r="82" spans="2:6" x14ac:dyDescent="0.2">
      <c r="B82" s="151">
        <v>43670</v>
      </c>
      <c r="C82" t="s">
        <v>654</v>
      </c>
      <c r="D82">
        <v>-8.2799999999999994</v>
      </c>
      <c r="E82" t="s">
        <v>593</v>
      </c>
      <c r="F82" t="s">
        <v>640</v>
      </c>
    </row>
    <row r="83" spans="2:6" x14ac:dyDescent="0.2">
      <c r="B83" s="151">
        <v>43670</v>
      </c>
      <c r="C83" t="s">
        <v>654</v>
      </c>
      <c r="D83">
        <v>-2</v>
      </c>
      <c r="E83" t="s">
        <v>593</v>
      </c>
      <c r="F83" t="s">
        <v>1049</v>
      </c>
    </row>
    <row r="84" spans="2:6" x14ac:dyDescent="0.2">
      <c r="B84" s="151">
        <v>43670</v>
      </c>
      <c r="C84" t="s">
        <v>654</v>
      </c>
      <c r="D84">
        <v>-39.99</v>
      </c>
      <c r="E84" t="s">
        <v>593</v>
      </c>
      <c r="F84" t="s">
        <v>1050</v>
      </c>
    </row>
    <row r="85" spans="2:6" x14ac:dyDescent="0.2">
      <c r="B85" s="151">
        <v>43670</v>
      </c>
      <c r="C85" t="s">
        <v>654</v>
      </c>
      <c r="D85">
        <v>-39.97</v>
      </c>
      <c r="E85" t="s">
        <v>593</v>
      </c>
      <c r="F85" t="s">
        <v>1051</v>
      </c>
    </row>
    <row r="86" spans="2:6" x14ac:dyDescent="0.2">
      <c r="B86" s="151">
        <v>43670</v>
      </c>
      <c r="C86" t="s">
        <v>654</v>
      </c>
      <c r="D86">
        <v>-30.97</v>
      </c>
      <c r="E86" t="s">
        <v>593</v>
      </c>
      <c r="F86" t="s">
        <v>1052</v>
      </c>
    </row>
    <row r="87" spans="2:6" x14ac:dyDescent="0.2">
      <c r="B87" s="151">
        <v>43671</v>
      </c>
      <c r="C87" t="s">
        <v>654</v>
      </c>
      <c r="D87">
        <v>-19.989999999999998</v>
      </c>
      <c r="E87" t="s">
        <v>593</v>
      </c>
      <c r="F87" t="s">
        <v>1053</v>
      </c>
    </row>
    <row r="88" spans="2:6" x14ac:dyDescent="0.2">
      <c r="B88" s="151">
        <v>43671</v>
      </c>
      <c r="C88" t="s">
        <v>654</v>
      </c>
      <c r="D88">
        <v>-6.53</v>
      </c>
      <c r="E88" t="s">
        <v>593</v>
      </c>
      <c r="F88" t="s">
        <v>1054</v>
      </c>
    </row>
    <row r="89" spans="2:6" x14ac:dyDescent="0.2">
      <c r="B89" s="151">
        <v>43671</v>
      </c>
      <c r="C89" t="s">
        <v>654</v>
      </c>
      <c r="D89">
        <v>-35.33</v>
      </c>
      <c r="E89" t="s">
        <v>593</v>
      </c>
      <c r="F89" t="s">
        <v>1055</v>
      </c>
    </row>
    <row r="90" spans="2:6" x14ac:dyDescent="0.2">
      <c r="B90" s="151">
        <v>43672</v>
      </c>
      <c r="C90" t="s">
        <v>654</v>
      </c>
      <c r="D90">
        <v>100</v>
      </c>
      <c r="E90" t="s">
        <v>623</v>
      </c>
      <c r="F90" t="s">
        <v>656</v>
      </c>
    </row>
    <row r="91" spans="2:6" x14ac:dyDescent="0.2">
      <c r="B91" s="151">
        <v>43672</v>
      </c>
      <c r="C91" t="s">
        <v>654</v>
      </c>
      <c r="D91">
        <v>-43.37</v>
      </c>
      <c r="E91" t="s">
        <v>593</v>
      </c>
      <c r="F91" t="s">
        <v>1056</v>
      </c>
    </row>
    <row r="92" spans="2:6" x14ac:dyDescent="0.2">
      <c r="B92" s="151">
        <v>43675</v>
      </c>
      <c r="C92" t="s">
        <v>654</v>
      </c>
      <c r="D92">
        <v>1200</v>
      </c>
      <c r="E92" t="s">
        <v>657</v>
      </c>
      <c r="F92" t="s">
        <v>658</v>
      </c>
    </row>
    <row r="93" spans="2:6" x14ac:dyDescent="0.2">
      <c r="B93" s="151">
        <v>43675</v>
      </c>
      <c r="C93" t="s">
        <v>654</v>
      </c>
      <c r="D93">
        <v>-25.98</v>
      </c>
      <c r="E93" t="s">
        <v>593</v>
      </c>
      <c r="F93" t="s">
        <v>1057</v>
      </c>
    </row>
    <row r="94" spans="2:6" x14ac:dyDescent="0.2">
      <c r="B94" s="151">
        <v>43675</v>
      </c>
      <c r="C94" t="s">
        <v>654</v>
      </c>
      <c r="D94">
        <v>-23.07</v>
      </c>
      <c r="E94" t="s">
        <v>593</v>
      </c>
      <c r="F94" t="s">
        <v>1058</v>
      </c>
    </row>
    <row r="95" spans="2:6" x14ac:dyDescent="0.2">
      <c r="B95" s="151">
        <v>43675</v>
      </c>
      <c r="C95" t="s">
        <v>654</v>
      </c>
      <c r="D95">
        <v>-8.99</v>
      </c>
      <c r="E95" t="s">
        <v>593</v>
      </c>
      <c r="F95" t="s">
        <v>1059</v>
      </c>
    </row>
    <row r="96" spans="2:6" x14ac:dyDescent="0.2">
      <c r="B96" s="151">
        <v>43675</v>
      </c>
      <c r="C96" t="s">
        <v>654</v>
      </c>
      <c r="D96">
        <v>-6.75</v>
      </c>
      <c r="E96" t="s">
        <v>593</v>
      </c>
      <c r="F96" t="s">
        <v>1060</v>
      </c>
    </row>
    <row r="97" spans="2:8" x14ac:dyDescent="0.2">
      <c r="B97" s="151">
        <v>43675</v>
      </c>
      <c r="C97" t="s">
        <v>654</v>
      </c>
      <c r="D97">
        <v>-4.25</v>
      </c>
      <c r="E97" t="s">
        <v>593</v>
      </c>
      <c r="F97" t="s">
        <v>1061</v>
      </c>
    </row>
    <row r="98" spans="2:8" x14ac:dyDescent="0.2">
      <c r="B98" s="151">
        <v>43675</v>
      </c>
      <c r="C98" t="s">
        <v>654</v>
      </c>
      <c r="D98">
        <v>-2.09</v>
      </c>
      <c r="E98" t="s">
        <v>593</v>
      </c>
      <c r="F98" t="s">
        <v>1062</v>
      </c>
    </row>
    <row r="99" spans="2:8" x14ac:dyDescent="0.2">
      <c r="B99" s="151">
        <v>43675</v>
      </c>
      <c r="C99" t="s">
        <v>654</v>
      </c>
      <c r="D99">
        <v>-40.229999999999997</v>
      </c>
      <c r="E99" t="s">
        <v>593</v>
      </c>
      <c r="F99" t="s">
        <v>1063</v>
      </c>
    </row>
    <row r="100" spans="2:8" x14ac:dyDescent="0.2">
      <c r="B100" s="151">
        <v>43675</v>
      </c>
      <c r="C100" t="s">
        <v>654</v>
      </c>
      <c r="D100">
        <v>-28.85</v>
      </c>
      <c r="E100" t="s">
        <v>593</v>
      </c>
      <c r="F100" t="s">
        <v>1064</v>
      </c>
      <c r="H100" s="146"/>
    </row>
    <row r="101" spans="2:8" x14ac:dyDescent="0.2">
      <c r="B101" s="151">
        <v>43675</v>
      </c>
      <c r="C101" t="s">
        <v>654</v>
      </c>
      <c r="D101">
        <v>-4.18</v>
      </c>
      <c r="E101" t="s">
        <v>593</v>
      </c>
      <c r="F101" t="s">
        <v>1065</v>
      </c>
    </row>
    <row r="102" spans="2:8" x14ac:dyDescent="0.2">
      <c r="B102" s="145">
        <v>43675</v>
      </c>
      <c r="C102" s="144" t="s">
        <v>654</v>
      </c>
      <c r="D102" s="144">
        <v>-10.32</v>
      </c>
      <c r="E102" s="144" t="s">
        <v>604</v>
      </c>
      <c r="F102" s="144" t="s">
        <v>1066</v>
      </c>
    </row>
    <row r="103" spans="2:8" x14ac:dyDescent="0.2">
      <c r="B103" s="145">
        <v>43676</v>
      </c>
      <c r="C103" s="144" t="s">
        <v>654</v>
      </c>
      <c r="D103" s="144">
        <v>-11.95</v>
      </c>
      <c r="E103" s="144" t="s">
        <v>593</v>
      </c>
      <c r="F103" s="144" t="s">
        <v>1067</v>
      </c>
    </row>
    <row r="104" spans="2:8" x14ac:dyDescent="0.2">
      <c r="B104" s="145">
        <v>43676</v>
      </c>
      <c r="C104" s="144" t="s">
        <v>654</v>
      </c>
      <c r="D104" s="144">
        <v>-8.6999999999999993</v>
      </c>
      <c r="E104" s="144" t="s">
        <v>593</v>
      </c>
      <c r="F104" s="144" t="s">
        <v>640</v>
      </c>
    </row>
    <row r="105" spans="2:8" x14ac:dyDescent="0.2">
      <c r="B105" s="145">
        <v>43676</v>
      </c>
      <c r="C105" s="144" t="s">
        <v>654</v>
      </c>
      <c r="D105" s="144">
        <v>-1.3</v>
      </c>
      <c r="E105" s="144" t="s">
        <v>593</v>
      </c>
      <c r="F105" s="144" t="s">
        <v>1068</v>
      </c>
    </row>
    <row r="106" spans="2:8" x14ac:dyDescent="0.2">
      <c r="B106" s="145">
        <v>43676</v>
      </c>
      <c r="C106" s="144" t="s">
        <v>654</v>
      </c>
      <c r="D106" s="144">
        <v>-2.4</v>
      </c>
      <c r="E106" s="144" t="s">
        <v>593</v>
      </c>
      <c r="F106" s="144" t="s">
        <v>1069</v>
      </c>
    </row>
    <row r="107" spans="2:8" x14ac:dyDescent="0.2">
      <c r="B107" s="145">
        <v>43677</v>
      </c>
      <c r="C107" s="144" t="s">
        <v>654</v>
      </c>
      <c r="D107" s="144">
        <v>-23.69</v>
      </c>
      <c r="E107" s="144" t="s">
        <v>593</v>
      </c>
      <c r="F107" s="144" t="s">
        <v>1070</v>
      </c>
    </row>
    <row r="108" spans="2:8" x14ac:dyDescent="0.2">
      <c r="B108" s="145">
        <v>43677</v>
      </c>
      <c r="C108" s="144" t="s">
        <v>654</v>
      </c>
      <c r="D108" s="144">
        <v>-14.16</v>
      </c>
      <c r="E108" s="144" t="s">
        <v>593</v>
      </c>
      <c r="F108" s="144" t="s">
        <v>1071</v>
      </c>
    </row>
    <row r="109" spans="2:8" x14ac:dyDescent="0.2">
      <c r="B109" s="145">
        <v>43677</v>
      </c>
      <c r="C109" s="144" t="s">
        <v>654</v>
      </c>
      <c r="D109" s="144">
        <v>-2</v>
      </c>
      <c r="E109" s="144" t="s">
        <v>593</v>
      </c>
      <c r="F109" s="144" t="s">
        <v>1070</v>
      </c>
    </row>
    <row r="110" spans="2:8" x14ac:dyDescent="0.2">
      <c r="B110" s="145">
        <v>43677</v>
      </c>
      <c r="C110" s="144" t="s">
        <v>654</v>
      </c>
      <c r="D110" s="144">
        <v>-43.5</v>
      </c>
      <c r="E110" s="144" t="s">
        <v>593</v>
      </c>
      <c r="F110" s="144" t="s">
        <v>1072</v>
      </c>
    </row>
    <row r="111" spans="2:8" x14ac:dyDescent="0.2">
      <c r="B111" s="145">
        <v>43677</v>
      </c>
      <c r="C111" s="144" t="s">
        <v>654</v>
      </c>
      <c r="D111" s="144">
        <v>-31.8</v>
      </c>
      <c r="E111" s="144" t="s">
        <v>593</v>
      </c>
      <c r="F111" s="144" t="s">
        <v>1073</v>
      </c>
    </row>
    <row r="112" spans="2:8" x14ac:dyDescent="0.2">
      <c r="B112" s="145"/>
    </row>
    <row r="113" spans="2:8" x14ac:dyDescent="0.2">
      <c r="B113" s="145"/>
      <c r="H113" s="146"/>
    </row>
    <row r="114" spans="2:8" x14ac:dyDescent="0.2">
      <c r="B114" s="145"/>
    </row>
    <row r="115" spans="2:8" x14ac:dyDescent="0.2">
      <c r="B115" s="145"/>
    </row>
    <row r="116" spans="2:8" x14ac:dyDescent="0.2">
      <c r="B116" s="145"/>
    </row>
    <row r="117" spans="2:8" x14ac:dyDescent="0.2">
      <c r="B117" s="145"/>
    </row>
    <row r="118" spans="2:8" x14ac:dyDescent="0.2">
      <c r="B118" s="145"/>
    </row>
    <row r="119" spans="2:8" x14ac:dyDescent="0.2">
      <c r="B119" s="145"/>
    </row>
    <row r="120" spans="2:8" x14ac:dyDescent="0.2">
      <c r="B120" s="145"/>
    </row>
    <row r="121" spans="2:8" x14ac:dyDescent="0.2">
      <c r="B121" s="145"/>
    </row>
    <row r="122" spans="2:8" x14ac:dyDescent="0.2">
      <c r="B122" s="145"/>
    </row>
    <row r="123" spans="2:8" x14ac:dyDescent="0.2">
      <c r="B123" s="145"/>
    </row>
    <row r="124" spans="2:8" x14ac:dyDescent="0.2">
      <c r="B124" s="145"/>
    </row>
    <row r="125" spans="2:8" x14ac:dyDescent="0.2">
      <c r="B125" s="145"/>
    </row>
    <row r="126" spans="2:8" x14ac:dyDescent="0.2">
      <c r="B126" s="145"/>
    </row>
    <row r="127" spans="2:8" x14ac:dyDescent="0.2">
      <c r="B127" s="145"/>
    </row>
    <row r="128" spans="2:8" x14ac:dyDescent="0.2">
      <c r="B128" s="145"/>
      <c r="H128" s="146"/>
    </row>
    <row r="129" spans="2:2" x14ac:dyDescent="0.2">
      <c r="B129" s="145"/>
    </row>
    <row r="130" spans="2:2" x14ac:dyDescent="0.2">
      <c r="B130" s="145"/>
    </row>
    <row r="131" spans="2:2" x14ac:dyDescent="0.2">
      <c r="B131" s="145"/>
    </row>
    <row r="132" spans="2:2" x14ac:dyDescent="0.2">
      <c r="B132" s="145"/>
    </row>
    <row r="133" spans="2:2" x14ac:dyDescent="0.2">
      <c r="B133" s="145"/>
    </row>
    <row r="134" spans="2:2" x14ac:dyDescent="0.2">
      <c r="B134" s="145"/>
    </row>
    <row r="135" spans="2:2" x14ac:dyDescent="0.2">
      <c r="B135" s="145"/>
    </row>
    <row r="136" spans="2:2" x14ac:dyDescent="0.2">
      <c r="B136" s="145"/>
    </row>
    <row r="137" spans="2:2" x14ac:dyDescent="0.2">
      <c r="B137" s="145"/>
    </row>
    <row r="138" spans="2:2" x14ac:dyDescent="0.2">
      <c r="B138" s="145"/>
    </row>
    <row r="139" spans="2:2" x14ac:dyDescent="0.2">
      <c r="B139" s="145"/>
    </row>
    <row r="140" spans="2:2" x14ac:dyDescent="0.2">
      <c r="B140" s="145"/>
    </row>
    <row r="141" spans="2:2" x14ac:dyDescent="0.2">
      <c r="B141" s="145"/>
    </row>
    <row r="142" spans="2:2" x14ac:dyDescent="0.2">
      <c r="B142" s="145"/>
    </row>
    <row r="143" spans="2:2" x14ac:dyDescent="0.2">
      <c r="B143" s="145"/>
    </row>
    <row r="144" spans="2:2" x14ac:dyDescent="0.2">
      <c r="B144" s="145"/>
    </row>
    <row r="145" spans="2:2" x14ac:dyDescent="0.2">
      <c r="B145" s="145"/>
    </row>
    <row r="146" spans="2:2" x14ac:dyDescent="0.2">
      <c r="B146" s="145"/>
    </row>
    <row r="147" spans="2:2" x14ac:dyDescent="0.2">
      <c r="B147" s="145"/>
    </row>
    <row r="148" spans="2:2" x14ac:dyDescent="0.2">
      <c r="B148" s="145"/>
    </row>
    <row r="149" spans="2:2" x14ac:dyDescent="0.2">
      <c r="B149" s="145"/>
    </row>
    <row r="150" spans="2:2" x14ac:dyDescent="0.2">
      <c r="B150" s="145"/>
    </row>
    <row r="151" spans="2:2" x14ac:dyDescent="0.2">
      <c r="B151" s="145"/>
    </row>
    <row r="152" spans="2:2" x14ac:dyDescent="0.2">
      <c r="B152" s="145"/>
    </row>
    <row r="153" spans="2:2" x14ac:dyDescent="0.2">
      <c r="B153" s="145"/>
    </row>
    <row r="154" spans="2:2" x14ac:dyDescent="0.2">
      <c r="B154" s="145"/>
    </row>
    <row r="155" spans="2:2" x14ac:dyDescent="0.2">
      <c r="B155" s="145"/>
    </row>
    <row r="156" spans="2:2" x14ac:dyDescent="0.2">
      <c r="B156" s="145"/>
    </row>
    <row r="157" spans="2:2" x14ac:dyDescent="0.2">
      <c r="B157" s="145"/>
    </row>
    <row r="158" spans="2:2" x14ac:dyDescent="0.2">
      <c r="B158" s="145"/>
    </row>
    <row r="159" spans="2:2" x14ac:dyDescent="0.2">
      <c r="B159" s="145"/>
    </row>
    <row r="160" spans="2:2" x14ac:dyDescent="0.2">
      <c r="B160" s="145"/>
    </row>
    <row r="161" spans="2:2" x14ac:dyDescent="0.2">
      <c r="B161" s="145"/>
    </row>
    <row r="162" spans="2:2" x14ac:dyDescent="0.2">
      <c r="B162" s="145"/>
    </row>
    <row r="163" spans="2:2" x14ac:dyDescent="0.2">
      <c r="B163" s="145"/>
    </row>
    <row r="164" spans="2:2" x14ac:dyDescent="0.2">
      <c r="B164" s="145"/>
    </row>
    <row r="165" spans="2:2" x14ac:dyDescent="0.2">
      <c r="B165" s="145"/>
    </row>
    <row r="166" spans="2:2" x14ac:dyDescent="0.2">
      <c r="B166" s="145"/>
    </row>
    <row r="167" spans="2:2" x14ac:dyDescent="0.2">
      <c r="B167" s="145"/>
    </row>
    <row r="168" spans="2:2" x14ac:dyDescent="0.2">
      <c r="B168" s="145"/>
    </row>
    <row r="169" spans="2:2" x14ac:dyDescent="0.2">
      <c r="B169" s="145"/>
    </row>
    <row r="170" spans="2:2" x14ac:dyDescent="0.2">
      <c r="B170" s="145"/>
    </row>
    <row r="171" spans="2:2" x14ac:dyDescent="0.2">
      <c r="B171" s="145"/>
    </row>
    <row r="172" spans="2:2" x14ac:dyDescent="0.2">
      <c r="B172" s="145"/>
    </row>
    <row r="173" spans="2:2" x14ac:dyDescent="0.2">
      <c r="B173" s="145"/>
    </row>
    <row r="174" spans="2:2" x14ac:dyDescent="0.2">
      <c r="B174" s="145"/>
    </row>
    <row r="175" spans="2:2" x14ac:dyDescent="0.2">
      <c r="B175" s="145"/>
    </row>
    <row r="176" spans="2:2" x14ac:dyDescent="0.2">
      <c r="B176" s="145"/>
    </row>
    <row r="177" spans="2:2" x14ac:dyDescent="0.2">
      <c r="B177" s="145"/>
    </row>
    <row r="178" spans="2:2" x14ac:dyDescent="0.2">
      <c r="B178" s="145"/>
    </row>
    <row r="179" spans="2:2" x14ac:dyDescent="0.2">
      <c r="B179" s="145"/>
    </row>
    <row r="180" spans="2:2" x14ac:dyDescent="0.2">
      <c r="B180" s="145"/>
    </row>
    <row r="181" spans="2:2" x14ac:dyDescent="0.2">
      <c r="B181" s="145"/>
    </row>
    <row r="182" spans="2:2" x14ac:dyDescent="0.2">
      <c r="B182" s="145"/>
    </row>
    <row r="183" spans="2:2" x14ac:dyDescent="0.2">
      <c r="B183" s="145"/>
    </row>
    <row r="184" spans="2:2" x14ac:dyDescent="0.2">
      <c r="B184" s="145"/>
    </row>
    <row r="185" spans="2:2" x14ac:dyDescent="0.2">
      <c r="B185" s="145"/>
    </row>
  </sheetData>
  <autoFilter ref="A1:I135" xr:uid="{7607D0D1-EE28-41D3-A21A-58034E62A422}"/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 filterMode="1"/>
  <dimension ref="A1:J300"/>
  <sheetViews>
    <sheetView zoomScale="85" zoomScaleNormal="85" workbookViewId="0">
      <selection activeCell="D277" sqref="D277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577</v>
      </c>
    </row>
    <row r="2" spans="1:10" hidden="1" x14ac:dyDescent="0.2">
      <c r="A2" t="s">
        <v>480</v>
      </c>
      <c r="B2">
        <v>628242</v>
      </c>
      <c r="C2" s="67">
        <v>43674.024629629632</v>
      </c>
      <c r="D2" t="s">
        <v>711</v>
      </c>
      <c r="E2" t="s">
        <v>709</v>
      </c>
      <c r="F2">
        <v>210443</v>
      </c>
      <c r="G2">
        <v>6</v>
      </c>
      <c r="H2">
        <v>0</v>
      </c>
      <c r="J2" t="s">
        <v>1112</v>
      </c>
    </row>
    <row r="3" spans="1:10" hidden="1" x14ac:dyDescent="0.2">
      <c r="A3" t="s">
        <v>482</v>
      </c>
      <c r="B3">
        <v>619938</v>
      </c>
      <c r="C3" s="67">
        <v>43647.527106481481</v>
      </c>
      <c r="D3" t="s">
        <v>828</v>
      </c>
      <c r="F3">
        <v>0</v>
      </c>
      <c r="G3">
        <v>0</v>
      </c>
      <c r="H3">
        <v>100</v>
      </c>
      <c r="J3" t="s">
        <v>1113</v>
      </c>
    </row>
    <row r="4" spans="1:10" hidden="1" x14ac:dyDescent="0.2">
      <c r="A4" t="s">
        <v>482</v>
      </c>
      <c r="B4">
        <v>619938</v>
      </c>
      <c r="C4" s="67">
        <v>43647.527106481481</v>
      </c>
      <c r="D4" t="s">
        <v>712</v>
      </c>
      <c r="E4" t="s">
        <v>709</v>
      </c>
      <c r="F4">
        <v>206422</v>
      </c>
      <c r="G4">
        <v>7.2</v>
      </c>
      <c r="H4">
        <v>0</v>
      </c>
      <c r="J4" t="s">
        <v>1114</v>
      </c>
    </row>
    <row r="5" spans="1:10" hidden="1" x14ac:dyDescent="0.2">
      <c r="A5" t="s">
        <v>482</v>
      </c>
      <c r="B5">
        <v>620117</v>
      </c>
      <c r="C5" s="67">
        <v>43647.623391203706</v>
      </c>
      <c r="D5" t="s">
        <v>713</v>
      </c>
      <c r="E5" t="s">
        <v>710</v>
      </c>
      <c r="F5">
        <v>170835</v>
      </c>
      <c r="G5">
        <v>86.8</v>
      </c>
      <c r="H5">
        <v>0</v>
      </c>
      <c r="J5" t="s">
        <v>1115</v>
      </c>
    </row>
    <row r="6" spans="1:10" hidden="1" x14ac:dyDescent="0.2">
      <c r="A6" t="s">
        <v>482</v>
      </c>
      <c r="B6">
        <v>625908</v>
      </c>
      <c r="C6" s="67">
        <v>43664.690150462964</v>
      </c>
      <c r="D6" t="s">
        <v>829</v>
      </c>
      <c r="F6">
        <v>0</v>
      </c>
      <c r="G6">
        <v>0</v>
      </c>
      <c r="H6">
        <v>197</v>
      </c>
      <c r="J6" t="s">
        <v>1113</v>
      </c>
    </row>
    <row r="7" spans="1:10" hidden="1" x14ac:dyDescent="0.2">
      <c r="A7" t="s">
        <v>482</v>
      </c>
      <c r="B7">
        <v>625932</v>
      </c>
      <c r="C7" s="67">
        <v>43664.692245370374</v>
      </c>
      <c r="D7" t="s">
        <v>830</v>
      </c>
      <c r="E7" t="s">
        <v>710</v>
      </c>
      <c r="F7">
        <v>172702</v>
      </c>
      <c r="G7">
        <v>197</v>
      </c>
      <c r="H7">
        <v>0</v>
      </c>
      <c r="J7" t="s">
        <v>1115</v>
      </c>
    </row>
    <row r="8" spans="1:10" x14ac:dyDescent="0.2">
      <c r="A8" t="s">
        <v>485</v>
      </c>
      <c r="B8">
        <v>620095</v>
      </c>
      <c r="C8" s="67">
        <v>43647.548761574071</v>
      </c>
      <c r="D8" s="47" t="s">
        <v>831</v>
      </c>
      <c r="F8">
        <v>0</v>
      </c>
      <c r="G8">
        <v>0</v>
      </c>
      <c r="H8">
        <v>500</v>
      </c>
      <c r="J8" t="s">
        <v>1113</v>
      </c>
    </row>
    <row r="9" spans="1:10" x14ac:dyDescent="0.2">
      <c r="A9" t="s">
        <v>485</v>
      </c>
      <c r="B9">
        <v>620095</v>
      </c>
      <c r="C9" s="67">
        <v>43647.548761574071</v>
      </c>
      <c r="D9" t="s">
        <v>832</v>
      </c>
      <c r="E9" t="s">
        <v>709</v>
      </c>
      <c r="F9">
        <v>206564</v>
      </c>
      <c r="G9">
        <v>36</v>
      </c>
      <c r="H9">
        <v>0</v>
      </c>
      <c r="J9" t="s">
        <v>1114</v>
      </c>
    </row>
    <row r="10" spans="1:10" x14ac:dyDescent="0.2">
      <c r="A10" t="s">
        <v>485</v>
      </c>
      <c r="B10">
        <v>620117</v>
      </c>
      <c r="C10" s="67">
        <v>43647.623391203706</v>
      </c>
      <c r="D10" t="s">
        <v>833</v>
      </c>
      <c r="E10" t="s">
        <v>710</v>
      </c>
      <c r="F10">
        <v>170991</v>
      </c>
      <c r="G10">
        <v>458</v>
      </c>
      <c r="H10">
        <v>0</v>
      </c>
      <c r="J10" t="s">
        <v>1115</v>
      </c>
    </row>
    <row r="11" spans="1:10" x14ac:dyDescent="0.2">
      <c r="A11" t="s">
        <v>485</v>
      </c>
      <c r="B11">
        <v>628242</v>
      </c>
      <c r="C11" s="67">
        <v>43674.024629629632</v>
      </c>
      <c r="D11" t="s">
        <v>834</v>
      </c>
      <c r="E11" t="s">
        <v>709</v>
      </c>
      <c r="F11">
        <v>210602</v>
      </c>
      <c r="G11">
        <v>6</v>
      </c>
      <c r="H11">
        <v>0</v>
      </c>
      <c r="J11" t="s">
        <v>1112</v>
      </c>
    </row>
    <row r="12" spans="1:10" x14ac:dyDescent="0.2">
      <c r="A12" t="s">
        <v>485</v>
      </c>
      <c r="B12">
        <v>628530</v>
      </c>
      <c r="C12" s="67">
        <v>43675.638888888891</v>
      </c>
      <c r="D12" s="47" t="s">
        <v>835</v>
      </c>
      <c r="F12">
        <v>0</v>
      </c>
      <c r="G12">
        <v>0</v>
      </c>
      <c r="H12">
        <v>500</v>
      </c>
      <c r="J12" t="s">
        <v>1113</v>
      </c>
    </row>
    <row r="13" spans="1:10" x14ac:dyDescent="0.2">
      <c r="A13" t="s">
        <v>485</v>
      </c>
      <c r="B13">
        <v>628530</v>
      </c>
      <c r="C13" s="67">
        <v>43675.638888888891</v>
      </c>
      <c r="D13" t="s">
        <v>832</v>
      </c>
      <c r="E13" t="s">
        <v>709</v>
      </c>
      <c r="F13">
        <v>210775</v>
      </c>
      <c r="G13">
        <v>36</v>
      </c>
      <c r="H13">
        <v>0</v>
      </c>
      <c r="J13" t="s">
        <v>1114</v>
      </c>
    </row>
    <row r="14" spans="1:10" x14ac:dyDescent="0.2">
      <c r="A14" t="s">
        <v>485</v>
      </c>
      <c r="B14">
        <v>628535</v>
      </c>
      <c r="C14" s="67">
        <v>43675.642060185186</v>
      </c>
      <c r="D14" t="s">
        <v>833</v>
      </c>
      <c r="E14" t="s">
        <v>710</v>
      </c>
      <c r="F14">
        <v>173436</v>
      </c>
      <c r="G14">
        <v>458</v>
      </c>
      <c r="H14">
        <v>0</v>
      </c>
      <c r="J14" t="s">
        <v>1115</v>
      </c>
    </row>
    <row r="15" spans="1:10" hidden="1" x14ac:dyDescent="0.2">
      <c r="A15" t="s">
        <v>486</v>
      </c>
      <c r="B15">
        <v>620097</v>
      </c>
      <c r="C15" s="67">
        <v>43647.548761574071</v>
      </c>
      <c r="D15" t="s">
        <v>836</v>
      </c>
      <c r="F15">
        <v>0</v>
      </c>
      <c r="G15">
        <v>0</v>
      </c>
      <c r="H15">
        <v>505</v>
      </c>
      <c r="J15" t="s">
        <v>1113</v>
      </c>
    </row>
    <row r="16" spans="1:10" hidden="1" x14ac:dyDescent="0.2">
      <c r="A16" t="s">
        <v>486</v>
      </c>
      <c r="B16">
        <v>620097</v>
      </c>
      <c r="C16" s="67">
        <v>43647.548761574071</v>
      </c>
      <c r="D16" t="s">
        <v>714</v>
      </c>
      <c r="E16" t="s">
        <v>709</v>
      </c>
      <c r="F16">
        <v>206566</v>
      </c>
      <c r="G16">
        <v>36.36</v>
      </c>
      <c r="H16">
        <v>0</v>
      </c>
      <c r="J16" t="s">
        <v>1114</v>
      </c>
    </row>
    <row r="17" spans="1:10" hidden="1" x14ac:dyDescent="0.2">
      <c r="A17" t="s">
        <v>486</v>
      </c>
      <c r="B17">
        <v>620117</v>
      </c>
      <c r="C17" s="67">
        <v>43647.623391203706</v>
      </c>
      <c r="D17" t="s">
        <v>715</v>
      </c>
      <c r="E17" t="s">
        <v>710</v>
      </c>
      <c r="F17">
        <v>170993</v>
      </c>
      <c r="G17">
        <v>462.64</v>
      </c>
      <c r="H17">
        <v>0</v>
      </c>
      <c r="J17" t="s">
        <v>1115</v>
      </c>
    </row>
    <row r="18" spans="1:10" hidden="1" x14ac:dyDescent="0.2">
      <c r="A18" t="s">
        <v>486</v>
      </c>
      <c r="B18">
        <v>628242</v>
      </c>
      <c r="C18" s="67">
        <v>43674.024629629632</v>
      </c>
      <c r="D18" t="s">
        <v>716</v>
      </c>
      <c r="E18" t="s">
        <v>709</v>
      </c>
      <c r="F18">
        <v>210603</v>
      </c>
      <c r="G18">
        <v>6</v>
      </c>
      <c r="H18">
        <v>0</v>
      </c>
      <c r="J18" t="s">
        <v>1112</v>
      </c>
    </row>
    <row r="19" spans="1:10" hidden="1" x14ac:dyDescent="0.2">
      <c r="A19" t="s">
        <v>491</v>
      </c>
      <c r="B19">
        <v>628045</v>
      </c>
      <c r="C19" s="67">
        <v>43672.599236111113</v>
      </c>
      <c r="D19" t="s">
        <v>837</v>
      </c>
      <c r="F19">
        <v>0</v>
      </c>
      <c r="G19">
        <v>0</v>
      </c>
      <c r="H19">
        <v>500</v>
      </c>
      <c r="J19" t="s">
        <v>1113</v>
      </c>
    </row>
    <row r="20" spans="1:10" hidden="1" x14ac:dyDescent="0.2">
      <c r="A20" t="s">
        <v>491</v>
      </c>
      <c r="B20">
        <v>628045</v>
      </c>
      <c r="C20" s="67">
        <v>43672.599236111113</v>
      </c>
      <c r="D20" t="s">
        <v>717</v>
      </c>
      <c r="E20" t="s">
        <v>709</v>
      </c>
      <c r="F20">
        <v>209081</v>
      </c>
      <c r="G20">
        <v>36</v>
      </c>
      <c r="H20">
        <v>0</v>
      </c>
      <c r="J20" t="s">
        <v>1114</v>
      </c>
    </row>
    <row r="21" spans="1:10" hidden="1" x14ac:dyDescent="0.2">
      <c r="A21" t="s">
        <v>491</v>
      </c>
      <c r="B21">
        <v>628062</v>
      </c>
      <c r="C21" s="67">
        <v>43672.611932870372</v>
      </c>
      <c r="D21" t="s">
        <v>718</v>
      </c>
      <c r="E21" t="s">
        <v>710</v>
      </c>
      <c r="F21">
        <v>173311</v>
      </c>
      <c r="G21">
        <v>458</v>
      </c>
      <c r="H21">
        <v>0</v>
      </c>
      <c r="J21" t="s">
        <v>1115</v>
      </c>
    </row>
    <row r="22" spans="1:10" hidden="1" x14ac:dyDescent="0.2">
      <c r="A22" t="s">
        <v>491</v>
      </c>
      <c r="B22">
        <v>628242</v>
      </c>
      <c r="C22" s="67">
        <v>43674.024629629632</v>
      </c>
      <c r="D22" t="s">
        <v>719</v>
      </c>
      <c r="E22" t="s">
        <v>709</v>
      </c>
      <c r="F22">
        <v>210539</v>
      </c>
      <c r="G22">
        <v>6</v>
      </c>
      <c r="H22">
        <v>0</v>
      </c>
      <c r="J22" t="s">
        <v>1112</v>
      </c>
    </row>
    <row r="23" spans="1:10" hidden="1" x14ac:dyDescent="0.2">
      <c r="A23" t="s">
        <v>493</v>
      </c>
      <c r="B23">
        <v>621179</v>
      </c>
      <c r="C23" s="67">
        <v>43648.762476851851</v>
      </c>
      <c r="D23" t="s">
        <v>838</v>
      </c>
      <c r="F23">
        <v>0</v>
      </c>
      <c r="G23">
        <v>0</v>
      </c>
      <c r="H23">
        <v>335.29</v>
      </c>
      <c r="J23" t="s">
        <v>1113</v>
      </c>
    </row>
    <row r="24" spans="1:10" hidden="1" x14ac:dyDescent="0.2">
      <c r="A24" t="s">
        <v>493</v>
      </c>
      <c r="B24">
        <v>621179</v>
      </c>
      <c r="C24" s="67">
        <v>43648.762476851851</v>
      </c>
      <c r="D24" t="s">
        <v>721</v>
      </c>
      <c r="E24" t="s">
        <v>709</v>
      </c>
      <c r="F24">
        <v>206945</v>
      </c>
      <c r="G24">
        <v>24.14</v>
      </c>
      <c r="H24">
        <v>0</v>
      </c>
      <c r="J24" t="s">
        <v>1114</v>
      </c>
    </row>
    <row r="25" spans="1:10" hidden="1" x14ac:dyDescent="0.2">
      <c r="A25" t="s">
        <v>493</v>
      </c>
      <c r="B25">
        <v>621179</v>
      </c>
      <c r="C25" s="67">
        <v>43648.762476851851</v>
      </c>
      <c r="D25" t="s">
        <v>720</v>
      </c>
      <c r="F25">
        <v>0</v>
      </c>
      <c r="G25">
        <v>0</v>
      </c>
      <c r="H25">
        <v>144.83000000000001</v>
      </c>
      <c r="J25" t="s">
        <v>1113</v>
      </c>
    </row>
    <row r="26" spans="1:10" hidden="1" x14ac:dyDescent="0.2">
      <c r="A26" t="s">
        <v>493</v>
      </c>
      <c r="B26">
        <v>621179</v>
      </c>
      <c r="C26" s="67">
        <v>43648.762476851851</v>
      </c>
      <c r="D26" t="s">
        <v>721</v>
      </c>
      <c r="E26" t="s">
        <v>709</v>
      </c>
      <c r="F26">
        <v>206945</v>
      </c>
      <c r="G26">
        <v>10.43</v>
      </c>
      <c r="H26">
        <v>0</v>
      </c>
      <c r="J26" t="s">
        <v>1114</v>
      </c>
    </row>
    <row r="27" spans="1:10" hidden="1" x14ac:dyDescent="0.2">
      <c r="A27" t="s">
        <v>493</v>
      </c>
      <c r="B27">
        <v>621226</v>
      </c>
      <c r="C27" s="67">
        <v>43648.764282407406</v>
      </c>
      <c r="D27" t="s">
        <v>722</v>
      </c>
      <c r="E27" t="s">
        <v>710</v>
      </c>
      <c r="F27">
        <v>171337</v>
      </c>
      <c r="G27">
        <v>439.55</v>
      </c>
      <c r="H27">
        <v>0</v>
      </c>
      <c r="J27" t="s">
        <v>1115</v>
      </c>
    </row>
    <row r="28" spans="1:10" hidden="1" x14ac:dyDescent="0.2">
      <c r="A28" t="s">
        <v>493</v>
      </c>
      <c r="B28">
        <v>628242</v>
      </c>
      <c r="C28" s="67">
        <v>43674.024629629632</v>
      </c>
      <c r="D28" t="s">
        <v>723</v>
      </c>
      <c r="E28" t="s">
        <v>709</v>
      </c>
      <c r="F28">
        <v>210329</v>
      </c>
      <c r="G28">
        <v>6</v>
      </c>
      <c r="H28">
        <v>0</v>
      </c>
      <c r="J28" t="s">
        <v>1112</v>
      </c>
    </row>
    <row r="29" spans="1:10" hidden="1" x14ac:dyDescent="0.2">
      <c r="A29" t="s">
        <v>493</v>
      </c>
      <c r="B29">
        <v>629413</v>
      </c>
      <c r="C29" s="67">
        <v>43676.725821759261</v>
      </c>
      <c r="D29" t="s">
        <v>838</v>
      </c>
      <c r="F29">
        <v>0</v>
      </c>
      <c r="G29">
        <v>0</v>
      </c>
      <c r="H29">
        <v>189.71</v>
      </c>
      <c r="J29" t="s">
        <v>1113</v>
      </c>
    </row>
    <row r="30" spans="1:10" hidden="1" x14ac:dyDescent="0.2">
      <c r="A30" t="s">
        <v>493</v>
      </c>
      <c r="B30">
        <v>629413</v>
      </c>
      <c r="C30" s="67">
        <v>43676.725821759261</v>
      </c>
      <c r="D30" t="s">
        <v>721</v>
      </c>
      <c r="E30" t="s">
        <v>709</v>
      </c>
      <c r="F30">
        <v>211029</v>
      </c>
      <c r="G30">
        <v>13.66</v>
      </c>
      <c r="H30">
        <v>0</v>
      </c>
      <c r="J30" t="s">
        <v>1114</v>
      </c>
    </row>
    <row r="31" spans="1:10" hidden="1" x14ac:dyDescent="0.2">
      <c r="A31" t="s">
        <v>493</v>
      </c>
      <c r="B31">
        <v>629413</v>
      </c>
      <c r="C31" s="67">
        <v>43676.725821759261</v>
      </c>
      <c r="D31" s="47" t="s">
        <v>839</v>
      </c>
      <c r="F31">
        <v>0</v>
      </c>
      <c r="G31">
        <v>0</v>
      </c>
      <c r="H31">
        <v>290.41000000000003</v>
      </c>
      <c r="J31" t="s">
        <v>1113</v>
      </c>
    </row>
    <row r="32" spans="1:10" hidden="1" x14ac:dyDescent="0.2">
      <c r="A32" t="s">
        <v>493</v>
      </c>
      <c r="B32">
        <v>629413</v>
      </c>
      <c r="C32" s="67">
        <v>43676.725821759261</v>
      </c>
      <c r="D32" t="s">
        <v>721</v>
      </c>
      <c r="E32" t="s">
        <v>709</v>
      </c>
      <c r="F32">
        <v>211029</v>
      </c>
      <c r="G32">
        <v>20.9</v>
      </c>
      <c r="H32">
        <v>0</v>
      </c>
      <c r="J32" t="s">
        <v>1114</v>
      </c>
    </row>
    <row r="33" spans="1:10" hidden="1" x14ac:dyDescent="0.2">
      <c r="A33" t="s">
        <v>493</v>
      </c>
      <c r="B33">
        <v>629455</v>
      </c>
      <c r="C33" s="67">
        <v>43676.728692129633</v>
      </c>
      <c r="D33" t="s">
        <v>722</v>
      </c>
      <c r="E33" t="s">
        <v>710</v>
      </c>
      <c r="F33">
        <v>173663</v>
      </c>
      <c r="G33">
        <v>439.56</v>
      </c>
      <c r="H33">
        <v>0</v>
      </c>
      <c r="J33" t="s">
        <v>1115</v>
      </c>
    </row>
    <row r="34" spans="1:10" hidden="1" x14ac:dyDescent="0.2">
      <c r="A34" t="s">
        <v>494</v>
      </c>
      <c r="B34">
        <v>621187</v>
      </c>
      <c r="C34" s="67">
        <v>43648.762476851851</v>
      </c>
      <c r="D34" t="s">
        <v>726</v>
      </c>
      <c r="F34">
        <v>0</v>
      </c>
      <c r="G34">
        <v>0</v>
      </c>
      <c r="H34">
        <v>338.48</v>
      </c>
      <c r="J34" t="s">
        <v>1113</v>
      </c>
    </row>
    <row r="35" spans="1:10" hidden="1" x14ac:dyDescent="0.2">
      <c r="A35" t="s">
        <v>494</v>
      </c>
      <c r="B35">
        <v>621187</v>
      </c>
      <c r="C35" s="67">
        <v>43648.762476851851</v>
      </c>
      <c r="D35" t="s">
        <v>724</v>
      </c>
      <c r="E35" t="s">
        <v>709</v>
      </c>
      <c r="F35">
        <v>206953</v>
      </c>
      <c r="G35">
        <v>24.37</v>
      </c>
      <c r="H35">
        <v>0</v>
      </c>
      <c r="J35" t="s">
        <v>1114</v>
      </c>
    </row>
    <row r="36" spans="1:10" hidden="1" x14ac:dyDescent="0.2">
      <c r="A36" t="s">
        <v>494</v>
      </c>
      <c r="B36">
        <v>621226</v>
      </c>
      <c r="C36" s="67">
        <v>43648.764282407406</v>
      </c>
      <c r="D36" t="s">
        <v>725</v>
      </c>
      <c r="E36" t="s">
        <v>710</v>
      </c>
      <c r="F36">
        <v>171345</v>
      </c>
      <c r="G36">
        <v>308.11</v>
      </c>
      <c r="H36">
        <v>0</v>
      </c>
      <c r="J36" t="s">
        <v>1115</v>
      </c>
    </row>
    <row r="37" spans="1:10" hidden="1" x14ac:dyDescent="0.2">
      <c r="A37" t="s">
        <v>494</v>
      </c>
      <c r="B37">
        <v>627350</v>
      </c>
      <c r="C37" s="67">
        <v>43669.712719907409</v>
      </c>
      <c r="D37" t="s">
        <v>840</v>
      </c>
      <c r="F37">
        <v>0</v>
      </c>
      <c r="G37">
        <v>0</v>
      </c>
      <c r="H37">
        <v>113.84</v>
      </c>
      <c r="J37" t="s">
        <v>1113</v>
      </c>
    </row>
    <row r="38" spans="1:10" hidden="1" x14ac:dyDescent="0.2">
      <c r="A38" t="s">
        <v>494</v>
      </c>
      <c r="B38">
        <v>627350</v>
      </c>
      <c r="C38" s="67">
        <v>43669.712719907409</v>
      </c>
      <c r="D38" t="s">
        <v>724</v>
      </c>
      <c r="E38" t="s">
        <v>709</v>
      </c>
      <c r="F38">
        <v>208841</v>
      </c>
      <c r="G38">
        <v>8.1999999999999993</v>
      </c>
      <c r="H38">
        <v>0</v>
      </c>
      <c r="J38" t="s">
        <v>1114</v>
      </c>
    </row>
    <row r="39" spans="1:10" hidden="1" x14ac:dyDescent="0.2">
      <c r="A39" t="s">
        <v>494</v>
      </c>
      <c r="B39">
        <v>627356</v>
      </c>
      <c r="C39" s="67">
        <v>43669.715057870373</v>
      </c>
      <c r="D39" t="s">
        <v>725</v>
      </c>
      <c r="E39" t="s">
        <v>710</v>
      </c>
      <c r="F39">
        <v>173164</v>
      </c>
      <c r="G39">
        <v>105.64</v>
      </c>
      <c r="H39">
        <v>0</v>
      </c>
      <c r="J39" t="s">
        <v>1115</v>
      </c>
    </row>
    <row r="40" spans="1:10" hidden="1" x14ac:dyDescent="0.2">
      <c r="A40" t="s">
        <v>494</v>
      </c>
      <c r="B40">
        <v>628242</v>
      </c>
      <c r="C40" s="67">
        <v>43674.024629629632</v>
      </c>
      <c r="D40" t="s">
        <v>727</v>
      </c>
      <c r="E40" t="s">
        <v>709</v>
      </c>
      <c r="F40">
        <v>210332</v>
      </c>
      <c r="G40">
        <v>6</v>
      </c>
      <c r="H40">
        <v>0</v>
      </c>
      <c r="J40" t="s">
        <v>1112</v>
      </c>
    </row>
    <row r="41" spans="1:10" hidden="1" x14ac:dyDescent="0.2">
      <c r="A41" t="s">
        <v>494</v>
      </c>
      <c r="B41">
        <v>629423</v>
      </c>
      <c r="C41" s="67">
        <v>43676.725821759261</v>
      </c>
      <c r="D41" t="s">
        <v>840</v>
      </c>
      <c r="F41">
        <v>0</v>
      </c>
      <c r="G41">
        <v>0</v>
      </c>
      <c r="H41">
        <v>376.16</v>
      </c>
      <c r="J41" t="s">
        <v>1113</v>
      </c>
    </row>
    <row r="42" spans="1:10" hidden="1" x14ac:dyDescent="0.2">
      <c r="A42" t="s">
        <v>494</v>
      </c>
      <c r="B42">
        <v>629423</v>
      </c>
      <c r="C42" s="67">
        <v>43676.725821759261</v>
      </c>
      <c r="D42" t="s">
        <v>724</v>
      </c>
      <c r="E42" t="s">
        <v>709</v>
      </c>
      <c r="F42">
        <v>211039</v>
      </c>
      <c r="G42">
        <v>27.08</v>
      </c>
      <c r="H42">
        <v>0</v>
      </c>
      <c r="J42" t="s">
        <v>1114</v>
      </c>
    </row>
    <row r="43" spans="1:10" hidden="1" x14ac:dyDescent="0.2">
      <c r="A43" t="s">
        <v>494</v>
      </c>
      <c r="B43">
        <v>629455</v>
      </c>
      <c r="C43" s="67">
        <v>43676.728692129633</v>
      </c>
      <c r="D43" t="s">
        <v>725</v>
      </c>
      <c r="E43" t="s">
        <v>710</v>
      </c>
      <c r="F43">
        <v>173673</v>
      </c>
      <c r="G43">
        <v>343.08</v>
      </c>
      <c r="H43">
        <v>0</v>
      </c>
      <c r="J43" t="s">
        <v>1115</v>
      </c>
    </row>
    <row r="44" spans="1:10" hidden="1" x14ac:dyDescent="0.2">
      <c r="A44" t="s">
        <v>497</v>
      </c>
      <c r="B44">
        <v>621453</v>
      </c>
      <c r="C44" s="67">
        <v>43649.691331018519</v>
      </c>
      <c r="D44" t="s">
        <v>841</v>
      </c>
      <c r="F44">
        <v>0</v>
      </c>
      <c r="G44">
        <v>0</v>
      </c>
      <c r="H44">
        <v>550</v>
      </c>
      <c r="J44" t="s">
        <v>1113</v>
      </c>
    </row>
    <row r="45" spans="1:10" hidden="1" x14ac:dyDescent="0.2">
      <c r="A45" t="s">
        <v>497</v>
      </c>
      <c r="B45">
        <v>621453</v>
      </c>
      <c r="C45" s="67">
        <v>43649.691331018519</v>
      </c>
      <c r="D45" t="s">
        <v>842</v>
      </c>
      <c r="E45" t="s">
        <v>709</v>
      </c>
      <c r="F45">
        <v>207060</v>
      </c>
      <c r="G45">
        <v>39.6</v>
      </c>
      <c r="H45">
        <v>0</v>
      </c>
      <c r="J45" t="s">
        <v>1114</v>
      </c>
    </row>
    <row r="46" spans="1:10" hidden="1" x14ac:dyDescent="0.2">
      <c r="A46" t="s">
        <v>497</v>
      </c>
      <c r="B46">
        <v>621465</v>
      </c>
      <c r="C46" s="67">
        <v>43649.716423611113</v>
      </c>
      <c r="D46" t="s">
        <v>843</v>
      </c>
      <c r="E46" t="s">
        <v>710</v>
      </c>
      <c r="F46">
        <v>171436</v>
      </c>
      <c r="G46">
        <v>504.4</v>
      </c>
      <c r="H46">
        <v>0</v>
      </c>
      <c r="J46" t="s">
        <v>1115</v>
      </c>
    </row>
    <row r="47" spans="1:10" hidden="1" x14ac:dyDescent="0.2">
      <c r="A47" t="s">
        <v>497</v>
      </c>
      <c r="B47">
        <v>628242</v>
      </c>
      <c r="C47" s="67">
        <v>43674.024629629632</v>
      </c>
      <c r="D47" t="s">
        <v>844</v>
      </c>
      <c r="E47" t="s">
        <v>709</v>
      </c>
      <c r="F47">
        <v>210319</v>
      </c>
      <c r="G47">
        <v>6</v>
      </c>
      <c r="H47">
        <v>0</v>
      </c>
      <c r="J47" t="s">
        <v>1112</v>
      </c>
    </row>
    <row r="48" spans="1:10" hidden="1" x14ac:dyDescent="0.2">
      <c r="A48" t="s">
        <v>499</v>
      </c>
      <c r="B48">
        <v>621171</v>
      </c>
      <c r="C48" s="67">
        <v>43648.756643518522</v>
      </c>
      <c r="D48" t="s">
        <v>845</v>
      </c>
      <c r="F48">
        <v>0</v>
      </c>
      <c r="G48">
        <v>0</v>
      </c>
      <c r="H48">
        <v>345.12</v>
      </c>
      <c r="J48" t="s">
        <v>1113</v>
      </c>
    </row>
    <row r="49" spans="1:10" hidden="1" x14ac:dyDescent="0.2">
      <c r="A49" t="s">
        <v>499</v>
      </c>
      <c r="B49">
        <v>621171</v>
      </c>
      <c r="C49" s="67">
        <v>43648.756643518522</v>
      </c>
      <c r="D49" t="s">
        <v>729</v>
      </c>
      <c r="E49" t="s">
        <v>709</v>
      </c>
      <c r="F49">
        <v>206938</v>
      </c>
      <c r="G49">
        <v>24.85</v>
      </c>
      <c r="H49">
        <v>0</v>
      </c>
      <c r="J49" t="s">
        <v>1114</v>
      </c>
    </row>
    <row r="50" spans="1:10" hidden="1" x14ac:dyDescent="0.2">
      <c r="A50" t="s">
        <v>499</v>
      </c>
      <c r="B50">
        <v>621171</v>
      </c>
      <c r="C50" s="67">
        <v>43648.756643518522</v>
      </c>
      <c r="D50" t="s">
        <v>728</v>
      </c>
      <c r="F50">
        <v>0</v>
      </c>
      <c r="G50">
        <v>0</v>
      </c>
      <c r="H50">
        <v>116.4</v>
      </c>
      <c r="J50" t="s">
        <v>1113</v>
      </c>
    </row>
    <row r="51" spans="1:10" hidden="1" x14ac:dyDescent="0.2">
      <c r="A51" t="s">
        <v>499</v>
      </c>
      <c r="B51">
        <v>621171</v>
      </c>
      <c r="C51" s="67">
        <v>43648.756643518522</v>
      </c>
      <c r="D51" t="s">
        <v>729</v>
      </c>
      <c r="E51" t="s">
        <v>709</v>
      </c>
      <c r="F51">
        <v>206938</v>
      </c>
      <c r="G51">
        <v>8.3800000000000008</v>
      </c>
      <c r="H51">
        <v>0</v>
      </c>
      <c r="J51" t="s">
        <v>1114</v>
      </c>
    </row>
    <row r="52" spans="1:10" hidden="1" x14ac:dyDescent="0.2">
      <c r="A52" s="47" t="s">
        <v>499</v>
      </c>
      <c r="B52">
        <v>621226</v>
      </c>
      <c r="C52" s="67">
        <v>43648.764282407406</v>
      </c>
      <c r="D52" t="s">
        <v>730</v>
      </c>
      <c r="E52" t="s">
        <v>710</v>
      </c>
      <c r="F52">
        <v>171329</v>
      </c>
      <c r="G52">
        <v>422.29</v>
      </c>
      <c r="H52">
        <v>0</v>
      </c>
      <c r="J52" t="s">
        <v>1115</v>
      </c>
    </row>
    <row r="53" spans="1:10" hidden="1" x14ac:dyDescent="0.2">
      <c r="A53" s="47" t="s">
        <v>499</v>
      </c>
      <c r="B53">
        <v>628242</v>
      </c>
      <c r="C53" s="67">
        <v>43674.024629629632</v>
      </c>
      <c r="D53" t="s">
        <v>731</v>
      </c>
      <c r="E53" t="s">
        <v>709</v>
      </c>
      <c r="F53">
        <v>210328</v>
      </c>
      <c r="G53">
        <v>6</v>
      </c>
      <c r="H53">
        <v>0</v>
      </c>
      <c r="J53" t="s">
        <v>1112</v>
      </c>
    </row>
    <row r="54" spans="1:10" hidden="1" x14ac:dyDescent="0.2">
      <c r="A54" s="47" t="s">
        <v>499</v>
      </c>
      <c r="B54">
        <v>629409</v>
      </c>
      <c r="C54" s="67">
        <v>43676.725821759261</v>
      </c>
      <c r="D54" t="s">
        <v>845</v>
      </c>
      <c r="F54">
        <v>0</v>
      </c>
      <c r="G54">
        <v>0</v>
      </c>
      <c r="H54">
        <v>154.88</v>
      </c>
      <c r="J54" t="s">
        <v>1113</v>
      </c>
    </row>
    <row r="55" spans="1:10" hidden="1" x14ac:dyDescent="0.2">
      <c r="A55" s="47" t="s">
        <v>499</v>
      </c>
      <c r="B55">
        <v>629409</v>
      </c>
      <c r="C55" s="67">
        <v>43676.725821759261</v>
      </c>
      <c r="D55" t="s">
        <v>729</v>
      </c>
      <c r="E55" t="s">
        <v>709</v>
      </c>
      <c r="F55">
        <v>211026</v>
      </c>
      <c r="G55">
        <v>11.15</v>
      </c>
      <c r="H55">
        <v>0</v>
      </c>
      <c r="J55" t="s">
        <v>1114</v>
      </c>
    </row>
    <row r="56" spans="1:10" hidden="1" x14ac:dyDescent="0.2">
      <c r="A56" s="47" t="s">
        <v>499</v>
      </c>
      <c r="B56">
        <v>629409</v>
      </c>
      <c r="C56" s="67">
        <v>43676.725821759261</v>
      </c>
      <c r="D56" t="s">
        <v>846</v>
      </c>
      <c r="F56">
        <v>0</v>
      </c>
      <c r="G56">
        <v>0</v>
      </c>
      <c r="H56">
        <v>306.64</v>
      </c>
      <c r="J56" t="s">
        <v>1113</v>
      </c>
    </row>
    <row r="57" spans="1:10" hidden="1" x14ac:dyDescent="0.2">
      <c r="A57" s="47" t="s">
        <v>499</v>
      </c>
      <c r="B57">
        <v>629409</v>
      </c>
      <c r="C57" s="67">
        <v>43676.725821759261</v>
      </c>
      <c r="D57" t="s">
        <v>729</v>
      </c>
      <c r="E57" t="s">
        <v>709</v>
      </c>
      <c r="F57">
        <v>211026</v>
      </c>
      <c r="G57">
        <v>22.08</v>
      </c>
      <c r="H57">
        <v>0</v>
      </c>
      <c r="J57" t="s">
        <v>1114</v>
      </c>
    </row>
    <row r="58" spans="1:10" hidden="1" x14ac:dyDescent="0.2">
      <c r="A58" s="47" t="s">
        <v>499</v>
      </c>
      <c r="B58">
        <v>629455</v>
      </c>
      <c r="C58" s="67">
        <v>43676.728692129633</v>
      </c>
      <c r="D58" t="s">
        <v>730</v>
      </c>
      <c r="E58" t="s">
        <v>710</v>
      </c>
      <c r="F58">
        <v>173659</v>
      </c>
      <c r="G58">
        <v>422.29</v>
      </c>
      <c r="H58">
        <v>0</v>
      </c>
      <c r="J58" t="s">
        <v>1115</v>
      </c>
    </row>
    <row r="59" spans="1:10" hidden="1" x14ac:dyDescent="0.2">
      <c r="A59" t="s">
        <v>501</v>
      </c>
      <c r="B59">
        <v>627609</v>
      </c>
      <c r="C59" s="67">
        <v>43670.699340277781</v>
      </c>
      <c r="D59" t="s">
        <v>847</v>
      </c>
      <c r="F59">
        <v>0</v>
      </c>
      <c r="G59">
        <v>0</v>
      </c>
      <c r="H59">
        <v>600</v>
      </c>
      <c r="J59" t="s">
        <v>1113</v>
      </c>
    </row>
    <row r="60" spans="1:10" hidden="1" x14ac:dyDescent="0.2">
      <c r="A60" t="s">
        <v>501</v>
      </c>
      <c r="B60">
        <v>627609</v>
      </c>
      <c r="C60" s="67">
        <v>43670.699340277781</v>
      </c>
      <c r="D60" t="s">
        <v>732</v>
      </c>
      <c r="E60" t="s">
        <v>709</v>
      </c>
      <c r="F60">
        <v>208914</v>
      </c>
      <c r="G60">
        <v>43.2</v>
      </c>
      <c r="H60">
        <v>0</v>
      </c>
      <c r="J60" t="s">
        <v>1114</v>
      </c>
    </row>
    <row r="61" spans="1:10" hidden="1" x14ac:dyDescent="0.2">
      <c r="A61" t="s">
        <v>501</v>
      </c>
      <c r="B61">
        <v>627615</v>
      </c>
      <c r="C61" s="67">
        <v>43670.701273148145</v>
      </c>
      <c r="D61" t="s">
        <v>733</v>
      </c>
      <c r="E61" t="s">
        <v>710</v>
      </c>
      <c r="F61">
        <v>173213</v>
      </c>
      <c r="G61">
        <v>550.79999999999995</v>
      </c>
      <c r="H61">
        <v>0</v>
      </c>
      <c r="J61" t="s">
        <v>1115</v>
      </c>
    </row>
    <row r="62" spans="1:10" hidden="1" x14ac:dyDescent="0.2">
      <c r="A62" t="s">
        <v>501</v>
      </c>
      <c r="B62">
        <v>628242</v>
      </c>
      <c r="C62" s="67">
        <v>43674.024629629632</v>
      </c>
      <c r="D62" t="s">
        <v>734</v>
      </c>
      <c r="E62" t="s">
        <v>709</v>
      </c>
      <c r="F62">
        <v>210395</v>
      </c>
      <c r="G62">
        <v>6</v>
      </c>
      <c r="H62">
        <v>0</v>
      </c>
      <c r="J62" t="s">
        <v>1112</v>
      </c>
    </row>
    <row r="63" spans="1:10" hidden="1" x14ac:dyDescent="0.2">
      <c r="A63" t="s">
        <v>503</v>
      </c>
      <c r="B63">
        <v>621195</v>
      </c>
      <c r="C63" s="67">
        <v>43648.762476851851</v>
      </c>
      <c r="D63" t="s">
        <v>737</v>
      </c>
      <c r="F63">
        <v>0</v>
      </c>
      <c r="G63">
        <v>0</v>
      </c>
      <c r="H63">
        <v>327.27999999999997</v>
      </c>
      <c r="J63" t="s">
        <v>1113</v>
      </c>
    </row>
    <row r="64" spans="1:10" hidden="1" x14ac:dyDescent="0.2">
      <c r="A64" t="s">
        <v>503</v>
      </c>
      <c r="B64">
        <v>621195</v>
      </c>
      <c r="C64" s="67">
        <v>43648.762476851851</v>
      </c>
      <c r="D64" t="s">
        <v>735</v>
      </c>
      <c r="E64" t="s">
        <v>709</v>
      </c>
      <c r="F64">
        <v>206961</v>
      </c>
      <c r="G64">
        <v>23.57</v>
      </c>
      <c r="H64">
        <v>0</v>
      </c>
      <c r="J64" t="s">
        <v>1114</v>
      </c>
    </row>
    <row r="65" spans="1:10" hidden="1" x14ac:dyDescent="0.2">
      <c r="A65" t="s">
        <v>503</v>
      </c>
      <c r="B65">
        <v>621226</v>
      </c>
      <c r="C65" s="67">
        <v>43648.764282407406</v>
      </c>
      <c r="D65" t="s">
        <v>736</v>
      </c>
      <c r="E65" t="s">
        <v>710</v>
      </c>
      <c r="F65">
        <v>171353</v>
      </c>
      <c r="G65">
        <v>297.70999999999998</v>
      </c>
      <c r="H65">
        <v>0</v>
      </c>
      <c r="J65" t="s">
        <v>1115</v>
      </c>
    </row>
    <row r="66" spans="1:10" hidden="1" x14ac:dyDescent="0.2">
      <c r="A66" t="s">
        <v>503</v>
      </c>
      <c r="B66">
        <v>622434</v>
      </c>
      <c r="C66" s="67">
        <v>43654.671006944445</v>
      </c>
      <c r="D66" t="s">
        <v>848</v>
      </c>
      <c r="F66">
        <v>0</v>
      </c>
      <c r="G66">
        <v>0</v>
      </c>
      <c r="H66">
        <v>134.24</v>
      </c>
      <c r="J66" t="s">
        <v>1113</v>
      </c>
    </row>
    <row r="67" spans="1:10" hidden="1" x14ac:dyDescent="0.2">
      <c r="A67" t="s">
        <v>503</v>
      </c>
      <c r="B67">
        <v>622434</v>
      </c>
      <c r="C67" s="67">
        <v>43654.671006944445</v>
      </c>
      <c r="D67" t="s">
        <v>735</v>
      </c>
      <c r="E67" t="s">
        <v>709</v>
      </c>
      <c r="F67">
        <v>207387</v>
      </c>
      <c r="G67">
        <v>9.66</v>
      </c>
      <c r="H67">
        <v>0</v>
      </c>
      <c r="J67" t="s">
        <v>1114</v>
      </c>
    </row>
    <row r="68" spans="1:10" hidden="1" x14ac:dyDescent="0.2">
      <c r="A68" t="s">
        <v>503</v>
      </c>
      <c r="B68">
        <v>622440</v>
      </c>
      <c r="C68" s="67">
        <v>43654.678703703707</v>
      </c>
      <c r="D68" t="s">
        <v>736</v>
      </c>
      <c r="E68" t="s">
        <v>710</v>
      </c>
      <c r="F68">
        <v>171693</v>
      </c>
      <c r="G68">
        <v>124.58</v>
      </c>
      <c r="H68">
        <v>0</v>
      </c>
      <c r="J68" t="s">
        <v>1115</v>
      </c>
    </row>
    <row r="69" spans="1:10" hidden="1" x14ac:dyDescent="0.2">
      <c r="A69" t="s">
        <v>503</v>
      </c>
      <c r="B69">
        <v>628242</v>
      </c>
      <c r="C69" s="67">
        <v>43674.024629629632</v>
      </c>
      <c r="D69" t="s">
        <v>738</v>
      </c>
      <c r="E69" t="s">
        <v>709</v>
      </c>
      <c r="F69">
        <v>210398</v>
      </c>
      <c r="G69">
        <v>6</v>
      </c>
      <c r="H69">
        <v>0</v>
      </c>
      <c r="J69" t="s">
        <v>1112</v>
      </c>
    </row>
    <row r="70" spans="1:10" hidden="1" x14ac:dyDescent="0.2">
      <c r="A70" t="s">
        <v>503</v>
      </c>
      <c r="B70">
        <v>629433</v>
      </c>
      <c r="C70" s="67">
        <v>43676.725821759261</v>
      </c>
      <c r="D70" t="s">
        <v>848</v>
      </c>
      <c r="F70">
        <v>0</v>
      </c>
      <c r="G70">
        <v>0</v>
      </c>
      <c r="H70">
        <v>365.76</v>
      </c>
      <c r="J70" t="s">
        <v>1113</v>
      </c>
    </row>
    <row r="71" spans="1:10" hidden="1" x14ac:dyDescent="0.2">
      <c r="A71" t="s">
        <v>503</v>
      </c>
      <c r="B71">
        <v>629433</v>
      </c>
      <c r="C71" s="67">
        <v>43676.725821759261</v>
      </c>
      <c r="D71" t="s">
        <v>735</v>
      </c>
      <c r="E71" t="s">
        <v>709</v>
      </c>
      <c r="F71">
        <v>211048</v>
      </c>
      <c r="G71">
        <v>26.34</v>
      </c>
      <c r="H71">
        <v>0</v>
      </c>
      <c r="J71" t="s">
        <v>1114</v>
      </c>
    </row>
    <row r="72" spans="1:10" hidden="1" x14ac:dyDescent="0.2">
      <c r="A72" t="s">
        <v>503</v>
      </c>
      <c r="B72">
        <v>629455</v>
      </c>
      <c r="C72" s="67">
        <v>43676.728692129633</v>
      </c>
      <c r="D72" t="s">
        <v>736</v>
      </c>
      <c r="E72" t="s">
        <v>710</v>
      </c>
      <c r="F72">
        <v>173683</v>
      </c>
      <c r="G72">
        <v>333.42</v>
      </c>
      <c r="H72">
        <v>0</v>
      </c>
      <c r="J72" t="s">
        <v>1115</v>
      </c>
    </row>
    <row r="73" spans="1:10" hidden="1" x14ac:dyDescent="0.2">
      <c r="A73" t="s">
        <v>505</v>
      </c>
      <c r="B73">
        <v>621168</v>
      </c>
      <c r="C73" s="67">
        <v>43648.756643518522</v>
      </c>
      <c r="D73" t="s">
        <v>741</v>
      </c>
      <c r="F73">
        <v>0</v>
      </c>
      <c r="G73">
        <v>0</v>
      </c>
      <c r="H73">
        <v>272.07</v>
      </c>
      <c r="J73" t="s">
        <v>1113</v>
      </c>
    </row>
    <row r="74" spans="1:10" hidden="1" x14ac:dyDescent="0.2">
      <c r="A74" t="s">
        <v>505</v>
      </c>
      <c r="B74">
        <v>621168</v>
      </c>
      <c r="C74" s="67">
        <v>43648.756643518522</v>
      </c>
      <c r="D74" t="s">
        <v>739</v>
      </c>
      <c r="E74" t="s">
        <v>709</v>
      </c>
      <c r="F74">
        <v>206935</v>
      </c>
      <c r="G74">
        <v>19.579999999999998</v>
      </c>
      <c r="H74">
        <v>0</v>
      </c>
      <c r="J74" t="s">
        <v>1114</v>
      </c>
    </row>
    <row r="75" spans="1:10" hidden="1" x14ac:dyDescent="0.2">
      <c r="A75" t="s">
        <v>505</v>
      </c>
      <c r="B75">
        <v>621226</v>
      </c>
      <c r="C75" s="67">
        <v>43648.764282407406</v>
      </c>
      <c r="D75" t="s">
        <v>740</v>
      </c>
      <c r="E75" t="s">
        <v>710</v>
      </c>
      <c r="F75">
        <v>171326</v>
      </c>
      <c r="G75">
        <v>246.49</v>
      </c>
      <c r="H75">
        <v>0</v>
      </c>
      <c r="J75" t="s">
        <v>1115</v>
      </c>
    </row>
    <row r="76" spans="1:10" hidden="1" x14ac:dyDescent="0.2">
      <c r="A76" t="s">
        <v>505</v>
      </c>
      <c r="B76">
        <v>626167</v>
      </c>
      <c r="C76" s="67">
        <v>43665.566296296296</v>
      </c>
      <c r="D76" t="s">
        <v>849</v>
      </c>
      <c r="F76">
        <v>0</v>
      </c>
      <c r="G76">
        <v>0</v>
      </c>
      <c r="H76">
        <v>194.09</v>
      </c>
      <c r="J76" t="s">
        <v>1113</v>
      </c>
    </row>
    <row r="77" spans="1:10" hidden="1" x14ac:dyDescent="0.2">
      <c r="A77" t="s">
        <v>505</v>
      </c>
      <c r="B77">
        <v>626167</v>
      </c>
      <c r="C77" s="67">
        <v>43665.566296296296</v>
      </c>
      <c r="D77" t="s">
        <v>739</v>
      </c>
      <c r="E77" t="s">
        <v>709</v>
      </c>
      <c r="F77">
        <v>208476</v>
      </c>
      <c r="G77">
        <v>13.98</v>
      </c>
      <c r="H77">
        <v>0</v>
      </c>
      <c r="J77" t="s">
        <v>1114</v>
      </c>
    </row>
    <row r="78" spans="1:10" hidden="1" x14ac:dyDescent="0.2">
      <c r="A78" t="s">
        <v>505</v>
      </c>
      <c r="B78">
        <v>626175</v>
      </c>
      <c r="C78" s="67">
        <v>43665.569027777776</v>
      </c>
      <c r="D78" t="s">
        <v>740</v>
      </c>
      <c r="E78" t="s">
        <v>710</v>
      </c>
      <c r="F78">
        <v>172792</v>
      </c>
      <c r="G78">
        <v>180.11</v>
      </c>
      <c r="H78">
        <v>0</v>
      </c>
      <c r="J78" t="s">
        <v>1115</v>
      </c>
    </row>
    <row r="79" spans="1:10" hidden="1" x14ac:dyDescent="0.2">
      <c r="A79" t="s">
        <v>505</v>
      </c>
      <c r="B79">
        <v>628242</v>
      </c>
      <c r="C79" s="67">
        <v>43674.024629629632</v>
      </c>
      <c r="D79" t="s">
        <v>742</v>
      </c>
      <c r="E79" t="s">
        <v>709</v>
      </c>
      <c r="F79">
        <v>210386</v>
      </c>
      <c r="G79">
        <v>6</v>
      </c>
      <c r="H79">
        <v>0</v>
      </c>
      <c r="J79" t="s">
        <v>1112</v>
      </c>
    </row>
    <row r="80" spans="1:10" hidden="1" x14ac:dyDescent="0.2">
      <c r="A80" t="s">
        <v>505</v>
      </c>
      <c r="B80">
        <v>629406</v>
      </c>
      <c r="C80" s="67">
        <v>43676.725821759261</v>
      </c>
      <c r="D80" t="s">
        <v>849</v>
      </c>
      <c r="F80">
        <v>0</v>
      </c>
      <c r="G80">
        <v>0</v>
      </c>
      <c r="H80">
        <v>310.91000000000003</v>
      </c>
      <c r="J80" t="s">
        <v>1113</v>
      </c>
    </row>
    <row r="81" spans="1:10" hidden="1" x14ac:dyDescent="0.2">
      <c r="A81" t="s">
        <v>505</v>
      </c>
      <c r="B81">
        <v>629406</v>
      </c>
      <c r="C81" s="67">
        <v>43676.725821759261</v>
      </c>
      <c r="D81" t="s">
        <v>739</v>
      </c>
      <c r="E81" t="s">
        <v>709</v>
      </c>
      <c r="F81">
        <v>211023</v>
      </c>
      <c r="G81">
        <v>22.38</v>
      </c>
      <c r="H81">
        <v>0</v>
      </c>
      <c r="J81" t="s">
        <v>1114</v>
      </c>
    </row>
    <row r="82" spans="1:10" hidden="1" x14ac:dyDescent="0.2">
      <c r="A82" t="s">
        <v>505</v>
      </c>
      <c r="B82">
        <v>629455</v>
      </c>
      <c r="C82" s="67">
        <v>43676.728692129633</v>
      </c>
      <c r="D82" t="s">
        <v>740</v>
      </c>
      <c r="E82" t="s">
        <v>710</v>
      </c>
      <c r="F82">
        <v>173656</v>
      </c>
      <c r="G82">
        <v>282.52999999999997</v>
      </c>
      <c r="H82">
        <v>0</v>
      </c>
      <c r="J82" t="s">
        <v>1115</v>
      </c>
    </row>
    <row r="83" spans="1:10" hidden="1" x14ac:dyDescent="0.2">
      <c r="A83" t="s">
        <v>507</v>
      </c>
      <c r="B83">
        <v>628242</v>
      </c>
      <c r="C83" s="67">
        <v>43674.024629629632</v>
      </c>
      <c r="D83" t="s">
        <v>743</v>
      </c>
      <c r="E83" t="s">
        <v>709</v>
      </c>
      <c r="F83">
        <v>210388</v>
      </c>
      <c r="G83">
        <v>6</v>
      </c>
      <c r="H83">
        <v>0</v>
      </c>
      <c r="J83" t="s">
        <v>1112</v>
      </c>
    </row>
    <row r="84" spans="1:10" hidden="1" x14ac:dyDescent="0.2">
      <c r="A84" t="s">
        <v>507</v>
      </c>
      <c r="B84">
        <v>628519</v>
      </c>
      <c r="C84" s="67">
        <v>43675.638888888891</v>
      </c>
      <c r="D84" t="s">
        <v>850</v>
      </c>
      <c r="F84">
        <v>0</v>
      </c>
      <c r="G84">
        <v>0</v>
      </c>
      <c r="H84">
        <v>525</v>
      </c>
      <c r="J84" t="s">
        <v>1113</v>
      </c>
    </row>
    <row r="85" spans="1:10" hidden="1" x14ac:dyDescent="0.2">
      <c r="A85" t="s">
        <v>507</v>
      </c>
      <c r="B85">
        <v>628519</v>
      </c>
      <c r="C85" s="67">
        <v>43675.638888888891</v>
      </c>
      <c r="D85" t="s">
        <v>744</v>
      </c>
      <c r="E85" t="s">
        <v>709</v>
      </c>
      <c r="F85">
        <v>210764</v>
      </c>
      <c r="G85">
        <v>37.799999999999997</v>
      </c>
      <c r="H85">
        <v>0</v>
      </c>
      <c r="J85" t="s">
        <v>1114</v>
      </c>
    </row>
    <row r="86" spans="1:10" hidden="1" x14ac:dyDescent="0.2">
      <c r="A86" t="s">
        <v>507</v>
      </c>
      <c r="B86">
        <v>628535</v>
      </c>
      <c r="C86" s="67">
        <v>43675.642060185186</v>
      </c>
      <c r="D86" t="s">
        <v>745</v>
      </c>
      <c r="E86" t="s">
        <v>710</v>
      </c>
      <c r="F86">
        <v>173425</v>
      </c>
      <c r="G86">
        <v>481.2</v>
      </c>
      <c r="H86">
        <v>0</v>
      </c>
      <c r="J86" t="s">
        <v>1115</v>
      </c>
    </row>
    <row r="87" spans="1:10" hidden="1" x14ac:dyDescent="0.2">
      <c r="A87" t="s">
        <v>475</v>
      </c>
      <c r="B87">
        <v>623119</v>
      </c>
      <c r="C87" s="67">
        <v>43656.604618055557</v>
      </c>
      <c r="D87" t="s">
        <v>851</v>
      </c>
      <c r="E87" t="s">
        <v>814</v>
      </c>
      <c r="F87">
        <v>3631</v>
      </c>
      <c r="G87">
        <v>85</v>
      </c>
      <c r="H87">
        <v>0</v>
      </c>
      <c r="J87" t="s">
        <v>1112</v>
      </c>
    </row>
    <row r="88" spans="1:10" hidden="1" x14ac:dyDescent="0.2">
      <c r="A88" t="s">
        <v>475</v>
      </c>
      <c r="B88">
        <v>628242</v>
      </c>
      <c r="C88" s="67">
        <v>43674.024629629632</v>
      </c>
      <c r="D88" t="s">
        <v>746</v>
      </c>
      <c r="E88" t="s">
        <v>709</v>
      </c>
      <c r="F88">
        <v>210419</v>
      </c>
      <c r="G88">
        <v>6</v>
      </c>
      <c r="H88">
        <v>0</v>
      </c>
      <c r="J88" t="s">
        <v>1112</v>
      </c>
    </row>
    <row r="89" spans="1:10" hidden="1" x14ac:dyDescent="0.2">
      <c r="A89" t="s">
        <v>475</v>
      </c>
      <c r="B89">
        <v>628661</v>
      </c>
      <c r="C89" s="67">
        <v>43676.417523148149</v>
      </c>
      <c r="D89" t="s">
        <v>852</v>
      </c>
      <c r="E89" t="s">
        <v>814</v>
      </c>
      <c r="G89">
        <v>131.86000000000001</v>
      </c>
      <c r="H89">
        <v>0</v>
      </c>
      <c r="J89" t="s">
        <v>1112</v>
      </c>
    </row>
    <row r="90" spans="1:10" hidden="1" x14ac:dyDescent="0.2">
      <c r="A90" t="s">
        <v>490</v>
      </c>
      <c r="B90">
        <v>622865</v>
      </c>
      <c r="C90" s="67">
        <v>43655.630659722221</v>
      </c>
      <c r="D90" t="s">
        <v>853</v>
      </c>
      <c r="F90">
        <v>0</v>
      </c>
      <c r="G90">
        <v>0</v>
      </c>
      <c r="H90">
        <v>200</v>
      </c>
      <c r="J90" t="s">
        <v>1113</v>
      </c>
    </row>
    <row r="91" spans="1:10" hidden="1" x14ac:dyDescent="0.2">
      <c r="A91" t="s">
        <v>490</v>
      </c>
      <c r="B91">
        <v>622865</v>
      </c>
      <c r="C91" s="67">
        <v>43655.630659722221</v>
      </c>
      <c r="D91" t="s">
        <v>747</v>
      </c>
      <c r="E91" t="s">
        <v>709</v>
      </c>
      <c r="F91">
        <v>207527</v>
      </c>
      <c r="G91">
        <v>14.4</v>
      </c>
      <c r="H91">
        <v>0</v>
      </c>
      <c r="J91" t="s">
        <v>1114</v>
      </c>
    </row>
    <row r="92" spans="1:10" hidden="1" x14ac:dyDescent="0.2">
      <c r="A92" t="s">
        <v>490</v>
      </c>
      <c r="B92">
        <v>622885</v>
      </c>
      <c r="C92" s="67">
        <v>43655.645844907405</v>
      </c>
      <c r="D92" t="s">
        <v>748</v>
      </c>
      <c r="E92" t="s">
        <v>710</v>
      </c>
      <c r="F92">
        <v>171800</v>
      </c>
      <c r="G92">
        <v>179.6</v>
      </c>
      <c r="H92">
        <v>0</v>
      </c>
      <c r="J92" t="s">
        <v>1115</v>
      </c>
    </row>
    <row r="93" spans="1:10" hidden="1" x14ac:dyDescent="0.2">
      <c r="A93" t="s">
        <v>490</v>
      </c>
      <c r="B93">
        <v>623729</v>
      </c>
      <c r="C93" s="67">
        <v>43658.586736111109</v>
      </c>
      <c r="D93" t="s">
        <v>853</v>
      </c>
      <c r="F93">
        <v>0</v>
      </c>
      <c r="G93">
        <v>0</v>
      </c>
      <c r="H93">
        <v>150</v>
      </c>
      <c r="J93" t="s">
        <v>1113</v>
      </c>
    </row>
    <row r="94" spans="1:10" hidden="1" x14ac:dyDescent="0.2">
      <c r="A94" t="s">
        <v>490</v>
      </c>
      <c r="B94">
        <v>623729</v>
      </c>
      <c r="C94" s="67">
        <v>43658.586736111109</v>
      </c>
      <c r="D94" t="s">
        <v>747</v>
      </c>
      <c r="E94" t="s">
        <v>709</v>
      </c>
      <c r="F94">
        <v>207871</v>
      </c>
      <c r="G94">
        <v>10.8</v>
      </c>
      <c r="H94">
        <v>0</v>
      </c>
      <c r="J94" t="s">
        <v>1114</v>
      </c>
    </row>
    <row r="95" spans="1:10" hidden="1" x14ac:dyDescent="0.2">
      <c r="A95" t="s">
        <v>490</v>
      </c>
      <c r="B95">
        <v>623741</v>
      </c>
      <c r="C95" s="67">
        <v>43658.601226851853</v>
      </c>
      <c r="D95" t="s">
        <v>748</v>
      </c>
      <c r="E95" t="s">
        <v>710</v>
      </c>
      <c r="F95">
        <v>172037</v>
      </c>
      <c r="G95">
        <v>139.19999999999999</v>
      </c>
      <c r="H95">
        <v>0</v>
      </c>
      <c r="J95" t="s">
        <v>1115</v>
      </c>
    </row>
    <row r="96" spans="1:10" hidden="1" x14ac:dyDescent="0.2">
      <c r="A96" t="s">
        <v>490</v>
      </c>
      <c r="B96">
        <v>627346</v>
      </c>
      <c r="C96" s="67">
        <v>43669.712719907409</v>
      </c>
      <c r="D96" t="s">
        <v>853</v>
      </c>
      <c r="F96">
        <v>0</v>
      </c>
      <c r="G96">
        <v>0</v>
      </c>
      <c r="H96">
        <v>250</v>
      </c>
      <c r="J96" t="s">
        <v>1113</v>
      </c>
    </row>
    <row r="97" spans="1:10" hidden="1" x14ac:dyDescent="0.2">
      <c r="A97" t="s">
        <v>490</v>
      </c>
      <c r="B97">
        <v>627346</v>
      </c>
      <c r="C97" s="67">
        <v>43669.712719907409</v>
      </c>
      <c r="D97" t="s">
        <v>747</v>
      </c>
      <c r="E97" s="47" t="s">
        <v>709</v>
      </c>
      <c r="F97">
        <v>208837</v>
      </c>
      <c r="G97">
        <v>18</v>
      </c>
      <c r="H97">
        <v>0</v>
      </c>
      <c r="J97" t="s">
        <v>1114</v>
      </c>
    </row>
    <row r="98" spans="1:10" hidden="1" x14ac:dyDescent="0.2">
      <c r="A98" t="s">
        <v>490</v>
      </c>
      <c r="B98">
        <v>627356</v>
      </c>
      <c r="C98" s="67">
        <v>43669.715057870373</v>
      </c>
      <c r="D98" t="s">
        <v>748</v>
      </c>
      <c r="E98" t="s">
        <v>710</v>
      </c>
      <c r="F98">
        <v>173160</v>
      </c>
      <c r="G98">
        <v>232</v>
      </c>
      <c r="H98">
        <v>0</v>
      </c>
      <c r="J98" t="s">
        <v>1115</v>
      </c>
    </row>
    <row r="99" spans="1:10" hidden="1" x14ac:dyDescent="0.2">
      <c r="A99" t="s">
        <v>490</v>
      </c>
      <c r="B99">
        <v>628242</v>
      </c>
      <c r="C99" s="67">
        <v>43674.024629629632</v>
      </c>
      <c r="D99" t="s">
        <v>749</v>
      </c>
      <c r="E99" t="s">
        <v>709</v>
      </c>
      <c r="F99">
        <v>210538</v>
      </c>
      <c r="G99">
        <v>6</v>
      </c>
      <c r="H99">
        <v>0</v>
      </c>
      <c r="J99" t="s">
        <v>1112</v>
      </c>
    </row>
    <row r="100" spans="1:10" hidden="1" x14ac:dyDescent="0.2">
      <c r="A100" t="s">
        <v>490</v>
      </c>
      <c r="B100">
        <v>628521</v>
      </c>
      <c r="C100" s="67">
        <v>43675.638888888891</v>
      </c>
      <c r="D100" s="47" t="s">
        <v>854</v>
      </c>
      <c r="E100" s="47" t="s">
        <v>1107</v>
      </c>
      <c r="F100">
        <v>0</v>
      </c>
      <c r="G100">
        <v>0</v>
      </c>
      <c r="H100">
        <v>250</v>
      </c>
      <c r="J100" t="s">
        <v>1113</v>
      </c>
    </row>
    <row r="101" spans="1:10" hidden="1" x14ac:dyDescent="0.2">
      <c r="A101" t="s">
        <v>490</v>
      </c>
      <c r="B101">
        <v>628521</v>
      </c>
      <c r="C101" s="67">
        <v>43675.638888888891</v>
      </c>
      <c r="D101" t="s">
        <v>747</v>
      </c>
      <c r="E101" t="s">
        <v>709</v>
      </c>
      <c r="F101">
        <v>210766</v>
      </c>
      <c r="G101">
        <v>18</v>
      </c>
      <c r="H101">
        <v>0</v>
      </c>
      <c r="J101" t="s">
        <v>1114</v>
      </c>
    </row>
    <row r="102" spans="1:10" hidden="1" x14ac:dyDescent="0.2">
      <c r="A102" t="s">
        <v>490</v>
      </c>
      <c r="B102">
        <v>628535</v>
      </c>
      <c r="C102" s="67">
        <v>43675.642060185186</v>
      </c>
      <c r="D102" t="s">
        <v>748</v>
      </c>
      <c r="E102" t="s">
        <v>710</v>
      </c>
      <c r="F102">
        <v>173427</v>
      </c>
      <c r="G102">
        <v>226</v>
      </c>
      <c r="H102">
        <v>0</v>
      </c>
      <c r="J102" t="s">
        <v>1115</v>
      </c>
    </row>
    <row r="103" spans="1:10" hidden="1" x14ac:dyDescent="0.2">
      <c r="A103" t="s">
        <v>489</v>
      </c>
      <c r="B103">
        <v>628242</v>
      </c>
      <c r="C103" s="67">
        <v>43674.024629629632</v>
      </c>
      <c r="D103" t="s">
        <v>750</v>
      </c>
      <c r="E103" s="47" t="s">
        <v>709</v>
      </c>
      <c r="F103">
        <v>210537</v>
      </c>
      <c r="G103">
        <v>6</v>
      </c>
      <c r="H103">
        <v>0</v>
      </c>
      <c r="J103" t="s">
        <v>1112</v>
      </c>
    </row>
    <row r="104" spans="1:10" hidden="1" x14ac:dyDescent="0.2">
      <c r="A104" t="s">
        <v>487</v>
      </c>
      <c r="B104">
        <v>620080</v>
      </c>
      <c r="C104" s="67">
        <v>43647.548761574071</v>
      </c>
      <c r="D104" t="s">
        <v>855</v>
      </c>
      <c r="F104">
        <v>0</v>
      </c>
      <c r="G104">
        <v>0</v>
      </c>
      <c r="H104">
        <v>119.25</v>
      </c>
      <c r="J104" t="s">
        <v>1113</v>
      </c>
    </row>
    <row r="105" spans="1:10" hidden="1" x14ac:dyDescent="0.2">
      <c r="A105" t="s">
        <v>487</v>
      </c>
      <c r="B105">
        <v>620080</v>
      </c>
      <c r="C105" s="67">
        <v>43647.548761574071</v>
      </c>
      <c r="D105" t="s">
        <v>751</v>
      </c>
      <c r="E105" t="s">
        <v>709</v>
      </c>
      <c r="F105">
        <v>206550</v>
      </c>
      <c r="G105">
        <v>8.59</v>
      </c>
      <c r="H105">
        <v>0</v>
      </c>
      <c r="J105" t="s">
        <v>1114</v>
      </c>
    </row>
    <row r="106" spans="1:10" hidden="1" x14ac:dyDescent="0.2">
      <c r="A106" t="s">
        <v>487</v>
      </c>
      <c r="B106">
        <v>620117</v>
      </c>
      <c r="C106" s="67">
        <v>43647.623391203706</v>
      </c>
      <c r="D106" t="s">
        <v>752</v>
      </c>
      <c r="E106" t="s">
        <v>710</v>
      </c>
      <c r="F106">
        <v>170976</v>
      </c>
      <c r="G106">
        <v>110.66</v>
      </c>
      <c r="H106">
        <v>0</v>
      </c>
      <c r="J106" t="s">
        <v>1115</v>
      </c>
    </row>
    <row r="107" spans="1:10" hidden="1" x14ac:dyDescent="0.2">
      <c r="A107" t="s">
        <v>487</v>
      </c>
      <c r="B107">
        <v>621172</v>
      </c>
      <c r="C107" s="67">
        <v>43648.756643518522</v>
      </c>
      <c r="D107" t="s">
        <v>855</v>
      </c>
      <c r="F107">
        <v>0</v>
      </c>
      <c r="G107">
        <v>0</v>
      </c>
      <c r="H107">
        <v>380.75</v>
      </c>
      <c r="J107" t="s">
        <v>1113</v>
      </c>
    </row>
    <row r="108" spans="1:10" hidden="1" x14ac:dyDescent="0.2">
      <c r="A108" t="s">
        <v>487</v>
      </c>
      <c r="B108">
        <v>621172</v>
      </c>
      <c r="C108" s="67">
        <v>43648.756643518522</v>
      </c>
      <c r="D108" t="s">
        <v>751</v>
      </c>
      <c r="E108" t="s">
        <v>709</v>
      </c>
      <c r="F108">
        <v>206939</v>
      </c>
      <c r="G108">
        <v>27.42</v>
      </c>
      <c r="H108">
        <v>0</v>
      </c>
      <c r="J108" t="s">
        <v>1114</v>
      </c>
    </row>
    <row r="109" spans="1:10" hidden="1" x14ac:dyDescent="0.2">
      <c r="A109" t="s">
        <v>487</v>
      </c>
      <c r="B109">
        <v>621226</v>
      </c>
      <c r="C109" s="67">
        <v>43648.764282407406</v>
      </c>
      <c r="D109" t="s">
        <v>752</v>
      </c>
      <c r="E109" t="s">
        <v>710</v>
      </c>
      <c r="F109">
        <v>171330</v>
      </c>
      <c r="G109">
        <v>353.33</v>
      </c>
      <c r="H109">
        <v>0</v>
      </c>
      <c r="J109" t="s">
        <v>1115</v>
      </c>
    </row>
    <row r="110" spans="1:10" hidden="1" x14ac:dyDescent="0.2">
      <c r="A110" t="s">
        <v>487</v>
      </c>
      <c r="B110">
        <v>624222</v>
      </c>
      <c r="C110" s="67">
        <v>43661.702766203707</v>
      </c>
      <c r="D110" t="s">
        <v>856</v>
      </c>
      <c r="F110">
        <v>0</v>
      </c>
      <c r="G110">
        <v>0</v>
      </c>
      <c r="H110">
        <v>119.25</v>
      </c>
      <c r="J110" t="s">
        <v>1113</v>
      </c>
    </row>
    <row r="111" spans="1:10" hidden="1" x14ac:dyDescent="0.2">
      <c r="A111" t="s">
        <v>487</v>
      </c>
      <c r="B111">
        <v>624222</v>
      </c>
      <c r="C111" s="67">
        <v>43661.702766203707</v>
      </c>
      <c r="D111" t="s">
        <v>751</v>
      </c>
      <c r="E111" t="s">
        <v>709</v>
      </c>
      <c r="F111">
        <v>208017</v>
      </c>
      <c r="G111">
        <v>8.59</v>
      </c>
      <c r="H111">
        <v>0</v>
      </c>
      <c r="J111" t="s">
        <v>1114</v>
      </c>
    </row>
    <row r="112" spans="1:10" hidden="1" x14ac:dyDescent="0.2">
      <c r="A112" t="s">
        <v>487</v>
      </c>
      <c r="B112">
        <v>624227</v>
      </c>
      <c r="C112" s="67">
        <v>43661.703981481478</v>
      </c>
      <c r="D112" t="s">
        <v>752</v>
      </c>
      <c r="E112" t="s">
        <v>710</v>
      </c>
      <c r="F112">
        <v>172262</v>
      </c>
      <c r="G112">
        <v>110.66</v>
      </c>
      <c r="H112">
        <v>0</v>
      </c>
      <c r="J112" t="s">
        <v>1115</v>
      </c>
    </row>
    <row r="113" spans="1:10" hidden="1" x14ac:dyDescent="0.2">
      <c r="A113" t="s">
        <v>488</v>
      </c>
      <c r="B113">
        <v>621173</v>
      </c>
      <c r="C113" s="67">
        <v>43648.756643518522</v>
      </c>
      <c r="D113" t="s">
        <v>755</v>
      </c>
      <c r="F113">
        <v>0</v>
      </c>
      <c r="G113">
        <v>0</v>
      </c>
      <c r="H113">
        <v>346.32</v>
      </c>
      <c r="J113" t="s">
        <v>1113</v>
      </c>
    </row>
    <row r="114" spans="1:10" hidden="1" x14ac:dyDescent="0.2">
      <c r="A114" t="s">
        <v>488</v>
      </c>
      <c r="B114">
        <v>621173</v>
      </c>
      <c r="C114" s="67">
        <v>43648.756643518522</v>
      </c>
      <c r="D114" t="s">
        <v>753</v>
      </c>
      <c r="E114" t="s">
        <v>709</v>
      </c>
      <c r="F114">
        <v>206940</v>
      </c>
      <c r="G114">
        <v>24.94</v>
      </c>
      <c r="H114">
        <v>0</v>
      </c>
      <c r="J114" t="s">
        <v>1114</v>
      </c>
    </row>
    <row r="115" spans="1:10" hidden="1" x14ac:dyDescent="0.2">
      <c r="A115" t="s">
        <v>488</v>
      </c>
      <c r="B115">
        <v>621226</v>
      </c>
      <c r="C115" s="67">
        <v>43648.764282407406</v>
      </c>
      <c r="D115" t="s">
        <v>754</v>
      </c>
      <c r="E115" t="s">
        <v>710</v>
      </c>
      <c r="F115">
        <v>171331</v>
      </c>
      <c r="G115">
        <v>315.38</v>
      </c>
      <c r="H115">
        <v>0</v>
      </c>
      <c r="J115" t="s">
        <v>1115</v>
      </c>
    </row>
    <row r="116" spans="1:10" hidden="1" x14ac:dyDescent="0.2">
      <c r="A116" t="s">
        <v>488</v>
      </c>
      <c r="B116">
        <v>628044</v>
      </c>
      <c r="C116" s="67">
        <v>43672.599236111113</v>
      </c>
      <c r="D116" t="s">
        <v>857</v>
      </c>
      <c r="F116">
        <v>0</v>
      </c>
      <c r="G116">
        <v>0</v>
      </c>
      <c r="H116">
        <v>115.2</v>
      </c>
      <c r="J116" t="s">
        <v>1113</v>
      </c>
    </row>
    <row r="117" spans="1:10" hidden="1" x14ac:dyDescent="0.2">
      <c r="A117" t="s">
        <v>488</v>
      </c>
      <c r="B117">
        <v>628044</v>
      </c>
      <c r="C117" s="67">
        <v>43672.599236111113</v>
      </c>
      <c r="D117" t="s">
        <v>753</v>
      </c>
      <c r="E117" t="s">
        <v>709</v>
      </c>
      <c r="F117">
        <v>209080</v>
      </c>
      <c r="G117">
        <v>8.2899999999999991</v>
      </c>
      <c r="H117">
        <v>0</v>
      </c>
      <c r="J117" t="s">
        <v>1114</v>
      </c>
    </row>
    <row r="118" spans="1:10" hidden="1" x14ac:dyDescent="0.2">
      <c r="A118" t="s">
        <v>488</v>
      </c>
      <c r="B118">
        <v>628062</v>
      </c>
      <c r="C118" s="67">
        <v>43672.611932870372</v>
      </c>
      <c r="D118" t="s">
        <v>754</v>
      </c>
      <c r="E118" t="s">
        <v>710</v>
      </c>
      <c r="F118">
        <v>173310</v>
      </c>
      <c r="G118">
        <v>106.91</v>
      </c>
      <c r="H118">
        <v>0</v>
      </c>
      <c r="J118" t="s">
        <v>1115</v>
      </c>
    </row>
    <row r="119" spans="1:10" hidden="1" x14ac:dyDescent="0.2">
      <c r="A119" t="s">
        <v>488</v>
      </c>
      <c r="B119">
        <v>628242</v>
      </c>
      <c r="C119" s="67">
        <v>43674.024629629632</v>
      </c>
      <c r="D119" t="s">
        <v>756</v>
      </c>
      <c r="E119" t="s">
        <v>709</v>
      </c>
      <c r="F119">
        <v>210535</v>
      </c>
      <c r="G119">
        <v>6</v>
      </c>
      <c r="H119">
        <v>0</v>
      </c>
      <c r="J119" t="s">
        <v>1112</v>
      </c>
    </row>
    <row r="120" spans="1:10" hidden="1" x14ac:dyDescent="0.2">
      <c r="A120" t="s">
        <v>488</v>
      </c>
      <c r="B120">
        <v>629410</v>
      </c>
      <c r="C120" s="67">
        <v>43676.725821759261</v>
      </c>
      <c r="D120" t="s">
        <v>857</v>
      </c>
      <c r="F120">
        <v>0</v>
      </c>
      <c r="G120">
        <v>0</v>
      </c>
      <c r="H120">
        <v>384.8</v>
      </c>
      <c r="J120" t="s">
        <v>1113</v>
      </c>
    </row>
    <row r="121" spans="1:10" hidden="1" x14ac:dyDescent="0.2">
      <c r="A121" t="s">
        <v>488</v>
      </c>
      <c r="B121">
        <v>629410</v>
      </c>
      <c r="C121" s="67">
        <v>43676.725821759261</v>
      </c>
      <c r="D121" t="s">
        <v>753</v>
      </c>
      <c r="E121" t="s">
        <v>709</v>
      </c>
      <c r="F121">
        <v>211027</v>
      </c>
      <c r="G121">
        <v>27.71</v>
      </c>
      <c r="H121">
        <v>0</v>
      </c>
      <c r="J121" t="s">
        <v>1114</v>
      </c>
    </row>
    <row r="122" spans="1:10" hidden="1" x14ac:dyDescent="0.2">
      <c r="A122" t="s">
        <v>488</v>
      </c>
      <c r="B122">
        <v>629455</v>
      </c>
      <c r="C122" s="67">
        <v>43676.728692129633</v>
      </c>
      <c r="D122" t="s">
        <v>754</v>
      </c>
      <c r="E122" t="s">
        <v>710</v>
      </c>
      <c r="F122">
        <v>173660</v>
      </c>
      <c r="G122">
        <v>351.09</v>
      </c>
      <c r="H122">
        <v>0</v>
      </c>
      <c r="J122" t="s">
        <v>1115</v>
      </c>
    </row>
    <row r="123" spans="1:10" hidden="1" x14ac:dyDescent="0.2">
      <c r="A123" t="s">
        <v>496</v>
      </c>
      <c r="B123">
        <v>621165</v>
      </c>
      <c r="C123" s="67">
        <v>43648.756643518522</v>
      </c>
      <c r="D123" t="s">
        <v>759</v>
      </c>
      <c r="F123">
        <v>0</v>
      </c>
      <c r="G123">
        <v>0</v>
      </c>
      <c r="H123">
        <v>346.32</v>
      </c>
      <c r="J123" t="s">
        <v>1113</v>
      </c>
    </row>
    <row r="124" spans="1:10" hidden="1" x14ac:dyDescent="0.2">
      <c r="A124" t="s">
        <v>496</v>
      </c>
      <c r="B124">
        <v>621165</v>
      </c>
      <c r="C124" s="67">
        <v>43648.756643518522</v>
      </c>
      <c r="D124" t="s">
        <v>757</v>
      </c>
      <c r="E124" t="s">
        <v>709</v>
      </c>
      <c r="F124">
        <v>206932</v>
      </c>
      <c r="G124">
        <v>24.94</v>
      </c>
      <c r="H124">
        <v>0</v>
      </c>
      <c r="J124" t="s">
        <v>1114</v>
      </c>
    </row>
    <row r="125" spans="1:10" hidden="1" x14ac:dyDescent="0.2">
      <c r="A125" t="s">
        <v>496</v>
      </c>
      <c r="B125">
        <v>621226</v>
      </c>
      <c r="C125" s="67">
        <v>43648.764282407406</v>
      </c>
      <c r="D125" t="s">
        <v>758</v>
      </c>
      <c r="E125" t="s">
        <v>710</v>
      </c>
      <c r="F125">
        <v>171323</v>
      </c>
      <c r="G125">
        <v>315.38</v>
      </c>
      <c r="H125">
        <v>0</v>
      </c>
      <c r="J125" t="s">
        <v>1115</v>
      </c>
    </row>
    <row r="126" spans="1:10" hidden="1" x14ac:dyDescent="0.2">
      <c r="A126" t="s">
        <v>496</v>
      </c>
      <c r="B126">
        <v>626548</v>
      </c>
      <c r="C126" s="67">
        <v>43668.627662037034</v>
      </c>
      <c r="D126" t="s">
        <v>858</v>
      </c>
      <c r="F126">
        <v>0</v>
      </c>
      <c r="G126">
        <v>0</v>
      </c>
      <c r="H126">
        <v>115.2</v>
      </c>
      <c r="J126" t="s">
        <v>1113</v>
      </c>
    </row>
    <row r="127" spans="1:10" hidden="1" x14ac:dyDescent="0.2">
      <c r="A127" t="s">
        <v>496</v>
      </c>
      <c r="B127">
        <v>626548</v>
      </c>
      <c r="C127" s="67">
        <v>43668.627662037034</v>
      </c>
      <c r="D127" t="s">
        <v>757</v>
      </c>
      <c r="E127" t="s">
        <v>709</v>
      </c>
      <c r="F127">
        <v>208666</v>
      </c>
      <c r="G127">
        <v>8.2899999999999991</v>
      </c>
      <c r="H127">
        <v>0</v>
      </c>
      <c r="J127" t="s">
        <v>1114</v>
      </c>
    </row>
    <row r="128" spans="1:10" hidden="1" x14ac:dyDescent="0.2">
      <c r="A128" t="s">
        <v>496</v>
      </c>
      <c r="B128">
        <v>626559</v>
      </c>
      <c r="C128" s="67">
        <v>43668.629594907405</v>
      </c>
      <c r="D128" t="s">
        <v>758</v>
      </c>
      <c r="E128" t="s">
        <v>710</v>
      </c>
      <c r="F128">
        <v>172859</v>
      </c>
      <c r="G128">
        <v>106.91</v>
      </c>
      <c r="H128">
        <v>0</v>
      </c>
      <c r="J128" t="s">
        <v>1115</v>
      </c>
    </row>
    <row r="129" spans="1:10" hidden="1" x14ac:dyDescent="0.2">
      <c r="A129" t="s">
        <v>496</v>
      </c>
      <c r="B129">
        <v>628242</v>
      </c>
      <c r="C129" s="67">
        <v>43674.024629629632</v>
      </c>
      <c r="D129" t="s">
        <v>760</v>
      </c>
      <c r="E129" t="s">
        <v>709</v>
      </c>
      <c r="F129">
        <v>210317</v>
      </c>
      <c r="G129">
        <v>6</v>
      </c>
      <c r="H129">
        <v>0</v>
      </c>
      <c r="J129" t="s">
        <v>1112</v>
      </c>
    </row>
    <row r="130" spans="1:10" hidden="1" x14ac:dyDescent="0.2">
      <c r="A130" t="s">
        <v>496</v>
      </c>
      <c r="B130">
        <v>629404</v>
      </c>
      <c r="C130" s="67">
        <v>43676.725821759261</v>
      </c>
      <c r="D130" t="s">
        <v>858</v>
      </c>
      <c r="F130">
        <v>0</v>
      </c>
      <c r="G130">
        <v>0</v>
      </c>
      <c r="H130">
        <v>384.8</v>
      </c>
      <c r="J130" t="s">
        <v>1113</v>
      </c>
    </row>
    <row r="131" spans="1:10" hidden="1" x14ac:dyDescent="0.2">
      <c r="A131" s="47" t="s">
        <v>496</v>
      </c>
      <c r="B131">
        <v>629404</v>
      </c>
      <c r="C131" s="67">
        <v>43676.725821759261</v>
      </c>
      <c r="D131" t="s">
        <v>757</v>
      </c>
      <c r="E131" t="s">
        <v>709</v>
      </c>
      <c r="F131">
        <v>211022</v>
      </c>
      <c r="G131">
        <v>27.71</v>
      </c>
      <c r="H131">
        <v>0</v>
      </c>
      <c r="J131" t="s">
        <v>1114</v>
      </c>
    </row>
    <row r="132" spans="1:10" hidden="1" x14ac:dyDescent="0.2">
      <c r="A132" s="47" t="s">
        <v>496</v>
      </c>
      <c r="B132">
        <v>629455</v>
      </c>
      <c r="C132" s="67">
        <v>43676.728692129633</v>
      </c>
      <c r="D132" t="s">
        <v>758</v>
      </c>
      <c r="E132" t="s">
        <v>710</v>
      </c>
      <c r="F132">
        <v>173654</v>
      </c>
      <c r="G132">
        <v>351.09</v>
      </c>
      <c r="H132">
        <v>0</v>
      </c>
      <c r="J132" t="s">
        <v>1115</v>
      </c>
    </row>
    <row r="133" spans="1:10" hidden="1" x14ac:dyDescent="0.2">
      <c r="A133" s="47" t="s">
        <v>498</v>
      </c>
      <c r="B133">
        <v>622428</v>
      </c>
      <c r="C133" s="67">
        <v>43654.671006944445</v>
      </c>
      <c r="D133" t="s">
        <v>859</v>
      </c>
      <c r="F133">
        <v>0</v>
      </c>
      <c r="G133">
        <v>0</v>
      </c>
      <c r="H133">
        <v>500</v>
      </c>
      <c r="J133" t="s">
        <v>1113</v>
      </c>
    </row>
    <row r="134" spans="1:10" hidden="1" x14ac:dyDescent="0.2">
      <c r="A134" t="s">
        <v>498</v>
      </c>
      <c r="B134">
        <v>622428</v>
      </c>
      <c r="C134" s="67">
        <v>43654.671006944445</v>
      </c>
      <c r="D134" t="s">
        <v>761</v>
      </c>
      <c r="E134" s="47" t="s">
        <v>709</v>
      </c>
      <c r="F134">
        <v>207382</v>
      </c>
      <c r="G134">
        <v>36</v>
      </c>
      <c r="H134">
        <v>0</v>
      </c>
      <c r="J134" t="s">
        <v>1114</v>
      </c>
    </row>
    <row r="135" spans="1:10" hidden="1" x14ac:dyDescent="0.2">
      <c r="A135" t="s">
        <v>498</v>
      </c>
      <c r="B135">
        <v>622440</v>
      </c>
      <c r="C135" s="67">
        <v>43654.678703703707</v>
      </c>
      <c r="D135" t="s">
        <v>762</v>
      </c>
      <c r="E135" t="s">
        <v>710</v>
      </c>
      <c r="F135">
        <v>171687</v>
      </c>
      <c r="G135">
        <v>458</v>
      </c>
      <c r="H135">
        <v>0</v>
      </c>
      <c r="J135" t="s">
        <v>1115</v>
      </c>
    </row>
    <row r="136" spans="1:10" hidden="1" x14ac:dyDescent="0.2">
      <c r="A136" t="s">
        <v>498</v>
      </c>
      <c r="B136">
        <v>628242</v>
      </c>
      <c r="C136" s="67">
        <v>43674.024629629632</v>
      </c>
      <c r="D136" t="s">
        <v>763</v>
      </c>
      <c r="E136" t="s">
        <v>709</v>
      </c>
      <c r="F136">
        <v>210325</v>
      </c>
      <c r="G136">
        <v>6</v>
      </c>
      <c r="H136">
        <v>0</v>
      </c>
      <c r="J136" t="s">
        <v>1112</v>
      </c>
    </row>
    <row r="137" spans="1:10" hidden="1" x14ac:dyDescent="0.2">
      <c r="A137" t="s">
        <v>511</v>
      </c>
      <c r="B137">
        <v>621183</v>
      </c>
      <c r="C137" s="67">
        <v>43648.762476851851</v>
      </c>
      <c r="D137" t="s">
        <v>766</v>
      </c>
      <c r="F137">
        <v>0</v>
      </c>
      <c r="G137">
        <v>0</v>
      </c>
      <c r="H137">
        <v>159.43</v>
      </c>
      <c r="J137" t="s">
        <v>1113</v>
      </c>
    </row>
    <row r="138" spans="1:10" hidden="1" x14ac:dyDescent="0.2">
      <c r="A138" t="s">
        <v>511</v>
      </c>
      <c r="B138">
        <v>621183</v>
      </c>
      <c r="C138" s="67">
        <v>43648.762476851851</v>
      </c>
      <c r="D138" t="s">
        <v>764</v>
      </c>
      <c r="E138" t="s">
        <v>709</v>
      </c>
      <c r="F138">
        <v>206949</v>
      </c>
      <c r="G138">
        <v>11.48</v>
      </c>
      <c r="H138">
        <v>0</v>
      </c>
      <c r="J138" t="s">
        <v>1114</v>
      </c>
    </row>
    <row r="139" spans="1:10" hidden="1" x14ac:dyDescent="0.2">
      <c r="A139" t="s">
        <v>511</v>
      </c>
      <c r="B139">
        <v>621226</v>
      </c>
      <c r="C139" s="67">
        <v>43648.764282407406</v>
      </c>
      <c r="D139" t="s">
        <v>765</v>
      </c>
      <c r="E139" t="s">
        <v>710</v>
      </c>
      <c r="F139">
        <v>171341</v>
      </c>
      <c r="G139">
        <v>141.94999999999999</v>
      </c>
      <c r="H139">
        <v>0</v>
      </c>
      <c r="J139" t="s">
        <v>1115</v>
      </c>
    </row>
    <row r="140" spans="1:10" hidden="1" x14ac:dyDescent="0.2">
      <c r="A140" t="s">
        <v>511</v>
      </c>
      <c r="B140">
        <v>622431</v>
      </c>
      <c r="C140" s="67">
        <v>43654.671006944445</v>
      </c>
      <c r="D140" t="s">
        <v>860</v>
      </c>
      <c r="F140">
        <v>0</v>
      </c>
      <c r="G140">
        <v>0</v>
      </c>
      <c r="H140">
        <v>320.69</v>
      </c>
      <c r="J140" t="s">
        <v>1113</v>
      </c>
    </row>
    <row r="141" spans="1:10" hidden="1" x14ac:dyDescent="0.2">
      <c r="A141" t="s">
        <v>511</v>
      </c>
      <c r="B141">
        <v>622431</v>
      </c>
      <c r="C141" s="67">
        <v>43654.671006944445</v>
      </c>
      <c r="D141" t="s">
        <v>764</v>
      </c>
      <c r="E141" t="s">
        <v>709</v>
      </c>
      <c r="F141">
        <v>207384</v>
      </c>
      <c r="G141">
        <v>23.09</v>
      </c>
      <c r="H141">
        <v>0</v>
      </c>
      <c r="J141" t="s">
        <v>1114</v>
      </c>
    </row>
    <row r="142" spans="1:10" hidden="1" x14ac:dyDescent="0.2">
      <c r="A142" t="s">
        <v>511</v>
      </c>
      <c r="B142">
        <v>622440</v>
      </c>
      <c r="C142" s="67">
        <v>43654.678703703707</v>
      </c>
      <c r="D142" t="s">
        <v>765</v>
      </c>
      <c r="E142" t="s">
        <v>710</v>
      </c>
      <c r="F142">
        <v>171690</v>
      </c>
      <c r="G142">
        <v>297.60000000000002</v>
      </c>
      <c r="H142">
        <v>0</v>
      </c>
      <c r="J142" t="s">
        <v>1115</v>
      </c>
    </row>
    <row r="143" spans="1:10" hidden="1" x14ac:dyDescent="0.2">
      <c r="A143" t="s">
        <v>511</v>
      </c>
      <c r="B143">
        <v>628242</v>
      </c>
      <c r="C143" s="67">
        <v>43674.024629629632</v>
      </c>
      <c r="D143" t="s">
        <v>767</v>
      </c>
      <c r="E143" t="s">
        <v>709</v>
      </c>
      <c r="F143">
        <v>210331</v>
      </c>
      <c r="G143">
        <v>6</v>
      </c>
      <c r="H143">
        <v>0</v>
      </c>
      <c r="J143" t="s">
        <v>1112</v>
      </c>
    </row>
    <row r="144" spans="1:10" hidden="1" x14ac:dyDescent="0.2">
      <c r="A144" t="s">
        <v>511</v>
      </c>
      <c r="B144">
        <v>629419</v>
      </c>
      <c r="C144" s="67">
        <v>43676.725821759261</v>
      </c>
      <c r="D144" t="s">
        <v>860</v>
      </c>
      <c r="F144">
        <v>0</v>
      </c>
      <c r="G144">
        <v>0</v>
      </c>
      <c r="H144">
        <v>204.31</v>
      </c>
      <c r="J144" t="s">
        <v>1113</v>
      </c>
    </row>
    <row r="145" spans="1:10" hidden="1" x14ac:dyDescent="0.2">
      <c r="A145" t="s">
        <v>511</v>
      </c>
      <c r="B145">
        <v>629419</v>
      </c>
      <c r="C145" s="67">
        <v>43676.725821759261</v>
      </c>
      <c r="D145" t="s">
        <v>764</v>
      </c>
      <c r="E145" s="47" t="s">
        <v>709</v>
      </c>
      <c r="F145">
        <v>211035</v>
      </c>
      <c r="G145">
        <v>14.71</v>
      </c>
      <c r="H145">
        <v>0</v>
      </c>
      <c r="J145" t="s">
        <v>1114</v>
      </c>
    </row>
    <row r="146" spans="1:10" hidden="1" x14ac:dyDescent="0.2">
      <c r="A146" t="s">
        <v>511</v>
      </c>
      <c r="B146">
        <v>629455</v>
      </c>
      <c r="C146" s="67">
        <v>43676.728692129633</v>
      </c>
      <c r="D146" t="s">
        <v>765</v>
      </c>
      <c r="E146" t="s">
        <v>710</v>
      </c>
      <c r="F146">
        <v>173669</v>
      </c>
      <c r="G146">
        <v>183.6</v>
      </c>
      <c r="H146">
        <v>0</v>
      </c>
      <c r="J146" t="s">
        <v>1115</v>
      </c>
    </row>
    <row r="147" spans="1:10" hidden="1" x14ac:dyDescent="0.2">
      <c r="A147" t="s">
        <v>502</v>
      </c>
      <c r="B147">
        <v>621191</v>
      </c>
      <c r="C147" s="67">
        <v>43648.762476851851</v>
      </c>
      <c r="D147" t="s">
        <v>770</v>
      </c>
      <c r="F147">
        <v>0</v>
      </c>
      <c r="G147">
        <v>0</v>
      </c>
      <c r="H147">
        <v>156.28</v>
      </c>
      <c r="J147" t="s">
        <v>1113</v>
      </c>
    </row>
    <row r="148" spans="1:10" hidden="1" x14ac:dyDescent="0.2">
      <c r="A148" t="s">
        <v>502</v>
      </c>
      <c r="B148">
        <v>621191</v>
      </c>
      <c r="C148" s="67">
        <v>43648.762476851851</v>
      </c>
      <c r="D148" t="s">
        <v>768</v>
      </c>
      <c r="E148" t="s">
        <v>709</v>
      </c>
      <c r="F148">
        <v>206957</v>
      </c>
      <c r="G148">
        <v>11.26</v>
      </c>
      <c r="H148">
        <v>0</v>
      </c>
      <c r="J148" t="s">
        <v>1114</v>
      </c>
    </row>
    <row r="149" spans="1:10" hidden="1" x14ac:dyDescent="0.2">
      <c r="A149" t="s">
        <v>502</v>
      </c>
      <c r="B149">
        <v>621226</v>
      </c>
      <c r="C149" s="67">
        <v>43648.764282407406</v>
      </c>
      <c r="D149" t="s">
        <v>769</v>
      </c>
      <c r="E149" t="s">
        <v>710</v>
      </c>
      <c r="F149">
        <v>171349</v>
      </c>
      <c r="G149">
        <v>139.02000000000001</v>
      </c>
      <c r="H149">
        <v>0</v>
      </c>
      <c r="J149" t="s">
        <v>1115</v>
      </c>
    </row>
    <row r="150" spans="1:10" hidden="1" x14ac:dyDescent="0.2">
      <c r="A150" t="s">
        <v>502</v>
      </c>
      <c r="B150">
        <v>623734</v>
      </c>
      <c r="C150" s="67">
        <v>43658.586736111109</v>
      </c>
      <c r="D150" t="s">
        <v>861</v>
      </c>
      <c r="E150" s="47" t="s">
        <v>1107</v>
      </c>
      <c r="F150">
        <v>0</v>
      </c>
      <c r="G150">
        <v>0</v>
      </c>
      <c r="H150">
        <v>305.24</v>
      </c>
      <c r="J150" t="s">
        <v>1113</v>
      </c>
    </row>
    <row r="151" spans="1:10" hidden="1" x14ac:dyDescent="0.2">
      <c r="A151" t="s">
        <v>502</v>
      </c>
      <c r="B151">
        <v>623734</v>
      </c>
      <c r="C151" s="67">
        <v>43658.586736111109</v>
      </c>
      <c r="D151" t="s">
        <v>768</v>
      </c>
      <c r="E151" t="s">
        <v>709</v>
      </c>
      <c r="F151">
        <v>207873</v>
      </c>
      <c r="G151">
        <v>21.97</v>
      </c>
      <c r="H151">
        <v>0</v>
      </c>
      <c r="J151" t="s">
        <v>1114</v>
      </c>
    </row>
    <row r="152" spans="1:10" hidden="1" x14ac:dyDescent="0.2">
      <c r="A152" t="s">
        <v>502</v>
      </c>
      <c r="B152">
        <v>623741</v>
      </c>
      <c r="C152" s="67">
        <v>43658.601226851853</v>
      </c>
      <c r="D152" t="s">
        <v>769</v>
      </c>
      <c r="E152" t="s">
        <v>710</v>
      </c>
      <c r="F152">
        <v>172042</v>
      </c>
      <c r="G152">
        <v>283.27</v>
      </c>
      <c r="H152">
        <v>0</v>
      </c>
      <c r="J152" t="s">
        <v>1115</v>
      </c>
    </row>
    <row r="153" spans="1:10" hidden="1" x14ac:dyDescent="0.2">
      <c r="A153" t="s">
        <v>502</v>
      </c>
      <c r="B153">
        <v>628242</v>
      </c>
      <c r="C153" s="67">
        <v>43674.024629629632</v>
      </c>
      <c r="D153" t="s">
        <v>771</v>
      </c>
      <c r="E153" t="s">
        <v>709</v>
      </c>
      <c r="F153">
        <v>210397</v>
      </c>
      <c r="G153">
        <v>6</v>
      </c>
      <c r="H153">
        <v>0</v>
      </c>
      <c r="J153" t="s">
        <v>1112</v>
      </c>
    </row>
    <row r="154" spans="1:10" hidden="1" x14ac:dyDescent="0.2">
      <c r="A154" t="s">
        <v>502</v>
      </c>
      <c r="B154">
        <v>629428</v>
      </c>
      <c r="C154" s="67">
        <v>43676.725821759261</v>
      </c>
      <c r="D154" t="s">
        <v>861</v>
      </c>
      <c r="F154">
        <v>0</v>
      </c>
      <c r="G154">
        <v>0</v>
      </c>
      <c r="H154">
        <v>194.76</v>
      </c>
      <c r="J154" t="s">
        <v>1113</v>
      </c>
    </row>
    <row r="155" spans="1:10" hidden="1" x14ac:dyDescent="0.2">
      <c r="A155" t="s">
        <v>502</v>
      </c>
      <c r="B155">
        <v>629428</v>
      </c>
      <c r="C155" s="67">
        <v>43676.725821759261</v>
      </c>
      <c r="D155" t="s">
        <v>768</v>
      </c>
      <c r="E155" t="s">
        <v>709</v>
      </c>
      <c r="F155">
        <v>211044</v>
      </c>
      <c r="G155">
        <v>14.03</v>
      </c>
      <c r="H155">
        <v>0</v>
      </c>
      <c r="J155" t="s">
        <v>1114</v>
      </c>
    </row>
    <row r="156" spans="1:10" hidden="1" x14ac:dyDescent="0.2">
      <c r="A156" t="s">
        <v>502</v>
      </c>
      <c r="B156">
        <v>629455</v>
      </c>
      <c r="C156" s="67">
        <v>43676.728692129633</v>
      </c>
      <c r="D156" t="s">
        <v>769</v>
      </c>
      <c r="E156" t="s">
        <v>710</v>
      </c>
      <c r="F156">
        <v>173678</v>
      </c>
      <c r="G156">
        <v>174.73</v>
      </c>
      <c r="H156">
        <v>0</v>
      </c>
      <c r="J156" t="s">
        <v>1115</v>
      </c>
    </row>
    <row r="157" spans="1:10" hidden="1" x14ac:dyDescent="0.2">
      <c r="A157" t="s">
        <v>504</v>
      </c>
      <c r="B157">
        <v>624220</v>
      </c>
      <c r="C157" s="67">
        <v>43661.702766203707</v>
      </c>
      <c r="D157" t="s">
        <v>862</v>
      </c>
      <c r="F157">
        <v>0</v>
      </c>
      <c r="G157">
        <v>0</v>
      </c>
      <c r="H157">
        <v>550</v>
      </c>
      <c r="J157" t="s">
        <v>1113</v>
      </c>
    </row>
    <row r="158" spans="1:10" hidden="1" x14ac:dyDescent="0.2">
      <c r="A158" t="s">
        <v>504</v>
      </c>
      <c r="B158">
        <v>624220</v>
      </c>
      <c r="C158" s="67">
        <v>43661.702766203707</v>
      </c>
      <c r="D158" t="s">
        <v>772</v>
      </c>
      <c r="E158" t="s">
        <v>709</v>
      </c>
      <c r="F158">
        <v>208016</v>
      </c>
      <c r="G158">
        <v>39.6</v>
      </c>
      <c r="H158">
        <v>0</v>
      </c>
      <c r="J158" t="s">
        <v>1114</v>
      </c>
    </row>
    <row r="159" spans="1:10" hidden="1" x14ac:dyDescent="0.2">
      <c r="A159" t="s">
        <v>504</v>
      </c>
      <c r="B159">
        <v>624227</v>
      </c>
      <c r="C159" s="67">
        <v>43661.703981481478</v>
      </c>
      <c r="D159" t="s">
        <v>773</v>
      </c>
      <c r="E159" t="s">
        <v>710</v>
      </c>
      <c r="F159">
        <v>172260</v>
      </c>
      <c r="G159">
        <v>504.4</v>
      </c>
      <c r="H159">
        <v>0</v>
      </c>
      <c r="J159" t="s">
        <v>1115</v>
      </c>
    </row>
    <row r="160" spans="1:10" hidden="1" x14ac:dyDescent="0.2">
      <c r="A160" t="s">
        <v>504</v>
      </c>
      <c r="B160">
        <v>628242</v>
      </c>
      <c r="C160" s="67">
        <v>43674.024629629632</v>
      </c>
      <c r="D160" t="s">
        <v>774</v>
      </c>
      <c r="E160" t="s">
        <v>709</v>
      </c>
      <c r="F160">
        <v>210385</v>
      </c>
      <c r="G160">
        <v>6</v>
      </c>
      <c r="H160">
        <v>0</v>
      </c>
      <c r="J160" t="s">
        <v>1112</v>
      </c>
    </row>
    <row r="161" spans="1:10" hidden="1" x14ac:dyDescent="0.2">
      <c r="A161" t="s">
        <v>506</v>
      </c>
      <c r="B161">
        <v>628242</v>
      </c>
      <c r="C161" s="67">
        <v>43674.024629629632</v>
      </c>
      <c r="D161" t="s">
        <v>775</v>
      </c>
      <c r="E161" t="s">
        <v>709</v>
      </c>
      <c r="F161">
        <v>210387</v>
      </c>
      <c r="G161">
        <v>6</v>
      </c>
      <c r="H161">
        <v>0</v>
      </c>
      <c r="J161" t="s">
        <v>1112</v>
      </c>
    </row>
    <row r="162" spans="1:10" hidden="1" x14ac:dyDescent="0.2">
      <c r="A162" t="s">
        <v>506</v>
      </c>
      <c r="B162">
        <v>628518</v>
      </c>
      <c r="C162" s="67">
        <v>43675.638888888891</v>
      </c>
      <c r="D162" t="s">
        <v>863</v>
      </c>
      <c r="F162">
        <v>0</v>
      </c>
      <c r="G162">
        <v>0</v>
      </c>
      <c r="H162">
        <v>550</v>
      </c>
      <c r="J162" t="s">
        <v>1113</v>
      </c>
    </row>
    <row r="163" spans="1:10" hidden="1" x14ac:dyDescent="0.2">
      <c r="A163" t="s">
        <v>506</v>
      </c>
      <c r="B163">
        <v>628518</v>
      </c>
      <c r="C163" s="67">
        <v>43675.638888888891</v>
      </c>
      <c r="D163" t="s">
        <v>776</v>
      </c>
      <c r="E163" t="s">
        <v>709</v>
      </c>
      <c r="F163">
        <v>210763</v>
      </c>
      <c r="G163">
        <v>39.6</v>
      </c>
      <c r="H163">
        <v>0</v>
      </c>
      <c r="J163" t="s">
        <v>1114</v>
      </c>
    </row>
    <row r="164" spans="1:10" hidden="1" x14ac:dyDescent="0.2">
      <c r="A164" t="s">
        <v>506</v>
      </c>
      <c r="B164">
        <v>628535</v>
      </c>
      <c r="C164" s="67">
        <v>43675.642060185186</v>
      </c>
      <c r="D164" t="s">
        <v>777</v>
      </c>
      <c r="E164" t="s">
        <v>710</v>
      </c>
      <c r="F164">
        <v>173424</v>
      </c>
      <c r="G164">
        <v>504.4</v>
      </c>
      <c r="H164">
        <v>0</v>
      </c>
      <c r="J164" t="s">
        <v>1115</v>
      </c>
    </row>
    <row r="165" spans="1:10" hidden="1" x14ac:dyDescent="0.2">
      <c r="A165" t="s">
        <v>469</v>
      </c>
      <c r="B165">
        <v>624255</v>
      </c>
      <c r="C165" s="67">
        <v>43661.749583333331</v>
      </c>
      <c r="D165" t="s">
        <v>864</v>
      </c>
      <c r="E165" t="s">
        <v>814</v>
      </c>
      <c r="F165">
        <v>15150</v>
      </c>
      <c r="G165">
        <v>150</v>
      </c>
      <c r="H165">
        <v>0</v>
      </c>
      <c r="J165" t="s">
        <v>1112</v>
      </c>
    </row>
    <row r="166" spans="1:10" hidden="1" x14ac:dyDescent="0.2">
      <c r="A166" t="s">
        <v>469</v>
      </c>
      <c r="B166">
        <v>627812</v>
      </c>
      <c r="C166" s="67">
        <v>43671.592280092591</v>
      </c>
      <c r="D166" t="s">
        <v>778</v>
      </c>
      <c r="F166">
        <v>0</v>
      </c>
      <c r="G166">
        <v>0</v>
      </c>
      <c r="H166">
        <v>8.6199999999999992</v>
      </c>
      <c r="J166" t="s">
        <v>1113</v>
      </c>
    </row>
    <row r="167" spans="1:10" hidden="1" x14ac:dyDescent="0.2">
      <c r="A167" t="s">
        <v>469</v>
      </c>
      <c r="B167">
        <v>627812</v>
      </c>
      <c r="C167" s="67">
        <v>43671.592280092591</v>
      </c>
      <c r="D167" t="s">
        <v>779</v>
      </c>
      <c r="E167" t="s">
        <v>709</v>
      </c>
      <c r="F167">
        <v>208975</v>
      </c>
      <c r="G167">
        <v>0.62</v>
      </c>
      <c r="H167">
        <v>0</v>
      </c>
      <c r="J167" t="s">
        <v>1114</v>
      </c>
    </row>
    <row r="168" spans="1:10" hidden="1" x14ac:dyDescent="0.2">
      <c r="A168" t="s">
        <v>469</v>
      </c>
      <c r="B168">
        <v>627812</v>
      </c>
      <c r="C168" s="67">
        <v>43671.592280092591</v>
      </c>
      <c r="D168" t="s">
        <v>865</v>
      </c>
      <c r="F168">
        <v>0</v>
      </c>
      <c r="G168">
        <v>0</v>
      </c>
      <c r="H168">
        <v>500</v>
      </c>
      <c r="J168" t="s">
        <v>1113</v>
      </c>
    </row>
    <row r="169" spans="1:10" hidden="1" x14ac:dyDescent="0.2">
      <c r="A169" t="s">
        <v>469</v>
      </c>
      <c r="B169">
        <v>627812</v>
      </c>
      <c r="C169" s="67">
        <v>43671.592280092591</v>
      </c>
      <c r="D169" t="s">
        <v>779</v>
      </c>
      <c r="E169" t="s">
        <v>709</v>
      </c>
      <c r="F169">
        <v>208975</v>
      </c>
      <c r="G169">
        <v>36</v>
      </c>
      <c r="H169">
        <v>0</v>
      </c>
      <c r="J169" t="s">
        <v>1114</v>
      </c>
    </row>
    <row r="170" spans="1:10" hidden="1" x14ac:dyDescent="0.2">
      <c r="A170" t="s">
        <v>469</v>
      </c>
      <c r="B170">
        <v>627816</v>
      </c>
      <c r="C170" s="67">
        <v>43671.605115740742</v>
      </c>
      <c r="D170" t="s">
        <v>780</v>
      </c>
      <c r="E170" t="s">
        <v>710</v>
      </c>
      <c r="F170">
        <v>173259</v>
      </c>
      <c r="G170">
        <v>310</v>
      </c>
      <c r="H170">
        <v>0</v>
      </c>
      <c r="J170" t="s">
        <v>1115</v>
      </c>
    </row>
    <row r="171" spans="1:10" hidden="1" x14ac:dyDescent="0.2">
      <c r="A171" t="s">
        <v>469</v>
      </c>
      <c r="B171">
        <v>628242</v>
      </c>
      <c r="C171" s="67">
        <v>43674.024629629632</v>
      </c>
      <c r="D171" t="s">
        <v>781</v>
      </c>
      <c r="E171" t="s">
        <v>709</v>
      </c>
      <c r="F171">
        <v>210515</v>
      </c>
      <c r="G171">
        <v>12</v>
      </c>
      <c r="H171">
        <v>0</v>
      </c>
      <c r="J171" t="s">
        <v>1112</v>
      </c>
    </row>
    <row r="172" spans="1:10" hidden="1" x14ac:dyDescent="0.2">
      <c r="A172" t="s">
        <v>470</v>
      </c>
      <c r="B172">
        <v>623481</v>
      </c>
      <c r="C172" s="67">
        <v>43657.651967592596</v>
      </c>
      <c r="D172" t="s">
        <v>866</v>
      </c>
      <c r="F172">
        <v>0</v>
      </c>
      <c r="G172">
        <v>0</v>
      </c>
      <c r="H172">
        <v>600</v>
      </c>
      <c r="J172" t="s">
        <v>1113</v>
      </c>
    </row>
    <row r="173" spans="1:10" hidden="1" x14ac:dyDescent="0.2">
      <c r="A173" t="s">
        <v>470</v>
      </c>
      <c r="B173">
        <v>623481</v>
      </c>
      <c r="C173" s="67">
        <v>43657.651967592596</v>
      </c>
      <c r="D173" t="s">
        <v>782</v>
      </c>
      <c r="E173" t="s">
        <v>709</v>
      </c>
      <c r="F173">
        <v>207789</v>
      </c>
      <c r="G173">
        <v>43.2</v>
      </c>
      <c r="H173">
        <v>0</v>
      </c>
      <c r="J173" t="s">
        <v>1114</v>
      </c>
    </row>
    <row r="174" spans="1:10" hidden="1" x14ac:dyDescent="0.2">
      <c r="A174" t="s">
        <v>470</v>
      </c>
      <c r="B174">
        <v>623490</v>
      </c>
      <c r="C174" s="67">
        <v>43657.656412037039</v>
      </c>
      <c r="D174" t="s">
        <v>783</v>
      </c>
      <c r="E174" t="s">
        <v>710</v>
      </c>
      <c r="F174">
        <v>171938</v>
      </c>
      <c r="G174">
        <v>550.79999999999995</v>
      </c>
      <c r="H174">
        <v>0</v>
      </c>
      <c r="J174" t="s">
        <v>1115</v>
      </c>
    </row>
    <row r="175" spans="1:10" hidden="1" x14ac:dyDescent="0.2">
      <c r="A175" t="s">
        <v>470</v>
      </c>
      <c r="B175">
        <v>628242</v>
      </c>
      <c r="C175" s="67">
        <v>43674.024629629632</v>
      </c>
      <c r="D175" t="s">
        <v>784</v>
      </c>
      <c r="E175" t="s">
        <v>709</v>
      </c>
      <c r="F175">
        <v>210517</v>
      </c>
      <c r="G175">
        <v>6</v>
      </c>
      <c r="H175">
        <v>0</v>
      </c>
      <c r="J175" t="s">
        <v>1112</v>
      </c>
    </row>
    <row r="176" spans="1:10" hidden="1" x14ac:dyDescent="0.2">
      <c r="A176" t="s">
        <v>471</v>
      </c>
      <c r="B176">
        <v>621184</v>
      </c>
      <c r="C176" s="67">
        <v>43648.762476851851</v>
      </c>
      <c r="D176" t="s">
        <v>787</v>
      </c>
      <c r="F176">
        <v>0</v>
      </c>
      <c r="G176">
        <v>0</v>
      </c>
      <c r="H176">
        <v>307.83999999999997</v>
      </c>
      <c r="J176" t="s">
        <v>1113</v>
      </c>
    </row>
    <row r="177" spans="1:10" hidden="1" x14ac:dyDescent="0.2">
      <c r="A177" t="s">
        <v>471</v>
      </c>
      <c r="B177">
        <v>621184</v>
      </c>
      <c r="C177" s="67">
        <v>43648.762476851851</v>
      </c>
      <c r="D177" t="s">
        <v>785</v>
      </c>
      <c r="E177" t="s">
        <v>709</v>
      </c>
      <c r="F177">
        <v>206950</v>
      </c>
      <c r="G177">
        <v>22.16</v>
      </c>
      <c r="H177">
        <v>0</v>
      </c>
      <c r="J177" t="s">
        <v>1114</v>
      </c>
    </row>
    <row r="178" spans="1:10" hidden="1" x14ac:dyDescent="0.2">
      <c r="A178" t="s">
        <v>471</v>
      </c>
      <c r="B178">
        <v>621226</v>
      </c>
      <c r="C178" s="67">
        <v>43648.764282407406</v>
      </c>
      <c r="D178" t="s">
        <v>786</v>
      </c>
      <c r="E178" t="s">
        <v>710</v>
      </c>
      <c r="F178">
        <v>171342</v>
      </c>
      <c r="G178">
        <v>279.68</v>
      </c>
      <c r="H178">
        <v>0</v>
      </c>
      <c r="J178" t="s">
        <v>1115</v>
      </c>
    </row>
    <row r="179" spans="1:10" hidden="1" x14ac:dyDescent="0.2">
      <c r="A179" t="s">
        <v>471</v>
      </c>
      <c r="B179">
        <v>628047</v>
      </c>
      <c r="C179" s="67">
        <v>43672.599236111113</v>
      </c>
      <c r="D179" t="s">
        <v>867</v>
      </c>
      <c r="F179">
        <v>0</v>
      </c>
      <c r="G179">
        <v>0</v>
      </c>
      <c r="H179">
        <v>153.68</v>
      </c>
      <c r="J179" t="s">
        <v>1113</v>
      </c>
    </row>
    <row r="180" spans="1:10" hidden="1" x14ac:dyDescent="0.2">
      <c r="A180" t="s">
        <v>471</v>
      </c>
      <c r="B180">
        <v>628047</v>
      </c>
      <c r="C180" s="67">
        <v>43672.599236111113</v>
      </c>
      <c r="D180" t="s">
        <v>785</v>
      </c>
      <c r="E180" t="s">
        <v>709</v>
      </c>
      <c r="F180">
        <v>209083</v>
      </c>
      <c r="G180">
        <v>11.06</v>
      </c>
      <c r="H180">
        <v>0</v>
      </c>
      <c r="J180" t="s">
        <v>1114</v>
      </c>
    </row>
    <row r="181" spans="1:10" hidden="1" x14ac:dyDescent="0.2">
      <c r="A181" t="s">
        <v>471</v>
      </c>
      <c r="B181">
        <v>628062</v>
      </c>
      <c r="C181" s="67">
        <v>43672.611932870372</v>
      </c>
      <c r="D181" t="s">
        <v>786</v>
      </c>
      <c r="E181" t="s">
        <v>710</v>
      </c>
      <c r="F181">
        <v>173313</v>
      </c>
      <c r="G181">
        <v>142.62</v>
      </c>
      <c r="H181">
        <v>0</v>
      </c>
      <c r="J181" t="s">
        <v>1115</v>
      </c>
    </row>
    <row r="182" spans="1:10" hidden="1" x14ac:dyDescent="0.2">
      <c r="A182" t="s">
        <v>471</v>
      </c>
      <c r="B182">
        <v>628242</v>
      </c>
      <c r="C182" s="67">
        <v>43674.024629629632</v>
      </c>
      <c r="D182" t="s">
        <v>788</v>
      </c>
      <c r="E182" t="s">
        <v>709</v>
      </c>
      <c r="F182">
        <v>210519</v>
      </c>
      <c r="G182">
        <v>6</v>
      </c>
      <c r="H182">
        <v>0</v>
      </c>
      <c r="J182" t="s">
        <v>1112</v>
      </c>
    </row>
    <row r="183" spans="1:10" hidden="1" x14ac:dyDescent="0.2">
      <c r="A183" t="s">
        <v>471</v>
      </c>
      <c r="B183">
        <v>629420</v>
      </c>
      <c r="C183" s="67">
        <v>43676.725821759261</v>
      </c>
      <c r="D183" t="s">
        <v>867</v>
      </c>
      <c r="F183">
        <v>0</v>
      </c>
      <c r="G183">
        <v>0</v>
      </c>
      <c r="H183">
        <v>346.32</v>
      </c>
      <c r="J183" t="s">
        <v>1113</v>
      </c>
    </row>
    <row r="184" spans="1:10" hidden="1" x14ac:dyDescent="0.2">
      <c r="A184" t="s">
        <v>471</v>
      </c>
      <c r="B184">
        <v>629420</v>
      </c>
      <c r="C184" s="67">
        <v>43676.725821759261</v>
      </c>
      <c r="D184" t="s">
        <v>785</v>
      </c>
      <c r="E184" t="s">
        <v>709</v>
      </c>
      <c r="F184">
        <v>211036</v>
      </c>
      <c r="G184">
        <v>24.94</v>
      </c>
      <c r="H184">
        <v>0</v>
      </c>
      <c r="J184" t="s">
        <v>1114</v>
      </c>
    </row>
    <row r="185" spans="1:10" hidden="1" x14ac:dyDescent="0.2">
      <c r="A185" t="s">
        <v>471</v>
      </c>
      <c r="B185">
        <v>629455</v>
      </c>
      <c r="C185" s="67">
        <v>43676.728692129633</v>
      </c>
      <c r="D185" t="s">
        <v>786</v>
      </c>
      <c r="E185" t="s">
        <v>710</v>
      </c>
      <c r="F185">
        <v>173670</v>
      </c>
      <c r="G185">
        <v>315.38</v>
      </c>
      <c r="H185">
        <v>0</v>
      </c>
      <c r="J185" t="s">
        <v>1115</v>
      </c>
    </row>
    <row r="186" spans="1:10" hidden="1" x14ac:dyDescent="0.2">
      <c r="A186" t="s">
        <v>474</v>
      </c>
      <c r="B186">
        <v>621174</v>
      </c>
      <c r="C186" s="67">
        <v>43648.756643518522</v>
      </c>
      <c r="D186" t="s">
        <v>868</v>
      </c>
      <c r="F186">
        <v>0</v>
      </c>
      <c r="G186">
        <v>0</v>
      </c>
      <c r="H186">
        <v>192.16</v>
      </c>
      <c r="J186" t="s">
        <v>1113</v>
      </c>
    </row>
    <row r="187" spans="1:10" hidden="1" x14ac:dyDescent="0.2">
      <c r="A187" t="s">
        <v>474</v>
      </c>
      <c r="B187">
        <v>621174</v>
      </c>
      <c r="C187" s="67">
        <v>43648.756643518522</v>
      </c>
      <c r="D187" t="s">
        <v>789</v>
      </c>
      <c r="E187" t="s">
        <v>709</v>
      </c>
      <c r="F187">
        <v>206941</v>
      </c>
      <c r="G187">
        <v>13.84</v>
      </c>
      <c r="H187">
        <v>0</v>
      </c>
      <c r="J187" t="s">
        <v>1114</v>
      </c>
    </row>
    <row r="188" spans="1:10" hidden="1" x14ac:dyDescent="0.2">
      <c r="A188" t="s">
        <v>474</v>
      </c>
      <c r="B188">
        <v>621174</v>
      </c>
      <c r="C188" s="67">
        <v>43648.756643518522</v>
      </c>
      <c r="D188" t="s">
        <v>790</v>
      </c>
      <c r="F188">
        <v>0</v>
      </c>
      <c r="G188">
        <v>0</v>
      </c>
      <c r="H188">
        <v>269.36</v>
      </c>
      <c r="J188" t="s">
        <v>1113</v>
      </c>
    </row>
    <row r="189" spans="1:10" hidden="1" x14ac:dyDescent="0.2">
      <c r="A189" t="s">
        <v>474</v>
      </c>
      <c r="B189">
        <v>621174</v>
      </c>
      <c r="C189" s="67">
        <v>43648.756643518522</v>
      </c>
      <c r="D189" t="s">
        <v>789</v>
      </c>
      <c r="E189" t="s">
        <v>709</v>
      </c>
      <c r="F189">
        <v>206941</v>
      </c>
      <c r="G189">
        <v>19.39</v>
      </c>
      <c r="H189">
        <v>0</v>
      </c>
      <c r="J189" t="s">
        <v>1114</v>
      </c>
    </row>
    <row r="190" spans="1:10" hidden="1" x14ac:dyDescent="0.2">
      <c r="A190" t="s">
        <v>474</v>
      </c>
      <c r="B190">
        <v>621226</v>
      </c>
      <c r="C190" s="67">
        <v>43648.764282407406</v>
      </c>
      <c r="D190" t="s">
        <v>791</v>
      </c>
      <c r="E190" t="s">
        <v>710</v>
      </c>
      <c r="F190">
        <v>171332</v>
      </c>
      <c r="G190">
        <v>422.29</v>
      </c>
      <c r="H190">
        <v>0</v>
      </c>
      <c r="J190" t="s">
        <v>1115</v>
      </c>
    </row>
    <row r="191" spans="1:10" hidden="1" x14ac:dyDescent="0.2">
      <c r="A191" t="s">
        <v>474</v>
      </c>
      <c r="B191">
        <v>628242</v>
      </c>
      <c r="C191" s="67">
        <v>43674.024629629632</v>
      </c>
      <c r="D191" t="s">
        <v>792</v>
      </c>
      <c r="E191" t="s">
        <v>709</v>
      </c>
      <c r="F191">
        <v>210417</v>
      </c>
      <c r="G191">
        <v>6</v>
      </c>
      <c r="H191">
        <v>0</v>
      </c>
      <c r="J191" t="s">
        <v>1112</v>
      </c>
    </row>
    <row r="192" spans="1:10" hidden="1" x14ac:dyDescent="0.2">
      <c r="A192" t="s">
        <v>474</v>
      </c>
      <c r="B192">
        <v>629412</v>
      </c>
      <c r="C192" s="67">
        <v>43676.725821759261</v>
      </c>
      <c r="D192" t="s">
        <v>868</v>
      </c>
      <c r="F192">
        <v>0</v>
      </c>
      <c r="G192">
        <v>0</v>
      </c>
      <c r="H192">
        <v>307.83999999999997</v>
      </c>
      <c r="J192" t="s">
        <v>1113</v>
      </c>
    </row>
    <row r="193" spans="1:10" hidden="1" x14ac:dyDescent="0.2">
      <c r="A193" t="s">
        <v>474</v>
      </c>
      <c r="B193">
        <v>629412</v>
      </c>
      <c r="C193" s="67">
        <v>43676.725821759261</v>
      </c>
      <c r="D193" t="s">
        <v>789</v>
      </c>
      <c r="E193" t="s">
        <v>709</v>
      </c>
      <c r="F193">
        <v>211028</v>
      </c>
      <c r="G193">
        <v>22.16</v>
      </c>
      <c r="H193">
        <v>0</v>
      </c>
      <c r="J193" t="s">
        <v>1114</v>
      </c>
    </row>
    <row r="194" spans="1:10" hidden="1" x14ac:dyDescent="0.2">
      <c r="A194" t="s">
        <v>474</v>
      </c>
      <c r="B194">
        <v>629455</v>
      </c>
      <c r="C194" s="67">
        <v>43676.728692129633</v>
      </c>
      <c r="D194" t="s">
        <v>791</v>
      </c>
      <c r="E194" t="s">
        <v>710</v>
      </c>
      <c r="F194">
        <v>173662</v>
      </c>
      <c r="G194">
        <v>279.68</v>
      </c>
      <c r="H194">
        <v>0</v>
      </c>
      <c r="J194" t="s">
        <v>1115</v>
      </c>
    </row>
    <row r="195" spans="1:10" hidden="1" x14ac:dyDescent="0.2">
      <c r="A195" t="s">
        <v>509</v>
      </c>
      <c r="B195">
        <v>627813</v>
      </c>
      <c r="C195" s="67">
        <v>43671.592280092591</v>
      </c>
      <c r="D195" t="s">
        <v>869</v>
      </c>
      <c r="F195">
        <v>0</v>
      </c>
      <c r="G195">
        <v>0</v>
      </c>
      <c r="H195">
        <v>500</v>
      </c>
      <c r="J195" t="s">
        <v>1113</v>
      </c>
    </row>
    <row r="196" spans="1:10" hidden="1" x14ac:dyDescent="0.2">
      <c r="A196" t="s">
        <v>509</v>
      </c>
      <c r="B196">
        <v>627813</v>
      </c>
      <c r="C196" s="67">
        <v>43671.592280092591</v>
      </c>
      <c r="D196" t="s">
        <v>793</v>
      </c>
      <c r="E196" t="s">
        <v>709</v>
      </c>
      <c r="F196">
        <v>208976</v>
      </c>
      <c r="G196">
        <v>36</v>
      </c>
      <c r="H196">
        <v>0</v>
      </c>
      <c r="J196" t="s">
        <v>1114</v>
      </c>
    </row>
    <row r="197" spans="1:10" hidden="1" x14ac:dyDescent="0.2">
      <c r="A197" t="s">
        <v>509</v>
      </c>
      <c r="B197">
        <v>627816</v>
      </c>
      <c r="C197" s="67">
        <v>43671.605115740742</v>
      </c>
      <c r="D197" t="s">
        <v>794</v>
      </c>
      <c r="E197" t="s">
        <v>710</v>
      </c>
      <c r="F197">
        <v>173260</v>
      </c>
      <c r="G197">
        <v>458</v>
      </c>
      <c r="H197">
        <v>0</v>
      </c>
      <c r="J197" t="s">
        <v>1115</v>
      </c>
    </row>
    <row r="198" spans="1:10" hidden="1" x14ac:dyDescent="0.2">
      <c r="A198" t="s">
        <v>509</v>
      </c>
      <c r="B198">
        <v>628242</v>
      </c>
      <c r="C198" s="67">
        <v>43674.024629629632</v>
      </c>
      <c r="D198" t="s">
        <v>795</v>
      </c>
      <c r="E198" t="s">
        <v>709</v>
      </c>
      <c r="F198">
        <v>210410</v>
      </c>
      <c r="G198">
        <v>6</v>
      </c>
      <c r="H198">
        <v>0</v>
      </c>
      <c r="J198" t="s">
        <v>1112</v>
      </c>
    </row>
    <row r="199" spans="1:10" hidden="1" x14ac:dyDescent="0.2">
      <c r="A199" t="s">
        <v>473</v>
      </c>
      <c r="B199">
        <v>628242</v>
      </c>
      <c r="C199" s="67">
        <v>43674.024629629632</v>
      </c>
      <c r="D199" t="s">
        <v>870</v>
      </c>
      <c r="E199" t="s">
        <v>709</v>
      </c>
      <c r="F199">
        <v>210409</v>
      </c>
      <c r="G199">
        <v>6</v>
      </c>
      <c r="H199">
        <v>0</v>
      </c>
      <c r="J199" t="s">
        <v>1112</v>
      </c>
    </row>
    <row r="200" spans="1:10" hidden="1" x14ac:dyDescent="0.2">
      <c r="A200" t="s">
        <v>472</v>
      </c>
      <c r="B200">
        <v>621160</v>
      </c>
      <c r="C200" s="67">
        <v>43648.756643518522</v>
      </c>
      <c r="D200" t="s">
        <v>798</v>
      </c>
      <c r="F200">
        <v>0</v>
      </c>
      <c r="G200">
        <v>0</v>
      </c>
      <c r="H200">
        <v>466.12</v>
      </c>
      <c r="J200" t="s">
        <v>1113</v>
      </c>
    </row>
    <row r="201" spans="1:10" hidden="1" x14ac:dyDescent="0.2">
      <c r="A201" t="s">
        <v>472</v>
      </c>
      <c r="B201">
        <v>621160</v>
      </c>
      <c r="C201" s="67">
        <v>43648.756643518522</v>
      </c>
      <c r="D201" t="s">
        <v>796</v>
      </c>
      <c r="E201" t="s">
        <v>709</v>
      </c>
      <c r="F201">
        <v>206928</v>
      </c>
      <c r="G201">
        <v>33.56</v>
      </c>
      <c r="H201">
        <v>0</v>
      </c>
      <c r="J201" t="s">
        <v>1114</v>
      </c>
    </row>
    <row r="202" spans="1:10" hidden="1" x14ac:dyDescent="0.2">
      <c r="A202" t="s">
        <v>472</v>
      </c>
      <c r="B202">
        <v>621226</v>
      </c>
      <c r="C202" s="67">
        <v>43648.764282407406</v>
      </c>
      <c r="D202" t="s">
        <v>797</v>
      </c>
      <c r="E202" t="s">
        <v>710</v>
      </c>
      <c r="F202">
        <v>171318</v>
      </c>
      <c r="G202">
        <v>426.56</v>
      </c>
      <c r="H202">
        <v>0</v>
      </c>
      <c r="J202" t="s">
        <v>1115</v>
      </c>
    </row>
    <row r="203" spans="1:10" hidden="1" x14ac:dyDescent="0.2">
      <c r="A203" t="s">
        <v>472</v>
      </c>
      <c r="B203">
        <v>628242</v>
      </c>
      <c r="C203" s="67">
        <v>43674.024629629632</v>
      </c>
      <c r="D203" t="s">
        <v>799</v>
      </c>
      <c r="E203" t="s">
        <v>709</v>
      </c>
      <c r="F203">
        <v>210408</v>
      </c>
      <c r="G203">
        <v>6</v>
      </c>
      <c r="H203">
        <v>0</v>
      </c>
      <c r="J203" t="s">
        <v>1112</v>
      </c>
    </row>
    <row r="204" spans="1:10" hidden="1" x14ac:dyDescent="0.2">
      <c r="A204" t="s">
        <v>472</v>
      </c>
      <c r="B204">
        <v>629400</v>
      </c>
      <c r="C204" s="67">
        <v>43676.725821759261</v>
      </c>
      <c r="D204" t="s">
        <v>798</v>
      </c>
      <c r="F204">
        <v>0</v>
      </c>
      <c r="G204">
        <v>0</v>
      </c>
      <c r="H204">
        <v>34.72</v>
      </c>
      <c r="J204" t="s">
        <v>1113</v>
      </c>
    </row>
    <row r="205" spans="1:10" hidden="1" x14ac:dyDescent="0.2">
      <c r="A205" t="s">
        <v>472</v>
      </c>
      <c r="B205">
        <v>629400</v>
      </c>
      <c r="C205" s="67">
        <v>43676.725821759261</v>
      </c>
      <c r="D205" t="s">
        <v>796</v>
      </c>
      <c r="E205" t="s">
        <v>709</v>
      </c>
      <c r="F205">
        <v>211018</v>
      </c>
      <c r="G205">
        <v>2.5</v>
      </c>
      <c r="H205">
        <v>0</v>
      </c>
      <c r="J205" t="s">
        <v>1114</v>
      </c>
    </row>
    <row r="206" spans="1:10" hidden="1" x14ac:dyDescent="0.2">
      <c r="A206" t="s">
        <v>472</v>
      </c>
      <c r="B206">
        <v>629400</v>
      </c>
      <c r="C206" s="67">
        <v>43676.725821759261</v>
      </c>
      <c r="D206" t="s">
        <v>871</v>
      </c>
      <c r="F206">
        <v>0</v>
      </c>
      <c r="G206">
        <v>0</v>
      </c>
      <c r="H206">
        <v>431.4</v>
      </c>
      <c r="J206" t="s">
        <v>1113</v>
      </c>
    </row>
    <row r="207" spans="1:10" hidden="1" x14ac:dyDescent="0.2">
      <c r="A207" t="s">
        <v>472</v>
      </c>
      <c r="B207">
        <v>629400</v>
      </c>
      <c r="C207" s="67">
        <v>43676.725821759261</v>
      </c>
      <c r="D207" t="s">
        <v>796</v>
      </c>
      <c r="E207" t="s">
        <v>709</v>
      </c>
      <c r="F207">
        <v>211018</v>
      </c>
      <c r="G207">
        <v>31.06</v>
      </c>
      <c r="H207">
        <v>0</v>
      </c>
      <c r="J207" t="s">
        <v>1114</v>
      </c>
    </row>
    <row r="208" spans="1:10" hidden="1" x14ac:dyDescent="0.2">
      <c r="A208" t="s">
        <v>472</v>
      </c>
      <c r="B208">
        <v>629455</v>
      </c>
      <c r="C208" s="67">
        <v>43676.728692129633</v>
      </c>
      <c r="D208" t="s">
        <v>797</v>
      </c>
      <c r="E208" t="s">
        <v>710</v>
      </c>
      <c r="F208">
        <v>173650</v>
      </c>
      <c r="G208">
        <v>426.56</v>
      </c>
      <c r="H208">
        <v>0</v>
      </c>
      <c r="J208" t="s">
        <v>1115</v>
      </c>
    </row>
    <row r="209" spans="1:10" hidden="1" x14ac:dyDescent="0.2">
      <c r="A209" t="s">
        <v>479</v>
      </c>
      <c r="B209">
        <v>623486</v>
      </c>
      <c r="C209" s="67">
        <v>43657.651967592596</v>
      </c>
      <c r="D209" t="s">
        <v>872</v>
      </c>
      <c r="F209">
        <v>0</v>
      </c>
      <c r="G209">
        <v>0</v>
      </c>
      <c r="H209">
        <v>350</v>
      </c>
      <c r="J209" t="s">
        <v>1113</v>
      </c>
    </row>
    <row r="210" spans="1:10" hidden="1" x14ac:dyDescent="0.2">
      <c r="A210" t="s">
        <v>479</v>
      </c>
      <c r="B210">
        <v>623486</v>
      </c>
      <c r="C210" s="67">
        <v>43657.651967592596</v>
      </c>
      <c r="D210" t="s">
        <v>800</v>
      </c>
      <c r="E210" t="s">
        <v>709</v>
      </c>
      <c r="F210">
        <v>207794</v>
      </c>
      <c r="G210">
        <v>25.2</v>
      </c>
      <c r="H210">
        <v>0</v>
      </c>
      <c r="J210" t="s">
        <v>1114</v>
      </c>
    </row>
    <row r="211" spans="1:10" hidden="1" x14ac:dyDescent="0.2">
      <c r="A211" t="s">
        <v>479</v>
      </c>
      <c r="B211">
        <v>623490</v>
      </c>
      <c r="C211" s="67">
        <v>43657.656412037039</v>
      </c>
      <c r="D211" t="s">
        <v>801</v>
      </c>
      <c r="E211" t="s">
        <v>710</v>
      </c>
      <c r="F211">
        <v>171943</v>
      </c>
      <c r="G211">
        <v>318.8</v>
      </c>
      <c r="H211">
        <v>0</v>
      </c>
      <c r="J211" t="s">
        <v>1115</v>
      </c>
    </row>
    <row r="212" spans="1:10" hidden="1" x14ac:dyDescent="0.2">
      <c r="A212" t="s">
        <v>479</v>
      </c>
      <c r="B212">
        <v>628242</v>
      </c>
      <c r="C212" s="67">
        <v>43674.024629629632</v>
      </c>
      <c r="D212" t="s">
        <v>802</v>
      </c>
      <c r="E212" t="s">
        <v>709</v>
      </c>
      <c r="F212">
        <v>210439</v>
      </c>
      <c r="G212">
        <v>6</v>
      </c>
      <c r="H212">
        <v>0</v>
      </c>
      <c r="J212" t="s">
        <v>1112</v>
      </c>
    </row>
    <row r="213" spans="1:10" hidden="1" x14ac:dyDescent="0.2">
      <c r="A213" t="s">
        <v>560</v>
      </c>
      <c r="B213">
        <v>619918</v>
      </c>
      <c r="C213" s="67">
        <v>43647.527106481481</v>
      </c>
      <c r="D213" t="s">
        <v>873</v>
      </c>
      <c r="F213">
        <v>0</v>
      </c>
      <c r="G213">
        <v>0</v>
      </c>
      <c r="H213">
        <v>55</v>
      </c>
      <c r="J213" t="s">
        <v>1113</v>
      </c>
    </row>
    <row r="214" spans="1:10" hidden="1" x14ac:dyDescent="0.2">
      <c r="A214" t="s">
        <v>560</v>
      </c>
      <c r="B214">
        <v>619918</v>
      </c>
      <c r="C214" s="67">
        <v>43647.527106481481</v>
      </c>
      <c r="D214" t="s">
        <v>803</v>
      </c>
      <c r="E214" t="s">
        <v>709</v>
      </c>
      <c r="F214">
        <v>206403</v>
      </c>
      <c r="G214">
        <v>3.96</v>
      </c>
      <c r="H214">
        <v>0</v>
      </c>
      <c r="J214" t="s">
        <v>1114</v>
      </c>
    </row>
    <row r="215" spans="1:10" hidden="1" x14ac:dyDescent="0.2">
      <c r="A215" t="s">
        <v>560</v>
      </c>
      <c r="B215">
        <v>620117</v>
      </c>
      <c r="C215" s="67">
        <v>43647.623391203706</v>
      </c>
      <c r="D215" t="s">
        <v>804</v>
      </c>
      <c r="E215" t="s">
        <v>710</v>
      </c>
      <c r="F215">
        <v>170815</v>
      </c>
      <c r="G215">
        <v>45.04</v>
      </c>
      <c r="H215">
        <v>0</v>
      </c>
      <c r="J215" t="s">
        <v>1115</v>
      </c>
    </row>
    <row r="216" spans="1:10" hidden="1" x14ac:dyDescent="0.2">
      <c r="A216" t="s">
        <v>560</v>
      </c>
      <c r="B216">
        <v>620906</v>
      </c>
      <c r="C216" s="67">
        <v>43648.712141203701</v>
      </c>
      <c r="D216" t="s">
        <v>873</v>
      </c>
      <c r="F216">
        <v>0</v>
      </c>
      <c r="G216">
        <v>0</v>
      </c>
      <c r="H216">
        <v>465</v>
      </c>
      <c r="J216" t="s">
        <v>1113</v>
      </c>
    </row>
    <row r="217" spans="1:10" hidden="1" x14ac:dyDescent="0.2">
      <c r="A217" t="s">
        <v>560</v>
      </c>
      <c r="B217">
        <v>620906</v>
      </c>
      <c r="C217" s="67">
        <v>43648.712141203701</v>
      </c>
      <c r="D217" t="s">
        <v>803</v>
      </c>
      <c r="E217" t="s">
        <v>709</v>
      </c>
      <c r="F217">
        <v>206691</v>
      </c>
      <c r="G217">
        <v>33.479999999999997</v>
      </c>
      <c r="H217">
        <v>0</v>
      </c>
      <c r="J217" t="s">
        <v>1114</v>
      </c>
    </row>
    <row r="218" spans="1:10" hidden="1" x14ac:dyDescent="0.2">
      <c r="A218" t="s">
        <v>560</v>
      </c>
      <c r="B218">
        <v>621077</v>
      </c>
      <c r="C218" s="67">
        <v>43648.742094907408</v>
      </c>
      <c r="D218" t="s">
        <v>804</v>
      </c>
      <c r="E218" t="s">
        <v>710</v>
      </c>
      <c r="F218">
        <v>171072</v>
      </c>
      <c r="G218">
        <v>431.52</v>
      </c>
      <c r="H218">
        <v>0</v>
      </c>
      <c r="J218" t="s">
        <v>1115</v>
      </c>
    </row>
    <row r="219" spans="1:10" hidden="1" x14ac:dyDescent="0.2">
      <c r="A219" t="s">
        <v>560</v>
      </c>
      <c r="B219">
        <v>628242</v>
      </c>
      <c r="C219" s="67">
        <v>43674.024629629632</v>
      </c>
      <c r="D219" t="s">
        <v>805</v>
      </c>
      <c r="E219" t="s">
        <v>709</v>
      </c>
      <c r="F219">
        <v>210441</v>
      </c>
      <c r="G219">
        <v>6</v>
      </c>
      <c r="H219">
        <v>0</v>
      </c>
      <c r="J219" t="s">
        <v>1112</v>
      </c>
    </row>
    <row r="220" spans="1:10" hidden="1" x14ac:dyDescent="0.2">
      <c r="A220" t="s">
        <v>484</v>
      </c>
      <c r="B220">
        <v>621192</v>
      </c>
      <c r="C220" s="67">
        <v>43648.762476851851</v>
      </c>
      <c r="D220" t="s">
        <v>806</v>
      </c>
      <c r="F220">
        <v>0</v>
      </c>
      <c r="G220">
        <v>0</v>
      </c>
      <c r="H220">
        <v>19.48</v>
      </c>
      <c r="J220" t="s">
        <v>1113</v>
      </c>
    </row>
    <row r="221" spans="1:10" hidden="1" x14ac:dyDescent="0.2">
      <c r="A221" t="s">
        <v>484</v>
      </c>
      <c r="B221">
        <v>621192</v>
      </c>
      <c r="C221" s="67">
        <v>43648.762476851851</v>
      </c>
      <c r="D221" t="s">
        <v>807</v>
      </c>
      <c r="E221" t="s">
        <v>709</v>
      </c>
      <c r="F221">
        <v>206958</v>
      </c>
      <c r="G221">
        <v>1.4</v>
      </c>
      <c r="H221">
        <v>0</v>
      </c>
      <c r="J221" t="s">
        <v>1114</v>
      </c>
    </row>
    <row r="222" spans="1:10" hidden="1" x14ac:dyDescent="0.2">
      <c r="A222" t="s">
        <v>484</v>
      </c>
      <c r="B222">
        <v>621226</v>
      </c>
      <c r="C222" s="67">
        <v>43648.764282407406</v>
      </c>
      <c r="D222" t="s">
        <v>808</v>
      </c>
      <c r="E222" t="s">
        <v>710</v>
      </c>
      <c r="F222">
        <v>171350</v>
      </c>
      <c r="G222">
        <v>12.08</v>
      </c>
      <c r="H222">
        <v>0</v>
      </c>
      <c r="J222" t="s">
        <v>1115</v>
      </c>
    </row>
    <row r="223" spans="1:10" hidden="1" x14ac:dyDescent="0.2">
      <c r="A223" t="s">
        <v>484</v>
      </c>
      <c r="B223">
        <v>622433</v>
      </c>
      <c r="C223" s="67">
        <v>43654.671006944445</v>
      </c>
      <c r="D223" t="s">
        <v>874</v>
      </c>
      <c r="F223">
        <v>0</v>
      </c>
      <c r="G223">
        <v>0</v>
      </c>
      <c r="H223">
        <v>442.04</v>
      </c>
      <c r="J223" t="s">
        <v>1113</v>
      </c>
    </row>
    <row r="224" spans="1:10" hidden="1" x14ac:dyDescent="0.2">
      <c r="A224" t="s">
        <v>484</v>
      </c>
      <c r="B224">
        <v>622433</v>
      </c>
      <c r="C224" s="67">
        <v>43654.671006944445</v>
      </c>
      <c r="D224" t="s">
        <v>807</v>
      </c>
      <c r="E224" t="s">
        <v>709</v>
      </c>
      <c r="F224">
        <v>207386</v>
      </c>
      <c r="G224">
        <v>31.82</v>
      </c>
      <c r="H224">
        <v>0</v>
      </c>
      <c r="J224" t="s">
        <v>1114</v>
      </c>
    </row>
    <row r="225" spans="1:10" hidden="1" x14ac:dyDescent="0.2">
      <c r="A225" t="s">
        <v>484</v>
      </c>
      <c r="B225">
        <v>622440</v>
      </c>
      <c r="C225" s="67">
        <v>43654.678703703707</v>
      </c>
      <c r="D225" t="s">
        <v>808</v>
      </c>
      <c r="E225" t="s">
        <v>710</v>
      </c>
      <c r="F225">
        <v>171692</v>
      </c>
      <c r="G225">
        <v>410.22</v>
      </c>
      <c r="H225">
        <v>0</v>
      </c>
      <c r="J225" t="s">
        <v>1115</v>
      </c>
    </row>
    <row r="226" spans="1:10" hidden="1" x14ac:dyDescent="0.2">
      <c r="A226" t="s">
        <v>484</v>
      </c>
      <c r="B226">
        <v>628242</v>
      </c>
      <c r="C226" s="67">
        <v>43674.024629629632</v>
      </c>
      <c r="D226" t="s">
        <v>809</v>
      </c>
      <c r="E226" t="s">
        <v>709</v>
      </c>
      <c r="F226">
        <v>210601</v>
      </c>
      <c r="G226">
        <v>6</v>
      </c>
      <c r="H226">
        <v>0</v>
      </c>
      <c r="J226" t="s">
        <v>1112</v>
      </c>
    </row>
    <row r="227" spans="1:10" hidden="1" x14ac:dyDescent="0.2">
      <c r="A227" t="s">
        <v>484</v>
      </c>
      <c r="B227">
        <v>629429</v>
      </c>
      <c r="C227" s="67">
        <v>43676.725821759261</v>
      </c>
      <c r="D227" t="s">
        <v>874</v>
      </c>
      <c r="F227">
        <v>0</v>
      </c>
      <c r="G227">
        <v>0</v>
      </c>
      <c r="H227">
        <v>57.96</v>
      </c>
      <c r="J227" t="s">
        <v>1113</v>
      </c>
    </row>
    <row r="228" spans="1:10" hidden="1" x14ac:dyDescent="0.2">
      <c r="A228" t="s">
        <v>484</v>
      </c>
      <c r="B228">
        <v>629429</v>
      </c>
      <c r="C228" s="67">
        <v>43676.725821759261</v>
      </c>
      <c r="D228" t="s">
        <v>807</v>
      </c>
      <c r="E228" t="s">
        <v>709</v>
      </c>
      <c r="F228">
        <v>211045</v>
      </c>
      <c r="G228">
        <v>4.18</v>
      </c>
      <c r="H228">
        <v>0</v>
      </c>
      <c r="J228" t="s">
        <v>1114</v>
      </c>
    </row>
    <row r="229" spans="1:10" hidden="1" x14ac:dyDescent="0.2">
      <c r="A229" t="s">
        <v>484</v>
      </c>
      <c r="B229">
        <v>629455</v>
      </c>
      <c r="C229" s="67">
        <v>43676.728692129633</v>
      </c>
      <c r="D229" t="s">
        <v>808</v>
      </c>
      <c r="E229" t="s">
        <v>710</v>
      </c>
      <c r="F229">
        <v>173679</v>
      </c>
      <c r="G229">
        <v>47.78</v>
      </c>
      <c r="H229">
        <v>0</v>
      </c>
      <c r="J229" t="s">
        <v>1115</v>
      </c>
    </row>
    <row r="230" spans="1:10" hidden="1" x14ac:dyDescent="0.2">
      <c r="A230" t="s">
        <v>483</v>
      </c>
      <c r="B230">
        <v>621188</v>
      </c>
      <c r="C230" s="67">
        <v>43648.762476851851</v>
      </c>
      <c r="D230" t="s">
        <v>812</v>
      </c>
      <c r="F230">
        <v>0</v>
      </c>
      <c r="G230">
        <v>0</v>
      </c>
      <c r="H230">
        <v>145.36000000000001</v>
      </c>
      <c r="J230" t="s">
        <v>1113</v>
      </c>
    </row>
    <row r="231" spans="1:10" hidden="1" x14ac:dyDescent="0.2">
      <c r="A231" t="s">
        <v>483</v>
      </c>
      <c r="B231">
        <v>621188</v>
      </c>
      <c r="C231" s="67">
        <v>43648.762476851851</v>
      </c>
      <c r="D231" t="s">
        <v>810</v>
      </c>
      <c r="E231" t="s">
        <v>709</v>
      </c>
      <c r="F231">
        <v>206954</v>
      </c>
      <c r="G231">
        <v>10.46</v>
      </c>
      <c r="H231">
        <v>0</v>
      </c>
      <c r="J231" t="s">
        <v>1114</v>
      </c>
    </row>
    <row r="232" spans="1:10" hidden="1" x14ac:dyDescent="0.2">
      <c r="A232" t="s">
        <v>483</v>
      </c>
      <c r="B232">
        <v>621226</v>
      </c>
      <c r="C232" s="67">
        <v>43648.764282407406</v>
      </c>
      <c r="D232" t="s">
        <v>811</v>
      </c>
      <c r="E232" t="s">
        <v>710</v>
      </c>
      <c r="F232">
        <v>171346</v>
      </c>
      <c r="G232">
        <v>128.9</v>
      </c>
      <c r="H232">
        <v>0</v>
      </c>
      <c r="J232" t="s">
        <v>1115</v>
      </c>
    </row>
    <row r="233" spans="1:10" hidden="1" x14ac:dyDescent="0.2">
      <c r="A233" t="s">
        <v>483</v>
      </c>
      <c r="B233">
        <v>625461</v>
      </c>
      <c r="C233" s="67">
        <v>43663.703206018516</v>
      </c>
      <c r="D233" t="s">
        <v>875</v>
      </c>
      <c r="F233">
        <v>0</v>
      </c>
      <c r="G233">
        <v>0</v>
      </c>
      <c r="H233">
        <v>320.8</v>
      </c>
      <c r="J233" t="s">
        <v>1113</v>
      </c>
    </row>
    <row r="234" spans="1:10" hidden="1" x14ac:dyDescent="0.2">
      <c r="A234" t="s">
        <v>483</v>
      </c>
      <c r="B234">
        <v>625461</v>
      </c>
      <c r="C234" s="67">
        <v>43663.703206018516</v>
      </c>
      <c r="D234" t="s">
        <v>810</v>
      </c>
      <c r="E234" t="s">
        <v>709</v>
      </c>
      <c r="F234">
        <v>208310</v>
      </c>
      <c r="G234">
        <v>23.1</v>
      </c>
      <c r="H234">
        <v>0</v>
      </c>
      <c r="J234" t="s">
        <v>1114</v>
      </c>
    </row>
    <row r="235" spans="1:10" hidden="1" x14ac:dyDescent="0.2">
      <c r="A235" t="s">
        <v>483</v>
      </c>
      <c r="B235">
        <v>625468</v>
      </c>
      <c r="C235" s="67">
        <v>43663.706145833334</v>
      </c>
      <c r="D235" t="s">
        <v>811</v>
      </c>
      <c r="E235" t="s">
        <v>710</v>
      </c>
      <c r="F235">
        <v>172669</v>
      </c>
      <c r="G235">
        <v>297.7</v>
      </c>
      <c r="H235">
        <v>0</v>
      </c>
      <c r="J235" t="s">
        <v>1115</v>
      </c>
    </row>
    <row r="236" spans="1:10" hidden="1" x14ac:dyDescent="0.2">
      <c r="A236" t="s">
        <v>483</v>
      </c>
      <c r="B236">
        <v>628242</v>
      </c>
      <c r="C236" s="67">
        <v>43674.024629629632</v>
      </c>
      <c r="D236" t="s">
        <v>813</v>
      </c>
      <c r="E236" t="s">
        <v>709</v>
      </c>
      <c r="F236">
        <v>210600</v>
      </c>
      <c r="G236">
        <v>6</v>
      </c>
      <c r="H236">
        <v>0</v>
      </c>
      <c r="J236" t="s">
        <v>1112</v>
      </c>
    </row>
    <row r="237" spans="1:10" hidden="1" x14ac:dyDescent="0.2">
      <c r="A237" t="s">
        <v>483</v>
      </c>
      <c r="B237">
        <v>629425</v>
      </c>
      <c r="C237" s="67">
        <v>43676.725821759261</v>
      </c>
      <c r="D237" t="s">
        <v>875</v>
      </c>
      <c r="F237">
        <v>0</v>
      </c>
      <c r="G237">
        <v>0</v>
      </c>
      <c r="H237">
        <v>184.2</v>
      </c>
      <c r="J237" t="s">
        <v>1113</v>
      </c>
    </row>
    <row r="238" spans="1:10" hidden="1" x14ac:dyDescent="0.2">
      <c r="A238" t="s">
        <v>483</v>
      </c>
      <c r="B238">
        <v>629425</v>
      </c>
      <c r="C238" s="67">
        <v>43676.725821759261</v>
      </c>
      <c r="D238" t="s">
        <v>810</v>
      </c>
      <c r="E238" t="s">
        <v>709</v>
      </c>
      <c r="F238">
        <v>211041</v>
      </c>
      <c r="G238">
        <v>13.26</v>
      </c>
      <c r="H238">
        <v>0</v>
      </c>
      <c r="J238" t="s">
        <v>1114</v>
      </c>
    </row>
    <row r="239" spans="1:10" hidden="1" x14ac:dyDescent="0.2">
      <c r="A239" t="s">
        <v>483</v>
      </c>
      <c r="B239">
        <v>629455</v>
      </c>
      <c r="C239" s="67">
        <v>43676.728692129633</v>
      </c>
      <c r="D239" t="s">
        <v>811</v>
      </c>
      <c r="E239" t="s">
        <v>710</v>
      </c>
      <c r="F239">
        <v>173675</v>
      </c>
      <c r="G239">
        <v>164.94</v>
      </c>
      <c r="H239">
        <v>0</v>
      </c>
      <c r="J239" t="s">
        <v>1115</v>
      </c>
    </row>
    <row r="240" spans="1:10" hidden="1" x14ac:dyDescent="0.2">
      <c r="A240" t="s">
        <v>481</v>
      </c>
      <c r="B240">
        <v>628242</v>
      </c>
      <c r="C240" s="67">
        <v>43674.024629629632</v>
      </c>
      <c r="D240" t="s">
        <v>815</v>
      </c>
      <c r="E240" t="s">
        <v>709</v>
      </c>
      <c r="F240">
        <v>210488</v>
      </c>
      <c r="G240">
        <v>6</v>
      </c>
      <c r="H240">
        <v>0</v>
      </c>
      <c r="J240" t="s">
        <v>1112</v>
      </c>
    </row>
    <row r="241" spans="1:10" hidden="1" x14ac:dyDescent="0.2">
      <c r="A241" t="s">
        <v>477</v>
      </c>
      <c r="B241">
        <v>621180</v>
      </c>
      <c r="C241" s="67">
        <v>43648.762476851851</v>
      </c>
      <c r="D241" t="s">
        <v>818</v>
      </c>
      <c r="F241">
        <v>0</v>
      </c>
      <c r="G241">
        <v>0</v>
      </c>
      <c r="H241">
        <v>276.60000000000002</v>
      </c>
      <c r="J241" t="s">
        <v>1113</v>
      </c>
    </row>
    <row r="242" spans="1:10" hidden="1" x14ac:dyDescent="0.2">
      <c r="A242" t="s">
        <v>477</v>
      </c>
      <c r="B242">
        <v>621180</v>
      </c>
      <c r="C242" s="67">
        <v>43648.762476851851</v>
      </c>
      <c r="D242" t="s">
        <v>816</v>
      </c>
      <c r="E242" t="s">
        <v>709</v>
      </c>
      <c r="F242">
        <v>206946</v>
      </c>
      <c r="G242">
        <v>19.920000000000002</v>
      </c>
      <c r="H242">
        <v>0</v>
      </c>
      <c r="J242" t="s">
        <v>1114</v>
      </c>
    </row>
    <row r="243" spans="1:10" hidden="1" x14ac:dyDescent="0.2">
      <c r="A243" t="s">
        <v>477</v>
      </c>
      <c r="B243">
        <v>621226</v>
      </c>
      <c r="C243" s="67">
        <v>43648.764282407406</v>
      </c>
      <c r="D243" t="s">
        <v>817</v>
      </c>
      <c r="E243" t="s">
        <v>710</v>
      </c>
      <c r="F243">
        <v>171338</v>
      </c>
      <c r="G243">
        <v>250.68</v>
      </c>
      <c r="H243">
        <v>0</v>
      </c>
      <c r="J243" t="s">
        <v>1115</v>
      </c>
    </row>
    <row r="244" spans="1:10" hidden="1" x14ac:dyDescent="0.2">
      <c r="A244" t="s">
        <v>477</v>
      </c>
      <c r="B244">
        <v>625460</v>
      </c>
      <c r="C244" s="67">
        <v>43663.703206018516</v>
      </c>
      <c r="D244" t="s">
        <v>876</v>
      </c>
      <c r="F244">
        <v>0</v>
      </c>
      <c r="G244">
        <v>0</v>
      </c>
      <c r="H244">
        <v>138.80000000000001</v>
      </c>
      <c r="J244" t="s">
        <v>1113</v>
      </c>
    </row>
    <row r="245" spans="1:10" hidden="1" x14ac:dyDescent="0.2">
      <c r="A245" t="s">
        <v>477</v>
      </c>
      <c r="B245">
        <v>625460</v>
      </c>
      <c r="C245" s="67">
        <v>43663.703206018516</v>
      </c>
      <c r="D245" t="s">
        <v>816</v>
      </c>
      <c r="E245" t="s">
        <v>709</v>
      </c>
      <c r="F245">
        <v>208309</v>
      </c>
      <c r="G245">
        <v>10</v>
      </c>
      <c r="H245">
        <v>0</v>
      </c>
      <c r="J245" t="s">
        <v>1114</v>
      </c>
    </row>
    <row r="246" spans="1:10" hidden="1" x14ac:dyDescent="0.2">
      <c r="A246" t="s">
        <v>477</v>
      </c>
      <c r="B246">
        <v>625468</v>
      </c>
      <c r="C246" s="67">
        <v>43663.706145833334</v>
      </c>
      <c r="D246" t="s">
        <v>817</v>
      </c>
      <c r="E246" t="s">
        <v>710</v>
      </c>
      <c r="F246">
        <v>172668</v>
      </c>
      <c r="G246">
        <v>128.80000000000001</v>
      </c>
      <c r="H246">
        <v>0</v>
      </c>
      <c r="J246" t="s">
        <v>1115</v>
      </c>
    </row>
    <row r="247" spans="1:10" hidden="1" x14ac:dyDescent="0.2">
      <c r="A247" t="s">
        <v>477</v>
      </c>
      <c r="B247">
        <v>628242</v>
      </c>
      <c r="C247" s="67">
        <v>43674.024629629632</v>
      </c>
      <c r="D247" t="s">
        <v>819</v>
      </c>
      <c r="E247" t="s">
        <v>709</v>
      </c>
      <c r="F247">
        <v>210399</v>
      </c>
      <c r="G247">
        <v>6</v>
      </c>
      <c r="H247">
        <v>0</v>
      </c>
      <c r="J247" t="s">
        <v>1112</v>
      </c>
    </row>
    <row r="248" spans="1:10" hidden="1" x14ac:dyDescent="0.2">
      <c r="A248" t="s">
        <v>477</v>
      </c>
      <c r="B248">
        <v>629414</v>
      </c>
      <c r="C248" s="67">
        <v>43676.725821759261</v>
      </c>
      <c r="D248" t="s">
        <v>876</v>
      </c>
      <c r="F248">
        <v>0</v>
      </c>
      <c r="G248">
        <v>0</v>
      </c>
      <c r="H248">
        <v>311.2</v>
      </c>
      <c r="J248" t="s">
        <v>1113</v>
      </c>
    </row>
    <row r="249" spans="1:10" hidden="1" x14ac:dyDescent="0.2">
      <c r="A249" t="s">
        <v>477</v>
      </c>
      <c r="B249">
        <v>629414</v>
      </c>
      <c r="C249" s="67">
        <v>43676.725821759261</v>
      </c>
      <c r="D249" t="s">
        <v>816</v>
      </c>
      <c r="E249" t="s">
        <v>709</v>
      </c>
      <c r="F249">
        <v>211030</v>
      </c>
      <c r="G249">
        <v>22.4</v>
      </c>
      <c r="H249">
        <v>0</v>
      </c>
      <c r="J249" t="s">
        <v>1114</v>
      </c>
    </row>
    <row r="250" spans="1:10" hidden="1" x14ac:dyDescent="0.2">
      <c r="A250" t="s">
        <v>477</v>
      </c>
      <c r="B250">
        <v>629455</v>
      </c>
      <c r="C250" s="67">
        <v>43676.728692129633</v>
      </c>
      <c r="D250" t="s">
        <v>817</v>
      </c>
      <c r="E250" t="s">
        <v>710</v>
      </c>
      <c r="F250">
        <v>173664</v>
      </c>
      <c r="G250">
        <v>282.8</v>
      </c>
      <c r="H250">
        <v>0</v>
      </c>
      <c r="J250" t="s">
        <v>1115</v>
      </c>
    </row>
    <row r="251" spans="1:10" hidden="1" x14ac:dyDescent="0.2">
      <c r="A251" t="s">
        <v>495</v>
      </c>
      <c r="B251">
        <v>621194</v>
      </c>
      <c r="C251" s="67">
        <v>43648.762476851851</v>
      </c>
      <c r="D251" t="s">
        <v>822</v>
      </c>
      <c r="F251">
        <v>0</v>
      </c>
      <c r="G251">
        <v>0</v>
      </c>
      <c r="H251">
        <v>346.32</v>
      </c>
      <c r="J251" t="s">
        <v>1113</v>
      </c>
    </row>
    <row r="252" spans="1:10" hidden="1" x14ac:dyDescent="0.2">
      <c r="A252" t="s">
        <v>495</v>
      </c>
      <c r="B252">
        <v>621194</v>
      </c>
      <c r="C252" s="67">
        <v>43648.762476851851</v>
      </c>
      <c r="D252" t="s">
        <v>820</v>
      </c>
      <c r="E252" t="s">
        <v>709</v>
      </c>
      <c r="F252">
        <v>206960</v>
      </c>
      <c r="G252">
        <v>24.94</v>
      </c>
      <c r="H252">
        <v>0</v>
      </c>
      <c r="J252" t="s">
        <v>1114</v>
      </c>
    </row>
    <row r="253" spans="1:10" hidden="1" x14ac:dyDescent="0.2">
      <c r="A253" t="s">
        <v>495</v>
      </c>
      <c r="B253">
        <v>621226</v>
      </c>
      <c r="C253" s="67">
        <v>43648.764282407406</v>
      </c>
      <c r="D253" t="s">
        <v>821</v>
      </c>
      <c r="E253" t="s">
        <v>710</v>
      </c>
      <c r="F253">
        <v>171352</v>
      </c>
      <c r="G253">
        <v>315.38</v>
      </c>
      <c r="H253">
        <v>0</v>
      </c>
      <c r="J253" t="s">
        <v>1115</v>
      </c>
    </row>
    <row r="254" spans="1:10" hidden="1" x14ac:dyDescent="0.2">
      <c r="A254" t="s">
        <v>495</v>
      </c>
      <c r="B254">
        <v>624225</v>
      </c>
      <c r="C254" s="67">
        <v>43661.702766203707</v>
      </c>
      <c r="D254" t="s">
        <v>877</v>
      </c>
      <c r="F254">
        <v>0</v>
      </c>
      <c r="G254">
        <v>0</v>
      </c>
      <c r="H254">
        <v>115.2</v>
      </c>
      <c r="J254" t="s">
        <v>1113</v>
      </c>
    </row>
    <row r="255" spans="1:10" hidden="1" x14ac:dyDescent="0.2">
      <c r="A255" t="s">
        <v>495</v>
      </c>
      <c r="B255">
        <v>624225</v>
      </c>
      <c r="C255" s="67">
        <v>43661.702766203707</v>
      </c>
      <c r="D255" t="s">
        <v>820</v>
      </c>
      <c r="E255" t="s">
        <v>709</v>
      </c>
      <c r="F255">
        <v>208020</v>
      </c>
      <c r="G255">
        <v>8.2899999999999991</v>
      </c>
      <c r="H255">
        <v>0</v>
      </c>
      <c r="J255" t="s">
        <v>1114</v>
      </c>
    </row>
    <row r="256" spans="1:10" hidden="1" x14ac:dyDescent="0.2">
      <c r="A256" t="s">
        <v>495</v>
      </c>
      <c r="B256">
        <v>624227</v>
      </c>
      <c r="C256" s="67">
        <v>43661.703981481478</v>
      </c>
      <c r="D256" t="s">
        <v>821</v>
      </c>
      <c r="E256" t="s">
        <v>710</v>
      </c>
      <c r="F256">
        <v>172265</v>
      </c>
      <c r="G256">
        <v>106.91</v>
      </c>
      <c r="H256">
        <v>0</v>
      </c>
      <c r="J256" t="s">
        <v>1115</v>
      </c>
    </row>
    <row r="257" spans="1:10" hidden="1" x14ac:dyDescent="0.2">
      <c r="A257" t="s">
        <v>495</v>
      </c>
      <c r="B257">
        <v>628242</v>
      </c>
      <c r="C257" s="67">
        <v>43674.024629629632</v>
      </c>
      <c r="D257" t="s">
        <v>823</v>
      </c>
      <c r="E257" t="s">
        <v>709</v>
      </c>
      <c r="F257">
        <v>210333</v>
      </c>
      <c r="G257">
        <v>6</v>
      </c>
      <c r="H257">
        <v>0</v>
      </c>
      <c r="J257" t="s">
        <v>1112</v>
      </c>
    </row>
    <row r="258" spans="1:10" hidden="1" x14ac:dyDescent="0.2">
      <c r="A258" t="s">
        <v>495</v>
      </c>
      <c r="B258">
        <v>629432</v>
      </c>
      <c r="C258" s="67">
        <v>43676.725821759261</v>
      </c>
      <c r="D258" t="s">
        <v>877</v>
      </c>
      <c r="F258">
        <v>0</v>
      </c>
      <c r="G258">
        <v>0</v>
      </c>
      <c r="H258">
        <v>384.8</v>
      </c>
      <c r="J258" t="s">
        <v>1113</v>
      </c>
    </row>
    <row r="259" spans="1:10" hidden="1" x14ac:dyDescent="0.2">
      <c r="A259" t="s">
        <v>495</v>
      </c>
      <c r="B259">
        <v>629432</v>
      </c>
      <c r="C259" s="67">
        <v>43676.725821759261</v>
      </c>
      <c r="D259" t="s">
        <v>820</v>
      </c>
      <c r="E259" t="s">
        <v>709</v>
      </c>
      <c r="F259">
        <v>211047</v>
      </c>
      <c r="G259">
        <v>27.71</v>
      </c>
      <c r="H259">
        <v>0</v>
      </c>
      <c r="J259" t="s">
        <v>1114</v>
      </c>
    </row>
    <row r="260" spans="1:10" hidden="1" x14ac:dyDescent="0.2">
      <c r="A260" t="s">
        <v>495</v>
      </c>
      <c r="B260">
        <v>629455</v>
      </c>
      <c r="C260" s="67">
        <v>43676.728692129633</v>
      </c>
      <c r="D260" t="s">
        <v>821</v>
      </c>
      <c r="E260" t="s">
        <v>710</v>
      </c>
      <c r="F260">
        <v>173682</v>
      </c>
      <c r="G260">
        <v>351.09</v>
      </c>
      <c r="H260">
        <v>0</v>
      </c>
      <c r="J260" t="s">
        <v>1115</v>
      </c>
    </row>
    <row r="261" spans="1:10" hidden="1" x14ac:dyDescent="0.2">
      <c r="A261" t="s">
        <v>561</v>
      </c>
      <c r="B261">
        <v>627811</v>
      </c>
      <c r="C261" s="67">
        <v>43671.592280092591</v>
      </c>
      <c r="D261" t="s">
        <v>824</v>
      </c>
      <c r="F261">
        <v>0</v>
      </c>
      <c r="G261">
        <v>0</v>
      </c>
      <c r="H261">
        <v>261.73</v>
      </c>
      <c r="J261" t="s">
        <v>1113</v>
      </c>
    </row>
    <row r="262" spans="1:10" hidden="1" x14ac:dyDescent="0.2">
      <c r="A262" t="s">
        <v>561</v>
      </c>
      <c r="B262">
        <v>627811</v>
      </c>
      <c r="C262" s="67">
        <v>43671.592280092591</v>
      </c>
      <c r="D262" t="s">
        <v>825</v>
      </c>
      <c r="E262" t="s">
        <v>709</v>
      </c>
      <c r="F262">
        <v>208974</v>
      </c>
      <c r="G262">
        <v>18.84</v>
      </c>
      <c r="H262">
        <v>0</v>
      </c>
      <c r="J262" t="s">
        <v>1114</v>
      </c>
    </row>
    <row r="263" spans="1:10" hidden="1" x14ac:dyDescent="0.2">
      <c r="A263" t="s">
        <v>561</v>
      </c>
      <c r="B263">
        <v>627811</v>
      </c>
      <c r="C263" s="67">
        <v>43671.592280092591</v>
      </c>
      <c r="D263" t="s">
        <v>878</v>
      </c>
      <c r="F263">
        <v>0</v>
      </c>
      <c r="G263">
        <v>0</v>
      </c>
      <c r="H263">
        <v>438.27</v>
      </c>
      <c r="J263" t="s">
        <v>1113</v>
      </c>
    </row>
    <row r="264" spans="1:10" hidden="1" x14ac:dyDescent="0.2">
      <c r="A264" t="s">
        <v>561</v>
      </c>
      <c r="B264">
        <v>627811</v>
      </c>
      <c r="C264" s="67">
        <v>43671.592280092591</v>
      </c>
      <c r="D264" t="s">
        <v>825</v>
      </c>
      <c r="E264" t="s">
        <v>709</v>
      </c>
      <c r="F264">
        <v>208974</v>
      </c>
      <c r="G264">
        <v>31.56</v>
      </c>
      <c r="H264">
        <v>0</v>
      </c>
      <c r="J264" t="s">
        <v>1114</v>
      </c>
    </row>
    <row r="265" spans="1:10" hidden="1" x14ac:dyDescent="0.2">
      <c r="A265" t="s">
        <v>561</v>
      </c>
      <c r="B265">
        <v>627816</v>
      </c>
      <c r="C265" s="67">
        <v>43671.605115740742</v>
      </c>
      <c r="D265" t="s">
        <v>826</v>
      </c>
      <c r="E265" t="s">
        <v>710</v>
      </c>
      <c r="F265">
        <v>173258</v>
      </c>
      <c r="G265">
        <v>643.6</v>
      </c>
      <c r="H265">
        <v>0</v>
      </c>
      <c r="J265" t="s">
        <v>1115</v>
      </c>
    </row>
    <row r="266" spans="1:10" hidden="1" x14ac:dyDescent="0.2">
      <c r="A266" t="s">
        <v>561</v>
      </c>
      <c r="B266">
        <v>628062</v>
      </c>
      <c r="C266" s="67">
        <v>43672.611932870372</v>
      </c>
      <c r="D266" t="s">
        <v>879</v>
      </c>
      <c r="E266" t="s">
        <v>710</v>
      </c>
      <c r="F266">
        <v>173262</v>
      </c>
      <c r="G266">
        <v>556.79999999999995</v>
      </c>
      <c r="H266">
        <v>0</v>
      </c>
      <c r="J266" t="s">
        <v>1115</v>
      </c>
    </row>
    <row r="267" spans="1:10" hidden="1" x14ac:dyDescent="0.2">
      <c r="A267" t="s">
        <v>561</v>
      </c>
      <c r="B267">
        <v>628242</v>
      </c>
      <c r="C267" s="67">
        <v>43674.024629629632</v>
      </c>
      <c r="D267" t="s">
        <v>827</v>
      </c>
      <c r="E267" t="s">
        <v>709</v>
      </c>
      <c r="F267">
        <v>210415</v>
      </c>
      <c r="G267">
        <v>6</v>
      </c>
      <c r="H267">
        <v>0</v>
      </c>
      <c r="J267" t="s">
        <v>1112</v>
      </c>
    </row>
    <row r="268" spans="1:10" x14ac:dyDescent="0.2">
      <c r="C268" s="67"/>
    </row>
    <row r="269" spans="1:10" x14ac:dyDescent="0.2">
      <c r="C269" s="67"/>
    </row>
    <row r="270" spans="1:10" x14ac:dyDescent="0.2">
      <c r="C270" s="67"/>
    </row>
    <row r="271" spans="1:10" x14ac:dyDescent="0.2">
      <c r="C271" s="67"/>
    </row>
    <row r="272" spans="1:10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</sheetData>
  <autoFilter ref="A1:J267" xr:uid="{7D026D20-162C-4DFF-AEE6-37280CF7B244}">
    <filterColumn colId="0">
      <filters>
        <filter val="F78ALH"/>
      </filters>
    </filterColumn>
  </autoFilter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82" zoomScale="70" zoomScaleNormal="70" workbookViewId="0">
      <selection activeCell="AB94" sqref="AB94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t="shared" si="0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t="shared" si="0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t="shared" si="0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t="shared" si="0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t="shared" si="0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t="shared" si="0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t="shared" si="0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t="shared" si="0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t="shared" si="0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t="shared" si="0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t="shared" si="0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t="shared" si="0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t="shared" si="0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t="shared" si="0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t="shared" si="0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t="shared" si="0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t="shared" si="0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t="shared" si="0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t="shared" si="0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t="shared" si="0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t="shared" si="0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t="shared" si="0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t="shared" si="0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t="shared" si="0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t="shared" si="0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t="shared" si="0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t="shared" si="0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t="shared" si="0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t="shared" si="0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t="shared" si="0"/>
        <v>L. Long (12/05/2006 - 12/09/2006)</v>
      </c>
    </row>
    <row r="33" spans="1:29" s="52" customFormat="1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t="shared" si="0"/>
        <v>Groizard (27/03/2001 - 06/11/2005)</v>
      </c>
    </row>
    <row r="34" spans="1:29" s="52" customFormat="1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t="shared" si="0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t="shared" si="0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t="shared" si="0"/>
        <v>Kirsty Taylor &amp; Millie Barber (08/01/2010 - 01/08/2010)</v>
      </c>
    </row>
    <row r="38" spans="1:29" s="52" customFormat="1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t="shared" si="0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t="shared" si="0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t="shared" si="0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t="shared" si="0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t="shared" si="0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t="shared" si="0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t="shared" si="0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t="shared" si="0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t="shared" si="0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t="shared" si="0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t="shared" si="0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t="shared" si="0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t="shared" si="0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t="shared" si="0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t="shared" si="0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t="shared" si="0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t="shared" si="0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t="shared" si="0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t="shared" si="0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t="shared" si="0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t="shared" si="0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t="shared" si="0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t="shared" si="0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t="shared" si="0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t="shared" si="0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t="shared" si="0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t="shared" si="0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t="shared" ref="AB66:AB130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t="shared" si="1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t="shared" si="1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t="shared" si="1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t="shared" si="1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t="shared" si="1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t="shared" si="1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t="shared" si="1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t="shared" si="1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t="shared" si="1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t="shared" si="1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t="shared" si="1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t="shared" si="1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t="shared" si="1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t="shared" si="1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t="shared" si="1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t="shared" si="1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t="shared" si="1"/>
        <v>N Stephens &amp; S Smith (04/05/2012 - 28/02/2013)</v>
      </c>
    </row>
    <row r="84" spans="1:29" s="52" customFormat="1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t="shared" si="1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t="shared" si="1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t="shared" si="1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t="shared" si="1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t="shared" si="1"/>
        <v>Ms McLachlan (08/04/2013 - 31/12/2013)</v>
      </c>
    </row>
    <row r="90" spans="1:29" s="52" customFormat="1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t="shared" si="1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t="shared" si="1"/>
        <v>Chalk  (27/07/2006 - 31/12/2006)</v>
      </c>
    </row>
    <row r="93" spans="1:29" s="52" customFormat="1" x14ac:dyDescent="0.2">
      <c r="A93" s="169">
        <v>26</v>
      </c>
      <c r="B93" s="170" t="s">
        <v>224</v>
      </c>
      <c r="C93" s="169"/>
      <c r="D93" s="170" t="s">
        <v>583</v>
      </c>
      <c r="E93" s="171">
        <v>43524</v>
      </c>
      <c r="F93" s="171"/>
      <c r="G93" s="169">
        <v>500</v>
      </c>
      <c r="H93" s="170" t="s">
        <v>29</v>
      </c>
      <c r="I93" s="54" t="s">
        <v>578</v>
      </c>
      <c r="J93" s="169">
        <v>6</v>
      </c>
      <c r="K93" s="54" t="s">
        <v>96</v>
      </c>
      <c r="L93" s="54" t="s">
        <v>97</v>
      </c>
      <c r="AB93" s="149" t="s">
        <v>584</v>
      </c>
    </row>
    <row r="94" spans="1:29" x14ac:dyDescent="0.2">
      <c r="A94" s="57">
        <v>26</v>
      </c>
      <c r="B94" s="58" t="s">
        <v>224</v>
      </c>
      <c r="C94" s="57">
        <v>250</v>
      </c>
      <c r="D94" s="58" t="s">
        <v>372</v>
      </c>
      <c r="E94" s="59">
        <v>42104</v>
      </c>
      <c r="F94" s="58"/>
      <c r="G94" s="57">
        <v>515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tr">
        <f t="shared" si="1"/>
        <v>J Hill (10/04/2015 - present)</v>
      </c>
    </row>
    <row r="95" spans="1:29" x14ac:dyDescent="0.2">
      <c r="A95" s="57">
        <v>26</v>
      </c>
      <c r="B95" s="58" t="s">
        <v>224</v>
      </c>
      <c r="C95" s="57">
        <v>217</v>
      </c>
      <c r="D95" s="58" t="s">
        <v>336</v>
      </c>
      <c r="E95" s="59">
        <v>41103</v>
      </c>
      <c r="F95" s="59">
        <v>42070</v>
      </c>
      <c r="G95" s="57">
        <v>475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B95" t="str">
        <f t="shared" si="1"/>
        <v>Basam Yacoub (13/07/2012 - 07/03/2015)</v>
      </c>
    </row>
    <row r="96" spans="1:29" x14ac:dyDescent="0.2">
      <c r="A96" s="57">
        <v>26</v>
      </c>
      <c r="B96" s="58" t="s">
        <v>224</v>
      </c>
      <c r="C96" s="57">
        <v>205</v>
      </c>
      <c r="D96" s="58" t="s">
        <v>325</v>
      </c>
      <c r="E96" s="59">
        <v>40763</v>
      </c>
      <c r="F96" s="59">
        <v>41072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A96" s="2"/>
      <c r="AB96" t="str">
        <f t="shared" si="1"/>
        <v>Oliver Williams &amp; Lisa Pearce (08/08/2011 - 12/06/2012)</v>
      </c>
    </row>
    <row r="97" spans="1:29" x14ac:dyDescent="0.2">
      <c r="A97" s="57">
        <v>26</v>
      </c>
      <c r="B97" s="58" t="s">
        <v>224</v>
      </c>
      <c r="C97" s="57">
        <v>183</v>
      </c>
      <c r="D97" s="58" t="s">
        <v>305</v>
      </c>
      <c r="E97" s="59">
        <v>40439</v>
      </c>
      <c r="F97" s="59">
        <v>40636</v>
      </c>
      <c r="G97" s="57">
        <v>460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t="shared" si="1"/>
        <v>Olivia Chaffe (18/09/2010 - 03/04/2011)</v>
      </c>
    </row>
    <row r="98" spans="1:29" x14ac:dyDescent="0.2">
      <c r="A98" s="57">
        <v>26</v>
      </c>
      <c r="B98" s="58" t="s">
        <v>224</v>
      </c>
      <c r="C98" s="57">
        <v>147</v>
      </c>
      <c r="D98" s="58" t="s">
        <v>263</v>
      </c>
      <c r="E98" s="59">
        <v>39779</v>
      </c>
      <c r="F98" s="59">
        <v>40386</v>
      </c>
      <c r="G98" s="57">
        <v>450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t="shared" si="1"/>
        <v>Wanchai Sribang (27/11/2008 - 27/07/2010)</v>
      </c>
    </row>
    <row r="99" spans="1:29" x14ac:dyDescent="0.2">
      <c r="A99" s="57">
        <v>26</v>
      </c>
      <c r="B99" s="58" t="s">
        <v>224</v>
      </c>
      <c r="C99" s="57">
        <v>125</v>
      </c>
      <c r="D99" s="58" t="s">
        <v>225</v>
      </c>
      <c r="E99" s="59">
        <v>39193</v>
      </c>
      <c r="F99" s="59">
        <v>39745</v>
      </c>
      <c r="G99" s="57">
        <v>400</v>
      </c>
      <c r="H99" s="58" t="s">
        <v>29</v>
      </c>
      <c r="I99" s="58" t="s">
        <v>197</v>
      </c>
      <c r="J99" s="57">
        <v>0</v>
      </c>
      <c r="K99" s="58" t="s">
        <v>175</v>
      </c>
      <c r="L99" s="58" t="s">
        <v>101</v>
      </c>
      <c r="AB99" t="str">
        <f t="shared" si="1"/>
        <v>Mr S Webster (21/04/2007 - 24/10/2008)</v>
      </c>
    </row>
    <row r="100" spans="1:29" x14ac:dyDescent="0.2">
      <c r="A100" s="57">
        <v>22</v>
      </c>
      <c r="B100" s="58" t="s">
        <v>226</v>
      </c>
      <c r="C100" s="57">
        <v>155</v>
      </c>
      <c r="D100" s="58" t="s">
        <v>273</v>
      </c>
      <c r="E100" s="59">
        <v>39990</v>
      </c>
      <c r="F100" s="58"/>
      <c r="G100" s="57">
        <v>500</v>
      </c>
      <c r="H100" s="58" t="s">
        <v>29</v>
      </c>
      <c r="I100" s="58" t="s">
        <v>95</v>
      </c>
      <c r="J100" s="57">
        <v>10</v>
      </c>
      <c r="K100" s="58" t="s">
        <v>96</v>
      </c>
      <c r="L100" s="58" t="s">
        <v>97</v>
      </c>
      <c r="AB100" t="str">
        <f t="shared" si="1"/>
        <v>Dionne McLaughlin (26/06/2009 - present)</v>
      </c>
    </row>
    <row r="101" spans="1:29" x14ac:dyDescent="0.2">
      <c r="A101" s="57">
        <v>22</v>
      </c>
      <c r="B101" s="58" t="s">
        <v>226</v>
      </c>
      <c r="C101" s="57">
        <v>131</v>
      </c>
      <c r="D101" s="58" t="s">
        <v>253</v>
      </c>
      <c r="E101" s="59">
        <v>39626</v>
      </c>
      <c r="F101" s="59">
        <v>39903</v>
      </c>
      <c r="G101" s="57">
        <v>425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AB101" t="str">
        <f t="shared" si="1"/>
        <v>Mr Arkadiusz Slowinski &amp; Miss Ewelina Skladanowska (27/06/2008 - 31/03/2009)</v>
      </c>
    </row>
    <row r="102" spans="1:29" x14ac:dyDescent="0.2">
      <c r="A102" s="57">
        <v>22</v>
      </c>
      <c r="B102" s="58" t="s">
        <v>226</v>
      </c>
      <c r="C102" s="57">
        <v>122</v>
      </c>
      <c r="D102" s="58" t="s">
        <v>199</v>
      </c>
      <c r="E102" s="59">
        <v>39508</v>
      </c>
      <c r="F102" s="59">
        <v>39586</v>
      </c>
      <c r="G102" s="57">
        <v>400</v>
      </c>
      <c r="H102" s="58" t="s">
        <v>29</v>
      </c>
      <c r="I102" s="58" t="s">
        <v>197</v>
      </c>
      <c r="J102" s="57">
        <v>0</v>
      </c>
      <c r="K102" s="58" t="s">
        <v>175</v>
      </c>
      <c r="L102" s="58" t="s">
        <v>101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t="shared" si="1"/>
        <v>Hannah Woodhouse (01/03/2008 - 18/05/2008)</v>
      </c>
      <c r="AC102" s="52"/>
    </row>
    <row r="103" spans="1:29" x14ac:dyDescent="0.2">
      <c r="A103" s="57">
        <v>21</v>
      </c>
      <c r="B103" s="58" t="s">
        <v>227</v>
      </c>
      <c r="C103" s="57">
        <v>272</v>
      </c>
      <c r="D103" s="58" t="s">
        <v>390</v>
      </c>
      <c r="E103" s="59">
        <v>42480</v>
      </c>
      <c r="F103" s="58"/>
      <c r="G103" s="57">
        <v>610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tr">
        <f t="shared" si="1"/>
        <v>Miss S O'Brien (20/04/2016 - present)</v>
      </c>
    </row>
    <row r="104" spans="1:29" x14ac:dyDescent="0.2">
      <c r="A104" s="57">
        <v>21</v>
      </c>
      <c r="B104" s="58" t="s">
        <v>227</v>
      </c>
      <c r="C104" s="57">
        <v>123</v>
      </c>
      <c r="D104" s="58" t="s">
        <v>391</v>
      </c>
      <c r="E104" s="59">
        <v>39508</v>
      </c>
      <c r="F104" s="59">
        <v>42459</v>
      </c>
      <c r="G104" s="57">
        <v>525</v>
      </c>
      <c r="H104" s="58" t="s">
        <v>29</v>
      </c>
      <c r="I104" s="58" t="s">
        <v>197</v>
      </c>
      <c r="J104" s="57">
        <v>0</v>
      </c>
      <c r="K104" s="58" t="s">
        <v>175</v>
      </c>
      <c r="L104" s="58" t="s">
        <v>101</v>
      </c>
      <c r="AB104" t="str">
        <f t="shared" si="1"/>
        <v>Stepek (01/03/2008 - 30/03/2016)</v>
      </c>
    </row>
    <row r="105" spans="1:29" x14ac:dyDescent="0.2">
      <c r="A105" s="57">
        <v>9</v>
      </c>
      <c r="B105" s="58" t="s">
        <v>60</v>
      </c>
      <c r="C105" s="57">
        <v>276</v>
      </c>
      <c r="D105" s="58" t="s">
        <v>403</v>
      </c>
      <c r="E105" s="59">
        <v>42597</v>
      </c>
      <c r="F105" s="58"/>
      <c r="G105" s="57">
        <v>505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t="shared" si="1"/>
        <v>Mr Peter Grant (15/08/2016 - present)</v>
      </c>
    </row>
    <row r="106" spans="1:29" x14ac:dyDescent="0.2">
      <c r="A106" s="57">
        <v>9</v>
      </c>
      <c r="B106" s="58" t="s">
        <v>60</v>
      </c>
      <c r="C106" s="57">
        <v>201</v>
      </c>
      <c r="D106" s="58" t="s">
        <v>320</v>
      </c>
      <c r="E106" s="59">
        <v>40695</v>
      </c>
      <c r="F106" s="59">
        <v>42460</v>
      </c>
      <c r="G106" s="57">
        <v>495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t="shared" si="1"/>
        <v>Mr I Squires (01/06/2011 - 31/03/2016)</v>
      </c>
    </row>
    <row r="107" spans="1:29" x14ac:dyDescent="0.2">
      <c r="A107" s="57">
        <v>9</v>
      </c>
      <c r="B107" s="58" t="s">
        <v>60</v>
      </c>
      <c r="C107" s="57">
        <v>100</v>
      </c>
      <c r="D107" s="58" t="s">
        <v>98</v>
      </c>
      <c r="E107" s="59">
        <v>39162</v>
      </c>
      <c r="F107" s="59">
        <v>40654</v>
      </c>
      <c r="G107" s="57">
        <v>500</v>
      </c>
      <c r="H107" s="58" t="s">
        <v>29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t="shared" si="1"/>
        <v>Legg &amp; Thomas (21/03/2007 - 21/04/2011)</v>
      </c>
    </row>
    <row r="108" spans="1:29" x14ac:dyDescent="0.2">
      <c r="A108" s="57">
        <v>9</v>
      </c>
      <c r="B108" s="58" t="s">
        <v>60</v>
      </c>
      <c r="C108" s="57">
        <v>54</v>
      </c>
      <c r="D108" s="58" t="s">
        <v>9</v>
      </c>
      <c r="E108" s="59">
        <v>38887</v>
      </c>
      <c r="F108" s="59">
        <v>39103</v>
      </c>
      <c r="G108" s="57">
        <v>424.64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t="shared" si="1"/>
        <v>Williams (19/06/2006 - 21/01/2007)</v>
      </c>
    </row>
    <row r="109" spans="1:29" x14ac:dyDescent="0.2">
      <c r="A109" s="57">
        <v>9</v>
      </c>
      <c r="B109" s="58" t="s">
        <v>60</v>
      </c>
      <c r="C109" s="57">
        <v>25</v>
      </c>
      <c r="D109" s="58" t="s">
        <v>46</v>
      </c>
      <c r="E109" s="59">
        <v>38467</v>
      </c>
      <c r="F109" s="59">
        <v>38852</v>
      </c>
      <c r="G109" s="57">
        <v>415.4</v>
      </c>
      <c r="H109" s="58" t="s">
        <v>28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t="shared" si="1"/>
        <v>Riley (25/04/2005 - 15/05/2006)</v>
      </c>
    </row>
    <row r="110" spans="1:29" x14ac:dyDescent="0.2">
      <c r="A110" s="57">
        <v>9</v>
      </c>
      <c r="B110" s="58" t="s">
        <v>60</v>
      </c>
      <c r="C110" s="57">
        <v>17</v>
      </c>
      <c r="D110" s="58" t="s">
        <v>47</v>
      </c>
      <c r="E110" s="59">
        <v>38191</v>
      </c>
      <c r="F110" s="59">
        <v>38440</v>
      </c>
      <c r="G110" s="57">
        <v>450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t="shared" si="1"/>
        <v>McAvery (23/07/2004 - 29/03/2005)</v>
      </c>
    </row>
    <row r="111" spans="1:29" x14ac:dyDescent="0.2">
      <c r="A111" s="57">
        <v>6</v>
      </c>
      <c r="B111" s="58" t="s">
        <v>58</v>
      </c>
      <c r="C111" s="57">
        <v>244</v>
      </c>
      <c r="D111" s="58" t="s">
        <v>374</v>
      </c>
      <c r="E111" s="59">
        <v>41740</v>
      </c>
      <c r="F111" s="58"/>
      <c r="G111" s="57">
        <v>500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AB111" t="str">
        <f t="shared" si="1"/>
        <v>Lee Knowles (11/04/2014 - present)</v>
      </c>
    </row>
    <row r="112" spans="1:29" s="52" customFormat="1" x14ac:dyDescent="0.2">
      <c r="A112" s="57">
        <v>6</v>
      </c>
      <c r="B112" s="58" t="s">
        <v>58</v>
      </c>
      <c r="C112" s="57">
        <v>200</v>
      </c>
      <c r="D112" s="58" t="s">
        <v>319</v>
      </c>
      <c r="E112" s="59">
        <v>40674</v>
      </c>
      <c r="F112" s="59">
        <v>41698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Britten (11/05/2011 - 28/02/2014)</v>
      </c>
      <c r="AC112"/>
    </row>
    <row r="113" spans="1:29" x14ac:dyDescent="0.2">
      <c r="A113" s="57">
        <v>6</v>
      </c>
      <c r="B113" s="58" t="s">
        <v>58</v>
      </c>
      <c r="C113" s="57">
        <v>112</v>
      </c>
      <c r="D113" s="58" t="s">
        <v>194</v>
      </c>
      <c r="E113" s="59">
        <v>39349</v>
      </c>
      <c r="F113" s="59">
        <v>40653</v>
      </c>
      <c r="G113" s="57">
        <v>450</v>
      </c>
      <c r="H113" s="58" t="s">
        <v>29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t="shared" si="1"/>
        <v>Couldwell (24/09/2007 - 20/04/2011)</v>
      </c>
    </row>
    <row r="114" spans="1:29" x14ac:dyDescent="0.2">
      <c r="A114" s="57">
        <v>6</v>
      </c>
      <c r="B114" s="58" t="s">
        <v>58</v>
      </c>
      <c r="C114" s="57">
        <v>21</v>
      </c>
      <c r="D114" s="58" t="s">
        <v>11</v>
      </c>
      <c r="E114" s="59">
        <v>38285</v>
      </c>
      <c r="F114" s="59">
        <v>39314</v>
      </c>
      <c r="G114" s="57">
        <v>378.48</v>
      </c>
      <c r="H114" s="58" t="s">
        <v>28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t="shared" si="1"/>
        <v>Barter (25/10/2004 - 20/08/2007)</v>
      </c>
    </row>
    <row r="115" spans="1:29" x14ac:dyDescent="0.2">
      <c r="A115" s="57">
        <v>6</v>
      </c>
      <c r="B115" s="58" t="s">
        <v>58</v>
      </c>
      <c r="C115" s="57">
        <v>13</v>
      </c>
      <c r="D115" s="58" t="s">
        <v>45</v>
      </c>
      <c r="E115" s="59">
        <v>37829</v>
      </c>
      <c r="F115" s="59">
        <v>38549</v>
      </c>
      <c r="G115" s="57">
        <v>410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t="shared" si="1"/>
        <v>Woodward (27/07/2003 - 16/07/2005)</v>
      </c>
    </row>
    <row r="116" spans="1:29" x14ac:dyDescent="0.2">
      <c r="A116" s="57">
        <v>74</v>
      </c>
      <c r="B116" s="58" t="s">
        <v>187</v>
      </c>
      <c r="C116" s="57">
        <v>252</v>
      </c>
      <c r="D116" s="58" t="s">
        <v>371</v>
      </c>
      <c r="E116" s="59">
        <v>42096</v>
      </c>
      <c r="F116" s="58"/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t="shared" si="1"/>
        <v>Mr Pedace (02/04/2015 - present)</v>
      </c>
    </row>
    <row r="117" spans="1:29" x14ac:dyDescent="0.2">
      <c r="A117" s="57">
        <v>74</v>
      </c>
      <c r="B117" s="58" t="s">
        <v>187</v>
      </c>
      <c r="C117" s="57">
        <v>251</v>
      </c>
      <c r="D117" s="58" t="s">
        <v>367</v>
      </c>
      <c r="E117" s="59">
        <v>41901</v>
      </c>
      <c r="F117" s="59">
        <v>42082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t="shared" si="1"/>
        <v>Mr Milligan (19/09/2014 - 19/03/2015)</v>
      </c>
    </row>
    <row r="118" spans="1:29" x14ac:dyDescent="0.2">
      <c r="A118" s="57">
        <v>74</v>
      </c>
      <c r="B118" s="58" t="s">
        <v>187</v>
      </c>
      <c r="C118" s="57">
        <v>219</v>
      </c>
      <c r="D118" s="58" t="s">
        <v>338</v>
      </c>
      <c r="E118" s="59">
        <v>41227</v>
      </c>
      <c r="F118" s="59">
        <v>41851</v>
      </c>
      <c r="G118" s="57">
        <v>500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t="shared" si="1"/>
        <v>D Williams (14/11/2012 - 31/07/2014)</v>
      </c>
    </row>
    <row r="119" spans="1:29" x14ac:dyDescent="0.2">
      <c r="A119" s="57">
        <v>74</v>
      </c>
      <c r="B119" s="58" t="s">
        <v>187</v>
      </c>
      <c r="C119" s="57">
        <v>106</v>
      </c>
      <c r="D119" s="58" t="s">
        <v>291</v>
      </c>
      <c r="E119" s="59">
        <v>39248</v>
      </c>
      <c r="F119" s="59">
        <v>41197</v>
      </c>
      <c r="G119" s="57">
        <v>525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t="shared" si="1"/>
        <v>K. Hughes/D. Corbin (15/06/2007 - 15/10/2012)</v>
      </c>
    </row>
    <row r="120" spans="1:29" x14ac:dyDescent="0.2">
      <c r="A120" s="57">
        <v>14</v>
      </c>
      <c r="B120" s="58" t="s">
        <v>54</v>
      </c>
      <c r="C120" s="57">
        <v>192</v>
      </c>
      <c r="D120" s="58" t="s">
        <v>311</v>
      </c>
      <c r="E120" s="59">
        <v>40485</v>
      </c>
      <c r="F120" s="58"/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t="shared" si="1"/>
        <v>N Wright (03/11/2010 - present)</v>
      </c>
    </row>
    <row r="121" spans="1:29" x14ac:dyDescent="0.2">
      <c r="A121" s="57">
        <v>14</v>
      </c>
      <c r="B121" s="58" t="s">
        <v>54</v>
      </c>
      <c r="C121" s="57">
        <v>190</v>
      </c>
      <c r="D121" s="58" t="s">
        <v>299</v>
      </c>
      <c r="E121" s="59">
        <v>40452</v>
      </c>
      <c r="F121" s="59">
        <v>40482</v>
      </c>
      <c r="G121" s="57">
        <v>500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t="shared" si="1"/>
        <v>TBD (01/10/2010 - 31/10/2010)</v>
      </c>
    </row>
    <row r="122" spans="1:29" x14ac:dyDescent="0.2">
      <c r="A122" s="57">
        <v>14</v>
      </c>
      <c r="B122" s="58" t="s">
        <v>54</v>
      </c>
      <c r="C122" s="57">
        <v>27</v>
      </c>
      <c r="D122" s="58" t="s">
        <v>38</v>
      </c>
      <c r="E122" s="59">
        <v>38561</v>
      </c>
      <c r="F122" s="59">
        <v>40349</v>
      </c>
      <c r="G122" s="57">
        <v>424.62</v>
      </c>
      <c r="H122" s="58" t="s">
        <v>28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t="shared" si="1"/>
        <v>Lynch (28/07/2005 - 20/06/2010)</v>
      </c>
    </row>
    <row r="123" spans="1:29" x14ac:dyDescent="0.2">
      <c r="A123" s="57">
        <v>14</v>
      </c>
      <c r="B123" s="58" t="s">
        <v>54</v>
      </c>
      <c r="C123" s="57">
        <v>22</v>
      </c>
      <c r="D123" s="58" t="s">
        <v>43</v>
      </c>
      <c r="E123" s="59">
        <v>38310</v>
      </c>
      <c r="F123" s="59">
        <v>38536</v>
      </c>
      <c r="G123" s="57">
        <v>380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t="shared" si="1"/>
        <v>Hatfield (19/11/2004 - 03/07/2005)</v>
      </c>
    </row>
    <row r="124" spans="1:29" x14ac:dyDescent="0.2">
      <c r="A124" s="57">
        <v>25</v>
      </c>
      <c r="B124" s="58" t="s">
        <v>228</v>
      </c>
      <c r="C124" s="57">
        <v>264</v>
      </c>
      <c r="D124" s="58" t="s">
        <v>381</v>
      </c>
      <c r="E124" s="59">
        <v>42263</v>
      </c>
      <c r="F124" s="58"/>
      <c r="G124" s="57">
        <v>600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AB124" t="str">
        <f t="shared" si="1"/>
        <v>Ms Baziukiene (16/09/2015 - present)</v>
      </c>
    </row>
    <row r="125" spans="1:29" s="52" customFormat="1" x14ac:dyDescent="0.2">
      <c r="A125" s="57">
        <v>25</v>
      </c>
      <c r="B125" s="58" t="s">
        <v>228</v>
      </c>
      <c r="C125" s="57">
        <v>220</v>
      </c>
      <c r="D125" s="58" t="s">
        <v>339</v>
      </c>
      <c r="E125" s="59">
        <v>41264</v>
      </c>
      <c r="F125" s="59">
        <v>42237</v>
      </c>
      <c r="G125" s="57">
        <v>560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L Wilcox (21/12/2012 - 21/08/2015)</v>
      </c>
      <c r="AC125"/>
    </row>
    <row r="126" spans="1:29" x14ac:dyDescent="0.2">
      <c r="A126" s="57">
        <v>25</v>
      </c>
      <c r="B126" s="58" t="s">
        <v>228</v>
      </c>
      <c r="C126" s="57">
        <v>210</v>
      </c>
      <c r="D126" s="58" t="s">
        <v>328</v>
      </c>
      <c r="E126" s="59">
        <v>40914</v>
      </c>
      <c r="F126" s="59">
        <v>41198</v>
      </c>
      <c r="G126" s="57">
        <v>595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t="shared" si="1"/>
        <v>C.Stringer (06/01/2012 - 16/10/2012)</v>
      </c>
    </row>
    <row r="127" spans="1:29" x14ac:dyDescent="0.2">
      <c r="A127" s="57">
        <v>25</v>
      </c>
      <c r="B127" s="58" t="s">
        <v>228</v>
      </c>
      <c r="C127" s="57">
        <v>196</v>
      </c>
      <c r="D127" s="58" t="s">
        <v>315</v>
      </c>
      <c r="E127" s="59">
        <v>40490</v>
      </c>
      <c r="F127" s="59">
        <v>40855</v>
      </c>
      <c r="G127" s="57">
        <v>625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t="shared" si="1"/>
        <v>R Sharkey (08/11/2010 - 08/11/2011)</v>
      </c>
    </row>
    <row r="128" spans="1:29" x14ac:dyDescent="0.2">
      <c r="A128" s="57">
        <v>25</v>
      </c>
      <c r="B128" s="58" t="s">
        <v>228</v>
      </c>
      <c r="C128" s="57">
        <v>157</v>
      </c>
      <c r="D128" s="58" t="s">
        <v>274</v>
      </c>
      <c r="E128" s="59">
        <v>40058</v>
      </c>
      <c r="F128" s="59">
        <v>40482</v>
      </c>
      <c r="G128" s="57">
        <v>600</v>
      </c>
      <c r="H128" s="58" t="s">
        <v>29</v>
      </c>
      <c r="I128" s="58" t="s">
        <v>95</v>
      </c>
      <c r="J128" s="57">
        <v>10</v>
      </c>
      <c r="K128" s="58" t="s">
        <v>96</v>
      </c>
      <c r="L128" s="58" t="s">
        <v>97</v>
      </c>
      <c r="AB128" t="str">
        <f t="shared" si="1"/>
        <v>Hayley Whitcomb (02/09/2009 - 31/10/2010)</v>
      </c>
    </row>
    <row r="129" spans="1:29" x14ac:dyDescent="0.2">
      <c r="A129" s="57">
        <v>25</v>
      </c>
      <c r="B129" s="58" t="s">
        <v>228</v>
      </c>
      <c r="C129" s="57">
        <v>142</v>
      </c>
      <c r="D129" s="58" t="s">
        <v>261</v>
      </c>
      <c r="E129" s="59">
        <v>39724</v>
      </c>
      <c r="F129" s="59">
        <v>39967</v>
      </c>
      <c r="G129" s="57">
        <v>560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t="shared" si="1"/>
        <v>Afsheen Alizadeh (03/10/2008 - 03/06/2009)</v>
      </c>
    </row>
    <row r="130" spans="1:29" x14ac:dyDescent="0.2">
      <c r="A130" s="57">
        <v>25</v>
      </c>
      <c r="B130" s="58" t="s">
        <v>228</v>
      </c>
      <c r="C130" s="57">
        <v>124</v>
      </c>
      <c r="D130" s="58" t="s">
        <v>238</v>
      </c>
      <c r="E130" s="59">
        <v>39539</v>
      </c>
      <c r="F130" s="59">
        <v>39721</v>
      </c>
      <c r="G130" s="57">
        <v>550</v>
      </c>
      <c r="H130" s="58" t="s">
        <v>29</v>
      </c>
      <c r="I130" s="58" t="s">
        <v>197</v>
      </c>
      <c r="J130" s="57">
        <v>0</v>
      </c>
      <c r="K130" s="58" t="s">
        <v>175</v>
      </c>
      <c r="L130" s="58" t="s">
        <v>101</v>
      </c>
      <c r="AB130" t="str">
        <f t="shared" si="1"/>
        <v>Aydin Barus (01/04/2008 - 30/09/2008)</v>
      </c>
    </row>
    <row r="131" spans="1:29" x14ac:dyDescent="0.2">
      <c r="A131" s="57">
        <v>28</v>
      </c>
      <c r="B131" s="58" t="s">
        <v>107</v>
      </c>
      <c r="C131" s="57">
        <v>271</v>
      </c>
      <c r="D131" s="58" t="s">
        <v>392</v>
      </c>
      <c r="E131" s="59">
        <v>42459</v>
      </c>
      <c r="F131" s="58"/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t="shared" ref="AB131:AB194" si="2">IF(E131&lt;&gt;"",IF(F131="",D131&amp;" ("&amp;TEXT(E131,"dd/mm/yyyy")&amp;" - present)",D131&amp;" ("&amp;TEXT(E131,"dd/mm/yyyy")&amp;" - "&amp;TEXT(F131,"dd/mm/yyyy")&amp;")"),"")</f>
        <v>Mr Prior (30/03/2016 - present)</v>
      </c>
      <c r="AC131" s="52"/>
    </row>
    <row r="132" spans="1:29" x14ac:dyDescent="0.2">
      <c r="A132" s="57">
        <v>28</v>
      </c>
      <c r="B132" s="58" t="s">
        <v>107</v>
      </c>
      <c r="C132" s="57">
        <v>266</v>
      </c>
      <c r="D132" s="58" t="s">
        <v>384</v>
      </c>
      <c r="E132" s="59">
        <v>42360</v>
      </c>
      <c r="F132" s="59">
        <v>42458</v>
      </c>
      <c r="G132" s="57">
        <v>520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t="shared" si="2"/>
        <v>Ms Jane Marriage (22/12/2015 - 29/03/2016)</v>
      </c>
    </row>
    <row r="133" spans="1:29" x14ac:dyDescent="0.2">
      <c r="A133" s="57">
        <v>28</v>
      </c>
      <c r="B133" s="58" t="s">
        <v>107</v>
      </c>
      <c r="C133" s="57">
        <v>253</v>
      </c>
      <c r="D133" s="58" t="s">
        <v>370</v>
      </c>
      <c r="E133" s="59">
        <v>41969</v>
      </c>
      <c r="F133" s="59">
        <v>42303</v>
      </c>
      <c r="G133" s="57">
        <v>525</v>
      </c>
      <c r="H133" s="58" t="s">
        <v>29</v>
      </c>
      <c r="I133" s="58" t="s">
        <v>95</v>
      </c>
      <c r="J133" s="57">
        <v>10</v>
      </c>
      <c r="K133" s="58" t="s">
        <v>96</v>
      </c>
      <c r="L133" s="58" t="s">
        <v>97</v>
      </c>
      <c r="AB133" t="str">
        <f t="shared" si="2"/>
        <v>G Smith (26/11/2014 - 26/10/2015)</v>
      </c>
    </row>
    <row r="134" spans="1:29" x14ac:dyDescent="0.2">
      <c r="A134" s="57">
        <v>28</v>
      </c>
      <c r="B134" s="58" t="s">
        <v>107</v>
      </c>
      <c r="C134" s="57">
        <v>223</v>
      </c>
      <c r="D134" s="58" t="s">
        <v>343</v>
      </c>
      <c r="E134" s="59">
        <v>41365</v>
      </c>
      <c r="F134" s="59">
        <v>41943</v>
      </c>
      <c r="G134" s="57">
        <v>495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tr">
        <f t="shared" si="2"/>
        <v>Patricia McCardle (01/04/2013 - 31/10/2014)</v>
      </c>
    </row>
    <row r="135" spans="1:29" x14ac:dyDescent="0.2">
      <c r="A135" s="57">
        <v>28</v>
      </c>
      <c r="B135" s="58" t="s">
        <v>107</v>
      </c>
      <c r="C135" s="57">
        <v>212</v>
      </c>
      <c r="D135" s="58" t="s">
        <v>329</v>
      </c>
      <c r="E135" s="59">
        <v>40855</v>
      </c>
      <c r="F135" s="59">
        <v>41327</v>
      </c>
      <c r="G135" s="57">
        <v>475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t="shared" si="2"/>
        <v>Tom Jones (08/11/2011 - 22/02/2013)</v>
      </c>
      <c r="AC135" s="52"/>
    </row>
    <row r="136" spans="1:29" x14ac:dyDescent="0.2">
      <c r="A136" s="57">
        <v>28</v>
      </c>
      <c r="B136" s="58" t="s">
        <v>107</v>
      </c>
      <c r="C136" s="57">
        <v>65</v>
      </c>
      <c r="D136" s="58" t="s">
        <v>229</v>
      </c>
      <c r="E136" s="59">
        <v>38863</v>
      </c>
      <c r="F136" s="59">
        <v>40848</v>
      </c>
      <c r="G136" s="57">
        <v>400</v>
      </c>
      <c r="H136" s="58" t="s">
        <v>29</v>
      </c>
      <c r="I136" s="58" t="s">
        <v>197</v>
      </c>
      <c r="J136" s="57">
        <v>0</v>
      </c>
      <c r="K136" s="58" t="s">
        <v>175</v>
      </c>
      <c r="L136" s="58" t="s">
        <v>101</v>
      </c>
      <c r="AB136" t="str">
        <f t="shared" si="2"/>
        <v>Mrs Lynne Hedley (26/05/2006 - 01/11/2011)</v>
      </c>
    </row>
    <row r="137" spans="1:29" x14ac:dyDescent="0.2">
      <c r="A137" s="57">
        <v>28</v>
      </c>
      <c r="B137" s="58" t="s">
        <v>107</v>
      </c>
      <c r="C137" s="57">
        <v>30</v>
      </c>
      <c r="D137" s="58" t="s">
        <v>108</v>
      </c>
      <c r="E137" s="59">
        <v>38583</v>
      </c>
      <c r="F137" s="59">
        <v>38825</v>
      </c>
      <c r="G137" s="57">
        <v>450</v>
      </c>
      <c r="H137" s="58" t="s">
        <v>29</v>
      </c>
      <c r="I137" s="58" t="s">
        <v>104</v>
      </c>
      <c r="J137" s="57">
        <v>10</v>
      </c>
      <c r="K137" s="58" t="s">
        <v>96</v>
      </c>
      <c r="L137" s="58" t="s">
        <v>97</v>
      </c>
      <c r="AB137" t="str">
        <f t="shared" si="2"/>
        <v>J Tidball (19/08/2005 - 18/04/2006)</v>
      </c>
    </row>
    <row r="138" spans="1:29" x14ac:dyDescent="0.2">
      <c r="A138" s="57">
        <v>23</v>
      </c>
      <c r="B138" s="58" t="s">
        <v>67</v>
      </c>
      <c r="C138" s="57">
        <v>254</v>
      </c>
      <c r="D138" s="58" t="s">
        <v>364</v>
      </c>
      <c r="E138" s="59">
        <v>41794</v>
      </c>
      <c r="F138" s="58"/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t="shared" si="2"/>
        <v>Ms Sally Taylor (04/06/2014 - present)</v>
      </c>
    </row>
    <row r="139" spans="1:29" x14ac:dyDescent="0.2">
      <c r="A139" s="57">
        <v>23</v>
      </c>
      <c r="B139" s="58" t="s">
        <v>67</v>
      </c>
      <c r="C139" s="57">
        <v>228</v>
      </c>
      <c r="D139" s="58" t="s">
        <v>348</v>
      </c>
      <c r="E139" s="59">
        <v>41376</v>
      </c>
      <c r="F139" s="59">
        <v>41790</v>
      </c>
      <c r="G139" s="57">
        <v>500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t="shared" si="2"/>
        <v>Mr Lamour (12/04/2013 - 31/05/2014)</v>
      </c>
    </row>
    <row r="140" spans="1:29" x14ac:dyDescent="0.2">
      <c r="A140" s="57">
        <v>23</v>
      </c>
      <c r="B140" s="58" t="s">
        <v>67</v>
      </c>
      <c r="C140" s="57">
        <v>213</v>
      </c>
      <c r="D140" s="58" t="s">
        <v>331</v>
      </c>
      <c r="E140" s="59">
        <v>40975</v>
      </c>
      <c r="F140" s="59">
        <v>41364</v>
      </c>
      <c r="G140" s="57">
        <v>510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t="shared" si="2"/>
        <v>J Reason (07/03/2012 - 31/03/2013)</v>
      </c>
    </row>
    <row r="141" spans="1:29" x14ac:dyDescent="0.2">
      <c r="A141" s="57">
        <v>23</v>
      </c>
      <c r="B141" s="58" t="s">
        <v>67</v>
      </c>
      <c r="C141" s="57">
        <v>161</v>
      </c>
      <c r="D141" s="58" t="s">
        <v>280</v>
      </c>
      <c r="E141" s="59">
        <v>40114</v>
      </c>
      <c r="F141" s="59">
        <v>40967</v>
      </c>
      <c r="G141" s="57">
        <v>500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t="shared" si="2"/>
        <v>Davy Lyons (28/10/2009 - 28/02/2012)</v>
      </c>
    </row>
    <row r="142" spans="1:29" x14ac:dyDescent="0.2">
      <c r="A142" s="57">
        <v>23</v>
      </c>
      <c r="B142" s="58" t="s">
        <v>67</v>
      </c>
      <c r="C142" s="57">
        <v>95</v>
      </c>
      <c r="D142" s="58" t="s">
        <v>87</v>
      </c>
      <c r="E142" s="59">
        <v>39132</v>
      </c>
      <c r="F142" s="59">
        <v>40086</v>
      </c>
      <c r="G142" s="57">
        <v>600</v>
      </c>
      <c r="H142" s="58" t="s">
        <v>29</v>
      </c>
      <c r="I142" s="58" t="s">
        <v>95</v>
      </c>
      <c r="J142" s="57">
        <v>10</v>
      </c>
      <c r="K142" s="58" t="s">
        <v>96</v>
      </c>
      <c r="L142" s="58" t="s">
        <v>97</v>
      </c>
      <c r="AB142" t="str">
        <f t="shared" si="2"/>
        <v>Leggett &amp; Crawford (19/02/2007 - 30/09/2009)</v>
      </c>
    </row>
    <row r="143" spans="1:29" x14ac:dyDescent="0.2">
      <c r="A143" s="57">
        <v>23</v>
      </c>
      <c r="B143" s="58" t="s">
        <v>67</v>
      </c>
      <c r="C143" s="57">
        <v>48</v>
      </c>
      <c r="D143" s="58" t="s">
        <v>51</v>
      </c>
      <c r="E143" s="59">
        <v>38638</v>
      </c>
      <c r="F143" s="59">
        <v>39010</v>
      </c>
      <c r="G143" s="57">
        <v>530</v>
      </c>
      <c r="H143" s="58" t="s">
        <v>29</v>
      </c>
      <c r="I143" s="58" t="s">
        <v>104</v>
      </c>
      <c r="J143" s="57">
        <v>10</v>
      </c>
      <c r="K143" s="58" t="s">
        <v>96</v>
      </c>
      <c r="L143" s="58" t="s">
        <v>97</v>
      </c>
      <c r="AA143" s="2"/>
      <c r="AB143" t="str">
        <f t="shared" si="2"/>
        <v>Li (13/10/2005 - 20/10/2006)</v>
      </c>
    </row>
    <row r="144" spans="1:29" x14ac:dyDescent="0.2">
      <c r="A144" s="57">
        <v>27</v>
      </c>
      <c r="B144" s="58" t="s">
        <v>109</v>
      </c>
      <c r="C144" s="57">
        <v>238</v>
      </c>
      <c r="D144" s="58" t="s">
        <v>355</v>
      </c>
      <c r="E144" s="59">
        <v>41527</v>
      </c>
      <c r="F144" s="58"/>
      <c r="G144" s="57">
        <v>600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t="shared" si="2"/>
        <v>Ms S Ryan (10/09/2013 - present)</v>
      </c>
    </row>
    <row r="145" spans="1:29" x14ac:dyDescent="0.2">
      <c r="A145" s="57">
        <v>27</v>
      </c>
      <c r="B145" s="58" t="s">
        <v>109</v>
      </c>
      <c r="C145" s="57">
        <v>197</v>
      </c>
      <c r="D145" s="58" t="s">
        <v>316</v>
      </c>
      <c r="E145" s="59">
        <v>40525</v>
      </c>
      <c r="F145" s="59">
        <v>41499</v>
      </c>
      <c r="G145" s="57">
        <v>580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t="shared" si="2"/>
        <v>G Makoselo (13/12/2010 - 13/08/2013)</v>
      </c>
    </row>
    <row r="146" spans="1:29" x14ac:dyDescent="0.2">
      <c r="A146" s="57">
        <v>27</v>
      </c>
      <c r="B146" s="58" t="s">
        <v>109</v>
      </c>
      <c r="C146" s="57">
        <v>162</v>
      </c>
      <c r="D146" s="58" t="s">
        <v>281</v>
      </c>
      <c r="E146" s="59">
        <v>40107</v>
      </c>
      <c r="F146" s="59">
        <v>40482</v>
      </c>
      <c r="G146" s="57">
        <v>625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t="shared" si="2"/>
        <v>Tim Blanton &amp; Greg Sotheran (21/10/2009 - 31/10/2010)</v>
      </c>
    </row>
    <row r="147" spans="1:29" x14ac:dyDescent="0.2">
      <c r="A147" s="57">
        <v>27</v>
      </c>
      <c r="B147" s="58" t="s">
        <v>109</v>
      </c>
      <c r="C147" s="57">
        <v>158</v>
      </c>
      <c r="D147" s="58" t="s">
        <v>275</v>
      </c>
      <c r="E147" s="59">
        <v>40050</v>
      </c>
      <c r="F147" s="59">
        <v>40086</v>
      </c>
      <c r="G147" s="57">
        <v>560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t="shared" si="2"/>
        <v>Susan Taylor (25/08/2009 - 30/09/2009)</v>
      </c>
    </row>
    <row r="148" spans="1:29" x14ac:dyDescent="0.2">
      <c r="A148" s="57">
        <v>27</v>
      </c>
      <c r="B148" s="58" t="s">
        <v>109</v>
      </c>
      <c r="C148" s="57">
        <v>116</v>
      </c>
      <c r="D148" s="58" t="s">
        <v>200</v>
      </c>
      <c r="E148" s="59">
        <v>39423</v>
      </c>
      <c r="F148" s="59">
        <v>39994</v>
      </c>
      <c r="G148" s="57">
        <v>580</v>
      </c>
      <c r="H148" s="58" t="s">
        <v>29</v>
      </c>
      <c r="I148" s="58" t="s">
        <v>95</v>
      </c>
      <c r="J148" s="57">
        <v>10</v>
      </c>
      <c r="K148" s="58" t="s">
        <v>96</v>
      </c>
      <c r="L148" s="58" t="s">
        <v>97</v>
      </c>
      <c r="AB148" t="str">
        <f t="shared" si="2"/>
        <v>Wiggins &amp; Jones (07/12/2007 - 30/06/2009)</v>
      </c>
    </row>
    <row r="149" spans="1:29" x14ac:dyDescent="0.2">
      <c r="A149" s="57">
        <v>27</v>
      </c>
      <c r="B149" s="58" t="s">
        <v>109</v>
      </c>
      <c r="C149" s="57">
        <v>37</v>
      </c>
      <c r="D149" s="58" t="s">
        <v>110</v>
      </c>
      <c r="E149" s="59">
        <v>38540</v>
      </c>
      <c r="F149" s="59">
        <v>39362</v>
      </c>
      <c r="G149" s="57">
        <v>575</v>
      </c>
      <c r="H149" s="58" t="s">
        <v>29</v>
      </c>
      <c r="I149" s="58" t="s">
        <v>104</v>
      </c>
      <c r="J149" s="57">
        <v>10</v>
      </c>
      <c r="K149" s="58" t="s">
        <v>96</v>
      </c>
      <c r="L149" s="58" t="s">
        <v>97</v>
      </c>
      <c r="AA149" s="2"/>
      <c r="AB149" t="str">
        <f t="shared" si="2"/>
        <v xml:space="preserve"> Matthews (07/07/2005 - 07/10/2007)</v>
      </c>
    </row>
    <row r="150" spans="1:29" x14ac:dyDescent="0.2">
      <c r="A150" s="57">
        <v>46</v>
      </c>
      <c r="B150" s="58" t="s">
        <v>68</v>
      </c>
      <c r="C150" s="57">
        <v>275</v>
      </c>
      <c r="D150" s="58" t="s">
        <v>394</v>
      </c>
      <c r="E150" s="59">
        <v>42559</v>
      </c>
      <c r="F150" s="58"/>
      <c r="G150" s="57">
        <v>505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t="shared" si="2"/>
        <v>Mr Tudor (08/07/2016 - present)</v>
      </c>
    </row>
    <row r="151" spans="1:29" x14ac:dyDescent="0.2">
      <c r="A151" s="57">
        <v>46</v>
      </c>
      <c r="B151" s="58" t="s">
        <v>68</v>
      </c>
      <c r="C151" s="57">
        <v>138</v>
      </c>
      <c r="D151" s="58" t="s">
        <v>159</v>
      </c>
      <c r="E151" s="59">
        <v>39654</v>
      </c>
      <c r="F151" s="59">
        <v>42459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t="shared" si="2"/>
        <v>Jones (25/07/2008 - 30/03/2016)</v>
      </c>
    </row>
    <row r="152" spans="1:29" x14ac:dyDescent="0.2">
      <c r="A152" s="57">
        <v>46</v>
      </c>
      <c r="B152" s="58" t="s">
        <v>68</v>
      </c>
      <c r="C152" s="57">
        <v>137</v>
      </c>
      <c r="D152" s="58" t="s">
        <v>256</v>
      </c>
      <c r="E152" s="59">
        <v>39588</v>
      </c>
      <c r="F152" s="59">
        <v>39638</v>
      </c>
      <c r="G152" s="57">
        <v>480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AB152" t="str">
        <f t="shared" si="2"/>
        <v>James (20/05/2008 - 09/07/2008)</v>
      </c>
    </row>
    <row r="153" spans="1:29" x14ac:dyDescent="0.2">
      <c r="A153" s="57">
        <v>46</v>
      </c>
      <c r="B153" s="58" t="s">
        <v>68</v>
      </c>
      <c r="C153" s="57">
        <v>87</v>
      </c>
      <c r="D153" s="58" t="s">
        <v>16</v>
      </c>
      <c r="E153" s="59">
        <v>38971</v>
      </c>
      <c r="F153" s="59">
        <v>39588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t="shared" si="2"/>
        <v>Mallinson (11/09/2006 - 20/05/2008)</v>
      </c>
      <c r="AC153" s="52"/>
    </row>
    <row r="154" spans="1:29" x14ac:dyDescent="0.2">
      <c r="A154" s="57">
        <v>46</v>
      </c>
      <c r="B154" s="58" t="s">
        <v>68</v>
      </c>
      <c r="C154" s="57">
        <v>69</v>
      </c>
      <c r="D154" s="58" t="s">
        <v>52</v>
      </c>
      <c r="E154" s="59">
        <v>38839</v>
      </c>
      <c r="F154" s="59">
        <v>38961</v>
      </c>
      <c r="G154" s="57">
        <v>460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A154" s="2"/>
      <c r="AB154" t="str">
        <f t="shared" si="2"/>
        <v>Henderson (02/05/2006 - 01/09/2006)</v>
      </c>
    </row>
    <row r="155" spans="1:29" x14ac:dyDescent="0.2">
      <c r="A155" s="57">
        <v>67</v>
      </c>
      <c r="B155" s="58" t="s">
        <v>112</v>
      </c>
      <c r="C155" s="57">
        <v>179</v>
      </c>
      <c r="D155" s="58" t="s">
        <v>298</v>
      </c>
      <c r="E155" s="59">
        <v>40350</v>
      </c>
      <c r="F155" s="58"/>
      <c r="G155" s="57">
        <v>500</v>
      </c>
      <c r="H155" s="58" t="s">
        <v>29</v>
      </c>
      <c r="I155" s="58" t="s">
        <v>95</v>
      </c>
      <c r="J155" s="57">
        <v>10</v>
      </c>
      <c r="K155" s="58" t="s">
        <v>96</v>
      </c>
      <c r="L155" s="58" t="s">
        <v>97</v>
      </c>
      <c r="AB155" t="str">
        <f t="shared" si="2"/>
        <v>C Stark (21/06/2010 - present)</v>
      </c>
    </row>
    <row r="156" spans="1:29" x14ac:dyDescent="0.2">
      <c r="A156" s="57">
        <v>67</v>
      </c>
      <c r="B156" s="58" t="s">
        <v>112</v>
      </c>
      <c r="C156" s="57">
        <v>114</v>
      </c>
      <c r="D156" s="58" t="s">
        <v>198</v>
      </c>
      <c r="E156" s="59">
        <v>39396</v>
      </c>
      <c r="F156" s="59">
        <v>40339</v>
      </c>
      <c r="G156" s="57">
        <v>425</v>
      </c>
      <c r="H156" s="58" t="s">
        <v>29</v>
      </c>
      <c r="I156" s="58" t="s">
        <v>197</v>
      </c>
      <c r="J156" s="57">
        <v>0</v>
      </c>
      <c r="K156" s="58" t="s">
        <v>175</v>
      </c>
      <c r="L156" s="58" t="s">
        <v>101</v>
      </c>
      <c r="AB156" t="str">
        <f t="shared" si="2"/>
        <v>Holly Reeves (10/11/2007 - 10/06/2010)</v>
      </c>
    </row>
    <row r="157" spans="1:29" x14ac:dyDescent="0.2">
      <c r="A157" s="57">
        <v>67</v>
      </c>
      <c r="B157" s="58" t="s">
        <v>112</v>
      </c>
      <c r="C157" s="57">
        <v>81</v>
      </c>
      <c r="D157" s="58" t="s">
        <v>113</v>
      </c>
      <c r="E157" s="59">
        <v>38485</v>
      </c>
      <c r="F157" s="59">
        <v>39355</v>
      </c>
      <c r="G157" s="57">
        <v>395</v>
      </c>
      <c r="H157" s="58" t="s">
        <v>29</v>
      </c>
      <c r="I157" s="58" t="s">
        <v>116</v>
      </c>
      <c r="J157" s="57">
        <v>10</v>
      </c>
      <c r="K157" s="58" t="s">
        <v>96</v>
      </c>
      <c r="L157" s="58" t="s">
        <v>97</v>
      </c>
      <c r="AB157" t="str">
        <f t="shared" si="2"/>
        <v>Moss (13/05/2005 - 30/09/2007)</v>
      </c>
    </row>
    <row r="158" spans="1:29" x14ac:dyDescent="0.2">
      <c r="A158" s="57">
        <v>10</v>
      </c>
      <c r="B158" s="58" t="s">
        <v>61</v>
      </c>
      <c r="C158" s="57">
        <v>176</v>
      </c>
      <c r="D158" s="58" t="s">
        <v>292</v>
      </c>
      <c r="E158" s="59">
        <v>40282</v>
      </c>
      <c r="F158" s="58"/>
      <c r="G158" s="57">
        <v>450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A158" s="2"/>
      <c r="AB158" t="str">
        <f t="shared" si="2"/>
        <v>Martin Brett (14/04/2010 - present)</v>
      </c>
    </row>
    <row r="159" spans="1:29" x14ac:dyDescent="0.2">
      <c r="A159" s="57">
        <v>10</v>
      </c>
      <c r="B159" s="58" t="s">
        <v>61</v>
      </c>
      <c r="C159" s="57">
        <v>170</v>
      </c>
      <c r="D159" s="58" t="s">
        <v>260</v>
      </c>
      <c r="E159" s="59">
        <v>40148</v>
      </c>
      <c r="F159" s="59">
        <v>40254</v>
      </c>
      <c r="G159" s="57">
        <v>460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t="shared" si="2"/>
        <v>Toombs (01/12/2009 - 17/03/2010)</v>
      </c>
    </row>
    <row r="160" spans="1:29" x14ac:dyDescent="0.2">
      <c r="A160" s="57">
        <v>10</v>
      </c>
      <c r="B160" s="58" t="s">
        <v>61</v>
      </c>
      <c r="C160" s="57">
        <v>111</v>
      </c>
      <c r="D160" s="58" t="s">
        <v>193</v>
      </c>
      <c r="E160" s="59">
        <v>39325</v>
      </c>
      <c r="F160" s="59">
        <v>40147</v>
      </c>
      <c r="G160" s="57">
        <v>450</v>
      </c>
      <c r="H160" s="58" t="s">
        <v>29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t="shared" si="2"/>
        <v>Scouarnec (31/08/2007 - 30/11/2009)</v>
      </c>
    </row>
    <row r="161" spans="1:28" x14ac:dyDescent="0.2">
      <c r="A161" s="57">
        <v>10</v>
      </c>
      <c r="B161" s="58" t="s">
        <v>61</v>
      </c>
      <c r="C161" s="57">
        <v>43</v>
      </c>
      <c r="D161" s="58" t="s">
        <v>10</v>
      </c>
      <c r="E161" s="59">
        <v>38394</v>
      </c>
      <c r="F161" s="59">
        <v>39314</v>
      </c>
      <c r="G161" s="57">
        <v>392.32</v>
      </c>
      <c r="H161" s="58" t="s">
        <v>28</v>
      </c>
      <c r="I161" s="58" t="s">
        <v>95</v>
      </c>
      <c r="J161" s="57">
        <v>10</v>
      </c>
      <c r="K161" s="58" t="s">
        <v>96</v>
      </c>
      <c r="L161" s="58" t="s">
        <v>97</v>
      </c>
      <c r="AB161" t="str">
        <f t="shared" si="2"/>
        <v>Hall (11/02/2005 - 20/08/2007)</v>
      </c>
    </row>
    <row r="162" spans="1:28" x14ac:dyDescent="0.2">
      <c r="A162" s="57">
        <v>10</v>
      </c>
      <c r="B162" s="58" t="s">
        <v>61</v>
      </c>
      <c r="C162" s="57">
        <v>18</v>
      </c>
      <c r="D162" s="58" t="s">
        <v>48</v>
      </c>
      <c r="E162" s="59">
        <v>38205</v>
      </c>
      <c r="F162" s="59">
        <v>38364</v>
      </c>
      <c r="G162" s="57">
        <v>400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A162" s="2"/>
      <c r="AB162" t="str">
        <f t="shared" si="2"/>
        <v>Bilham (06/08/2004 - 12/01/2005)</v>
      </c>
    </row>
    <row r="163" spans="1:28" x14ac:dyDescent="0.2">
      <c r="A163" s="57">
        <v>8</v>
      </c>
      <c r="B163" s="58" t="s">
        <v>59</v>
      </c>
      <c r="C163" s="57">
        <v>234</v>
      </c>
      <c r="D163" s="58" t="s">
        <v>346</v>
      </c>
      <c r="E163" s="59">
        <v>41409</v>
      </c>
      <c r="F163" s="58"/>
      <c r="G163" s="57">
        <v>500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t="shared" si="2"/>
        <v>Mr Robinson (15/05/2013 - present)</v>
      </c>
    </row>
    <row r="164" spans="1:28" x14ac:dyDescent="0.2">
      <c r="A164" s="57">
        <v>8</v>
      </c>
      <c r="B164" s="58" t="s">
        <v>59</v>
      </c>
      <c r="C164" s="57">
        <v>168</v>
      </c>
      <c r="D164" s="58" t="s">
        <v>283</v>
      </c>
      <c r="E164" s="59">
        <v>40235</v>
      </c>
      <c r="F164" s="59">
        <v>41359</v>
      </c>
      <c r="G164" s="57">
        <v>450</v>
      </c>
      <c r="H164" s="58" t="s">
        <v>29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t="shared" si="2"/>
        <v>Grant Philliben (26/02/2010 - 26/03/2013)</v>
      </c>
    </row>
    <row r="165" spans="1:28" x14ac:dyDescent="0.2">
      <c r="A165" s="57">
        <v>8</v>
      </c>
      <c r="B165" s="58" t="s">
        <v>59</v>
      </c>
      <c r="C165" s="57">
        <v>14</v>
      </c>
      <c r="D165" s="58" t="s">
        <v>12</v>
      </c>
      <c r="E165" s="59">
        <v>37829</v>
      </c>
      <c r="F165" s="59">
        <v>40203</v>
      </c>
      <c r="G165" s="57">
        <v>360</v>
      </c>
      <c r="H165" s="58" t="s">
        <v>28</v>
      </c>
      <c r="I165" s="58" t="s">
        <v>95</v>
      </c>
      <c r="J165" s="57">
        <v>10</v>
      </c>
      <c r="K165" s="58" t="s">
        <v>96</v>
      </c>
      <c r="L165" s="58" t="s">
        <v>97</v>
      </c>
      <c r="AB165" t="str">
        <f t="shared" si="2"/>
        <v>Carrick (27/07/2003 - 25/01/2010)</v>
      </c>
    </row>
    <row r="166" spans="1:28" x14ac:dyDescent="0.2">
      <c r="A166" s="57">
        <v>75</v>
      </c>
      <c r="B166" s="58" t="s">
        <v>188</v>
      </c>
      <c r="C166" s="57">
        <v>255</v>
      </c>
      <c r="D166" s="58" t="s">
        <v>362</v>
      </c>
      <c r="E166" s="59">
        <v>41799</v>
      </c>
      <c r="F166" s="58"/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A166" s="2"/>
      <c r="AB166" t="str">
        <f t="shared" si="2"/>
        <v>Mr N Olsen (09/06/2014 - present)</v>
      </c>
    </row>
    <row r="167" spans="1:28" x14ac:dyDescent="0.2">
      <c r="A167" s="57">
        <v>75</v>
      </c>
      <c r="B167" s="58" t="s">
        <v>188</v>
      </c>
      <c r="C167" s="57">
        <v>227</v>
      </c>
      <c r="D167" s="58" t="s">
        <v>346</v>
      </c>
      <c r="E167" s="59">
        <v>41409</v>
      </c>
      <c r="F167" s="59">
        <v>41409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B167" t="str">
        <f t="shared" si="2"/>
        <v>Mr Robinson (15/05/2013 - 15/05/2013)</v>
      </c>
    </row>
    <row r="168" spans="1:28" x14ac:dyDescent="0.2">
      <c r="A168" s="57">
        <v>75</v>
      </c>
      <c r="B168" s="58" t="s">
        <v>188</v>
      </c>
      <c r="C168" s="57">
        <v>241</v>
      </c>
      <c r="D168" s="58" t="s">
        <v>360</v>
      </c>
      <c r="E168" s="59">
        <v>41390</v>
      </c>
      <c r="F168" s="59">
        <v>41683</v>
      </c>
      <c r="G168" s="57">
        <v>500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A168" s="2"/>
      <c r="AB168" t="str">
        <f t="shared" si="2"/>
        <v>Anthony Heather (26/04/2013 - 13/02/2014)</v>
      </c>
    </row>
    <row r="169" spans="1:28" x14ac:dyDescent="0.2">
      <c r="A169" s="57">
        <v>75</v>
      </c>
      <c r="B169" s="58" t="s">
        <v>188</v>
      </c>
      <c r="C169" s="57">
        <v>108</v>
      </c>
      <c r="D169" s="58" t="s">
        <v>191</v>
      </c>
      <c r="E169" s="59">
        <v>39288</v>
      </c>
      <c r="F169" s="59">
        <v>41333</v>
      </c>
      <c r="G169" s="57">
        <v>530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t="shared" si="2"/>
        <v>Matthews &amp; Ward (25/07/2007 - 28/02/2013)</v>
      </c>
    </row>
    <row r="170" spans="1:28" x14ac:dyDescent="0.2">
      <c r="A170" s="57">
        <v>3</v>
      </c>
      <c r="B170" s="58" t="s">
        <v>55</v>
      </c>
      <c r="C170" s="57">
        <v>269</v>
      </c>
      <c r="D170" s="58" t="s">
        <v>387</v>
      </c>
      <c r="E170" s="59">
        <v>42493</v>
      </c>
      <c r="F170" s="58"/>
      <c r="G170" s="57">
        <v>600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t="shared" si="2"/>
        <v>Mr J Brown (03/05/2016 - present)</v>
      </c>
    </row>
    <row r="171" spans="1:28" x14ac:dyDescent="0.2">
      <c r="A171" s="57">
        <v>3</v>
      </c>
      <c r="B171" s="58" t="s">
        <v>55</v>
      </c>
      <c r="C171" s="57">
        <v>242</v>
      </c>
      <c r="D171" s="58" t="s">
        <v>359</v>
      </c>
      <c r="E171" s="59">
        <v>41655</v>
      </c>
      <c r="F171" s="59">
        <v>42465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t="shared" si="2"/>
        <v>Mr Barnett &amp; Ms Elvenny (16/01/2014 - 05/04/2016)</v>
      </c>
    </row>
    <row r="172" spans="1:28" x14ac:dyDescent="0.2">
      <c r="A172" s="57">
        <v>3</v>
      </c>
      <c r="B172" s="58" t="s">
        <v>55</v>
      </c>
      <c r="C172" s="57">
        <v>207</v>
      </c>
      <c r="D172" s="58" t="s">
        <v>326</v>
      </c>
      <c r="E172" s="59">
        <v>40839</v>
      </c>
      <c r="F172" s="59">
        <v>41578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t="shared" si="2"/>
        <v>S Briscoe (23/10/2011 - 31/10/2013)</v>
      </c>
    </row>
    <row r="173" spans="1:28" x14ac:dyDescent="0.2">
      <c r="A173" s="57">
        <v>3</v>
      </c>
      <c r="B173" s="58" t="s">
        <v>55</v>
      </c>
      <c r="C173" s="57">
        <v>188</v>
      </c>
      <c r="D173" s="58" t="s">
        <v>300</v>
      </c>
      <c r="E173" s="59">
        <v>40448</v>
      </c>
      <c r="F173" s="59">
        <v>40838</v>
      </c>
      <c r="G173" s="57">
        <v>550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t="shared" si="2"/>
        <v>Newing &amp; Thompson (27/09/2010 - 22/10/2011)</v>
      </c>
    </row>
    <row r="174" spans="1:28" x14ac:dyDescent="0.2">
      <c r="A174" s="57">
        <v>3</v>
      </c>
      <c r="B174" s="58" t="s">
        <v>55</v>
      </c>
      <c r="C174" s="57">
        <v>160</v>
      </c>
      <c r="D174" s="58" t="s">
        <v>278</v>
      </c>
      <c r="E174" s="59">
        <v>40120</v>
      </c>
      <c r="F174" s="59">
        <v>40300</v>
      </c>
      <c r="G174" s="57">
        <v>620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t="shared" si="2"/>
        <v>Kevin &amp; Charyn Carter (03/11/2009 - 02/05/2010)</v>
      </c>
    </row>
    <row r="175" spans="1:28" x14ac:dyDescent="0.2">
      <c r="A175" s="57">
        <v>3</v>
      </c>
      <c r="B175" s="58" t="s">
        <v>55</v>
      </c>
      <c r="C175" s="57">
        <v>152</v>
      </c>
      <c r="D175" s="58" t="s">
        <v>268</v>
      </c>
      <c r="E175" s="59">
        <v>39879</v>
      </c>
      <c r="F175" s="59">
        <v>40086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t="shared" si="2"/>
        <v>Saunders &amp; Lavery (07/03/2009 - 30/09/2009)</v>
      </c>
    </row>
    <row r="176" spans="1:28" x14ac:dyDescent="0.2">
      <c r="A176" s="57">
        <v>3</v>
      </c>
      <c r="B176" s="58" t="s">
        <v>55</v>
      </c>
      <c r="C176" s="57">
        <v>130</v>
      </c>
      <c r="D176" s="58" t="s">
        <v>236</v>
      </c>
      <c r="E176" s="59">
        <v>39535</v>
      </c>
      <c r="F176" s="59">
        <v>39849</v>
      </c>
      <c r="G176" s="57">
        <v>625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t="shared" si="2"/>
        <v>Williams &amp; Green (28/03/2008 - 05/02/2009)</v>
      </c>
    </row>
    <row r="177" spans="1:28" x14ac:dyDescent="0.2">
      <c r="A177" s="57">
        <v>3</v>
      </c>
      <c r="B177" s="58" t="s">
        <v>55</v>
      </c>
      <c r="C177" s="57">
        <v>93</v>
      </c>
      <c r="D177" s="58" t="s">
        <v>151</v>
      </c>
      <c r="E177" s="59">
        <v>39013</v>
      </c>
      <c r="F177" s="59">
        <v>39507</v>
      </c>
      <c r="G177" s="57">
        <v>575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t="shared" si="2"/>
        <v>Thompson (23/10/2006 - 29/02/2008)</v>
      </c>
    </row>
    <row r="178" spans="1:28" x14ac:dyDescent="0.2">
      <c r="A178" s="57">
        <v>3</v>
      </c>
      <c r="B178" s="58" t="s">
        <v>55</v>
      </c>
      <c r="C178" s="57">
        <v>56</v>
      </c>
      <c r="D178" s="58" t="s">
        <v>152</v>
      </c>
      <c r="E178" s="59">
        <v>38961</v>
      </c>
      <c r="F178" s="59">
        <v>39052</v>
      </c>
      <c r="G178" s="57">
        <v>625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t="shared" si="2"/>
        <v>Bowie  (01/09/2006 - 01/12/2006)</v>
      </c>
    </row>
    <row r="179" spans="1:28" x14ac:dyDescent="0.2">
      <c r="A179" s="57">
        <v>3</v>
      </c>
      <c r="B179" s="58" t="s">
        <v>55</v>
      </c>
      <c r="C179" s="57">
        <v>15</v>
      </c>
      <c r="D179" s="58" t="s">
        <v>153</v>
      </c>
      <c r="E179" s="59">
        <v>38229</v>
      </c>
      <c r="F179" s="59">
        <v>38929</v>
      </c>
      <c r="G179" s="57">
        <v>500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t="shared" si="2"/>
        <v>Fleming (30/08/2004 - 31/07/2006)</v>
      </c>
    </row>
    <row r="180" spans="1:28" x14ac:dyDescent="0.2">
      <c r="A180" s="57">
        <v>3</v>
      </c>
      <c r="B180" s="58" t="s">
        <v>55</v>
      </c>
      <c r="C180" s="57">
        <v>10</v>
      </c>
      <c r="D180" s="58" t="s">
        <v>42</v>
      </c>
      <c r="E180" s="59">
        <v>38002</v>
      </c>
      <c r="F180" s="59">
        <v>38152</v>
      </c>
      <c r="G180" s="57">
        <v>525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t="shared" si="2"/>
        <v>Laver (16/01/2004 - 14/06/2004)</v>
      </c>
    </row>
    <row r="181" spans="1:28" x14ac:dyDescent="0.2">
      <c r="A181" s="57">
        <v>3</v>
      </c>
      <c r="B181" s="58" t="s">
        <v>55</v>
      </c>
      <c r="C181" s="57">
        <v>8</v>
      </c>
      <c r="D181" s="58" t="s">
        <v>154</v>
      </c>
      <c r="E181" s="59">
        <v>37802</v>
      </c>
      <c r="F181" s="59">
        <v>37968</v>
      </c>
      <c r="G181" s="57">
        <v>500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t="shared" si="2"/>
        <v>Mpofu (30/06/2003 - 13/12/2003)</v>
      </c>
    </row>
    <row r="182" spans="1:28" x14ac:dyDescent="0.2">
      <c r="A182" s="57">
        <v>3</v>
      </c>
      <c r="B182" s="58" t="s">
        <v>55</v>
      </c>
      <c r="C182" s="57">
        <v>7</v>
      </c>
      <c r="D182" s="58" t="s">
        <v>155</v>
      </c>
      <c r="E182" s="59">
        <v>37670</v>
      </c>
      <c r="F182" s="59">
        <v>38547</v>
      </c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t="shared" si="2"/>
        <v>Glace (18/02/2003 - 14/07/2005)</v>
      </c>
    </row>
    <row r="183" spans="1:28" x14ac:dyDescent="0.2">
      <c r="A183" s="57">
        <v>52</v>
      </c>
      <c r="B183" s="58" t="s">
        <v>69</v>
      </c>
      <c r="C183" s="57">
        <v>267</v>
      </c>
      <c r="D183" s="58" t="s">
        <v>386</v>
      </c>
      <c r="E183" s="59">
        <v>42377</v>
      </c>
      <c r="F183" s="58"/>
      <c r="G183" s="57">
        <v>505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B183" t="str">
        <f t="shared" si="2"/>
        <v>Mr Hopkinson (08/01/2016 - present)</v>
      </c>
    </row>
    <row r="184" spans="1:28" x14ac:dyDescent="0.2">
      <c r="A184" s="57">
        <v>52</v>
      </c>
      <c r="B184" s="58" t="s">
        <v>69</v>
      </c>
      <c r="C184" s="57">
        <v>256</v>
      </c>
      <c r="D184" s="58" t="s">
        <v>365</v>
      </c>
      <c r="E184" s="59">
        <v>41824</v>
      </c>
      <c r="F184" s="59">
        <v>42338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A184" s="2"/>
      <c r="AB184" t="str">
        <f t="shared" si="2"/>
        <v>Mr D Cooper (04/07/2014 - 30/11/2015)</v>
      </c>
    </row>
    <row r="185" spans="1:28" x14ac:dyDescent="0.2">
      <c r="A185" s="57">
        <v>52</v>
      </c>
      <c r="B185" s="58" t="s">
        <v>69</v>
      </c>
      <c r="C185" s="57">
        <v>211</v>
      </c>
      <c r="D185" s="58" t="s">
        <v>330</v>
      </c>
      <c r="E185" s="59">
        <v>40871</v>
      </c>
      <c r="F185" s="59">
        <v>41814</v>
      </c>
      <c r="G185" s="57">
        <v>500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B185" t="str">
        <f t="shared" si="2"/>
        <v>A Drummond (24/11/2011 - 24/06/2014)</v>
      </c>
    </row>
    <row r="186" spans="1:28" x14ac:dyDescent="0.2">
      <c r="A186" s="57">
        <v>52</v>
      </c>
      <c r="B186" s="58" t="s">
        <v>69</v>
      </c>
      <c r="C186" s="57">
        <v>89</v>
      </c>
      <c r="D186" s="58" t="s">
        <v>156</v>
      </c>
      <c r="E186" s="59">
        <v>39101</v>
      </c>
      <c r="F186" s="59">
        <v>40866</v>
      </c>
      <c r="G186" s="57">
        <v>495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tr">
        <f t="shared" si="2"/>
        <v>Dunn (19/01/2007 - 19/11/2011)</v>
      </c>
    </row>
    <row r="187" spans="1:28" x14ac:dyDescent="0.2">
      <c r="A187" s="57">
        <v>52</v>
      </c>
      <c r="B187" s="58" t="s">
        <v>69</v>
      </c>
      <c r="C187" s="57">
        <v>74</v>
      </c>
      <c r="D187" s="58" t="s">
        <v>157</v>
      </c>
      <c r="E187" s="59">
        <v>38880</v>
      </c>
      <c r="F187" s="59">
        <v>39048</v>
      </c>
      <c r="G187" s="57">
        <v>475</v>
      </c>
      <c r="H187" s="58" t="s">
        <v>29</v>
      </c>
      <c r="I187" s="58" t="s">
        <v>104</v>
      </c>
      <c r="J187" s="57">
        <v>10</v>
      </c>
      <c r="K187" s="58" t="s">
        <v>96</v>
      </c>
      <c r="L187" s="58" t="s">
        <v>97</v>
      </c>
      <c r="AB187" t="str">
        <f t="shared" si="2"/>
        <v>Nieniarowski (12/06/2006 - 27/11/2006)</v>
      </c>
    </row>
    <row r="188" spans="1:28" x14ac:dyDescent="0.2">
      <c r="A188" s="57">
        <v>11</v>
      </c>
      <c r="B188" s="58" t="s">
        <v>62</v>
      </c>
      <c r="C188" s="57">
        <v>225</v>
      </c>
      <c r="D188" s="58" t="s">
        <v>340</v>
      </c>
      <c r="E188" s="59">
        <v>41291</v>
      </c>
      <c r="F188" s="58"/>
      <c r="G188" s="57">
        <v>395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B188" t="str">
        <f t="shared" si="2"/>
        <v>Wright (17/01/2013 - present)</v>
      </c>
    </row>
    <row r="189" spans="1:28" x14ac:dyDescent="0.2">
      <c r="A189" s="57">
        <v>11</v>
      </c>
      <c r="B189" s="58" t="s">
        <v>62</v>
      </c>
      <c r="C189" s="57">
        <v>195</v>
      </c>
      <c r="D189" s="58" t="s">
        <v>314</v>
      </c>
      <c r="E189" s="59">
        <v>40525</v>
      </c>
      <c r="F189" s="59">
        <v>41591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A189" s="2"/>
      <c r="AB189" t="str">
        <f t="shared" si="2"/>
        <v>J Fraser (13/12/2010 - 13/11/2013)</v>
      </c>
    </row>
    <row r="190" spans="1:28" x14ac:dyDescent="0.2">
      <c r="A190" s="57">
        <v>11</v>
      </c>
      <c r="B190" s="58" t="s">
        <v>62</v>
      </c>
      <c r="C190" s="57">
        <v>181</v>
      </c>
      <c r="D190" s="58" t="s">
        <v>301</v>
      </c>
      <c r="E190" s="59">
        <v>40408</v>
      </c>
      <c r="F190" s="59">
        <v>40508</v>
      </c>
      <c r="G190" s="57">
        <v>380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t="shared" si="2"/>
        <v>Mrs C Carrington (18/08/2010 - 26/11/2010)</v>
      </c>
    </row>
    <row r="191" spans="1:28" x14ac:dyDescent="0.2">
      <c r="A191" s="57">
        <v>11</v>
      </c>
      <c r="B191" s="58" t="s">
        <v>62</v>
      </c>
      <c r="C191" s="57">
        <v>166</v>
      </c>
      <c r="D191" s="58" t="s">
        <v>284</v>
      </c>
      <c r="E191" s="59">
        <v>40151</v>
      </c>
      <c r="F191" s="59">
        <v>40334</v>
      </c>
      <c r="G191" s="57">
        <v>390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t="shared" si="2"/>
        <v>P Chatfield (04/12/2009 - 05/06/2010)</v>
      </c>
    </row>
    <row r="192" spans="1:28" x14ac:dyDescent="0.2">
      <c r="A192" s="57">
        <v>11</v>
      </c>
      <c r="B192" s="58" t="s">
        <v>62</v>
      </c>
      <c r="C192" s="57">
        <v>144</v>
      </c>
      <c r="D192" s="58" t="s">
        <v>260</v>
      </c>
      <c r="E192" s="59">
        <v>39709</v>
      </c>
      <c r="F192" s="59">
        <v>40147</v>
      </c>
      <c r="G192" s="57">
        <v>380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t="shared" si="2"/>
        <v>Toombs (18/09/2008 - 30/11/2009)</v>
      </c>
    </row>
    <row r="193" spans="1:29" x14ac:dyDescent="0.2">
      <c r="A193" s="57">
        <v>11</v>
      </c>
      <c r="B193" s="58" t="s">
        <v>62</v>
      </c>
      <c r="C193" s="57">
        <v>23</v>
      </c>
      <c r="D193" s="58" t="s">
        <v>158</v>
      </c>
      <c r="E193" s="59">
        <v>38324</v>
      </c>
      <c r="F193" s="59">
        <v>39695</v>
      </c>
      <c r="G193" s="57">
        <v>346.16</v>
      </c>
      <c r="H193" s="58" t="s">
        <v>28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t="shared" si="2"/>
        <v>Coombs (03/12/2004 - 04/09/2008)</v>
      </c>
    </row>
    <row r="194" spans="1:29" x14ac:dyDescent="0.2">
      <c r="A194" s="57">
        <v>4</v>
      </c>
      <c r="B194" s="58" t="s">
        <v>56</v>
      </c>
      <c r="C194" s="57">
        <v>193</v>
      </c>
      <c r="D194" s="58" t="s">
        <v>312</v>
      </c>
      <c r="E194" s="59">
        <v>40508</v>
      </c>
      <c r="F194" s="58"/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t="shared" si="2"/>
        <v>Carrington (26/11/2010 - present)</v>
      </c>
    </row>
    <row r="195" spans="1:29" x14ac:dyDescent="0.2">
      <c r="A195" s="57">
        <v>4</v>
      </c>
      <c r="B195" s="58" t="s">
        <v>56</v>
      </c>
      <c r="C195" s="57">
        <v>120</v>
      </c>
      <c r="D195" s="58" t="s">
        <v>237</v>
      </c>
      <c r="E195" s="59">
        <v>39535</v>
      </c>
      <c r="F195" s="59">
        <v>40483</v>
      </c>
      <c r="G195" s="57">
        <v>500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Simpson-Stevens &amp; Scott (28/03/2008 - 01/11/2010)</v>
      </c>
    </row>
    <row r="196" spans="1:29" x14ac:dyDescent="0.2">
      <c r="A196" s="57">
        <v>4</v>
      </c>
      <c r="B196" s="58" t="s">
        <v>56</v>
      </c>
      <c r="C196" s="57">
        <v>101</v>
      </c>
      <c r="D196" s="58" t="s">
        <v>159</v>
      </c>
      <c r="E196" s="59">
        <v>39153</v>
      </c>
      <c r="F196" s="59">
        <v>39447</v>
      </c>
      <c r="G196" s="57">
        <v>490</v>
      </c>
      <c r="H196" s="58" t="s">
        <v>29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t="shared" si="3"/>
        <v>Jones (12/03/2007 - 31/12/2007)</v>
      </c>
    </row>
    <row r="197" spans="1:29" x14ac:dyDescent="0.2">
      <c r="A197" s="57">
        <v>4</v>
      </c>
      <c r="B197" s="58" t="s">
        <v>56</v>
      </c>
      <c r="C197" s="57">
        <v>55</v>
      </c>
      <c r="D197" s="58" t="s">
        <v>160</v>
      </c>
      <c r="E197" s="59">
        <v>38950</v>
      </c>
      <c r="F197" s="59">
        <v>39136</v>
      </c>
      <c r="G197" s="57">
        <v>447.68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t="shared" si="3"/>
        <v>Coalbran (21/08/2006 - 23/02/2007)</v>
      </c>
    </row>
    <row r="198" spans="1:29" x14ac:dyDescent="0.2">
      <c r="A198" s="57">
        <v>4</v>
      </c>
      <c r="B198" s="58" t="s">
        <v>56</v>
      </c>
      <c r="C198" s="57">
        <v>45</v>
      </c>
      <c r="D198" s="58" t="s">
        <v>161</v>
      </c>
      <c r="E198" s="59">
        <v>38705</v>
      </c>
      <c r="F198" s="59">
        <v>38929</v>
      </c>
      <c r="G198" s="57">
        <v>443.08</v>
      </c>
      <c r="H198" s="58" t="s">
        <v>28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t="shared" si="3"/>
        <v>Larkins/Allen (19/12/2005 - 31/07/2006)</v>
      </c>
    </row>
    <row r="199" spans="1:29" x14ac:dyDescent="0.2">
      <c r="A199" s="57">
        <v>4</v>
      </c>
      <c r="B199" s="58" t="s">
        <v>56</v>
      </c>
      <c r="C199" s="57">
        <v>26</v>
      </c>
      <c r="D199" s="58" t="s">
        <v>162</v>
      </c>
      <c r="E199" s="59">
        <v>38389</v>
      </c>
      <c r="F199" s="59">
        <v>38698</v>
      </c>
      <c r="G199" s="57">
        <v>450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t="shared" si="3"/>
        <v>Emptage/Robson (06/02/2005 - 12/12/2005)</v>
      </c>
    </row>
    <row r="200" spans="1:29" x14ac:dyDescent="0.2">
      <c r="A200" s="57">
        <v>4</v>
      </c>
      <c r="B200" s="58" t="s">
        <v>56</v>
      </c>
      <c r="C200" s="57">
        <v>6</v>
      </c>
      <c r="D200" s="58" t="s">
        <v>10</v>
      </c>
      <c r="E200" s="59">
        <v>37958</v>
      </c>
      <c r="F200" s="59">
        <v>38547</v>
      </c>
      <c r="G200" s="57">
        <v>400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AB200" t="str">
        <f t="shared" si="3"/>
        <v>Hall (03/12/2003 - 14/07/2005)</v>
      </c>
    </row>
    <row r="201" spans="1:29" x14ac:dyDescent="0.2">
      <c r="A201" s="57">
        <v>4</v>
      </c>
      <c r="B201" s="58" t="s">
        <v>56</v>
      </c>
      <c r="C201" s="57">
        <v>5</v>
      </c>
      <c r="D201" s="58" t="s">
        <v>163</v>
      </c>
      <c r="E201" s="59">
        <v>37778</v>
      </c>
      <c r="F201" s="59">
        <v>37900</v>
      </c>
      <c r="G201" s="57">
        <v>399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t="shared" si="3"/>
        <v>Dixon (06/06/2003 - 06/10/2003)</v>
      </c>
      <c r="AC201" s="52"/>
    </row>
    <row r="202" spans="1:29" x14ac:dyDescent="0.2">
      <c r="A202" s="57">
        <v>4</v>
      </c>
      <c r="B202" s="58" t="s">
        <v>56</v>
      </c>
      <c r="C202" s="57">
        <v>4</v>
      </c>
      <c r="D202" s="58" t="s">
        <v>164</v>
      </c>
      <c r="E202" s="59">
        <v>37603</v>
      </c>
      <c r="F202" s="59">
        <v>37754</v>
      </c>
      <c r="G202" s="57">
        <v>395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t="shared" si="3"/>
        <v>Raven (13/12/2002 - 13/05/2003)</v>
      </c>
    </row>
    <row r="203" spans="1:29" x14ac:dyDescent="0.2">
      <c r="A203" s="57">
        <v>47</v>
      </c>
      <c r="B203" s="58" t="s">
        <v>86</v>
      </c>
      <c r="C203" s="57">
        <v>96</v>
      </c>
      <c r="D203" s="58" t="s">
        <v>165</v>
      </c>
      <c r="E203" s="59">
        <v>39136</v>
      </c>
      <c r="F203" s="58"/>
      <c r="G203" s="57">
        <v>490</v>
      </c>
      <c r="H203" s="58" t="s">
        <v>29</v>
      </c>
      <c r="I203" s="58" t="s">
        <v>95</v>
      </c>
      <c r="J203" s="57">
        <v>10</v>
      </c>
      <c r="K203" s="58" t="s">
        <v>96</v>
      </c>
      <c r="L203" s="58" t="s">
        <v>97</v>
      </c>
      <c r="AB203" t="str">
        <f t="shared" si="3"/>
        <v>Valverde (23/02/2007 - present)</v>
      </c>
    </row>
    <row r="204" spans="1:29" x14ac:dyDescent="0.2">
      <c r="A204" s="57">
        <v>47</v>
      </c>
      <c r="B204" s="58" t="s">
        <v>86</v>
      </c>
      <c r="C204" s="57">
        <v>73</v>
      </c>
      <c r="D204" s="58" t="s">
        <v>166</v>
      </c>
      <c r="E204" s="59">
        <v>38208</v>
      </c>
      <c r="F204" s="59">
        <v>39059</v>
      </c>
      <c r="G204" s="57">
        <v>438.48</v>
      </c>
      <c r="H204" s="58" t="s">
        <v>28</v>
      </c>
      <c r="I204" s="58" t="s">
        <v>104</v>
      </c>
      <c r="J204" s="57">
        <v>10</v>
      </c>
      <c r="K204" s="58" t="s">
        <v>96</v>
      </c>
      <c r="L204" s="58" t="s">
        <v>97</v>
      </c>
      <c r="AA204" s="2"/>
      <c r="AB204" t="str">
        <f t="shared" si="3"/>
        <v>Penfold (09/08/2004 - 08/12/2006)</v>
      </c>
    </row>
    <row r="205" spans="1:29" x14ac:dyDescent="0.2">
      <c r="A205" s="57">
        <v>31</v>
      </c>
      <c r="B205" s="58" t="s">
        <v>103</v>
      </c>
      <c r="C205" s="57">
        <v>278</v>
      </c>
      <c r="D205" s="58" t="s">
        <v>404</v>
      </c>
      <c r="E205" s="59">
        <v>42657</v>
      </c>
      <c r="F205" s="58"/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t="shared" si="3"/>
        <v>Miss S Smith (14/10/2016 - present)</v>
      </c>
    </row>
    <row r="206" spans="1:29" x14ac:dyDescent="0.2">
      <c r="A206" s="57">
        <v>31</v>
      </c>
      <c r="B206" s="58" t="s">
        <v>103</v>
      </c>
      <c r="C206" s="57">
        <v>273</v>
      </c>
      <c r="D206" s="58" t="s">
        <v>389</v>
      </c>
      <c r="E206" s="59">
        <v>42474</v>
      </c>
      <c r="F206" s="59">
        <v>42657</v>
      </c>
      <c r="G206" s="57">
        <v>505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t="shared" si="3"/>
        <v>Ms H Daniels (14/04/2016 - 14/10/2016)</v>
      </c>
    </row>
    <row r="207" spans="1:29" x14ac:dyDescent="0.2">
      <c r="A207" s="57">
        <v>31</v>
      </c>
      <c r="B207" s="58" t="s">
        <v>103</v>
      </c>
      <c r="C207" s="57">
        <v>126</v>
      </c>
      <c r="D207" s="58" t="s">
        <v>221</v>
      </c>
      <c r="E207" s="59">
        <v>39524</v>
      </c>
      <c r="F207" s="59">
        <v>42460</v>
      </c>
      <c r="G207" s="57">
        <v>490</v>
      </c>
      <c r="H207" s="58" t="s">
        <v>29</v>
      </c>
      <c r="I207" s="58" t="s">
        <v>95</v>
      </c>
      <c r="J207" s="57">
        <v>10</v>
      </c>
      <c r="K207" s="58" t="s">
        <v>96</v>
      </c>
      <c r="L207" s="58" t="s">
        <v>97</v>
      </c>
      <c r="AB207" t="str">
        <f t="shared" si="3"/>
        <v>Parieira (17/03/2008 - 31/03/2016)</v>
      </c>
    </row>
    <row r="208" spans="1:29" x14ac:dyDescent="0.2">
      <c r="A208" s="57">
        <v>31</v>
      </c>
      <c r="B208" s="58" t="s">
        <v>103</v>
      </c>
      <c r="C208" s="57">
        <v>34</v>
      </c>
      <c r="D208" s="58" t="s">
        <v>167</v>
      </c>
      <c r="E208" s="59">
        <v>38668</v>
      </c>
      <c r="F208" s="59">
        <v>39507</v>
      </c>
      <c r="G208" s="57">
        <v>400</v>
      </c>
      <c r="H208" s="58" t="s">
        <v>29</v>
      </c>
      <c r="I208" s="58" t="s">
        <v>104</v>
      </c>
      <c r="J208" s="57">
        <v>10</v>
      </c>
      <c r="K208" s="58" t="s">
        <v>96</v>
      </c>
      <c r="L208" s="58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t="shared" si="3"/>
        <v>Nerantzoula Klelousi (12/11/2005 - 29/02/2008)</v>
      </c>
      <c r="AC208" s="52"/>
    </row>
    <row r="209" spans="1:28" x14ac:dyDescent="0.2">
      <c r="A209" s="57">
        <v>63</v>
      </c>
      <c r="B209" s="58" t="s">
        <v>115</v>
      </c>
      <c r="C209" s="57">
        <v>167</v>
      </c>
      <c r="D209" s="58" t="s">
        <v>286</v>
      </c>
      <c r="E209" s="59">
        <v>40158</v>
      </c>
      <c r="F209" s="58"/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A209" s="2"/>
      <c r="AB209" t="str">
        <f t="shared" si="3"/>
        <v>Taperek (11/12/2009 - present)</v>
      </c>
    </row>
    <row r="210" spans="1:28" x14ac:dyDescent="0.2">
      <c r="A210" s="57">
        <v>63</v>
      </c>
      <c r="B210" s="58" t="s">
        <v>115</v>
      </c>
      <c r="C210" s="57">
        <v>148</v>
      </c>
      <c r="D210" s="58" t="s">
        <v>265</v>
      </c>
      <c r="E210" s="59">
        <v>39787</v>
      </c>
      <c r="F210" s="59">
        <v>40127</v>
      </c>
      <c r="G210" s="57">
        <v>500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t="shared" si="3"/>
        <v>Sally Miller (05/12/2008 - 10/11/2009)</v>
      </c>
    </row>
    <row r="211" spans="1:28" x14ac:dyDescent="0.2">
      <c r="A211" s="57">
        <v>63</v>
      </c>
      <c r="B211" s="58" t="s">
        <v>115</v>
      </c>
      <c r="C211" s="57">
        <v>109</v>
      </c>
      <c r="D211" s="58" t="s">
        <v>192</v>
      </c>
      <c r="E211" s="59">
        <v>39304</v>
      </c>
      <c r="F211" s="59">
        <v>39761</v>
      </c>
      <c r="G211" s="57">
        <v>470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tr">
        <f t="shared" si="3"/>
        <v>Thidar (10/08/2007 - 09/11/2008)</v>
      </c>
    </row>
    <row r="212" spans="1:28" x14ac:dyDescent="0.2">
      <c r="A212" s="57">
        <v>63</v>
      </c>
      <c r="B212" s="58" t="s">
        <v>115</v>
      </c>
      <c r="C212" s="57">
        <v>83</v>
      </c>
      <c r="D212" s="58" t="s">
        <v>182</v>
      </c>
      <c r="E212" s="59">
        <v>38848</v>
      </c>
      <c r="F212" s="59">
        <v>39247</v>
      </c>
      <c r="G212" s="57">
        <v>475</v>
      </c>
      <c r="H212" s="58" t="s">
        <v>29</v>
      </c>
      <c r="I212" s="58" t="s">
        <v>116</v>
      </c>
      <c r="J212" s="57">
        <v>10</v>
      </c>
      <c r="K212" s="58" t="s">
        <v>96</v>
      </c>
      <c r="L212" s="58" t="s">
        <v>97</v>
      </c>
      <c r="AA212" s="2"/>
      <c r="AB212" t="str">
        <f t="shared" si="3"/>
        <v>Barckowski (11/05/2006 - 14/06/2007)</v>
      </c>
    </row>
    <row r="213" spans="1:28" x14ac:dyDescent="0.2">
      <c r="A213" s="57">
        <v>30</v>
      </c>
      <c r="B213" s="58" t="s">
        <v>66</v>
      </c>
      <c r="C213" s="57">
        <v>240</v>
      </c>
      <c r="D213" s="58" t="s">
        <v>357</v>
      </c>
      <c r="E213" s="59">
        <v>41586</v>
      </c>
      <c r="F213" s="58"/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t="shared" si="3"/>
        <v>Mr Hinks (08/11/2013 - present)</v>
      </c>
    </row>
    <row r="214" spans="1:28" x14ac:dyDescent="0.2">
      <c r="A214" s="57">
        <v>30</v>
      </c>
      <c r="B214" s="58" t="s">
        <v>66</v>
      </c>
      <c r="C214" s="57">
        <v>221</v>
      </c>
      <c r="D214" s="58" t="s">
        <v>341</v>
      </c>
      <c r="E214" s="59">
        <v>41331</v>
      </c>
      <c r="F214" s="59">
        <v>41546</v>
      </c>
      <c r="G214" s="57">
        <v>500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t="shared" si="3"/>
        <v>A Thomas (26/02/2013 - 29/09/2013)</v>
      </c>
    </row>
    <row r="215" spans="1:28" x14ac:dyDescent="0.2">
      <c r="A215" s="57">
        <v>30</v>
      </c>
      <c r="B215" s="58" t="s">
        <v>66</v>
      </c>
      <c r="C215" s="57">
        <v>173</v>
      </c>
      <c r="D215" s="58" t="s">
        <v>294</v>
      </c>
      <c r="E215" s="59">
        <v>40268</v>
      </c>
      <c r="F215" s="59">
        <v>41305</v>
      </c>
      <c r="G215" s="57">
        <v>480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t="shared" si="3"/>
        <v>Long &amp; Emptage (31/03/2010 - 31/01/2013)</v>
      </c>
    </row>
    <row r="216" spans="1:28" x14ac:dyDescent="0.2">
      <c r="A216" s="57">
        <v>30</v>
      </c>
      <c r="B216" s="58" t="s">
        <v>66</v>
      </c>
      <c r="C216" s="57">
        <v>163</v>
      </c>
      <c r="D216" s="58" t="s">
        <v>279</v>
      </c>
      <c r="E216" s="59">
        <v>40046</v>
      </c>
      <c r="F216" s="59">
        <v>40230</v>
      </c>
      <c r="G216" s="57">
        <v>510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B216" t="str">
        <f t="shared" si="3"/>
        <v>Arrabbetou (21/08/2009 - 21/02/2010)</v>
      </c>
    </row>
    <row r="217" spans="1:28" x14ac:dyDescent="0.2">
      <c r="A217" s="57">
        <v>30</v>
      </c>
      <c r="B217" s="58" t="s">
        <v>66</v>
      </c>
      <c r="C217" s="57">
        <v>134</v>
      </c>
      <c r="D217" s="58" t="s">
        <v>251</v>
      </c>
      <c r="E217" s="59">
        <v>39556</v>
      </c>
      <c r="F217" s="59">
        <v>40024</v>
      </c>
      <c r="G217" s="57">
        <v>520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A217" s="2"/>
      <c r="AB217" t="str">
        <f t="shared" si="3"/>
        <v>Mr D Moore (18/04/2008 - 30/07/2009)</v>
      </c>
    </row>
    <row r="218" spans="1:28" x14ac:dyDescent="0.2">
      <c r="A218" s="57">
        <v>30</v>
      </c>
      <c r="B218" s="58" t="s">
        <v>66</v>
      </c>
      <c r="C218" s="57">
        <v>90</v>
      </c>
      <c r="D218" s="58" t="s">
        <v>151</v>
      </c>
      <c r="E218" s="59">
        <v>39054</v>
      </c>
      <c r="F218" s="59">
        <v>39538</v>
      </c>
      <c r="G218" s="57">
        <v>480</v>
      </c>
      <c r="H218" s="58" t="s">
        <v>29</v>
      </c>
      <c r="I218" s="58" t="s">
        <v>95</v>
      </c>
      <c r="J218" s="57">
        <v>10</v>
      </c>
      <c r="K218" s="58" t="s">
        <v>96</v>
      </c>
      <c r="L218" s="58" t="s">
        <v>97</v>
      </c>
      <c r="AB218" t="str">
        <f t="shared" si="3"/>
        <v>Thompson (03/12/2006 - 31/03/2008)</v>
      </c>
    </row>
    <row r="219" spans="1:28" x14ac:dyDescent="0.2">
      <c r="A219" s="57">
        <v>30</v>
      </c>
      <c r="B219" s="58" t="s">
        <v>66</v>
      </c>
      <c r="C219" s="57">
        <v>63</v>
      </c>
      <c r="D219" s="58" t="s">
        <v>168</v>
      </c>
      <c r="E219" s="59">
        <v>38863</v>
      </c>
      <c r="F219" s="59">
        <v>39046</v>
      </c>
      <c r="G219" s="57">
        <v>470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t="str">
        <f t="shared" si="3"/>
        <v>Tuckley (26/05/2006 - 25/11/2006)</v>
      </c>
    </row>
    <row r="220" spans="1:28" s="52" customFormat="1" x14ac:dyDescent="0.2">
      <c r="A220" s="57">
        <v>30</v>
      </c>
      <c r="B220" s="58" t="s">
        <v>66</v>
      </c>
      <c r="C220" s="57">
        <v>41</v>
      </c>
      <c r="D220" s="58" t="s">
        <v>169</v>
      </c>
      <c r="E220" s="59">
        <v>38506</v>
      </c>
      <c r="F220" s="59">
        <v>38688</v>
      </c>
      <c r="G220" s="57">
        <v>500</v>
      </c>
      <c r="H220" s="58" t="s">
        <v>29</v>
      </c>
      <c r="I220" s="58" t="s">
        <v>104</v>
      </c>
      <c r="J220" s="57">
        <v>10</v>
      </c>
      <c r="K220" s="58" t="s">
        <v>96</v>
      </c>
      <c r="L220" s="58" t="s">
        <v>97</v>
      </c>
      <c r="AB220" s="52" t="str">
        <f t="shared" si="3"/>
        <v xml:space="preserve"> Hickman (03/06/2005 - 02/12/2005)</v>
      </c>
    </row>
    <row r="221" spans="1:28" x14ac:dyDescent="0.2">
      <c r="A221" s="57">
        <v>48</v>
      </c>
      <c r="B221" s="58" t="s">
        <v>111</v>
      </c>
      <c r="C221" s="57">
        <v>239</v>
      </c>
      <c r="D221" s="58" t="s">
        <v>358</v>
      </c>
      <c r="E221" s="59">
        <v>41561</v>
      </c>
      <c r="F221" s="58"/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t="shared" si="3"/>
        <v>Mr Radzevics (14/10/2013 - present)</v>
      </c>
    </row>
    <row r="222" spans="1:28" x14ac:dyDescent="0.2">
      <c r="A222" s="57">
        <v>48</v>
      </c>
      <c r="B222" s="58" t="s">
        <v>111</v>
      </c>
      <c r="C222" s="57">
        <v>177</v>
      </c>
      <c r="D222" s="58" t="s">
        <v>297</v>
      </c>
      <c r="E222" s="59">
        <v>40338</v>
      </c>
      <c r="F222" s="59">
        <v>41495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t="shared" si="3"/>
        <v>J Dee (09/06/2010 - 09/08/2013)</v>
      </c>
    </row>
    <row r="223" spans="1:28" x14ac:dyDescent="0.2">
      <c r="A223" s="57">
        <v>48</v>
      </c>
      <c r="B223" s="58" t="s">
        <v>111</v>
      </c>
      <c r="C223" s="57">
        <v>153</v>
      </c>
      <c r="D223" s="58" t="s">
        <v>270</v>
      </c>
      <c r="E223" s="59">
        <v>39940</v>
      </c>
      <c r="F223" s="59">
        <v>40123</v>
      </c>
      <c r="G223" s="57">
        <v>500</v>
      </c>
      <c r="H223" s="58" t="s">
        <v>29</v>
      </c>
      <c r="I223" s="58" t="s">
        <v>95</v>
      </c>
      <c r="J223" s="57">
        <v>10</v>
      </c>
      <c r="K223" s="58" t="s">
        <v>96</v>
      </c>
      <c r="L223" s="58" t="s">
        <v>97</v>
      </c>
      <c r="AB223" t="str">
        <f t="shared" si="3"/>
        <v>Miss Misson &amp; Mr Plummer (07/05/2009 - 06/11/2009)</v>
      </c>
    </row>
    <row r="224" spans="1:28" x14ac:dyDescent="0.2">
      <c r="A224" s="57">
        <v>48</v>
      </c>
      <c r="B224" s="58" t="s">
        <v>111</v>
      </c>
      <c r="C224" s="57">
        <v>139</v>
      </c>
      <c r="D224" s="58" t="s">
        <v>271</v>
      </c>
      <c r="E224" s="59">
        <v>39701</v>
      </c>
      <c r="F224" s="59">
        <v>39913</v>
      </c>
      <c r="G224" s="57">
        <v>460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t="shared" si="3"/>
        <v>Alex Asagba (10/09/2008 - 10/04/2009)</v>
      </c>
    </row>
    <row r="225" spans="1:29" x14ac:dyDescent="0.2">
      <c r="A225" s="57">
        <v>48</v>
      </c>
      <c r="B225" s="58" t="s">
        <v>111</v>
      </c>
      <c r="C225" s="57">
        <v>66</v>
      </c>
      <c r="D225" s="58" t="s">
        <v>230</v>
      </c>
      <c r="E225" s="59">
        <v>37639</v>
      </c>
      <c r="F225" s="59">
        <v>39645</v>
      </c>
      <c r="G225" s="57">
        <v>475</v>
      </c>
      <c r="H225" s="58" t="s">
        <v>29</v>
      </c>
      <c r="I225" s="58" t="s">
        <v>197</v>
      </c>
      <c r="J225" s="57">
        <v>0</v>
      </c>
      <c r="K225" s="58" t="s">
        <v>175</v>
      </c>
      <c r="L225" s="58" t="s">
        <v>101</v>
      </c>
      <c r="AB225" t="str">
        <f t="shared" si="3"/>
        <v>Miss Claire Butcher (18/01/2003 - 16/07/2008)</v>
      </c>
    </row>
    <row r="226" spans="1:29" x14ac:dyDescent="0.2">
      <c r="A226" s="57">
        <v>68</v>
      </c>
      <c r="B226" s="58" t="s">
        <v>117</v>
      </c>
      <c r="C226" s="57">
        <v>135</v>
      </c>
      <c r="D226" s="58" t="s">
        <v>254</v>
      </c>
      <c r="E226" s="59">
        <v>39546</v>
      </c>
      <c r="F226" s="58"/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t="shared" si="3"/>
        <v>Mr A Young (08/04/2008 - present)</v>
      </c>
    </row>
    <row r="227" spans="1:29" x14ac:dyDescent="0.2">
      <c r="A227" s="57">
        <v>68</v>
      </c>
      <c r="B227" s="58" t="s">
        <v>117</v>
      </c>
      <c r="C227" s="57">
        <v>99</v>
      </c>
      <c r="D227" s="58" t="s">
        <v>170</v>
      </c>
      <c r="E227" s="59">
        <v>39177</v>
      </c>
      <c r="F227" s="59">
        <v>39512</v>
      </c>
      <c r="G227" s="57">
        <v>500</v>
      </c>
      <c r="H227" s="58" t="s">
        <v>29</v>
      </c>
      <c r="I227" s="58" t="s">
        <v>95</v>
      </c>
      <c r="J227" s="57">
        <v>10</v>
      </c>
      <c r="K227" s="58" t="s">
        <v>96</v>
      </c>
      <c r="L227" s="58" t="s">
        <v>97</v>
      </c>
      <c r="AB227" t="str">
        <f t="shared" si="3"/>
        <v>Hughes (05/04/2007 - 05/03/2008)</v>
      </c>
    </row>
    <row r="228" spans="1:29" x14ac:dyDescent="0.2">
      <c r="A228" s="57">
        <v>68</v>
      </c>
      <c r="B228" s="58" t="s">
        <v>117</v>
      </c>
      <c r="C228" s="57">
        <v>82</v>
      </c>
      <c r="D228" s="58" t="s">
        <v>171</v>
      </c>
      <c r="E228" s="59">
        <v>38490</v>
      </c>
      <c r="F228" s="59">
        <v>39132</v>
      </c>
      <c r="G228" s="57">
        <v>425</v>
      </c>
      <c r="H228" s="58" t="s">
        <v>29</v>
      </c>
      <c r="I228" s="58" t="s">
        <v>114</v>
      </c>
      <c r="J228" s="57">
        <v>8</v>
      </c>
      <c r="K228" s="58" t="s">
        <v>96</v>
      </c>
      <c r="L228" s="58" t="s">
        <v>101</v>
      </c>
      <c r="AB228" t="str">
        <f t="shared" si="3"/>
        <v>Hough (18/05/2005 - 19/02/2007)</v>
      </c>
    </row>
    <row r="229" spans="1:29" x14ac:dyDescent="0.2">
      <c r="A229" s="57">
        <v>33</v>
      </c>
      <c r="B229" s="58" t="s">
        <v>105</v>
      </c>
      <c r="C229" s="57">
        <v>274</v>
      </c>
      <c r="D229" s="58" t="s">
        <v>393</v>
      </c>
      <c r="E229" s="59">
        <v>42587</v>
      </c>
      <c r="F229" s="58"/>
      <c r="G229" s="57">
        <v>505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tr">
        <f t="shared" si="3"/>
        <v>Miss F Booker (05/08/2016 - present)</v>
      </c>
    </row>
    <row r="230" spans="1:29" x14ac:dyDescent="0.2">
      <c r="A230" s="57">
        <v>33</v>
      </c>
      <c r="B230" s="58" t="s">
        <v>105</v>
      </c>
      <c r="C230" s="57">
        <v>178</v>
      </c>
      <c r="D230" s="58" t="s">
        <v>296</v>
      </c>
      <c r="E230" s="59">
        <v>40334</v>
      </c>
      <c r="F230" s="59">
        <v>42560</v>
      </c>
      <c r="G230" s="57">
        <v>425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B230" t="str">
        <f t="shared" si="3"/>
        <v>Oyibo Nwosu (05/06/2010 - 09/07/2016)</v>
      </c>
    </row>
    <row r="231" spans="1:29" x14ac:dyDescent="0.2">
      <c r="A231" s="57">
        <v>33</v>
      </c>
      <c r="B231" s="58" t="s">
        <v>105</v>
      </c>
      <c r="C231" s="57">
        <v>149</v>
      </c>
      <c r="D231" s="58" t="s">
        <v>266</v>
      </c>
      <c r="E231" s="59">
        <v>39843</v>
      </c>
      <c r="F231" s="59">
        <v>40327</v>
      </c>
      <c r="G231" s="57">
        <v>410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A231" s="2"/>
      <c r="AB231" t="str">
        <f t="shared" si="3"/>
        <v>Eugene De Beer (30/01/2009 - 29/05/2010)</v>
      </c>
    </row>
    <row r="232" spans="1:29" x14ac:dyDescent="0.2">
      <c r="A232" s="57">
        <v>33</v>
      </c>
      <c r="B232" s="58" t="s">
        <v>105</v>
      </c>
      <c r="C232" s="57">
        <v>107</v>
      </c>
      <c r="D232" s="58" t="s">
        <v>222</v>
      </c>
      <c r="E232" s="59">
        <v>39286</v>
      </c>
      <c r="F232" s="59">
        <v>39809</v>
      </c>
      <c r="G232" s="57">
        <v>400</v>
      </c>
      <c r="H232" s="58" t="s">
        <v>29</v>
      </c>
      <c r="I232" s="58" t="s">
        <v>197</v>
      </c>
      <c r="J232" s="57">
        <v>0</v>
      </c>
      <c r="K232" s="58" t="s">
        <v>175</v>
      </c>
      <c r="L232" s="58" t="s">
        <v>101</v>
      </c>
      <c r="AB232" t="str">
        <f t="shared" si="3"/>
        <v>Miss Rita Palmieri (23/07/2007 - 27/12/2008)</v>
      </c>
    </row>
    <row r="233" spans="1:29" x14ac:dyDescent="0.2">
      <c r="A233" s="57">
        <v>33</v>
      </c>
      <c r="B233" s="58" t="s">
        <v>105</v>
      </c>
      <c r="C233" s="57">
        <v>50</v>
      </c>
      <c r="D233" s="58" t="s">
        <v>172</v>
      </c>
      <c r="E233" s="59">
        <v>38631</v>
      </c>
      <c r="F233" s="59">
        <v>39268</v>
      </c>
      <c r="G233" s="57">
        <v>400</v>
      </c>
      <c r="H233" s="58" t="s">
        <v>29</v>
      </c>
      <c r="I233" s="58" t="s">
        <v>104</v>
      </c>
      <c r="J233" s="57">
        <v>10</v>
      </c>
      <c r="K233" s="58" t="s">
        <v>96</v>
      </c>
      <c r="L233" s="58" t="s">
        <v>97</v>
      </c>
      <c r="AB233" t="str">
        <f t="shared" si="3"/>
        <v>Hill/Gerard/Hlyton (06/10/2005 - 05/07/2007)</v>
      </c>
    </row>
    <row r="234" spans="1:29" x14ac:dyDescent="0.2">
      <c r="A234" s="57">
        <v>32</v>
      </c>
      <c r="B234" s="58" t="s">
        <v>106</v>
      </c>
      <c r="C234" s="57">
        <v>261</v>
      </c>
      <c r="D234" s="58" t="s">
        <v>378</v>
      </c>
      <c r="E234" s="59">
        <v>42242</v>
      </c>
      <c r="F234" s="58"/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t="shared" si="3"/>
        <v>Ms Pegg (26/08/2015 - present)</v>
      </c>
    </row>
    <row r="235" spans="1:29" x14ac:dyDescent="0.2">
      <c r="A235" s="57">
        <v>32</v>
      </c>
      <c r="B235" s="58" t="s">
        <v>106</v>
      </c>
      <c r="C235" s="57">
        <v>260</v>
      </c>
      <c r="D235" s="58" t="s">
        <v>379</v>
      </c>
      <c r="E235" s="59">
        <v>42205</v>
      </c>
      <c r="F235" s="59">
        <v>42236</v>
      </c>
      <c r="G235" s="57">
        <v>505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AB235" t="str">
        <f t="shared" si="3"/>
        <v>Mr Hussain (20/07/2015 - 20/08/2015)</v>
      </c>
    </row>
    <row r="236" spans="1:29" s="52" customFormat="1" x14ac:dyDescent="0.2">
      <c r="A236" s="57">
        <v>32</v>
      </c>
      <c r="B236" s="58" t="s">
        <v>106</v>
      </c>
      <c r="C236" s="57">
        <v>222</v>
      </c>
      <c r="D236" s="58" t="s">
        <v>342</v>
      </c>
      <c r="E236" s="59">
        <v>41311</v>
      </c>
      <c r="F236" s="59">
        <v>42161</v>
      </c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Restall &amp; Byng (06/02/2013 - 06/06/2015)</v>
      </c>
      <c r="AC236"/>
    </row>
    <row r="237" spans="1:29" x14ac:dyDescent="0.2">
      <c r="A237" s="57">
        <v>32</v>
      </c>
      <c r="B237" s="58" t="s">
        <v>106</v>
      </c>
      <c r="C237" s="57">
        <v>169</v>
      </c>
      <c r="D237" s="58" t="s">
        <v>287</v>
      </c>
      <c r="E237" s="59">
        <v>40240</v>
      </c>
      <c r="F237" s="59">
        <v>41305</v>
      </c>
      <c r="G237" s="57">
        <v>495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tr">
        <f t="shared" si="3"/>
        <v>Lewis Cranston (03/03/2010 - 31/01/2013)</v>
      </c>
    </row>
    <row r="238" spans="1:29" x14ac:dyDescent="0.2">
      <c r="A238" s="57">
        <v>32</v>
      </c>
      <c r="B238" s="58" t="s">
        <v>106</v>
      </c>
      <c r="C238" s="57">
        <v>133</v>
      </c>
      <c r="D238" s="58" t="s">
        <v>252</v>
      </c>
      <c r="E238" s="59">
        <v>39592</v>
      </c>
      <c r="F238" s="59">
        <v>40140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t="shared" si="3"/>
        <v>Anna Schubert &amp; Maciej Schubert (24/05/2008 - 23/11/2009)</v>
      </c>
    </row>
    <row r="239" spans="1:29" x14ac:dyDescent="0.2">
      <c r="A239" s="57">
        <v>32</v>
      </c>
      <c r="B239" s="58" t="s">
        <v>106</v>
      </c>
      <c r="C239" s="57">
        <v>42</v>
      </c>
      <c r="D239" s="58" t="s">
        <v>223</v>
      </c>
      <c r="E239" s="59">
        <v>38534</v>
      </c>
      <c r="F239" s="59">
        <v>39568</v>
      </c>
      <c r="G239" s="57">
        <v>495</v>
      </c>
      <c r="H239" s="58" t="s">
        <v>29</v>
      </c>
      <c r="I239" s="58" t="s">
        <v>197</v>
      </c>
      <c r="J239" s="57">
        <v>0</v>
      </c>
      <c r="K239" s="58" t="s">
        <v>175</v>
      </c>
      <c r="L239" s="58" t="s">
        <v>101</v>
      </c>
      <c r="AB239" t="str">
        <f t="shared" si="3"/>
        <v>Mr Taylor/Miss Clark (01/07/2005 - 30/04/2008)</v>
      </c>
    </row>
    <row r="240" spans="1:29" x14ac:dyDescent="0.2">
      <c r="A240" s="57">
        <v>37</v>
      </c>
      <c r="B240" s="58" t="s">
        <v>123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t="shared" si="3"/>
        <v/>
      </c>
    </row>
    <row r="241" spans="1:29" x14ac:dyDescent="0.2">
      <c r="A241" s="57">
        <v>39</v>
      </c>
      <c r="B241" s="58" t="s">
        <v>126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AB241" t="str">
        <f t="shared" si="3"/>
        <v/>
      </c>
    </row>
    <row r="242" spans="1:29" x14ac:dyDescent="0.2">
      <c r="A242" s="57">
        <v>38</v>
      </c>
      <c r="B242" s="58" t="s">
        <v>124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t="shared" si="3"/>
        <v/>
      </c>
      <c r="AC242" s="52"/>
    </row>
    <row r="243" spans="1:29" x14ac:dyDescent="0.2">
      <c r="A243" s="57">
        <v>19</v>
      </c>
      <c r="B243" s="58" t="s">
        <v>99</v>
      </c>
      <c r="C243" s="57">
        <v>262</v>
      </c>
      <c r="D243" s="58" t="s">
        <v>382</v>
      </c>
      <c r="E243" s="59">
        <v>42261</v>
      </c>
      <c r="F243" s="58"/>
      <c r="G243" s="57">
        <v>660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t="shared" si="3"/>
        <v>Miss Syasya Aristoteles &amp; Miss Firzanah Sufri (14/09/2015 - present)</v>
      </c>
    </row>
    <row r="244" spans="1:29" x14ac:dyDescent="0.2">
      <c r="A244" s="57">
        <v>19</v>
      </c>
      <c r="B244" s="58" t="s">
        <v>99</v>
      </c>
      <c r="C244" s="57">
        <v>258</v>
      </c>
      <c r="D244" s="58" t="s">
        <v>368</v>
      </c>
      <c r="E244" s="59">
        <v>41883</v>
      </c>
      <c r="F244" s="59">
        <v>42156</v>
      </c>
      <c r="G244" s="57">
        <v>600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tr">
        <f t="shared" si="3"/>
        <v>Jessica Hastings &amp; Chloe Chen (01/09/2014 - 01/06/2015)</v>
      </c>
    </row>
    <row r="245" spans="1:29" x14ac:dyDescent="0.2">
      <c r="A245" s="57">
        <v>19</v>
      </c>
      <c r="B245" s="58" t="s">
        <v>99</v>
      </c>
      <c r="C245" s="57">
        <v>257</v>
      </c>
      <c r="D245" s="58" t="s">
        <v>368</v>
      </c>
      <c r="E245" s="59">
        <v>41821</v>
      </c>
      <c r="F245" s="59">
        <v>41883</v>
      </c>
      <c r="G245" s="57">
        <v>300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t="shared" si="3"/>
        <v>Jessica Hastings &amp; Chloe Chen (01/07/2014 - 01/09/2014)</v>
      </c>
      <c r="AC245" s="52"/>
    </row>
    <row r="246" spans="1:29" x14ac:dyDescent="0.2">
      <c r="A246" s="57">
        <v>19</v>
      </c>
      <c r="B246" s="58" t="s">
        <v>99</v>
      </c>
      <c r="C246" s="57">
        <v>233</v>
      </c>
      <c r="D246" s="58" t="s">
        <v>352</v>
      </c>
      <c r="E246" s="59">
        <v>41518</v>
      </c>
      <c r="F246" s="59">
        <v>41821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t="shared" si="3"/>
        <v>Ms Bird &amp; Ms Cornish (01/09/2013 - 01/07/2014)</v>
      </c>
    </row>
    <row r="247" spans="1:29" x14ac:dyDescent="0.2">
      <c r="A247" s="57">
        <v>19</v>
      </c>
      <c r="B247" s="58" t="s">
        <v>99</v>
      </c>
      <c r="C247" s="57">
        <v>236</v>
      </c>
      <c r="D247" s="58" t="s">
        <v>353</v>
      </c>
      <c r="E247" s="59">
        <v>41153</v>
      </c>
      <c r="F247" s="59">
        <v>41442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t="shared" si="3"/>
        <v>Ms Varsani &amp; Miss Wokey (01/09/2012 - 17/06/2013)</v>
      </c>
    </row>
    <row r="248" spans="1:29" x14ac:dyDescent="0.2">
      <c r="A248" s="57">
        <v>19</v>
      </c>
      <c r="B248" s="58" t="s">
        <v>99</v>
      </c>
      <c r="C248" s="57">
        <v>186</v>
      </c>
      <c r="D248" s="58" t="s">
        <v>303</v>
      </c>
      <c r="E248" s="59">
        <v>40432</v>
      </c>
      <c r="F248" s="59">
        <v>40705</v>
      </c>
      <c r="G248" s="57">
        <v>600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t="shared" si="3"/>
        <v>P. Vara &amp; M. Varsani (11/09/2010 - 11/06/2011)</v>
      </c>
    </row>
    <row r="249" spans="1:29" x14ac:dyDescent="0.2">
      <c r="A249" s="57">
        <v>19</v>
      </c>
      <c r="B249" s="58" t="s">
        <v>99</v>
      </c>
      <c r="C249" s="57">
        <v>154</v>
      </c>
      <c r="D249" s="58" t="s">
        <v>272</v>
      </c>
      <c r="E249" s="59">
        <v>39927</v>
      </c>
      <c r="F249" s="59">
        <v>40323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tr">
        <f t="shared" si="3"/>
        <v>Glenn Wallace &amp; Gary Hanna (24/04/2009 - 25/05/2010)</v>
      </c>
    </row>
    <row r="250" spans="1:29" s="52" customFormat="1" x14ac:dyDescent="0.2">
      <c r="A250" s="57">
        <v>19</v>
      </c>
      <c r="B250" s="58" t="s">
        <v>99</v>
      </c>
      <c r="C250" s="57">
        <v>121</v>
      </c>
      <c r="D250" s="58" t="s">
        <v>220</v>
      </c>
      <c r="E250" s="59">
        <v>39507</v>
      </c>
      <c r="F250" s="59">
        <v>39754</v>
      </c>
      <c r="G250" s="57">
        <v>620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Mabe &amp; Hodgkins   (29/02/2008 - 02/11/2008)</v>
      </c>
      <c r="AC250"/>
    </row>
    <row r="251" spans="1:29" s="52" customFormat="1" x14ac:dyDescent="0.2">
      <c r="A251" s="57">
        <v>19</v>
      </c>
      <c r="B251" s="58" t="s">
        <v>99</v>
      </c>
      <c r="C251" s="57">
        <v>32</v>
      </c>
      <c r="D251" s="58" t="s">
        <v>174</v>
      </c>
      <c r="E251" s="59">
        <v>38638</v>
      </c>
      <c r="F251" s="59">
        <v>39275</v>
      </c>
      <c r="G251" s="57">
        <v>625</v>
      </c>
      <c r="H251" s="58" t="s">
        <v>29</v>
      </c>
      <c r="I251" s="58" t="s">
        <v>100</v>
      </c>
      <c r="J251" s="57">
        <v>65</v>
      </c>
      <c r="K251" s="58" t="s">
        <v>175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Boctor/Bhatti (13/10/2005 - 12/07/2007)</v>
      </c>
      <c r="AC251"/>
    </row>
    <row r="252" spans="1:29" s="52" customFormat="1" x14ac:dyDescent="0.2">
      <c r="A252" s="57">
        <v>19</v>
      </c>
      <c r="B252" s="58" t="s">
        <v>99</v>
      </c>
      <c r="C252" s="57">
        <v>28</v>
      </c>
      <c r="D252" s="58" t="s">
        <v>176</v>
      </c>
      <c r="E252" s="59">
        <v>38423</v>
      </c>
      <c r="F252" s="59">
        <v>38629</v>
      </c>
      <c r="G252" s="57">
        <v>565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Lebbon/Ravensdale (12/03/2005 - 04/10/2005)</v>
      </c>
      <c r="AC252"/>
    </row>
    <row r="253" spans="1:29" s="52" customFormat="1" x14ac:dyDescent="0.2">
      <c r="A253" s="57">
        <v>34</v>
      </c>
      <c r="B253" s="58" t="s">
        <v>102</v>
      </c>
      <c r="C253" s="57">
        <v>263</v>
      </c>
      <c r="D253" s="58" t="s">
        <v>383</v>
      </c>
      <c r="E253" s="59">
        <v>42248</v>
      </c>
      <c r="F253" s="58"/>
      <c r="G253" s="57">
        <v>660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Miss Sandra Namataka &amp; Miss Leilah Nakamaanya (01/09/2015 - present)</v>
      </c>
      <c r="AC253"/>
    </row>
    <row r="254" spans="1:29" s="52" customFormat="1" x14ac:dyDescent="0.2">
      <c r="A254" s="57">
        <v>34</v>
      </c>
      <c r="B254" s="58" t="s">
        <v>102</v>
      </c>
      <c r="C254" s="57">
        <v>259</v>
      </c>
      <c r="D254" s="58" t="s">
        <v>369</v>
      </c>
      <c r="E254" s="59">
        <v>41890</v>
      </c>
      <c r="F254" s="59">
        <v>42193</v>
      </c>
      <c r="G254" s="57">
        <v>620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Jade Parrett-Harris &amp; Robbyn McCarthy (08/09/2014 - 08/07/2015)</v>
      </c>
      <c r="AC254"/>
    </row>
    <row r="255" spans="1:29" s="52" customFormat="1" x14ac:dyDescent="0.2">
      <c r="A255" s="57">
        <v>34</v>
      </c>
      <c r="B255" s="58" t="s">
        <v>102</v>
      </c>
      <c r="C255" s="57">
        <v>237</v>
      </c>
      <c r="D255" s="58" t="s">
        <v>354</v>
      </c>
      <c r="E255" s="59">
        <v>41487</v>
      </c>
      <c r="F255" s="59">
        <v>41790</v>
      </c>
      <c r="G255" s="57">
        <v>620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Meena Flora &amp; Chloe Fisher (01/08/2013 - 31/05/2014)</v>
      </c>
      <c r="AC255"/>
    </row>
    <row r="256" spans="1:29" s="52" customFormat="1" x14ac:dyDescent="0.2">
      <c r="A256" s="57">
        <v>34</v>
      </c>
      <c r="B256" s="58" t="s">
        <v>102</v>
      </c>
      <c r="C256" s="57">
        <v>218</v>
      </c>
      <c r="D256" s="58" t="s">
        <v>337</v>
      </c>
      <c r="E256" s="59">
        <v>41122</v>
      </c>
      <c r="F256" s="59">
        <v>41425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Katie Nichols &amp; Sara Edwards (01/08/2012 - 31/05/2013)</v>
      </c>
      <c r="AC256"/>
    </row>
    <row r="257" spans="1:29" x14ac:dyDescent="0.2">
      <c r="A257" s="57">
        <v>34</v>
      </c>
      <c r="B257" s="58" t="s">
        <v>102</v>
      </c>
      <c r="C257" s="57">
        <v>204</v>
      </c>
      <c r="D257" s="58" t="s">
        <v>324</v>
      </c>
      <c r="E257" s="59">
        <v>40770</v>
      </c>
      <c r="F257" s="59">
        <v>41074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t="shared" si="3"/>
        <v>Dipali Patel &amp; Meera Patel (15/08/2011 - 14/06/2012)</v>
      </c>
    </row>
    <row r="258" spans="1:29" x14ac:dyDescent="0.2">
      <c r="A258" s="57">
        <v>34</v>
      </c>
      <c r="B258" s="58" t="s">
        <v>102</v>
      </c>
      <c r="C258" s="57">
        <v>184</v>
      </c>
      <c r="D258" s="58" t="s">
        <v>304</v>
      </c>
      <c r="E258" s="59">
        <v>40458</v>
      </c>
      <c r="F258" s="59">
        <v>40731</v>
      </c>
      <c r="G258" s="57">
        <v>595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t="shared" si="3"/>
        <v>Ru Jia (Nick) (07/10/2010 - 07/07/2011)</v>
      </c>
    </row>
    <row r="259" spans="1:29" x14ac:dyDescent="0.2">
      <c r="A259" s="57">
        <v>34</v>
      </c>
      <c r="B259" s="58" t="s">
        <v>102</v>
      </c>
      <c r="C259" s="57">
        <v>164</v>
      </c>
      <c r="D259" s="58" t="s">
        <v>282</v>
      </c>
      <c r="E259" s="59">
        <v>40151</v>
      </c>
      <c r="F259" s="59">
        <v>40454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t="shared" ref="AB259:AB275" si="4">IF(E259&lt;&gt;"",IF(F259="",D259&amp;" ("&amp;TEXT(E259,"dd/mm/yyyy")&amp;" - present)",D259&amp;" ("&amp;TEXT(E259,"dd/mm/yyyy")&amp;" - "&amp;TEXT(F259,"dd/mm/yyyy")&amp;")"),"")</f>
        <v>Georgina Shepherd (04/12/2009 - 03/10/2010)</v>
      </c>
    </row>
    <row r="260" spans="1:29" x14ac:dyDescent="0.2">
      <c r="A260" s="57">
        <v>34</v>
      </c>
      <c r="B260" s="58" t="s">
        <v>102</v>
      </c>
      <c r="C260" s="57">
        <v>146</v>
      </c>
      <c r="D260" s="58" t="s">
        <v>264</v>
      </c>
      <c r="E260" s="59">
        <v>39816</v>
      </c>
      <c r="F260" s="59">
        <v>40149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t="shared" si="4"/>
        <v>Marius Giulverzan &amp; Ann Tudor (03/01/2009 - 02/12/2009)</v>
      </c>
    </row>
    <row r="261" spans="1:29" x14ac:dyDescent="0.2">
      <c r="A261" s="57">
        <v>34</v>
      </c>
      <c r="B261" s="58" t="s">
        <v>102</v>
      </c>
      <c r="C261" s="57">
        <v>132</v>
      </c>
      <c r="D261" s="58" t="s">
        <v>250</v>
      </c>
      <c r="E261" s="59">
        <v>39602</v>
      </c>
      <c r="F261" s="59">
        <v>39815</v>
      </c>
      <c r="G261" s="57">
        <v>575</v>
      </c>
      <c r="H261" s="58" t="s">
        <v>29</v>
      </c>
      <c r="I261" s="58" t="s">
        <v>197</v>
      </c>
      <c r="J261" s="57">
        <v>0</v>
      </c>
      <c r="K261" s="58" t="s">
        <v>175</v>
      </c>
      <c r="L261" s="58" t="s">
        <v>101</v>
      </c>
      <c r="AB261" t="str">
        <f t="shared" si="4"/>
        <v>Adrian Mattei &amp; Elena Matei (03/06/2008 - 02/01/2009)</v>
      </c>
    </row>
    <row r="262" spans="1:29" x14ac:dyDescent="0.2">
      <c r="A262" s="57">
        <v>34</v>
      </c>
      <c r="B262" s="58" t="s">
        <v>102</v>
      </c>
      <c r="C262" s="57">
        <v>127</v>
      </c>
      <c r="D262" s="58" t="s">
        <v>39</v>
      </c>
      <c r="E262" s="59">
        <v>39517</v>
      </c>
      <c r="F262" s="59">
        <v>39532</v>
      </c>
      <c r="G262" s="57">
        <v>600</v>
      </c>
      <c r="H262" s="58" t="s">
        <v>29</v>
      </c>
      <c r="I262" s="58" t="s">
        <v>95</v>
      </c>
      <c r="J262" s="57">
        <v>10</v>
      </c>
      <c r="K262" s="58" t="s">
        <v>96</v>
      </c>
      <c r="L262" s="58" t="s">
        <v>97</v>
      </c>
      <c r="AB262" t="str">
        <f t="shared" si="4"/>
        <v>Urry (10/03/2008 - 25/03/2008)</v>
      </c>
    </row>
    <row r="263" spans="1:29" x14ac:dyDescent="0.2">
      <c r="A263" s="57">
        <v>34</v>
      </c>
      <c r="B263" s="58" t="s">
        <v>102</v>
      </c>
      <c r="C263" s="57">
        <v>80</v>
      </c>
      <c r="D263" s="58" t="s">
        <v>177</v>
      </c>
      <c r="E263" s="59">
        <v>38932</v>
      </c>
      <c r="F263" s="59">
        <v>39417</v>
      </c>
      <c r="G263" s="57">
        <v>550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97</v>
      </c>
      <c r="AB263" t="str">
        <f t="shared" si="4"/>
        <v>Diejomoah  (03/08/2006 - 01/12/2007)</v>
      </c>
    </row>
    <row r="264" spans="1:29" x14ac:dyDescent="0.2">
      <c r="A264" s="57">
        <v>34</v>
      </c>
      <c r="B264" s="58" t="s">
        <v>102</v>
      </c>
      <c r="C264" s="57">
        <v>44</v>
      </c>
      <c r="D264" s="58" t="s">
        <v>178</v>
      </c>
      <c r="E264" s="59">
        <v>38636</v>
      </c>
      <c r="F264" s="59">
        <v>38885</v>
      </c>
      <c r="G264" s="57">
        <v>595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AB264" t="str">
        <f t="shared" si="4"/>
        <v>Ampelas/Zachariou (11/10/2005 - 17/06/2006)</v>
      </c>
    </row>
    <row r="265" spans="1:29" x14ac:dyDescent="0.2">
      <c r="A265" s="57">
        <v>34</v>
      </c>
      <c r="B265" s="58" t="s">
        <v>102</v>
      </c>
      <c r="C265" s="57">
        <v>35</v>
      </c>
      <c r="D265" s="58" t="s">
        <v>179</v>
      </c>
      <c r="E265" s="59">
        <v>38507</v>
      </c>
      <c r="F265" s="59">
        <v>38625</v>
      </c>
      <c r="G265" s="57">
        <v>575</v>
      </c>
      <c r="H265" s="58" t="s">
        <v>29</v>
      </c>
      <c r="I265" s="58" t="s">
        <v>100</v>
      </c>
      <c r="J265" s="57">
        <v>65</v>
      </c>
      <c r="K265" s="58" t="s">
        <v>175</v>
      </c>
      <c r="L265" s="58" t="s">
        <v>101</v>
      </c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t="shared" si="4"/>
        <v xml:space="preserve"> Wells/Brooks (04/06/2005 - 30/09/2005)</v>
      </c>
      <c r="AC265" s="52"/>
    </row>
    <row r="266" spans="1:29" x14ac:dyDescent="0.2">
      <c r="A266" s="57">
        <v>44</v>
      </c>
      <c r="B266" s="58" t="s">
        <v>64</v>
      </c>
      <c r="C266" s="57">
        <v>268</v>
      </c>
      <c r="D266" s="58" t="s">
        <v>385</v>
      </c>
      <c r="E266" s="59">
        <v>42401</v>
      </c>
      <c r="F266" s="58"/>
      <c r="G266" s="57">
        <v>520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t="shared" si="4"/>
        <v>Ms J Henson (01/02/2016 - present)</v>
      </c>
    </row>
    <row r="267" spans="1:29" x14ac:dyDescent="0.2">
      <c r="A267" s="57">
        <v>44</v>
      </c>
      <c r="B267" s="58" t="s">
        <v>64</v>
      </c>
      <c r="C267" s="57">
        <v>57</v>
      </c>
      <c r="D267" s="58" t="s">
        <v>207</v>
      </c>
      <c r="E267" s="59">
        <v>38999</v>
      </c>
      <c r="F267" s="59">
        <v>42369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t="shared" si="4"/>
        <v>Noble (prev Tombs) (09/10/2006 - 31/12/2015)</v>
      </c>
    </row>
    <row r="268" spans="1:29" x14ac:dyDescent="0.2">
      <c r="A268" s="57">
        <v>44</v>
      </c>
      <c r="B268" s="58" t="s">
        <v>64</v>
      </c>
      <c r="C268" s="57">
        <v>61</v>
      </c>
      <c r="D268" s="58" t="s">
        <v>180</v>
      </c>
      <c r="E268" s="59">
        <v>38849</v>
      </c>
      <c r="F268" s="59">
        <v>38972</v>
      </c>
      <c r="G268" s="57">
        <v>460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t="shared" si="4"/>
        <v>E. Long (12/05/2006 - 12/09/2006)</v>
      </c>
    </row>
    <row r="269" spans="1:29" x14ac:dyDescent="0.2">
      <c r="A269" s="57">
        <v>17</v>
      </c>
      <c r="B269" s="58" t="s">
        <v>63</v>
      </c>
      <c r="C269" s="57">
        <v>198</v>
      </c>
      <c r="D269" s="58" t="s">
        <v>317</v>
      </c>
      <c r="E269" s="59">
        <v>40651</v>
      </c>
      <c r="F269" s="58"/>
      <c r="G269" s="57">
        <v>300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t="shared" si="4"/>
        <v>Martin Gliszczynski (18/04/2011 - present)</v>
      </c>
    </row>
    <row r="270" spans="1:29" x14ac:dyDescent="0.2">
      <c r="A270" s="57">
        <v>17</v>
      </c>
      <c r="B270" s="58" t="s">
        <v>63</v>
      </c>
      <c r="C270" s="57">
        <v>187</v>
      </c>
      <c r="D270" s="58" t="s">
        <v>302</v>
      </c>
      <c r="E270" s="59">
        <v>40438</v>
      </c>
      <c r="F270" s="59">
        <v>40438</v>
      </c>
      <c r="G270" s="57">
        <v>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t="shared" si="4"/>
        <v>P Adams (17/09/2010 - 17/09/2010)</v>
      </c>
    </row>
    <row r="271" spans="1:29" x14ac:dyDescent="0.2">
      <c r="A271" s="57">
        <v>17</v>
      </c>
      <c r="B271" s="58" t="s">
        <v>63</v>
      </c>
      <c r="C271" s="57">
        <v>171</v>
      </c>
      <c r="D271" s="58" t="s">
        <v>293</v>
      </c>
      <c r="E271" s="59">
        <v>40179</v>
      </c>
      <c r="F271" s="59">
        <v>40390</v>
      </c>
      <c r="G271" s="57">
        <v>380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t="shared" si="4"/>
        <v>S. Amin (01/01/2010 - 31/07/2010)</v>
      </c>
    </row>
    <row r="272" spans="1:29" x14ac:dyDescent="0.2">
      <c r="A272" s="57">
        <v>17</v>
      </c>
      <c r="B272" s="58" t="s">
        <v>63</v>
      </c>
      <c r="C272" s="57">
        <v>117</v>
      </c>
      <c r="D272" s="58" t="s">
        <v>204</v>
      </c>
      <c r="E272" s="59">
        <v>39479</v>
      </c>
      <c r="F272" s="59">
        <v>40025</v>
      </c>
      <c r="G272" s="57">
        <v>400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t="shared" si="4"/>
        <v>Oleg Korenev (01/02/2008 - 31/07/2009)</v>
      </c>
    </row>
    <row r="273" spans="1:28" x14ac:dyDescent="0.2">
      <c r="A273" s="57">
        <v>17</v>
      </c>
      <c r="B273" s="58" t="s">
        <v>63</v>
      </c>
      <c r="C273" s="57">
        <v>60</v>
      </c>
      <c r="D273" s="58" t="s">
        <v>181</v>
      </c>
      <c r="E273" s="59">
        <v>38909</v>
      </c>
      <c r="F273" s="59">
        <v>39458</v>
      </c>
      <c r="G273" s="57">
        <v>385</v>
      </c>
      <c r="H273" s="58" t="s">
        <v>29</v>
      </c>
      <c r="I273" s="58" t="s">
        <v>95</v>
      </c>
      <c r="J273" s="57">
        <v>10</v>
      </c>
      <c r="K273" s="58" t="s">
        <v>96</v>
      </c>
      <c r="L273" s="58" t="s">
        <v>97</v>
      </c>
      <c r="AB273" t="str">
        <f t="shared" si="4"/>
        <v>Yuppie Puppiez (11/07/2006 - 11/01/2008)</v>
      </c>
    </row>
    <row r="274" spans="1:28" x14ac:dyDescent="0.2">
      <c r="A274" s="57">
        <v>40</v>
      </c>
      <c r="B274" s="58" t="s">
        <v>122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t="shared" si="4"/>
        <v/>
      </c>
    </row>
    <row r="275" spans="1:28" x14ac:dyDescent="0.2">
      <c r="A275" s="57">
        <v>41</v>
      </c>
      <c r="B275" s="58" t="s">
        <v>125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AB275" t="str">
        <f t="shared" si="4"/>
        <v/>
      </c>
    </row>
    <row r="276" spans="1:28" x14ac:dyDescent="0.2">
      <c r="AB276" t="str">
        <f t="shared" ref="AB276:AB331" si="5">IF(E276&lt;&gt;"",IF(F276="",D276&amp;" ("&amp;TEXT(E276,"dd/mm/yyyy")&amp;" - present)",D276&amp;" ("&amp;TEXT(E276,"dd/mm/yyyy")&amp;" - "&amp;TEXT(F276,"dd/mm/yyyy")&amp;")"),"")</f>
        <v/>
      </c>
    </row>
    <row r="277" spans="1:28" x14ac:dyDescent="0.2">
      <c r="AB277" t="str">
        <f t="shared" si="5"/>
        <v/>
      </c>
    </row>
    <row r="278" spans="1:28" x14ac:dyDescent="0.2">
      <c r="AB278" t="str">
        <f t="shared" si="5"/>
        <v/>
      </c>
    </row>
    <row r="279" spans="1:28" x14ac:dyDescent="0.2">
      <c r="AB279" t="str">
        <f t="shared" si="5"/>
        <v/>
      </c>
    </row>
    <row r="280" spans="1:28" x14ac:dyDescent="0.2">
      <c r="AB280" t="str">
        <f t="shared" si="5"/>
        <v/>
      </c>
    </row>
    <row r="281" spans="1:28" x14ac:dyDescent="0.2">
      <c r="AB281" t="str">
        <f t="shared" si="5"/>
        <v/>
      </c>
    </row>
    <row r="282" spans="1:28" x14ac:dyDescent="0.2">
      <c r="AB282" t="str">
        <f t="shared" si="5"/>
        <v/>
      </c>
    </row>
    <row r="283" spans="1:28" x14ac:dyDescent="0.2">
      <c r="AB283" t="str">
        <f t="shared" si="5"/>
        <v/>
      </c>
    </row>
    <row r="284" spans="1:28" x14ac:dyDescent="0.2">
      <c r="AB284" t="str">
        <f t="shared" si="5"/>
        <v/>
      </c>
    </row>
    <row r="285" spans="1:28" x14ac:dyDescent="0.2">
      <c r="AB285" t="str">
        <f t="shared" si="5"/>
        <v/>
      </c>
    </row>
    <row r="286" spans="1:28" x14ac:dyDescent="0.2">
      <c r="AB286" t="str">
        <f t="shared" si="5"/>
        <v/>
      </c>
    </row>
    <row r="287" spans="1:28" x14ac:dyDescent="0.2">
      <c r="AB287" t="str">
        <f t="shared" si="5"/>
        <v/>
      </c>
    </row>
    <row r="288" spans="1:28" x14ac:dyDescent="0.2">
      <c r="AB288" t="str">
        <f t="shared" si="5"/>
        <v/>
      </c>
    </row>
    <row r="289" spans="28:28" x14ac:dyDescent="0.2">
      <c r="AB289" t="str">
        <f t="shared" si="5"/>
        <v/>
      </c>
    </row>
    <row r="290" spans="28:28" x14ac:dyDescent="0.2">
      <c r="AB290" t="str">
        <f t="shared" si="5"/>
        <v/>
      </c>
    </row>
    <row r="291" spans="28:28" x14ac:dyDescent="0.2">
      <c r="AB291" t="str">
        <f t="shared" si="5"/>
        <v/>
      </c>
    </row>
    <row r="292" spans="28:28" x14ac:dyDescent="0.2">
      <c r="AB292" t="str">
        <f t="shared" si="5"/>
        <v/>
      </c>
    </row>
    <row r="293" spans="28:28" x14ac:dyDescent="0.2">
      <c r="AB293" t="str">
        <f t="shared" si="5"/>
        <v/>
      </c>
    </row>
    <row r="294" spans="28:28" x14ac:dyDescent="0.2">
      <c r="AB294" t="str">
        <f t="shared" si="5"/>
        <v/>
      </c>
    </row>
    <row r="295" spans="28:28" x14ac:dyDescent="0.2">
      <c r="AB295" t="str">
        <f t="shared" si="5"/>
        <v/>
      </c>
    </row>
    <row r="296" spans="28:28" x14ac:dyDescent="0.2">
      <c r="AB296" t="str">
        <f t="shared" si="5"/>
        <v/>
      </c>
    </row>
    <row r="297" spans="28:28" x14ac:dyDescent="0.2">
      <c r="AB297" t="str">
        <f t="shared" si="5"/>
        <v/>
      </c>
    </row>
    <row r="298" spans="28:28" x14ac:dyDescent="0.2">
      <c r="AB298" t="str">
        <f t="shared" si="5"/>
        <v/>
      </c>
    </row>
    <row r="299" spans="28:28" x14ac:dyDescent="0.2">
      <c r="AB299" t="str">
        <f t="shared" si="5"/>
        <v/>
      </c>
    </row>
    <row r="300" spans="28:28" x14ac:dyDescent="0.2">
      <c r="AB300" t="str">
        <f t="shared" si="5"/>
        <v/>
      </c>
    </row>
    <row r="301" spans="28:28" x14ac:dyDescent="0.2">
      <c r="AB301" t="str">
        <f t="shared" si="5"/>
        <v/>
      </c>
    </row>
    <row r="302" spans="28:28" x14ac:dyDescent="0.2">
      <c r="AB302" t="str">
        <f t="shared" si="5"/>
        <v/>
      </c>
    </row>
    <row r="303" spans="28:28" x14ac:dyDescent="0.2">
      <c r="AB303" t="str">
        <f t="shared" si="5"/>
        <v/>
      </c>
    </row>
    <row r="304" spans="28:28" x14ac:dyDescent="0.2">
      <c r="AB304" t="str">
        <f t="shared" si="5"/>
        <v/>
      </c>
    </row>
    <row r="305" spans="28:28" x14ac:dyDescent="0.2">
      <c r="AB305" t="str">
        <f t="shared" si="5"/>
        <v/>
      </c>
    </row>
    <row r="306" spans="28:28" x14ac:dyDescent="0.2">
      <c r="AB306" t="str">
        <f t="shared" si="5"/>
        <v/>
      </c>
    </row>
    <row r="307" spans="28:28" x14ac:dyDescent="0.2">
      <c r="AB307" t="str">
        <f t="shared" si="5"/>
        <v/>
      </c>
    </row>
    <row r="308" spans="28:28" x14ac:dyDescent="0.2">
      <c r="AB308" t="str">
        <f t="shared" si="5"/>
        <v/>
      </c>
    </row>
    <row r="309" spans="28:28" x14ac:dyDescent="0.2">
      <c r="AB309" t="str">
        <f t="shared" si="5"/>
        <v/>
      </c>
    </row>
    <row r="310" spans="28:28" x14ac:dyDescent="0.2">
      <c r="AB310" t="str">
        <f t="shared" si="5"/>
        <v/>
      </c>
    </row>
    <row r="311" spans="28:28" x14ac:dyDescent="0.2">
      <c r="AB311" t="str">
        <f t="shared" si="5"/>
        <v/>
      </c>
    </row>
    <row r="312" spans="28:28" x14ac:dyDescent="0.2">
      <c r="AB312" t="str">
        <f t="shared" si="5"/>
        <v/>
      </c>
    </row>
    <row r="313" spans="28:28" x14ac:dyDescent="0.2">
      <c r="AB313" t="str">
        <f t="shared" si="5"/>
        <v/>
      </c>
    </row>
    <row r="314" spans="28:28" x14ac:dyDescent="0.2">
      <c r="AB314" t="str">
        <f t="shared" si="5"/>
        <v/>
      </c>
    </row>
    <row r="315" spans="28:28" x14ac:dyDescent="0.2">
      <c r="AB315" t="str">
        <f t="shared" si="5"/>
        <v/>
      </c>
    </row>
    <row r="316" spans="28:28" x14ac:dyDescent="0.2">
      <c r="AB316" t="str">
        <f t="shared" si="5"/>
        <v/>
      </c>
    </row>
    <row r="317" spans="28:28" x14ac:dyDescent="0.2">
      <c r="AB317" t="str">
        <f t="shared" si="5"/>
        <v/>
      </c>
    </row>
    <row r="318" spans="28:28" x14ac:dyDescent="0.2">
      <c r="AB318" t="str">
        <f t="shared" si="5"/>
        <v/>
      </c>
    </row>
    <row r="319" spans="28:28" x14ac:dyDescent="0.2">
      <c r="AB319" t="str">
        <f t="shared" si="5"/>
        <v/>
      </c>
    </row>
    <row r="320" spans="28:28" x14ac:dyDescent="0.2">
      <c r="AB320" t="str">
        <f t="shared" si="5"/>
        <v/>
      </c>
    </row>
    <row r="321" spans="28:28" x14ac:dyDescent="0.2">
      <c r="AB321" t="str">
        <f t="shared" si="5"/>
        <v/>
      </c>
    </row>
    <row r="322" spans="28:28" x14ac:dyDescent="0.2">
      <c r="AB322" t="str">
        <f t="shared" si="5"/>
        <v/>
      </c>
    </row>
    <row r="323" spans="28:28" x14ac:dyDescent="0.2">
      <c r="AB323" t="str">
        <f t="shared" si="5"/>
        <v/>
      </c>
    </row>
    <row r="324" spans="28:28" x14ac:dyDescent="0.2">
      <c r="AB324" t="str">
        <f t="shared" si="5"/>
        <v/>
      </c>
    </row>
    <row r="325" spans="28:28" x14ac:dyDescent="0.2">
      <c r="AB325" t="str">
        <f t="shared" si="5"/>
        <v/>
      </c>
    </row>
    <row r="326" spans="28:28" x14ac:dyDescent="0.2">
      <c r="AB326" t="str">
        <f t="shared" si="5"/>
        <v/>
      </c>
    </row>
    <row r="327" spans="28:28" x14ac:dyDescent="0.2">
      <c r="AB327" t="str">
        <f t="shared" si="5"/>
        <v/>
      </c>
    </row>
    <row r="328" spans="28:28" x14ac:dyDescent="0.2">
      <c r="AB328" t="str">
        <f t="shared" si="5"/>
        <v/>
      </c>
    </row>
    <row r="329" spans="28:28" x14ac:dyDescent="0.2">
      <c r="AB329" t="str">
        <f t="shared" si="5"/>
        <v/>
      </c>
    </row>
    <row r="330" spans="28:28" x14ac:dyDescent="0.2">
      <c r="AB330" t="str">
        <f t="shared" si="5"/>
        <v/>
      </c>
    </row>
    <row r="331" spans="28:28" x14ac:dyDescent="0.2">
      <c r="AB331" t="str">
        <f t="shared" si="5"/>
        <v/>
      </c>
    </row>
    <row r="332" spans="28:28" x14ac:dyDescent="0.2">
      <c r="AB332" t="str">
        <f t="shared" ref="AB332:AB395" si="6">IF(E332&lt;&gt;"",IF(F332="",D332&amp;" ("&amp;TEXT(E332,"dd/mm/yyyy")&amp;" - present)",D332&amp;" ("&amp;TEXT(E332,"dd/mm/yyyy")&amp;" - "&amp;TEXT(F332,"dd/mm/yyyy")&amp;")"),"")</f>
        <v/>
      </c>
    </row>
    <row r="333" spans="28:28" x14ac:dyDescent="0.2">
      <c r="AB333" t="str">
        <f t="shared" si="6"/>
        <v/>
      </c>
    </row>
    <row r="334" spans="28:28" x14ac:dyDescent="0.2">
      <c r="AB334" t="str">
        <f t="shared" si="6"/>
        <v/>
      </c>
    </row>
    <row r="335" spans="28:28" x14ac:dyDescent="0.2">
      <c r="AB335" t="str">
        <f t="shared" si="6"/>
        <v/>
      </c>
    </row>
    <row r="336" spans="28:28" x14ac:dyDescent="0.2">
      <c r="AB336" t="str">
        <f t="shared" si="6"/>
        <v/>
      </c>
    </row>
    <row r="337" spans="28:28" x14ac:dyDescent="0.2">
      <c r="AB337" t="str">
        <f t="shared" si="6"/>
        <v/>
      </c>
    </row>
    <row r="338" spans="28:28" x14ac:dyDescent="0.2">
      <c r="AB338" t="str">
        <f t="shared" si="6"/>
        <v/>
      </c>
    </row>
    <row r="339" spans="28:28" x14ac:dyDescent="0.2">
      <c r="AB339" t="str">
        <f t="shared" si="6"/>
        <v/>
      </c>
    </row>
    <row r="340" spans="28:28" x14ac:dyDescent="0.2">
      <c r="AB340" t="str">
        <f t="shared" si="6"/>
        <v/>
      </c>
    </row>
    <row r="341" spans="28:28" x14ac:dyDescent="0.2">
      <c r="AB341" t="str">
        <f t="shared" si="6"/>
        <v/>
      </c>
    </row>
    <row r="342" spans="28:28" x14ac:dyDescent="0.2">
      <c r="AB342" t="str">
        <f t="shared" si="6"/>
        <v/>
      </c>
    </row>
    <row r="343" spans="28:28" x14ac:dyDescent="0.2">
      <c r="AB343" t="str">
        <f t="shared" si="6"/>
        <v/>
      </c>
    </row>
    <row r="344" spans="28:28" x14ac:dyDescent="0.2">
      <c r="AB344" t="str">
        <f t="shared" si="6"/>
        <v/>
      </c>
    </row>
    <row r="345" spans="28:28" x14ac:dyDescent="0.2">
      <c r="AB345" t="str">
        <f t="shared" si="6"/>
        <v/>
      </c>
    </row>
    <row r="346" spans="28:28" x14ac:dyDescent="0.2">
      <c r="AB346" t="str">
        <f t="shared" si="6"/>
        <v/>
      </c>
    </row>
    <row r="347" spans="28:28" x14ac:dyDescent="0.2">
      <c r="AB347" t="str">
        <f t="shared" si="6"/>
        <v/>
      </c>
    </row>
    <row r="348" spans="28:28" x14ac:dyDescent="0.2">
      <c r="AB348" t="str">
        <f t="shared" si="6"/>
        <v/>
      </c>
    </row>
    <row r="349" spans="28:28" x14ac:dyDescent="0.2">
      <c r="AB349" t="str">
        <f t="shared" si="6"/>
        <v/>
      </c>
    </row>
    <row r="350" spans="28:28" x14ac:dyDescent="0.2">
      <c r="AB350" t="str">
        <f t="shared" si="6"/>
        <v/>
      </c>
    </row>
    <row r="351" spans="28:28" x14ac:dyDescent="0.2">
      <c r="AB351" t="str">
        <f t="shared" si="6"/>
        <v/>
      </c>
    </row>
    <row r="352" spans="28:28" x14ac:dyDescent="0.2">
      <c r="AB352" t="str">
        <f t="shared" si="6"/>
        <v/>
      </c>
    </row>
    <row r="353" spans="28:28" x14ac:dyDescent="0.2">
      <c r="AB353" t="str">
        <f t="shared" si="6"/>
        <v/>
      </c>
    </row>
    <row r="354" spans="28:28" x14ac:dyDescent="0.2">
      <c r="AB354" t="str">
        <f t="shared" si="6"/>
        <v/>
      </c>
    </row>
    <row r="355" spans="28:28" x14ac:dyDescent="0.2">
      <c r="AB355" t="str">
        <f t="shared" si="6"/>
        <v/>
      </c>
    </row>
    <row r="356" spans="28:28" x14ac:dyDescent="0.2">
      <c r="AB356" t="str">
        <f t="shared" si="6"/>
        <v/>
      </c>
    </row>
    <row r="357" spans="28:28" x14ac:dyDescent="0.2">
      <c r="AB357" t="str">
        <f t="shared" si="6"/>
        <v/>
      </c>
    </row>
    <row r="358" spans="28:28" x14ac:dyDescent="0.2">
      <c r="AB358" t="str">
        <f t="shared" si="6"/>
        <v/>
      </c>
    </row>
    <row r="359" spans="28:28" x14ac:dyDescent="0.2">
      <c r="AB359" t="str">
        <f t="shared" si="6"/>
        <v/>
      </c>
    </row>
    <row r="360" spans="28:28" x14ac:dyDescent="0.2">
      <c r="AB360" t="str">
        <f t="shared" si="6"/>
        <v/>
      </c>
    </row>
    <row r="361" spans="28:28" x14ac:dyDescent="0.2">
      <c r="AB361" t="str">
        <f t="shared" si="6"/>
        <v/>
      </c>
    </row>
    <row r="362" spans="28:28" x14ac:dyDescent="0.2">
      <c r="AB362" t="str">
        <f t="shared" si="6"/>
        <v/>
      </c>
    </row>
    <row r="363" spans="28:28" x14ac:dyDescent="0.2">
      <c r="AB363" t="str">
        <f t="shared" si="6"/>
        <v/>
      </c>
    </row>
    <row r="364" spans="28:28" x14ac:dyDescent="0.2">
      <c r="AB364" t="str">
        <f t="shared" si="6"/>
        <v/>
      </c>
    </row>
    <row r="365" spans="28:28" x14ac:dyDescent="0.2">
      <c r="AB365" t="str">
        <f t="shared" si="6"/>
        <v/>
      </c>
    </row>
    <row r="366" spans="28:28" x14ac:dyDescent="0.2">
      <c r="AB366" t="str">
        <f t="shared" si="6"/>
        <v/>
      </c>
    </row>
    <row r="367" spans="28:28" x14ac:dyDescent="0.2">
      <c r="AB367" t="str">
        <f t="shared" si="6"/>
        <v/>
      </c>
    </row>
    <row r="368" spans="28:28" x14ac:dyDescent="0.2">
      <c r="AB368" t="str">
        <f t="shared" si="6"/>
        <v/>
      </c>
    </row>
    <row r="369" spans="28:28" x14ac:dyDescent="0.2">
      <c r="AB369" t="str">
        <f t="shared" si="6"/>
        <v/>
      </c>
    </row>
    <row r="370" spans="28:28" x14ac:dyDescent="0.2">
      <c r="AB370" t="str">
        <f t="shared" si="6"/>
        <v/>
      </c>
    </row>
    <row r="371" spans="28:28" x14ac:dyDescent="0.2">
      <c r="AB371" t="str">
        <f t="shared" si="6"/>
        <v/>
      </c>
    </row>
    <row r="372" spans="28:28" x14ac:dyDescent="0.2">
      <c r="AB372" t="str">
        <f t="shared" si="6"/>
        <v/>
      </c>
    </row>
    <row r="373" spans="28:28" x14ac:dyDescent="0.2">
      <c r="AB373" t="str">
        <f t="shared" si="6"/>
        <v/>
      </c>
    </row>
    <row r="374" spans="28:28" x14ac:dyDescent="0.2">
      <c r="AB374" t="str">
        <f t="shared" si="6"/>
        <v/>
      </c>
    </row>
    <row r="375" spans="28:28" x14ac:dyDescent="0.2">
      <c r="AB375" t="str">
        <f t="shared" si="6"/>
        <v/>
      </c>
    </row>
    <row r="376" spans="28:28" x14ac:dyDescent="0.2">
      <c r="AB376" t="str">
        <f t="shared" si="6"/>
        <v/>
      </c>
    </row>
    <row r="377" spans="28:28" x14ac:dyDescent="0.2">
      <c r="AB377" t="str">
        <f t="shared" si="6"/>
        <v/>
      </c>
    </row>
    <row r="378" spans="28:28" x14ac:dyDescent="0.2">
      <c r="AB378" t="str">
        <f t="shared" si="6"/>
        <v/>
      </c>
    </row>
    <row r="379" spans="28:28" x14ac:dyDescent="0.2">
      <c r="AB379" t="str">
        <f t="shared" si="6"/>
        <v/>
      </c>
    </row>
    <row r="380" spans="28:28" x14ac:dyDescent="0.2">
      <c r="AB380" t="str">
        <f t="shared" si="6"/>
        <v/>
      </c>
    </row>
    <row r="381" spans="28:28" x14ac:dyDescent="0.2">
      <c r="AB381" t="str">
        <f t="shared" si="6"/>
        <v/>
      </c>
    </row>
    <row r="382" spans="28:28" x14ac:dyDescent="0.2">
      <c r="AB382" t="str">
        <f t="shared" si="6"/>
        <v/>
      </c>
    </row>
    <row r="383" spans="28:28" x14ac:dyDescent="0.2">
      <c r="AB383" t="str">
        <f t="shared" si="6"/>
        <v/>
      </c>
    </row>
    <row r="384" spans="28:28" x14ac:dyDescent="0.2">
      <c r="AB384" t="str">
        <f t="shared" si="6"/>
        <v/>
      </c>
    </row>
    <row r="385" spans="28:28" x14ac:dyDescent="0.2">
      <c r="AB385" t="str">
        <f t="shared" si="6"/>
        <v/>
      </c>
    </row>
    <row r="386" spans="28:28" x14ac:dyDescent="0.2">
      <c r="AB386" t="str">
        <f t="shared" si="6"/>
        <v/>
      </c>
    </row>
    <row r="387" spans="28:28" x14ac:dyDescent="0.2">
      <c r="AB387" t="str">
        <f t="shared" si="6"/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ref="AB396:AB459" si="7">IF(E396&lt;&gt;"",IF(F396="",D396&amp;" ("&amp;TEXT(E396,"dd/mm/yyyy")&amp;" - present)",D396&amp;" ("&amp;TEXT(E396,"dd/mm/yyyy")&amp;" - "&amp;TEXT(F396,"dd/mm/yyyy")&amp;")"),"")</f>
        <v/>
      </c>
    </row>
    <row r="397" spans="28:28" x14ac:dyDescent="0.2">
      <c r="AB397" t="str">
        <f t="shared" si="7"/>
        <v/>
      </c>
    </row>
    <row r="398" spans="28:28" x14ac:dyDescent="0.2">
      <c r="AB398" t="str">
        <f t="shared" si="7"/>
        <v/>
      </c>
    </row>
    <row r="399" spans="28:28" x14ac:dyDescent="0.2">
      <c r="AB399" t="str">
        <f t="shared" si="7"/>
        <v/>
      </c>
    </row>
    <row r="400" spans="28:28" x14ac:dyDescent="0.2">
      <c r="AB400" t="str">
        <f t="shared" si="7"/>
        <v/>
      </c>
    </row>
    <row r="401" spans="28:28" x14ac:dyDescent="0.2">
      <c r="AB401" t="str">
        <f t="shared" si="7"/>
        <v/>
      </c>
    </row>
    <row r="402" spans="28:28" x14ac:dyDescent="0.2">
      <c r="AB402" t="str">
        <f t="shared" si="7"/>
        <v/>
      </c>
    </row>
    <row r="403" spans="28:28" x14ac:dyDescent="0.2">
      <c r="AB403" t="str">
        <f t="shared" si="7"/>
        <v/>
      </c>
    </row>
    <row r="404" spans="28:28" x14ac:dyDescent="0.2">
      <c r="AB404" t="str">
        <f t="shared" si="7"/>
        <v/>
      </c>
    </row>
    <row r="405" spans="28:28" x14ac:dyDescent="0.2">
      <c r="AB405" t="str">
        <f t="shared" si="7"/>
        <v/>
      </c>
    </row>
    <row r="406" spans="28:28" x14ac:dyDescent="0.2">
      <c r="AB406" t="str">
        <f t="shared" si="7"/>
        <v/>
      </c>
    </row>
    <row r="407" spans="28:28" x14ac:dyDescent="0.2">
      <c r="AB407" t="str">
        <f t="shared" si="7"/>
        <v/>
      </c>
    </row>
    <row r="408" spans="28:28" x14ac:dyDescent="0.2">
      <c r="AB408" t="str">
        <f t="shared" si="7"/>
        <v/>
      </c>
    </row>
    <row r="409" spans="28:28" x14ac:dyDescent="0.2">
      <c r="AB409" t="str">
        <f t="shared" si="7"/>
        <v/>
      </c>
    </row>
    <row r="410" spans="28:28" x14ac:dyDescent="0.2">
      <c r="AB410" t="str">
        <f t="shared" si="7"/>
        <v/>
      </c>
    </row>
    <row r="411" spans="28:28" x14ac:dyDescent="0.2">
      <c r="AB411" t="str">
        <f t="shared" si="7"/>
        <v/>
      </c>
    </row>
    <row r="412" spans="28:28" x14ac:dyDescent="0.2">
      <c r="AB412" t="str">
        <f t="shared" si="7"/>
        <v/>
      </c>
    </row>
    <row r="413" spans="28:28" x14ac:dyDescent="0.2">
      <c r="AB413" t="str">
        <f t="shared" si="7"/>
        <v/>
      </c>
    </row>
    <row r="414" spans="28:28" x14ac:dyDescent="0.2">
      <c r="AB414" t="str">
        <f t="shared" si="7"/>
        <v/>
      </c>
    </row>
    <row r="415" spans="28:28" x14ac:dyDescent="0.2">
      <c r="AB415" t="str">
        <f t="shared" si="7"/>
        <v/>
      </c>
    </row>
    <row r="416" spans="28:28" x14ac:dyDescent="0.2">
      <c r="AB416" t="str">
        <f t="shared" si="7"/>
        <v/>
      </c>
    </row>
    <row r="417" spans="28:28" x14ac:dyDescent="0.2">
      <c r="AB417" t="str">
        <f t="shared" si="7"/>
        <v/>
      </c>
    </row>
    <row r="418" spans="28:28" x14ac:dyDescent="0.2">
      <c r="AB418" t="str">
        <f t="shared" si="7"/>
        <v/>
      </c>
    </row>
    <row r="419" spans="28:28" x14ac:dyDescent="0.2">
      <c r="AB419" t="str">
        <f t="shared" si="7"/>
        <v/>
      </c>
    </row>
    <row r="420" spans="28:28" x14ac:dyDescent="0.2">
      <c r="AB420" t="str">
        <f t="shared" si="7"/>
        <v/>
      </c>
    </row>
    <row r="421" spans="28:28" x14ac:dyDescent="0.2">
      <c r="AB421" t="str">
        <f t="shared" si="7"/>
        <v/>
      </c>
    </row>
    <row r="422" spans="28:28" x14ac:dyDescent="0.2">
      <c r="AB422" t="str">
        <f t="shared" si="7"/>
        <v/>
      </c>
    </row>
    <row r="423" spans="28:28" x14ac:dyDescent="0.2">
      <c r="AB423" t="str">
        <f t="shared" si="7"/>
        <v/>
      </c>
    </row>
    <row r="424" spans="28:28" x14ac:dyDescent="0.2">
      <c r="AB424" t="str">
        <f t="shared" si="7"/>
        <v/>
      </c>
    </row>
    <row r="425" spans="28:28" x14ac:dyDescent="0.2">
      <c r="AB425" t="str">
        <f t="shared" si="7"/>
        <v/>
      </c>
    </row>
    <row r="426" spans="28:28" x14ac:dyDescent="0.2">
      <c r="AB426" t="str">
        <f t="shared" si="7"/>
        <v/>
      </c>
    </row>
    <row r="427" spans="28:28" x14ac:dyDescent="0.2">
      <c r="AB427" t="str">
        <f t="shared" si="7"/>
        <v/>
      </c>
    </row>
    <row r="428" spans="28:28" x14ac:dyDescent="0.2">
      <c r="AB428" t="str">
        <f t="shared" si="7"/>
        <v/>
      </c>
    </row>
    <row r="429" spans="28:28" x14ac:dyDescent="0.2">
      <c r="AB429" t="str">
        <f t="shared" si="7"/>
        <v/>
      </c>
    </row>
    <row r="430" spans="28:28" x14ac:dyDescent="0.2">
      <c r="AB430" t="str">
        <f t="shared" si="7"/>
        <v/>
      </c>
    </row>
    <row r="431" spans="28:28" x14ac:dyDescent="0.2">
      <c r="AB431" t="str">
        <f t="shared" si="7"/>
        <v/>
      </c>
    </row>
    <row r="432" spans="28:28" x14ac:dyDescent="0.2">
      <c r="AB432" t="str">
        <f t="shared" si="7"/>
        <v/>
      </c>
    </row>
    <row r="433" spans="28:28" x14ac:dyDescent="0.2">
      <c r="AB433" t="str">
        <f t="shared" si="7"/>
        <v/>
      </c>
    </row>
    <row r="434" spans="28:28" x14ac:dyDescent="0.2">
      <c r="AB434" t="str">
        <f t="shared" si="7"/>
        <v/>
      </c>
    </row>
    <row r="435" spans="28:28" x14ac:dyDescent="0.2">
      <c r="AB435" t="str">
        <f t="shared" si="7"/>
        <v/>
      </c>
    </row>
    <row r="436" spans="28:28" x14ac:dyDescent="0.2">
      <c r="AB436" t="str">
        <f t="shared" si="7"/>
        <v/>
      </c>
    </row>
    <row r="437" spans="28:28" x14ac:dyDescent="0.2">
      <c r="AB437" t="str">
        <f t="shared" si="7"/>
        <v/>
      </c>
    </row>
    <row r="438" spans="28:28" x14ac:dyDescent="0.2">
      <c r="AB438" t="str">
        <f t="shared" si="7"/>
        <v/>
      </c>
    </row>
    <row r="439" spans="28:28" x14ac:dyDescent="0.2">
      <c r="AB439" t="str">
        <f t="shared" si="7"/>
        <v/>
      </c>
    </row>
    <row r="440" spans="28:28" x14ac:dyDescent="0.2">
      <c r="AB440" t="str">
        <f t="shared" si="7"/>
        <v/>
      </c>
    </row>
    <row r="441" spans="28:28" x14ac:dyDescent="0.2">
      <c r="AB441" t="str">
        <f t="shared" si="7"/>
        <v/>
      </c>
    </row>
    <row r="442" spans="28:28" x14ac:dyDescent="0.2">
      <c r="AB442" t="str">
        <f t="shared" si="7"/>
        <v/>
      </c>
    </row>
    <row r="443" spans="28:28" x14ac:dyDescent="0.2">
      <c r="AB443" t="str">
        <f t="shared" si="7"/>
        <v/>
      </c>
    </row>
    <row r="444" spans="28:28" x14ac:dyDescent="0.2">
      <c r="AB444" t="str">
        <f t="shared" si="7"/>
        <v/>
      </c>
    </row>
    <row r="445" spans="28:28" x14ac:dyDescent="0.2">
      <c r="AB445" t="str">
        <f t="shared" si="7"/>
        <v/>
      </c>
    </row>
    <row r="446" spans="28:28" x14ac:dyDescent="0.2">
      <c r="AB446" t="str">
        <f t="shared" si="7"/>
        <v/>
      </c>
    </row>
    <row r="447" spans="28:28" x14ac:dyDescent="0.2">
      <c r="AB447" t="str">
        <f t="shared" si="7"/>
        <v/>
      </c>
    </row>
    <row r="448" spans="28:28" x14ac:dyDescent="0.2">
      <c r="AB448" t="str">
        <f t="shared" si="7"/>
        <v/>
      </c>
    </row>
    <row r="449" spans="28:28" x14ac:dyDescent="0.2">
      <c r="AB449" t="str">
        <f t="shared" si="7"/>
        <v/>
      </c>
    </row>
    <row r="450" spans="28:28" x14ac:dyDescent="0.2">
      <c r="AB450" t="str">
        <f t="shared" si="7"/>
        <v/>
      </c>
    </row>
    <row r="451" spans="28:28" x14ac:dyDescent="0.2">
      <c r="AB451" t="str">
        <f t="shared" si="7"/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ref="AB460:AB510" si="8">IF(E460&lt;&gt;"",IF(F460="",D460&amp;" ("&amp;TEXT(E460,"dd/mm/yyyy")&amp;" - present)",D460&amp;" ("&amp;TEXT(E460,"dd/mm/yyyy")&amp;" - "&amp;TEXT(F460,"dd/mm/yyyy")&amp;")"),"")</f>
        <v/>
      </c>
    </row>
    <row r="461" spans="28:28" x14ac:dyDescent="0.2">
      <c r="AB461" t="str">
        <f t="shared" si="8"/>
        <v/>
      </c>
    </row>
    <row r="462" spans="28:28" x14ac:dyDescent="0.2">
      <c r="AB462" t="str">
        <f t="shared" si="8"/>
        <v/>
      </c>
    </row>
    <row r="463" spans="28:28" x14ac:dyDescent="0.2">
      <c r="AB463" t="str">
        <f t="shared" si="8"/>
        <v/>
      </c>
    </row>
    <row r="464" spans="28:28" x14ac:dyDescent="0.2">
      <c r="AB464" t="str">
        <f t="shared" si="8"/>
        <v/>
      </c>
    </row>
    <row r="465" spans="28:28" x14ac:dyDescent="0.2">
      <c r="AB465" t="str">
        <f t="shared" si="8"/>
        <v/>
      </c>
    </row>
    <row r="466" spans="28:28" x14ac:dyDescent="0.2">
      <c r="AB466" t="str">
        <f t="shared" si="8"/>
        <v/>
      </c>
    </row>
    <row r="467" spans="28:28" x14ac:dyDescent="0.2">
      <c r="AB467" t="str">
        <f t="shared" si="8"/>
        <v/>
      </c>
    </row>
    <row r="468" spans="28:28" x14ac:dyDescent="0.2">
      <c r="AB468" t="str">
        <f t="shared" si="8"/>
        <v/>
      </c>
    </row>
    <row r="469" spans="28:28" x14ac:dyDescent="0.2">
      <c r="AB469" t="str">
        <f t="shared" si="8"/>
        <v/>
      </c>
    </row>
    <row r="470" spans="28:28" x14ac:dyDescent="0.2">
      <c r="AB470" t="str">
        <f t="shared" si="8"/>
        <v/>
      </c>
    </row>
    <row r="471" spans="28:28" x14ac:dyDescent="0.2">
      <c r="AB471" t="str">
        <f t="shared" si="8"/>
        <v/>
      </c>
    </row>
    <row r="472" spans="28:28" x14ac:dyDescent="0.2">
      <c r="AB472" t="str">
        <f t="shared" si="8"/>
        <v/>
      </c>
    </row>
    <row r="473" spans="28:28" x14ac:dyDescent="0.2">
      <c r="AB473" t="str">
        <f t="shared" si="8"/>
        <v/>
      </c>
    </row>
    <row r="474" spans="28:28" x14ac:dyDescent="0.2">
      <c r="AB474" t="str">
        <f t="shared" si="8"/>
        <v/>
      </c>
    </row>
    <row r="475" spans="28:28" x14ac:dyDescent="0.2">
      <c r="AB475" t="str">
        <f t="shared" si="8"/>
        <v/>
      </c>
    </row>
    <row r="476" spans="28:28" x14ac:dyDescent="0.2">
      <c r="AB476" t="str">
        <f t="shared" si="8"/>
        <v/>
      </c>
    </row>
    <row r="477" spans="28:28" x14ac:dyDescent="0.2">
      <c r="AB477" t="str">
        <f t="shared" si="8"/>
        <v/>
      </c>
    </row>
    <row r="478" spans="28:28" x14ac:dyDescent="0.2">
      <c r="AB478" t="str">
        <f t="shared" si="8"/>
        <v/>
      </c>
    </row>
    <row r="479" spans="28:28" x14ac:dyDescent="0.2">
      <c r="AB479" t="str">
        <f t="shared" si="8"/>
        <v/>
      </c>
    </row>
    <row r="480" spans="28:28" x14ac:dyDescent="0.2">
      <c r="AB480" t="str">
        <f t="shared" si="8"/>
        <v/>
      </c>
    </row>
    <row r="481" spans="28:28" x14ac:dyDescent="0.2">
      <c r="AB481" t="str">
        <f t="shared" si="8"/>
        <v/>
      </c>
    </row>
    <row r="482" spans="28:28" x14ac:dyDescent="0.2">
      <c r="AB482" t="str">
        <f t="shared" si="8"/>
        <v/>
      </c>
    </row>
    <row r="483" spans="28:28" x14ac:dyDescent="0.2">
      <c r="AB483" t="str">
        <f t="shared" si="8"/>
        <v/>
      </c>
    </row>
    <row r="484" spans="28:28" x14ac:dyDescent="0.2">
      <c r="AB484" t="str">
        <f t="shared" si="8"/>
        <v/>
      </c>
    </row>
    <row r="485" spans="28:28" x14ac:dyDescent="0.2">
      <c r="AB485" t="str">
        <f t="shared" si="8"/>
        <v/>
      </c>
    </row>
    <row r="486" spans="28:28" x14ac:dyDescent="0.2">
      <c r="AB486" t="str">
        <f t="shared" si="8"/>
        <v/>
      </c>
    </row>
    <row r="487" spans="28:28" x14ac:dyDescent="0.2">
      <c r="AB487" t="str">
        <f t="shared" si="8"/>
        <v/>
      </c>
    </row>
    <row r="488" spans="28:28" x14ac:dyDescent="0.2">
      <c r="AB488" t="str">
        <f t="shared" si="8"/>
        <v/>
      </c>
    </row>
    <row r="489" spans="28:28" x14ac:dyDescent="0.2">
      <c r="AB489" t="str">
        <f t="shared" si="8"/>
        <v/>
      </c>
    </row>
    <row r="490" spans="28:28" x14ac:dyDescent="0.2">
      <c r="AB490" t="str">
        <f t="shared" si="8"/>
        <v/>
      </c>
    </row>
    <row r="491" spans="28:28" x14ac:dyDescent="0.2">
      <c r="AB491" t="str">
        <f t="shared" si="8"/>
        <v/>
      </c>
    </row>
    <row r="492" spans="28:28" x14ac:dyDescent="0.2">
      <c r="AB492" t="str">
        <f t="shared" si="8"/>
        <v/>
      </c>
    </row>
    <row r="493" spans="28:28" x14ac:dyDescent="0.2">
      <c r="AB493" t="str">
        <f t="shared" si="8"/>
        <v/>
      </c>
    </row>
    <row r="494" spans="28:28" x14ac:dyDescent="0.2">
      <c r="AB494" t="str">
        <f t="shared" si="8"/>
        <v/>
      </c>
    </row>
    <row r="495" spans="28:28" x14ac:dyDescent="0.2">
      <c r="AB495" t="str">
        <f t="shared" si="8"/>
        <v/>
      </c>
    </row>
    <row r="496" spans="28:28" x14ac:dyDescent="0.2">
      <c r="AB496" t="str">
        <f t="shared" si="8"/>
        <v/>
      </c>
    </row>
    <row r="497" spans="28:28" x14ac:dyDescent="0.2">
      <c r="AB497" t="str">
        <f t="shared" si="8"/>
        <v/>
      </c>
    </row>
    <row r="498" spans="28:28" x14ac:dyDescent="0.2">
      <c r="AB498" t="str">
        <f t="shared" si="8"/>
        <v/>
      </c>
    </row>
    <row r="499" spans="28:28" x14ac:dyDescent="0.2">
      <c r="AB499" t="str">
        <f t="shared" si="8"/>
        <v/>
      </c>
    </row>
    <row r="500" spans="28:28" x14ac:dyDescent="0.2">
      <c r="AB500" t="str">
        <f t="shared" si="8"/>
        <v/>
      </c>
    </row>
    <row r="501" spans="28:28" x14ac:dyDescent="0.2">
      <c r="AB501" t="str">
        <f t="shared" si="8"/>
        <v/>
      </c>
    </row>
    <row r="502" spans="28:28" x14ac:dyDescent="0.2">
      <c r="AB502" t="str">
        <f t="shared" si="8"/>
        <v/>
      </c>
    </row>
    <row r="503" spans="28:28" x14ac:dyDescent="0.2">
      <c r="AB503" t="str">
        <f t="shared" si="8"/>
        <v/>
      </c>
    </row>
    <row r="504" spans="28:28" x14ac:dyDescent="0.2">
      <c r="AB504" t="str">
        <f t="shared" si="8"/>
        <v/>
      </c>
    </row>
    <row r="505" spans="28:28" x14ac:dyDescent="0.2">
      <c r="AB505" t="str">
        <f t="shared" si="8"/>
        <v/>
      </c>
    </row>
    <row r="506" spans="28:28" x14ac:dyDescent="0.2">
      <c r="AB506" t="str">
        <f t="shared" si="8"/>
        <v/>
      </c>
    </row>
    <row r="507" spans="28:28" x14ac:dyDescent="0.2">
      <c r="AB507" t="str">
        <f t="shared" si="8"/>
        <v/>
      </c>
    </row>
    <row r="508" spans="28:28" x14ac:dyDescent="0.2">
      <c r="AB508" t="str">
        <f t="shared" si="8"/>
        <v/>
      </c>
    </row>
    <row r="509" spans="28:28" x14ac:dyDescent="0.2">
      <c r="AB509" t="str">
        <f t="shared" si="8"/>
        <v/>
      </c>
    </row>
    <row r="510" spans="28:28" x14ac:dyDescent="0.2">
      <c r="AB510" t="str">
        <f t="shared" si="8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workbookViewId="0">
      <selection activeCell="E32" sqref="E32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557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559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s="47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558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s="47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561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s="47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575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s="47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560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s="47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s="47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s="47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2019-10-12T20:18:14Z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