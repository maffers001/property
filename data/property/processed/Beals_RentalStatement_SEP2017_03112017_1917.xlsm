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0" yWindow="0" windowWidth="28800" windowHeight="13785"/>
  </bookViews>
  <sheets>
    <sheet name="Rent Statement" sheetId="1" r:id="rId1"/>
    <sheet name="Import" sheetId="31686" r:id="rId2"/>
    <sheet name="Statistics" sheetId="31690" r:id="rId3"/>
    <sheet name="Statistics-1" sheetId="31695" r:id="rId4"/>
    <sheet name="MT" sheetId="31688" r:id="rId5"/>
    <sheet name="MT (1585)" sheetId="31694" r:id="rId6"/>
    <sheet name="IV" sheetId="31689" r:id="rId7"/>
    <sheet name="IV (4040)" sheetId="31692" r:id="rId8"/>
    <sheet name="Beals" sheetId="31687" r:id="rId9"/>
    <sheet name="Managed Properties" sheetId="31681" r:id="rId10"/>
    <sheet name="Tenancies" sheetId="31680" r:id="rId11"/>
    <sheet name="Expense Categories" sheetId="31683" r:id="rId12"/>
    <sheet name="Rent Status" sheetId="31685" r:id="rId13"/>
  </sheets>
  <functionGroups builtInGroupCount="19"/>
  <definedNames>
    <definedName name="_xlnm._FilterDatabase" localSheetId="8" hidden="1">Beals!$A$1:$I$238</definedName>
    <definedName name="_xlnm._FilterDatabase" localSheetId="6" hidden="1">IV!$A$1:$I$69</definedName>
    <definedName name="_xlnm._FilterDatabase" localSheetId="7" hidden="1">'IV (4040)'!$A$1:$I$115</definedName>
    <definedName name="_xlnm._FilterDatabase" localSheetId="4" hidden="1">MT!$A$1:$I$145</definedName>
    <definedName name="_xlnm._FilterDatabase" localSheetId="5" hidden="1">'MT (1585)'!$A$1:$I$141</definedName>
    <definedName name="_xlnm._FilterDatabase" localSheetId="0" hidden="1">'Rent Statement'!$B$7:$U$63</definedName>
    <definedName name="_xlnm._FilterDatabase" localSheetId="10" hidden="1">Tenancies!$A$1:$L$255</definedName>
    <definedName name="BillListStart" localSheetId="7">#REF!</definedName>
    <definedName name="BillListStart" localSheetId="5">#REF!</definedName>
    <definedName name="BillListStart" localSheetId="3">#REF!</definedName>
    <definedName name="BillListStart">#REF!</definedName>
    <definedName name="BillPropertyList" localSheetId="7">#REF!</definedName>
    <definedName name="BillPropertyList" localSheetId="5">#REF!</definedName>
    <definedName name="BillPropertyList" localSheetId="3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 localSheetId="5">'MT (1585)'!$D$2:$D$500</definedName>
    <definedName name="MT_Amount">MT!$D$2:$D$500</definedName>
    <definedName name="MT_BankRef" localSheetId="5">'MT (1585)'!$F$2:$F$500</definedName>
    <definedName name="MT_BankRef">MT!$F$2:$F$500</definedName>
    <definedName name="MT_Desc" localSheetId="5">'MT (1585)'!$H$2:$H$500</definedName>
    <definedName name="MT_Desc">MT!$H$2:$H$500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10" i="31690" l="1"/>
  <c r="I9" i="31690"/>
  <c r="I8" i="31690"/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7" i="31690" l="1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9" i="31690"/>
  <c r="B22" i="31690"/>
  <c r="B18" i="31690"/>
  <c r="B24" i="31690"/>
  <c r="B33" i="31690"/>
  <c r="C18" i="31690"/>
  <c r="B31" i="31690"/>
  <c r="C34" i="31690"/>
  <c r="C26" i="31690"/>
  <c r="C32" i="31690"/>
  <c r="B21" i="31690"/>
  <c r="B29" i="31690"/>
  <c r="B17" i="31690"/>
  <c r="B32" i="31690"/>
  <c r="C24" i="31690"/>
  <c r="C17" i="31690"/>
  <c r="B25" i="31690"/>
  <c r="B30" i="31690"/>
  <c r="C30" i="31690"/>
  <c r="C21" i="31690"/>
  <c r="B34" i="31690"/>
  <c r="C22" i="31690"/>
  <c r="C33" i="31690"/>
  <c r="C25" i="31690"/>
  <c r="C31" i="31690"/>
  <c r="C29" i="31690"/>
  <c r="E38" i="31690"/>
  <c r="B26" i="31690"/>
  <c r="B35" i="31690" l="1"/>
  <c r="C35" i="31690"/>
  <c r="C19" i="31690"/>
  <c r="B19" i="31690"/>
  <c r="F37" i="31690"/>
  <c r="E37" i="31690"/>
  <c r="D29" i="31690"/>
  <c r="D30" i="31690"/>
  <c r="D31" i="31690"/>
  <c r="D32" i="31690"/>
  <c r="D33" i="31690"/>
  <c r="D34" i="31690"/>
  <c r="F38" i="31690"/>
  <c r="B12" i="31690"/>
  <c r="E12" i="31690"/>
  <c r="B15" i="31690" s="1"/>
  <c r="H12" i="31690"/>
  <c r="C15" i="31690" s="1"/>
  <c r="D35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F35" i="31690" l="1"/>
  <c r="F40" i="31690" s="1"/>
  <c r="E35" i="31690"/>
  <c r="E40" i="31690" s="1"/>
  <c r="E46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<sst xmlns="http://schemas.openxmlformats.org/spreadsheetml/2006/main" count="4503" uniqueCount="1060">
  <si>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</si>
  <si>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</si>
  <si>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</si>
  <si>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</si>
  <si>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</si>
  <si>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</si>
  <si>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</si>
  <si>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</si>
  <si>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</si>
  <si>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</si>
  <si>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</si>
  <si>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</si>
  <si>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</si>
  <si>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</si>
  <si>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</si>
  <si>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</si>
  <si>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</si>
  <si>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</si>
  <si>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</si>
  <si>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</si>
  <si>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</si>
  <si>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</si>
  <si>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</si>
  <si>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</si>
  <si>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</si>
  <si>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</si>
  <si>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</si>
  <si>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</si>
  <si>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</si>
  <si>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</si>
  <si>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</si>
  <si>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</si>
  <si>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</si>
  <si>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</si>
  <si>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</si>
  <si>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</si>
  <si>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</si>
  <si>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</si>
  <si>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</si>
  <si>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</si>
  <si>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</si>
  <si>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</si>
  <si>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</si>
  <si>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</si>
  <si>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</si>
  <si>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</si>
  <si>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</si>
  <si>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</si>
  <si>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</si>
  <si>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</si>
  <si>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</si>
  <si>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</si>
  <si>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</si>
  <si>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</si>
  <si>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</si>
  <si>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</si>
  <si>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</si>
  <si>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</si>
  <si>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</si>
  <si>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</si>
  <si>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</si>
  <si>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</si>
  <si>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</si>
  <si>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</si>
  <si>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</si>
  <si>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</si>
  <si>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</si>
  <si>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</si>
  <si>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</si>
  <si>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</si>
  <si>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</si>
  <si>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</si>
  <si>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</si>
  <si>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</si>
  <si>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</si>
  <si>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</si>
  <si>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</si>
  <si>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</si>
  <si>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</si>
  <si>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</si>
  <si>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</si>
  <si>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</si>
  <si>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</si>
  <si>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</si>
  <si>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</si>
  <si>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</si>
  <si>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</si>
  <si>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</si>
  <si>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</si>
  <si>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</si>
  <si>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</si>
  <si>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</si>
  <si>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</si>
  <si>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</si>
  <si>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</si>
  <si>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</si>
  <si>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</si>
  <si>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</si>
  <si>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</si>
  <si>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</si>
  <si>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</si>
  <si>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</si>
  <si>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</si>
  <si>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</si>
  <si>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</si>
  <si>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</si>
  <si>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</si>
  <si>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</si>
  <si>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</si>
  <si>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</si>
  <si>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</si>
  <si>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</si>
  <si>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</si>
  <si>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</si>
  <si>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</si>
  <si>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</si>
  <si>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</si>
  <si>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</si>
  <si>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</si>
  <si>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</si>
  <si>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</si>
  <si>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</si>
  <si>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</si>
  <si>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</si>
  <si>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</si>
  <si>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</si>
  <si>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</si>
  <si>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</si>
  <si>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</si>
  <si>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</si>
  <si>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</si>
  <si>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</si>
  <si>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</si>
  <si>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</si>
  <si>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</si>
  <si>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</si>
  <si>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</si>
  <si>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</si>
  <si>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</si>
  <si>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</si>
  <si>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</si>
  <si>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</si>
  <si>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</si>
  <si>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</si>
  <si>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</si>
  <si>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</si>
  <si>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</si>
  <si>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</si>
  <si>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</si>
  <si>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</si>
  <si>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</si>
  <si>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</si>
  <si>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</si>
  <si>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</si>
  <si>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</si>
  <si>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</si>
  <si>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</si>
  <si>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</si>
  <si>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</si>
  <si>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</si>
  <si>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</si>
  <si>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</si>
  <si>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</si>
  <si>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</si>
  <si>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</si>
  <si>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</si>
  <si>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</si>
  <si>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</si>
  <si>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</si>
  <si>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</si>
  <si>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</si>
  <si>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</si>
  <si>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</si>
  <si>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</si>
  <si>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</si>
  <si>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</si>
  <si>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</si>
  <si>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</si>
  <si>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</si>
  <si>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</si>
  <si>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</si>
  <si>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</si>
  <si>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</si>
  <si>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</si>
  <si>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</si>
  <si>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</si>
  <si>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</si>
  <si>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</si>
  <si>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</si>
  <si>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</si>
  <si>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</si>
  <si>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</si>
  <si>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</si>
  <si>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</si>
  <si>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</si>
  <si>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</si>
  <si>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</si>
  <si>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</si>
  <si>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</si>
  <si>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</si>
  <si>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</si>
  <si>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</si>
  <si>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</si>
  <si>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</si>
  <si>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</si>
  <si>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</si>
  <si>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</si>
  <si>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</si>
  <si>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</si>
  <si>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</si>
  <si>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</si>
  <si>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</si>
  <si>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</si>
  <si>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</si>
  <si>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</si>
  <si>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</si>
  <si>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</si>
  <si>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</si>
  <si>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</si>
  <si>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</si>
  <si>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</si>
  <si>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</si>
  <si>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</si>
  <si>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</si>
  <si>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</si>
  <si>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</si>
  <si>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</si>
  <si>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</si>
  <si>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</si>
  <si>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</si>
  <si>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</si>
  <si>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</si>
  <si>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</si>
  <si>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</si>
  <si>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</si>
  <si>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</si>
  <si>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</si>
  <si>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</si>
  <si>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</si>
  <si>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</si>
  <si>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</si>
  <si>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</si>
  <si>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</si>
  <si>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</si>
  <si>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</si>
  <si>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</si>
  <si>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</si>
  <si>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</si>
  <si>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</si>
  <si>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</si>
  <si>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</si>
  <si>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</si>
  <si>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</si>
  <si>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</si>
  <si>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</si>
  <si>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</si>
  <si>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</si>
  <si>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</si>
  <si>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</si>
  <si>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</si>
  <si>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</si>
  <si>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</si>
  <si>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</si>
  <si>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</si>
  <si>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</si>
  <si>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</si>
  <si>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</si>
  <si>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</si>
  <si>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</si>
  <si>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</si>
  <si>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</si>
  <si>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</si>
  <si>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</si>
  <si>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</si>
  <si>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</si>
  <si>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</si>
  <si>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</si>
  <si>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</si>
  <si>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</si>
  <si>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</si>
  <si>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</si>
  <si>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</si>
  <si>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</si>
  <si>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</si>
  <si>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</si>
  <si>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</si>
  <si>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</si>
  <si>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</si>
  <si>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</si>
  <si>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</si>
  <si>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</si>
  <si>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</si>
  <si>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</si>
  <si>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</si>
  <si>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</si>
  <si>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</si>
  <si>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</si>
  <si>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</si>
  <si>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</si>
  <si>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</si>
  <si>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</si>
  <si>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</si>
  <si>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</si>
  <si>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</si>
  <si>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</si>
  <si>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</si>
  <si>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</si>
  <si>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</si>
  <si>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</si>
  <si>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</si>
  <si>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</si>
  <si>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</si>
  <si>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</si>
  <si>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</si>
  <si>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</si>
  <si>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</si>
  <si>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</si>
  <si>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</si>
  <si>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</si>
  <si>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</si>
  <si>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</si>
  <si>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</si>
  <si>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</si>
  <si>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</si>
  <si>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</si>
  <si>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</si>
  <si>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</si>
  <si>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</si>
  <si>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</si>
  <si>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</si>
  <si>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</si>
  <si>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</si>
  <si>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</si>
  <si>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</si>
  <si>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</si>
  <si>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</si>
  <si>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</si>
  <si>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</si>
  <si>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</si>
  <si>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</si>
  <si>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</si>
  <si>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</si>
  <si>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</si>
  <si>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</si>
  <si>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</si>
  <si>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</si>
  <si>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</si>
  <si>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</si>
  <si>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</si>
  <si>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</si>
  <si>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</si>
  <si>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</si>
  <si>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</si>
  <si>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</si>
  <si>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</si>
  <si>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</si>
  <si>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</si>
  <si>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</si>
  <si>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</si>
  <si>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</si>
  <si>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</si>
  <si>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</si>
  <si>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</si>
  <si>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</si>
  <si>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</si>
  <si>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</si>
  <si>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</si>
  <si>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</si>
  <si>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</si>
  <si>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</si>
  <si>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</si>
  <si>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</si>
  <si>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</si>
  <si>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</si>
  <si>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</si>
  <si>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</si>
  <si>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</si>
  <si>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</si>
  <si>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</si>
  <si>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</si>
  <si>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</si>
  <si>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</si>
  <si>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</si>
  <si>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</si>
  <si>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</si>
  <si>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</si>
  <si>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</si>
  <si>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</si>
  <si>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</si>
  <si>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</si>
  <si>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</si>
  <si>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</si>
  <si>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</si>
  <si>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</si>
  <si>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</si>
  <si>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</si>
  <si>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</si>
  <si>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</si>
  <si>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</si>
  <si>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</si>
  <si>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</si>
  <si>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</si>
  <si>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</si>
  <si>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</si>
  <si>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</si>
  <si>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</si>
  <si>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</si>
  <si>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</si>
  <si>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</si>
  <si>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</si>
  <si>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</si>
  <si>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</si>
  <si>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</si>
  <si>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</si>
  <si>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</si>
  <si>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</si>
  <si>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</si>
  <si>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</si>
  <si>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</si>
  <si>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</si>
  <si>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</si>
  <si>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</si>
  <si>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</si>
  <si>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</si>
  <si>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</si>
  <si>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</si>
  <si>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</si>
  <si>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</si>
  <si>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</si>
  <si>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</si>
  <si>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</si>
  <si>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</si>
  <si>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</si>
  <si>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</si>
  <si>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</si>
  <si>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</si>
  <si>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</si>
  <si>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</si>
  <si>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</si>
  <si>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</si>
  <si>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</si>
  <si>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</si>
  <si>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</si>
  <si>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</si>
  <si>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</si>
  <si>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</si>
  <si>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</si>
  <si>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</si>
  <si>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</si>
  <si>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</si>
  <si>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</si>
  <si>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</si>
  <si>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</si>
  <si>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</si>
  <si>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</si>
  <si>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</si>
  <si>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</si>
  <si>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</si>
  <si>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</si>
  <si>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</si>
  <si>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</si>
  <si>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</si>
  <si>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</si>
  <si>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</si>
  <si>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</si>
  <si>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</si>
  <si>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</si>
  <si>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</si>
  <si>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</si>
  <si>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</si>
  <si>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</si>
  <si>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</si>
  <si>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</si>
  <si>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</si>
  <si>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</si>
  <si>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</si>
  <si>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</si>
  <si>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</si>
  <si>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</si>
  <si>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</si>
  <si>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</si>
  <si>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</si>
  <si>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</si>
  <si>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</si>
  <si>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</si>
  <si>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</si>
  <si>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</si>
  <si>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</si>
  <si>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</si>
  <si>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</si>
  <si>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</si>
  <si>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</si>
  <si>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</si>
  <si>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</si>
  <si>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</si>
  <si>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</si>
  <si>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</si>
  <si>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</si>
  <si>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</si>
  <si>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</si>
  <si>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</si>
  <si>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</si>
  <si>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</si>
  <si>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</si>
  <si>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</si>
  <si>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</si>
  <si>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</si>
  <si>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</si>
  <si>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</si>
  <si>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</si>
  <si>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</si>
  <si>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</si>
  <si>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</si>
  <si>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</si>
  <si>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</si>
  <si>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</si>
  <si>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</si>
  <si>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</si>
  <si>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</si>
  <si>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</si>
  <si>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</si>
  <si>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</si>
  <si>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</si>
  <si>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</si>
  <si>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</si>
  <si>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</si>
  <si>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</si>
  <si>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</si>
  <si>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</si>
  <si>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</si>
  <si>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</si>
  <si>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</si>
  <si>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</si>
  <si>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</si>
  <si>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</si>
  <si>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</si>
  <si>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</si>
  <si>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</si>
  <si>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</si>
  <si>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</si>
  <si>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</si>
  <si>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</si>
  <si>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</si>
  <si>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</si>
  <si>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</si>
  <si>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</si>
  <si>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</si>
  <si>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</si>
  <si>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</si>
  <si>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</si>
  <si>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</si>
  <si>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</si>
  <si>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</si>
  <si>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</si>
  <si>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</si>
  <si>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</si>
  <si>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</si>
  <si>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</si>
  <si>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</si>
  <si>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</si>
  <si>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</si>
  <si>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</si>
  <si>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</si>
  <si>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Management Fee at 6% - Flat 19, 4-6 Alhambra Road, Southsea</t>
  </si>
  <si>
    <t>Amount payable to Mr Mathew Tucker - Flat 19,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</si>
  <si>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</si>
  <si>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</si>
  <si>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</si>
  <si>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</si>
  <si>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Management Fee at 6% - Flat 10, 12-14 Alhambra Road, Southsea</t>
  </si>
  <si>
    <t>Amount payable to Mr Mathew Tucker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</si>
  <si>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</si>
  <si>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</si>
  <si>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</si>
  <si>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</si>
  <si>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Management Fee at 6% - Flat 6, 16-18 Alhambra Road, Southsea</t>
  </si>
  <si>
    <t>Amount payable to Mr Mathew Tucker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</si>
  <si>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</si>
  <si>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</si>
  <si>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</si>
  <si>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</si>
  <si>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Management Fee at 6% - Flat 13, 16-18 Alhambra Road, Southsea</t>
  </si>
  <si>
    <t>Amount payable to Mr Mathew Tucker - Flat 13, 16-18 Alhambra Road, Southsea</t>
  </si>
  <si>
    <t>Management Fee at 6% - Flat 1, 321 London Road, Portsmouth</t>
  </si>
  <si>
    <t>Amount payable to Mr Mathew Tucker - Flat 1, 321 London Road, Portsmouth</t>
  </si>
  <si>
    <t>Management Fee at 6% - Flat 2, 321 London Road, Portsmouth</t>
  </si>
  <si>
    <t>Amount payable to Mr Mathew Tucker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</si>
  <si>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</si>
  <si>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</si>
  <si>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</si>
  <si>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</si>
  <si>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</si>
  <si>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</si>
  <si>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</si>
  <si>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</si>
  <si>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</si>
  <si>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</si>
  <si>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</si>
  <si>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</si>
  <si>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</si>
  <si>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</si>
  <si>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</si>
  <si>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</si>
  <si>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</si>
  <si>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</si>
  <si>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</si>
  <si>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</si>
  <si>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Management Fee at 6% - Flat 5, 8 Alhambra Road, Southsea</t>
  </si>
  <si>
    <t>Amount payable to Mr Mathew Tucker - Flat 5, 8 Alhambra Road, Southsea</t>
  </si>
  <si>
    <t>Management Fee at 6% - Flat 3, 163 Fratton Road, Portsmouth</t>
  </si>
  <si>
    <t>Management Fee at 6% - Flat 7, 12-14 Alhambra Road, Southsea</t>
  </si>
  <si>
    <t>Amount payable to Mr Mathew Tucker - Flat 7, 12-14 Alhambra Road, Southsea</t>
  </si>
  <si>
    <t>Management Fee at 6% - Flat 2, 163 Fratton Road, Portsmouth</t>
  </si>
  <si>
    <t>Amount payable to Mr Mathew Tucker - Flat 2, 163 Fratton Road, Portsmouth</t>
  </si>
  <si>
    <t>F1171FAW</t>
  </si>
  <si>
    <t>Management Fee at 6% - Flat 1, 171 Fawcett Road, Southsea</t>
  </si>
  <si>
    <t>Amount payable to Mr Mathew Tucker - Flat 1, 171 Fawcett Road, Southsea</t>
  </si>
  <si>
    <t>Management Fee at 6% - 196b Kingston Road, Portsmouth</t>
  </si>
  <si>
    <t>Amount payable to Ms Ivana Valentino - 196b Kingston Road, Portsmouth</t>
  </si>
  <si>
    <t>Management Fee at 6% - 23c Hampshire Terrace, Portsmouth</t>
  </si>
  <si>
    <t>Amount payable to Ms Ivana Valentino - 23c Hampshire Terrace, Portsmouth</t>
  </si>
  <si>
    <t>Management Fee at 6% - Flat 7, 8 Alhambra Road, Southsea</t>
  </si>
  <si>
    <t>Management Fee at 6% - Flat 8, 8 Alhambra Road, Southsea</t>
  </si>
  <si>
    <t>Amount payable to Ms Ivana Valentino - Flat 8, 8 Alhambra Road, Southsea</t>
  </si>
  <si>
    <t>Management Fee at 6% - Flat 21, 4-6 Alhambra Road, Southsea</t>
  </si>
  <si>
    <t>Amount payable to Ms Ivana Valentino - Flat 21, 4-6 Alhambra Road, Southsea</t>
  </si>
  <si>
    <t>Management Fee at 6% - Flat 22, 4-6 Alhambra Road, Southsea</t>
  </si>
  <si>
    <t>Amount payable to Ms Ivana Valentino - Flat 22, 4-6 Alhambra Road, Southsea</t>
  </si>
  <si>
    <t>Management Fee at 6% - Flat 3, 12-14 Alhambra Road, Southsea</t>
  </si>
  <si>
    <t>Management Fee at 6% - Flat 5, 12-14 Alhambra Road, Southsea</t>
  </si>
  <si>
    <t>Amount payable to Ms Ivana Valentino - Flat 5, 12-14 Alhambra Road, Southsea</t>
  </si>
  <si>
    <t>Management Fee at 6% - Flat 11, 12-14 Alhambra Road, Southsea</t>
  </si>
  <si>
    <t>Amount payable to Ms Ivana Valentino - Flat 11, 12-14 Alhambra Road, Southsea</t>
  </si>
  <si>
    <t>Management Fee at 6% - Flat 16, 12-14 Alhambra Road, Southsea</t>
  </si>
  <si>
    <t>Amount payable to Ms Ivana Valentino - Flat 16, 12-14 Alhambra Road, Southsea</t>
  </si>
  <si>
    <t>Management Fee at 6% - Flat 7, 16-18 Alhambra Road, Southsea</t>
  </si>
  <si>
    <t>Amount payable to Ms Ivana Valentino - Flat 7, 16-18 Alhambra Road, Southsea</t>
  </si>
  <si>
    <t>Management Fee at 6% - Flat 12, 16-18 Alhambra Road, Southsea</t>
  </si>
  <si>
    <t>Amount payable to Ms Ivana Valentino - Flat 12, 16-18 Alhambra Road, Southsea</t>
  </si>
  <si>
    <t>Rent for period 30/12/2016 - 29/01/2017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</si>
  <si>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</si>
  <si>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</si>
  <si>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</si>
  <si>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</si>
  <si>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</si>
  <si>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</si>
  <si>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</si>
  <si>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</si>
  <si>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</si>
  <si>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</si>
  <si>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</si>
  <si>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</si>
  <si>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</si>
  <si>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</si>
  <si>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</si>
  <si>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</si>
  <si>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</si>
  <si>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</si>
  <si>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</si>
  <si>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</si>
  <si>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</si>
  <si>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</si>
  <si>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1169 FAWCETT 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</si>
  <si>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</si>
  <si>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</si>
  <si>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</si>
  <si>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</si>
  <si>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</si>
  <si>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</si>
  <si>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</si>
  <si>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</si>
  <si>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</si>
  <si>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</si>
  <si>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</si>
  <si>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</si>
  <si>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</si>
  <si>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</si>
  <si>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</si>
  <si>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</si>
  <si>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</si>
  <si>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</si>
  <si>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</si>
  <si>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</si>
  <si>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</si>
  <si>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</si>
  <si>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</si>
  <si>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</si>
  <si>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</si>
  <si>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</si>
  <si>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</si>
  <si>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</si>
  <si>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</si>
  <si>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BEALS ESTATE AGENT    FLAT 2163 FRATTON  BGC</t>
  </si>
  <si>
    <t>BHAM MIDSHIRES        020003649652/41838 DDR</t>
  </si>
  <si>
    <t>OTH</t>
  </si>
  <si>
    <t>BCC</t>
  </si>
  <si>
    <t>BEALS ESTATE AGENT    FLAT 194-6 ALHAMBR BGC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</si>
  <si>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</si>
  <si>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</si>
  <si>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</si>
  <si>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</si>
  <si>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</si>
  <si>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</si>
  <si>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</si>
  <si>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</si>
  <si>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</si>
  <si>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</si>
  <si>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</si>
  <si>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</si>
  <si>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</si>
  <si>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THE HARPUR TRUST D    TUCKM8  PVALA1     DDR</t>
  </si>
  <si>
    <t>THE HARPUR TRUST D    TUCKM8  BVALR8     DDR</t>
  </si>
  <si>
    <t>THE HARPUR TRUST D    TUCKMS  GVALS1     DDR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</si>
  <si>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</si>
  <si>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</si>
  <si>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</si>
  <si>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</si>
  <si>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</si>
  <si>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</si>
  <si>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</si>
  <si>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</si>
  <si>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512-14 ALHAMB BGC</t>
  </si>
  <si>
    <t>BEALS ESTATE AGENT    FLAT 1112-14 ALHAM BGC</t>
  </si>
  <si>
    <t>BEALS ESTATE AGENT    FLAT 716-18 ALHAMB BGC</t>
  </si>
  <si>
    <t>BEALS ESTATE AGENT    FLAT 1216-18 ALHAM BGC</t>
  </si>
  <si>
    <t>BEALS ESTATE AGENT    FLAT 224-6 ALHAMBR BGC</t>
  </si>
  <si>
    <t>BEALS ESTATE AGENT    FLAT 1612-14 ALHAM BGC</t>
  </si>
  <si>
    <t>BEALS ESTATE AGENT    FLAT 1616-18 ALHAM BGC</t>
  </si>
  <si>
    <t xml:space="preserve"> </t>
  </si>
  <si>
    <t>BHAM MIDSHIRES        020007900597/89565 DDR</t>
  </si>
  <si>
    <t>BEALS ESTATE AGENT    FLAT 88 ALHAMBRA R BGC</t>
  </si>
  <si>
    <t>FRIENDS LIFE          014033997          DDR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</si>
  <si>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</si>
  <si>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</si>
  <si>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</si>
  <si>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</si>
  <si>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MR MATTHEW STUART     207409 40406538    STO</t>
  </si>
  <si>
    <t>BOOTS REWARDSCHEME    A45028400000736    DDR</t>
  </si>
  <si>
    <t>20-74-09 40406538</t>
  </si>
  <si>
    <t xml:space="preserve">TESCO                 TESCO BE BR DR EXP    </t>
  </si>
  <si>
    <t xml:space="preserve">ITUNES.COM/BILL       IRELAND               </t>
  </si>
  <si>
    <t>MERCEDES-BENZ CARS    0376305421         DDR</t>
  </si>
  <si>
    <t xml:space="preserve">205330 30728691       MOBILE-CHANNEL     FT </t>
  </si>
  <si>
    <t>TUCK&amp;VALEN HSE%0 P    207409 40406538    STO</t>
  </si>
  <si>
    <t>BEALS ESTATE AGENT    FLAT 312-14 ALHAMB BGC</t>
  </si>
  <si>
    <t>BEALS                 23C HAMPSHIRE TERR BBP</t>
  </si>
  <si>
    <t>Rent for period 09/08/2017 - 08/09/2017 from Mr Nick Olsen - Flat 3, 171 Fawcett Road, Southsea</t>
  </si>
  <si>
    <t>Amount payable to Ms Ivana Valentino - Flat 3, 171 Fawcett Road, Southsea</t>
  </si>
  <si>
    <t>Rent for period 19/08/2017 - 18/09/2017 from Mr Aubrey Milligan - Flat 16, 12-14 Alhambra Road, Southsea</t>
  </si>
  <si>
    <t>Amount payable to Ms Ivana Valentino - Flat 3, 12-14 Alhambra Road, Southsea</t>
  </si>
  <si>
    <t>Rent for period 06/07/2017 - 05/08/2017 from Ms Sally Taylor - Flat 22, 4-6 Alhambra Road, Southsea</t>
  </si>
  <si>
    <t>Amount payable to Ms Ivana Valentino - Flat 7, 8 Alhambra Road, Southsea</t>
  </si>
  <si>
    <t>Rent for period 05/08/2017 - 04/09/2017 from Miss Francis Brooker - Flat 7, 8 Alhambra Road, Southsea</t>
  </si>
  <si>
    <t>Rent for period 23/08/2017 - 22/09/2017 from Ms Sharon Briscoe - Flat 2, 321 London Road, Portsmouth</t>
  </si>
  <si>
    <t>Rent for period 03/08/2017 - 02/09/2017 from Mr Joshua Brown - Flat 3, 321 London Road, Portsmouth</t>
  </si>
  <si>
    <t>Rent for period 06/08/2017 - 05/09/2017 from Ms Susan Parkinson - Flat 1, 169 Fawcett Road, Southsea</t>
  </si>
  <si>
    <t>Amount payable to Mr Mathew Tucker - Flat 3, 163 Fratton Road, Portsmouth</t>
  </si>
  <si>
    <t>BEALS ESTATE AGENT    FLAT 3163 FRATTON  BGC</t>
  </si>
  <si>
    <t>IWMD ADMISSIONS       ON 02 SEP          CLP</t>
  </si>
  <si>
    <t>LEVY RESTAURANTS      ON 02 SEP          CLP</t>
  </si>
  <si>
    <t>IWM DUXFORD SHOP      ON 02 SEP          CLP</t>
  </si>
  <si>
    <t>NEW COUNTY SERVICE    ON 02 SEP          BCC</t>
  </si>
  <si>
    <t>MORTGAGE EXPRESS      2016485130022161   DDR</t>
  </si>
  <si>
    <t>MORTGAGE EXPRESS      2016485040022161   DDR</t>
  </si>
  <si>
    <t>MORTGAGE EXPRESS      2007545250022161   DDR</t>
  </si>
  <si>
    <t>MORTGAGE EXPRESS      2007107760022161   DDR</t>
  </si>
  <si>
    <t>MORTGAGE EXPRESS      2007093450022161   DDR</t>
  </si>
  <si>
    <t>MORTGAGE EXPRESS      2007093360022161   DDR</t>
  </si>
  <si>
    <t>MORTGAGE EXPRESS      2006372640022161   DDR</t>
  </si>
  <si>
    <t>MORTGAGE EXPRESS      0019966240022161   DDR</t>
  </si>
  <si>
    <t>MORTGAGE EXPRESS      0018724700022161   DDR</t>
  </si>
  <si>
    <t>MORTGAGE EXPRESS      0017031550022161   DDR</t>
  </si>
  <si>
    <t>MORTGAGE EXPRESS      0016470530022161   DDR</t>
  </si>
  <si>
    <t>MORTGAGE EXPRESS      0015866140022161   DDR</t>
  </si>
  <si>
    <t>PUSHDOCTOR            ON 05 SEP          BCC</t>
  </si>
  <si>
    <t>CAPITA GAS REG        ON 05 SEP          BCC</t>
  </si>
  <si>
    <t>TESCO STORE 2105      ON 06 SEP          BCC</t>
  </si>
  <si>
    <t>CHEESEMANS PHARM      ON 07 SEP          CLP</t>
  </si>
  <si>
    <t>BOOTS THE CHEMISTS    ON 10 SEP          CLP</t>
  </si>
  <si>
    <t>THE SHUTTLEWORTH      ON 09 SEP          CLP</t>
  </si>
  <si>
    <t>CHIQUITO 2033         ON 10 SEP          BCC</t>
  </si>
  <si>
    <t>SOUTHERN ELECTRIC     1410117012         BBP</t>
  </si>
  <si>
    <t xml:space="preserve">205330 30728691       169 FAWCETTRD ELEC FT </t>
  </si>
  <si>
    <t xml:space="preserve">205330 30728691       163 FRTN COURT FEE FT </t>
  </si>
  <si>
    <t>POST OFFICE COUNTE    ON 12 SEP          CLP</t>
  </si>
  <si>
    <t>CLOPHILL P O &amp; STO    ON 12 SEP          BCC</t>
  </si>
  <si>
    <t>207409 40406538       001172580000151    TFR</t>
  </si>
  <si>
    <t>WM MORRISON STORE     ON 18 SEP          CLP</t>
  </si>
  <si>
    <t>NEXT RETAIL LTD       ON 18 SEP          BCC</t>
  </si>
  <si>
    <t>PUSHDOCTOR            ON 18 SEP          BCC</t>
  </si>
  <si>
    <t>WH SMITH              ON 19 SEP          CLP</t>
  </si>
  <si>
    <t>NEXT RETAIL LTD       ON 20 SEP          BCC</t>
  </si>
  <si>
    <t>NEXT MILTON KEYNES    ON 22 SEP          BCC</t>
  </si>
  <si>
    <t>MARKS&amp;SPENCER PLC     ON 22 SEP          CLP</t>
  </si>
  <si>
    <t>MARKS&amp;SPENCER PLC     ON 24 SEP          CLP</t>
  </si>
  <si>
    <t>HOBBYCRAFT LTD        ON 24 SEP          CLP</t>
  </si>
  <si>
    <t>HOMESENSE             ON 24 SEP          CLP</t>
  </si>
  <si>
    <t xml:space="preserve">CARDTRONICS UK LTD    BP - A3 RIPLEY BY-    </t>
  </si>
  <si>
    <t>JOHN LEWIS            ON 22 SEP          BCC</t>
  </si>
  <si>
    <t>NEXT RETAIL LTD       ON 22 SEP          BCC</t>
  </si>
  <si>
    <t>HOBBYCRAFT LTD        ON 24 SEP          BCC</t>
  </si>
  <si>
    <t>BP WISLEY SOUTH       ON 23 SEP          BCC</t>
  </si>
  <si>
    <t>PORTSMOUTH CITY CO    ON 23 SEP          BCC</t>
  </si>
  <si>
    <t>TESCO STORE 2105      ON 25 SEP          CLP</t>
  </si>
  <si>
    <t>MARKS&amp;SPENCER PLC     ON 25 SEP          CLP</t>
  </si>
  <si>
    <t>B &amp; Q 1142            ON 25 SEP          BCC</t>
  </si>
  <si>
    <t>MORTGAGE TRUST        002197389 10101350 DDR</t>
  </si>
  <si>
    <t>MORTGAGE TRUST        002186357 10101350 DDR</t>
  </si>
  <si>
    <t>MORTGAGE TRUST        002186356 10101350 DDR</t>
  </si>
  <si>
    <t>MORTGAGE TRUST        002186317 10101350 DDR</t>
  </si>
  <si>
    <t>BEALS ESTATE AGENT    FLAT 3171 FAWCETT  BGC</t>
  </si>
  <si>
    <t>MORTGAGE EXPRESS      2007093270022158   DDR</t>
  </si>
  <si>
    <t>MORTGAGE EXPRESS      2016485220022161   DDR</t>
  </si>
  <si>
    <t>EE &amp; T-MOBILE         Q20664165753193567 DDR</t>
  </si>
  <si>
    <t xml:space="preserve">207409 60458872       169 FAWCETTRD ELEC FT </t>
  </si>
  <si>
    <t xml:space="preserve">207409 60458872       163 FRTN COURT FEE FT </t>
  </si>
  <si>
    <t>BEALS                 F7 8ALHAM MTUCKER  BBP</t>
  </si>
  <si>
    <t>SOUTHERN ELECTRIC     6882766014         BBP</t>
  </si>
  <si>
    <t>BT GROUP PLC          GB14092007-000036  DDR</t>
  </si>
  <si>
    <t>MORTGAGE EXPRESS      2008784100022172   DDR</t>
  </si>
  <si>
    <t>MORTGAGE EXPRESS      2007664780022172   DDR</t>
  </si>
  <si>
    <t>MORTGAGE EXPRESS      2007545340022172   DDR</t>
  </si>
  <si>
    <t>MORTGAGE EXPRESS      2007544710022172   DDR</t>
  </si>
  <si>
    <t>MORTGAGE EXPRESS      2007107670022172   DDR</t>
  </si>
  <si>
    <t>MORTGAGE EXPRESS      2006332310022172   DDR</t>
  </si>
  <si>
    <t>MORTGAGE EXPRESS      2005787290022172   DDR</t>
  </si>
  <si>
    <t>BP BEDFORD EXPRESS    ON 30 AUG          BCC</t>
  </si>
  <si>
    <t>THE CLARKS SHOP       ON 01 SEP          BCC</t>
  </si>
  <si>
    <t>WM MORRISON PLC       ON 02 SEP          CLP</t>
  </si>
  <si>
    <t>BP BEDFORD EXPRESS    ON 02 SEP          CLP</t>
  </si>
  <si>
    <t>WM MORRISON PLC       ON 03 SEP          CLP</t>
  </si>
  <si>
    <t>SUBWAY                ON 01 SEP          CLP</t>
  </si>
  <si>
    <t>HOBBYCRAFT LTD        ON 01 SEP          CLP</t>
  </si>
  <si>
    <t>COSTA COFFEE 43035    ON 01 SEP          CLP</t>
  </si>
  <si>
    <t>MARKS&amp;SPENCER PLC     ON 02 SEP          BCC</t>
  </si>
  <si>
    <t>TESCO STORE 2547      ON 31 AUG          BCC</t>
  </si>
  <si>
    <t>NEXT RETAIL LTD       ON 02 SEP          BCC</t>
  </si>
  <si>
    <t>COSTA COFFEE          ON 04 SEP          CLP</t>
  </si>
  <si>
    <t>WILKO RETAIL LIMIT    ON 04 SEP          CLP</t>
  </si>
  <si>
    <t>MCDONALDS             ON 05 SEP          CLP</t>
  </si>
  <si>
    <t>THE CLARKS SHOP       ON 05 SEP          CLP</t>
  </si>
  <si>
    <t>TESCO STORE 2105      ON 05 SEP          CLP</t>
  </si>
  <si>
    <t>WWW.OPRO.COM          ON 05 SEP          BCC</t>
  </si>
  <si>
    <t>TESCO STORE 2105      ON 05 SEP          BCC</t>
  </si>
  <si>
    <t>NO LIMITZ             ON 05 SEP          BCC</t>
  </si>
  <si>
    <t>SUBWAY                ON 06 SEP          CLP</t>
  </si>
  <si>
    <t>T K MAXX              ON 06 SEP          BCC</t>
  </si>
  <si>
    <t>MCDONALDS             ON 07 SEP          CLP</t>
  </si>
  <si>
    <t>MARTIN MCCOLL         ON 07 SEP          CLP</t>
  </si>
  <si>
    <t>COSTA COFFEE 43035    ON 07 SEP          CLP</t>
  </si>
  <si>
    <t>WELL 200501           ON 07 SEP          CLP</t>
  </si>
  <si>
    <t>NO LIMITZ             ON 07 SEP          BCC</t>
  </si>
  <si>
    <t>TESCO STORE 2105      ON 08 SEP          CLP</t>
  </si>
  <si>
    <t>MARKS&amp;SPENCER PLC     ON 10 SEP          BCC</t>
  </si>
  <si>
    <t>NEXT 0621             ON 10 SEP          BCC</t>
  </si>
  <si>
    <t>T K MAXX              ON 12 SEP          CLP</t>
  </si>
  <si>
    <t>BP BEDFORD EXPRESS    ON 11 SEP          CLP</t>
  </si>
  <si>
    <t>BP BEDFORD EXPRESS    ON 11 SEP          BCC</t>
  </si>
  <si>
    <t>LAKESIDE FISH AND     ON 12 SEP          BCC</t>
  </si>
  <si>
    <t>WM MORRISON STORE     ON 13 SEP          CLP</t>
  </si>
  <si>
    <t>MARKS&amp;SPENCER PLC     ON 13 SEP          CLP</t>
  </si>
  <si>
    <t>BP BEDFORD EXPRESS    ON 12 SEP          CLP</t>
  </si>
  <si>
    <t xml:space="preserve">207409 60458872       MOBILE-CHANNEL     FT </t>
  </si>
  <si>
    <t>207409 60458872       001172580000151    TFR</t>
  </si>
  <si>
    <t>TESCO STORE 2105      ON 14 SEP          CLP</t>
  </si>
  <si>
    <t>MARKS&amp;SPENCER PLC     ON 14 SEP          CLP</t>
  </si>
  <si>
    <t>BP BEDFORD EXPRESS    ON 13 SEP          CLP</t>
  </si>
  <si>
    <t>MCDONALDS             ON 14 SEP          CLP</t>
  </si>
  <si>
    <t>COSTA COFFEE 43035    ON 14 SEP          CLP</t>
  </si>
  <si>
    <t>Costa Express UK      ON 14 SEP          CLP</t>
  </si>
  <si>
    <t>TESCO STORE 2105      ON 14 SEP          BCC</t>
  </si>
  <si>
    <t>WILKO BEDFORD INT     ON 15 SEP          CLP</t>
  </si>
  <si>
    <t>BP BEDFORD EXPRESS    ON 15 SEP          CLP</t>
  </si>
  <si>
    <t>TOYS R US             ON 15 SEP          CLP</t>
  </si>
  <si>
    <t>MCDONALDS             ON 15 SEP          CLP</t>
  </si>
  <si>
    <t>WM MORRISON PLC       ON 16 SEP          BCC</t>
  </si>
  <si>
    <t>NEW COUNTY SERVICE    ON 18 SEP          CLP</t>
  </si>
  <si>
    <t>MARKS&amp;SPENCER PLC     ON 18 SEP          BCC</t>
  </si>
  <si>
    <t>NEW COUNTY SERVICE    ON 18 SEP          BCC</t>
  </si>
  <si>
    <t>DUNELM (SOFT FURNI    ON 18 SEP          BCC</t>
  </si>
  <si>
    <t>MCDONALDS             ON 19 SEP          CLP</t>
  </si>
  <si>
    <t>CO-OP GROUP 600152    ON 20 SEP          CLP</t>
  </si>
  <si>
    <t>COSTA COFFEE 43035    ON 20 SEP          CLP</t>
  </si>
  <si>
    <t>MCDONALDS             ON 21 SEP          CLP</t>
  </si>
  <si>
    <t>NEW COUNTY SERVICE    ON 21 SEP          BCC</t>
  </si>
  <si>
    <t>MARKS&amp;SPENCER PLC     ON 22 SEP          BCC</t>
  </si>
  <si>
    <t>BP BEDFORD EXPRESS    ON 21 SEP          CLP</t>
  </si>
  <si>
    <t>MKC PARKING RINGGO    ON 22 SEP          BCC</t>
  </si>
  <si>
    <t>TOYS R US             ON 26 SEP          CLP</t>
  </si>
  <si>
    <t>COSTA COFFEE 43035    ON 26 SEP          CLP</t>
  </si>
  <si>
    <t>BP BEDFORD EXPRESS    ON 26 SEP          CLP</t>
  </si>
  <si>
    <t>WEIGHT WATCHERSUK     ON 27 SEP          CLP</t>
  </si>
  <si>
    <t>MCDONALDS             ON 27 SEP          CLP</t>
  </si>
  <si>
    <t>MARKS&amp;SPENCER PLC     ON 27 SEP          BCC</t>
  </si>
  <si>
    <t>WEIGHT WATCHERSUK     ON 27 SEP          BCC</t>
  </si>
  <si>
    <t>APCOA CONNECT - AR    ON 27 SEP          BCC</t>
  </si>
  <si>
    <t>BOOTS 6407            ON 28 SEP          CLP</t>
  </si>
  <si>
    <t>BP BEDFORD EXPRESS    ON 27 SEP          CLP</t>
  </si>
  <si>
    <t>WM MORRISON STORE     ON 28 SEP          CLP</t>
  </si>
  <si>
    <t>THE PARK BEDFORD      ON 28 SEP          CLP</t>
  </si>
  <si>
    <t>COSTA COFFEE 43035    ON 28 SEP          CLP</t>
  </si>
  <si>
    <t>WM MORRISON PETROL    ON 28 SEP          BCC</t>
  </si>
  <si>
    <t>H3G                   976046856201270917 DDR</t>
  </si>
  <si>
    <t>Rent for period 14/09/2017 - 13/10/2017 from Mr John Sharpe - 196b Kingston Road, Portsmouth</t>
  </si>
  <si>
    <t>First rent for period 01/09/2017 - 30/09/2017 from Miss Roshni Popat - 23c Hampshire Terrace, Portsmouth</t>
  </si>
  <si>
    <t>Receipt - Payment back to tenant - 23c Hampshire Terrace, Portsmouth</t>
  </si>
  <si>
    <t>Cash transfer - Money owe to tenant</t>
  </si>
  <si>
    <t>AD Various (Check Out) - S Underwood Property Maintenance LTD - 23c Hampshire Terrace, Portsmouth</t>
  </si>
  <si>
    <t>bathroom floor issues - S Underwood Property Maintenance LTD - Flat 7, 8 Alhambra Road, Southsea</t>
  </si>
  <si>
    <t>Receipt - Flat 7, 8 Alhambra Road, Southsea</t>
  </si>
  <si>
    <t>Deposit to landlord - Flat 7, 8 Alhambra Road, Southsea</t>
  </si>
  <si>
    <t>Rent for period 26/09/2017 - 25/10/2017 from Ms Lisa Pegg - Flat 8, 8 Alhambra Road, Southsea</t>
  </si>
  <si>
    <t>Rent for period 30/09/2017 - 29/10/2017 from Mr Benjamin Prior - Flat 21, 4-6 Alhambra Road, Southsea</t>
  </si>
  <si>
    <t>Rent for period 06/08/2017 - 05/09/2017 from Ms Sally Taylor - Flat 22, 4-6 Alhambra Road, Southsea</t>
  </si>
  <si>
    <t>Gas &amp; Electric -  - Flat 3, 12-14 Alhambra Road, Southsea</t>
  </si>
  <si>
    <t>Rent for period 18/09/2017 - 17/10/2017 from Mr Andrew Greer - Flat 3, 12-14 Alhambra Road, Southsea</t>
  </si>
  <si>
    <t>leak through the ceiling from No 11 above - S Underwood Property Maintenance LTD - Flat 5, 12-14 Alhambra Road, Southsea</t>
  </si>
  <si>
    <t>Rent for period 23/09/2017 - 22/10/2017 from Mr Michael Valverde - Flat 5, 12-14 Alhambra Road, Southsea</t>
  </si>
  <si>
    <t>Rent for period 19/09/2017 - 18/10/2017 from Mr Peter Oakwell - Flat 11, 12-14 Alhambra Road, Southsea</t>
  </si>
  <si>
    <t>door closure and light - S Underwood Property Maintenance LTD - Flat 16, 12-14 Alhambra Road, Southsea</t>
  </si>
  <si>
    <t>Rent for period 19/09/2017 - 18/10/2017 from Mr Aubrey Milligan - Flat 16, 12-14 Alhambra Road, Southsea</t>
  </si>
  <si>
    <t>Rent for period 08/09/2017 - 07/10/2017 from Mr Alan Young - Flat 7, 16-18 Alhambra Road, Southsea</t>
  </si>
  <si>
    <t>tenant locked out - S Underwood Maintenance &amp; Home Improvements - Flat 7, 16-18 Alhambra Road, Southsea</t>
  </si>
  <si>
    <t>Rent for period 19/09/2017 - 18/10/2017 from Mr Jason Passmore - Flat 12, 16-18 Alhambra Road, Southsea</t>
  </si>
  <si>
    <t>Rent for period 30/01/2017 - 27/02/2017 from Miss Michala Mason - Flat 16, 16-18 Alhambra Road, Southsea</t>
  </si>
  <si>
    <t>Rent for period 09/09/2017 - 08/10/2017 from Mr Nick Olsen - Flat 3, 171 Fawcett Road, Southsea</t>
  </si>
  <si>
    <t>Rent for period 20/08/2017 - 19/09/2017 from Miss Sinead OBrien - Flat 19, 4-6 Alhambra Road, Southsea</t>
  </si>
  <si>
    <t>Rent for period 10/09/2017 - 09/10/2017 from Mr Johnathan Hill - Flat 17, 4-6 Alhambra Road, Southsea</t>
  </si>
  <si>
    <t>Rent for period 26/09/2017 - 25/10/2017 from Mrs Dionne McLaughlin - Flat 18, 4-6 Alhambra Road, Southsea</t>
  </si>
  <si>
    <t>Rent for period 20/09/2017 - 19/10/2017 from Mr Andrew England - Flat 10, 12-14 Alhambra Road, Southsea</t>
  </si>
  <si>
    <t>Rent for period 06/09/2017 - 05/10/2017 from Mr Paul McIlwraith - Flat 14, 12-14 Alhambra Road, Southsea</t>
  </si>
  <si>
    <t>Rent for period 06/09/2017 - 05/10/2017 from Mr Tony Di-Marco - Flat 4, 12-14 Alhambra Road, Southsea</t>
  </si>
  <si>
    <t>Rent for period 12/09/2017 - 11/10/2017 from Mr Peter Taperek - Flat 6, 16-18 Alhambra Road, Southsea</t>
  </si>
  <si>
    <t>Rent for period 05/09/2017 - 04/10/2017 from Mr Kit Conrad - Flat 1, 16-18 Alhambra Road, Southsea</t>
  </si>
  <si>
    <t>Rent for period 12/09/2017 - 11/10/2017 from Mr Sam Yates - Flat 11, 16-18 Alhambra Road, Southsea</t>
  </si>
  <si>
    <t>KM - No hot water - United P H Limited - Flat 11, 16-18 Alhambra Road, Southsea</t>
  </si>
  <si>
    <t>Rent for period 03/09/2017 - 02/10/2017 from Mr Andrew Lewis - Flat 13, 16-18 Alhambra Road, Southsea</t>
  </si>
  <si>
    <t>Rent for period 23/09/2017 - 22/10/2017 from Mr David Connor - Flat 1, 321 London Road, Portsmouth</t>
  </si>
  <si>
    <t>Rent for period 23/09/2017 - 22/10/2017 from Ms Sharon Briscoe - Flat 2, 321 London Road, Portsmouth</t>
  </si>
  <si>
    <t>Rent for period 03/09/2017 - 02/10/2017 from Mr Joshua Brown - Flat 3, 321 London Road, Portsmouth</t>
  </si>
  <si>
    <t>Rent for period 26/09/2017 - 25/10/2017 from Miss Carol Carrington - Flat 4, 321 London Road, Portsmouth</t>
  </si>
  <si>
    <t>Rent for period 17/09/2017 - 16/10/2017 from Mr Nicholas Wright - Flat 4, 163 Fratton Road, Portsmouth</t>
  </si>
  <si>
    <t>Rent for period 02/09/2017 - 01/10/2017 from Mr Michael Pedace - Flat 2, 171 Fawcett Road, Southsea</t>
  </si>
  <si>
    <t>repair broken drawers - S Underwood Property Maintenance LTD - Flat 2, 171 Fawcett Road, Southsea</t>
  </si>
  <si>
    <t>Rent for period 15/09/2017 - 14/10/2017 from Mr Graham Robinson - Flat 3, 169 Fawcett Road, Southsea</t>
  </si>
  <si>
    <t>Rent for period 11/09/2017 - 10/10/2017 from Mr Lee Knowles - Flat 2, 169 Fawcett Road, Southsea</t>
  </si>
  <si>
    <t>Rent for period 06/09/2017 - 05/10/2017 from Ms Susan Parkinson - Flat 1, 169 Fawcett Road, Southsea</t>
  </si>
  <si>
    <t>Rent for period 11/09/2017 - 10/10/2017 from Mr Martin Gliszczynski (SIE-SOF T/A Pol Help) - Shop, 196 Kingston Road, Portsmouth</t>
  </si>
  <si>
    <t>Rent for period 01/09/2017 - 30/09/2017 from Ms Joyce Henson - 196a Kingston Road, Portsmouth</t>
  </si>
  <si>
    <t>Rent for period 08/09/2017 - 07/10/2017 from Mr Antony Raymond Hinks - Flat 6, 8 Alhambra Road, Southsea</t>
  </si>
  <si>
    <t>Rent for period 14/09/2017 - 13/10/2017 from Ms Sharon Smith - Flat 5, 8 Alhambra Road, Southsea</t>
  </si>
  <si>
    <t>key - S Underwood Maintenance &amp; Home Improvements - Flat 5, 8 Alhambra Road, Southsea</t>
  </si>
  <si>
    <t>First rent for period 01/09/2017 - 30/09/2017 from Mr AK MD AFIF IZZUDDIN PG HJ ISMAIL - 23b Hampshire Terrace, Portsmouth</t>
  </si>
  <si>
    <t>Deposit to landlord for decoration - 23b Hampshire Terrace, Portsmouth</t>
  </si>
  <si>
    <t>Rent for period 14/09/2017 - 13/10/2017 from Mr Martin Brett - Flat 3, 163 Fratton Road, Portsmouth</t>
  </si>
  <si>
    <t>Rent for period 14/09/2017 - 13/10/2017 from Mr Aleksandra Raadzevics - Flat 7, 12-14 Alhambra Road, Southsea</t>
  </si>
  <si>
    <t>board up property as left insecure and windows ope - S Underwood Maintenance &amp; Home Improvements - Flat 2, 163 Fratton Road, Portsmouth</t>
  </si>
  <si>
    <t>Rent for period 15/09/2017 - 14/10/2017 from Mr Peter Grant - Flat 2, 163 Fratton Road, Portsmouth</t>
  </si>
  <si>
    <t>Rent for period 06/09/2017 - 05/10/2017 from Ms Kirstine Aldridge - Flat 1, 171 Fawcett Road, Southsea</t>
  </si>
  <si>
    <t>further works - S Underwood Maintenance &amp; Home Improvements - Flat 1, 171 Fawcett Road, Southsea</t>
  </si>
  <si>
    <t>Court fee 163 Fratton Rd</t>
  </si>
  <si>
    <t>Elec</t>
  </si>
  <si>
    <t>TUCKER MS</t>
  </si>
  <si>
    <t>LEGAL &amp; GEN MI C/L</t>
  </si>
  <si>
    <t>MARKS&amp;SPENCER PLC</t>
  </si>
  <si>
    <t>CANCER RESEARCH U</t>
  </si>
  <si>
    <t>FRIENDS LIFE</t>
  </si>
  <si>
    <t>NEW COUNTY SERVICE</t>
  </si>
  <si>
    <t>TESCO STORE 2105</t>
  </si>
  <si>
    <t>23C Overpayment</t>
  </si>
  <si>
    <t>F7 8 Alhambra Rd payment</t>
  </si>
  <si>
    <t>Paid for MT, refunded.</t>
  </si>
  <si>
    <t>Fratton Rd court fee paid by IV cheque.</t>
  </si>
  <si>
    <t>321 London Rd Communal Elec</t>
  </si>
  <si>
    <t>CLAIRES ACCESSORI    ON 10 SEP          BCC</t>
  </si>
  <si>
    <t>Supplier</t>
  </si>
  <si>
    <t/>
  </si>
  <si>
    <t>BK</t>
  </si>
  <si>
    <t>BK,MT</t>
  </si>
  <si>
    <t>BK,PM,EX</t>
  </si>
  <si>
    <t>RT</t>
  </si>
  <si>
    <t>MF</t>
  </si>
  <si>
    <t>PM</t>
  </si>
  <si>
    <t>EX</t>
  </si>
  <si>
    <t>321 London Rd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</si>
  <si>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</si>
  <si>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</si>
  <si>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</si>
  <si>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</si>
  <si>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</si>
  <si>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</si>
  <si>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</si>
  <si>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</si>
  <si>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</si>
  <si>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</si>
  <si>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</si>
  <si>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</si>
  <si>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</si>
  <si>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</si>
  <si>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</si>
  <si>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</si>
  <si>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</si>
  <si>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Roshni Popat (01/09/2017 -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</si>
  <si>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</si>
  <si>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</si>
  <si>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</si>
  <si>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</si>
  <si>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</si>
  <si>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</si>
  <si>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</si>
  <si>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Mr Prior (30/03/2016 - present)</t>
  </si>
  <si>
    <t>Ms Sally Taylor (04/06/2014 -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</si>
  <si>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</si>
  <si>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</si>
  <si>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</si>
  <si>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</si>
  <si>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</si>
  <si>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</si>
  <si>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</si>
  <si>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</si>
  <si>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</si>
  <si>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</si>
  <si>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</si>
  <si>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</si>
  <si>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</si>
  <si>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</si>
  <si>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</si>
  <si>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</si>
  <si>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</si>
  <si>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</si>
  <si>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</si>
  <si>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</si>
  <si>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</si>
  <si>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</si>
  <si>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</si>
  <si>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</si>
  <si>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Cash transfer - Paid back to tenants</t>
  </si>
  <si>
    <t>JOINED</t>
  </si>
  <si>
    <t>Refund Fees: Refund for Management Fee at 6% - 23c Hampshire Terrace, Portsmouth</t>
  </si>
  <si>
    <t>Receipt - 23c Hampshire Terrace, Portsmouth</t>
  </si>
  <si>
    <t>Rent for period 26/08/2017 - 25/09/2017 from Ms Lisa Pegg - Flat 8, 8 Alhambra Road, Southsea</t>
  </si>
  <si>
    <t>quote for works after GSC - D B Gas Services - Flat 10, 12-14 Alhambra Road, Southsea</t>
  </si>
  <si>
    <t>Landlord Gas safety - Beals Plumbing - Flat 10, 12-14 Alhambra Road, Southsea</t>
  </si>
  <si>
    <t>Rent for period 20/08/2017 - 19/09/2017 from Mr Andrew England - Flat 10, 12-14 Alhambra Road, Southsea</t>
  </si>
  <si>
    <t>damage to floor - S Underwood Maintenance &amp; Home Improvements - Shop, 196 Kingston Road, Portsmouth</t>
  </si>
  <si>
    <t>Rent for period 08/08/2017 - 07/09/2017 from Mr Antony Raymond Hinks - Flat 6, 8 Alhambra Road, Southsea</t>
  </si>
  <si>
    <t>Rent for period 06/08/2017 - 05/09/2017 from Ms Kirstine Aldridge - Flat 1, 171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</si>
  <si>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</si>
  <si>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</si>
  <si>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</si>
  <si>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</si>
  <si>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</si>
  <si>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</si>
  <si>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</si>
  <si>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</si>
  <si>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</si>
  <si>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{"*4040*","NEW COUNTY*","TESCO*","BP BEDFORD EXPRESS*","*CHIQUITO*","*SHUTTLEWORTH*","*MORRISON*","*IWM*","*JOHN LEWIS*","*HOBBYCRAFT*","*HOMESENSE*","*NEXT*","*CLAIRES*","*MARKS*","*B &amp; Q*"}</t>
  </si>
  <si>
    <t>Ms Baziukiene (16/09/2015 - present)</t>
  </si>
  <si>
    <t>Paid in advance prev month.</t>
  </si>
  <si>
    <t>C Stark (21/06/2010 -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</si>
</sst>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7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18" fillId="0" borderId="9" xfId="0" applyNumberFormat="1" applyFont="1" applyBorder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2" fontId="4" fillId="7" borderId="3" xfId="0" applyNumberFormat="1" applyFont="1" applyFill="1" applyBorder="1" applyAlignment="1" applyProtection="1">
      <alignment horizontal="right"/>
      <protection locked="0"/>
    </xf>
    <xf numFmtId="2" fontId="4" fillId="7" borderId="6" xfId="0" applyNumberFormat="1" applyFont="1" applyFill="1" applyBorder="1" applyAlignment="1" applyProtection="1">
      <alignment horizontal="right"/>
      <protection locked="0"/>
    </xf>
    <xf numFmtId="2" fontId="4" fillId="7" borderId="14" xfId="0" applyNumberFormat="1" applyFont="1" applyFill="1" applyBorder="1" applyAlignment="1" applyProtection="1">
      <alignment horizontal="right"/>
      <protection locked="0"/>
    </xf>
    <xf numFmtId="0" fontId="23" fillId="0" borderId="0" xfId="0" applyFont="1"/>
    <xf numFmtId="14" fontId="0" fillId="0" borderId="0" xfId="0" applyNumberFormat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abSelected="1" topLeftCell="A11" zoomScale="70" zoomScaleNormal="70" workbookViewId="0">
      <selection activeCell="B56" sqref="B56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43008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 t="s">
        <v>984</v>
      </c>
      <c r="B9" s="44" t="s">
        <v>976</v>
      </c>
      <c r="C9" s="45"/>
      <c r="D9" s="81"/>
      <c r="E9" s="81"/>
      <c r="F9" s="82"/>
      <c r="G9" s="83"/>
      <c r="H9" s="83"/>
      <c r="I9" s="84"/>
      <c r="J9" s="87"/>
      <c r="K9" s="85"/>
      <c r="L9" s="84">
        <v>33.76</v>
      </c>
      <c r="M9" s="124">
        <f>IF(F9-G9-H9-I9-L9&lt;&gt;0, F9-G9-H9-I9-L9,"")</f>
        <v>-33.76</v>
      </c>
      <c r="N9" s="47"/>
      <c r="O9" s="82"/>
      <c r="P9" s="46">
        <f t="shared" ref="P9:P20" si="0">IFERROR(IF(M9-O9&lt;&gt;0,M9-O9,""),-O9)</f>
        <v>-33.76</v>
      </c>
      <c r="Q9" s="152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985</v>
      </c>
      <c r="C10" s="27" t="s">
        <v>95</v>
      </c>
      <c r="D10" s="81">
        <v>43001</v>
      </c>
      <c r="E10" s="85">
        <v>43030</v>
      </c>
      <c r="F10" s="86">
        <v>499.28</v>
      </c>
      <c r="G10" s="83">
        <v>29.96</v>
      </c>
      <c r="H10" s="83">
        <v>5.99</v>
      </c>
      <c r="I10" s="84"/>
      <c r="J10" s="87">
        <v>463.33</v>
      </c>
      <c r="K10" s="85">
        <v>43004.656643518516</v>
      </c>
      <c r="L10" s="84"/>
      <c r="M10" s="124">
        <f t="shared" ref="M10:M63" si="1">IF(F10-G10-H10-I10-L10&lt;&gt;0, F10-G10-H10-I10-L10,"")</f>
        <v>463.33</v>
      </c>
      <c r="N10" s="47" t="s">
        <v>6</v>
      </c>
      <c r="O10" s="86">
        <v>141.63</v>
      </c>
      <c r="P10" s="46">
        <f t="shared" si="0"/>
        <v>321.7</v>
      </c>
      <c r="Q10" s="153">
        <f t="shared" ref="Q10:Q63" si="2">IF(F10&lt;&gt;"",F10-G10-H10-I10-J10,0)</f>
        <v>0</v>
      </c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986</v>
      </c>
      <c r="C11" s="27" t="s">
        <v>987</v>
      </c>
      <c r="D11" s="81">
        <v>42970</v>
      </c>
      <c r="E11" s="85">
        <v>43030</v>
      </c>
      <c r="F11" s="86">
        <v>494.28</v>
      </c>
      <c r="G11" s="83">
        <v>29.66</v>
      </c>
      <c r="H11" s="83">
        <v>5.93</v>
      </c>
      <c r="I11" s="84"/>
      <c r="J11" s="87">
        <v>458.69</v>
      </c>
      <c r="K11" s="85">
        <v>42990.642546296294</v>
      </c>
      <c r="L11" s="84"/>
      <c r="M11" s="124">
        <f t="shared" si="1"/>
        <v>458.68999999999994</v>
      </c>
      <c r="N11" s="47" t="s">
        <v>6</v>
      </c>
      <c r="O11" s="86">
        <v>130.22999999999999</v>
      </c>
      <c r="P11" s="46">
        <f t="shared" si="0"/>
        <v>328.45999999999992</v>
      </c>
      <c r="Q11" s="153">
        <f t="shared" si="2"/>
        <v>-5.6843418860808015E-14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988</v>
      </c>
      <c r="C12" s="27" t="s">
        <v>95</v>
      </c>
      <c r="D12" s="81">
        <v>42950</v>
      </c>
      <c r="E12" s="85">
        <v>43010</v>
      </c>
      <c r="F12" s="86">
        <v>466.12</v>
      </c>
      <c r="G12" s="83">
        <v>27.98</v>
      </c>
      <c r="H12" s="83">
        <v>5.59</v>
      </c>
      <c r="I12" s="84"/>
      <c r="J12" s="87">
        <v>432.55</v>
      </c>
      <c r="K12" s="85">
        <v>43004.656643518516</v>
      </c>
      <c r="L12" s="84"/>
      <c r="M12" s="124">
        <f t="shared" si="1"/>
        <v>432.55</v>
      </c>
      <c r="N12" s="47" t="s">
        <v>6</v>
      </c>
      <c r="O12" s="86">
        <v>93.49</v>
      </c>
      <c r="P12" s="46">
        <f t="shared" si="0"/>
        <v>339.06</v>
      </c>
      <c r="Q12" s="153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989</v>
      </c>
      <c r="C13" s="27" t="s">
        <v>95</v>
      </c>
      <c r="D13" s="81">
        <v>43004</v>
      </c>
      <c r="E13" s="85">
        <v>43033</v>
      </c>
      <c r="F13" s="86">
        <v>499.28</v>
      </c>
      <c r="G13" s="83">
        <v>29.96</v>
      </c>
      <c r="H13" s="83">
        <v>5.99</v>
      </c>
      <c r="I13" s="84"/>
      <c r="J13" s="87">
        <v>463.33</v>
      </c>
      <c r="K13" s="85">
        <v>43004.656643518516</v>
      </c>
      <c r="L13" s="84"/>
      <c r="M13" s="124">
        <f t="shared" si="1"/>
        <v>463.33</v>
      </c>
      <c r="N13" s="47" t="s">
        <v>6</v>
      </c>
      <c r="O13" s="86">
        <v>141.66</v>
      </c>
      <c r="P13" s="46">
        <f t="shared" si="0"/>
        <v>321.66999999999996</v>
      </c>
      <c r="Q13" s="153">
        <f t="shared" si="2"/>
        <v>0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4" t="str">
        <f t="shared" si="1"/>
        <v/>
      </c>
      <c r="N14" s="47"/>
      <c r="O14" s="82"/>
      <c r="P14" s="46">
        <f t="shared" si="0"/>
        <v>0</v>
      </c>
      <c r="Q14" s="153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990</v>
      </c>
      <c r="C15" s="27" t="s">
        <v>987</v>
      </c>
      <c r="D15" s="81">
        <v>42953</v>
      </c>
      <c r="E15" s="81">
        <v>43013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43004.656643518516</v>
      </c>
      <c r="L15" s="84"/>
      <c r="M15" s="124">
        <f t="shared" si="1"/>
        <v>432.56</v>
      </c>
      <c r="N15" s="47" t="s">
        <v>6</v>
      </c>
      <c r="O15" s="86">
        <v>127.59</v>
      </c>
      <c r="P15" s="46">
        <f t="shared" si="0"/>
        <v>304.97000000000003</v>
      </c>
      <c r="Q15" s="153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991</v>
      </c>
      <c r="C16" s="27" t="s">
        <v>95</v>
      </c>
      <c r="D16" s="81">
        <v>42989</v>
      </c>
      <c r="E16" s="85">
        <v>43018</v>
      </c>
      <c r="F16" s="86">
        <v>499.28</v>
      </c>
      <c r="G16" s="83">
        <v>29.96</v>
      </c>
      <c r="H16" s="83">
        <v>5.99</v>
      </c>
      <c r="I16" s="84"/>
      <c r="J16" s="87">
        <v>463.33</v>
      </c>
      <c r="K16" s="85">
        <v>42996.600752314815</v>
      </c>
      <c r="L16" s="84"/>
      <c r="M16" s="124">
        <f t="shared" si="1"/>
        <v>463.33</v>
      </c>
      <c r="N16" s="47" t="s">
        <v>6</v>
      </c>
      <c r="O16" s="86">
        <v>93.99</v>
      </c>
      <c r="P16" s="46">
        <f t="shared" si="0"/>
        <v>369.34</v>
      </c>
      <c r="Q16" s="153">
        <f t="shared" si="2"/>
        <v>0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992</v>
      </c>
      <c r="C17" s="27" t="s">
        <v>95</v>
      </c>
      <c r="D17" s="81">
        <v>42993</v>
      </c>
      <c r="E17" s="85">
        <v>43022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43004.656643518516</v>
      </c>
      <c r="L17" s="84"/>
      <c r="M17" s="124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153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4" t="str">
        <f t="shared" si="1"/>
        <v/>
      </c>
      <c r="N18" s="47"/>
      <c r="O18" s="82"/>
      <c r="P18" s="46">
        <f t="shared" si="0"/>
        <v>0</v>
      </c>
      <c r="Q18" s="153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993</v>
      </c>
      <c r="C19" s="27" t="s">
        <v>95</v>
      </c>
      <c r="D19" s="81">
        <v>42953</v>
      </c>
      <c r="E19" s="81">
        <v>43013</v>
      </c>
      <c r="F19" s="86">
        <v>165.24</v>
      </c>
      <c r="G19" s="83">
        <v>9.91</v>
      </c>
      <c r="H19" s="83">
        <v>1.98</v>
      </c>
      <c r="I19" s="84"/>
      <c r="J19" s="87">
        <v>71.2</v>
      </c>
      <c r="K19" s="85">
        <v>42984.666620370372</v>
      </c>
      <c r="L19" s="84"/>
      <c r="M19" s="124">
        <f t="shared" si="1"/>
        <v>153.35000000000002</v>
      </c>
      <c r="N19" s="47" t="s">
        <v>258</v>
      </c>
      <c r="O19" s="86">
        <v>189.14</v>
      </c>
      <c r="P19" s="46">
        <f t="shared" si="0"/>
        <v>-35.789999999999964</v>
      </c>
      <c r="Q19" s="153">
        <f t="shared" si="2"/>
        <v>82.15000000000002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994</v>
      </c>
      <c r="C20" s="27" t="s">
        <v>95</v>
      </c>
      <c r="D20" s="81">
        <v>42980</v>
      </c>
      <c r="E20" s="85">
        <v>43009</v>
      </c>
      <c r="F20" s="86">
        <v>494.46</v>
      </c>
      <c r="G20" s="83">
        <v>29.68</v>
      </c>
      <c r="H20" s="83">
        <v>5.93</v>
      </c>
      <c r="I20" s="84">
        <v>75</v>
      </c>
      <c r="J20" s="87">
        <v>383.85</v>
      </c>
      <c r="K20" s="85">
        <v>42996.600752314815</v>
      </c>
      <c r="L20" s="84"/>
      <c r="M20" s="124">
        <f t="shared" si="1"/>
        <v>383.84999999999997</v>
      </c>
      <c r="N20" s="47" t="s">
        <v>6</v>
      </c>
      <c r="O20" s="86">
        <v>167.32</v>
      </c>
      <c r="P20" s="46">
        <f t="shared" si="0"/>
        <v>216.52999999999997</v>
      </c>
      <c r="Q20" s="153">
        <f t="shared" si="2"/>
        <v>-5.6843418860808015E-14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995</v>
      </c>
      <c r="C21" s="27" t="s">
        <v>95</v>
      </c>
      <c r="D21" s="81">
        <v>42956</v>
      </c>
      <c r="E21" s="85">
        <v>43016</v>
      </c>
      <c r="F21" s="86">
        <v>417.12</v>
      </c>
      <c r="G21" s="83">
        <v>25.02</v>
      </c>
      <c r="H21" s="83">
        <v>5.01</v>
      </c>
      <c r="I21" s="84"/>
      <c r="J21" s="87">
        <v>387.09</v>
      </c>
      <c r="K21" s="85">
        <v>43004.656643518516</v>
      </c>
      <c r="L21" s="84"/>
      <c r="M21" s="124">
        <f t="shared" si="1"/>
        <v>387.09000000000003</v>
      </c>
      <c r="N21" s="47" t="s">
        <v>6</v>
      </c>
      <c r="O21" s="86">
        <v>203.36</v>
      </c>
      <c r="P21" s="46">
        <f>IFERROR(IF(M21-O21&lt;&gt;0,M21-O21,""),-O21)</f>
        <v>183.73000000000002</v>
      </c>
      <c r="Q21" s="153">
        <f t="shared" si="2"/>
        <v>5.6843418860808015E-14</v>
      </c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4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53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996</v>
      </c>
      <c r="C23" s="27" t="s">
        <v>95</v>
      </c>
      <c r="D23" s="81">
        <v>42993</v>
      </c>
      <c r="E23" s="85">
        <v>43022</v>
      </c>
      <c r="F23" s="86">
        <v>505</v>
      </c>
      <c r="G23" s="83">
        <v>30.3</v>
      </c>
      <c r="H23" s="83">
        <v>6.06</v>
      </c>
      <c r="I23" s="84">
        <v>220</v>
      </c>
      <c r="J23" s="87">
        <v>248.64</v>
      </c>
      <c r="K23" s="85">
        <v>43004.656643518516</v>
      </c>
      <c r="L23" s="84"/>
      <c r="M23" s="124">
        <f t="shared" si="1"/>
        <v>248.64</v>
      </c>
      <c r="N23" s="47" t="s">
        <v>6</v>
      </c>
      <c r="O23" s="86">
        <v>135.38999999999999</v>
      </c>
      <c r="P23" s="46">
        <f t="shared" si="3"/>
        <v>113.25</v>
      </c>
      <c r="Q23" s="153">
        <f t="shared" si="2"/>
        <v>0</v>
      </c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997</v>
      </c>
      <c r="C24" s="27" t="s">
        <v>95</v>
      </c>
      <c r="D24" s="81">
        <v>42992</v>
      </c>
      <c r="E24" s="85">
        <v>43021</v>
      </c>
      <c r="F24" s="86">
        <v>450</v>
      </c>
      <c r="G24" s="83">
        <v>27</v>
      </c>
      <c r="H24" s="83">
        <v>5.4</v>
      </c>
      <c r="I24" s="84"/>
      <c r="J24" s="87">
        <v>417.6</v>
      </c>
      <c r="K24" s="85">
        <v>43004.656643518516</v>
      </c>
      <c r="L24" s="84"/>
      <c r="M24" s="124">
        <f t="shared" si="1"/>
        <v>417.6</v>
      </c>
      <c r="N24" s="47" t="s">
        <v>6</v>
      </c>
      <c r="O24" s="86">
        <v>129.29</v>
      </c>
      <c r="P24" s="46">
        <f t="shared" si="3"/>
        <v>288.31000000000006</v>
      </c>
      <c r="Q24" s="153">
        <f t="shared" si="2"/>
        <v>0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998</v>
      </c>
      <c r="C25" s="27" t="s">
        <v>95</v>
      </c>
      <c r="D25" s="81">
        <v>42995</v>
      </c>
      <c r="E25" s="85">
        <v>43024</v>
      </c>
      <c r="F25" s="86">
        <v>395</v>
      </c>
      <c r="G25" s="83">
        <v>23.7</v>
      </c>
      <c r="H25" s="83">
        <v>4.74</v>
      </c>
      <c r="I25" s="84"/>
      <c r="J25" s="87">
        <v>366.56</v>
      </c>
      <c r="K25" s="85">
        <v>42996.600752314815</v>
      </c>
      <c r="L25" s="84"/>
      <c r="M25" s="124">
        <f t="shared" si="1"/>
        <v>366.56</v>
      </c>
      <c r="N25" s="47" t="s">
        <v>6</v>
      </c>
      <c r="O25" s="86">
        <v>116</v>
      </c>
      <c r="P25" s="46">
        <f t="shared" si="3"/>
        <v>250.56</v>
      </c>
      <c r="Q25" s="153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4" t="str">
        <f t="shared" si="1"/>
        <v/>
      </c>
      <c r="N26" s="47"/>
      <c r="O26" s="82"/>
      <c r="P26" s="46">
        <f t="shared" si="3"/>
        <v>0</v>
      </c>
      <c r="Q26" s="153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999</v>
      </c>
      <c r="C27" s="27" t="s">
        <v>987</v>
      </c>
      <c r="D27" s="81">
        <v>42989</v>
      </c>
      <c r="E27" s="81">
        <v>43018</v>
      </c>
      <c r="F27" s="82">
        <v>350</v>
      </c>
      <c r="G27" s="83">
        <v>21</v>
      </c>
      <c r="H27" s="83">
        <v>4.2</v>
      </c>
      <c r="I27" s="84">
        <v>180</v>
      </c>
      <c r="J27" s="87">
        <v>144.80000000000001</v>
      </c>
      <c r="K27" s="85">
        <v>43004.656643518516</v>
      </c>
      <c r="L27" s="84"/>
      <c r="M27" s="124">
        <f t="shared" si="1"/>
        <v>144.80000000000001</v>
      </c>
      <c r="N27" s="47" t="s">
        <v>6</v>
      </c>
      <c r="O27" s="131">
        <v>140</v>
      </c>
      <c r="P27" s="46">
        <f t="shared" si="3"/>
        <v>4.8000000000000114</v>
      </c>
      <c r="Q27" s="153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1000</v>
      </c>
      <c r="C28" s="27" t="s">
        <v>95</v>
      </c>
      <c r="D28" s="81">
        <v>42979</v>
      </c>
      <c r="E28" s="81">
        <v>43008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42982.638807870368</v>
      </c>
      <c r="L28" s="84"/>
      <c r="M28" s="124">
        <f t="shared" si="1"/>
        <v>482.56</v>
      </c>
      <c r="N28" s="47" t="s">
        <v>6</v>
      </c>
      <c r="O28" s="82">
        <v>165.12</v>
      </c>
      <c r="P28" s="46">
        <f t="shared" si="3"/>
        <v>317.44</v>
      </c>
      <c r="Q28" s="153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1001</v>
      </c>
      <c r="C29" s="27" t="s">
        <v>95</v>
      </c>
      <c r="D29" s="81">
        <v>42992</v>
      </c>
      <c r="E29" s="81">
        <v>43021</v>
      </c>
      <c r="F29" s="82">
        <v>625</v>
      </c>
      <c r="G29" s="83">
        <v>37.5</v>
      </c>
      <c r="H29" s="83">
        <v>7.5</v>
      </c>
      <c r="I29" s="84"/>
      <c r="J29" s="87">
        <v>580</v>
      </c>
      <c r="K29" s="85">
        <v>42992.639861111114</v>
      </c>
      <c r="L29" s="84"/>
      <c r="M29" s="124">
        <f t="shared" si="1"/>
        <v>580</v>
      </c>
      <c r="N29" s="60" t="s">
        <v>6</v>
      </c>
      <c r="O29" s="82">
        <v>196.17</v>
      </c>
      <c r="P29" s="46">
        <f t="shared" si="3"/>
        <v>383.83000000000004</v>
      </c>
      <c r="Q29" s="153">
        <f t="shared" si="2"/>
        <v>0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4" t="str">
        <f t="shared" si="1"/>
        <v/>
      </c>
      <c r="N30" s="47"/>
      <c r="O30" s="82"/>
      <c r="P30" s="46">
        <f t="shared" si="3"/>
        <v>0</v>
      </c>
      <c r="Q30" s="153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976</v>
      </c>
      <c r="C31" s="27"/>
      <c r="D31" s="81"/>
      <c r="E31" s="81"/>
      <c r="F31" s="82"/>
      <c r="G31" s="83"/>
      <c r="H31" s="83"/>
      <c r="I31" s="84"/>
      <c r="J31" s="87"/>
      <c r="K31" s="85"/>
      <c r="L31" s="84"/>
      <c r="M31" s="124" t="str">
        <f t="shared" si="1"/>
        <v/>
      </c>
      <c r="N31" s="47" t="s">
        <v>202</v>
      </c>
      <c r="O31" s="82">
        <v>163.35</v>
      </c>
      <c r="P31" s="46">
        <f t="shared" si="3"/>
        <v>-163.35</v>
      </c>
      <c r="Q31" s="153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1002</v>
      </c>
      <c r="C32" s="27" t="s">
        <v>987</v>
      </c>
      <c r="D32" s="81">
        <v>42979</v>
      </c>
      <c r="E32" s="81">
        <v>43008</v>
      </c>
      <c r="F32" s="82">
        <v>720</v>
      </c>
      <c r="G32" s="83">
        <v>43.2</v>
      </c>
      <c r="H32" s="83">
        <v>8.64</v>
      </c>
      <c r="I32" s="84"/>
      <c r="J32" s="87">
        <v>418.16</v>
      </c>
      <c r="K32" s="85">
        <v>42979.566527777781</v>
      </c>
      <c r="L32" s="84">
        <v>130</v>
      </c>
      <c r="M32" s="124">
        <f t="shared" si="1"/>
        <v>538.16</v>
      </c>
      <c r="N32" s="47" t="s">
        <v>6</v>
      </c>
      <c r="O32" s="82">
        <v>496.98</v>
      </c>
      <c r="P32" s="46">
        <f t="shared" si="3"/>
        <v>41.17999999999995</v>
      </c>
      <c r="Q32" s="153">
        <f t="shared" si="2"/>
        <v>249.99999999999994</v>
      </c>
      <c r="R32" s="141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4" t="str">
        <f t="shared" si="1"/>
        <v/>
      </c>
      <c r="N33" s="59"/>
      <c r="O33" s="82"/>
      <c r="P33" s="46">
        <f t="shared" si="3"/>
        <v>0</v>
      </c>
      <c r="Q33" s="153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1003</v>
      </c>
      <c r="C34" s="27" t="s">
        <v>95</v>
      </c>
      <c r="D34" s="81">
        <v>42992</v>
      </c>
      <c r="E34" s="85">
        <v>43021</v>
      </c>
      <c r="F34" s="86">
        <v>505</v>
      </c>
      <c r="G34" s="83">
        <v>30.3</v>
      </c>
      <c r="H34" s="83">
        <v>6.06</v>
      </c>
      <c r="I34" s="84"/>
      <c r="J34" s="87">
        <v>468.64</v>
      </c>
      <c r="K34" s="81">
        <v>42992.639861111114</v>
      </c>
      <c r="L34" s="84"/>
      <c r="M34" s="124">
        <f t="shared" si="1"/>
        <v>468.64</v>
      </c>
      <c r="N34" s="59" t="s">
        <v>6</v>
      </c>
      <c r="O34" s="86">
        <v>172.11</v>
      </c>
      <c r="P34" s="46">
        <f t="shared" si="3"/>
        <v>296.52999999999997</v>
      </c>
      <c r="Q34" s="153">
        <f t="shared" si="2"/>
        <v>0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1004</v>
      </c>
      <c r="C35" s="27" t="s">
        <v>95</v>
      </c>
      <c r="D35" s="81">
        <v>42955</v>
      </c>
      <c r="E35" s="81">
        <v>43015</v>
      </c>
      <c r="F35" s="82">
        <v>595.96</v>
      </c>
      <c r="G35" s="83">
        <v>35.76</v>
      </c>
      <c r="H35" s="83">
        <v>7.15</v>
      </c>
      <c r="I35" s="84"/>
      <c r="J35" s="87">
        <v>464</v>
      </c>
      <c r="K35" s="81">
        <v>42986.499166666668</v>
      </c>
      <c r="L35" s="84"/>
      <c r="M35" s="124">
        <f t="shared" si="1"/>
        <v>553.05000000000007</v>
      </c>
      <c r="N35" s="59" t="s">
        <v>6</v>
      </c>
      <c r="O35" s="82">
        <v>165.91</v>
      </c>
      <c r="P35" s="46">
        <f t="shared" si="3"/>
        <v>387.1400000000001</v>
      </c>
      <c r="Q35" s="153">
        <f t="shared" si="2"/>
        <v>89.050000000000068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1005</v>
      </c>
      <c r="C36" s="27" t="s">
        <v>987</v>
      </c>
      <c r="D36" s="85">
        <v>42952</v>
      </c>
      <c r="E36" s="85">
        <v>42982</v>
      </c>
      <c r="F36" s="86">
        <v>117.03</v>
      </c>
      <c r="G36" s="83">
        <v>4.0199999999999996</v>
      </c>
      <c r="H36" s="83">
        <v>0.8</v>
      </c>
      <c r="I36" s="84"/>
      <c r="J36" s="87">
        <v>112.21</v>
      </c>
      <c r="K36" s="85">
        <v>43006.646516203706</v>
      </c>
      <c r="L36" s="84">
        <v>720</v>
      </c>
      <c r="M36" s="124">
        <f t="shared" si="1"/>
        <v>-607.79</v>
      </c>
      <c r="N36" s="59" t="s">
        <v>258</v>
      </c>
      <c r="O36" s="86">
        <v>165.91</v>
      </c>
      <c r="P36" s="46">
        <f t="shared" si="3"/>
        <v>-773.69999999999993</v>
      </c>
      <c r="Q36" s="153">
        <f t="shared" si="2"/>
        <v>1.4210854715202004E-14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1006</v>
      </c>
      <c r="C37" s="27" t="s">
        <v>95</v>
      </c>
      <c r="D37" s="85">
        <v>42973</v>
      </c>
      <c r="E37" s="85">
        <v>43033</v>
      </c>
      <c r="F37" s="86">
        <v>504.67</v>
      </c>
      <c r="G37" s="83">
        <v>30.28</v>
      </c>
      <c r="H37" s="83">
        <v>6.05</v>
      </c>
      <c r="I37" s="84"/>
      <c r="J37" s="87">
        <v>432.56</v>
      </c>
      <c r="K37" s="81">
        <v>42986.499166666668</v>
      </c>
      <c r="L37" s="84"/>
      <c r="M37" s="124">
        <f t="shared" si="1"/>
        <v>468.34</v>
      </c>
      <c r="N37" s="59" t="s">
        <v>6</v>
      </c>
      <c r="O37" s="86">
        <v>356.87</v>
      </c>
      <c r="P37" s="46">
        <f t="shared" si="3"/>
        <v>111.46999999999997</v>
      </c>
      <c r="Q37" s="153">
        <f t="shared" si="2"/>
        <v>35.779999999999973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1007</v>
      </c>
      <c r="C38" s="27" t="s">
        <v>95</v>
      </c>
      <c r="D38" s="85">
        <v>42988</v>
      </c>
      <c r="E38" s="85">
        <v>43017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42989.638194444444</v>
      </c>
      <c r="L38" s="84"/>
      <c r="M38" s="124">
        <f t="shared" si="1"/>
        <v>477.92</v>
      </c>
      <c r="N38" s="47" t="s">
        <v>6</v>
      </c>
      <c r="O38" s="82">
        <v>172.11</v>
      </c>
      <c r="P38" s="46">
        <f t="shared" si="3"/>
        <v>305.81</v>
      </c>
      <c r="Q38" s="153">
        <f t="shared" si="2"/>
        <v>0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1008</v>
      </c>
      <c r="C39" s="27" t="s">
        <v>95</v>
      </c>
      <c r="D39" s="85">
        <v>43004</v>
      </c>
      <c r="E39" s="85">
        <v>43033</v>
      </c>
      <c r="F39" s="82">
        <v>499.28</v>
      </c>
      <c r="G39" s="83">
        <v>29.96</v>
      </c>
      <c r="H39" s="83">
        <v>5.99</v>
      </c>
      <c r="I39" s="84"/>
      <c r="J39" s="87">
        <v>463.33</v>
      </c>
      <c r="K39" s="81">
        <v>43004.656643518516</v>
      </c>
      <c r="L39" s="84"/>
      <c r="M39" s="124">
        <f t="shared" si="1"/>
        <v>463.33</v>
      </c>
      <c r="N39" s="47" t="s">
        <v>6</v>
      </c>
      <c r="O39" s="82">
        <v>172.11</v>
      </c>
      <c r="P39" s="46">
        <f t="shared" si="3"/>
        <v>291.21999999999997</v>
      </c>
      <c r="Q39" s="153">
        <f t="shared" si="2"/>
        <v>0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1009</v>
      </c>
      <c r="C40" s="27" t="s">
        <v>987</v>
      </c>
      <c r="D40" s="85">
        <v>42967</v>
      </c>
      <c r="E40" s="85">
        <v>42997</v>
      </c>
      <c r="F40" s="86">
        <v>610</v>
      </c>
      <c r="G40" s="83">
        <v>36.6</v>
      </c>
      <c r="H40" s="83">
        <v>7.32</v>
      </c>
      <c r="I40" s="84"/>
      <c r="J40" s="87">
        <v>566.08000000000004</v>
      </c>
      <c r="K40" s="85">
        <v>43003.677256944444</v>
      </c>
      <c r="L40" s="84"/>
      <c r="M40" s="124">
        <f t="shared" si="1"/>
        <v>566.07999999999993</v>
      </c>
      <c r="N40" s="47" t="s">
        <v>6</v>
      </c>
      <c r="O40" s="86">
        <v>197.26</v>
      </c>
      <c r="P40" s="46">
        <f t="shared" si="3"/>
        <v>368.81999999999994</v>
      </c>
      <c r="Q40" s="153">
        <f t="shared" si="2"/>
        <v>-1.1368683772161603E-13</v>
      </c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1057</v>
      </c>
      <c r="C41" s="27"/>
      <c r="D41" s="81"/>
      <c r="E41" s="81"/>
      <c r="F41" s="82"/>
      <c r="G41" s="83"/>
      <c r="H41" s="83"/>
      <c r="I41" s="84"/>
      <c r="J41" s="87"/>
      <c r="K41" s="81"/>
      <c r="L41" s="84"/>
      <c r="M41" s="124" t="str">
        <f t="shared" si="1"/>
        <v/>
      </c>
      <c r="N41" s="47" t="s">
        <v>6</v>
      </c>
      <c r="O41" s="82">
        <v>195.72</v>
      </c>
      <c r="P41" s="46">
        <f t="shared" si="3"/>
        <v>-195.72</v>
      </c>
      <c r="Q41" s="153">
        <f t="shared" si="2"/>
        <v>0</v>
      </c>
      <c r="R41" s="60" t="s">
        <v>1058</v>
      </c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1010</v>
      </c>
      <c r="C42" s="27" t="s">
        <v>95</v>
      </c>
      <c r="D42" s="85">
        <v>43008</v>
      </c>
      <c r="E42" s="85">
        <v>43037</v>
      </c>
      <c r="F42" s="86">
        <v>509.24</v>
      </c>
      <c r="G42" s="83">
        <v>30.55</v>
      </c>
      <c r="H42" s="83">
        <v>6.11</v>
      </c>
      <c r="I42" s="84"/>
      <c r="J42" s="87">
        <v>472.58</v>
      </c>
      <c r="K42" s="85">
        <v>43007.613078703704</v>
      </c>
      <c r="L42" s="84"/>
      <c r="M42" s="124">
        <f t="shared" si="1"/>
        <v>472.58</v>
      </c>
      <c r="N42" s="47" t="s">
        <v>6</v>
      </c>
      <c r="O42" s="86">
        <v>348.23</v>
      </c>
      <c r="P42" s="46">
        <f t="shared" si="3"/>
        <v>124.34999999999997</v>
      </c>
      <c r="Q42" s="153">
        <f t="shared" si="2"/>
        <v>0</v>
      </c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1011</v>
      </c>
      <c r="C43" s="27" t="s">
        <v>95</v>
      </c>
      <c r="D43" s="81">
        <v>42922</v>
      </c>
      <c r="E43" s="81">
        <v>42983</v>
      </c>
      <c r="F43" s="82">
        <v>372.08</v>
      </c>
      <c r="G43" s="83">
        <v>22.33</v>
      </c>
      <c r="H43" s="83">
        <v>4.47</v>
      </c>
      <c r="I43" s="84"/>
      <c r="J43" s="87">
        <v>345.28</v>
      </c>
      <c r="K43" s="81">
        <v>43004.656643518516</v>
      </c>
      <c r="L43" s="84"/>
      <c r="M43" s="124">
        <f t="shared" si="1"/>
        <v>345.28</v>
      </c>
      <c r="N43" s="47" t="s">
        <v>258</v>
      </c>
      <c r="O43" s="82">
        <v>195.72</v>
      </c>
      <c r="P43" s="46">
        <f t="shared" si="3"/>
        <v>149.55999999999997</v>
      </c>
      <c r="Q43" s="153">
        <f t="shared" si="2"/>
        <v>0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976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4" t="str">
        <f t="shared" si="1"/>
        <v/>
      </c>
      <c r="N44" s="59" t="s">
        <v>203</v>
      </c>
      <c r="O44" s="82">
        <v>197.32</v>
      </c>
      <c r="P44" s="46">
        <f t="shared" si="3"/>
        <v>-197.32</v>
      </c>
      <c r="Q44" s="153">
        <f t="shared" si="2"/>
        <v>0</v>
      </c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4" t="str">
        <f t="shared" si="1"/>
        <v/>
      </c>
      <c r="N45" s="47"/>
      <c r="O45" s="82"/>
      <c r="P45" s="46">
        <f t="shared" si="3"/>
        <v>0</v>
      </c>
      <c r="Q45" s="153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1012</v>
      </c>
      <c r="C46" s="27" t="s">
        <v>987</v>
      </c>
      <c r="D46" s="81">
        <v>42996</v>
      </c>
      <c r="E46" s="81">
        <v>43025</v>
      </c>
      <c r="F46" s="82">
        <v>525</v>
      </c>
      <c r="G46" s="83">
        <v>31.5</v>
      </c>
      <c r="H46" s="83">
        <v>6.3</v>
      </c>
      <c r="I46" s="84">
        <v>20</v>
      </c>
      <c r="J46" s="87">
        <v>467.2</v>
      </c>
      <c r="K46" s="85">
        <v>42996.600752314815</v>
      </c>
      <c r="L46" s="84"/>
      <c r="M46" s="124">
        <f t="shared" si="1"/>
        <v>467.2</v>
      </c>
      <c r="N46" s="47" t="s">
        <v>6</v>
      </c>
      <c r="O46" s="82">
        <v>165.47</v>
      </c>
      <c r="P46" s="46">
        <f t="shared" si="3"/>
        <v>301.73</v>
      </c>
      <c r="Q46" s="153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1013</v>
      </c>
      <c r="C47" s="27" t="s">
        <v>987</v>
      </c>
      <c r="D47" s="81">
        <v>42984</v>
      </c>
      <c r="E47" s="81">
        <v>43013</v>
      </c>
      <c r="F47" s="82">
        <v>525</v>
      </c>
      <c r="G47" s="83">
        <v>31.5</v>
      </c>
      <c r="H47" s="83">
        <v>6.3</v>
      </c>
      <c r="I47" s="84"/>
      <c r="J47" s="87">
        <v>487.2</v>
      </c>
      <c r="K47" s="85">
        <v>42985.640451388892</v>
      </c>
      <c r="L47" s="84"/>
      <c r="M47" s="124">
        <f t="shared" si="1"/>
        <v>487.2</v>
      </c>
      <c r="N47" s="47" t="s">
        <v>6</v>
      </c>
      <c r="O47" s="82">
        <v>61.95</v>
      </c>
      <c r="P47" s="46">
        <f t="shared" si="3"/>
        <v>425.25</v>
      </c>
      <c r="Q47" s="153">
        <f t="shared" si="2"/>
        <v>0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1014</v>
      </c>
      <c r="C48" s="27" t="s">
        <v>95</v>
      </c>
      <c r="D48" s="81">
        <v>43001</v>
      </c>
      <c r="E48" s="81">
        <v>43030</v>
      </c>
      <c r="F48" s="82">
        <v>490</v>
      </c>
      <c r="G48" s="83">
        <v>29.4</v>
      </c>
      <c r="H48" s="83">
        <v>5.88</v>
      </c>
      <c r="I48" s="84">
        <v>216</v>
      </c>
      <c r="J48" s="87">
        <v>238.72</v>
      </c>
      <c r="K48" s="85">
        <v>43004.656643518516</v>
      </c>
      <c r="L48" s="84"/>
      <c r="M48" s="124">
        <f t="shared" si="1"/>
        <v>238.72000000000003</v>
      </c>
      <c r="N48" s="47" t="s">
        <v>6</v>
      </c>
      <c r="O48" s="82">
        <v>165.44</v>
      </c>
      <c r="P48" s="46">
        <f t="shared" si="3"/>
        <v>73.28000000000003</v>
      </c>
      <c r="Q48" s="153">
        <f t="shared" si="2"/>
        <v>2.8421709430404007E-14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1015</v>
      </c>
      <c r="C49" s="27" t="s">
        <v>987</v>
      </c>
      <c r="D49" s="85">
        <v>42992</v>
      </c>
      <c r="E49" s="85">
        <v>43021</v>
      </c>
      <c r="F49" s="86">
        <v>499.26</v>
      </c>
      <c r="G49" s="83">
        <v>29.95</v>
      </c>
      <c r="H49" s="83">
        <v>5.99</v>
      </c>
      <c r="I49" s="84"/>
      <c r="J49" s="87">
        <v>463.32</v>
      </c>
      <c r="K49" s="85">
        <v>42996.600752314815</v>
      </c>
      <c r="L49" s="84"/>
      <c r="M49" s="124">
        <f t="shared" si="1"/>
        <v>463.32</v>
      </c>
      <c r="N49" s="47" t="s">
        <v>6</v>
      </c>
      <c r="O49" s="86">
        <v>165.1</v>
      </c>
      <c r="P49" s="46">
        <f t="shared" si="3"/>
        <v>298.22000000000003</v>
      </c>
      <c r="Q49" s="153">
        <f t="shared" si="2"/>
        <v>0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1016</v>
      </c>
      <c r="C50" s="27" t="s">
        <v>95</v>
      </c>
      <c r="D50" s="81">
        <v>42997</v>
      </c>
      <c r="E50" s="81">
        <v>43026</v>
      </c>
      <c r="F50" s="82">
        <v>500</v>
      </c>
      <c r="G50" s="83">
        <v>30</v>
      </c>
      <c r="H50" s="83">
        <v>6</v>
      </c>
      <c r="I50" s="84"/>
      <c r="J50" s="87">
        <v>464</v>
      </c>
      <c r="K50" s="85">
        <v>43004.656643518516</v>
      </c>
      <c r="L50" s="84"/>
      <c r="M50" s="124">
        <f t="shared" si="1"/>
        <v>464</v>
      </c>
      <c r="N50" s="47" t="s">
        <v>6</v>
      </c>
      <c r="O50" s="82">
        <v>165.44</v>
      </c>
      <c r="P50" s="46">
        <f t="shared" si="3"/>
        <v>298.56</v>
      </c>
      <c r="Q50" s="153">
        <f t="shared" si="2"/>
        <v>0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1017</v>
      </c>
      <c r="C51" s="27" t="s">
        <v>95</v>
      </c>
      <c r="D51" s="85">
        <v>42967</v>
      </c>
      <c r="E51" s="85">
        <v>43027</v>
      </c>
      <c r="F51" s="82">
        <v>999.27</v>
      </c>
      <c r="G51" s="83">
        <v>59.96</v>
      </c>
      <c r="H51" s="83">
        <v>11.99</v>
      </c>
      <c r="I51" s="84">
        <v>417.07</v>
      </c>
      <c r="J51" s="87">
        <v>463.32</v>
      </c>
      <c r="K51" s="85">
        <v>43004.656643518516</v>
      </c>
      <c r="L51" s="84"/>
      <c r="M51" s="124">
        <f t="shared" si="1"/>
        <v>510.24999999999994</v>
      </c>
      <c r="N51" s="47" t="s">
        <v>6</v>
      </c>
      <c r="O51" s="82">
        <v>165.44</v>
      </c>
      <c r="P51" s="46">
        <f t="shared" si="3"/>
        <v>344.80999999999995</v>
      </c>
      <c r="Q51" s="153">
        <f t="shared" si="2"/>
        <v>46.92999999999995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1018</v>
      </c>
      <c r="C52" s="27" t="s">
        <v>987</v>
      </c>
      <c r="D52" s="81">
        <v>42984</v>
      </c>
      <c r="E52" s="81">
        <v>43013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42984.666620370372</v>
      </c>
      <c r="L52" s="84"/>
      <c r="M52" s="124">
        <f t="shared" si="1"/>
        <v>464</v>
      </c>
      <c r="N52" s="47" t="s">
        <v>6</v>
      </c>
      <c r="O52" s="82">
        <v>208.78</v>
      </c>
      <c r="P52" s="46">
        <f t="shared" si="3"/>
        <v>255.22</v>
      </c>
      <c r="Q52" s="153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1019</v>
      </c>
      <c r="C53" s="27" t="s">
        <v>95</v>
      </c>
      <c r="D53" s="81">
        <v>42966</v>
      </c>
      <c r="E53" s="81">
        <v>43026</v>
      </c>
      <c r="F53" s="82">
        <v>461.52</v>
      </c>
      <c r="G53" s="83">
        <v>27.69</v>
      </c>
      <c r="H53" s="83">
        <v>5.54</v>
      </c>
      <c r="I53" s="84">
        <v>96</v>
      </c>
      <c r="J53" s="87">
        <v>332.29</v>
      </c>
      <c r="K53" s="85">
        <v>43004.656643518516</v>
      </c>
      <c r="L53" s="84"/>
      <c r="M53" s="124">
        <f t="shared" si="1"/>
        <v>332.28999999999996</v>
      </c>
      <c r="N53" s="47" t="s">
        <v>6</v>
      </c>
      <c r="O53" s="82">
        <v>171.17</v>
      </c>
      <c r="P53" s="46">
        <f t="shared" si="3"/>
        <v>161.11999999999998</v>
      </c>
      <c r="Q53" s="153">
        <f t="shared" si="2"/>
        <v>-5.6843418860808015E-14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4" t="str">
        <f t="shared" si="1"/>
        <v/>
      </c>
      <c r="N54" s="47"/>
      <c r="O54" s="82"/>
      <c r="P54" s="46">
        <f t="shared" si="3"/>
        <v>0</v>
      </c>
      <c r="Q54" s="153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1020</v>
      </c>
      <c r="C55" s="27" t="s">
        <v>95</v>
      </c>
      <c r="D55" s="81">
        <v>42983</v>
      </c>
      <c r="E55" s="81">
        <v>43012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42990.642546296294</v>
      </c>
      <c r="L55" s="84"/>
      <c r="M55" s="124">
        <f t="shared" si="1"/>
        <v>603.20000000000005</v>
      </c>
      <c r="N55" s="47" t="s">
        <v>6</v>
      </c>
      <c r="O55" s="82">
        <v>201.41</v>
      </c>
      <c r="P55" s="46">
        <f t="shared" si="3"/>
        <v>401.79000000000008</v>
      </c>
      <c r="Q55" s="153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1059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4" t="str">
        <f t="shared" si="1"/>
        <v/>
      </c>
      <c r="N56" s="47" t="s">
        <v>259</v>
      </c>
      <c r="O56" s="82">
        <v>165.45</v>
      </c>
      <c r="P56" s="46">
        <f t="shared" si="3"/>
        <v>-165.45</v>
      </c>
      <c r="Q56" s="153">
        <f t="shared" si="2"/>
        <v>0</v>
      </c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1021</v>
      </c>
      <c r="C57" s="27" t="s">
        <v>95</v>
      </c>
      <c r="D57" s="81">
        <v>42990</v>
      </c>
      <c r="E57" s="81">
        <v>43019</v>
      </c>
      <c r="F57" s="82">
        <v>500</v>
      </c>
      <c r="G57" s="83">
        <v>30</v>
      </c>
      <c r="H57" s="83">
        <v>6</v>
      </c>
      <c r="I57" s="84"/>
      <c r="J57" s="87">
        <v>464</v>
      </c>
      <c r="K57" s="85">
        <v>42990.642546296294</v>
      </c>
      <c r="L57" s="84"/>
      <c r="M57" s="124">
        <f t="shared" si="1"/>
        <v>464</v>
      </c>
      <c r="N57" s="47" t="s">
        <v>6</v>
      </c>
      <c r="O57" s="82">
        <v>180.37</v>
      </c>
      <c r="P57" s="46">
        <f t="shared" si="3"/>
        <v>283.63</v>
      </c>
      <c r="Q57" s="153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1022</v>
      </c>
      <c r="C58" s="27" t="s">
        <v>95</v>
      </c>
      <c r="D58" s="81">
        <v>42986</v>
      </c>
      <c r="E58" s="81">
        <v>43015</v>
      </c>
      <c r="F58" s="82">
        <v>500</v>
      </c>
      <c r="G58" s="83">
        <v>30</v>
      </c>
      <c r="H58" s="83">
        <v>6</v>
      </c>
      <c r="I58" s="84">
        <v>80</v>
      </c>
      <c r="J58" s="87">
        <v>384</v>
      </c>
      <c r="K58" s="85">
        <v>42996.600752314815</v>
      </c>
      <c r="L58" s="84"/>
      <c r="M58" s="124">
        <f t="shared" si="1"/>
        <v>384</v>
      </c>
      <c r="N58" s="47" t="s">
        <v>6</v>
      </c>
      <c r="O58" s="82">
        <v>165.41</v>
      </c>
      <c r="P58" s="46">
        <f t="shared" si="3"/>
        <v>218.59</v>
      </c>
      <c r="Q58" s="153">
        <f t="shared" si="2"/>
        <v>0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1023</v>
      </c>
      <c r="C59" s="27" t="s">
        <v>987</v>
      </c>
      <c r="D59" s="81">
        <v>42990</v>
      </c>
      <c r="E59" s="81">
        <v>43019</v>
      </c>
      <c r="F59" s="82">
        <v>550</v>
      </c>
      <c r="G59" s="83">
        <v>33</v>
      </c>
      <c r="H59" s="83">
        <v>6.6</v>
      </c>
      <c r="I59" s="84"/>
      <c r="J59" s="87">
        <v>510.4</v>
      </c>
      <c r="K59" s="85">
        <v>42991.640405092592</v>
      </c>
      <c r="L59" s="84"/>
      <c r="M59" s="124">
        <f t="shared" si="1"/>
        <v>510.4</v>
      </c>
      <c r="N59" s="47" t="s">
        <v>6</v>
      </c>
      <c r="O59" s="82">
        <v>165.53</v>
      </c>
      <c r="P59" s="46">
        <f t="shared" si="3"/>
        <v>344.87</v>
      </c>
      <c r="Q59" s="153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1024</v>
      </c>
      <c r="C60" s="27" t="s">
        <v>95</v>
      </c>
      <c r="D60" s="81">
        <v>42997</v>
      </c>
      <c r="E60" s="81">
        <v>43026</v>
      </c>
      <c r="F60" s="82">
        <v>505</v>
      </c>
      <c r="G60" s="83">
        <v>30.3</v>
      </c>
      <c r="H60" s="83">
        <v>6.06</v>
      </c>
      <c r="I60" s="84"/>
      <c r="J60" s="87">
        <v>468.64</v>
      </c>
      <c r="K60" s="85">
        <v>42997.636666666665</v>
      </c>
      <c r="L60" s="84"/>
      <c r="M60" s="124">
        <f t="shared" si="1"/>
        <v>468.64</v>
      </c>
      <c r="N60" s="47" t="s">
        <v>6</v>
      </c>
      <c r="O60" s="82">
        <v>165.41</v>
      </c>
      <c r="P60" s="46">
        <f t="shared" si="3"/>
        <v>303.23</v>
      </c>
      <c r="Q60" s="153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1025</v>
      </c>
      <c r="C61" s="40" t="s">
        <v>95</v>
      </c>
      <c r="D61" s="81">
        <v>42981</v>
      </c>
      <c r="E61" s="81">
        <v>43010</v>
      </c>
      <c r="F61" s="82">
        <v>499.28</v>
      </c>
      <c r="G61" s="83">
        <v>29.96</v>
      </c>
      <c r="H61" s="83">
        <v>5.99</v>
      </c>
      <c r="I61" s="84"/>
      <c r="J61" s="87">
        <v>463.33</v>
      </c>
      <c r="K61" s="85">
        <v>43004.656643518516</v>
      </c>
      <c r="L61" s="84"/>
      <c r="M61" s="124">
        <f t="shared" si="1"/>
        <v>463.33</v>
      </c>
      <c r="N61" s="47" t="s">
        <v>6</v>
      </c>
      <c r="O61" s="82">
        <v>201.56</v>
      </c>
      <c r="P61" s="46">
        <f t="shared" si="3"/>
        <v>261.77</v>
      </c>
      <c r="Q61" s="153">
        <f t="shared" si="2"/>
        <v>0</v>
      </c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1026</v>
      </c>
      <c r="C62" s="27" t="s">
        <v>987</v>
      </c>
      <c r="D62" s="85">
        <v>42734</v>
      </c>
      <c r="E62" s="81">
        <v>42793</v>
      </c>
      <c r="F62" s="89">
        <v>102.64</v>
      </c>
      <c r="G62" s="83">
        <v>6.17</v>
      </c>
      <c r="H62" s="83">
        <v>1.23</v>
      </c>
      <c r="I62" s="84"/>
      <c r="J62" s="87">
        <v>67.55</v>
      </c>
      <c r="K62" s="85">
        <v>43004.656643518516</v>
      </c>
      <c r="L62" s="84"/>
      <c r="M62" s="124">
        <f t="shared" si="1"/>
        <v>95.24</v>
      </c>
      <c r="N62" s="47" t="s">
        <v>259</v>
      </c>
      <c r="O62" s="89">
        <v>171.17</v>
      </c>
      <c r="P62" s="46">
        <f t="shared" si="3"/>
        <v>-75.929999999999993</v>
      </c>
      <c r="Q62" s="153">
        <f t="shared" si="2"/>
        <v>27.689999999999998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5" t="str">
        <f t="shared" si="1"/>
        <v/>
      </c>
      <c r="N63" s="54"/>
      <c r="O63" s="91"/>
      <c r="P63" s="123">
        <f t="shared" si="3"/>
        <v>0</v>
      </c>
      <c r="Q63" s="154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20101.41</v>
      </c>
      <c r="G65" s="42">
        <f>SUM(G9:G63)</f>
        <v>1203.1300000000001</v>
      </c>
      <c r="H65" s="42">
        <f>SUM(H9:H63)</f>
        <v>240.59000000000003</v>
      </c>
      <c r="I65" s="42">
        <f>SUM(I9:I63)</f>
        <v>1304.07</v>
      </c>
      <c r="J65" s="42">
        <f>SUM(J9:J63)</f>
        <v>16822.020000000004</v>
      </c>
      <c r="K65" s="41"/>
      <c r="L65" s="42">
        <f>SUM(L9:L63)</f>
        <v>883.76</v>
      </c>
      <c r="M65" s="42">
        <f>SUM(M9:M63)</f>
        <v>16469.860000000004</v>
      </c>
      <c r="N65" s="41"/>
      <c r="O65" s="42">
        <f>SUM(O9:O63)</f>
        <v>7981.1199999999981</v>
      </c>
      <c r="P65" s="42">
        <f>SUM(P9:P63)</f>
        <v>8488.7400000000016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0"/>
  <sheetViews>
    <sheetView zoomScale="85" zoomScaleNormal="85" workbookViewId="0">
      <selection activeCell="A3" sqref="A3:G60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7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5" t="s">
        <v>1027</v>
      </c>
    </row>
    <row r="4" spans="1:15" x14ac:dyDescent="0.2">
      <c r="A4" t="s">
        <v>1028</v>
      </c>
      <c r="B4">
        <v>14</v>
      </c>
    </row>
    <row r="5" spans="1:15" x14ac:dyDescent="0.2">
      <c r="A5" t="s">
        <v>1029</v>
      </c>
      <c r="B5">
        <v>66</v>
      </c>
    </row>
    <row r="6" spans="1:15" x14ac:dyDescent="0.2">
      <c r="A6" t="s">
        <v>1030</v>
      </c>
      <c r="B6">
        <v>63</v>
      </c>
    </row>
    <row r="7" spans="1:15" x14ac:dyDescent="0.2">
      <c r="A7" t="s">
        <v>1031</v>
      </c>
      <c r="B7">
        <v>55</v>
      </c>
    </row>
    <row r="8" spans="1:15" x14ac:dyDescent="0.2">
      <c r="A8" t="s">
        <v>1032</v>
      </c>
      <c r="B8">
        <v>17</v>
      </c>
    </row>
    <row r="9" spans="1:15" x14ac:dyDescent="0.2">
      <c r="A9" t="s">
        <v>1033</v>
      </c>
      <c r="B9">
        <v>10</v>
      </c>
    </row>
    <row r="10" spans="1:15" x14ac:dyDescent="0.2">
      <c r="A10" s="149"/>
      <c r="B10" s="149"/>
      <c r="C10" s="149"/>
      <c r="D10" s="149"/>
      <c r="E10" s="149"/>
      <c r="F10" s="149"/>
      <c r="G10" s="149"/>
      <c r="H10" s="126"/>
      <c r="I10" s="126"/>
      <c r="J10" s="126"/>
      <c r="K10" s="126"/>
      <c r="L10" s="126"/>
      <c r="M10" s="126"/>
      <c r="N10" s="126"/>
      <c r="O10" s="126"/>
    </row>
    <row r="11" spans="1:15" ht="15" x14ac:dyDescent="0.25">
      <c r="A11" s="155" t="s">
        <v>24</v>
      </c>
      <c r="B11" s="155" t="s">
        <v>513</v>
      </c>
      <c r="C11" s="155" t="s">
        <v>515</v>
      </c>
      <c r="D11" s="155" t="s">
        <v>550</v>
      </c>
      <c r="E11" s="155" t="s">
        <v>1034</v>
      </c>
      <c r="F11" s="155" t="s">
        <v>1035</v>
      </c>
    </row>
    <row r="12" spans="1:15" x14ac:dyDescent="0.2">
      <c r="A12" t="s">
        <v>102</v>
      </c>
      <c r="B12" s="156">
        <v>42978.460659722223</v>
      </c>
      <c r="C12">
        <v>-650</v>
      </c>
      <c r="D12" t="s">
        <v>1036</v>
      </c>
      <c r="E12">
        <v>173822</v>
      </c>
      <c r="F12" t="s">
        <v>1037</v>
      </c>
    </row>
    <row r="13" spans="1:15" x14ac:dyDescent="0.2">
      <c r="A13" t="s">
        <v>102</v>
      </c>
      <c r="B13" s="156">
        <v>42977.399861111109</v>
      </c>
      <c r="C13">
        <v>8.64</v>
      </c>
      <c r="D13" t="s">
        <v>1038</v>
      </c>
      <c r="E13">
        <v>173821</v>
      </c>
      <c r="F13" t="s">
        <v>1037</v>
      </c>
    </row>
    <row r="14" spans="1:15" x14ac:dyDescent="0.2">
      <c r="A14" t="s">
        <v>102</v>
      </c>
      <c r="B14" s="156">
        <v>42977.399756944447</v>
      </c>
      <c r="C14">
        <v>47.52</v>
      </c>
      <c r="D14" t="s">
        <v>1038</v>
      </c>
      <c r="E14">
        <v>173820</v>
      </c>
      <c r="F14" t="s">
        <v>1037</v>
      </c>
    </row>
    <row r="15" spans="1:15" x14ac:dyDescent="0.2">
      <c r="A15" t="s">
        <v>102</v>
      </c>
      <c r="B15" s="156">
        <v>42977.399375000001</v>
      </c>
      <c r="C15">
        <v>593.84</v>
      </c>
      <c r="D15" t="s">
        <v>1039</v>
      </c>
      <c r="E15">
        <v>173819</v>
      </c>
      <c r="F15" t="s">
        <v>1037</v>
      </c>
    </row>
    <row r="16" spans="1:15" x14ac:dyDescent="0.2">
      <c r="A16" t="s">
        <v>106</v>
      </c>
      <c r="B16" s="156">
        <v>42978.459490740737</v>
      </c>
      <c r="C16">
        <v>-2.77</v>
      </c>
      <c r="D16" t="s">
        <v>622</v>
      </c>
      <c r="E16">
        <v>173809</v>
      </c>
      <c r="F16" t="s">
        <v>1037</v>
      </c>
    </row>
    <row r="17" spans="1:6" x14ac:dyDescent="0.2">
      <c r="A17" t="s">
        <v>106</v>
      </c>
      <c r="B17" s="156">
        <v>42978.459490740737</v>
      </c>
      <c r="C17">
        <v>38.549999999999997</v>
      </c>
      <c r="D17" t="s">
        <v>1040</v>
      </c>
      <c r="E17">
        <v>173808</v>
      </c>
      <c r="F17" t="s">
        <v>1037</v>
      </c>
    </row>
    <row r="18" spans="1:6" x14ac:dyDescent="0.2">
      <c r="A18" t="s">
        <v>75</v>
      </c>
      <c r="B18" s="156">
        <v>42978.459490740737</v>
      </c>
      <c r="C18">
        <v>-2.15</v>
      </c>
      <c r="D18" t="s">
        <v>640</v>
      </c>
      <c r="E18">
        <v>173741</v>
      </c>
      <c r="F18" t="s">
        <v>1037</v>
      </c>
    </row>
    <row r="19" spans="1:6" x14ac:dyDescent="0.2">
      <c r="A19" t="s">
        <v>75</v>
      </c>
      <c r="B19" s="156">
        <v>42978.459490740737</v>
      </c>
      <c r="C19">
        <v>29.84</v>
      </c>
      <c r="D19" t="s">
        <v>639</v>
      </c>
      <c r="E19">
        <v>173740</v>
      </c>
      <c r="F19" t="s">
        <v>1037</v>
      </c>
    </row>
    <row r="20" spans="1:6" x14ac:dyDescent="0.2">
      <c r="A20" t="s">
        <v>70</v>
      </c>
      <c r="B20" s="156">
        <v>42969.6640162037</v>
      </c>
      <c r="C20">
        <v>-357.07</v>
      </c>
      <c r="D20" t="s">
        <v>1041</v>
      </c>
      <c r="E20">
        <v>173869</v>
      </c>
      <c r="F20" t="s">
        <v>1037</v>
      </c>
    </row>
    <row r="21" spans="1:6" x14ac:dyDescent="0.2">
      <c r="A21" t="s">
        <v>70</v>
      </c>
      <c r="B21" s="156">
        <v>42956.456620370373</v>
      </c>
      <c r="C21">
        <v>-60</v>
      </c>
      <c r="D21" t="s">
        <v>1042</v>
      </c>
      <c r="E21">
        <v>173868</v>
      </c>
      <c r="F21" t="s">
        <v>1037</v>
      </c>
    </row>
    <row r="22" spans="1:6" x14ac:dyDescent="0.2">
      <c r="A22" t="s">
        <v>70</v>
      </c>
      <c r="B22" s="156">
        <v>42978.458611111113</v>
      </c>
      <c r="C22">
        <v>-36</v>
      </c>
      <c r="D22" t="s">
        <v>569</v>
      </c>
      <c r="E22">
        <v>173871</v>
      </c>
      <c r="F22" t="s">
        <v>1037</v>
      </c>
    </row>
    <row r="23" spans="1:6" x14ac:dyDescent="0.2">
      <c r="A23" t="s">
        <v>70</v>
      </c>
      <c r="B23" s="156">
        <v>42978.458611111113</v>
      </c>
      <c r="C23">
        <v>500</v>
      </c>
      <c r="D23" t="s">
        <v>1043</v>
      </c>
      <c r="E23">
        <v>173870</v>
      </c>
      <c r="F23" t="s">
        <v>1037</v>
      </c>
    </row>
    <row r="24" spans="1:6" x14ac:dyDescent="0.2">
      <c r="A24" t="s">
        <v>63</v>
      </c>
      <c r="B24" s="156">
        <v>42976.539988425924</v>
      </c>
      <c r="C24">
        <v>-180</v>
      </c>
      <c r="D24" t="s">
        <v>1044</v>
      </c>
      <c r="E24">
        <v>173989</v>
      </c>
      <c r="F24" t="s">
        <v>1037</v>
      </c>
    </row>
    <row r="25" spans="1:6" x14ac:dyDescent="0.2">
      <c r="A25" t="s">
        <v>66</v>
      </c>
      <c r="B25" s="156">
        <v>42978.458611111113</v>
      </c>
      <c r="C25">
        <v>-6.91</v>
      </c>
      <c r="D25" t="s">
        <v>605</v>
      </c>
      <c r="E25">
        <v>173999</v>
      </c>
      <c r="F25" t="s">
        <v>1037</v>
      </c>
    </row>
    <row r="26" spans="1:6" x14ac:dyDescent="0.2">
      <c r="A26" t="s">
        <v>66</v>
      </c>
      <c r="B26" s="156">
        <v>42978.458611111113</v>
      </c>
      <c r="C26">
        <v>95.96</v>
      </c>
      <c r="D26" t="s">
        <v>1045</v>
      </c>
      <c r="E26">
        <v>173998</v>
      </c>
      <c r="F26" t="s">
        <v>1037</v>
      </c>
    </row>
    <row r="27" spans="1:6" x14ac:dyDescent="0.2">
      <c r="A27" t="s">
        <v>186</v>
      </c>
      <c r="B27" s="156">
        <v>42978.458611111113</v>
      </c>
      <c r="C27">
        <v>-6.37</v>
      </c>
      <c r="D27" t="s">
        <v>615</v>
      </c>
      <c r="E27">
        <v>174040</v>
      </c>
      <c r="F27" t="s">
        <v>1037</v>
      </c>
    </row>
    <row r="28" spans="1:6" x14ac:dyDescent="0.2">
      <c r="A28" t="s">
        <v>186</v>
      </c>
      <c r="B28" s="156">
        <v>42978.458611111113</v>
      </c>
      <c r="C28">
        <v>88.52</v>
      </c>
      <c r="D28" t="s">
        <v>1046</v>
      </c>
      <c r="E28">
        <v>174039</v>
      </c>
      <c r="F28" t="s">
        <v>1037</v>
      </c>
    </row>
    <row r="29" spans="1:6" x14ac:dyDescent="0.2">
      <c r="A29" t="s">
        <v>102</v>
      </c>
      <c r="B29" s="156">
        <v>42992.369108796294</v>
      </c>
      <c r="C29">
        <v>130</v>
      </c>
      <c r="D29" t="s">
        <v>905</v>
      </c>
      <c r="E29">
        <v>178339</v>
      </c>
      <c r="F29" t="s">
        <v>1047</v>
      </c>
    </row>
    <row r="30" spans="1:6" x14ac:dyDescent="0.2">
      <c r="A30" t="s">
        <v>102</v>
      </c>
      <c r="B30" s="156">
        <v>42992.722083333334</v>
      </c>
      <c r="C30">
        <v>-130</v>
      </c>
      <c r="D30" t="s">
        <v>906</v>
      </c>
      <c r="E30">
        <v>178340</v>
      </c>
      <c r="F30" t="s">
        <v>1047</v>
      </c>
    </row>
    <row r="31" spans="1:6" x14ac:dyDescent="0.2">
      <c r="A31" t="s">
        <v>102</v>
      </c>
      <c r="B31" s="156">
        <v>42998.447638888887</v>
      </c>
      <c r="C31">
        <v>-895</v>
      </c>
      <c r="D31" t="s">
        <v>907</v>
      </c>
      <c r="E31">
        <v>178341</v>
      </c>
      <c r="F31" t="s">
        <v>1047</v>
      </c>
    </row>
    <row r="32" spans="1:6" x14ac:dyDescent="0.2">
      <c r="A32" t="s">
        <v>74</v>
      </c>
      <c r="B32" s="156">
        <v>43007.451145833336</v>
      </c>
      <c r="C32">
        <v>-54</v>
      </c>
      <c r="D32" t="s">
        <v>935</v>
      </c>
      <c r="E32">
        <v>178438</v>
      </c>
      <c r="F32" t="s">
        <v>1047</v>
      </c>
    </row>
    <row r="33" spans="1:7" x14ac:dyDescent="0.2">
      <c r="A33" t="s">
        <v>103</v>
      </c>
      <c r="B33" s="156">
        <v>43004.718819444446</v>
      </c>
      <c r="C33">
        <v>-55</v>
      </c>
      <c r="D33" t="s">
        <v>951</v>
      </c>
      <c r="E33">
        <v>178504</v>
      </c>
      <c r="F33" t="s">
        <v>1047</v>
      </c>
    </row>
    <row r="34" spans="1:7" x14ac:dyDescent="0.2">
      <c r="A34" t="s">
        <v>99</v>
      </c>
      <c r="B34" s="156">
        <v>42983.565983796296</v>
      </c>
      <c r="C34">
        <v>720</v>
      </c>
      <c r="D34" t="s">
        <v>952</v>
      </c>
      <c r="E34">
        <v>178505</v>
      </c>
      <c r="F34" t="s">
        <v>1047</v>
      </c>
    </row>
    <row r="35" spans="1:7" x14ac:dyDescent="0.2">
      <c r="A35" t="s">
        <v>99</v>
      </c>
      <c r="B35" s="156">
        <v>43007.609340277777</v>
      </c>
      <c r="C35">
        <v>150</v>
      </c>
      <c r="D35" t="s">
        <v>953</v>
      </c>
      <c r="E35">
        <v>178506</v>
      </c>
      <c r="F35" t="s">
        <v>1047</v>
      </c>
    </row>
    <row r="36" spans="1:7" x14ac:dyDescent="0.2">
      <c r="A36" t="s">
        <v>186</v>
      </c>
      <c r="B36" s="156">
        <v>42992.653900462959</v>
      </c>
      <c r="C36">
        <v>-730</v>
      </c>
      <c r="D36" t="s">
        <v>959</v>
      </c>
      <c r="E36">
        <v>178525</v>
      </c>
      <c r="F36" t="s">
        <v>1047</v>
      </c>
    </row>
    <row r="37" spans="1:7" x14ac:dyDescent="0.2">
      <c r="A37" t="s">
        <v>186</v>
      </c>
      <c r="B37" s="156">
        <v>43007.609340277777</v>
      </c>
      <c r="C37">
        <v>461.55</v>
      </c>
      <c r="D37" t="s">
        <v>958</v>
      </c>
      <c r="E37">
        <v>178526</v>
      </c>
      <c r="F37" t="s">
        <v>1047</v>
      </c>
    </row>
    <row r="38" spans="1:7" x14ac:dyDescent="0.2">
      <c r="A38" t="s">
        <v>186</v>
      </c>
      <c r="B38" s="156">
        <v>43007.609340277777</v>
      </c>
      <c r="C38">
        <v>-33.229999999999997</v>
      </c>
      <c r="D38" t="s">
        <v>615</v>
      </c>
      <c r="E38">
        <v>178527</v>
      </c>
      <c r="F38" t="s">
        <v>1047</v>
      </c>
    </row>
    <row r="39" spans="1:7" x14ac:dyDescent="0.2">
      <c r="A39" s="128"/>
      <c r="B39" s="139"/>
      <c r="C39" s="128"/>
      <c r="D39" s="128"/>
      <c r="E39" s="128"/>
      <c r="F39" s="128"/>
      <c r="G39" s="128"/>
    </row>
    <row r="40" spans="1:7" ht="15" x14ac:dyDescent="0.25">
      <c r="A40" s="155" t="s">
        <v>1048</v>
      </c>
    </row>
    <row r="41" spans="1:7" x14ac:dyDescent="0.2">
      <c r="A41" t="s">
        <v>1049</v>
      </c>
      <c r="B41" t="s">
        <v>522</v>
      </c>
    </row>
    <row r="42" spans="1:7" x14ac:dyDescent="0.2">
      <c r="A42" t="s">
        <v>1050</v>
      </c>
      <c r="B42">
        <v>140</v>
      </c>
    </row>
    <row r="43" spans="1:7" x14ac:dyDescent="0.2">
      <c r="A43" t="s">
        <v>1051</v>
      </c>
      <c r="B43">
        <v>140</v>
      </c>
    </row>
    <row r="44" spans="1:7" x14ac:dyDescent="0.2">
      <c r="A44" t="s">
        <v>1052</v>
      </c>
      <c r="B44">
        <v>0</v>
      </c>
    </row>
    <row r="45" spans="1:7" x14ac:dyDescent="0.2">
      <c r="A45" t="s">
        <v>1053</v>
      </c>
      <c r="B45">
        <v>140</v>
      </c>
      <c r="C45">
        <v>140</v>
      </c>
    </row>
    <row r="46" spans="1:7" x14ac:dyDescent="0.2">
      <c r="A46" t="s">
        <v>1054</v>
      </c>
      <c r="B46">
        <v>1</v>
      </c>
      <c r="C46">
        <v>1</v>
      </c>
    </row>
    <row r="47" spans="1:7" x14ac:dyDescent="0.2">
      <c r="A47" t="s">
        <v>1055</v>
      </c>
      <c r="B47">
        <v>30</v>
      </c>
      <c r="C47">
        <v>30</v>
      </c>
    </row>
    <row r="48" spans="1:7" x14ac:dyDescent="0.2">
      <c r="A48" s="128"/>
      <c r="B48" s="128"/>
      <c r="C48" s="128"/>
      <c r="D48" s="128"/>
      <c r="E48" s="128"/>
      <c r="F48" s="128"/>
      <c r="G48" s="128"/>
    </row>
    <row r="49" spans="1:7" x14ac:dyDescent="0.2">
      <c r="A49" t="s">
        <v>1049</v>
      </c>
      <c r="B49" t="s">
        <v>523</v>
      </c>
    </row>
    <row r="50" spans="1:7" x14ac:dyDescent="0.2">
      <c r="A50" t="s">
        <v>1050</v>
      </c>
      <c r="B50">
        <v>68</v>
      </c>
    </row>
    <row r="51" spans="1:7" x14ac:dyDescent="0.2">
      <c r="A51" t="s">
        <v>1051</v>
      </c>
      <c r="B51">
        <v>68</v>
      </c>
    </row>
    <row r="52" spans="1:7" x14ac:dyDescent="0.2">
      <c r="A52" t="s">
        <v>1052</v>
      </c>
      <c r="B52">
        <v>0</v>
      </c>
    </row>
    <row r="53" spans="1:7" x14ac:dyDescent="0.2">
      <c r="A53" t="s">
        <v>1053</v>
      </c>
      <c r="B53">
        <v>68</v>
      </c>
      <c r="C53">
        <v>68</v>
      </c>
    </row>
    <row r="54" spans="1:7" x14ac:dyDescent="0.2">
      <c r="A54" t="s">
        <v>1054</v>
      </c>
      <c r="B54">
        <v>2</v>
      </c>
      <c r="C54">
        <v>2</v>
      </c>
    </row>
    <row r="55" spans="1:7" x14ac:dyDescent="0.2">
      <c r="A55" t="s">
        <v>1055</v>
      </c>
      <c r="B55">
        <v>16</v>
      </c>
      <c r="C55">
        <v>16</v>
      </c>
    </row>
    <row r="56" spans="1:7" x14ac:dyDescent="0.2">
      <c r="A56" s="128"/>
      <c r="B56" s="128"/>
      <c r="C56" s="128"/>
      <c r="D56" s="128"/>
      <c r="E56" s="128"/>
      <c r="F56" s="128"/>
      <c r="G56" s="128"/>
    </row>
    <row r="57" spans="1:7" x14ac:dyDescent="0.2">
      <c r="A57" s="128"/>
      <c r="B57" s="128"/>
      <c r="C57" s="128"/>
      <c r="D57" s="128"/>
      <c r="E57" s="128"/>
      <c r="F57" s="128"/>
      <c r="G57" s="128"/>
    </row>
    <row r="58" spans="1:7" x14ac:dyDescent="0.2">
      <c r="A58" s="128"/>
      <c r="B58" s="128"/>
      <c r="C58" s="128"/>
      <c r="D58" s="128"/>
      <c r="E58" s="128"/>
      <c r="F58" s="128"/>
      <c r="G58" s="128"/>
    </row>
    <row r="59" spans="1:7" x14ac:dyDescent="0.2">
      <c r="A59" s="128"/>
      <c r="B59" s="128"/>
      <c r="C59" s="128"/>
      <c r="D59" s="128"/>
      <c r="E59" s="128"/>
      <c r="F59" s="128"/>
      <c r="G59" s="128"/>
    </row>
    <row r="60" spans="1:7" x14ac:dyDescent="0.2">
      <c r="A60" s="128"/>
      <c r="B60" s="128"/>
      <c r="C60" s="128"/>
      <c r="D60" s="128"/>
      <c r="E60" s="128"/>
      <c r="F60" s="128"/>
      <c r="G60" s="128"/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0"/>
  <sheetViews>
    <sheetView zoomScale="85" zoomScaleNormal="85" workbookViewId="0">
      <selection activeCell="A2" sqref="A1:XFD1048576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20101.41</v>
      </c>
      <c r="E5" s="52">
        <f>SUMIF('Rent Statement'!S9:S63,"=Mathew Tucker", 'Rent Statement'!F9:F63)</f>
        <v>13252.84</v>
      </c>
      <c r="H5" s="52">
        <f>SUMIF('Rent Statement'!S9:S63,"Ivana Valentino", 'Rent Statement'!F9:F63)</f>
        <v>6848.5700000000006</v>
      </c>
    </row>
    <row r="6" spans="1:9" x14ac:dyDescent="0.2">
      <c r="A6" t="s">
        <v>214</v>
      </c>
      <c r="C6" s="55">
        <f>-SUM('Rent Statement'!O9:O63)</f>
        <v>-7981.1199999999981</v>
      </c>
      <c r="F6" s="55">
        <f>-SUMIF('Rent Statement'!S9:S63,"Mathew Tucker",'Rent Statement'!O9:O63)</f>
        <v>-4485.5999999999995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-1203.1300000000001</v>
      </c>
      <c r="F7" s="55">
        <f>-SUMIF('Rent Statement'!S9:S63,"Mathew Tucker",'Rent Statement'!G9:G63)</f>
        <v>-795.21</v>
      </c>
      <c r="I7" s="55">
        <f>-SUMIF('Rent Statement'!S9:S63,"Ivana Valentino",'Rent Statement'!G9:G63)</f>
        <v>-407.92</v>
      </c>
    </row>
    <row r="8" spans="1:9" x14ac:dyDescent="0.2">
      <c r="A8" t="s">
        <v>212</v>
      </c>
      <c r="C8" s="55">
        <f>-SUM('Rent Statement'!H9:H63)</f>
        <v>-240.59000000000003</v>
      </c>
      <c r="F8" s="55">
        <f>-SUMIF('Rent Statement'!S9:S63,"Mathew Tucker",'Rent Statement'!H9:H63)</f>
        <v>-159.01000000000002</v>
      </c>
      <c r="I8" s="55">
        <f>-SUMIF('Rent Statement'!S9:S63,"Ivana Valentino",'Rent Statement'!H9:H63)</f>
        <v>-81.580000000000013</v>
      </c>
    </row>
    <row r="9" spans="1:9" x14ac:dyDescent="0.2">
      <c r="A9" t="s">
        <v>211</v>
      </c>
      <c r="C9" s="55">
        <f>-SUM('Rent Statement'!I9:I63)-SUM('Rent Statement'!L9:L63)</f>
        <v>-2187.83</v>
      </c>
      <c r="F9" s="55">
        <f>-SUMIF('Rent Statement'!S9:S63,"Mathew Tucker",'Rent Statement'!I9:I63)-SUMIF('Rent Statement'!S9:S63,"Mathew Tucker",'Rent Statement'!L9:L63)</f>
        <v>-508.76</v>
      </c>
      <c r="I9" s="55">
        <f>-SUMIF('Rent Statement'!S9:S63,"Ivana Valentino",'Rent Statement'!I9:I63)-SUMIF('Rent Statement'!S9:S63,"Ivana Valentino",'Rent Statement'!L9:L63)</f>
        <v>-1679.07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8488.7400000000016</v>
      </c>
      <c r="D12" s="53"/>
      <c r="E12" s="142">
        <f>E5+SUM(F6:F10)</f>
        <v>7304.26</v>
      </c>
      <c r="H12" s="142">
        <f>H5+SUM(I6:I10)</f>
        <v>1184.4800000000014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7304.26</v>
      </c>
      <c r="C15" s="100">
        <f>H12</f>
        <v>1184.4800000000014</v>
      </c>
      <c r="D15" s="108"/>
      <c r="E15" s="109">
        <f>IFERROR(B15/($B$15+$C$15),"")</f>
        <v>0.86046456835761242</v>
      </c>
      <c r="F15" s="110">
        <f>IFERROR(C15/($B$15+$C$15),"")</f>
        <v>0.13953543164238758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f>_xll.EVAL("SUM(SUMIFS(MT_Amount, MT_BankRef," &amp;$H17&amp; "))")</f>
        <v>-4376.67</v>
      </c>
      <c r="C17" s="100">
        <f>_xll.EVAL("SUM(SUMIFS(IV_Amount, IV_BankRef," &amp;$H17&amp; "))")</f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f>_xll.EVAL("SUM(SUMIFS(MT_Amount, MT_BankRef," &amp;$H18&amp; "))")</f>
        <v>17083.099999999999</v>
      </c>
      <c r="C18" s="100">
        <f>_xll.EVAL("SUM(SUMIFS(IV_Amount, IV_BankRef," &amp;$H18&amp; "))")</f>
        <v>8208.7400000000016</v>
      </c>
      <c r="D18" s="115"/>
      <c r="E18" s="116"/>
      <c r="F18" s="117"/>
      <c r="H18" t="s">
        <v>520</v>
      </c>
    </row>
    <row r="19" spans="1:17" x14ac:dyDescent="0.2">
      <c r="A19" s="99"/>
      <c r="B19" s="101">
        <f>SUM(B17:B18)</f>
        <v>12706.429999999998</v>
      </c>
      <c r="C19" s="101">
        <f>SUM(C17:C18)</f>
        <v>4713.2200000000012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f t="shared" ref="B21:B34" si="0">_xll.EVAL("SUM(SUMIFS(MT_Amount, MT_BankRef," &amp;$H21&amp; "))")</f>
        <v>-550</v>
      </c>
      <c r="C21" s="100">
        <f t="shared" ref="C21:C34" si="1">_xll.EVAL("SUM(SUMIFS(IV_Amount, IV_BankRef," &amp;$H21&amp; "))")</f>
        <v>-550</v>
      </c>
      <c r="D21" s="115"/>
      <c r="E21" s="116"/>
      <c r="F21" s="117"/>
      <c r="H21" t="s">
        <v>526</v>
      </c>
    </row>
    <row r="22" spans="1:17" x14ac:dyDescent="0.2">
      <c r="A22" s="129" t="s">
        <v>527</v>
      </c>
      <c r="B22" s="100">
        <f t="shared" si="0"/>
        <v>-50</v>
      </c>
      <c r="C22" s="100">
        <f t="shared" si="1"/>
        <v>-50</v>
      </c>
      <c r="D22" s="115"/>
      <c r="E22" s="116"/>
      <c r="F22" s="117"/>
      <c r="H22" s="129" t="s">
        <v>528</v>
      </c>
    </row>
    <row r="23" spans="1:17" x14ac:dyDescent="0.2">
      <c r="A23" s="129"/>
      <c r="B23" s="100"/>
      <c r="C23" s="100"/>
      <c r="D23" s="115"/>
      <c r="E23" s="116"/>
      <c r="F23" s="117"/>
      <c r="H23" s="129"/>
      <c r="P23" s="56"/>
    </row>
    <row r="24" spans="1:17" x14ac:dyDescent="0.2">
      <c r="A24" s="129" t="s">
        <v>533</v>
      </c>
      <c r="B24" s="100">
        <f>_xll.EVAL("SUM(SUMIFS(MT_Amount, MT_BankRef," &amp;$H24&amp; "))")</f>
        <v>0</v>
      </c>
      <c r="C24" s="100">
        <f>_xll.EVAL("SUM(SUMIFS(IV_Amount, IV_BankRef," &amp;$H24&amp; "))")</f>
        <v>-62.94</v>
      </c>
      <c r="D24" s="115"/>
      <c r="E24" s="116">
        <f t="shared" ref="E24:F26" si="2">IFERROR(($D24)*E$15,"")</f>
        <v>0</v>
      </c>
      <c r="F24" s="117">
        <f t="shared" si="2"/>
        <v>0</v>
      </c>
      <c r="H24" s="129" t="s">
        <v>534</v>
      </c>
      <c r="P24" s="56"/>
    </row>
    <row r="25" spans="1:17" x14ac:dyDescent="0.2">
      <c r="A25" s="129" t="s">
        <v>540</v>
      </c>
      <c r="B25" s="100">
        <f>_xll.EVAL("SUM(SUMIFS(MT_Amount, MT_BankRef," &amp;$H25&amp; "))")</f>
        <v>0</v>
      </c>
      <c r="C25" s="100">
        <f>_xll.EVAL("SUM(SUMIFS(IV_Amount, IV_BankRef," &amp;$H25&amp; "))")</f>
        <v>-33</v>
      </c>
      <c r="D25" s="115"/>
      <c r="E25" s="116">
        <f t="shared" si="2"/>
        <v>0</v>
      </c>
      <c r="F25" s="117">
        <f t="shared" si="2"/>
        <v>0</v>
      </c>
      <c r="H25" s="129" t="s">
        <v>541</v>
      </c>
    </row>
    <row r="26" spans="1:17" x14ac:dyDescent="0.2">
      <c r="A26" s="129" t="s">
        <v>542</v>
      </c>
      <c r="B26" s="100">
        <f>_xll.EVAL("SUM(SUMIFS(MT_Amount, MT_BankRef," &amp;$H26&amp; "))")</f>
        <v>-102</v>
      </c>
      <c r="C26" s="100">
        <f>_xll.EVAL("SUM(SUMIFS(IV_Amount, IV_BankRef," &amp;$H26&amp; "))")</f>
        <v>0</v>
      </c>
      <c r="D26" s="115"/>
      <c r="E26" s="116">
        <f t="shared" si="2"/>
        <v>0</v>
      </c>
      <c r="F26" s="117">
        <f t="shared" si="2"/>
        <v>0</v>
      </c>
      <c r="H26" s="129" t="s">
        <v>543</v>
      </c>
    </row>
    <row r="27" spans="1:17" x14ac:dyDescent="0.2">
      <c r="A27" s="129"/>
      <c r="B27" s="100"/>
      <c r="C27" s="100"/>
      <c r="D27" s="115"/>
      <c r="E27" s="116"/>
      <c r="F27" s="117"/>
      <c r="H27" s="12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29"/>
    </row>
    <row r="29" spans="1:17" x14ac:dyDescent="0.2">
      <c r="A29" t="s">
        <v>529</v>
      </c>
      <c r="B29" s="143">
        <f t="shared" si="0"/>
        <v>0</v>
      </c>
      <c r="C29" s="101">
        <f t="shared" si="1"/>
        <v>-200</v>
      </c>
      <c r="D29" s="144">
        <f t="shared" ref="D29:D34" si="3">B29+C29</f>
        <v>-200</v>
      </c>
      <c r="E29" s="145">
        <f>IFERROR(($D29)*E$15,"")</f>
        <v>-172.0929136715225</v>
      </c>
      <c r="F29" s="146">
        <f>IFERROR(($D29)*F$15,"")</f>
        <v>-27.907086328477515</v>
      </c>
      <c r="H29" t="s">
        <v>530</v>
      </c>
      <c r="J29" s="56"/>
      <c r="Q29" s="56"/>
    </row>
    <row r="30" spans="1:17" x14ac:dyDescent="0.2">
      <c r="A30" s="129" t="s">
        <v>531</v>
      </c>
      <c r="B30" s="147">
        <f t="shared" si="0"/>
        <v>0</v>
      </c>
      <c r="C30" s="132">
        <f t="shared" si="1"/>
        <v>-3292.5599999999995</v>
      </c>
      <c r="D30" s="115">
        <f t="shared" si="3"/>
        <v>-3292.5599999999995</v>
      </c>
      <c r="E30" s="116">
        <f t="shared" ref="E30:F34" si="4">IFERROR(($D30)*E$15,"")</f>
        <v>-2833.1312191915399</v>
      </c>
      <c r="F30" s="117">
        <f t="shared" si="4"/>
        <v>-459.42878080845958</v>
      </c>
      <c r="H30" s="129" t="s">
        <v>532</v>
      </c>
      <c r="Q30" s="56"/>
    </row>
    <row r="31" spans="1:17" x14ac:dyDescent="0.2">
      <c r="A31" s="129" t="s">
        <v>535</v>
      </c>
      <c r="B31" s="147">
        <f t="shared" si="0"/>
        <v>0</v>
      </c>
      <c r="C31" s="132">
        <f t="shared" si="1"/>
        <v>-75.63</v>
      </c>
      <c r="D31" s="115">
        <f t="shared" si="3"/>
        <v>-75.63</v>
      </c>
      <c r="E31" s="116">
        <f t="shared" si="4"/>
        <v>-65.07693530488622</v>
      </c>
      <c r="F31" s="117">
        <f t="shared" si="4"/>
        <v>-10.553064695113772</v>
      </c>
      <c r="H31" t="s">
        <v>536</v>
      </c>
    </row>
    <row r="32" spans="1:17" x14ac:dyDescent="0.2">
      <c r="A32" s="129" t="s">
        <v>537</v>
      </c>
      <c r="B32" s="147">
        <f t="shared" si="0"/>
        <v>0</v>
      </c>
      <c r="C32" s="132">
        <f t="shared" si="1"/>
        <v>-53.99</v>
      </c>
      <c r="D32" s="115">
        <f t="shared" si="3"/>
        <v>-53.99</v>
      </c>
      <c r="E32" s="116">
        <f t="shared" si="4"/>
        <v>-46.456482045627496</v>
      </c>
      <c r="F32" s="117">
        <f t="shared" si="4"/>
        <v>-7.5335179543725053</v>
      </c>
      <c r="H32" t="s">
        <v>538</v>
      </c>
    </row>
    <row r="33" spans="1:8" ht="15" x14ac:dyDescent="0.25">
      <c r="A33" s="129" t="s">
        <v>539</v>
      </c>
      <c r="B33" s="148">
        <f t="shared" si="0"/>
        <v>-1314.2100000000003</v>
      </c>
      <c r="C33" s="132">
        <f>_xll.EVAL("SUM(SUMIFS(IV_Amount, IV_BankRef," &amp;$H33&amp; "))")-SUMIFS(IV_Amount_4040, IV_BankRef_4040,"=X")</f>
        <v>-1670</v>
      </c>
      <c r="D33" s="115">
        <f t="shared" si="3"/>
        <v>-2984.21</v>
      </c>
      <c r="E33" s="116">
        <f t="shared" si="4"/>
        <v>-2567.8069695384706</v>
      </c>
      <c r="F33" s="117">
        <f t="shared" si="4"/>
        <v>-416.40303046152945</v>
      </c>
      <c r="H33" s="56" t="s">
        <v>1056</v>
      </c>
    </row>
    <row r="34" spans="1:8" x14ac:dyDescent="0.2">
      <c r="A34" s="129" t="s">
        <v>25</v>
      </c>
      <c r="B34" s="147">
        <f t="shared" si="0"/>
        <v>0</v>
      </c>
      <c r="C34" s="132">
        <f t="shared" si="1"/>
        <v>0</v>
      </c>
      <c r="D34" s="115">
        <f t="shared" si="3"/>
        <v>0</v>
      </c>
      <c r="E34" s="116">
        <f t="shared" si="4"/>
        <v>0</v>
      </c>
      <c r="F34" s="117">
        <f t="shared" si="4"/>
        <v>0</v>
      </c>
      <c r="H34" s="129" t="s">
        <v>544</v>
      </c>
    </row>
    <row r="35" spans="1:8" x14ac:dyDescent="0.2">
      <c r="B35" s="118">
        <f>SUBTOTAL(9,B29:B34)</f>
        <v>-1314.2100000000003</v>
      </c>
      <c r="C35" s="118">
        <f>SUBTOTAL(9,C29:C34)</f>
        <v>-5292.1799999999994</v>
      </c>
      <c r="D35" s="119">
        <f>SUBTOTAL(9,D20:D34)</f>
        <v>-6606.3899999999994</v>
      </c>
      <c r="E35" s="120">
        <f>SUBTOTAL(9,E29:E34)</f>
        <v>-5684.5645197520471</v>
      </c>
      <c r="F35" s="118">
        <f>SUBTOTAL(9,F29:F34)</f>
        <v>-921.82548024795278</v>
      </c>
    </row>
    <row r="36" spans="1:8" x14ac:dyDescent="0.2">
      <c r="B36" s="132"/>
      <c r="C36" s="132"/>
      <c r="D36" s="132"/>
      <c r="E36" s="116"/>
      <c r="F36" s="132"/>
    </row>
    <row r="37" spans="1:8" x14ac:dyDescent="0.2">
      <c r="A37" s="133" t="s">
        <v>555</v>
      </c>
      <c r="E37" s="100">
        <f>SUM(B29:B34)</f>
        <v>-1314.2100000000003</v>
      </c>
      <c r="F37" s="100">
        <f>SUM(C29:C34)</f>
        <v>-5292.1799999999994</v>
      </c>
    </row>
    <row r="38" spans="1:8" x14ac:dyDescent="0.2">
      <c r="A38" s="130" t="s">
        <v>556</v>
      </c>
      <c r="E38" s="122">
        <f>_xll.EVAL("SUM(SUMIFS(MT_Amount, MT_BankRef," &amp;$H38&amp; "))")</f>
        <v>-2609.16</v>
      </c>
      <c r="F38" s="100">
        <f>-E38</f>
        <v>2609.16</v>
      </c>
      <c r="H38" t="s">
        <v>545</v>
      </c>
    </row>
    <row r="39" spans="1:8" x14ac:dyDescent="0.2">
      <c r="E39" s="121"/>
      <c r="F39" s="100"/>
    </row>
    <row r="40" spans="1:8" x14ac:dyDescent="0.2">
      <c r="A40" t="s">
        <v>546</v>
      </c>
      <c r="E40" s="120">
        <f>E35-E37-E38</f>
        <v>-1761.1945197520472</v>
      </c>
      <c r="F40" s="120">
        <f>F35-F37-F38</f>
        <v>1761.1945197520472</v>
      </c>
    </row>
    <row r="41" spans="1:8" x14ac:dyDescent="0.2">
      <c r="A41" s="135" t="s">
        <v>558</v>
      </c>
    </row>
    <row r="42" spans="1:8" x14ac:dyDescent="0.2">
      <c r="A42" s="135"/>
      <c r="E42" s="100"/>
    </row>
    <row r="43" spans="1:8" x14ac:dyDescent="0.2">
      <c r="A43" s="130"/>
      <c r="E43" s="100"/>
    </row>
    <row r="44" spans="1:8" x14ac:dyDescent="0.2">
      <c r="A44" s="56"/>
      <c r="E44" s="100"/>
    </row>
    <row r="45" spans="1:8" x14ac:dyDescent="0.2">
      <c r="A45" s="135"/>
    </row>
    <row r="46" spans="1:8" x14ac:dyDescent="0.2">
      <c r="A46" s="135"/>
      <c r="E46" s="118">
        <f>E40+E43+E44</f>
        <v>-1761.1945197520472</v>
      </c>
    </row>
    <row r="48" spans="1:8" x14ac:dyDescent="0.2">
      <c r="A48" s="50" t="s">
        <v>547</v>
      </c>
    </row>
    <row r="49" spans="1:1" x14ac:dyDescent="0.2">
      <c r="A49" s="56"/>
    </row>
    <row r="50" spans="1:1" x14ac:dyDescent="0.2">
      <c r="A50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50"/>
  <sheetViews>
    <sheetView zoomScale="85" zoomScaleNormal="85" workbookViewId="0"/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20101.41</v>
      </c>
      <c r="E5" s="52">
        <v>13252.84</v>
      </c>
      <c r="H5" s="52">
        <v>6848.5700000000006</v>
      </c>
    </row>
    <row r="6" spans="1:9" x14ac:dyDescent="0.2">
      <c r="A6" t="s">
        <v>214</v>
      </c>
      <c r="C6" s="55">
        <v>-7981.1199999999981</v>
      </c>
      <c r="F6" s="55">
        <v>-4485.5999999999995</v>
      </c>
      <c r="I6" s="55">
        <v>-3495.5199999999995</v>
      </c>
    </row>
    <row r="7" spans="1:9" x14ac:dyDescent="0.2">
      <c r="A7" t="s">
        <v>213</v>
      </c>
      <c r="C7" s="55">
        <v>-1203.1300000000001</v>
      </c>
      <c r="F7" s="55">
        <v>-795.21</v>
      </c>
      <c r="I7" s="55">
        <v>-407.92</v>
      </c>
    </row>
    <row r="8" spans="1:9" x14ac:dyDescent="0.2">
      <c r="A8" t="s">
        <v>212</v>
      </c>
      <c r="C8" s="55">
        <v>-240.59000000000003</v>
      </c>
      <c r="F8" s="55">
        <v>-159.01000000000002</v>
      </c>
      <c r="I8" s="55">
        <v>-81.580000000000013</v>
      </c>
    </row>
    <row r="9" spans="1:9" x14ac:dyDescent="0.2">
      <c r="A9" t="s">
        <v>211</v>
      </c>
      <c r="C9" s="55">
        <v>-2187.83</v>
      </c>
      <c r="F9" s="55">
        <v>-508.76</v>
      </c>
      <c r="I9" s="55">
        <v>-1679.07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8488.7400000000016</v>
      </c>
      <c r="D12" s="53"/>
      <c r="E12" s="142">
        <v>7304.26</v>
      </c>
      <c r="H12" s="142">
        <v>1184.4800000000014</v>
      </c>
    </row>
    <row r="13" spans="1:9" ht="15.75" thickTop="1" x14ac:dyDescent="0.25">
      <c r="A13" s="103"/>
      <c r="B13" s="103"/>
      <c r="C13" s="156"/>
      <c r="F13" s="156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7304.26</v>
      </c>
      <c r="C15" s="100">
        <v>1184.4800000000014</v>
      </c>
      <c r="D15" s="108"/>
      <c r="E15" s="109">
        <v>0.86046456835761242</v>
      </c>
      <c r="F15" s="110">
        <v>0.13953543164238758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-4376.67</v>
      </c>
      <c r="C17" s="100"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17083.099999999999</v>
      </c>
      <c r="C18" s="100">
        <v>8208.7400000000016</v>
      </c>
      <c r="D18" s="115"/>
      <c r="E18" s="116"/>
      <c r="F18" s="117"/>
      <c r="H18" t="s">
        <v>520</v>
      </c>
    </row>
    <row r="19" spans="1:17" x14ac:dyDescent="0.2">
      <c r="A19" s="99"/>
      <c r="B19" s="101">
        <v>12706.429999999998</v>
      </c>
      <c r="C19" s="101">
        <v>4713.2200000000012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56" t="s">
        <v>527</v>
      </c>
      <c r="B22" s="100">
        <v>-50</v>
      </c>
      <c r="C22" s="100">
        <v>-50</v>
      </c>
      <c r="D22" s="115"/>
      <c r="E22" s="116"/>
      <c r="F22" s="117"/>
      <c r="H22" s="156" t="s">
        <v>528</v>
      </c>
    </row>
    <row r="23" spans="1:17" x14ac:dyDescent="0.2">
      <c r="A23" s="156"/>
      <c r="B23" s="100"/>
      <c r="C23" s="100"/>
      <c r="D23" s="115"/>
      <c r="E23" s="116"/>
      <c r="F23" s="117"/>
      <c r="H23" s="156"/>
    </row>
    <row r="24" spans="1:17" x14ac:dyDescent="0.2">
      <c r="A24" s="156" t="s">
        <v>533</v>
      </c>
      <c r="B24" s="100">
        <v>0</v>
      </c>
      <c r="C24" s="100">
        <v>-62.94</v>
      </c>
      <c r="D24" s="115"/>
      <c r="E24" s="116">
        <v>0</v>
      </c>
      <c r="F24" s="117">
        <v>0</v>
      </c>
      <c r="H24" s="156" t="s">
        <v>534</v>
      </c>
    </row>
    <row r="25" spans="1:17" x14ac:dyDescent="0.2">
      <c r="A25" s="156" t="s">
        <v>540</v>
      </c>
      <c r="B25" s="100">
        <v>0</v>
      </c>
      <c r="C25" s="100">
        <v>-33</v>
      </c>
      <c r="D25" s="115"/>
      <c r="E25" s="116">
        <v>0</v>
      </c>
      <c r="F25" s="117">
        <v>0</v>
      </c>
      <c r="H25" s="156" t="s">
        <v>541</v>
      </c>
    </row>
    <row r="26" spans="1:17" x14ac:dyDescent="0.2">
      <c r="A26" s="156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56" t="s">
        <v>543</v>
      </c>
    </row>
    <row r="27" spans="1:17" x14ac:dyDescent="0.2">
      <c r="A27" s="156"/>
      <c r="B27" s="100"/>
      <c r="C27" s="100"/>
      <c r="D27" s="115"/>
      <c r="E27" s="116"/>
      <c r="F27" s="117"/>
      <c r="H27" s="156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56"/>
    </row>
    <row r="29" spans="1:17" x14ac:dyDescent="0.2">
      <c r="A29" t="s">
        <v>529</v>
      </c>
      <c r="B29" s="143">
        <v>0</v>
      </c>
      <c r="C29" s="101">
        <v>-200</v>
      </c>
      <c r="D29" s="144">
        <v>-200</v>
      </c>
      <c r="E29" s="145">
        <v>-172.0929136715225</v>
      </c>
      <c r="F29" s="146">
        <v>-27.907086328477515</v>
      </c>
      <c r="H29" t="s">
        <v>530</v>
      </c>
      <c r="J29" s="56"/>
      <c r="Q29" s="56"/>
    </row>
    <row r="30" spans="1:17" x14ac:dyDescent="0.2">
      <c r="A30" s="156" t="s">
        <v>531</v>
      </c>
      <c r="B30" s="147">
        <v>0</v>
      </c>
      <c r="C30" s="132">
        <v>-3292.5599999999995</v>
      </c>
      <c r="D30" s="115">
        <v>-3292.5599999999995</v>
      </c>
      <c r="E30" s="116">
        <v>-2833.1312191915399</v>
      </c>
      <c r="F30" s="117">
        <v>-459.42878080845958</v>
      </c>
      <c r="H30" s="156" t="s">
        <v>532</v>
      </c>
      <c r="N30" s="56"/>
      <c r="Q30" s="56"/>
    </row>
    <row r="31" spans="1:17" x14ac:dyDescent="0.2">
      <c r="A31" s="156" t="s">
        <v>535</v>
      </c>
      <c r="B31" s="147">
        <v>0</v>
      </c>
      <c r="C31" s="132">
        <v>-75.63</v>
      </c>
      <c r="D31" s="115">
        <v>-75.63</v>
      </c>
      <c r="E31" s="116">
        <v>-65.07693530488622</v>
      </c>
      <c r="F31" s="117">
        <v>-10.553064695113772</v>
      </c>
      <c r="H31" t="s">
        <v>536</v>
      </c>
    </row>
    <row r="32" spans="1:17" x14ac:dyDescent="0.2">
      <c r="A32" s="156" t="s">
        <v>537</v>
      </c>
      <c r="B32" s="147">
        <v>0</v>
      </c>
      <c r="C32" s="132">
        <v>-53.99</v>
      </c>
      <c r="D32" s="115">
        <v>-53.99</v>
      </c>
      <c r="E32" s="116">
        <v>-46.456482045627496</v>
      </c>
      <c r="F32" s="117">
        <v>-7.5335179543725053</v>
      </c>
      <c r="H32" t="s">
        <v>538</v>
      </c>
    </row>
    <row r="33" spans="1:8" ht="15" x14ac:dyDescent="0.25">
      <c r="A33" s="156" t="s">
        <v>539</v>
      </c>
      <c r="B33" s="148">
        <v>-1314.2100000000003</v>
      </c>
      <c r="C33" s="132">
        <v>-1670</v>
      </c>
      <c r="D33" s="115">
        <v>-2984.21</v>
      </c>
      <c r="E33" s="116">
        <v>-2567.8069695384706</v>
      </c>
      <c r="F33" s="117">
        <v>-416.40303046152945</v>
      </c>
      <c r="H33" s="56" t="s">
        <v>1056</v>
      </c>
    </row>
    <row r="34" spans="1:8" x14ac:dyDescent="0.2">
      <c r="A34" s="156" t="s">
        <v>25</v>
      </c>
      <c r="B34" s="147">
        <v>0</v>
      </c>
      <c r="C34" s="132">
        <v>0</v>
      </c>
      <c r="D34" s="115">
        <v>0</v>
      </c>
      <c r="E34" s="116">
        <v>0</v>
      </c>
      <c r="F34" s="117">
        <v>0</v>
      </c>
      <c r="H34" s="156" t="s">
        <v>544</v>
      </c>
    </row>
    <row r="35" spans="1:8" x14ac:dyDescent="0.2">
      <c r="B35" s="118">
        <v>-1314.2100000000003</v>
      </c>
      <c r="C35" s="118">
        <v>-5292.1799999999994</v>
      </c>
      <c r="D35" s="119">
        <v>-6606.3899999999994</v>
      </c>
      <c r="E35" s="120">
        <v>-5684.5645197520471</v>
      </c>
      <c r="F35" s="118">
        <v>-921.82548024795278</v>
      </c>
    </row>
    <row r="36" spans="1:8" x14ac:dyDescent="0.2">
      <c r="B36" s="132"/>
      <c r="C36" s="132"/>
      <c r="D36" s="132"/>
      <c r="E36" s="116"/>
      <c r="F36" s="132"/>
    </row>
    <row r="37" spans="1:8" x14ac:dyDescent="0.2">
      <c r="A37" s="133" t="s">
        <v>555</v>
      </c>
      <c r="E37" s="100">
        <v>-1314.2100000000003</v>
      </c>
      <c r="F37" s="100">
        <v>-5292.1799999999994</v>
      </c>
    </row>
    <row r="38" spans="1:8" x14ac:dyDescent="0.2">
      <c r="A38" s="130" t="s">
        <v>556</v>
      </c>
      <c r="E38" s="122">
        <v>-2609.16</v>
      </c>
      <c r="F38" s="100">
        <v>2609.16</v>
      </c>
      <c r="H38" t="s">
        <v>545</v>
      </c>
    </row>
    <row r="39" spans="1:8" x14ac:dyDescent="0.2">
      <c r="E39" s="121"/>
      <c r="F39" s="100"/>
    </row>
    <row r="40" spans="1:8" x14ac:dyDescent="0.2">
      <c r="A40" t="s">
        <v>546</v>
      </c>
      <c r="E40" s="120">
        <v>-1761.1945197520472</v>
      </c>
      <c r="F40" s="120">
        <v>1761.1945197520472</v>
      </c>
    </row>
    <row r="41" spans="1:8" x14ac:dyDescent="0.2">
      <c r="A41" s="135" t="s">
        <v>558</v>
      </c>
    </row>
    <row r="42" spans="1:8" x14ac:dyDescent="0.2">
      <c r="A42" s="135"/>
      <c r="E42" s="100"/>
    </row>
    <row r="43" spans="1:8" x14ac:dyDescent="0.2">
      <c r="A43" s="130"/>
      <c r="E43" s="100"/>
    </row>
    <row r="44" spans="1:8" x14ac:dyDescent="0.2">
      <c r="A44" s="56"/>
      <c r="E44" s="100"/>
    </row>
    <row r="45" spans="1:8" x14ac:dyDescent="0.2">
      <c r="A45" s="135"/>
    </row>
    <row r="46" spans="1:8" x14ac:dyDescent="0.2">
      <c r="A46" s="135"/>
      <c r="E46" s="118">
        <v>-1761.1945197520472</v>
      </c>
    </row>
    <row r="48" spans="1:8" x14ac:dyDescent="0.2">
      <c r="A48" s="50" t="s">
        <v>547</v>
      </c>
    </row>
    <row r="49" spans="1:1" x14ac:dyDescent="0.2">
      <c r="A49" s="56"/>
    </row>
    <row r="50" spans="1:1" x14ac:dyDescent="0.2">
      <c r="A50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169"/>
  <sheetViews>
    <sheetView zoomScale="85" zoomScaleNormal="85" workbookViewId="0">
      <selection activeCell="D114" sqref="D34:D114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hidden="1" x14ac:dyDescent="0.2">
      <c r="A2" t="s">
        <v>728</v>
      </c>
      <c r="B2" s="140">
        <v>42979</v>
      </c>
      <c r="C2" t="s">
        <v>643</v>
      </c>
      <c r="D2">
        <v>464</v>
      </c>
      <c r="E2" t="s">
        <v>659</v>
      </c>
      <c r="F2" t="s">
        <v>674</v>
      </c>
      <c r="G2" s="128"/>
      <c r="H2" s="128"/>
      <c r="I2" t="s">
        <v>977</v>
      </c>
      <c r="J2" s="128"/>
    </row>
    <row r="3" spans="1:10" hidden="1" x14ac:dyDescent="0.2">
      <c r="A3" t="s">
        <v>728</v>
      </c>
      <c r="B3" s="140">
        <v>42979</v>
      </c>
      <c r="C3" t="s">
        <v>643</v>
      </c>
      <c r="D3">
        <v>464</v>
      </c>
      <c r="E3" t="s">
        <v>659</v>
      </c>
      <c r="F3" t="s">
        <v>661</v>
      </c>
      <c r="G3" s="128"/>
      <c r="H3" s="128"/>
      <c r="I3" t="s">
        <v>977</v>
      </c>
      <c r="J3" s="128"/>
    </row>
    <row r="4" spans="1:10" hidden="1" x14ac:dyDescent="0.2">
      <c r="A4" t="s">
        <v>728</v>
      </c>
      <c r="B4" s="140">
        <v>42979</v>
      </c>
      <c r="C4" t="s">
        <v>643</v>
      </c>
      <c r="D4">
        <v>432.56</v>
      </c>
      <c r="E4" t="s">
        <v>659</v>
      </c>
      <c r="F4" t="s">
        <v>671</v>
      </c>
      <c r="G4" s="128"/>
      <c r="H4" s="128"/>
      <c r="I4" t="s">
        <v>977</v>
      </c>
      <c r="J4" s="128"/>
    </row>
    <row r="5" spans="1:10" hidden="1" x14ac:dyDescent="0.2">
      <c r="A5" t="s">
        <v>728</v>
      </c>
      <c r="B5" s="140">
        <v>42979</v>
      </c>
      <c r="C5" t="s">
        <v>643</v>
      </c>
      <c r="D5">
        <v>397.73</v>
      </c>
      <c r="E5" t="s">
        <v>659</v>
      </c>
      <c r="F5" t="s">
        <v>669</v>
      </c>
      <c r="G5" s="128"/>
      <c r="H5" s="128"/>
      <c r="I5" t="s">
        <v>977</v>
      </c>
      <c r="J5" s="128"/>
    </row>
    <row r="6" spans="1:10" hidden="1" x14ac:dyDescent="0.2">
      <c r="A6" t="s">
        <v>728</v>
      </c>
      <c r="B6" s="140">
        <v>42979</v>
      </c>
      <c r="C6" t="s">
        <v>643</v>
      </c>
      <c r="D6">
        <v>393.24</v>
      </c>
      <c r="E6" t="s">
        <v>659</v>
      </c>
      <c r="F6" t="s">
        <v>666</v>
      </c>
      <c r="G6" s="128"/>
      <c r="H6" s="128"/>
      <c r="I6" t="s">
        <v>977</v>
      </c>
      <c r="J6" s="128"/>
    </row>
    <row r="7" spans="1:10" hidden="1" x14ac:dyDescent="0.2">
      <c r="A7" t="s">
        <v>728</v>
      </c>
      <c r="B7" s="140">
        <v>42979</v>
      </c>
      <c r="C7" t="s">
        <v>643</v>
      </c>
      <c r="D7">
        <v>393.24</v>
      </c>
      <c r="E7" t="s">
        <v>659</v>
      </c>
      <c r="F7" t="s">
        <v>677</v>
      </c>
      <c r="G7" s="128"/>
      <c r="H7" s="128"/>
      <c r="I7" t="s">
        <v>977</v>
      </c>
      <c r="J7" s="128"/>
    </row>
    <row r="8" spans="1:10" hidden="1" x14ac:dyDescent="0.2">
      <c r="A8" t="s">
        <v>728</v>
      </c>
      <c r="B8" s="140">
        <v>42979</v>
      </c>
      <c r="C8" t="s">
        <v>643</v>
      </c>
      <c r="D8">
        <v>374</v>
      </c>
      <c r="E8" t="s">
        <v>659</v>
      </c>
      <c r="F8" t="s">
        <v>676</v>
      </c>
      <c r="G8" s="128"/>
      <c r="H8" s="128"/>
      <c r="I8" t="s">
        <v>977</v>
      </c>
      <c r="J8" s="128"/>
    </row>
    <row r="9" spans="1:10" hidden="1" x14ac:dyDescent="0.2">
      <c r="A9" t="s">
        <v>728</v>
      </c>
      <c r="B9" s="140">
        <v>42979</v>
      </c>
      <c r="C9" t="s">
        <v>643</v>
      </c>
      <c r="D9">
        <v>322.24</v>
      </c>
      <c r="E9" t="s">
        <v>659</v>
      </c>
      <c r="F9" t="s">
        <v>673</v>
      </c>
      <c r="G9" s="128"/>
      <c r="H9" s="128"/>
      <c r="I9" t="s">
        <v>977</v>
      </c>
      <c r="J9" s="128"/>
    </row>
    <row r="10" spans="1:10" hidden="1" x14ac:dyDescent="0.2">
      <c r="A10" t="s">
        <v>728</v>
      </c>
      <c r="B10" s="140">
        <v>42979</v>
      </c>
      <c r="C10" t="s">
        <v>643</v>
      </c>
      <c r="D10">
        <v>298.31</v>
      </c>
      <c r="E10" t="s">
        <v>659</v>
      </c>
      <c r="F10" t="s">
        <v>757</v>
      </c>
      <c r="G10" s="128"/>
      <c r="H10" s="128"/>
      <c r="I10" t="s">
        <v>977</v>
      </c>
      <c r="J10" s="128"/>
    </row>
    <row r="11" spans="1:10" hidden="1" x14ac:dyDescent="0.2">
      <c r="A11" t="s">
        <v>728</v>
      </c>
      <c r="B11" s="140">
        <v>42979</v>
      </c>
      <c r="C11" t="s">
        <v>643</v>
      </c>
      <c r="D11">
        <v>241.91</v>
      </c>
      <c r="E11" t="s">
        <v>659</v>
      </c>
      <c r="F11" t="s">
        <v>662</v>
      </c>
      <c r="G11" s="128"/>
      <c r="H11" s="128"/>
      <c r="I11" t="s">
        <v>977</v>
      </c>
      <c r="J11" s="128"/>
    </row>
    <row r="12" spans="1:10" hidden="1" x14ac:dyDescent="0.2">
      <c r="A12" t="s">
        <v>728</v>
      </c>
      <c r="B12" s="140">
        <v>42979</v>
      </c>
      <c r="C12" t="s">
        <v>643</v>
      </c>
      <c r="D12">
        <v>232</v>
      </c>
      <c r="E12" t="s">
        <v>659</v>
      </c>
      <c r="F12" t="s">
        <v>685</v>
      </c>
      <c r="G12" s="128"/>
      <c r="H12" s="128"/>
      <c r="I12" t="s">
        <v>977</v>
      </c>
      <c r="J12" s="128"/>
    </row>
    <row r="13" spans="1:10" hidden="1" x14ac:dyDescent="0.2">
      <c r="A13" t="s">
        <v>728</v>
      </c>
      <c r="B13" s="140">
        <v>42979</v>
      </c>
      <c r="C13" t="s">
        <v>643</v>
      </c>
      <c r="D13">
        <v>227.17</v>
      </c>
      <c r="E13" t="s">
        <v>659</v>
      </c>
      <c r="F13" t="s">
        <v>675</v>
      </c>
      <c r="G13" s="128"/>
      <c r="H13" s="128"/>
      <c r="I13" t="s">
        <v>977</v>
      </c>
      <c r="J13" s="128"/>
    </row>
    <row r="14" spans="1:10" hidden="1" x14ac:dyDescent="0.2">
      <c r="A14" t="s">
        <v>728</v>
      </c>
      <c r="B14" s="140">
        <v>42979</v>
      </c>
      <c r="C14" t="s">
        <v>643</v>
      </c>
      <c r="D14">
        <v>216</v>
      </c>
      <c r="E14" t="s">
        <v>659</v>
      </c>
      <c r="F14" t="s">
        <v>682</v>
      </c>
      <c r="G14" s="128"/>
      <c r="H14" s="128"/>
      <c r="I14" t="s">
        <v>977</v>
      </c>
      <c r="J14" s="128"/>
    </row>
    <row r="15" spans="1:10" hidden="1" x14ac:dyDescent="0.2">
      <c r="A15" t="s">
        <v>728</v>
      </c>
      <c r="B15" s="140">
        <v>42979</v>
      </c>
      <c r="C15" t="s">
        <v>643</v>
      </c>
      <c r="D15">
        <v>213.27</v>
      </c>
      <c r="E15" t="s">
        <v>659</v>
      </c>
      <c r="F15" t="s">
        <v>668</v>
      </c>
      <c r="G15" s="128"/>
      <c r="H15" s="128"/>
      <c r="I15" t="s">
        <v>977</v>
      </c>
      <c r="J15" s="128"/>
    </row>
    <row r="16" spans="1:10" hidden="1" x14ac:dyDescent="0.2">
      <c r="A16" t="s">
        <v>728</v>
      </c>
      <c r="B16" s="140">
        <v>42979</v>
      </c>
      <c r="C16" t="s">
        <v>643</v>
      </c>
      <c r="D16">
        <v>206.32</v>
      </c>
      <c r="E16" t="s">
        <v>659</v>
      </c>
      <c r="F16" t="s">
        <v>670</v>
      </c>
      <c r="G16" s="128"/>
      <c r="H16" s="128"/>
      <c r="I16" t="s">
        <v>977</v>
      </c>
      <c r="J16" s="128"/>
    </row>
    <row r="17" spans="1:10" hidden="1" x14ac:dyDescent="0.2">
      <c r="A17" t="s">
        <v>728</v>
      </c>
      <c r="B17" s="140">
        <v>42979</v>
      </c>
      <c r="C17" t="s">
        <v>643</v>
      </c>
      <c r="D17">
        <v>192.85</v>
      </c>
      <c r="E17" t="s">
        <v>659</v>
      </c>
      <c r="F17" t="s">
        <v>664</v>
      </c>
      <c r="G17" s="128"/>
      <c r="H17" s="128"/>
      <c r="I17" t="s">
        <v>977</v>
      </c>
      <c r="J17" s="128"/>
    </row>
    <row r="18" spans="1:10" hidden="1" x14ac:dyDescent="0.2">
      <c r="A18" t="s">
        <v>728</v>
      </c>
      <c r="B18" s="140">
        <v>42979</v>
      </c>
      <c r="C18" t="s">
        <v>643</v>
      </c>
      <c r="D18">
        <v>107.7</v>
      </c>
      <c r="E18" t="s">
        <v>659</v>
      </c>
      <c r="F18" t="s">
        <v>667</v>
      </c>
      <c r="G18" s="128"/>
      <c r="H18" s="128"/>
      <c r="I18" t="s">
        <v>977</v>
      </c>
      <c r="J18" s="136"/>
    </row>
    <row r="19" spans="1:10" hidden="1" x14ac:dyDescent="0.2">
      <c r="A19" t="s">
        <v>728</v>
      </c>
      <c r="B19" s="140">
        <v>42979</v>
      </c>
      <c r="C19" t="s">
        <v>643</v>
      </c>
      <c r="D19">
        <v>36.69</v>
      </c>
      <c r="E19" t="s">
        <v>659</v>
      </c>
      <c r="F19" t="s">
        <v>692</v>
      </c>
      <c r="G19" s="128"/>
      <c r="H19" s="128"/>
      <c r="I19" t="s">
        <v>977</v>
      </c>
      <c r="J19" s="128"/>
    </row>
    <row r="20" spans="1:10" hidden="1" x14ac:dyDescent="0.2">
      <c r="A20" t="s">
        <v>728</v>
      </c>
      <c r="B20" s="140">
        <v>42979</v>
      </c>
      <c r="C20" t="s">
        <v>643</v>
      </c>
      <c r="D20">
        <v>-2609.16</v>
      </c>
      <c r="E20" t="s">
        <v>644</v>
      </c>
      <c r="F20" t="s">
        <v>645</v>
      </c>
      <c r="G20" s="128"/>
      <c r="H20" s="128"/>
      <c r="I20" t="s">
        <v>977</v>
      </c>
      <c r="J20" s="136"/>
    </row>
    <row r="21" spans="1:10" hidden="1" x14ac:dyDescent="0.2">
      <c r="A21" t="s">
        <v>728</v>
      </c>
      <c r="B21" s="140">
        <v>42979</v>
      </c>
      <c r="C21" t="s">
        <v>643</v>
      </c>
      <c r="D21">
        <v>-232.5</v>
      </c>
      <c r="E21" t="s">
        <v>644</v>
      </c>
      <c r="F21" t="s">
        <v>651</v>
      </c>
      <c r="G21" s="128"/>
      <c r="H21" s="128"/>
      <c r="I21" t="s">
        <v>977</v>
      </c>
      <c r="J21" s="128"/>
    </row>
    <row r="22" spans="1:10" hidden="1" x14ac:dyDescent="0.2">
      <c r="A22" t="s">
        <v>728</v>
      </c>
      <c r="B22" s="140">
        <v>42979</v>
      </c>
      <c r="C22" t="s">
        <v>643</v>
      </c>
      <c r="D22">
        <v>-196.79</v>
      </c>
      <c r="E22" t="s">
        <v>644</v>
      </c>
      <c r="F22" t="s">
        <v>646</v>
      </c>
      <c r="G22" s="128"/>
      <c r="H22" s="128"/>
      <c r="I22" t="s">
        <v>977</v>
      </c>
      <c r="J22" s="128"/>
    </row>
    <row r="23" spans="1:10" hidden="1" x14ac:dyDescent="0.2">
      <c r="A23" t="s">
        <v>728</v>
      </c>
      <c r="B23" s="140">
        <v>42979</v>
      </c>
      <c r="C23" t="s">
        <v>643</v>
      </c>
      <c r="D23">
        <v>-160</v>
      </c>
      <c r="E23" t="s">
        <v>644</v>
      </c>
      <c r="F23" t="s">
        <v>649</v>
      </c>
      <c r="G23" s="128"/>
      <c r="H23" s="128"/>
      <c r="I23" t="s">
        <v>977</v>
      </c>
      <c r="J23" s="128"/>
    </row>
    <row r="24" spans="1:10" hidden="1" x14ac:dyDescent="0.2">
      <c r="A24" t="s">
        <v>728</v>
      </c>
      <c r="B24" s="140">
        <v>42979</v>
      </c>
      <c r="C24" t="s">
        <v>643</v>
      </c>
      <c r="D24">
        <v>-157.5</v>
      </c>
      <c r="E24" t="s">
        <v>644</v>
      </c>
      <c r="F24" t="s">
        <v>650</v>
      </c>
      <c r="G24" s="128"/>
      <c r="H24" s="128"/>
      <c r="I24" t="s">
        <v>977</v>
      </c>
      <c r="J24" s="128"/>
    </row>
    <row r="25" spans="1:10" hidden="1" x14ac:dyDescent="0.2">
      <c r="A25" t="s">
        <v>728</v>
      </c>
      <c r="B25" s="140">
        <v>42979</v>
      </c>
      <c r="C25" t="s">
        <v>643</v>
      </c>
      <c r="D25">
        <v>-50</v>
      </c>
      <c r="E25" t="s">
        <v>644</v>
      </c>
      <c r="F25" t="s">
        <v>647</v>
      </c>
      <c r="G25" s="128"/>
      <c r="H25" s="128"/>
      <c r="I25" t="s">
        <v>977</v>
      </c>
      <c r="J25" s="128"/>
    </row>
    <row r="26" spans="1:10" hidden="1" x14ac:dyDescent="0.2">
      <c r="A26" t="s">
        <v>728</v>
      </c>
      <c r="B26" s="140">
        <v>42979</v>
      </c>
      <c r="C26" t="s">
        <v>643</v>
      </c>
      <c r="D26">
        <v>-50</v>
      </c>
      <c r="E26" t="s">
        <v>644</v>
      </c>
      <c r="F26" t="s">
        <v>648</v>
      </c>
      <c r="G26" s="128"/>
      <c r="H26" s="128"/>
      <c r="I26" t="s">
        <v>977</v>
      </c>
      <c r="J26" s="128"/>
    </row>
    <row r="27" spans="1:10" hidden="1" x14ac:dyDescent="0.2">
      <c r="A27" t="s">
        <v>728</v>
      </c>
      <c r="B27" s="140">
        <v>42979</v>
      </c>
      <c r="C27" t="s">
        <v>643</v>
      </c>
      <c r="D27">
        <v>-180.37</v>
      </c>
      <c r="E27" t="s">
        <v>652</v>
      </c>
      <c r="F27" t="s">
        <v>654</v>
      </c>
      <c r="G27" s="128"/>
      <c r="H27" s="128"/>
      <c r="I27" t="s">
        <v>978</v>
      </c>
      <c r="J27" s="128"/>
    </row>
    <row r="28" spans="1:10" hidden="1" x14ac:dyDescent="0.2">
      <c r="A28" t="s">
        <v>728</v>
      </c>
      <c r="B28" s="140">
        <v>42979</v>
      </c>
      <c r="C28" t="s">
        <v>643</v>
      </c>
      <c r="D28">
        <v>-195.72</v>
      </c>
      <c r="E28" t="s">
        <v>652</v>
      </c>
      <c r="F28" t="s">
        <v>653</v>
      </c>
      <c r="G28" s="128"/>
      <c r="H28" s="128"/>
      <c r="I28" t="s">
        <v>978</v>
      </c>
      <c r="J28" s="128"/>
    </row>
    <row r="29" spans="1:10" hidden="1" x14ac:dyDescent="0.2">
      <c r="A29" t="s">
        <v>728</v>
      </c>
      <c r="B29" s="140">
        <v>42979</v>
      </c>
      <c r="C29" t="s">
        <v>643</v>
      </c>
      <c r="D29">
        <v>-93.49</v>
      </c>
      <c r="E29" t="s">
        <v>652</v>
      </c>
      <c r="F29" t="s">
        <v>655</v>
      </c>
      <c r="G29" s="128"/>
      <c r="H29" s="128"/>
      <c r="I29" t="s">
        <v>978</v>
      </c>
      <c r="J29" s="128"/>
    </row>
    <row r="30" spans="1:10" hidden="1" x14ac:dyDescent="0.2">
      <c r="A30" t="s">
        <v>728</v>
      </c>
      <c r="B30" s="140">
        <v>42979</v>
      </c>
      <c r="C30" t="s">
        <v>643</v>
      </c>
      <c r="D30">
        <v>-93.99</v>
      </c>
      <c r="E30" t="s">
        <v>652</v>
      </c>
      <c r="F30" t="s">
        <v>656</v>
      </c>
      <c r="G30" s="128"/>
      <c r="H30" s="128"/>
      <c r="I30" t="s">
        <v>978</v>
      </c>
      <c r="J30" s="128"/>
    </row>
    <row r="31" spans="1:10" hidden="1" x14ac:dyDescent="0.2">
      <c r="A31" t="s">
        <v>728</v>
      </c>
      <c r="B31" s="140">
        <v>42982</v>
      </c>
      <c r="C31" t="s">
        <v>643</v>
      </c>
      <c r="D31">
        <v>89.05</v>
      </c>
      <c r="E31" t="s">
        <v>659</v>
      </c>
      <c r="F31" t="s">
        <v>679</v>
      </c>
      <c r="G31" s="128"/>
      <c r="H31" s="128"/>
      <c r="I31" t="s">
        <v>977</v>
      </c>
      <c r="J31" s="128"/>
    </row>
    <row r="32" spans="1:10" hidden="1" x14ac:dyDescent="0.2">
      <c r="A32" t="s">
        <v>728</v>
      </c>
      <c r="B32" s="140">
        <v>42982</v>
      </c>
      <c r="C32" t="s">
        <v>643</v>
      </c>
      <c r="D32">
        <v>82.15</v>
      </c>
      <c r="E32" t="s">
        <v>659</v>
      </c>
      <c r="F32" t="s">
        <v>665</v>
      </c>
      <c r="G32" s="128"/>
      <c r="H32" s="128"/>
      <c r="I32" t="s">
        <v>977</v>
      </c>
      <c r="J32" s="128"/>
    </row>
    <row r="33" spans="1:10" hidden="1" x14ac:dyDescent="0.2">
      <c r="A33" t="s">
        <v>728</v>
      </c>
      <c r="B33" s="140">
        <v>42982</v>
      </c>
      <c r="C33" t="s">
        <v>643</v>
      </c>
      <c r="D33">
        <v>46.93</v>
      </c>
      <c r="E33" t="s">
        <v>659</v>
      </c>
      <c r="F33" t="s">
        <v>672</v>
      </c>
      <c r="G33" s="128"/>
      <c r="H33" s="128"/>
      <c r="I33" t="s">
        <v>977</v>
      </c>
      <c r="J33" s="128"/>
    </row>
    <row r="34" spans="1:10" x14ac:dyDescent="0.2">
      <c r="A34" t="s">
        <v>728</v>
      </c>
      <c r="B34" s="140">
        <v>42982</v>
      </c>
      <c r="C34" t="s">
        <v>643</v>
      </c>
      <c r="D34" s="150">
        <v>-27</v>
      </c>
      <c r="E34" t="s">
        <v>657</v>
      </c>
      <c r="F34" t="s">
        <v>758</v>
      </c>
      <c r="G34" s="128"/>
      <c r="H34" s="128"/>
      <c r="I34" t="s">
        <v>977</v>
      </c>
      <c r="J34" s="128"/>
    </row>
    <row r="35" spans="1:10" hidden="1" x14ac:dyDescent="0.2">
      <c r="A35" t="s">
        <v>728</v>
      </c>
      <c r="B35" s="140">
        <v>42982</v>
      </c>
      <c r="C35" t="s">
        <v>643</v>
      </c>
      <c r="D35" s="150">
        <v>-15.8</v>
      </c>
      <c r="E35" t="s">
        <v>657</v>
      </c>
      <c r="F35" t="s">
        <v>759</v>
      </c>
      <c r="G35" s="128"/>
      <c r="H35" s="128"/>
      <c r="I35" t="s">
        <v>977</v>
      </c>
      <c r="J35" s="128"/>
    </row>
    <row r="36" spans="1:10" x14ac:dyDescent="0.2">
      <c r="A36" t="s">
        <v>728</v>
      </c>
      <c r="B36" s="140">
        <v>42982</v>
      </c>
      <c r="C36" t="s">
        <v>643</v>
      </c>
      <c r="D36" s="150">
        <v>-7.8</v>
      </c>
      <c r="E36" t="s">
        <v>657</v>
      </c>
      <c r="F36" t="s">
        <v>760</v>
      </c>
      <c r="G36" s="128"/>
      <c r="H36" s="128"/>
      <c r="I36" t="s">
        <v>977</v>
      </c>
      <c r="J36" s="136"/>
    </row>
    <row r="37" spans="1:10" x14ac:dyDescent="0.2">
      <c r="A37" t="s">
        <v>728</v>
      </c>
      <c r="B37" s="140">
        <v>42982</v>
      </c>
      <c r="C37" t="s">
        <v>643</v>
      </c>
      <c r="D37" s="150">
        <v>-5.5</v>
      </c>
      <c r="E37" t="s">
        <v>657</v>
      </c>
      <c r="F37" t="s">
        <v>760</v>
      </c>
      <c r="G37" s="128"/>
      <c r="H37" s="128"/>
      <c r="I37" t="s">
        <v>977</v>
      </c>
      <c r="J37" s="136"/>
    </row>
    <row r="38" spans="1:10" x14ac:dyDescent="0.2">
      <c r="A38" t="s">
        <v>728</v>
      </c>
      <c r="B38" s="140">
        <v>42982</v>
      </c>
      <c r="C38" t="s">
        <v>643</v>
      </c>
      <c r="D38">
        <v>-85.5</v>
      </c>
      <c r="E38" t="s">
        <v>657</v>
      </c>
      <c r="F38" t="s">
        <v>761</v>
      </c>
      <c r="G38" s="128"/>
      <c r="H38" s="128"/>
      <c r="I38" t="s">
        <v>977</v>
      </c>
      <c r="J38" s="136"/>
    </row>
    <row r="39" spans="1:10" hidden="1" x14ac:dyDescent="0.2">
      <c r="A39" t="s">
        <v>728</v>
      </c>
      <c r="B39" s="140">
        <v>42982</v>
      </c>
      <c r="C39" t="s">
        <v>643</v>
      </c>
      <c r="D39">
        <v>-167.32</v>
      </c>
      <c r="E39" t="s">
        <v>652</v>
      </c>
      <c r="F39" t="s">
        <v>762</v>
      </c>
      <c r="G39" s="128"/>
      <c r="H39" s="128"/>
      <c r="I39" t="s">
        <v>978</v>
      </c>
      <c r="J39" s="128"/>
    </row>
    <row r="40" spans="1:10" hidden="1" x14ac:dyDescent="0.2">
      <c r="A40" t="s">
        <v>728</v>
      </c>
      <c r="B40" s="140">
        <v>42982</v>
      </c>
      <c r="C40" t="s">
        <v>643</v>
      </c>
      <c r="D40">
        <v>-189.14</v>
      </c>
      <c r="E40" t="s">
        <v>652</v>
      </c>
      <c r="F40" t="s">
        <v>763</v>
      </c>
      <c r="G40" s="128"/>
      <c r="H40" s="128"/>
      <c r="I40" t="s">
        <v>978</v>
      </c>
      <c r="J40" s="128"/>
    </row>
    <row r="41" spans="1:10" hidden="1" x14ac:dyDescent="0.2">
      <c r="A41" t="s">
        <v>728</v>
      </c>
      <c r="B41" s="140">
        <v>42982</v>
      </c>
      <c r="C41" t="s">
        <v>643</v>
      </c>
      <c r="D41">
        <v>-208.78</v>
      </c>
      <c r="E41" t="s">
        <v>652</v>
      </c>
      <c r="F41" t="s">
        <v>764</v>
      </c>
      <c r="G41" s="128"/>
      <c r="H41" s="128"/>
      <c r="I41" t="s">
        <v>978</v>
      </c>
      <c r="J41" s="128"/>
    </row>
    <row r="42" spans="1:10" hidden="1" x14ac:dyDescent="0.2">
      <c r="A42" t="s">
        <v>728</v>
      </c>
      <c r="B42" s="140">
        <v>42982</v>
      </c>
      <c r="C42" t="s">
        <v>643</v>
      </c>
      <c r="D42">
        <v>-201.56</v>
      </c>
      <c r="E42" t="s">
        <v>652</v>
      </c>
      <c r="F42" t="s">
        <v>765</v>
      </c>
      <c r="G42" s="128"/>
      <c r="H42" s="128"/>
      <c r="I42" t="s">
        <v>978</v>
      </c>
      <c r="J42" s="128"/>
    </row>
    <row r="43" spans="1:10" hidden="1" x14ac:dyDescent="0.2">
      <c r="A43" t="s">
        <v>728</v>
      </c>
      <c r="B43" s="140">
        <v>42982</v>
      </c>
      <c r="C43" t="s">
        <v>643</v>
      </c>
      <c r="D43">
        <v>-165.53</v>
      </c>
      <c r="E43" t="s">
        <v>652</v>
      </c>
      <c r="F43" t="s">
        <v>766</v>
      </c>
      <c r="G43" s="128"/>
      <c r="H43" s="128"/>
      <c r="I43" t="s">
        <v>978</v>
      </c>
      <c r="J43" s="128"/>
    </row>
    <row r="44" spans="1:10" hidden="1" x14ac:dyDescent="0.2">
      <c r="A44" t="s">
        <v>728</v>
      </c>
      <c r="B44" s="140">
        <v>42982</v>
      </c>
      <c r="C44" t="s">
        <v>643</v>
      </c>
      <c r="D44">
        <v>-201.41</v>
      </c>
      <c r="E44" t="s">
        <v>652</v>
      </c>
      <c r="F44" t="s">
        <v>767</v>
      </c>
      <c r="G44" s="128"/>
      <c r="H44" s="128"/>
      <c r="I44" t="s">
        <v>978</v>
      </c>
      <c r="J44" s="128"/>
    </row>
    <row r="45" spans="1:10" hidden="1" x14ac:dyDescent="0.2">
      <c r="A45" t="s">
        <v>728</v>
      </c>
      <c r="B45" s="140">
        <v>42982</v>
      </c>
      <c r="C45" t="s">
        <v>643</v>
      </c>
      <c r="D45">
        <v>-165.44</v>
      </c>
      <c r="E45" t="s">
        <v>652</v>
      </c>
      <c r="F45" t="s">
        <v>768</v>
      </c>
      <c r="G45" s="128"/>
      <c r="H45" s="128"/>
      <c r="I45" t="s">
        <v>978</v>
      </c>
      <c r="J45" s="128"/>
    </row>
    <row r="46" spans="1:10" hidden="1" x14ac:dyDescent="0.2">
      <c r="A46" t="s">
        <v>728</v>
      </c>
      <c r="B46" s="140">
        <v>42982</v>
      </c>
      <c r="C46" t="s">
        <v>643</v>
      </c>
      <c r="D46">
        <v>-127.59</v>
      </c>
      <c r="E46" t="s">
        <v>652</v>
      </c>
      <c r="F46" t="s">
        <v>769</v>
      </c>
      <c r="G46" s="128"/>
      <c r="H46" s="128"/>
      <c r="I46" t="s">
        <v>978</v>
      </c>
      <c r="J46" s="128"/>
    </row>
    <row r="47" spans="1:10" hidden="1" x14ac:dyDescent="0.2">
      <c r="A47" t="s">
        <v>728</v>
      </c>
      <c r="B47" s="140">
        <v>42982</v>
      </c>
      <c r="C47" t="s">
        <v>643</v>
      </c>
      <c r="D47">
        <v>-141.63</v>
      </c>
      <c r="E47" t="s">
        <v>652</v>
      </c>
      <c r="F47" t="s">
        <v>770</v>
      </c>
      <c r="G47" s="128"/>
      <c r="H47" s="128"/>
      <c r="I47" t="s">
        <v>978</v>
      </c>
      <c r="J47" s="128"/>
    </row>
    <row r="48" spans="1:10" hidden="1" x14ac:dyDescent="0.2">
      <c r="A48" t="s">
        <v>728</v>
      </c>
      <c r="B48" s="140">
        <v>42982</v>
      </c>
      <c r="C48" t="s">
        <v>643</v>
      </c>
      <c r="D48">
        <v>-141.66</v>
      </c>
      <c r="E48" t="s">
        <v>652</v>
      </c>
      <c r="F48" t="s">
        <v>771</v>
      </c>
      <c r="G48" s="128"/>
      <c r="H48" s="128"/>
      <c r="I48" t="s">
        <v>978</v>
      </c>
      <c r="J48" s="128"/>
    </row>
    <row r="49" spans="1:10" hidden="1" x14ac:dyDescent="0.2">
      <c r="A49" t="s">
        <v>728</v>
      </c>
      <c r="B49" s="140">
        <v>42982</v>
      </c>
      <c r="C49" t="s">
        <v>643</v>
      </c>
      <c r="D49">
        <v>-135.38999999999999</v>
      </c>
      <c r="E49" t="s">
        <v>652</v>
      </c>
      <c r="F49" t="s">
        <v>772</v>
      </c>
      <c r="G49" s="128"/>
      <c r="H49" s="128"/>
      <c r="I49" t="s">
        <v>978</v>
      </c>
      <c r="J49" s="128"/>
    </row>
    <row r="50" spans="1:10" hidden="1" x14ac:dyDescent="0.2">
      <c r="A50" t="s">
        <v>728</v>
      </c>
      <c r="B50" s="140">
        <v>42982</v>
      </c>
      <c r="C50" t="s">
        <v>643</v>
      </c>
      <c r="D50">
        <v>-129.29</v>
      </c>
      <c r="E50" t="s">
        <v>652</v>
      </c>
      <c r="F50" t="s">
        <v>773</v>
      </c>
      <c r="G50" s="128"/>
      <c r="H50" s="128"/>
      <c r="I50" t="s">
        <v>978</v>
      </c>
      <c r="J50" s="128"/>
    </row>
    <row r="51" spans="1:10" hidden="1" x14ac:dyDescent="0.2">
      <c r="A51" t="s">
        <v>728</v>
      </c>
      <c r="B51" s="140">
        <v>42984</v>
      </c>
      <c r="C51" t="s">
        <v>643</v>
      </c>
      <c r="D51">
        <v>482.56</v>
      </c>
      <c r="E51" t="s">
        <v>659</v>
      </c>
      <c r="F51" t="s">
        <v>660</v>
      </c>
      <c r="G51" s="128"/>
      <c r="H51" s="128"/>
      <c r="I51" t="s">
        <v>977</v>
      </c>
      <c r="J51" s="128"/>
    </row>
    <row r="52" spans="1:10" hidden="1" x14ac:dyDescent="0.2">
      <c r="A52" t="s">
        <v>728</v>
      </c>
      <c r="B52" s="140">
        <v>42984</v>
      </c>
      <c r="C52" t="s">
        <v>643</v>
      </c>
      <c r="D52">
        <v>-20</v>
      </c>
      <c r="E52" t="s">
        <v>657</v>
      </c>
      <c r="F52" t="s">
        <v>774</v>
      </c>
      <c r="G52" s="128"/>
      <c r="H52" s="128"/>
      <c r="I52" t="s">
        <v>977</v>
      </c>
      <c r="J52" s="128"/>
    </row>
    <row r="53" spans="1:10" hidden="1" x14ac:dyDescent="0.2">
      <c r="A53" t="s">
        <v>728</v>
      </c>
      <c r="B53" s="140">
        <v>42984</v>
      </c>
      <c r="C53" t="s">
        <v>643</v>
      </c>
      <c r="D53">
        <v>-8</v>
      </c>
      <c r="E53" t="s">
        <v>657</v>
      </c>
      <c r="F53" t="s">
        <v>774</v>
      </c>
      <c r="G53" s="128"/>
      <c r="H53" s="128"/>
      <c r="I53" t="s">
        <v>977</v>
      </c>
      <c r="J53" s="128"/>
    </row>
    <row r="54" spans="1:10" hidden="1" x14ac:dyDescent="0.2">
      <c r="A54" t="s">
        <v>728</v>
      </c>
      <c r="B54" s="140">
        <v>42984</v>
      </c>
      <c r="C54" t="s">
        <v>643</v>
      </c>
      <c r="D54" s="150">
        <v>-6</v>
      </c>
      <c r="E54" t="s">
        <v>657</v>
      </c>
      <c r="F54" t="s">
        <v>775</v>
      </c>
      <c r="G54" s="128"/>
      <c r="H54" s="128"/>
      <c r="I54" t="s">
        <v>977</v>
      </c>
      <c r="J54" s="128"/>
    </row>
    <row r="55" spans="1:10" x14ac:dyDescent="0.2">
      <c r="A55" t="s">
        <v>728</v>
      </c>
      <c r="B55" s="140">
        <v>42985</v>
      </c>
      <c r="C55" t="s">
        <v>643</v>
      </c>
      <c r="D55">
        <v>-309.43</v>
      </c>
      <c r="E55" t="s">
        <v>657</v>
      </c>
      <c r="F55" t="s">
        <v>776</v>
      </c>
      <c r="G55" s="128"/>
      <c r="H55" s="128"/>
      <c r="I55" t="s">
        <v>977</v>
      </c>
      <c r="J55" s="128"/>
    </row>
    <row r="56" spans="1:10" hidden="1" x14ac:dyDescent="0.2">
      <c r="A56" t="s">
        <v>728</v>
      </c>
      <c r="B56" s="140">
        <v>42986</v>
      </c>
      <c r="C56" t="s">
        <v>643</v>
      </c>
      <c r="D56">
        <v>464</v>
      </c>
      <c r="E56" t="s">
        <v>659</v>
      </c>
      <c r="F56" t="s">
        <v>663</v>
      </c>
      <c r="G56" s="128"/>
      <c r="H56" s="128"/>
      <c r="I56" t="s">
        <v>977</v>
      </c>
      <c r="J56" s="128"/>
    </row>
    <row r="57" spans="1:10" hidden="1" x14ac:dyDescent="0.2">
      <c r="A57" t="s">
        <v>728</v>
      </c>
      <c r="B57" s="140">
        <v>42986</v>
      </c>
      <c r="C57" t="s">
        <v>643</v>
      </c>
      <c r="D57">
        <v>71.2</v>
      </c>
      <c r="E57" t="s">
        <v>659</v>
      </c>
      <c r="F57" t="s">
        <v>665</v>
      </c>
      <c r="G57" s="128"/>
      <c r="H57" s="128"/>
      <c r="I57" t="s">
        <v>977</v>
      </c>
      <c r="J57" s="128"/>
    </row>
    <row r="58" spans="1:10" hidden="1" x14ac:dyDescent="0.2">
      <c r="A58" t="s">
        <v>728</v>
      </c>
      <c r="B58" s="140">
        <v>42986</v>
      </c>
      <c r="C58" t="s">
        <v>643</v>
      </c>
      <c r="D58">
        <v>-23.42</v>
      </c>
      <c r="E58" t="s">
        <v>657</v>
      </c>
      <c r="F58" t="s">
        <v>777</v>
      </c>
      <c r="G58" s="128"/>
      <c r="H58" s="128"/>
      <c r="I58" t="s">
        <v>977</v>
      </c>
      <c r="J58" s="128"/>
    </row>
    <row r="59" spans="1:10" hidden="1" x14ac:dyDescent="0.2">
      <c r="A59" t="s">
        <v>728</v>
      </c>
      <c r="B59" s="140">
        <v>42989</v>
      </c>
      <c r="C59" t="s">
        <v>643</v>
      </c>
      <c r="D59">
        <v>258.27</v>
      </c>
      <c r="E59" t="s">
        <v>659</v>
      </c>
      <c r="F59" t="s">
        <v>664</v>
      </c>
      <c r="G59" s="128"/>
      <c r="H59" s="128"/>
      <c r="I59" t="s">
        <v>977</v>
      </c>
      <c r="J59" s="128"/>
    </row>
    <row r="60" spans="1:10" hidden="1" x14ac:dyDescent="0.2">
      <c r="A60" t="s">
        <v>728</v>
      </c>
      <c r="B60" s="140">
        <v>42989</v>
      </c>
      <c r="C60" t="s">
        <v>643</v>
      </c>
      <c r="D60">
        <v>-16</v>
      </c>
      <c r="E60" t="s">
        <v>657</v>
      </c>
      <c r="F60" t="s">
        <v>778</v>
      </c>
      <c r="G60" s="128"/>
      <c r="H60" s="128"/>
      <c r="I60" t="s">
        <v>977</v>
      </c>
      <c r="J60" s="128"/>
    </row>
    <row r="61" spans="1:10" x14ac:dyDescent="0.2">
      <c r="A61" t="s">
        <v>728</v>
      </c>
      <c r="B61" s="140">
        <v>42989</v>
      </c>
      <c r="C61" t="s">
        <v>643</v>
      </c>
      <c r="D61">
        <v>-6.75</v>
      </c>
      <c r="E61" t="s">
        <v>657</v>
      </c>
      <c r="F61" t="s">
        <v>779</v>
      </c>
      <c r="G61" s="128"/>
      <c r="H61" s="128"/>
      <c r="I61" t="s">
        <v>977</v>
      </c>
      <c r="J61" s="128"/>
    </row>
    <row r="62" spans="1:10" x14ac:dyDescent="0.2">
      <c r="A62" t="s">
        <v>728</v>
      </c>
      <c r="B62" s="140">
        <v>42989</v>
      </c>
      <c r="C62" t="s">
        <v>643</v>
      </c>
      <c r="D62" s="150">
        <v>-76.3</v>
      </c>
      <c r="E62" t="s">
        <v>657</v>
      </c>
      <c r="F62" t="s">
        <v>780</v>
      </c>
      <c r="G62" s="128"/>
      <c r="H62" s="128"/>
      <c r="I62" t="s">
        <v>977</v>
      </c>
      <c r="J62" s="128"/>
    </row>
    <row r="63" spans="1:10" x14ac:dyDescent="0.2">
      <c r="A63" t="s">
        <v>728</v>
      </c>
      <c r="B63" s="140">
        <v>42989</v>
      </c>
      <c r="C63" t="s">
        <v>643</v>
      </c>
      <c r="D63">
        <v>-15</v>
      </c>
      <c r="E63" t="s">
        <v>657</v>
      </c>
      <c r="F63" s="56" t="s">
        <v>974</v>
      </c>
      <c r="G63" s="128"/>
      <c r="H63" s="128"/>
      <c r="I63" t="s">
        <v>977</v>
      </c>
      <c r="J63" s="128"/>
    </row>
    <row r="64" spans="1:10" hidden="1" x14ac:dyDescent="0.2">
      <c r="A64" t="s">
        <v>728</v>
      </c>
      <c r="B64" s="140">
        <v>42989</v>
      </c>
      <c r="C64" t="s">
        <v>643</v>
      </c>
      <c r="D64">
        <v>-17.899999999999999</v>
      </c>
      <c r="E64" t="s">
        <v>652</v>
      </c>
      <c r="F64" t="s">
        <v>678</v>
      </c>
      <c r="G64" s="128"/>
      <c r="H64" s="128"/>
      <c r="I64" t="s">
        <v>978</v>
      </c>
      <c r="J64" s="128"/>
    </row>
    <row r="65" spans="1:10" hidden="1" x14ac:dyDescent="0.2">
      <c r="A65" t="s">
        <v>728</v>
      </c>
      <c r="B65" s="140">
        <v>42989</v>
      </c>
      <c r="C65" t="s">
        <v>643</v>
      </c>
      <c r="D65">
        <v>-61.95</v>
      </c>
      <c r="E65" t="s">
        <v>652</v>
      </c>
      <c r="F65" t="s">
        <v>681</v>
      </c>
      <c r="G65" s="128"/>
      <c r="H65" s="128"/>
      <c r="I65" t="s">
        <v>978</v>
      </c>
      <c r="J65" s="128"/>
    </row>
    <row r="66" spans="1:10" hidden="1" x14ac:dyDescent="0.2">
      <c r="A66" t="s">
        <v>728</v>
      </c>
      <c r="B66" s="140">
        <v>42990</v>
      </c>
      <c r="C66" t="s">
        <v>643</v>
      </c>
      <c r="D66">
        <v>339.24</v>
      </c>
      <c r="E66" t="s">
        <v>659</v>
      </c>
      <c r="F66" t="s">
        <v>679</v>
      </c>
      <c r="G66" s="128"/>
      <c r="H66" s="128"/>
      <c r="I66" t="s">
        <v>977</v>
      </c>
      <c r="J66" s="136"/>
    </row>
    <row r="67" spans="1:10" hidden="1" x14ac:dyDescent="0.2">
      <c r="A67" t="s">
        <v>728</v>
      </c>
      <c r="B67" s="140">
        <v>42990</v>
      </c>
      <c r="C67" t="s">
        <v>643</v>
      </c>
      <c r="D67">
        <v>-126.04</v>
      </c>
      <c r="E67" t="s">
        <v>652</v>
      </c>
      <c r="F67" t="s">
        <v>680</v>
      </c>
      <c r="G67" s="128"/>
      <c r="H67" s="128"/>
      <c r="I67" t="s">
        <v>978</v>
      </c>
      <c r="J67" s="136"/>
    </row>
    <row r="68" spans="1:10" hidden="1" x14ac:dyDescent="0.2">
      <c r="A68" t="s">
        <v>728</v>
      </c>
      <c r="B68" s="140">
        <v>42991</v>
      </c>
      <c r="C68" t="s">
        <v>643</v>
      </c>
      <c r="D68">
        <v>215.02</v>
      </c>
      <c r="E68" t="s">
        <v>659</v>
      </c>
      <c r="F68" t="s">
        <v>668</v>
      </c>
      <c r="G68" s="128"/>
      <c r="H68" s="128"/>
      <c r="I68" t="s">
        <v>977</v>
      </c>
      <c r="J68" s="136"/>
    </row>
    <row r="69" spans="1:10" hidden="1" x14ac:dyDescent="0.2">
      <c r="A69" t="s">
        <v>728</v>
      </c>
      <c r="B69" s="140">
        <v>42991</v>
      </c>
      <c r="C69" t="s">
        <v>643</v>
      </c>
      <c r="D69">
        <v>-33.76</v>
      </c>
      <c r="E69" t="s">
        <v>657</v>
      </c>
      <c r="F69" s="56" t="s">
        <v>781</v>
      </c>
      <c r="G69" s="62" t="s">
        <v>559</v>
      </c>
      <c r="H69" s="136" t="s">
        <v>973</v>
      </c>
      <c r="I69" t="s">
        <v>979</v>
      </c>
      <c r="J69" s="136"/>
    </row>
    <row r="70" spans="1:10" hidden="1" x14ac:dyDescent="0.2">
      <c r="A70" t="s">
        <v>728</v>
      </c>
      <c r="B70" s="140">
        <v>42991</v>
      </c>
      <c r="C70" t="s">
        <v>643</v>
      </c>
      <c r="D70">
        <v>-80.989999999999995</v>
      </c>
      <c r="E70" t="s">
        <v>698</v>
      </c>
      <c r="F70" t="s">
        <v>782</v>
      </c>
      <c r="G70" s="62"/>
      <c r="H70" s="138" t="s">
        <v>961</v>
      </c>
      <c r="I70" t="s">
        <v>977</v>
      </c>
      <c r="J70" s="136"/>
    </row>
    <row r="71" spans="1:10" hidden="1" x14ac:dyDescent="0.2">
      <c r="A71" t="s">
        <v>728</v>
      </c>
      <c r="B71" s="140">
        <v>42991</v>
      </c>
      <c r="C71" t="s">
        <v>643</v>
      </c>
      <c r="D71">
        <v>-355</v>
      </c>
      <c r="E71" t="s">
        <v>698</v>
      </c>
      <c r="F71" t="s">
        <v>783</v>
      </c>
      <c r="G71" s="62"/>
      <c r="H71" s="138" t="s">
        <v>960</v>
      </c>
      <c r="I71" t="s">
        <v>977</v>
      </c>
      <c r="J71" s="136"/>
    </row>
    <row r="72" spans="1:10" hidden="1" x14ac:dyDescent="0.2">
      <c r="A72" t="s">
        <v>728</v>
      </c>
      <c r="B72" s="140">
        <v>42991</v>
      </c>
      <c r="C72" t="s">
        <v>643</v>
      </c>
      <c r="D72">
        <v>-13.7</v>
      </c>
      <c r="E72" t="s">
        <v>657</v>
      </c>
      <c r="F72" t="s">
        <v>784</v>
      </c>
      <c r="G72" s="128"/>
      <c r="H72" s="128"/>
      <c r="I72" t="s">
        <v>977</v>
      </c>
      <c r="J72" s="136"/>
    </row>
    <row r="73" spans="1:10" hidden="1" x14ac:dyDescent="0.2">
      <c r="A73" t="s">
        <v>728</v>
      </c>
      <c r="B73" s="140">
        <v>42991</v>
      </c>
      <c r="C73" t="s">
        <v>643</v>
      </c>
      <c r="D73">
        <v>-4.18</v>
      </c>
      <c r="E73" t="s">
        <v>657</v>
      </c>
      <c r="F73" t="s">
        <v>785</v>
      </c>
      <c r="G73" s="128"/>
      <c r="H73" s="128"/>
      <c r="I73" t="s">
        <v>977</v>
      </c>
      <c r="J73" s="136"/>
    </row>
    <row r="74" spans="1:10" hidden="1" x14ac:dyDescent="0.2">
      <c r="A74" t="s">
        <v>728</v>
      </c>
      <c r="B74" s="140">
        <v>42992</v>
      </c>
      <c r="C74" t="s">
        <v>643</v>
      </c>
      <c r="D74">
        <v>603.20000000000005</v>
      </c>
      <c r="E74" t="s">
        <v>659</v>
      </c>
      <c r="F74" t="s">
        <v>686</v>
      </c>
      <c r="G74" s="128"/>
      <c r="H74" s="128"/>
      <c r="I74" t="s">
        <v>977</v>
      </c>
      <c r="J74" s="128"/>
    </row>
    <row r="75" spans="1:10" hidden="1" x14ac:dyDescent="0.2">
      <c r="A75" t="s">
        <v>728</v>
      </c>
      <c r="B75" s="140">
        <v>42992</v>
      </c>
      <c r="C75" t="s">
        <v>643</v>
      </c>
      <c r="D75">
        <v>356.3</v>
      </c>
      <c r="E75" t="s">
        <v>659</v>
      </c>
      <c r="F75" t="s">
        <v>667</v>
      </c>
      <c r="G75" s="128"/>
      <c r="H75" s="128"/>
      <c r="I75" t="s">
        <v>977</v>
      </c>
      <c r="J75" s="138"/>
    </row>
    <row r="76" spans="1:10" hidden="1" x14ac:dyDescent="0.2">
      <c r="A76" t="s">
        <v>728</v>
      </c>
      <c r="B76" s="140">
        <v>42992</v>
      </c>
      <c r="C76" t="s">
        <v>643</v>
      </c>
      <c r="D76">
        <v>212.28</v>
      </c>
      <c r="E76" t="s">
        <v>659</v>
      </c>
      <c r="F76" t="s">
        <v>682</v>
      </c>
      <c r="G76" s="128"/>
      <c r="H76" s="128"/>
      <c r="I76" t="s">
        <v>977</v>
      </c>
      <c r="J76" s="128"/>
    </row>
    <row r="77" spans="1:10" hidden="1" x14ac:dyDescent="0.2">
      <c r="A77" t="s">
        <v>728</v>
      </c>
      <c r="B77" s="140">
        <v>42993</v>
      </c>
      <c r="C77" t="s">
        <v>643</v>
      </c>
      <c r="D77">
        <v>510.4</v>
      </c>
      <c r="E77" t="s">
        <v>659</v>
      </c>
      <c r="F77" t="s">
        <v>684</v>
      </c>
      <c r="G77" s="128"/>
      <c r="H77" s="128"/>
      <c r="I77" t="s">
        <v>977</v>
      </c>
      <c r="J77" s="128"/>
    </row>
    <row r="78" spans="1:10" x14ac:dyDescent="0.2">
      <c r="A78" t="s">
        <v>728</v>
      </c>
      <c r="B78" s="140">
        <v>42993</v>
      </c>
      <c r="C78" t="s">
        <v>643</v>
      </c>
      <c r="D78">
        <v>-250</v>
      </c>
      <c r="E78" t="s">
        <v>698</v>
      </c>
      <c r="F78" t="s">
        <v>735</v>
      </c>
      <c r="G78" s="128"/>
      <c r="H78" s="128"/>
      <c r="I78" t="s">
        <v>977</v>
      </c>
      <c r="J78" s="128"/>
    </row>
    <row r="79" spans="1:10" hidden="1" x14ac:dyDescent="0.2">
      <c r="A79" t="s">
        <v>728</v>
      </c>
      <c r="B79" s="140">
        <v>42993</v>
      </c>
      <c r="C79" t="s">
        <v>643</v>
      </c>
      <c r="D79">
        <v>-476.44</v>
      </c>
      <c r="E79" t="s">
        <v>652</v>
      </c>
      <c r="F79" t="s">
        <v>687</v>
      </c>
      <c r="G79" s="128"/>
      <c r="H79" s="128"/>
      <c r="I79" t="s">
        <v>977</v>
      </c>
      <c r="J79" s="128"/>
    </row>
    <row r="80" spans="1:10" hidden="1" x14ac:dyDescent="0.2">
      <c r="A80" t="s">
        <v>728</v>
      </c>
      <c r="B80" s="140">
        <v>42993</v>
      </c>
      <c r="C80" t="s">
        <v>643</v>
      </c>
      <c r="D80">
        <v>-197.26</v>
      </c>
      <c r="E80" t="s">
        <v>652</v>
      </c>
      <c r="F80" t="s">
        <v>688</v>
      </c>
      <c r="G80" s="128"/>
      <c r="H80" s="128"/>
      <c r="I80" t="s">
        <v>978</v>
      </c>
      <c r="J80" s="128"/>
    </row>
    <row r="81" spans="1:10" hidden="1" x14ac:dyDescent="0.2">
      <c r="A81" t="s">
        <v>728</v>
      </c>
      <c r="B81" s="140">
        <v>42993</v>
      </c>
      <c r="C81" t="s">
        <v>643</v>
      </c>
      <c r="D81">
        <v>-165.91</v>
      </c>
      <c r="E81" t="s">
        <v>652</v>
      </c>
      <c r="F81" t="s">
        <v>689</v>
      </c>
      <c r="G81" s="128"/>
      <c r="H81" s="128"/>
      <c r="I81" t="s">
        <v>978</v>
      </c>
      <c r="J81" s="128"/>
    </row>
    <row r="82" spans="1:10" x14ac:dyDescent="0.2">
      <c r="A82" t="s">
        <v>728</v>
      </c>
      <c r="B82" s="140">
        <v>42993</v>
      </c>
      <c r="C82" t="s">
        <v>643</v>
      </c>
      <c r="D82">
        <v>-16</v>
      </c>
      <c r="E82" t="s">
        <v>694</v>
      </c>
      <c r="F82" t="s">
        <v>786</v>
      </c>
      <c r="G82" s="128"/>
      <c r="H82" s="128"/>
      <c r="I82" t="s">
        <v>977</v>
      </c>
      <c r="J82" s="128"/>
    </row>
    <row r="83" spans="1:10" hidden="1" x14ac:dyDescent="0.2">
      <c r="A83" t="s">
        <v>728</v>
      </c>
      <c r="B83" s="140">
        <v>42996</v>
      </c>
      <c r="C83" t="s">
        <v>643</v>
      </c>
      <c r="D83">
        <v>226.23</v>
      </c>
      <c r="E83" t="s">
        <v>659</v>
      </c>
      <c r="F83" t="s">
        <v>670</v>
      </c>
      <c r="G83" s="128"/>
      <c r="H83" s="128"/>
      <c r="I83" t="s">
        <v>977</v>
      </c>
      <c r="J83" s="128"/>
    </row>
    <row r="84" spans="1:10" hidden="1" x14ac:dyDescent="0.2">
      <c r="A84" t="s">
        <v>728</v>
      </c>
      <c r="B84" s="140">
        <v>42996</v>
      </c>
      <c r="C84" t="s">
        <v>643</v>
      </c>
      <c r="D84">
        <v>-13.17</v>
      </c>
      <c r="E84" t="s">
        <v>652</v>
      </c>
      <c r="F84" t="s">
        <v>690</v>
      </c>
      <c r="G84" s="128"/>
      <c r="H84" s="128"/>
      <c r="I84" t="s">
        <v>978</v>
      </c>
      <c r="J84" s="128"/>
    </row>
    <row r="85" spans="1:10" hidden="1" x14ac:dyDescent="0.2">
      <c r="A85" t="s">
        <v>728</v>
      </c>
      <c r="B85" s="140">
        <v>42996</v>
      </c>
      <c r="C85" t="s">
        <v>643</v>
      </c>
      <c r="D85">
        <v>-163.35</v>
      </c>
      <c r="E85" t="s">
        <v>652</v>
      </c>
      <c r="F85" t="s">
        <v>691</v>
      </c>
      <c r="G85" s="128"/>
      <c r="H85" s="128"/>
      <c r="I85" t="s">
        <v>978</v>
      </c>
      <c r="J85" s="128"/>
    </row>
    <row r="86" spans="1:10" hidden="1" x14ac:dyDescent="0.2">
      <c r="A86" t="s">
        <v>728</v>
      </c>
      <c r="B86" s="140">
        <v>42996</v>
      </c>
      <c r="C86" t="s">
        <v>643</v>
      </c>
      <c r="D86">
        <v>-130.22999999999999</v>
      </c>
      <c r="E86" t="s">
        <v>652</v>
      </c>
      <c r="F86" t="s">
        <v>693</v>
      </c>
      <c r="G86" s="128"/>
      <c r="H86" s="128"/>
      <c r="I86" t="s">
        <v>978</v>
      </c>
      <c r="J86" s="128"/>
    </row>
    <row r="87" spans="1:10" x14ac:dyDescent="0.2">
      <c r="A87" t="s">
        <v>728</v>
      </c>
      <c r="B87" s="140">
        <v>42997</v>
      </c>
      <c r="C87" t="s">
        <v>643</v>
      </c>
      <c r="D87">
        <v>-22.46</v>
      </c>
      <c r="E87" t="s">
        <v>657</v>
      </c>
      <c r="F87" t="s">
        <v>787</v>
      </c>
      <c r="G87" s="128"/>
      <c r="H87" s="128"/>
      <c r="I87" t="s">
        <v>977</v>
      </c>
      <c r="J87" s="128"/>
    </row>
    <row r="88" spans="1:10" x14ac:dyDescent="0.2">
      <c r="A88" t="s">
        <v>728</v>
      </c>
      <c r="B88" s="140">
        <v>42997</v>
      </c>
      <c r="C88" t="s">
        <v>643</v>
      </c>
      <c r="D88" s="150">
        <v>-61.05</v>
      </c>
      <c r="E88" t="s">
        <v>657</v>
      </c>
      <c r="F88" t="s">
        <v>788</v>
      </c>
      <c r="G88" s="128"/>
      <c r="H88" s="128"/>
      <c r="I88" t="s">
        <v>977</v>
      </c>
      <c r="J88" s="128"/>
    </row>
    <row r="89" spans="1:10" hidden="1" x14ac:dyDescent="0.2">
      <c r="A89" t="s">
        <v>728</v>
      </c>
      <c r="B89" s="140">
        <v>42997</v>
      </c>
      <c r="C89" t="s">
        <v>643</v>
      </c>
      <c r="D89">
        <v>-20</v>
      </c>
      <c r="E89" t="s">
        <v>657</v>
      </c>
      <c r="F89" t="s">
        <v>789</v>
      </c>
      <c r="G89" s="128"/>
      <c r="H89" s="128"/>
      <c r="I89" t="s">
        <v>977</v>
      </c>
      <c r="J89" s="128"/>
    </row>
    <row r="90" spans="1:10" hidden="1" x14ac:dyDescent="0.2">
      <c r="A90" t="s">
        <v>728</v>
      </c>
      <c r="B90" s="140">
        <v>42998</v>
      </c>
      <c r="C90" t="s">
        <v>643</v>
      </c>
      <c r="D90">
        <v>111.17</v>
      </c>
      <c r="E90" t="s">
        <v>659</v>
      </c>
      <c r="F90" t="s">
        <v>675</v>
      </c>
      <c r="G90" s="128"/>
      <c r="H90" s="128"/>
      <c r="I90" t="s">
        <v>977</v>
      </c>
      <c r="J90" s="128"/>
    </row>
    <row r="91" spans="1:10" hidden="1" x14ac:dyDescent="0.2">
      <c r="A91" t="s">
        <v>728</v>
      </c>
      <c r="B91" s="140">
        <v>42998</v>
      </c>
      <c r="C91" t="s">
        <v>643</v>
      </c>
      <c r="D91">
        <v>35.04</v>
      </c>
      <c r="E91" t="s">
        <v>659</v>
      </c>
      <c r="F91" t="s">
        <v>673</v>
      </c>
      <c r="G91" s="128"/>
      <c r="H91" s="128"/>
      <c r="I91" t="s">
        <v>977</v>
      </c>
      <c r="J91" s="128"/>
    </row>
    <row r="92" spans="1:10" hidden="1" x14ac:dyDescent="0.2">
      <c r="A92" t="s">
        <v>728</v>
      </c>
      <c r="B92" s="140">
        <v>42998</v>
      </c>
      <c r="C92" t="s">
        <v>643</v>
      </c>
      <c r="D92">
        <v>35.03</v>
      </c>
      <c r="E92" t="s">
        <v>659</v>
      </c>
      <c r="F92" t="s">
        <v>674</v>
      </c>
      <c r="G92" s="128"/>
      <c r="H92" s="128"/>
      <c r="I92" t="s">
        <v>977</v>
      </c>
      <c r="J92" s="128"/>
    </row>
    <row r="93" spans="1:10" hidden="1" x14ac:dyDescent="0.2">
      <c r="A93" t="s">
        <v>728</v>
      </c>
      <c r="B93" s="140">
        <v>42998</v>
      </c>
      <c r="C93" t="s">
        <v>643</v>
      </c>
      <c r="D93">
        <v>30.56</v>
      </c>
      <c r="E93" t="s">
        <v>659</v>
      </c>
      <c r="F93" t="s">
        <v>669</v>
      </c>
      <c r="G93" s="128"/>
      <c r="H93" s="128"/>
      <c r="I93" t="s">
        <v>977</v>
      </c>
      <c r="J93" s="128"/>
    </row>
    <row r="94" spans="1:10" x14ac:dyDescent="0.2">
      <c r="A94" t="s">
        <v>728</v>
      </c>
      <c r="B94" s="140">
        <v>42998</v>
      </c>
      <c r="C94" t="s">
        <v>643</v>
      </c>
      <c r="D94">
        <v>-24.51</v>
      </c>
      <c r="E94" t="s">
        <v>657</v>
      </c>
      <c r="F94" t="s">
        <v>790</v>
      </c>
      <c r="G94" s="128"/>
      <c r="H94" s="128"/>
      <c r="I94" t="s">
        <v>977</v>
      </c>
      <c r="J94" s="128"/>
    </row>
    <row r="95" spans="1:10" x14ac:dyDescent="0.2">
      <c r="A95" t="s">
        <v>728</v>
      </c>
      <c r="B95" s="140">
        <v>42999</v>
      </c>
      <c r="C95" t="s">
        <v>643</v>
      </c>
      <c r="D95" s="150">
        <v>-131.05000000000001</v>
      </c>
      <c r="E95" t="s">
        <v>657</v>
      </c>
      <c r="F95" t="s">
        <v>791</v>
      </c>
      <c r="G95" s="128"/>
      <c r="H95" s="128"/>
      <c r="I95" t="s">
        <v>977</v>
      </c>
      <c r="J95" s="128"/>
    </row>
    <row r="96" spans="1:10" hidden="1" x14ac:dyDescent="0.2">
      <c r="A96" t="s">
        <v>728</v>
      </c>
      <c r="B96" s="140">
        <v>43000</v>
      </c>
      <c r="C96" t="s">
        <v>643</v>
      </c>
      <c r="D96">
        <v>-165.12</v>
      </c>
      <c r="E96" t="s">
        <v>652</v>
      </c>
      <c r="F96" t="s">
        <v>697</v>
      </c>
      <c r="G96" s="128"/>
      <c r="H96" s="128"/>
      <c r="I96" t="s">
        <v>978</v>
      </c>
      <c r="J96" s="128"/>
    </row>
    <row r="97" spans="1:10" hidden="1" x14ac:dyDescent="0.2">
      <c r="A97" t="s">
        <v>728</v>
      </c>
      <c r="B97" s="140">
        <v>43003</v>
      </c>
      <c r="C97" t="s">
        <v>643</v>
      </c>
      <c r="D97">
        <v>83</v>
      </c>
      <c r="E97" t="s">
        <v>695</v>
      </c>
      <c r="F97" t="s">
        <v>792</v>
      </c>
      <c r="G97" s="128"/>
      <c r="H97" s="128"/>
      <c r="I97" t="s">
        <v>977</v>
      </c>
      <c r="J97" s="136"/>
    </row>
    <row r="98" spans="1:10" x14ac:dyDescent="0.2">
      <c r="A98" t="s">
        <v>728</v>
      </c>
      <c r="B98" s="140">
        <v>43003</v>
      </c>
      <c r="C98" t="s">
        <v>643</v>
      </c>
      <c r="D98" s="150">
        <v>-27.25</v>
      </c>
      <c r="E98" t="s">
        <v>657</v>
      </c>
      <c r="F98" t="s">
        <v>793</v>
      </c>
      <c r="G98" s="128"/>
      <c r="H98" s="128"/>
      <c r="I98" t="s">
        <v>977</v>
      </c>
      <c r="J98" s="128"/>
    </row>
    <row r="99" spans="1:10" x14ac:dyDescent="0.2">
      <c r="A99" t="s">
        <v>728</v>
      </c>
      <c r="B99" s="140">
        <v>43003</v>
      </c>
      <c r="C99" t="s">
        <v>643</v>
      </c>
      <c r="D99" s="150">
        <v>-23.05</v>
      </c>
      <c r="E99" t="s">
        <v>657</v>
      </c>
      <c r="F99" t="s">
        <v>794</v>
      </c>
      <c r="G99" s="128"/>
      <c r="H99" s="128"/>
      <c r="I99" t="s">
        <v>977</v>
      </c>
      <c r="J99" s="128"/>
    </row>
    <row r="100" spans="1:10" x14ac:dyDescent="0.2">
      <c r="A100" t="s">
        <v>728</v>
      </c>
      <c r="B100" s="140">
        <v>43003</v>
      </c>
      <c r="C100" t="s">
        <v>643</v>
      </c>
      <c r="D100" s="150">
        <v>-18.39</v>
      </c>
      <c r="E100" t="s">
        <v>657</v>
      </c>
      <c r="F100" t="s">
        <v>793</v>
      </c>
      <c r="G100" s="128"/>
      <c r="H100" s="128"/>
      <c r="I100" t="s">
        <v>977</v>
      </c>
      <c r="J100" s="128"/>
    </row>
    <row r="101" spans="1:10" x14ac:dyDescent="0.2">
      <c r="A101" t="s">
        <v>728</v>
      </c>
      <c r="B101" s="140">
        <v>43003</v>
      </c>
      <c r="C101" t="s">
        <v>643</v>
      </c>
      <c r="D101">
        <v>-16.899999999999999</v>
      </c>
      <c r="E101" t="s">
        <v>657</v>
      </c>
      <c r="F101" t="s">
        <v>795</v>
      </c>
      <c r="G101" s="128"/>
      <c r="H101" s="128"/>
      <c r="I101" t="s">
        <v>977</v>
      </c>
      <c r="J101" s="128"/>
    </row>
    <row r="102" spans="1:10" x14ac:dyDescent="0.2">
      <c r="A102" t="s">
        <v>728</v>
      </c>
      <c r="B102" s="140">
        <v>43003</v>
      </c>
      <c r="C102" t="s">
        <v>643</v>
      </c>
      <c r="D102">
        <v>-15.97</v>
      </c>
      <c r="E102" t="s">
        <v>657</v>
      </c>
      <c r="F102" t="s">
        <v>796</v>
      </c>
      <c r="G102" s="128"/>
      <c r="H102" s="128"/>
      <c r="I102" t="s">
        <v>977</v>
      </c>
      <c r="J102" s="128"/>
    </row>
    <row r="103" spans="1:10" x14ac:dyDescent="0.2">
      <c r="A103" t="s">
        <v>728</v>
      </c>
      <c r="B103" s="140">
        <v>43003</v>
      </c>
      <c r="C103" t="s">
        <v>643</v>
      </c>
      <c r="D103">
        <v>-9.5</v>
      </c>
      <c r="E103" t="s">
        <v>657</v>
      </c>
      <c r="F103" t="s">
        <v>793</v>
      </c>
      <c r="G103" s="128"/>
      <c r="H103" s="128"/>
      <c r="I103" t="s">
        <v>977</v>
      </c>
      <c r="J103" s="128"/>
    </row>
    <row r="104" spans="1:10" hidden="1" x14ac:dyDescent="0.2">
      <c r="A104" t="s">
        <v>728</v>
      </c>
      <c r="B104" s="140">
        <v>43003</v>
      </c>
      <c r="C104" t="s">
        <v>643</v>
      </c>
      <c r="D104">
        <v>-80</v>
      </c>
      <c r="E104" t="s">
        <v>658</v>
      </c>
      <c r="F104" t="s">
        <v>797</v>
      </c>
      <c r="G104" s="128"/>
      <c r="H104" s="128"/>
      <c r="I104" t="s">
        <v>977</v>
      </c>
      <c r="J104" s="128"/>
    </row>
    <row r="105" spans="1:10" x14ac:dyDescent="0.2">
      <c r="A105" t="s">
        <v>728</v>
      </c>
      <c r="B105" s="140">
        <v>43003</v>
      </c>
      <c r="C105" t="s">
        <v>643</v>
      </c>
      <c r="D105">
        <v>-55</v>
      </c>
      <c r="E105" t="s">
        <v>657</v>
      </c>
      <c r="F105" t="s">
        <v>798</v>
      </c>
      <c r="G105" s="128"/>
      <c r="H105" s="128"/>
      <c r="I105" t="s">
        <v>977</v>
      </c>
      <c r="J105" s="128"/>
    </row>
    <row r="106" spans="1:10" x14ac:dyDescent="0.2">
      <c r="A106" t="s">
        <v>728</v>
      </c>
      <c r="B106" s="140">
        <v>43003</v>
      </c>
      <c r="C106" t="s">
        <v>643</v>
      </c>
      <c r="D106">
        <v>-36.549999999999997</v>
      </c>
      <c r="E106" t="s">
        <v>657</v>
      </c>
      <c r="F106" t="s">
        <v>799</v>
      </c>
      <c r="G106" s="128"/>
      <c r="H106" s="128"/>
      <c r="I106" t="s">
        <v>977</v>
      </c>
      <c r="J106" s="128"/>
    </row>
    <row r="107" spans="1:10" x14ac:dyDescent="0.2">
      <c r="A107" t="s">
        <v>728</v>
      </c>
      <c r="B107" s="140">
        <v>43003</v>
      </c>
      <c r="C107" t="s">
        <v>643</v>
      </c>
      <c r="D107">
        <v>-35</v>
      </c>
      <c r="E107" t="s">
        <v>657</v>
      </c>
      <c r="F107" t="s">
        <v>800</v>
      </c>
      <c r="G107" s="128"/>
      <c r="H107" s="128"/>
      <c r="I107" t="s">
        <v>977</v>
      </c>
      <c r="J107" s="136"/>
    </row>
    <row r="108" spans="1:10" x14ac:dyDescent="0.2">
      <c r="A108" t="s">
        <v>728</v>
      </c>
      <c r="B108" s="140">
        <v>43003</v>
      </c>
      <c r="C108" t="s">
        <v>643</v>
      </c>
      <c r="D108">
        <v>-31.49</v>
      </c>
      <c r="E108" t="s">
        <v>657</v>
      </c>
      <c r="F108" t="s">
        <v>801</v>
      </c>
      <c r="G108" s="128"/>
      <c r="H108" s="128"/>
      <c r="I108" t="s">
        <v>977</v>
      </c>
      <c r="J108" s="136"/>
    </row>
    <row r="109" spans="1:10" hidden="1" x14ac:dyDescent="0.2">
      <c r="A109" t="s">
        <v>728</v>
      </c>
      <c r="B109" s="140">
        <v>43003</v>
      </c>
      <c r="C109" t="s">
        <v>643</v>
      </c>
      <c r="D109">
        <v>-3.3</v>
      </c>
      <c r="E109" t="s">
        <v>657</v>
      </c>
      <c r="F109" t="s">
        <v>802</v>
      </c>
      <c r="G109" s="128"/>
      <c r="H109" s="128"/>
      <c r="I109" t="s">
        <v>977</v>
      </c>
      <c r="J109" s="136"/>
    </row>
    <row r="110" spans="1:10" hidden="1" x14ac:dyDescent="0.2">
      <c r="A110" t="s">
        <v>728</v>
      </c>
      <c r="B110" s="140">
        <v>43003</v>
      </c>
      <c r="C110" t="s">
        <v>643</v>
      </c>
      <c r="D110">
        <v>-102</v>
      </c>
      <c r="E110" t="s">
        <v>644</v>
      </c>
      <c r="F110" t="s">
        <v>699</v>
      </c>
      <c r="G110" s="128"/>
      <c r="H110" s="128"/>
      <c r="I110" t="s">
        <v>977</v>
      </c>
      <c r="J110" s="136"/>
    </row>
    <row r="111" spans="1:10" x14ac:dyDescent="0.2">
      <c r="A111" t="s">
        <v>728</v>
      </c>
      <c r="B111" s="140">
        <v>43004</v>
      </c>
      <c r="C111" t="s">
        <v>643</v>
      </c>
      <c r="D111">
        <v>-27.69</v>
      </c>
      <c r="E111" t="s">
        <v>657</v>
      </c>
      <c r="F111" t="s">
        <v>803</v>
      </c>
      <c r="G111" s="128"/>
      <c r="H111" s="128"/>
      <c r="I111" t="s">
        <v>977</v>
      </c>
      <c r="J111" s="128"/>
    </row>
    <row r="112" spans="1:10" x14ac:dyDescent="0.2">
      <c r="A112" t="s">
        <v>728</v>
      </c>
      <c r="B112" s="140">
        <v>43004</v>
      </c>
      <c r="C112" t="s">
        <v>643</v>
      </c>
      <c r="D112">
        <v>-16.64</v>
      </c>
      <c r="E112" t="s">
        <v>657</v>
      </c>
      <c r="F112" t="s">
        <v>803</v>
      </c>
      <c r="G112" s="128"/>
      <c r="H112" s="128"/>
      <c r="I112" t="s">
        <v>977</v>
      </c>
      <c r="J112" s="128"/>
    </row>
    <row r="113" spans="1:10" x14ac:dyDescent="0.2">
      <c r="A113" t="s">
        <v>728</v>
      </c>
      <c r="B113" s="140">
        <v>43004</v>
      </c>
      <c r="C113" t="s">
        <v>643</v>
      </c>
      <c r="D113">
        <v>-15.69</v>
      </c>
      <c r="E113" t="s">
        <v>657</v>
      </c>
      <c r="F113" t="s">
        <v>804</v>
      </c>
      <c r="H113" s="128"/>
      <c r="I113" t="s">
        <v>977</v>
      </c>
      <c r="J113" s="128"/>
    </row>
    <row r="114" spans="1:10" x14ac:dyDescent="0.2">
      <c r="A114" t="s">
        <v>728</v>
      </c>
      <c r="B114" s="140">
        <v>43004</v>
      </c>
      <c r="C114" t="s">
        <v>643</v>
      </c>
      <c r="D114" s="150">
        <v>-12.28</v>
      </c>
      <c r="E114" t="s">
        <v>657</v>
      </c>
      <c r="F114" t="s">
        <v>805</v>
      </c>
      <c r="H114" s="136"/>
      <c r="I114" t="s">
        <v>977</v>
      </c>
      <c r="J114" s="136"/>
    </row>
    <row r="115" spans="1:10" hidden="1" x14ac:dyDescent="0.2">
      <c r="A115" t="s">
        <v>728</v>
      </c>
      <c r="B115" s="140">
        <v>43005</v>
      </c>
      <c r="C115" t="s">
        <v>643</v>
      </c>
      <c r="D115">
        <v>566.08000000000004</v>
      </c>
      <c r="E115" t="s">
        <v>659</v>
      </c>
      <c r="F115" t="s">
        <v>696</v>
      </c>
      <c r="H115" s="136"/>
      <c r="I115" t="s">
        <v>977</v>
      </c>
      <c r="J115" s="136"/>
    </row>
    <row r="116" spans="1:10" hidden="1" x14ac:dyDescent="0.2">
      <c r="A116" t="s">
        <v>728</v>
      </c>
      <c r="B116" s="140">
        <v>43006</v>
      </c>
      <c r="C116" t="s">
        <v>643</v>
      </c>
      <c r="D116">
        <v>464</v>
      </c>
      <c r="E116" t="s">
        <v>659</v>
      </c>
      <c r="F116" t="s">
        <v>700</v>
      </c>
      <c r="H116" s="136"/>
      <c r="I116" t="s">
        <v>977</v>
      </c>
      <c r="J116" s="136"/>
    </row>
    <row r="117" spans="1:10" hidden="1" x14ac:dyDescent="0.2">
      <c r="A117" t="s">
        <v>728</v>
      </c>
      <c r="B117" s="140">
        <v>43006</v>
      </c>
      <c r="C117" t="s">
        <v>643</v>
      </c>
      <c r="D117">
        <v>463.33</v>
      </c>
      <c r="E117" t="s">
        <v>659</v>
      </c>
      <c r="F117" t="s">
        <v>661</v>
      </c>
      <c r="H117" s="136"/>
      <c r="I117" t="s">
        <v>977</v>
      </c>
      <c r="J117" s="136"/>
    </row>
    <row r="118" spans="1:10" hidden="1" x14ac:dyDescent="0.2">
      <c r="A118" t="s">
        <v>728</v>
      </c>
      <c r="B118" s="140">
        <v>43006</v>
      </c>
      <c r="C118" t="s">
        <v>643</v>
      </c>
      <c r="D118">
        <v>463.33</v>
      </c>
      <c r="E118" t="s">
        <v>659</v>
      </c>
      <c r="F118" t="s">
        <v>666</v>
      </c>
      <c r="H118" s="136"/>
      <c r="I118" t="s">
        <v>977</v>
      </c>
      <c r="J118" s="128"/>
    </row>
    <row r="119" spans="1:10" hidden="1" x14ac:dyDescent="0.2">
      <c r="A119" t="s">
        <v>728</v>
      </c>
      <c r="B119" s="140">
        <v>43006</v>
      </c>
      <c r="C119" t="s">
        <v>643</v>
      </c>
      <c r="D119">
        <v>463.33</v>
      </c>
      <c r="E119" t="s">
        <v>659</v>
      </c>
      <c r="F119" t="s">
        <v>677</v>
      </c>
      <c r="H119" s="136"/>
      <c r="I119" t="s">
        <v>977</v>
      </c>
      <c r="J119" s="128"/>
    </row>
    <row r="120" spans="1:10" hidden="1" x14ac:dyDescent="0.2">
      <c r="A120" t="s">
        <v>728</v>
      </c>
      <c r="B120" s="140">
        <v>43006</v>
      </c>
      <c r="C120" t="s">
        <v>643</v>
      </c>
      <c r="D120">
        <v>463.33</v>
      </c>
      <c r="E120" t="s">
        <v>659</v>
      </c>
      <c r="F120" t="s">
        <v>676</v>
      </c>
      <c r="H120" s="136"/>
      <c r="I120" t="s">
        <v>977</v>
      </c>
      <c r="J120" s="128"/>
    </row>
    <row r="121" spans="1:10" hidden="1" x14ac:dyDescent="0.2">
      <c r="A121" t="s">
        <v>728</v>
      </c>
      <c r="B121" s="140">
        <v>43006</v>
      </c>
      <c r="C121" t="s">
        <v>643</v>
      </c>
      <c r="D121">
        <v>463.32</v>
      </c>
      <c r="E121" t="s">
        <v>659</v>
      </c>
      <c r="F121" t="s">
        <v>672</v>
      </c>
      <c r="H121" s="136"/>
      <c r="I121" t="s">
        <v>977</v>
      </c>
      <c r="J121" s="128"/>
    </row>
    <row r="122" spans="1:10" hidden="1" x14ac:dyDescent="0.2">
      <c r="A122" t="s">
        <v>728</v>
      </c>
      <c r="B122" s="140">
        <v>43006</v>
      </c>
      <c r="C122" t="s">
        <v>643</v>
      </c>
      <c r="D122">
        <v>432.56</v>
      </c>
      <c r="E122" t="s">
        <v>659</v>
      </c>
      <c r="F122" t="s">
        <v>662</v>
      </c>
      <c r="H122" s="136"/>
      <c r="I122" t="s">
        <v>977</v>
      </c>
      <c r="J122" s="128"/>
    </row>
    <row r="123" spans="1:10" hidden="1" x14ac:dyDescent="0.2">
      <c r="A123" t="s">
        <v>728</v>
      </c>
      <c r="B123" s="140">
        <v>43006</v>
      </c>
      <c r="C123" t="s">
        <v>643</v>
      </c>
      <c r="D123">
        <v>432.55</v>
      </c>
      <c r="E123" t="s">
        <v>659</v>
      </c>
      <c r="F123" t="s">
        <v>671</v>
      </c>
      <c r="H123" s="136"/>
      <c r="I123" t="s">
        <v>977</v>
      </c>
      <c r="J123" s="128"/>
    </row>
    <row r="124" spans="1:10" hidden="1" x14ac:dyDescent="0.2">
      <c r="A124" t="s">
        <v>728</v>
      </c>
      <c r="B124" s="140">
        <v>43006</v>
      </c>
      <c r="C124" t="s">
        <v>643</v>
      </c>
      <c r="D124">
        <v>428.29</v>
      </c>
      <c r="E124" t="s">
        <v>659</v>
      </c>
      <c r="F124" t="s">
        <v>674</v>
      </c>
      <c r="H124" s="136"/>
      <c r="I124" t="s">
        <v>977</v>
      </c>
      <c r="J124" s="128"/>
    </row>
    <row r="125" spans="1:10" hidden="1" x14ac:dyDescent="0.2">
      <c r="A125" t="s">
        <v>728</v>
      </c>
      <c r="B125" s="140">
        <v>43006</v>
      </c>
      <c r="C125" t="s">
        <v>643</v>
      </c>
      <c r="D125">
        <v>428.29</v>
      </c>
      <c r="E125" t="s">
        <v>659</v>
      </c>
      <c r="F125" t="s">
        <v>673</v>
      </c>
      <c r="H125" s="136"/>
      <c r="I125" t="s">
        <v>977</v>
      </c>
      <c r="J125" s="128"/>
    </row>
    <row r="126" spans="1:10" hidden="1" x14ac:dyDescent="0.2">
      <c r="A126" t="s">
        <v>728</v>
      </c>
      <c r="B126" s="140">
        <v>43006</v>
      </c>
      <c r="C126" t="s">
        <v>643</v>
      </c>
      <c r="D126">
        <v>417.6</v>
      </c>
      <c r="E126" t="s">
        <v>659</v>
      </c>
      <c r="F126" t="s">
        <v>757</v>
      </c>
      <c r="H126" s="136"/>
      <c r="I126" t="s">
        <v>977</v>
      </c>
      <c r="J126" s="128"/>
    </row>
    <row r="127" spans="1:10" hidden="1" x14ac:dyDescent="0.2">
      <c r="A127" t="s">
        <v>728</v>
      </c>
      <c r="B127" s="140">
        <v>43006</v>
      </c>
      <c r="C127" t="s">
        <v>643</v>
      </c>
      <c r="D127">
        <v>353.29</v>
      </c>
      <c r="E127" t="s">
        <v>659</v>
      </c>
      <c r="F127" t="s">
        <v>669</v>
      </c>
      <c r="H127" s="136"/>
      <c r="I127" t="s">
        <v>977</v>
      </c>
      <c r="J127" s="128"/>
    </row>
    <row r="128" spans="1:10" hidden="1" x14ac:dyDescent="0.2">
      <c r="A128" t="s">
        <v>728</v>
      </c>
      <c r="B128" s="140">
        <v>43006</v>
      </c>
      <c r="C128" t="s">
        <v>643</v>
      </c>
      <c r="D128">
        <v>262.89999999999998</v>
      </c>
      <c r="E128" t="s">
        <v>659</v>
      </c>
      <c r="F128" t="s">
        <v>668</v>
      </c>
      <c r="H128" s="136"/>
      <c r="I128" t="s">
        <v>977</v>
      </c>
      <c r="J128" s="128"/>
    </row>
    <row r="129" spans="1:10" hidden="1" x14ac:dyDescent="0.2">
      <c r="A129" t="s">
        <v>728</v>
      </c>
      <c r="B129" s="140">
        <v>43006</v>
      </c>
      <c r="C129" t="s">
        <v>643</v>
      </c>
      <c r="D129">
        <v>255.39</v>
      </c>
      <c r="E129" t="s">
        <v>659</v>
      </c>
      <c r="F129" t="s">
        <v>675</v>
      </c>
      <c r="H129" s="136"/>
      <c r="I129" t="s">
        <v>977</v>
      </c>
      <c r="J129" s="128"/>
    </row>
    <row r="130" spans="1:10" hidden="1" x14ac:dyDescent="0.2">
      <c r="A130" t="s">
        <v>728</v>
      </c>
      <c r="B130" s="140">
        <v>43006</v>
      </c>
      <c r="C130" t="s">
        <v>643</v>
      </c>
      <c r="D130">
        <v>251.72</v>
      </c>
      <c r="E130" t="s">
        <v>659</v>
      </c>
      <c r="F130" t="s">
        <v>682</v>
      </c>
      <c r="G130" s="128"/>
      <c r="H130" s="136"/>
      <c r="I130" t="s">
        <v>977</v>
      </c>
      <c r="J130" s="128"/>
    </row>
    <row r="131" spans="1:10" hidden="1" x14ac:dyDescent="0.2">
      <c r="A131" t="s">
        <v>728</v>
      </c>
      <c r="B131" s="140">
        <v>43006</v>
      </c>
      <c r="C131" t="s">
        <v>643</v>
      </c>
      <c r="D131">
        <v>248.64</v>
      </c>
      <c r="E131" t="s">
        <v>659</v>
      </c>
      <c r="F131" t="s">
        <v>692</v>
      </c>
      <c r="G131" s="128"/>
      <c r="H131" s="128"/>
      <c r="I131" t="s">
        <v>977</v>
      </c>
      <c r="J131" s="128"/>
    </row>
    <row r="132" spans="1:10" hidden="1" x14ac:dyDescent="0.2">
      <c r="A132" t="s">
        <v>728</v>
      </c>
      <c r="B132" s="140">
        <v>43006</v>
      </c>
      <c r="C132" t="s">
        <v>643</v>
      </c>
      <c r="D132">
        <v>242.41</v>
      </c>
      <c r="E132" t="s">
        <v>659</v>
      </c>
      <c r="F132" t="s">
        <v>670</v>
      </c>
      <c r="G132" s="128"/>
      <c r="H132" s="136"/>
      <c r="I132" t="s">
        <v>977</v>
      </c>
      <c r="J132" s="128"/>
    </row>
    <row r="133" spans="1:10" hidden="1" x14ac:dyDescent="0.2">
      <c r="A133" t="s">
        <v>728</v>
      </c>
      <c r="B133" s="140">
        <v>43006</v>
      </c>
      <c r="C133" t="s">
        <v>643</v>
      </c>
      <c r="D133">
        <v>228.93</v>
      </c>
      <c r="E133" t="s">
        <v>659</v>
      </c>
      <c r="F133" t="s">
        <v>664</v>
      </c>
      <c r="G133" s="128"/>
      <c r="H133" s="128"/>
      <c r="I133" t="s">
        <v>977</v>
      </c>
      <c r="J133" s="128"/>
    </row>
    <row r="134" spans="1:10" hidden="1" x14ac:dyDescent="0.2">
      <c r="A134" t="s">
        <v>728</v>
      </c>
      <c r="B134" s="140">
        <v>43006</v>
      </c>
      <c r="C134" t="s">
        <v>643</v>
      </c>
      <c r="D134">
        <v>144.80000000000001</v>
      </c>
      <c r="E134" t="s">
        <v>659</v>
      </c>
      <c r="F134" t="s">
        <v>683</v>
      </c>
      <c r="G134" s="128"/>
      <c r="H134" s="128"/>
      <c r="I134" t="s">
        <v>977</v>
      </c>
      <c r="J134" s="128"/>
    </row>
    <row r="135" spans="1:10" hidden="1" x14ac:dyDescent="0.2">
      <c r="A135" t="s">
        <v>728</v>
      </c>
      <c r="B135" s="140">
        <v>43006</v>
      </c>
      <c r="C135" t="s">
        <v>643</v>
      </c>
      <c r="D135">
        <v>124.76</v>
      </c>
      <c r="E135" t="s">
        <v>659</v>
      </c>
      <c r="F135" t="s">
        <v>679</v>
      </c>
      <c r="G135" s="128"/>
      <c r="H135" s="136"/>
      <c r="I135" t="s">
        <v>977</v>
      </c>
      <c r="J135" s="136"/>
    </row>
    <row r="136" spans="1:10" hidden="1" x14ac:dyDescent="0.2">
      <c r="A136" t="s">
        <v>728</v>
      </c>
      <c r="B136" s="140">
        <v>43006</v>
      </c>
      <c r="C136" t="s">
        <v>643</v>
      </c>
      <c r="D136">
        <v>102.39</v>
      </c>
      <c r="E136" t="s">
        <v>659</v>
      </c>
      <c r="F136" t="s">
        <v>667</v>
      </c>
      <c r="G136" s="128"/>
      <c r="H136" s="136"/>
      <c r="I136" t="s">
        <v>977</v>
      </c>
      <c r="J136" s="128"/>
    </row>
    <row r="137" spans="1:10" hidden="1" x14ac:dyDescent="0.2">
      <c r="A137" t="s">
        <v>728</v>
      </c>
      <c r="B137" s="140">
        <v>43007</v>
      </c>
      <c r="C137" t="s">
        <v>643</v>
      </c>
      <c r="D137">
        <v>-116</v>
      </c>
      <c r="E137" t="s">
        <v>652</v>
      </c>
      <c r="F137" t="s">
        <v>701</v>
      </c>
      <c r="G137" s="128"/>
      <c r="H137" s="136"/>
      <c r="I137" t="s">
        <v>978</v>
      </c>
      <c r="J137" s="128"/>
    </row>
    <row r="138" spans="1:10" hidden="1" x14ac:dyDescent="0.2">
      <c r="A138" t="s">
        <v>728</v>
      </c>
      <c r="B138" s="140">
        <v>43007</v>
      </c>
      <c r="C138" t="s">
        <v>643</v>
      </c>
      <c r="D138">
        <v>-165.1</v>
      </c>
      <c r="E138" t="s">
        <v>652</v>
      </c>
      <c r="F138" t="s">
        <v>806</v>
      </c>
      <c r="G138" s="128"/>
      <c r="H138" s="136"/>
      <c r="I138" t="s">
        <v>978</v>
      </c>
      <c r="J138" s="128"/>
    </row>
    <row r="139" spans="1:10" hidden="1" x14ac:dyDescent="0.2">
      <c r="A139" t="s">
        <v>728</v>
      </c>
      <c r="B139" s="140">
        <v>43007</v>
      </c>
      <c r="C139" t="s">
        <v>643</v>
      </c>
      <c r="D139">
        <v>-172.11</v>
      </c>
      <c r="E139" t="s">
        <v>652</v>
      </c>
      <c r="F139" t="s">
        <v>807</v>
      </c>
      <c r="G139" s="128"/>
      <c r="H139" s="136"/>
      <c r="I139" t="s">
        <v>978</v>
      </c>
      <c r="J139" s="128"/>
    </row>
    <row r="140" spans="1:10" hidden="1" x14ac:dyDescent="0.2">
      <c r="A140" t="s">
        <v>728</v>
      </c>
      <c r="B140" s="140">
        <v>43007</v>
      </c>
      <c r="C140" t="s">
        <v>643</v>
      </c>
      <c r="D140">
        <v>-172.11</v>
      </c>
      <c r="E140" t="s">
        <v>652</v>
      </c>
      <c r="F140" t="s">
        <v>808</v>
      </c>
      <c r="G140" s="128"/>
      <c r="H140" s="136"/>
      <c r="I140" t="s">
        <v>978</v>
      </c>
      <c r="J140" s="128"/>
    </row>
    <row r="141" spans="1:10" hidden="1" x14ac:dyDescent="0.2">
      <c r="A141" t="s">
        <v>728</v>
      </c>
      <c r="B141" s="140">
        <v>43007</v>
      </c>
      <c r="C141" t="s">
        <v>643</v>
      </c>
      <c r="D141">
        <v>-172.11</v>
      </c>
      <c r="E141" t="s">
        <v>652</v>
      </c>
      <c r="F141" t="s">
        <v>809</v>
      </c>
      <c r="G141" s="128"/>
      <c r="H141" s="136"/>
      <c r="I141" t="s">
        <v>978</v>
      </c>
      <c r="J141" s="128"/>
    </row>
    <row r="142" spans="1:10" hidden="1" x14ac:dyDescent="0.2">
      <c r="A142" s="128" t="s">
        <v>728</v>
      </c>
      <c r="B142" s="139">
        <v>43003</v>
      </c>
      <c r="C142" s="128"/>
      <c r="D142" s="128">
        <v>-25.03</v>
      </c>
      <c r="E142" s="128"/>
      <c r="F142" s="128" t="s">
        <v>967</v>
      </c>
      <c r="G142" s="128"/>
      <c r="H142" s="128"/>
      <c r="I142" s="128"/>
      <c r="J142" s="128"/>
    </row>
    <row r="143" spans="1:10" hidden="1" x14ac:dyDescent="0.2">
      <c r="A143" s="128" t="s">
        <v>728</v>
      </c>
      <c r="B143" s="139">
        <v>43003</v>
      </c>
      <c r="C143" s="128"/>
      <c r="D143" s="128">
        <v>-21.49</v>
      </c>
      <c r="E143" s="128"/>
      <c r="F143" s="128" t="s">
        <v>967</v>
      </c>
      <c r="G143" s="128"/>
      <c r="H143" s="128"/>
      <c r="I143" s="128"/>
      <c r="J143" s="128"/>
    </row>
    <row r="144" spans="1:10" hidden="1" x14ac:dyDescent="0.2">
      <c r="A144" s="128" t="s">
        <v>728</v>
      </c>
      <c r="B144" s="139">
        <v>43006</v>
      </c>
      <c r="C144" s="128"/>
      <c r="D144" s="128">
        <v>-13.84</v>
      </c>
      <c r="E144" s="128"/>
      <c r="F144" s="128" t="s">
        <v>968</v>
      </c>
      <c r="G144" s="128"/>
      <c r="H144" s="136"/>
      <c r="I144" s="128"/>
      <c r="J144" s="136"/>
    </row>
    <row r="145" spans="1:10" hidden="1" x14ac:dyDescent="0.2">
      <c r="A145" s="128" t="s">
        <v>728</v>
      </c>
      <c r="B145" s="139">
        <v>43006</v>
      </c>
      <c r="C145" s="128"/>
      <c r="D145" s="128">
        <v>-13.1</v>
      </c>
      <c r="E145" s="128"/>
      <c r="F145" s="128" t="s">
        <v>968</v>
      </c>
      <c r="G145" s="128"/>
      <c r="H145" s="136"/>
      <c r="I145" s="128"/>
      <c r="J145" s="136"/>
    </row>
    <row r="146" spans="1:10" x14ac:dyDescent="0.2">
      <c r="A146" s="128"/>
      <c r="B146" s="139"/>
      <c r="C146" s="128"/>
      <c r="D146" s="128"/>
      <c r="E146" s="128"/>
      <c r="F146" s="128"/>
      <c r="G146" s="128"/>
      <c r="H146" s="136"/>
      <c r="I146" s="128"/>
      <c r="J146" s="136"/>
    </row>
    <row r="147" spans="1:10" x14ac:dyDescent="0.2">
      <c r="A147" s="128"/>
      <c r="B147" s="139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39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39"/>
      <c r="C149" s="128"/>
      <c r="D149" s="128"/>
      <c r="E149" s="128"/>
      <c r="F149" s="128"/>
      <c r="G149" s="128"/>
      <c r="H149" s="136"/>
      <c r="I149" s="128"/>
      <c r="J149" s="136"/>
    </row>
    <row r="150" spans="1:10" x14ac:dyDescent="0.2">
      <c r="A150" s="128"/>
      <c r="B150" s="139"/>
      <c r="C150" s="128"/>
      <c r="D150" s="128"/>
      <c r="E150" s="128"/>
      <c r="F150" s="128"/>
      <c r="G150" s="128"/>
      <c r="H150" s="136"/>
      <c r="I150" s="128"/>
      <c r="J150" s="136"/>
    </row>
    <row r="151" spans="1:10" x14ac:dyDescent="0.2">
      <c r="A151" s="128"/>
      <c r="B151" s="139"/>
      <c r="C151" s="128"/>
      <c r="D151" s="128"/>
      <c r="E151" s="128"/>
      <c r="F151" s="128"/>
      <c r="G151" s="128"/>
      <c r="H151" s="136"/>
      <c r="I151" s="128"/>
      <c r="J151" s="136"/>
    </row>
    <row r="152" spans="1:10" x14ac:dyDescent="0.2">
      <c r="A152" s="128"/>
      <c r="B152" s="139"/>
      <c r="C152" s="128"/>
      <c r="D152" s="128"/>
      <c r="E152" s="128"/>
      <c r="F152" s="128"/>
      <c r="G152" s="128"/>
      <c r="H152" s="136"/>
      <c r="I152" s="128"/>
      <c r="J152" s="136"/>
    </row>
    <row r="153" spans="1:10" x14ac:dyDescent="0.2">
      <c r="A153" s="128"/>
      <c r="B153" s="139"/>
      <c r="C153" s="128"/>
      <c r="D153" s="128"/>
      <c r="E153" s="128"/>
      <c r="F153" s="128"/>
      <c r="G153" s="128"/>
      <c r="H153" s="136"/>
      <c r="I153" s="128"/>
      <c r="J153" s="136"/>
    </row>
    <row r="154" spans="1:10" x14ac:dyDescent="0.2">
      <c r="A154" s="128"/>
      <c r="B154" s="139"/>
      <c r="C154" s="128"/>
      <c r="D154" s="128"/>
      <c r="E154" s="128"/>
      <c r="F154" s="128"/>
      <c r="G154" s="128"/>
      <c r="H154" s="136"/>
      <c r="I154" s="128"/>
      <c r="J154" s="128"/>
    </row>
    <row r="155" spans="1:10" x14ac:dyDescent="0.2">
      <c r="A155" s="128"/>
      <c r="B155" s="139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39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39"/>
      <c r="C157" s="128"/>
      <c r="D157" s="128"/>
      <c r="E157" s="128"/>
      <c r="F157" s="128"/>
      <c r="G157" s="128"/>
      <c r="H157" s="136"/>
      <c r="I157" s="128"/>
      <c r="J157" s="136"/>
    </row>
    <row r="158" spans="1:10" x14ac:dyDescent="0.2">
      <c r="A158" s="128"/>
      <c r="B158" s="139"/>
      <c r="C158" s="128"/>
      <c r="D158" s="128"/>
      <c r="E158" s="128"/>
      <c r="F158" s="128"/>
      <c r="G158" s="128"/>
      <c r="H158" s="136"/>
      <c r="I158" s="128"/>
      <c r="J158" s="136"/>
    </row>
    <row r="159" spans="1:10" x14ac:dyDescent="0.2">
      <c r="A159" s="128"/>
      <c r="B159" s="139"/>
      <c r="C159" s="128"/>
      <c r="D159" s="128"/>
      <c r="E159" s="128"/>
      <c r="F159" s="128"/>
      <c r="G159" s="128"/>
      <c r="H159" s="128"/>
      <c r="I159" s="128"/>
      <c r="J159" s="128"/>
    </row>
    <row r="160" spans="1:10" x14ac:dyDescent="0.2">
      <c r="A160" s="128"/>
      <c r="B160" s="139"/>
      <c r="C160" s="128"/>
      <c r="D160" s="128"/>
      <c r="E160" s="128"/>
      <c r="F160" s="128"/>
      <c r="G160" s="128"/>
      <c r="H160" s="128"/>
      <c r="I160" s="128"/>
      <c r="J160" s="128"/>
    </row>
    <row r="161" spans="1:10" x14ac:dyDescent="0.2">
      <c r="A161" s="128"/>
      <c r="B161" s="139"/>
      <c r="C161" s="128"/>
      <c r="D161" s="128"/>
      <c r="E161" s="128"/>
      <c r="F161" s="128"/>
      <c r="G161" s="128"/>
      <c r="H161" s="128"/>
      <c r="I161" s="128"/>
      <c r="J161" s="128"/>
    </row>
    <row r="162" spans="1:10" x14ac:dyDescent="0.2">
      <c r="A162" s="128"/>
      <c r="B162" s="139"/>
      <c r="C162" s="128"/>
      <c r="D162" s="128"/>
      <c r="E162" s="128"/>
      <c r="F162" s="128"/>
      <c r="G162" s="128"/>
      <c r="H162" s="128"/>
      <c r="I162" s="128"/>
      <c r="J162" s="128"/>
    </row>
    <row r="163" spans="1:10" x14ac:dyDescent="0.2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1:10" x14ac:dyDescent="0.2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1:10" x14ac:dyDescent="0.2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1:10" x14ac:dyDescent="0.2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1:10" x14ac:dyDescent="0.2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1:10" x14ac:dyDescent="0.2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1:10" x14ac:dyDescent="0.2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</row>
  </sheetData>
  <autoFilter ref="A1:I145">
    <filterColumn colId="4">
      <filters>
        <filter val="FT"/>
        <filter val="OTH"/>
        <filter val="PAYMENT"/>
      </filters>
    </filterColumn>
    <filterColumn colId="5">
      <filters>
        <filter val="207409 40406538       001172580000151    TFR"/>
        <filter val="207409 40406538       MOBILE-CHANNEL     FT"/>
        <filter val="B &amp; Q 1142            ON 25 SEP          BCC"/>
        <filter val="BP WISLEY SOUTH       ON 23 SEP          BCC"/>
        <filter val="CHIQUITO 2033         ON 10 SEP          BCC"/>
        <filter val="CLAIRES ACCESSORI    ON 10 SEP          BCC"/>
        <filter val="HOBBYCRAFT LTD        ON 24 SEP          BCC"/>
        <filter val="HOBBYCRAFT LTD        ON 24 SEP          CLP"/>
        <filter val="HOMESENSE             ON 24 SEP          CLP"/>
        <filter val="IWM DUXFORD SHOP      ON 02 SEP          CLP"/>
        <filter val="IWMD ADMISSIONS       ON 02 SEP          CLP"/>
        <filter val="JOHN LEWIS            ON 22 SEP          BCC"/>
        <filter val="MARKS&amp;SPENCER PLC     ON 22 SEP          CLP"/>
        <filter val="MARKS&amp;SPENCER PLC     ON 24 SEP          CLP"/>
        <filter val="MARKS&amp;SPENCER PLC     ON 25 SEP          CLP"/>
        <filter val="NEW COUNTY SERVICE    ON 02 SEP          BCC"/>
        <filter val="NEXT RETAIL LTD       ON 18 SEP          BCC"/>
        <filter val="NEXT RETAIL LTD       ON 20 SEP          BCC"/>
        <filter val="NEXT RETAIL LTD       ON 22 SEP          BCC"/>
        <filter val="TESCO STORE 2105      ON 06 SEP          BCC"/>
        <filter val="TESCO STORE 2105      ON 25 SEP          CLP"/>
        <filter val="THE SHUTTLEWORTH      ON 09 SEP          CLP"/>
        <filter val="WH SMITH              ON 19 SEP          CLP"/>
        <filter val="WM MORRISON STORE     ON 18 SEP          CLP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69"/>
  <sheetViews>
    <sheetView zoomScale="85" zoomScaleNormal="85" workbookViewId="0">
      <selection activeCell="F46" sqref="F46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728</v>
      </c>
      <c r="B2" s="140">
        <v>42979</v>
      </c>
      <c r="D2">
        <v>50</v>
      </c>
      <c r="F2" t="s">
        <v>962</v>
      </c>
      <c r="G2" s="128"/>
      <c r="H2" s="128"/>
      <c r="I2" s="128"/>
      <c r="J2" s="128"/>
    </row>
    <row r="3" spans="1:10" x14ac:dyDescent="0.2">
      <c r="A3" t="s">
        <v>728</v>
      </c>
      <c r="B3" s="140">
        <v>42979</v>
      </c>
      <c r="D3">
        <v>-40</v>
      </c>
      <c r="F3" t="s">
        <v>963</v>
      </c>
      <c r="G3" s="128"/>
      <c r="H3" s="128"/>
      <c r="I3" s="128"/>
      <c r="J3" s="128"/>
    </row>
    <row r="4" spans="1:10" x14ac:dyDescent="0.2">
      <c r="A4" t="s">
        <v>728</v>
      </c>
      <c r="B4" s="140">
        <v>42983</v>
      </c>
      <c r="D4">
        <v>64</v>
      </c>
      <c r="F4" t="s">
        <v>964</v>
      </c>
      <c r="G4" s="128"/>
      <c r="H4" s="128"/>
      <c r="I4" s="128"/>
      <c r="J4" s="128"/>
    </row>
    <row r="5" spans="1:10" x14ac:dyDescent="0.2">
      <c r="A5" t="s">
        <v>728</v>
      </c>
      <c r="B5" s="140">
        <v>42983</v>
      </c>
      <c r="D5">
        <v>51</v>
      </c>
      <c r="F5" t="s">
        <v>964</v>
      </c>
      <c r="G5" s="128"/>
      <c r="H5" s="128"/>
      <c r="I5" s="128"/>
      <c r="J5" s="128"/>
    </row>
    <row r="6" spans="1:10" x14ac:dyDescent="0.2">
      <c r="A6" t="s">
        <v>728</v>
      </c>
      <c r="B6" s="140">
        <v>42983</v>
      </c>
      <c r="D6">
        <v>-5</v>
      </c>
      <c r="F6" t="s">
        <v>965</v>
      </c>
      <c r="G6" s="128"/>
      <c r="H6" s="128"/>
      <c r="I6" s="128"/>
      <c r="J6" s="128"/>
    </row>
    <row r="7" spans="1:10" x14ac:dyDescent="0.2">
      <c r="A7" t="s">
        <v>728</v>
      </c>
      <c r="B7" s="140">
        <v>42990</v>
      </c>
      <c r="D7">
        <v>-28.34</v>
      </c>
      <c r="F7" t="s">
        <v>966</v>
      </c>
      <c r="G7" s="128"/>
      <c r="H7" s="128"/>
      <c r="I7" s="128"/>
      <c r="J7" s="128"/>
    </row>
    <row r="8" spans="1:10" x14ac:dyDescent="0.2">
      <c r="A8" t="s">
        <v>728</v>
      </c>
      <c r="B8" s="140">
        <v>43003</v>
      </c>
      <c r="D8" s="151">
        <v>-25.03</v>
      </c>
      <c r="F8" t="s">
        <v>967</v>
      </c>
      <c r="G8" s="128"/>
      <c r="H8" s="128"/>
      <c r="I8" s="128"/>
      <c r="J8" s="128"/>
    </row>
    <row r="9" spans="1:10" x14ac:dyDescent="0.2">
      <c r="A9" t="s">
        <v>728</v>
      </c>
      <c r="B9" s="140">
        <v>43003</v>
      </c>
      <c r="D9" s="151">
        <v>-21.49</v>
      </c>
      <c r="F9" t="s">
        <v>967</v>
      </c>
      <c r="G9" s="128"/>
      <c r="H9" s="128"/>
      <c r="I9" s="128"/>
      <c r="J9" s="128"/>
    </row>
    <row r="10" spans="1:10" x14ac:dyDescent="0.2">
      <c r="A10" t="s">
        <v>728</v>
      </c>
      <c r="B10" s="140">
        <v>43006</v>
      </c>
      <c r="D10" s="151">
        <v>-13.84</v>
      </c>
      <c r="F10" t="s">
        <v>968</v>
      </c>
      <c r="G10" s="128"/>
      <c r="H10" s="128"/>
      <c r="I10" s="128"/>
      <c r="J10" s="128"/>
    </row>
    <row r="11" spans="1:10" x14ac:dyDescent="0.2">
      <c r="A11" t="s">
        <v>728</v>
      </c>
      <c r="B11" s="140">
        <v>43006</v>
      </c>
      <c r="D11" s="151">
        <v>-13.1</v>
      </c>
      <c r="F11" t="s">
        <v>968</v>
      </c>
      <c r="G11" s="128"/>
      <c r="H11" s="128"/>
      <c r="I11" s="128"/>
      <c r="J11" s="128"/>
    </row>
    <row r="12" spans="1:10" x14ac:dyDescent="0.2">
      <c r="A12" t="s">
        <v>728</v>
      </c>
      <c r="B12" s="140"/>
      <c r="G12" s="128"/>
      <c r="H12" s="128"/>
      <c r="I12" s="128"/>
      <c r="J12" s="128"/>
    </row>
    <row r="13" spans="1:10" x14ac:dyDescent="0.2">
      <c r="A13" t="s">
        <v>728</v>
      </c>
      <c r="B13" s="140"/>
      <c r="G13" s="128"/>
      <c r="H13" s="128"/>
      <c r="I13" s="128"/>
      <c r="J13" s="128"/>
    </row>
    <row r="14" spans="1:10" x14ac:dyDescent="0.2">
      <c r="A14" t="s">
        <v>728</v>
      </c>
      <c r="B14" s="140"/>
      <c r="G14" s="128"/>
      <c r="H14" s="128"/>
      <c r="I14" s="128"/>
      <c r="J14" s="128"/>
    </row>
    <row r="15" spans="1:10" x14ac:dyDescent="0.2">
      <c r="A15" t="s">
        <v>728</v>
      </c>
      <c r="B15" s="140"/>
      <c r="G15" s="128"/>
      <c r="H15" s="128"/>
      <c r="I15" s="128"/>
      <c r="J15" s="128"/>
    </row>
    <row r="16" spans="1:10" x14ac:dyDescent="0.2">
      <c r="A16" t="s">
        <v>728</v>
      </c>
      <c r="B16" s="140"/>
      <c r="G16" s="128"/>
      <c r="H16" s="128"/>
      <c r="I16" s="128"/>
      <c r="J16" s="128"/>
    </row>
    <row r="17" spans="1:10" x14ac:dyDescent="0.2">
      <c r="A17" t="s">
        <v>728</v>
      </c>
      <c r="B17" s="140"/>
      <c r="G17" s="128"/>
      <c r="H17" s="128"/>
      <c r="I17" s="128"/>
      <c r="J17" s="128"/>
    </row>
    <row r="18" spans="1:10" x14ac:dyDescent="0.2">
      <c r="A18" t="s">
        <v>728</v>
      </c>
      <c r="B18" s="140"/>
      <c r="G18" s="128"/>
      <c r="H18" s="128"/>
      <c r="I18" s="128"/>
      <c r="J18" s="136"/>
    </row>
    <row r="19" spans="1:10" x14ac:dyDescent="0.2">
      <c r="A19" t="s">
        <v>728</v>
      </c>
      <c r="B19" s="140"/>
      <c r="G19" s="128"/>
      <c r="H19" s="128"/>
      <c r="I19" s="128"/>
      <c r="J19" s="128"/>
    </row>
    <row r="20" spans="1:10" x14ac:dyDescent="0.2">
      <c r="A20" t="s">
        <v>728</v>
      </c>
      <c r="B20" s="140"/>
      <c r="G20" s="128"/>
      <c r="H20" s="128"/>
      <c r="I20" s="128"/>
      <c r="J20" s="136"/>
    </row>
    <row r="21" spans="1:10" x14ac:dyDescent="0.2">
      <c r="A21" t="s">
        <v>728</v>
      </c>
      <c r="B21" s="140"/>
      <c r="G21" s="128"/>
      <c r="H21" s="128"/>
      <c r="I21" s="128"/>
      <c r="J21" s="128"/>
    </row>
    <row r="22" spans="1:10" x14ac:dyDescent="0.2">
      <c r="A22" t="s">
        <v>728</v>
      </c>
      <c r="B22" s="140"/>
      <c r="G22" s="128"/>
      <c r="H22" s="128"/>
      <c r="I22" s="128"/>
      <c r="J22" s="128"/>
    </row>
    <row r="23" spans="1:10" x14ac:dyDescent="0.2">
      <c r="A23" t="s">
        <v>728</v>
      </c>
      <c r="B23" s="140"/>
      <c r="G23" s="128"/>
      <c r="H23" s="128"/>
      <c r="I23" s="128"/>
      <c r="J23" s="128"/>
    </row>
    <row r="24" spans="1:10" x14ac:dyDescent="0.2">
      <c r="A24" t="s">
        <v>728</v>
      </c>
      <c r="B24" s="140"/>
      <c r="G24" s="128"/>
      <c r="H24" s="128"/>
      <c r="I24" s="128"/>
      <c r="J24" s="128"/>
    </row>
    <row r="25" spans="1:10" x14ac:dyDescent="0.2">
      <c r="A25" t="s">
        <v>728</v>
      </c>
      <c r="B25" s="140"/>
      <c r="G25" s="128"/>
      <c r="H25" s="128"/>
      <c r="I25" s="128"/>
      <c r="J25" s="128"/>
    </row>
    <row r="26" spans="1:10" x14ac:dyDescent="0.2">
      <c r="A26" t="s">
        <v>728</v>
      </c>
      <c r="B26" s="140"/>
      <c r="G26" s="128"/>
      <c r="H26" s="128"/>
      <c r="I26" s="128"/>
      <c r="J26" s="128"/>
    </row>
    <row r="27" spans="1:10" x14ac:dyDescent="0.2">
      <c r="A27" t="s">
        <v>728</v>
      </c>
      <c r="B27" s="140"/>
      <c r="G27" s="128"/>
      <c r="H27" s="128"/>
      <c r="I27" s="128"/>
      <c r="J27" s="128"/>
    </row>
    <row r="28" spans="1:10" x14ac:dyDescent="0.2">
      <c r="A28" t="s">
        <v>728</v>
      </c>
      <c r="B28" s="140"/>
      <c r="G28" s="128"/>
      <c r="H28" s="128"/>
      <c r="I28" s="128"/>
      <c r="J28" s="128"/>
    </row>
    <row r="29" spans="1:10" x14ac:dyDescent="0.2">
      <c r="A29" t="s">
        <v>728</v>
      </c>
      <c r="B29" s="140"/>
      <c r="G29" s="128"/>
      <c r="H29" s="128"/>
      <c r="I29" s="128"/>
      <c r="J29" s="128"/>
    </row>
    <row r="30" spans="1:10" x14ac:dyDescent="0.2">
      <c r="A30" t="s">
        <v>728</v>
      </c>
      <c r="B30" s="140"/>
      <c r="G30" s="128"/>
      <c r="H30" s="128"/>
      <c r="I30" s="128"/>
      <c r="J30" s="128"/>
    </row>
    <row r="31" spans="1:10" x14ac:dyDescent="0.2">
      <c r="A31" t="s">
        <v>728</v>
      </c>
      <c r="B31" s="140"/>
      <c r="G31" s="128"/>
      <c r="H31" s="128"/>
      <c r="I31" s="128"/>
      <c r="J31" s="128"/>
    </row>
    <row r="32" spans="1:10" x14ac:dyDescent="0.2">
      <c r="A32" t="s">
        <v>728</v>
      </c>
      <c r="B32" s="140"/>
      <c r="G32" s="128"/>
      <c r="H32" s="128"/>
      <c r="I32" s="128"/>
      <c r="J32" s="128"/>
    </row>
    <row r="33" spans="1:10" x14ac:dyDescent="0.2">
      <c r="A33" t="s">
        <v>728</v>
      </c>
      <c r="B33" s="140"/>
      <c r="G33" s="128"/>
      <c r="H33" s="128"/>
      <c r="I33" s="128"/>
      <c r="J33" s="128"/>
    </row>
    <row r="34" spans="1:10" x14ac:dyDescent="0.2">
      <c r="A34" s="128"/>
      <c r="B34" s="139"/>
      <c r="C34" s="128"/>
      <c r="D34" s="128"/>
      <c r="E34" s="128"/>
      <c r="F34" s="128"/>
      <c r="G34" s="128"/>
      <c r="H34" s="128"/>
      <c r="I34" s="128"/>
      <c r="J34" s="128"/>
    </row>
    <row r="35" spans="1:10" x14ac:dyDescent="0.2">
      <c r="A35" s="128"/>
      <c r="B35" s="139"/>
      <c r="C35" s="128"/>
      <c r="D35" s="128"/>
      <c r="E35" s="128"/>
      <c r="F35" s="128"/>
      <c r="G35" s="128"/>
      <c r="H35" s="128"/>
      <c r="I35" s="128"/>
      <c r="J35" s="128"/>
    </row>
    <row r="36" spans="1:10" x14ac:dyDescent="0.2">
      <c r="A36" s="128"/>
      <c r="B36" s="139"/>
      <c r="C36" s="128"/>
      <c r="D36" s="128"/>
      <c r="E36" s="128"/>
      <c r="F36" s="128"/>
      <c r="G36" s="128"/>
      <c r="H36" s="128"/>
      <c r="I36" s="128"/>
      <c r="J36" s="136"/>
    </row>
    <row r="37" spans="1:10" x14ac:dyDescent="0.2">
      <c r="A37" s="128"/>
      <c r="B37" s="139"/>
      <c r="C37" s="128"/>
      <c r="D37" s="128"/>
      <c r="E37" s="128"/>
      <c r="F37" s="128"/>
      <c r="G37" s="128"/>
      <c r="H37" s="128"/>
      <c r="I37" s="128"/>
      <c r="J37" s="136"/>
    </row>
    <row r="38" spans="1:10" x14ac:dyDescent="0.2">
      <c r="A38" s="128"/>
      <c r="B38" s="139"/>
      <c r="C38" s="128"/>
      <c r="D38" s="128"/>
      <c r="E38" s="128"/>
      <c r="F38" s="128"/>
      <c r="G38" s="128"/>
      <c r="H38" s="128"/>
      <c r="I38" s="128"/>
      <c r="J38" s="136"/>
    </row>
    <row r="39" spans="1:10" x14ac:dyDescent="0.2">
      <c r="A39" t="s">
        <v>728</v>
      </c>
      <c r="B39" s="140"/>
      <c r="G39" s="128"/>
      <c r="H39" s="128"/>
      <c r="I39" s="128"/>
      <c r="J39" s="128"/>
    </row>
    <row r="40" spans="1:10" x14ac:dyDescent="0.2">
      <c r="A40" t="s">
        <v>728</v>
      </c>
      <c r="B40" s="140"/>
      <c r="G40" s="128"/>
      <c r="H40" s="128"/>
      <c r="I40" s="128"/>
      <c r="J40" s="128"/>
    </row>
    <row r="41" spans="1:10" x14ac:dyDescent="0.2">
      <c r="A41" t="s">
        <v>728</v>
      </c>
      <c r="B41" s="140"/>
      <c r="G41" s="128"/>
      <c r="H41" s="128"/>
      <c r="I41" s="128"/>
      <c r="J41" s="128"/>
    </row>
    <row r="42" spans="1:10" x14ac:dyDescent="0.2">
      <c r="A42" t="s">
        <v>728</v>
      </c>
      <c r="B42" s="140"/>
      <c r="G42" s="128"/>
      <c r="H42" s="128"/>
      <c r="I42" s="128"/>
      <c r="J42" s="128"/>
    </row>
    <row r="43" spans="1:10" x14ac:dyDescent="0.2">
      <c r="A43" t="s">
        <v>728</v>
      </c>
      <c r="B43" s="140"/>
      <c r="G43" s="128"/>
      <c r="H43" s="128"/>
      <c r="I43" s="128"/>
      <c r="J43" s="128"/>
    </row>
    <row r="44" spans="1:10" x14ac:dyDescent="0.2">
      <c r="A44" t="s">
        <v>728</v>
      </c>
      <c r="B44" s="140"/>
      <c r="G44" s="128"/>
      <c r="H44" s="128"/>
      <c r="I44" s="128"/>
      <c r="J44" s="128"/>
    </row>
    <row r="45" spans="1:10" x14ac:dyDescent="0.2">
      <c r="A45" t="s">
        <v>728</v>
      </c>
      <c r="B45" s="140"/>
      <c r="G45" s="128"/>
      <c r="H45" s="128"/>
      <c r="I45" s="128"/>
      <c r="J45" s="128"/>
    </row>
    <row r="46" spans="1:10" x14ac:dyDescent="0.2">
      <c r="A46" t="s">
        <v>728</v>
      </c>
      <c r="B46" s="140"/>
      <c r="G46" s="128"/>
      <c r="H46" s="128"/>
      <c r="I46" s="128"/>
      <c r="J46" s="128"/>
    </row>
    <row r="47" spans="1:10" x14ac:dyDescent="0.2">
      <c r="A47" t="s">
        <v>728</v>
      </c>
      <c r="B47" s="140"/>
      <c r="G47" s="128"/>
      <c r="H47" s="128"/>
      <c r="I47" s="128"/>
      <c r="J47" s="128"/>
    </row>
    <row r="48" spans="1:10" x14ac:dyDescent="0.2">
      <c r="A48" t="s">
        <v>728</v>
      </c>
      <c r="B48" s="140"/>
      <c r="G48" s="128"/>
      <c r="H48" s="128"/>
      <c r="I48" s="128"/>
      <c r="J48" s="128"/>
    </row>
    <row r="49" spans="1:10" x14ac:dyDescent="0.2">
      <c r="A49" t="s">
        <v>728</v>
      </c>
      <c r="B49" s="140"/>
      <c r="G49" s="128"/>
      <c r="H49" s="128"/>
      <c r="I49" s="128"/>
      <c r="J49" s="128"/>
    </row>
    <row r="50" spans="1:10" x14ac:dyDescent="0.2">
      <c r="A50" t="s">
        <v>728</v>
      </c>
      <c r="B50" s="140"/>
      <c r="G50" s="128"/>
      <c r="H50" s="128"/>
      <c r="I50" s="128"/>
      <c r="J50" s="128"/>
    </row>
    <row r="51" spans="1:10" x14ac:dyDescent="0.2">
      <c r="A51" t="s">
        <v>728</v>
      </c>
      <c r="B51" s="140"/>
      <c r="G51" s="128"/>
      <c r="H51" s="128"/>
      <c r="I51" s="128"/>
      <c r="J51" s="128"/>
    </row>
    <row r="52" spans="1:10" x14ac:dyDescent="0.2">
      <c r="A52" s="128"/>
      <c r="B52" s="139"/>
      <c r="C52" s="128"/>
      <c r="D52" s="128"/>
      <c r="E52" s="128"/>
      <c r="F52" s="128"/>
      <c r="G52" s="128"/>
      <c r="H52" s="128"/>
      <c r="I52" s="128"/>
      <c r="J52" s="128"/>
    </row>
    <row r="53" spans="1:10" x14ac:dyDescent="0.2">
      <c r="A53" s="128"/>
      <c r="B53" s="139"/>
      <c r="C53" s="128"/>
      <c r="D53" s="128"/>
      <c r="E53" s="128"/>
      <c r="F53" s="128"/>
      <c r="G53" s="128"/>
      <c r="H53" s="128"/>
      <c r="I53" s="128"/>
      <c r="J53" s="128"/>
    </row>
    <row r="54" spans="1:10" x14ac:dyDescent="0.2">
      <c r="A54" s="128"/>
      <c r="B54" s="139"/>
      <c r="C54" s="128"/>
      <c r="D54" s="128"/>
      <c r="E54" s="128"/>
      <c r="F54" s="128"/>
      <c r="G54" s="128"/>
      <c r="H54" s="128"/>
      <c r="I54" s="128"/>
      <c r="J54" s="128"/>
    </row>
    <row r="55" spans="1:10" x14ac:dyDescent="0.2">
      <c r="A55" s="128"/>
      <c r="B55" s="139"/>
      <c r="C55" s="128"/>
      <c r="D55" s="128"/>
      <c r="E55" s="128"/>
      <c r="F55" s="128"/>
      <c r="G55" s="128"/>
      <c r="H55" s="128"/>
      <c r="I55" s="128"/>
      <c r="J55" s="128"/>
    </row>
    <row r="56" spans="1:10" x14ac:dyDescent="0.2">
      <c r="A56" t="s">
        <v>728</v>
      </c>
      <c r="B56" s="140"/>
      <c r="G56" s="128"/>
      <c r="H56" s="128"/>
      <c r="I56" s="128"/>
      <c r="J56" s="128"/>
    </row>
    <row r="57" spans="1:10" x14ac:dyDescent="0.2">
      <c r="A57" t="s">
        <v>728</v>
      </c>
      <c r="B57" s="140"/>
      <c r="G57" s="128"/>
      <c r="H57" s="128"/>
      <c r="I57" s="128"/>
      <c r="J57" s="128"/>
    </row>
    <row r="58" spans="1:10" x14ac:dyDescent="0.2">
      <c r="A58" s="128"/>
      <c r="B58" s="139"/>
      <c r="C58" s="128"/>
      <c r="D58" s="128"/>
      <c r="E58" s="128"/>
      <c r="F58" s="128"/>
      <c r="G58" s="128"/>
      <c r="H58" s="128"/>
      <c r="I58" s="128"/>
      <c r="J58" s="128"/>
    </row>
    <row r="59" spans="1:10" x14ac:dyDescent="0.2">
      <c r="A59" t="s">
        <v>728</v>
      </c>
      <c r="B59" s="140"/>
      <c r="G59" s="128"/>
      <c r="H59" s="128"/>
      <c r="I59" s="128"/>
      <c r="J59" s="128"/>
    </row>
    <row r="60" spans="1:10" x14ac:dyDescent="0.2">
      <c r="A60" s="128"/>
      <c r="B60" s="139"/>
      <c r="C60" s="128"/>
      <c r="D60" s="128"/>
      <c r="E60" s="128"/>
      <c r="F60" s="128"/>
      <c r="G60" s="128"/>
      <c r="H60" s="128"/>
      <c r="I60" s="128"/>
      <c r="J60" s="128"/>
    </row>
    <row r="61" spans="1:10" x14ac:dyDescent="0.2">
      <c r="A61" s="128"/>
      <c r="B61" s="139"/>
      <c r="C61" s="128"/>
      <c r="D61" s="128"/>
      <c r="E61" s="128"/>
      <c r="F61" s="128"/>
      <c r="G61" s="128"/>
      <c r="H61" s="128"/>
      <c r="I61" s="128"/>
      <c r="J61" s="128"/>
    </row>
    <row r="62" spans="1:10" x14ac:dyDescent="0.2">
      <c r="A62" s="128"/>
      <c r="B62" s="139"/>
      <c r="C62" s="128"/>
      <c r="D62" s="128"/>
      <c r="E62" s="128"/>
      <c r="F62" s="128"/>
      <c r="G62" s="128"/>
      <c r="H62" s="128"/>
      <c r="I62" s="128"/>
      <c r="J62" s="128"/>
    </row>
    <row r="63" spans="1:10" x14ac:dyDescent="0.2">
      <c r="A63" s="128"/>
      <c r="B63" s="139"/>
      <c r="C63" s="128"/>
      <c r="D63" s="128"/>
      <c r="E63" s="128"/>
      <c r="F63" s="128"/>
      <c r="G63" s="128"/>
      <c r="H63" s="128"/>
      <c r="I63" s="128"/>
      <c r="J63" s="128"/>
    </row>
    <row r="64" spans="1:10" x14ac:dyDescent="0.2">
      <c r="A64" t="s">
        <v>728</v>
      </c>
      <c r="B64" s="140"/>
      <c r="G64" s="128"/>
      <c r="H64" s="128"/>
      <c r="I64" s="128"/>
      <c r="J64" s="128"/>
    </row>
    <row r="65" spans="1:10" x14ac:dyDescent="0.2">
      <c r="A65" t="s">
        <v>728</v>
      </c>
      <c r="B65" s="140"/>
      <c r="G65" s="128"/>
      <c r="H65" s="128"/>
      <c r="I65" s="128"/>
      <c r="J65" s="128"/>
    </row>
    <row r="66" spans="1:10" x14ac:dyDescent="0.2">
      <c r="A66" t="s">
        <v>728</v>
      </c>
      <c r="B66" s="140"/>
      <c r="G66" s="128"/>
      <c r="H66" s="128"/>
      <c r="I66" s="128"/>
      <c r="J66" s="136"/>
    </row>
    <row r="67" spans="1:10" x14ac:dyDescent="0.2">
      <c r="A67" t="s">
        <v>728</v>
      </c>
      <c r="B67" s="140"/>
      <c r="G67" s="128"/>
      <c r="H67" s="128"/>
      <c r="I67" s="128"/>
      <c r="J67" s="136"/>
    </row>
    <row r="68" spans="1:10" x14ac:dyDescent="0.2">
      <c r="A68" t="s">
        <v>728</v>
      </c>
      <c r="B68" s="140"/>
      <c r="G68" s="128"/>
      <c r="H68" s="128"/>
      <c r="I68" s="128"/>
      <c r="J68" s="136"/>
    </row>
    <row r="69" spans="1:10" x14ac:dyDescent="0.2">
      <c r="A69" s="128"/>
      <c r="B69" s="139"/>
      <c r="C69" s="128"/>
      <c r="D69" s="128"/>
      <c r="E69" s="128"/>
      <c r="F69" s="128"/>
      <c r="G69" s="128"/>
      <c r="H69" s="136"/>
      <c r="I69" s="128"/>
      <c r="J69" s="136"/>
    </row>
    <row r="70" spans="1:10" x14ac:dyDescent="0.2">
      <c r="A70" t="s">
        <v>728</v>
      </c>
      <c r="B70" s="140"/>
      <c r="G70" s="128"/>
      <c r="H70" s="138"/>
      <c r="I70" s="128"/>
      <c r="J70" s="136"/>
    </row>
    <row r="71" spans="1:10" x14ac:dyDescent="0.2">
      <c r="A71" t="s">
        <v>728</v>
      </c>
      <c r="B71" s="140"/>
      <c r="G71" s="128"/>
      <c r="H71" s="138"/>
      <c r="I71" s="128"/>
      <c r="J71" s="136"/>
    </row>
    <row r="72" spans="1:10" x14ac:dyDescent="0.2">
      <c r="A72" s="128"/>
      <c r="B72" s="139"/>
      <c r="C72" s="128"/>
      <c r="D72" s="128"/>
      <c r="E72" s="128"/>
      <c r="F72" s="128"/>
      <c r="G72" s="128"/>
      <c r="H72" s="128"/>
      <c r="I72" s="128"/>
      <c r="J72" s="136"/>
    </row>
    <row r="73" spans="1:10" x14ac:dyDescent="0.2">
      <c r="A73" s="128"/>
      <c r="B73" s="139"/>
      <c r="C73" s="128"/>
      <c r="D73" s="128"/>
      <c r="E73" s="128"/>
      <c r="F73" s="128"/>
      <c r="G73" s="128"/>
      <c r="H73" s="128"/>
      <c r="I73" s="128"/>
      <c r="J73" s="136"/>
    </row>
    <row r="74" spans="1:10" x14ac:dyDescent="0.2">
      <c r="A74" t="s">
        <v>728</v>
      </c>
      <c r="B74" s="140"/>
      <c r="G74" s="128"/>
      <c r="H74" s="128"/>
      <c r="I74" s="128"/>
      <c r="J74" s="128"/>
    </row>
    <row r="75" spans="1:10" x14ac:dyDescent="0.2">
      <c r="A75" t="s">
        <v>728</v>
      </c>
      <c r="B75" s="140"/>
      <c r="G75" s="128"/>
      <c r="H75" s="128"/>
      <c r="I75" s="128"/>
      <c r="J75" s="138"/>
    </row>
    <row r="76" spans="1:10" x14ac:dyDescent="0.2">
      <c r="A76" t="s">
        <v>728</v>
      </c>
      <c r="B76" s="140"/>
      <c r="G76" s="128"/>
      <c r="H76" s="128"/>
      <c r="I76" s="128"/>
      <c r="J76" s="128"/>
    </row>
    <row r="77" spans="1:10" x14ac:dyDescent="0.2">
      <c r="A77" t="s">
        <v>728</v>
      </c>
      <c r="B77" s="140"/>
      <c r="G77" s="128"/>
      <c r="H77" s="128"/>
      <c r="I77" s="128"/>
      <c r="J77" s="128"/>
    </row>
    <row r="78" spans="1:10" x14ac:dyDescent="0.2">
      <c r="A78" t="s">
        <v>728</v>
      </c>
      <c r="B78" s="140"/>
      <c r="G78" s="128"/>
      <c r="H78" s="128"/>
      <c r="I78" s="128"/>
      <c r="J78" s="128"/>
    </row>
    <row r="79" spans="1:10" x14ac:dyDescent="0.2">
      <c r="A79" t="s">
        <v>728</v>
      </c>
      <c r="B79" s="140"/>
      <c r="G79" s="128"/>
      <c r="H79" s="128"/>
      <c r="I79" s="128"/>
      <c r="J79" s="128"/>
    </row>
    <row r="80" spans="1:10" x14ac:dyDescent="0.2">
      <c r="A80" t="s">
        <v>728</v>
      </c>
      <c r="B80" s="140"/>
      <c r="G80" s="128"/>
      <c r="H80" s="128"/>
      <c r="I80" s="128"/>
      <c r="J80" s="128"/>
    </row>
    <row r="81" spans="1:10" x14ac:dyDescent="0.2">
      <c r="A81" t="s">
        <v>728</v>
      </c>
      <c r="B81" s="140"/>
      <c r="G81" s="128"/>
      <c r="H81" s="128"/>
      <c r="I81" s="128"/>
      <c r="J81" s="128"/>
    </row>
    <row r="82" spans="1:10" x14ac:dyDescent="0.2">
      <c r="A82" t="s">
        <v>728</v>
      </c>
      <c r="B82" s="140"/>
      <c r="G82" s="128"/>
      <c r="H82" s="128"/>
      <c r="I82" s="128"/>
      <c r="J82" s="128"/>
    </row>
    <row r="83" spans="1:10" x14ac:dyDescent="0.2">
      <c r="A83" t="s">
        <v>728</v>
      </c>
      <c r="B83" s="140"/>
      <c r="G83" s="128"/>
      <c r="H83" s="128"/>
      <c r="I83" s="128"/>
      <c r="J83" s="128"/>
    </row>
    <row r="84" spans="1:10" x14ac:dyDescent="0.2">
      <c r="A84" t="s">
        <v>728</v>
      </c>
      <c r="B84" s="140"/>
      <c r="G84" s="128"/>
      <c r="H84" s="128"/>
      <c r="I84" s="128"/>
      <c r="J84" s="128"/>
    </row>
    <row r="85" spans="1:10" x14ac:dyDescent="0.2">
      <c r="A85" t="s">
        <v>728</v>
      </c>
      <c r="B85" s="140"/>
      <c r="G85" s="128"/>
      <c r="H85" s="128"/>
      <c r="I85" s="128"/>
      <c r="J85" s="128"/>
    </row>
    <row r="86" spans="1:10" x14ac:dyDescent="0.2">
      <c r="A86" t="s">
        <v>728</v>
      </c>
      <c r="B86" s="140"/>
      <c r="G86" s="128"/>
      <c r="H86" s="128"/>
      <c r="I86" s="128"/>
      <c r="J86" s="128"/>
    </row>
    <row r="87" spans="1:10" x14ac:dyDescent="0.2">
      <c r="A87" s="128"/>
      <c r="B87" s="139"/>
      <c r="C87" s="128"/>
      <c r="D87" s="128"/>
      <c r="E87" s="128"/>
      <c r="F87" s="128"/>
      <c r="G87" s="128"/>
      <c r="H87" s="128"/>
      <c r="I87" s="128"/>
      <c r="J87" s="128"/>
    </row>
    <row r="88" spans="1:10" x14ac:dyDescent="0.2">
      <c r="A88" s="128"/>
      <c r="B88" s="139"/>
      <c r="C88" s="128"/>
      <c r="D88" s="128"/>
      <c r="E88" s="128"/>
      <c r="F88" s="128"/>
      <c r="G88" s="128"/>
      <c r="H88" s="128"/>
      <c r="I88" s="128"/>
      <c r="J88" s="128"/>
    </row>
    <row r="89" spans="1:10" x14ac:dyDescent="0.2">
      <c r="A89" s="128"/>
      <c r="B89" s="139"/>
      <c r="C89" s="128"/>
      <c r="D89" s="128"/>
      <c r="E89" s="128"/>
      <c r="F89" s="128"/>
      <c r="G89" s="128"/>
      <c r="H89" s="128"/>
      <c r="I89" s="128"/>
      <c r="J89" s="128"/>
    </row>
    <row r="90" spans="1:10" x14ac:dyDescent="0.2">
      <c r="A90" t="s">
        <v>728</v>
      </c>
      <c r="B90" s="140"/>
      <c r="G90" s="128"/>
      <c r="H90" s="128"/>
      <c r="I90" s="128"/>
      <c r="J90" s="128"/>
    </row>
    <row r="91" spans="1:10" x14ac:dyDescent="0.2">
      <c r="A91" t="s">
        <v>728</v>
      </c>
      <c r="B91" s="140"/>
      <c r="G91" s="128"/>
      <c r="H91" s="128"/>
      <c r="I91" s="128"/>
      <c r="J91" s="128"/>
    </row>
    <row r="92" spans="1:10" x14ac:dyDescent="0.2">
      <c r="A92" t="s">
        <v>728</v>
      </c>
      <c r="B92" s="140"/>
      <c r="G92" s="128"/>
      <c r="H92" s="128"/>
      <c r="I92" s="128"/>
      <c r="J92" s="128"/>
    </row>
    <row r="93" spans="1:10" x14ac:dyDescent="0.2">
      <c r="A93" t="s">
        <v>728</v>
      </c>
      <c r="B93" s="140"/>
      <c r="G93" s="128"/>
      <c r="H93" s="128"/>
      <c r="I93" s="128"/>
      <c r="J93" s="128"/>
    </row>
    <row r="94" spans="1:10" x14ac:dyDescent="0.2">
      <c r="A94" s="128"/>
      <c r="B94" s="139"/>
      <c r="C94" s="128"/>
      <c r="D94" s="128"/>
      <c r="E94" s="128"/>
      <c r="F94" s="128"/>
      <c r="G94" s="128"/>
      <c r="H94" s="128"/>
      <c r="I94" s="128"/>
      <c r="J94" s="128"/>
    </row>
    <row r="95" spans="1:10" x14ac:dyDescent="0.2">
      <c r="A95" s="128"/>
      <c r="B95" s="139"/>
      <c r="C95" s="128"/>
      <c r="D95" s="128"/>
      <c r="E95" s="128"/>
      <c r="F95" s="128"/>
      <c r="G95" s="128"/>
      <c r="H95" s="128"/>
      <c r="I95" s="128"/>
      <c r="J95" s="128"/>
    </row>
    <row r="96" spans="1:10" x14ac:dyDescent="0.2">
      <c r="A96" t="s">
        <v>728</v>
      </c>
      <c r="B96" s="140"/>
      <c r="G96" s="128"/>
      <c r="H96" s="128"/>
      <c r="I96" s="128"/>
      <c r="J96" s="128"/>
    </row>
    <row r="97" spans="1:10" x14ac:dyDescent="0.2">
      <c r="A97" t="s">
        <v>728</v>
      </c>
      <c r="B97" s="140"/>
      <c r="G97" s="128"/>
      <c r="H97" s="128"/>
      <c r="I97" s="128"/>
      <c r="J97" s="136"/>
    </row>
    <row r="98" spans="1:10" x14ac:dyDescent="0.2">
      <c r="A98" s="128"/>
      <c r="B98" s="139"/>
      <c r="C98" s="128"/>
      <c r="D98" s="128"/>
      <c r="E98" s="128"/>
      <c r="F98" s="128"/>
      <c r="G98" s="128"/>
      <c r="H98" s="128"/>
      <c r="I98" s="128"/>
      <c r="J98" s="128"/>
    </row>
    <row r="99" spans="1:10" x14ac:dyDescent="0.2">
      <c r="A99" s="128"/>
      <c r="B99" s="139"/>
      <c r="C99" s="128"/>
      <c r="D99" s="128"/>
      <c r="E99" s="128"/>
      <c r="F99" s="128"/>
      <c r="G99" s="128"/>
      <c r="H99" s="128"/>
      <c r="I99" s="128"/>
      <c r="J99" s="128"/>
    </row>
    <row r="100" spans="1:10" x14ac:dyDescent="0.2">
      <c r="A100" s="128"/>
      <c r="B100" s="139"/>
      <c r="C100" s="128"/>
      <c r="D100" s="128"/>
      <c r="E100" s="128"/>
      <c r="F100" s="128"/>
      <c r="G100" s="128"/>
      <c r="H100" s="128"/>
      <c r="I100" s="128"/>
      <c r="J100" s="128"/>
    </row>
    <row r="101" spans="1:10" x14ac:dyDescent="0.2">
      <c r="A101" s="128"/>
      <c r="B101" s="139"/>
      <c r="C101" s="128"/>
      <c r="D101" s="128"/>
      <c r="E101" s="128"/>
      <c r="F101" s="128"/>
      <c r="G101" s="128"/>
      <c r="H101" s="128"/>
      <c r="I101" s="128"/>
      <c r="J101" s="128"/>
    </row>
    <row r="102" spans="1:10" x14ac:dyDescent="0.2">
      <c r="A102" s="128"/>
      <c r="B102" s="139"/>
      <c r="C102" s="128"/>
      <c r="D102" s="128"/>
      <c r="E102" s="128"/>
      <c r="F102" s="128"/>
      <c r="G102" s="128"/>
      <c r="H102" s="128"/>
      <c r="I102" s="128"/>
      <c r="J102" s="128"/>
    </row>
    <row r="103" spans="1:10" x14ac:dyDescent="0.2">
      <c r="A103" s="128"/>
      <c r="B103" s="139"/>
      <c r="C103" s="128"/>
      <c r="D103" s="128"/>
      <c r="E103" s="128"/>
      <c r="F103" s="128"/>
      <c r="G103" s="128"/>
      <c r="H103" s="128"/>
      <c r="I103" s="128"/>
      <c r="J103" s="128"/>
    </row>
    <row r="104" spans="1:10" x14ac:dyDescent="0.2">
      <c r="A104" t="s">
        <v>728</v>
      </c>
      <c r="B104" s="140"/>
      <c r="G104" s="128"/>
      <c r="H104" s="128"/>
      <c r="I104" s="128"/>
      <c r="J104" s="128"/>
    </row>
    <row r="105" spans="1:10" x14ac:dyDescent="0.2">
      <c r="A105" s="128"/>
      <c r="B105" s="139"/>
      <c r="C105" s="128"/>
      <c r="D105" s="128"/>
      <c r="E105" s="128"/>
      <c r="F105" s="128"/>
      <c r="G105" s="128"/>
      <c r="H105" s="128"/>
      <c r="I105" s="128"/>
      <c r="J105" s="128"/>
    </row>
    <row r="106" spans="1:10" x14ac:dyDescent="0.2">
      <c r="A106" s="128"/>
      <c r="B106" s="139"/>
      <c r="C106" s="128"/>
      <c r="D106" s="128"/>
      <c r="E106" s="128"/>
      <c r="F106" s="128"/>
      <c r="G106" s="128"/>
      <c r="H106" s="128"/>
      <c r="I106" s="128"/>
      <c r="J106" s="128"/>
    </row>
    <row r="107" spans="1:10" x14ac:dyDescent="0.2">
      <c r="A107" s="128"/>
      <c r="B107" s="139"/>
      <c r="C107" s="128"/>
      <c r="D107" s="128"/>
      <c r="E107" s="128"/>
      <c r="F107" s="128"/>
      <c r="G107" s="128"/>
      <c r="H107" s="128"/>
      <c r="I107" s="128"/>
      <c r="J107" s="136"/>
    </row>
    <row r="108" spans="1:10" x14ac:dyDescent="0.2">
      <c r="A108" s="128"/>
      <c r="B108" s="139"/>
      <c r="C108" s="128"/>
      <c r="D108" s="128"/>
      <c r="E108" s="128"/>
      <c r="F108" s="128"/>
      <c r="G108" s="128"/>
      <c r="H108" s="128"/>
      <c r="I108" s="128"/>
      <c r="J108" s="136"/>
    </row>
    <row r="109" spans="1:10" x14ac:dyDescent="0.2">
      <c r="A109" s="128"/>
      <c r="B109" s="139"/>
      <c r="C109" s="128"/>
      <c r="D109" s="128"/>
      <c r="E109" s="128"/>
      <c r="F109" s="128"/>
      <c r="G109" s="128"/>
      <c r="H109" s="128"/>
      <c r="I109" s="128"/>
      <c r="J109" s="136"/>
    </row>
    <row r="110" spans="1:10" x14ac:dyDescent="0.2">
      <c r="A110" t="s">
        <v>728</v>
      </c>
      <c r="B110" s="140"/>
      <c r="G110" s="128"/>
      <c r="H110" s="128"/>
      <c r="I110" s="128"/>
      <c r="J110" s="136"/>
    </row>
    <row r="111" spans="1:10" x14ac:dyDescent="0.2">
      <c r="A111" s="128"/>
      <c r="B111" s="139"/>
      <c r="C111" s="128"/>
      <c r="D111" s="128"/>
      <c r="E111" s="128"/>
      <c r="F111" s="128"/>
      <c r="G111" s="128"/>
      <c r="H111" s="128"/>
      <c r="I111" s="128"/>
      <c r="J111" s="128"/>
    </row>
    <row r="112" spans="1:10" x14ac:dyDescent="0.2">
      <c r="A112" s="128"/>
      <c r="B112" s="139"/>
      <c r="C112" s="128"/>
      <c r="D112" s="128"/>
      <c r="E112" s="128"/>
      <c r="F112" s="128"/>
      <c r="G112" s="128"/>
      <c r="H112" s="128"/>
      <c r="I112" s="128"/>
      <c r="J112" s="128"/>
    </row>
    <row r="113" spans="1:10" x14ac:dyDescent="0.2">
      <c r="A113" s="128"/>
      <c r="B113" s="139"/>
      <c r="C113" s="128"/>
      <c r="D113" s="128"/>
      <c r="E113" s="128"/>
      <c r="F113" s="128"/>
      <c r="G113" s="128"/>
      <c r="H113" s="128"/>
      <c r="J113" s="128"/>
    </row>
    <row r="114" spans="1:10" x14ac:dyDescent="0.2">
      <c r="A114" s="128"/>
      <c r="B114" s="139"/>
      <c r="C114" s="128"/>
      <c r="D114" s="128"/>
      <c r="E114" s="128"/>
      <c r="F114" s="128"/>
      <c r="G114" s="128"/>
      <c r="H114" s="136"/>
      <c r="J114" s="136"/>
    </row>
    <row r="115" spans="1:10" x14ac:dyDescent="0.2">
      <c r="A115" t="s">
        <v>728</v>
      </c>
      <c r="B115" s="140"/>
      <c r="H115" s="136"/>
      <c r="J115" s="136"/>
    </row>
    <row r="116" spans="1:10" x14ac:dyDescent="0.2">
      <c r="A116" t="s">
        <v>728</v>
      </c>
      <c r="B116" s="140"/>
      <c r="H116" s="136"/>
      <c r="J116" s="136"/>
    </row>
    <row r="117" spans="1:10" x14ac:dyDescent="0.2">
      <c r="A117" t="s">
        <v>728</v>
      </c>
      <c r="B117" s="140"/>
      <c r="H117" s="136"/>
      <c r="J117" s="136"/>
    </row>
    <row r="118" spans="1:10" x14ac:dyDescent="0.2">
      <c r="A118" t="s">
        <v>728</v>
      </c>
      <c r="B118" s="140"/>
      <c r="H118" s="136"/>
      <c r="J118" s="128"/>
    </row>
    <row r="119" spans="1:10" x14ac:dyDescent="0.2">
      <c r="A119" t="s">
        <v>728</v>
      </c>
      <c r="B119" s="140"/>
      <c r="H119" s="136"/>
      <c r="J119" s="128"/>
    </row>
    <row r="120" spans="1:10" x14ac:dyDescent="0.2">
      <c r="A120" t="s">
        <v>728</v>
      </c>
      <c r="B120" s="140"/>
      <c r="H120" s="136"/>
      <c r="J120" s="128"/>
    </row>
    <row r="121" spans="1:10" x14ac:dyDescent="0.2">
      <c r="A121" t="s">
        <v>728</v>
      </c>
      <c r="B121" s="140"/>
      <c r="H121" s="136"/>
      <c r="J121" s="128"/>
    </row>
    <row r="122" spans="1:10" x14ac:dyDescent="0.2">
      <c r="A122" t="s">
        <v>728</v>
      </c>
      <c r="B122" s="140"/>
      <c r="H122" s="136"/>
      <c r="J122" s="128"/>
    </row>
    <row r="123" spans="1:10" x14ac:dyDescent="0.2">
      <c r="A123" t="s">
        <v>728</v>
      </c>
      <c r="B123" s="140"/>
      <c r="H123" s="136"/>
      <c r="J123" s="128"/>
    </row>
    <row r="124" spans="1:10" x14ac:dyDescent="0.2">
      <c r="A124" t="s">
        <v>728</v>
      </c>
      <c r="B124" s="140"/>
      <c r="H124" s="136"/>
      <c r="J124" s="128"/>
    </row>
    <row r="125" spans="1:10" x14ac:dyDescent="0.2">
      <c r="A125" t="s">
        <v>728</v>
      </c>
      <c r="B125" s="140"/>
      <c r="H125" s="136"/>
      <c r="J125" s="128"/>
    </row>
    <row r="126" spans="1:10" x14ac:dyDescent="0.2">
      <c r="A126" t="s">
        <v>728</v>
      </c>
      <c r="B126" s="140"/>
      <c r="H126" s="136"/>
      <c r="J126" s="128"/>
    </row>
    <row r="127" spans="1:10" x14ac:dyDescent="0.2">
      <c r="A127" t="s">
        <v>728</v>
      </c>
      <c r="B127" s="140"/>
      <c r="H127" s="136"/>
      <c r="J127" s="128"/>
    </row>
    <row r="128" spans="1:10" x14ac:dyDescent="0.2">
      <c r="A128" t="s">
        <v>728</v>
      </c>
      <c r="B128" s="140"/>
      <c r="H128" s="136"/>
      <c r="J128" s="128"/>
    </row>
    <row r="129" spans="1:10" x14ac:dyDescent="0.2">
      <c r="A129" t="s">
        <v>728</v>
      </c>
      <c r="B129" s="140"/>
      <c r="H129" s="136"/>
      <c r="J129" s="128"/>
    </row>
    <row r="130" spans="1:10" x14ac:dyDescent="0.2">
      <c r="A130" t="s">
        <v>728</v>
      </c>
      <c r="B130" s="140"/>
      <c r="G130" s="128"/>
      <c r="H130" s="136"/>
      <c r="I130" s="128"/>
      <c r="J130" s="128"/>
    </row>
    <row r="131" spans="1:10" x14ac:dyDescent="0.2">
      <c r="A131" t="s">
        <v>728</v>
      </c>
      <c r="B131" s="140"/>
      <c r="G131" s="128"/>
      <c r="H131" s="128"/>
      <c r="I131" s="128"/>
      <c r="J131" s="128"/>
    </row>
    <row r="132" spans="1:10" x14ac:dyDescent="0.2">
      <c r="A132" t="s">
        <v>728</v>
      </c>
      <c r="B132" s="140"/>
      <c r="G132" s="128"/>
      <c r="H132" s="136"/>
      <c r="I132" s="128"/>
      <c r="J132" s="128"/>
    </row>
    <row r="133" spans="1:10" x14ac:dyDescent="0.2">
      <c r="A133" t="s">
        <v>728</v>
      </c>
      <c r="B133" s="140"/>
      <c r="G133" s="128"/>
      <c r="H133" s="128"/>
      <c r="I133" s="128"/>
      <c r="J133" s="128"/>
    </row>
    <row r="134" spans="1:10" x14ac:dyDescent="0.2">
      <c r="A134" t="s">
        <v>728</v>
      </c>
      <c r="B134" s="140"/>
      <c r="G134" s="128"/>
      <c r="H134" s="128"/>
      <c r="I134" s="128"/>
      <c r="J134" s="128"/>
    </row>
    <row r="135" spans="1:10" x14ac:dyDescent="0.2">
      <c r="A135" t="s">
        <v>728</v>
      </c>
      <c r="B135" s="140"/>
      <c r="G135" s="128"/>
      <c r="H135" s="136"/>
      <c r="I135" s="128"/>
      <c r="J135" s="136"/>
    </row>
    <row r="136" spans="1:10" x14ac:dyDescent="0.2">
      <c r="A136" t="s">
        <v>728</v>
      </c>
      <c r="B136" s="140"/>
      <c r="G136" s="128"/>
      <c r="H136" s="136"/>
      <c r="I136" s="128"/>
      <c r="J136" s="128"/>
    </row>
    <row r="137" spans="1:10" x14ac:dyDescent="0.2">
      <c r="A137" t="s">
        <v>728</v>
      </c>
      <c r="B137" s="140"/>
      <c r="G137" s="128"/>
      <c r="H137" s="136"/>
      <c r="I137" s="128"/>
      <c r="J137" s="128"/>
    </row>
    <row r="138" spans="1:10" x14ac:dyDescent="0.2">
      <c r="A138" t="s">
        <v>728</v>
      </c>
      <c r="B138" s="140"/>
      <c r="G138" s="128"/>
      <c r="H138" s="136"/>
      <c r="I138" s="128"/>
      <c r="J138" s="128"/>
    </row>
    <row r="139" spans="1:10" x14ac:dyDescent="0.2">
      <c r="A139" t="s">
        <v>728</v>
      </c>
      <c r="B139" s="140"/>
      <c r="G139" s="128"/>
      <c r="H139" s="136"/>
      <c r="I139" s="128"/>
      <c r="J139" s="128"/>
    </row>
    <row r="140" spans="1:10" x14ac:dyDescent="0.2">
      <c r="A140" t="s">
        <v>728</v>
      </c>
      <c r="B140" s="140"/>
      <c r="G140" s="128"/>
      <c r="H140" s="136"/>
      <c r="I140" s="128"/>
      <c r="J140" s="128"/>
    </row>
    <row r="141" spans="1:10" x14ac:dyDescent="0.2">
      <c r="A141" t="s">
        <v>728</v>
      </c>
      <c r="B141" s="140"/>
      <c r="G141" s="128"/>
      <c r="H141" s="136"/>
      <c r="I141" s="128"/>
      <c r="J141" s="128"/>
    </row>
    <row r="142" spans="1:10" x14ac:dyDescent="0.2">
      <c r="A142" s="128"/>
      <c r="B142" s="139"/>
      <c r="C142" s="128"/>
      <c r="D142" s="128"/>
      <c r="E142" s="128"/>
      <c r="F142" s="128"/>
      <c r="G142" s="128"/>
      <c r="H142" s="128"/>
      <c r="I142" s="128"/>
      <c r="J142" s="128"/>
    </row>
    <row r="143" spans="1:10" x14ac:dyDescent="0.2">
      <c r="A143" s="128"/>
      <c r="B143" s="139"/>
      <c r="C143" s="128"/>
      <c r="D143" s="128"/>
      <c r="E143" s="128"/>
      <c r="F143" s="128"/>
      <c r="G143" s="128"/>
      <c r="H143" s="128"/>
      <c r="I143" s="128"/>
      <c r="J143" s="128"/>
    </row>
    <row r="144" spans="1:10" x14ac:dyDescent="0.2">
      <c r="A144" s="128"/>
      <c r="B144" s="139"/>
      <c r="C144" s="128"/>
      <c r="D144" s="128"/>
      <c r="E144" s="128"/>
      <c r="F144" s="128"/>
      <c r="G144" s="128"/>
      <c r="H144" s="136"/>
      <c r="I144" s="128"/>
      <c r="J144" s="136"/>
    </row>
    <row r="145" spans="1:10" x14ac:dyDescent="0.2">
      <c r="A145" s="128"/>
      <c r="B145" s="139"/>
      <c r="C145" s="128"/>
      <c r="D145" s="128"/>
      <c r="E145" s="128"/>
      <c r="F145" s="128"/>
      <c r="G145" s="128"/>
      <c r="H145" s="136"/>
      <c r="I145" s="128"/>
      <c r="J145" s="136"/>
    </row>
    <row r="146" spans="1:10" x14ac:dyDescent="0.2">
      <c r="A146" s="128"/>
      <c r="B146" s="139"/>
      <c r="C146" s="128"/>
      <c r="D146" s="128"/>
      <c r="E146" s="128"/>
      <c r="F146" s="128"/>
      <c r="G146" s="128"/>
      <c r="H146" s="136"/>
      <c r="I146" s="128"/>
      <c r="J146" s="136"/>
    </row>
    <row r="147" spans="1:10" x14ac:dyDescent="0.2">
      <c r="A147" s="128"/>
      <c r="B147" s="139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39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39"/>
      <c r="C149" s="128"/>
      <c r="D149" s="128"/>
      <c r="E149" s="128"/>
      <c r="F149" s="128"/>
      <c r="G149" s="128"/>
      <c r="H149" s="136"/>
      <c r="I149" s="128"/>
      <c r="J149" s="136"/>
    </row>
    <row r="150" spans="1:10" x14ac:dyDescent="0.2">
      <c r="A150" s="128"/>
      <c r="B150" s="139"/>
      <c r="C150" s="128"/>
      <c r="D150" s="128"/>
      <c r="E150" s="128"/>
      <c r="F150" s="128"/>
      <c r="G150" s="128"/>
      <c r="H150" s="136"/>
      <c r="I150" s="128"/>
      <c r="J150" s="136"/>
    </row>
    <row r="151" spans="1:10" x14ac:dyDescent="0.2">
      <c r="A151" s="128"/>
      <c r="B151" s="139"/>
      <c r="C151" s="128"/>
      <c r="D151" s="128"/>
      <c r="E151" s="128"/>
      <c r="F151" s="128"/>
      <c r="G151" s="128"/>
      <c r="H151" s="136"/>
      <c r="I151" s="128"/>
      <c r="J151" s="136"/>
    </row>
    <row r="152" spans="1:10" x14ac:dyDescent="0.2">
      <c r="A152" s="128"/>
      <c r="B152" s="139"/>
      <c r="C152" s="128"/>
      <c r="D152" s="128"/>
      <c r="E152" s="128"/>
      <c r="F152" s="128"/>
      <c r="G152" s="128"/>
      <c r="H152" s="136"/>
      <c r="I152" s="128"/>
      <c r="J152" s="136"/>
    </row>
    <row r="153" spans="1:10" x14ac:dyDescent="0.2">
      <c r="A153" s="128"/>
      <c r="B153" s="139"/>
      <c r="C153" s="128"/>
      <c r="D153" s="128"/>
      <c r="E153" s="128"/>
      <c r="F153" s="128"/>
      <c r="G153" s="128"/>
      <c r="H153" s="136"/>
      <c r="I153" s="128"/>
      <c r="J153" s="136"/>
    </row>
    <row r="154" spans="1:10" x14ac:dyDescent="0.2">
      <c r="A154" s="128"/>
      <c r="B154" s="139"/>
      <c r="C154" s="128"/>
      <c r="D154" s="128"/>
      <c r="E154" s="128"/>
      <c r="F154" s="128"/>
      <c r="G154" s="128"/>
      <c r="H154" s="136"/>
      <c r="I154" s="128"/>
      <c r="J154" s="128"/>
    </row>
    <row r="155" spans="1:10" x14ac:dyDescent="0.2">
      <c r="A155" s="128"/>
      <c r="B155" s="139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39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39"/>
      <c r="C157" s="128"/>
      <c r="D157" s="128"/>
      <c r="E157" s="128"/>
      <c r="F157" s="128"/>
      <c r="G157" s="128"/>
      <c r="H157" s="136"/>
      <c r="I157" s="128"/>
      <c r="J157" s="136"/>
    </row>
    <row r="158" spans="1:10" x14ac:dyDescent="0.2">
      <c r="A158" s="128"/>
      <c r="B158" s="139"/>
      <c r="C158" s="128"/>
      <c r="D158" s="128"/>
      <c r="E158" s="128"/>
      <c r="F158" s="128"/>
      <c r="G158" s="128"/>
      <c r="H158" s="136"/>
      <c r="I158" s="128"/>
      <c r="J158" s="136"/>
    </row>
    <row r="159" spans="1:10" x14ac:dyDescent="0.2">
      <c r="A159" s="128"/>
      <c r="B159" s="139"/>
      <c r="C159" s="128"/>
      <c r="D159" s="128"/>
      <c r="E159" s="128"/>
      <c r="F159" s="128"/>
      <c r="G159" s="128"/>
      <c r="H159" s="128"/>
      <c r="I159" s="128"/>
      <c r="J159" s="128"/>
    </row>
    <row r="160" spans="1:10" x14ac:dyDescent="0.2">
      <c r="A160" s="128"/>
      <c r="B160" s="139"/>
      <c r="C160" s="128"/>
      <c r="D160" s="128"/>
      <c r="E160" s="128"/>
      <c r="F160" s="128"/>
      <c r="G160" s="128"/>
      <c r="H160" s="128"/>
      <c r="I160" s="128"/>
      <c r="J160" s="128"/>
    </row>
    <row r="161" spans="1:10" x14ac:dyDescent="0.2">
      <c r="A161" s="128"/>
      <c r="B161" s="139"/>
      <c r="C161" s="128"/>
      <c r="D161" s="128"/>
      <c r="E161" s="128"/>
      <c r="F161" s="128"/>
      <c r="G161" s="128"/>
      <c r="H161" s="128"/>
      <c r="I161" s="128"/>
      <c r="J161" s="128"/>
    </row>
    <row r="162" spans="1:10" x14ac:dyDescent="0.2">
      <c r="A162" s="128"/>
      <c r="B162" s="139"/>
      <c r="C162" s="128"/>
      <c r="D162" s="128"/>
      <c r="E162" s="128"/>
      <c r="F162" s="128"/>
      <c r="G162" s="128"/>
      <c r="H162" s="128"/>
      <c r="I162" s="128"/>
      <c r="J162" s="128"/>
    </row>
    <row r="163" spans="1:10" x14ac:dyDescent="0.2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1:10" x14ac:dyDescent="0.2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1:10" x14ac:dyDescent="0.2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1:10" x14ac:dyDescent="0.2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1:10" x14ac:dyDescent="0.2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1:10" x14ac:dyDescent="0.2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1:10" x14ac:dyDescent="0.2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</row>
  </sheetData>
  <autoFilter ref="A1:I14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K97"/>
  <sheetViews>
    <sheetView zoomScale="85" zoomScaleNormal="85" workbookViewId="0">
      <selection activeCell="D35" activeCellId="2" sqref="D58 D57 D35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A2" t="s">
        <v>728</v>
      </c>
      <c r="B2" s="140">
        <v>42979</v>
      </c>
      <c r="C2" t="s">
        <v>702</v>
      </c>
      <c r="D2">
        <v>2609.16</v>
      </c>
      <c r="E2" t="s">
        <v>703</v>
      </c>
      <c r="F2" t="s">
        <v>704</v>
      </c>
      <c r="I2" t="s">
        <v>977</v>
      </c>
      <c r="K2" s="128"/>
    </row>
    <row r="3" spans="1:11" hidden="1" x14ac:dyDescent="0.2">
      <c r="A3" t="s">
        <v>728</v>
      </c>
      <c r="B3" s="140">
        <v>42979</v>
      </c>
      <c r="C3" t="s">
        <v>702</v>
      </c>
      <c r="D3">
        <v>482.56</v>
      </c>
      <c r="E3" t="s">
        <v>659</v>
      </c>
      <c r="F3" t="s">
        <v>709</v>
      </c>
      <c r="I3" t="s">
        <v>977</v>
      </c>
      <c r="K3" s="128"/>
    </row>
    <row r="4" spans="1:11" hidden="1" x14ac:dyDescent="0.2">
      <c r="A4" t="s">
        <v>728</v>
      </c>
      <c r="B4" s="140">
        <v>42979</v>
      </c>
      <c r="C4" t="s">
        <v>702</v>
      </c>
      <c r="D4">
        <v>464</v>
      </c>
      <c r="E4" t="s">
        <v>659</v>
      </c>
      <c r="F4" t="s">
        <v>723</v>
      </c>
      <c r="I4" t="s">
        <v>977</v>
      </c>
      <c r="K4" s="128"/>
    </row>
    <row r="5" spans="1:11" hidden="1" x14ac:dyDescent="0.2">
      <c r="A5" t="s">
        <v>728</v>
      </c>
      <c r="B5" s="140">
        <v>42979</v>
      </c>
      <c r="C5" t="s">
        <v>702</v>
      </c>
      <c r="D5">
        <v>454.72</v>
      </c>
      <c r="E5" t="s">
        <v>659</v>
      </c>
      <c r="F5" t="s">
        <v>721</v>
      </c>
      <c r="I5" t="s">
        <v>977</v>
      </c>
      <c r="K5" s="128"/>
    </row>
    <row r="6" spans="1:11" hidden="1" x14ac:dyDescent="0.2">
      <c r="A6" t="s">
        <v>728</v>
      </c>
      <c r="B6" s="140">
        <v>42979</v>
      </c>
      <c r="C6" t="s">
        <v>702</v>
      </c>
      <c r="D6">
        <v>428.3</v>
      </c>
      <c r="E6" t="s">
        <v>659</v>
      </c>
      <c r="F6" t="s">
        <v>726</v>
      </c>
      <c r="I6" t="s">
        <v>977</v>
      </c>
      <c r="K6" s="128"/>
    </row>
    <row r="7" spans="1:11" hidden="1" x14ac:dyDescent="0.2">
      <c r="A7" t="s">
        <v>728</v>
      </c>
      <c r="B7" s="140">
        <v>42979</v>
      </c>
      <c r="C7" t="s">
        <v>702</v>
      </c>
      <c r="D7">
        <v>357.54</v>
      </c>
      <c r="E7" t="s">
        <v>659</v>
      </c>
      <c r="F7" t="s">
        <v>722</v>
      </c>
      <c r="I7" t="s">
        <v>977</v>
      </c>
      <c r="K7" s="128"/>
    </row>
    <row r="8" spans="1:11" hidden="1" x14ac:dyDescent="0.2">
      <c r="A8" t="s">
        <v>728</v>
      </c>
      <c r="B8" s="140">
        <v>42979</v>
      </c>
      <c r="C8" t="s">
        <v>702</v>
      </c>
      <c r="D8">
        <v>345.3</v>
      </c>
      <c r="E8" t="s">
        <v>659</v>
      </c>
      <c r="F8" t="s">
        <v>725</v>
      </c>
      <c r="I8" t="s">
        <v>977</v>
      </c>
      <c r="K8" s="128"/>
    </row>
    <row r="9" spans="1:11" hidden="1" x14ac:dyDescent="0.2">
      <c r="A9" t="s">
        <v>728</v>
      </c>
      <c r="B9" s="140">
        <v>42979</v>
      </c>
      <c r="C9" t="s">
        <v>702</v>
      </c>
      <c r="D9">
        <v>324.72000000000003</v>
      </c>
      <c r="E9" t="s">
        <v>659</v>
      </c>
      <c r="F9" t="s">
        <v>724</v>
      </c>
      <c r="I9" t="s">
        <v>977</v>
      </c>
      <c r="K9" s="128"/>
    </row>
    <row r="10" spans="1:11" hidden="1" x14ac:dyDescent="0.2">
      <c r="A10" t="s">
        <v>728</v>
      </c>
      <c r="B10" s="140">
        <v>42979</v>
      </c>
      <c r="C10" t="s">
        <v>702</v>
      </c>
      <c r="D10">
        <v>286.89999999999998</v>
      </c>
      <c r="E10" t="s">
        <v>659</v>
      </c>
      <c r="F10" t="s">
        <v>810</v>
      </c>
      <c r="I10" t="s">
        <v>977</v>
      </c>
      <c r="K10" s="128"/>
    </row>
    <row r="11" spans="1:11" hidden="1" x14ac:dyDescent="0.2">
      <c r="A11" t="s">
        <v>728</v>
      </c>
      <c r="B11" s="140">
        <v>42979</v>
      </c>
      <c r="C11" t="s">
        <v>702</v>
      </c>
      <c r="D11">
        <v>222.17</v>
      </c>
      <c r="E11" t="s">
        <v>659</v>
      </c>
      <c r="F11" t="s">
        <v>734</v>
      </c>
      <c r="I11" t="s">
        <v>977</v>
      </c>
      <c r="K11" s="128"/>
    </row>
    <row r="12" spans="1:11" hidden="1" x14ac:dyDescent="0.2">
      <c r="A12" t="s">
        <v>728</v>
      </c>
      <c r="B12" s="140">
        <v>42979</v>
      </c>
      <c r="C12" t="s">
        <v>702</v>
      </c>
      <c r="D12">
        <v>193.57</v>
      </c>
      <c r="E12" t="s">
        <v>659</v>
      </c>
      <c r="F12" t="s">
        <v>744</v>
      </c>
      <c r="I12" t="s">
        <v>977</v>
      </c>
      <c r="K12" s="128"/>
    </row>
    <row r="13" spans="1:11" x14ac:dyDescent="0.2">
      <c r="A13" t="s">
        <v>728</v>
      </c>
      <c r="B13" s="140">
        <v>42979</v>
      </c>
      <c r="C13" t="s">
        <v>702</v>
      </c>
      <c r="D13">
        <v>-232.5</v>
      </c>
      <c r="E13" t="s">
        <v>644</v>
      </c>
      <c r="F13" t="s">
        <v>708</v>
      </c>
      <c r="I13" t="s">
        <v>977</v>
      </c>
      <c r="K13" s="128"/>
    </row>
    <row r="14" spans="1:11" x14ac:dyDescent="0.2">
      <c r="A14" t="s">
        <v>728</v>
      </c>
      <c r="B14" s="140">
        <v>42979</v>
      </c>
      <c r="C14" t="s">
        <v>702</v>
      </c>
      <c r="D14">
        <v>-160</v>
      </c>
      <c r="E14" t="s">
        <v>644</v>
      </c>
      <c r="F14" t="s">
        <v>706</v>
      </c>
      <c r="I14" t="s">
        <v>977</v>
      </c>
      <c r="K14" s="128"/>
    </row>
    <row r="15" spans="1:11" x14ac:dyDescent="0.2">
      <c r="A15" t="s">
        <v>728</v>
      </c>
      <c r="B15" s="140">
        <v>42979</v>
      </c>
      <c r="C15" t="s">
        <v>702</v>
      </c>
      <c r="D15">
        <v>-157.5</v>
      </c>
      <c r="E15" t="s">
        <v>644</v>
      </c>
      <c r="F15" t="s">
        <v>707</v>
      </c>
      <c r="I15" t="s">
        <v>977</v>
      </c>
      <c r="K15" s="128"/>
    </row>
    <row r="16" spans="1:11" x14ac:dyDescent="0.2">
      <c r="A16" t="s">
        <v>728</v>
      </c>
      <c r="B16" s="140">
        <v>42979</v>
      </c>
      <c r="C16" t="s">
        <v>702</v>
      </c>
      <c r="D16">
        <v>-50</v>
      </c>
      <c r="E16" t="s">
        <v>644</v>
      </c>
      <c r="F16" t="s">
        <v>705</v>
      </c>
      <c r="I16" t="s">
        <v>977</v>
      </c>
      <c r="K16" s="128"/>
    </row>
    <row r="17" spans="1:11" x14ac:dyDescent="0.2">
      <c r="A17" t="s">
        <v>728</v>
      </c>
      <c r="B17" s="140">
        <v>42979</v>
      </c>
      <c r="C17" t="s">
        <v>702</v>
      </c>
      <c r="D17">
        <v>-50</v>
      </c>
      <c r="E17" t="s">
        <v>644</v>
      </c>
      <c r="F17" t="s">
        <v>648</v>
      </c>
      <c r="I17" t="s">
        <v>977</v>
      </c>
      <c r="K17" s="128"/>
    </row>
    <row r="18" spans="1:11" hidden="1" x14ac:dyDescent="0.2">
      <c r="A18" t="s">
        <v>728</v>
      </c>
      <c r="B18" s="140">
        <v>42979</v>
      </c>
      <c r="C18" t="s">
        <v>702</v>
      </c>
      <c r="D18">
        <v>-496.98</v>
      </c>
      <c r="E18" t="s">
        <v>652</v>
      </c>
      <c r="F18" t="s">
        <v>713</v>
      </c>
      <c r="I18" t="s">
        <v>978</v>
      </c>
      <c r="K18" s="128"/>
    </row>
    <row r="19" spans="1:11" hidden="1" x14ac:dyDescent="0.2">
      <c r="A19" t="s">
        <v>728</v>
      </c>
      <c r="B19" s="140">
        <v>42979</v>
      </c>
      <c r="C19" t="s">
        <v>702</v>
      </c>
      <c r="D19">
        <v>-165.45</v>
      </c>
      <c r="E19" t="s">
        <v>652</v>
      </c>
      <c r="F19" t="s">
        <v>811</v>
      </c>
      <c r="I19" t="s">
        <v>978</v>
      </c>
      <c r="K19" s="128"/>
    </row>
    <row r="20" spans="1:11" hidden="1" x14ac:dyDescent="0.2">
      <c r="A20" t="s">
        <v>728</v>
      </c>
      <c r="B20" s="140">
        <v>42979</v>
      </c>
      <c r="C20" t="s">
        <v>702</v>
      </c>
      <c r="D20">
        <v>-195.72</v>
      </c>
      <c r="E20" t="s">
        <v>652</v>
      </c>
      <c r="F20" t="s">
        <v>715</v>
      </c>
      <c r="I20" t="s">
        <v>978</v>
      </c>
      <c r="K20" s="128"/>
    </row>
    <row r="21" spans="1:11" hidden="1" x14ac:dyDescent="0.2">
      <c r="A21" t="s">
        <v>728</v>
      </c>
      <c r="B21" s="140">
        <v>42979</v>
      </c>
      <c r="C21" t="s">
        <v>702</v>
      </c>
      <c r="D21">
        <v>-197.32</v>
      </c>
      <c r="E21" t="s">
        <v>652</v>
      </c>
      <c r="F21" t="s">
        <v>716</v>
      </c>
      <c r="I21" t="s">
        <v>978</v>
      </c>
      <c r="K21" s="128"/>
    </row>
    <row r="22" spans="1:11" hidden="1" x14ac:dyDescent="0.2">
      <c r="A22" t="s">
        <v>728</v>
      </c>
      <c r="B22" s="140">
        <v>42979</v>
      </c>
      <c r="C22" t="s">
        <v>702</v>
      </c>
      <c r="D22">
        <v>-784.35</v>
      </c>
      <c r="E22" t="s">
        <v>652</v>
      </c>
      <c r="F22" t="s">
        <v>710</v>
      </c>
      <c r="I22" t="s">
        <v>977</v>
      </c>
      <c r="K22" s="128"/>
    </row>
    <row r="23" spans="1:11" hidden="1" x14ac:dyDescent="0.2">
      <c r="A23" t="s">
        <v>728</v>
      </c>
      <c r="B23" s="140">
        <v>42979</v>
      </c>
      <c r="C23" t="s">
        <v>702</v>
      </c>
      <c r="D23">
        <v>-1335.87</v>
      </c>
      <c r="E23" t="s">
        <v>652</v>
      </c>
      <c r="F23" t="s">
        <v>711</v>
      </c>
      <c r="I23" t="s">
        <v>977</v>
      </c>
      <c r="K23" s="128"/>
    </row>
    <row r="24" spans="1:11" hidden="1" x14ac:dyDescent="0.2">
      <c r="A24" t="s">
        <v>728</v>
      </c>
      <c r="B24" s="140">
        <v>42979</v>
      </c>
      <c r="C24" t="s">
        <v>702</v>
      </c>
      <c r="D24">
        <v>-1172.3399999999999</v>
      </c>
      <c r="E24" t="s">
        <v>652</v>
      </c>
      <c r="F24" t="s">
        <v>712</v>
      </c>
      <c r="I24" t="s">
        <v>977</v>
      </c>
      <c r="K24" s="128"/>
    </row>
    <row r="25" spans="1:11" hidden="1" x14ac:dyDescent="0.2">
      <c r="A25" t="s">
        <v>728</v>
      </c>
      <c r="B25" s="140">
        <v>42979</v>
      </c>
      <c r="C25" t="s">
        <v>702</v>
      </c>
      <c r="D25">
        <v>-348.23</v>
      </c>
      <c r="E25" t="s">
        <v>652</v>
      </c>
      <c r="F25" t="s">
        <v>717</v>
      </c>
      <c r="I25" t="s">
        <v>978</v>
      </c>
      <c r="K25" s="128"/>
    </row>
    <row r="26" spans="1:11" hidden="1" x14ac:dyDescent="0.2">
      <c r="A26" t="s">
        <v>728</v>
      </c>
      <c r="B26" s="140">
        <v>42979</v>
      </c>
      <c r="C26" t="s">
        <v>702</v>
      </c>
      <c r="D26">
        <v>-356.87</v>
      </c>
      <c r="E26" t="s">
        <v>652</v>
      </c>
      <c r="F26" t="s">
        <v>718</v>
      </c>
      <c r="I26" t="s">
        <v>978</v>
      </c>
      <c r="K26" s="128"/>
    </row>
    <row r="27" spans="1:11" hidden="1" x14ac:dyDescent="0.2">
      <c r="A27" t="s">
        <v>728</v>
      </c>
      <c r="B27" s="140">
        <v>42982</v>
      </c>
      <c r="C27" t="s">
        <v>702</v>
      </c>
      <c r="D27">
        <v>35.78</v>
      </c>
      <c r="E27" t="s">
        <v>659</v>
      </c>
      <c r="F27" t="s">
        <v>730</v>
      </c>
      <c r="I27" t="s">
        <v>977</v>
      </c>
      <c r="K27" s="128"/>
    </row>
    <row r="28" spans="1:11" hidden="1" x14ac:dyDescent="0.2">
      <c r="A28" t="s">
        <v>728</v>
      </c>
      <c r="B28" s="140">
        <v>42982</v>
      </c>
      <c r="C28" t="s">
        <v>702</v>
      </c>
      <c r="D28">
        <v>27.69</v>
      </c>
      <c r="E28" t="s">
        <v>659</v>
      </c>
      <c r="F28" t="s">
        <v>727</v>
      </c>
      <c r="I28" t="s">
        <v>977</v>
      </c>
      <c r="K28" s="128"/>
    </row>
    <row r="29" spans="1:11" x14ac:dyDescent="0.2">
      <c r="A29" t="s">
        <v>728</v>
      </c>
      <c r="B29" s="140">
        <v>42982</v>
      </c>
      <c r="C29" t="s">
        <v>702</v>
      </c>
      <c r="D29">
        <v>-75</v>
      </c>
      <c r="E29" t="s">
        <v>644</v>
      </c>
      <c r="F29" t="s">
        <v>719</v>
      </c>
      <c r="I29" t="s">
        <v>977</v>
      </c>
      <c r="K29" s="128"/>
    </row>
    <row r="30" spans="1:11" hidden="1" x14ac:dyDescent="0.2">
      <c r="A30" t="s">
        <v>728</v>
      </c>
      <c r="B30" s="140">
        <v>42982</v>
      </c>
      <c r="C30" t="s">
        <v>702</v>
      </c>
      <c r="D30">
        <v>-203.36</v>
      </c>
      <c r="E30" t="s">
        <v>652</v>
      </c>
      <c r="F30" t="s">
        <v>812</v>
      </c>
      <c r="I30" t="s">
        <v>978</v>
      </c>
      <c r="K30" s="128"/>
    </row>
    <row r="31" spans="1:11" hidden="1" x14ac:dyDescent="0.2">
      <c r="A31" t="s">
        <v>728</v>
      </c>
      <c r="B31" s="140">
        <v>42982</v>
      </c>
      <c r="C31" t="s">
        <v>702</v>
      </c>
      <c r="D31">
        <v>-37.950000000000003</v>
      </c>
      <c r="E31" t="s">
        <v>652</v>
      </c>
      <c r="F31" t="s">
        <v>714</v>
      </c>
      <c r="I31" t="s">
        <v>977</v>
      </c>
      <c r="K31" s="128"/>
    </row>
    <row r="32" spans="1:11" hidden="1" x14ac:dyDescent="0.2">
      <c r="A32" t="s">
        <v>728</v>
      </c>
      <c r="B32" s="140">
        <v>42982</v>
      </c>
      <c r="C32" t="s">
        <v>702</v>
      </c>
      <c r="D32">
        <v>-75</v>
      </c>
      <c r="E32" t="s">
        <v>652</v>
      </c>
      <c r="F32" t="s">
        <v>720</v>
      </c>
      <c r="I32" t="s">
        <v>977</v>
      </c>
      <c r="K32" s="128"/>
    </row>
    <row r="33" spans="1:11" hidden="1" x14ac:dyDescent="0.2">
      <c r="A33" t="s">
        <v>728</v>
      </c>
      <c r="B33" s="140">
        <v>42983</v>
      </c>
      <c r="C33" t="s">
        <v>702</v>
      </c>
      <c r="D33">
        <v>418.16</v>
      </c>
      <c r="E33" t="s">
        <v>659</v>
      </c>
      <c r="F33" t="s">
        <v>733</v>
      </c>
      <c r="I33" t="s">
        <v>977</v>
      </c>
      <c r="K33" s="128"/>
    </row>
    <row r="34" spans="1:11" hidden="1" x14ac:dyDescent="0.2">
      <c r="A34" t="s">
        <v>728</v>
      </c>
      <c r="B34" s="140">
        <v>42986</v>
      </c>
      <c r="C34" t="s">
        <v>702</v>
      </c>
      <c r="D34">
        <v>-196.17</v>
      </c>
      <c r="E34" t="s">
        <v>652</v>
      </c>
      <c r="F34" t="s">
        <v>729</v>
      </c>
      <c r="I34" t="s">
        <v>978</v>
      </c>
      <c r="K34" s="128"/>
    </row>
    <row r="35" spans="1:11" x14ac:dyDescent="0.2">
      <c r="A35" t="s">
        <v>728</v>
      </c>
      <c r="B35" s="140">
        <v>42989</v>
      </c>
      <c r="C35" t="s">
        <v>702</v>
      </c>
      <c r="D35">
        <v>-350</v>
      </c>
      <c r="E35" t="s">
        <v>698</v>
      </c>
      <c r="F35" t="s">
        <v>735</v>
      </c>
      <c r="I35" t="s">
        <v>977</v>
      </c>
      <c r="K35" s="128"/>
    </row>
    <row r="36" spans="1:11" hidden="1" x14ac:dyDescent="0.2">
      <c r="A36" t="s">
        <v>728</v>
      </c>
      <c r="B36" s="140">
        <v>42990</v>
      </c>
      <c r="C36" t="s">
        <v>702</v>
      </c>
      <c r="D36">
        <v>432.56</v>
      </c>
      <c r="E36" t="s">
        <v>659</v>
      </c>
      <c r="F36" t="s">
        <v>730</v>
      </c>
      <c r="I36" t="s">
        <v>977</v>
      </c>
      <c r="K36" s="128"/>
    </row>
    <row r="37" spans="1:11" hidden="1" x14ac:dyDescent="0.2">
      <c r="A37" t="s">
        <v>728</v>
      </c>
      <c r="B37" s="140">
        <v>42990</v>
      </c>
      <c r="C37" t="s">
        <v>702</v>
      </c>
      <c r="D37">
        <v>-37.68</v>
      </c>
      <c r="E37" t="s">
        <v>652</v>
      </c>
      <c r="F37" t="s">
        <v>731</v>
      </c>
      <c r="I37" t="s">
        <v>977</v>
      </c>
      <c r="K37" s="128"/>
    </row>
    <row r="38" spans="1:11" hidden="1" x14ac:dyDescent="0.2">
      <c r="A38" t="s">
        <v>728</v>
      </c>
      <c r="B38" s="140">
        <v>42990</v>
      </c>
      <c r="C38" t="s">
        <v>702</v>
      </c>
      <c r="D38">
        <v>-62.94</v>
      </c>
      <c r="E38" t="s">
        <v>652</v>
      </c>
      <c r="F38" t="s">
        <v>813</v>
      </c>
      <c r="I38" t="s">
        <v>977</v>
      </c>
      <c r="K38" s="128"/>
    </row>
    <row r="39" spans="1:11" x14ac:dyDescent="0.2">
      <c r="A39" t="s">
        <v>728</v>
      </c>
      <c r="B39" s="140">
        <v>42991</v>
      </c>
      <c r="C39" t="s">
        <v>702</v>
      </c>
      <c r="D39">
        <v>80.989999999999995</v>
      </c>
      <c r="E39" t="s">
        <v>698</v>
      </c>
      <c r="F39" t="s">
        <v>814</v>
      </c>
      <c r="H39" s="56" t="s">
        <v>971</v>
      </c>
      <c r="I39" t="s">
        <v>977</v>
      </c>
      <c r="K39" s="128"/>
    </row>
    <row r="40" spans="1:11" x14ac:dyDescent="0.2">
      <c r="A40" t="s">
        <v>728</v>
      </c>
      <c r="B40" s="140">
        <v>42991</v>
      </c>
      <c r="C40" t="s">
        <v>702</v>
      </c>
      <c r="D40">
        <v>355</v>
      </c>
      <c r="E40" t="s">
        <v>698</v>
      </c>
      <c r="F40" t="s">
        <v>815</v>
      </c>
      <c r="H40" s="56" t="s">
        <v>972</v>
      </c>
      <c r="I40" t="s">
        <v>977</v>
      </c>
      <c r="K40" s="128"/>
    </row>
    <row r="41" spans="1:11" hidden="1" x14ac:dyDescent="0.2">
      <c r="A41" t="s">
        <v>728</v>
      </c>
      <c r="B41" s="140">
        <v>42991</v>
      </c>
      <c r="C41" t="s">
        <v>702</v>
      </c>
      <c r="D41">
        <v>-720</v>
      </c>
      <c r="E41" t="s">
        <v>657</v>
      </c>
      <c r="F41" t="s">
        <v>816</v>
      </c>
      <c r="G41" s="62" t="s">
        <v>485</v>
      </c>
      <c r="H41" s="56" t="s">
        <v>970</v>
      </c>
      <c r="I41" t="s">
        <v>979</v>
      </c>
      <c r="K41" s="128"/>
    </row>
    <row r="42" spans="1:11" hidden="1" x14ac:dyDescent="0.2">
      <c r="A42" t="s">
        <v>728</v>
      </c>
      <c r="B42" s="140">
        <v>42991</v>
      </c>
      <c r="C42" t="s">
        <v>702</v>
      </c>
      <c r="D42">
        <v>-130</v>
      </c>
      <c r="E42" t="s">
        <v>657</v>
      </c>
      <c r="F42" t="s">
        <v>745</v>
      </c>
      <c r="G42" s="62" t="s">
        <v>482</v>
      </c>
      <c r="H42" s="56" t="s">
        <v>969</v>
      </c>
      <c r="I42" t="s">
        <v>979</v>
      </c>
      <c r="K42" s="128"/>
    </row>
    <row r="43" spans="1:11" hidden="1" x14ac:dyDescent="0.2">
      <c r="A43" t="s">
        <v>728</v>
      </c>
      <c r="B43" s="140">
        <v>42991</v>
      </c>
      <c r="C43" t="s">
        <v>702</v>
      </c>
      <c r="D43">
        <v>-80.989999999999995</v>
      </c>
      <c r="E43" t="s">
        <v>657</v>
      </c>
      <c r="F43" t="s">
        <v>817</v>
      </c>
      <c r="H43" s="56" t="s">
        <v>971</v>
      </c>
      <c r="I43" t="s">
        <v>977</v>
      </c>
      <c r="K43" s="128"/>
    </row>
    <row r="44" spans="1:11" hidden="1" x14ac:dyDescent="0.2">
      <c r="A44" t="s">
        <v>728</v>
      </c>
      <c r="B44" s="140">
        <v>42992</v>
      </c>
      <c r="C44" t="s">
        <v>702</v>
      </c>
      <c r="D44">
        <v>-53.99</v>
      </c>
      <c r="E44" t="s">
        <v>652</v>
      </c>
      <c r="F44" t="s">
        <v>818</v>
      </c>
      <c r="I44" t="s">
        <v>977</v>
      </c>
      <c r="K44" s="128"/>
    </row>
    <row r="45" spans="1:11" hidden="1" x14ac:dyDescent="0.2">
      <c r="A45" t="s">
        <v>728</v>
      </c>
      <c r="B45" s="140">
        <v>42993</v>
      </c>
      <c r="C45" t="s">
        <v>702</v>
      </c>
      <c r="D45">
        <v>-165.41</v>
      </c>
      <c r="E45" t="s">
        <v>652</v>
      </c>
      <c r="F45" t="s">
        <v>819</v>
      </c>
      <c r="I45" t="s">
        <v>978</v>
      </c>
      <c r="K45" s="128"/>
    </row>
    <row r="46" spans="1:11" hidden="1" x14ac:dyDescent="0.2">
      <c r="A46" t="s">
        <v>728</v>
      </c>
      <c r="B46" s="140">
        <v>42993</v>
      </c>
      <c r="C46" t="s">
        <v>702</v>
      </c>
      <c r="D46">
        <v>-171.17</v>
      </c>
      <c r="E46" t="s">
        <v>652</v>
      </c>
      <c r="F46" t="s">
        <v>820</v>
      </c>
      <c r="I46" t="s">
        <v>978</v>
      </c>
      <c r="K46" s="128"/>
    </row>
    <row r="47" spans="1:11" hidden="1" x14ac:dyDescent="0.2">
      <c r="A47" t="s">
        <v>728</v>
      </c>
      <c r="B47" s="140">
        <v>42993</v>
      </c>
      <c r="C47" t="s">
        <v>702</v>
      </c>
      <c r="D47">
        <v>-171.17</v>
      </c>
      <c r="E47" t="s">
        <v>652</v>
      </c>
      <c r="F47" t="s">
        <v>821</v>
      </c>
      <c r="I47" t="s">
        <v>978</v>
      </c>
      <c r="K47" s="128"/>
    </row>
    <row r="48" spans="1:11" hidden="1" x14ac:dyDescent="0.2">
      <c r="A48" t="s">
        <v>728</v>
      </c>
      <c r="B48" s="140">
        <v>42993</v>
      </c>
      <c r="C48" t="s">
        <v>702</v>
      </c>
      <c r="D48">
        <v>-165.44</v>
      </c>
      <c r="E48" t="s">
        <v>652</v>
      </c>
      <c r="F48" t="s">
        <v>822</v>
      </c>
      <c r="I48" t="s">
        <v>978</v>
      </c>
      <c r="K48" s="128"/>
    </row>
    <row r="49" spans="1:11" hidden="1" x14ac:dyDescent="0.2">
      <c r="A49" t="s">
        <v>728</v>
      </c>
      <c r="B49" s="140">
        <v>42993</v>
      </c>
      <c r="C49" t="s">
        <v>702</v>
      </c>
      <c r="D49">
        <v>-165.41</v>
      </c>
      <c r="E49" t="s">
        <v>652</v>
      </c>
      <c r="F49" t="s">
        <v>823</v>
      </c>
      <c r="I49" t="s">
        <v>978</v>
      </c>
      <c r="K49" s="128"/>
    </row>
    <row r="50" spans="1:11" hidden="1" x14ac:dyDescent="0.2">
      <c r="A50" t="s">
        <v>728</v>
      </c>
      <c r="B50" s="140">
        <v>42993</v>
      </c>
      <c r="C50" t="s">
        <v>702</v>
      </c>
      <c r="D50">
        <v>-165.47</v>
      </c>
      <c r="E50" t="s">
        <v>652</v>
      </c>
      <c r="F50" t="s">
        <v>824</v>
      </c>
      <c r="I50" t="s">
        <v>978</v>
      </c>
      <c r="K50" s="128"/>
    </row>
    <row r="51" spans="1:11" hidden="1" x14ac:dyDescent="0.2">
      <c r="A51" t="s">
        <v>728</v>
      </c>
      <c r="B51" s="140">
        <v>42993</v>
      </c>
      <c r="C51" t="s">
        <v>702</v>
      </c>
      <c r="D51">
        <v>-165.44</v>
      </c>
      <c r="E51" t="s">
        <v>652</v>
      </c>
      <c r="F51" t="s">
        <v>825</v>
      </c>
      <c r="I51" t="s">
        <v>978</v>
      </c>
      <c r="K51" s="128"/>
    </row>
    <row r="52" spans="1:11" hidden="1" x14ac:dyDescent="0.2">
      <c r="A52" t="s">
        <v>728</v>
      </c>
      <c r="B52" s="140">
        <v>42993</v>
      </c>
      <c r="C52" t="s">
        <v>702</v>
      </c>
      <c r="D52">
        <v>-165.91</v>
      </c>
      <c r="E52" t="s">
        <v>652</v>
      </c>
      <c r="F52" t="s">
        <v>732</v>
      </c>
      <c r="I52" t="s">
        <v>978</v>
      </c>
      <c r="K52" s="128"/>
    </row>
    <row r="53" spans="1:11" hidden="1" x14ac:dyDescent="0.2">
      <c r="A53" t="s">
        <v>728</v>
      </c>
      <c r="B53" s="140">
        <v>42996</v>
      </c>
      <c r="C53" t="s">
        <v>702</v>
      </c>
      <c r="D53">
        <v>210.4</v>
      </c>
      <c r="E53" t="s">
        <v>659</v>
      </c>
      <c r="F53" t="s">
        <v>734</v>
      </c>
      <c r="I53" t="s">
        <v>977</v>
      </c>
      <c r="K53" s="128"/>
    </row>
    <row r="54" spans="1:11" hidden="1" x14ac:dyDescent="0.2">
      <c r="A54" t="s">
        <v>728</v>
      </c>
      <c r="B54" s="140">
        <v>42998</v>
      </c>
      <c r="C54" t="s">
        <v>702</v>
      </c>
      <c r="D54">
        <v>237.55</v>
      </c>
      <c r="E54" t="s">
        <v>659</v>
      </c>
      <c r="F54" t="s">
        <v>744</v>
      </c>
      <c r="I54" t="s">
        <v>977</v>
      </c>
      <c r="K54" s="128"/>
    </row>
    <row r="55" spans="1:11" hidden="1" x14ac:dyDescent="0.2">
      <c r="A55" t="s">
        <v>728</v>
      </c>
      <c r="B55" s="140">
        <v>42998</v>
      </c>
      <c r="C55" t="s">
        <v>702</v>
      </c>
      <c r="D55">
        <v>53.6</v>
      </c>
      <c r="E55" t="s">
        <v>659</v>
      </c>
      <c r="F55" t="s">
        <v>723</v>
      </c>
      <c r="I55" t="s">
        <v>977</v>
      </c>
      <c r="K55" s="128"/>
    </row>
    <row r="56" spans="1:11" hidden="1" x14ac:dyDescent="0.2">
      <c r="A56" t="s">
        <v>728</v>
      </c>
      <c r="B56" s="140">
        <v>42999</v>
      </c>
      <c r="C56" t="s">
        <v>702</v>
      </c>
      <c r="D56">
        <v>107.84</v>
      </c>
      <c r="E56" t="s">
        <v>659</v>
      </c>
      <c r="F56" t="s">
        <v>724</v>
      </c>
      <c r="I56" t="s">
        <v>977</v>
      </c>
      <c r="K56" s="128"/>
    </row>
    <row r="57" spans="1:11" x14ac:dyDescent="0.2">
      <c r="A57" t="s">
        <v>728</v>
      </c>
      <c r="B57" s="140">
        <v>42999</v>
      </c>
      <c r="C57" t="s">
        <v>702</v>
      </c>
      <c r="D57">
        <v>-120</v>
      </c>
      <c r="E57" t="s">
        <v>698</v>
      </c>
      <c r="F57" t="s">
        <v>735</v>
      </c>
      <c r="G57" s="128"/>
      <c r="H57" s="56"/>
      <c r="I57" t="s">
        <v>977</v>
      </c>
      <c r="K57" s="128"/>
    </row>
    <row r="58" spans="1:11" x14ac:dyDescent="0.2">
      <c r="A58" t="s">
        <v>728</v>
      </c>
      <c r="B58" s="140">
        <v>43005</v>
      </c>
      <c r="C58" t="s">
        <v>702</v>
      </c>
      <c r="D58">
        <v>-1200</v>
      </c>
      <c r="E58" t="s">
        <v>644</v>
      </c>
      <c r="F58" t="s">
        <v>736</v>
      </c>
      <c r="H58" s="128"/>
      <c r="I58" t="s">
        <v>977</v>
      </c>
      <c r="J58" s="128"/>
      <c r="K58" s="128"/>
    </row>
    <row r="59" spans="1:11" hidden="1" x14ac:dyDescent="0.2">
      <c r="A59" t="s">
        <v>728</v>
      </c>
      <c r="B59" s="140">
        <v>43006</v>
      </c>
      <c r="C59" t="s">
        <v>702</v>
      </c>
      <c r="D59">
        <v>464</v>
      </c>
      <c r="E59" t="s">
        <v>659</v>
      </c>
      <c r="F59" t="s">
        <v>722</v>
      </c>
      <c r="H59" s="128"/>
      <c r="I59" t="s">
        <v>977</v>
      </c>
      <c r="J59" s="128"/>
      <c r="K59" s="128"/>
    </row>
    <row r="60" spans="1:11" hidden="1" x14ac:dyDescent="0.2">
      <c r="A60" t="s">
        <v>728</v>
      </c>
      <c r="B60" s="140">
        <v>43006</v>
      </c>
      <c r="C60" t="s">
        <v>702</v>
      </c>
      <c r="D60">
        <v>387.09</v>
      </c>
      <c r="E60" t="s">
        <v>659</v>
      </c>
      <c r="F60" t="s">
        <v>810</v>
      </c>
      <c r="H60" s="128"/>
      <c r="I60" t="s">
        <v>977</v>
      </c>
      <c r="J60" s="128"/>
      <c r="K60" s="128"/>
    </row>
    <row r="61" spans="1:11" hidden="1" x14ac:dyDescent="0.2">
      <c r="A61" t="s">
        <v>728</v>
      </c>
      <c r="B61" s="140">
        <v>43006</v>
      </c>
      <c r="C61" t="s">
        <v>702</v>
      </c>
      <c r="D61">
        <v>369.6</v>
      </c>
      <c r="E61" t="s">
        <v>659</v>
      </c>
      <c r="F61" t="s">
        <v>734</v>
      </c>
      <c r="H61" s="128"/>
      <c r="I61" t="s">
        <v>977</v>
      </c>
      <c r="J61" s="128"/>
      <c r="K61" s="128"/>
    </row>
    <row r="62" spans="1:11" hidden="1" x14ac:dyDescent="0.2">
      <c r="A62" t="s">
        <v>728</v>
      </c>
      <c r="B62" s="140">
        <v>43006</v>
      </c>
      <c r="C62" t="s">
        <v>702</v>
      </c>
      <c r="D62">
        <v>360.8</v>
      </c>
      <c r="E62" t="s">
        <v>659</v>
      </c>
      <c r="F62" t="s">
        <v>724</v>
      </c>
      <c r="H62" s="128"/>
      <c r="I62" t="s">
        <v>977</v>
      </c>
      <c r="J62" s="128"/>
      <c r="K62" s="128"/>
    </row>
    <row r="63" spans="1:11" hidden="1" x14ac:dyDescent="0.2">
      <c r="A63" t="s">
        <v>728</v>
      </c>
      <c r="B63" s="140">
        <v>43006</v>
      </c>
      <c r="C63" t="s">
        <v>702</v>
      </c>
      <c r="D63">
        <v>345.28</v>
      </c>
      <c r="E63" t="s">
        <v>659</v>
      </c>
      <c r="F63" t="s">
        <v>725</v>
      </c>
      <c r="I63" t="s">
        <v>977</v>
      </c>
    </row>
    <row r="64" spans="1:11" hidden="1" x14ac:dyDescent="0.2">
      <c r="A64" t="s">
        <v>728</v>
      </c>
      <c r="B64" s="140">
        <v>43006</v>
      </c>
      <c r="C64" t="s">
        <v>702</v>
      </c>
      <c r="D64">
        <v>332.29</v>
      </c>
      <c r="E64" t="s">
        <v>659</v>
      </c>
      <c r="F64" t="s">
        <v>726</v>
      </c>
      <c r="I64" t="s">
        <v>977</v>
      </c>
    </row>
    <row r="65" spans="1:9" hidden="1" x14ac:dyDescent="0.2">
      <c r="A65" t="s">
        <v>728</v>
      </c>
      <c r="B65" s="140">
        <v>43006</v>
      </c>
      <c r="C65" t="s">
        <v>702</v>
      </c>
      <c r="D65">
        <v>330.4</v>
      </c>
      <c r="E65" t="s">
        <v>659</v>
      </c>
      <c r="F65" t="s">
        <v>723</v>
      </c>
      <c r="I65" t="s">
        <v>977</v>
      </c>
    </row>
    <row r="66" spans="1:9" hidden="1" x14ac:dyDescent="0.2">
      <c r="A66" t="s">
        <v>728</v>
      </c>
      <c r="B66" s="140">
        <v>43006</v>
      </c>
      <c r="C66" t="s">
        <v>702</v>
      </c>
      <c r="D66">
        <v>238.72</v>
      </c>
      <c r="E66" t="s">
        <v>659</v>
      </c>
      <c r="F66" t="s">
        <v>721</v>
      </c>
      <c r="I66" t="s">
        <v>977</v>
      </c>
    </row>
    <row r="67" spans="1:9" hidden="1" x14ac:dyDescent="0.2">
      <c r="A67" t="s">
        <v>728</v>
      </c>
      <c r="B67" s="140">
        <v>43006</v>
      </c>
      <c r="C67" t="s">
        <v>702</v>
      </c>
      <c r="D67">
        <v>229.65</v>
      </c>
      <c r="E67" t="s">
        <v>659</v>
      </c>
      <c r="F67" t="s">
        <v>744</v>
      </c>
      <c r="I67" t="s">
        <v>977</v>
      </c>
    </row>
    <row r="68" spans="1:9" hidden="1" x14ac:dyDescent="0.2">
      <c r="A68" t="s">
        <v>728</v>
      </c>
      <c r="B68" s="140">
        <v>43006</v>
      </c>
      <c r="C68" t="s">
        <v>702</v>
      </c>
      <c r="D68">
        <v>67.55</v>
      </c>
      <c r="E68" t="s">
        <v>659</v>
      </c>
      <c r="F68" t="s">
        <v>727</v>
      </c>
      <c r="I68" t="s">
        <v>977</v>
      </c>
    </row>
    <row r="69" spans="1:9" hidden="1" x14ac:dyDescent="0.2">
      <c r="A69" t="s">
        <v>728</v>
      </c>
      <c r="B69" s="140">
        <v>43006</v>
      </c>
      <c r="C69" t="s">
        <v>702</v>
      </c>
      <c r="D69">
        <v>-33</v>
      </c>
      <c r="E69" t="s">
        <v>652</v>
      </c>
      <c r="F69" t="s">
        <v>737</v>
      </c>
      <c r="I69" t="s">
        <v>977</v>
      </c>
    </row>
    <row r="70" spans="1:9" x14ac:dyDescent="0.2">
      <c r="B70" s="137"/>
    </row>
    <row r="71" spans="1:9" x14ac:dyDescent="0.2">
      <c r="B71" s="137"/>
    </row>
    <row r="72" spans="1:9" x14ac:dyDescent="0.2">
      <c r="B72" s="137"/>
    </row>
    <row r="73" spans="1:9" x14ac:dyDescent="0.2">
      <c r="B73" s="137"/>
    </row>
    <row r="74" spans="1:9" x14ac:dyDescent="0.2">
      <c r="B74" s="137"/>
    </row>
    <row r="75" spans="1:9" x14ac:dyDescent="0.2">
      <c r="B75" s="137"/>
    </row>
    <row r="76" spans="1:9" x14ac:dyDescent="0.2">
      <c r="B76" s="137"/>
    </row>
    <row r="77" spans="1:9" x14ac:dyDescent="0.2">
      <c r="B77" s="137"/>
    </row>
    <row r="78" spans="1:9" x14ac:dyDescent="0.2">
      <c r="B78" s="137"/>
    </row>
    <row r="79" spans="1:9" x14ac:dyDescent="0.2">
      <c r="B79" s="137"/>
    </row>
    <row r="80" spans="1:9" x14ac:dyDescent="0.2">
      <c r="B80" s="137"/>
    </row>
    <row r="81" spans="2:2" x14ac:dyDescent="0.2">
      <c r="B81" s="137"/>
    </row>
    <row r="82" spans="2:2" x14ac:dyDescent="0.2">
      <c r="B82" s="137"/>
    </row>
    <row r="83" spans="2:2" x14ac:dyDescent="0.2">
      <c r="B83" s="137"/>
    </row>
    <row r="84" spans="2:2" x14ac:dyDescent="0.2">
      <c r="B84" s="137"/>
    </row>
    <row r="85" spans="2:2" x14ac:dyDescent="0.2">
      <c r="B85" s="137"/>
    </row>
    <row r="86" spans="2:2" x14ac:dyDescent="0.2">
      <c r="B86" s="137"/>
    </row>
    <row r="87" spans="2:2" x14ac:dyDescent="0.2">
      <c r="B87" s="137"/>
    </row>
    <row r="88" spans="2:2" x14ac:dyDescent="0.2">
      <c r="B88" s="137"/>
    </row>
    <row r="89" spans="2:2" x14ac:dyDescent="0.2">
      <c r="B89" s="137"/>
    </row>
    <row r="90" spans="2:2" x14ac:dyDescent="0.2">
      <c r="B90" s="137"/>
    </row>
    <row r="91" spans="2:2" x14ac:dyDescent="0.2">
      <c r="B91" s="137"/>
    </row>
    <row r="92" spans="2:2" x14ac:dyDescent="0.2">
      <c r="B92" s="137"/>
    </row>
    <row r="93" spans="2:2" x14ac:dyDescent="0.2">
      <c r="B93" s="137"/>
    </row>
    <row r="94" spans="2:2" x14ac:dyDescent="0.2">
      <c r="B94" s="137"/>
    </row>
    <row r="95" spans="2:2" x14ac:dyDescent="0.2">
      <c r="B95" s="137"/>
    </row>
    <row r="96" spans="2:2" x14ac:dyDescent="0.2">
      <c r="B96" s="137"/>
    </row>
    <row r="97" spans="2:2" x14ac:dyDescent="0.2">
      <c r="B97" s="137"/>
    </row>
  </sheetData>
  <autoFilter ref="A1:I69">
    <filterColumn colId="4">
      <filters>
        <filter val="FT"/>
        <filter val="REPEATPMT"/>
        <filter val="STO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95"/>
  <sheetViews>
    <sheetView zoomScale="85" zoomScaleNormal="85" workbookViewId="0">
      <selection activeCell="A2" sqref="A2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728</v>
      </c>
      <c r="B2" s="140">
        <v>42979</v>
      </c>
      <c r="C2" t="s">
        <v>738</v>
      </c>
      <c r="D2">
        <v>-74.11</v>
      </c>
      <c r="E2" t="s">
        <v>657</v>
      </c>
      <c r="F2" t="s">
        <v>826</v>
      </c>
      <c r="J2" s="128"/>
    </row>
    <row r="3" spans="1:10" x14ac:dyDescent="0.2">
      <c r="A3" t="s">
        <v>728</v>
      </c>
      <c r="B3" s="140">
        <v>42982</v>
      </c>
      <c r="C3" t="s">
        <v>738</v>
      </c>
      <c r="D3">
        <v>4</v>
      </c>
      <c r="E3" t="s">
        <v>695</v>
      </c>
      <c r="F3" t="s">
        <v>827</v>
      </c>
      <c r="J3" s="128"/>
    </row>
    <row r="4" spans="1:10" x14ac:dyDescent="0.2">
      <c r="A4" t="s">
        <v>728</v>
      </c>
      <c r="B4" s="140">
        <v>42982</v>
      </c>
      <c r="C4" t="s">
        <v>738</v>
      </c>
      <c r="D4">
        <v>-27.98</v>
      </c>
      <c r="E4" t="s">
        <v>657</v>
      </c>
      <c r="F4" t="s">
        <v>828</v>
      </c>
      <c r="J4" s="128"/>
    </row>
    <row r="5" spans="1:10" x14ac:dyDescent="0.2">
      <c r="A5" t="s">
        <v>728</v>
      </c>
      <c r="B5" s="140">
        <v>42982</v>
      </c>
      <c r="C5" t="s">
        <v>738</v>
      </c>
      <c r="D5">
        <v>-18.72</v>
      </c>
      <c r="E5" t="s">
        <v>657</v>
      </c>
      <c r="F5" t="s">
        <v>829</v>
      </c>
      <c r="J5" s="128"/>
    </row>
    <row r="6" spans="1:10" x14ac:dyDescent="0.2">
      <c r="A6" t="s">
        <v>728</v>
      </c>
      <c r="B6" s="140">
        <v>42982</v>
      </c>
      <c r="C6" t="s">
        <v>738</v>
      </c>
      <c r="D6">
        <v>-14.75</v>
      </c>
      <c r="E6" t="s">
        <v>657</v>
      </c>
      <c r="F6" t="s">
        <v>830</v>
      </c>
      <c r="J6" s="128"/>
    </row>
    <row r="7" spans="1:10" x14ac:dyDescent="0.2">
      <c r="A7" t="s">
        <v>728</v>
      </c>
      <c r="B7" s="140">
        <v>42982</v>
      </c>
      <c r="C7" t="s">
        <v>738</v>
      </c>
      <c r="D7">
        <v>-14</v>
      </c>
      <c r="E7" t="s">
        <v>657</v>
      </c>
      <c r="F7" t="s">
        <v>831</v>
      </c>
      <c r="J7" s="128"/>
    </row>
    <row r="8" spans="1:10" x14ac:dyDescent="0.2">
      <c r="A8" t="s">
        <v>728</v>
      </c>
      <c r="B8" s="140">
        <v>42982</v>
      </c>
      <c r="C8" t="s">
        <v>738</v>
      </c>
      <c r="D8">
        <v>-13.3</v>
      </c>
      <c r="E8" t="s">
        <v>657</v>
      </c>
      <c r="F8" t="s">
        <v>832</v>
      </c>
      <c r="J8" s="128"/>
    </row>
    <row r="9" spans="1:10" x14ac:dyDescent="0.2">
      <c r="A9" t="s">
        <v>728</v>
      </c>
      <c r="B9" s="140">
        <v>42982</v>
      </c>
      <c r="C9" t="s">
        <v>738</v>
      </c>
      <c r="D9">
        <v>-8.0500000000000007</v>
      </c>
      <c r="E9" t="s">
        <v>657</v>
      </c>
      <c r="F9" t="s">
        <v>833</v>
      </c>
      <c r="J9" s="128"/>
    </row>
    <row r="10" spans="1:10" x14ac:dyDescent="0.2">
      <c r="A10" t="s">
        <v>728</v>
      </c>
      <c r="B10" s="140">
        <v>42982</v>
      </c>
      <c r="C10" t="s">
        <v>738</v>
      </c>
      <c r="D10">
        <v>-63.99</v>
      </c>
      <c r="E10" t="s">
        <v>657</v>
      </c>
      <c r="F10" t="s">
        <v>834</v>
      </c>
      <c r="J10" s="128"/>
    </row>
    <row r="11" spans="1:10" x14ac:dyDescent="0.2">
      <c r="A11" t="s">
        <v>728</v>
      </c>
      <c r="B11" s="140">
        <v>42982</v>
      </c>
      <c r="C11" t="s">
        <v>738</v>
      </c>
      <c r="D11">
        <v>-31.45</v>
      </c>
      <c r="E11" t="s">
        <v>657</v>
      </c>
      <c r="F11" t="s">
        <v>835</v>
      </c>
      <c r="J11" s="128"/>
    </row>
    <row r="12" spans="1:10" x14ac:dyDescent="0.2">
      <c r="A12" t="s">
        <v>728</v>
      </c>
      <c r="B12" s="140">
        <v>42982</v>
      </c>
      <c r="C12" t="s">
        <v>738</v>
      </c>
      <c r="D12">
        <v>-28.5</v>
      </c>
      <c r="E12" t="s">
        <v>657</v>
      </c>
      <c r="F12" t="s">
        <v>836</v>
      </c>
      <c r="J12" s="128"/>
    </row>
    <row r="13" spans="1:10" x14ac:dyDescent="0.2">
      <c r="A13" t="s">
        <v>728</v>
      </c>
      <c r="B13" s="140">
        <v>42982</v>
      </c>
      <c r="C13" t="s">
        <v>738</v>
      </c>
      <c r="D13">
        <v>-4.99</v>
      </c>
      <c r="E13" t="s">
        <v>657</v>
      </c>
      <c r="F13" t="s">
        <v>740</v>
      </c>
      <c r="J13" s="128"/>
    </row>
    <row r="14" spans="1:10" x14ac:dyDescent="0.2">
      <c r="A14" t="s">
        <v>728</v>
      </c>
      <c r="B14" s="140">
        <v>42983</v>
      </c>
      <c r="C14" t="s">
        <v>738</v>
      </c>
      <c r="D14">
        <v>-27.05</v>
      </c>
      <c r="E14" t="s">
        <v>657</v>
      </c>
      <c r="F14" t="s">
        <v>837</v>
      </c>
      <c r="J14" s="128"/>
    </row>
    <row r="15" spans="1:10" x14ac:dyDescent="0.2">
      <c r="A15" t="s">
        <v>728</v>
      </c>
      <c r="B15" s="140">
        <v>42983</v>
      </c>
      <c r="C15" t="s">
        <v>738</v>
      </c>
      <c r="D15">
        <v>-18.66</v>
      </c>
      <c r="E15" t="s">
        <v>657</v>
      </c>
      <c r="F15" t="s">
        <v>838</v>
      </c>
      <c r="J15" s="128"/>
    </row>
    <row r="16" spans="1:10" x14ac:dyDescent="0.2">
      <c r="A16" t="s">
        <v>728</v>
      </c>
      <c r="B16" s="140">
        <v>42984</v>
      </c>
      <c r="C16" t="s">
        <v>738</v>
      </c>
      <c r="D16">
        <v>-19.05</v>
      </c>
      <c r="E16" t="s">
        <v>657</v>
      </c>
      <c r="F16" t="s">
        <v>839</v>
      </c>
      <c r="J16" s="128"/>
    </row>
    <row r="17" spans="1:10" x14ac:dyDescent="0.2">
      <c r="A17" t="s">
        <v>728</v>
      </c>
      <c r="B17" s="140">
        <v>42984</v>
      </c>
      <c r="C17" t="s">
        <v>738</v>
      </c>
      <c r="D17">
        <v>-7</v>
      </c>
      <c r="E17" t="s">
        <v>657</v>
      </c>
      <c r="F17" t="s">
        <v>840</v>
      </c>
      <c r="J17" s="128"/>
    </row>
    <row r="18" spans="1:10" x14ac:dyDescent="0.2">
      <c r="A18" t="s">
        <v>728</v>
      </c>
      <c r="B18" s="140">
        <v>42984</v>
      </c>
      <c r="C18" t="s">
        <v>738</v>
      </c>
      <c r="D18">
        <v>-2.86</v>
      </c>
      <c r="E18" t="s">
        <v>657</v>
      </c>
      <c r="F18" t="s">
        <v>841</v>
      </c>
      <c r="J18" s="128"/>
    </row>
    <row r="19" spans="1:10" x14ac:dyDescent="0.2">
      <c r="A19" t="s">
        <v>728</v>
      </c>
      <c r="B19" s="140">
        <v>42984</v>
      </c>
      <c r="C19" t="s">
        <v>738</v>
      </c>
      <c r="D19">
        <v>-138.94</v>
      </c>
      <c r="E19" t="s">
        <v>657</v>
      </c>
      <c r="F19" t="s">
        <v>842</v>
      </c>
      <c r="J19" s="128"/>
    </row>
    <row r="20" spans="1:10" x14ac:dyDescent="0.2">
      <c r="A20" t="s">
        <v>728</v>
      </c>
      <c r="B20" s="140">
        <v>42984</v>
      </c>
      <c r="C20" t="s">
        <v>738</v>
      </c>
      <c r="D20">
        <v>-68.45</v>
      </c>
      <c r="E20" t="s">
        <v>657</v>
      </c>
      <c r="F20" t="s">
        <v>843</v>
      </c>
      <c r="J20" s="128"/>
    </row>
    <row r="21" spans="1:10" x14ac:dyDescent="0.2">
      <c r="A21" t="s">
        <v>728</v>
      </c>
      <c r="B21" s="140">
        <v>42984</v>
      </c>
      <c r="C21" t="s">
        <v>738</v>
      </c>
      <c r="D21">
        <v>-47.5</v>
      </c>
      <c r="E21" t="s">
        <v>657</v>
      </c>
      <c r="F21" t="s">
        <v>844</v>
      </c>
      <c r="J21" s="128"/>
    </row>
    <row r="22" spans="1:10" x14ac:dyDescent="0.2">
      <c r="A22" t="s">
        <v>728</v>
      </c>
      <c r="B22" s="140">
        <v>42985</v>
      </c>
      <c r="C22" t="s">
        <v>738</v>
      </c>
      <c r="D22">
        <v>-11</v>
      </c>
      <c r="E22" t="s">
        <v>657</v>
      </c>
      <c r="F22" t="s">
        <v>845</v>
      </c>
      <c r="J22" s="128"/>
    </row>
    <row r="23" spans="1:10" x14ac:dyDescent="0.2">
      <c r="A23" t="s">
        <v>728</v>
      </c>
      <c r="B23" s="140">
        <v>42985</v>
      </c>
      <c r="C23" t="s">
        <v>738</v>
      </c>
      <c r="D23">
        <v>-1.5</v>
      </c>
      <c r="E23" t="s">
        <v>657</v>
      </c>
      <c r="F23" t="s">
        <v>845</v>
      </c>
      <c r="J23" s="128"/>
    </row>
    <row r="24" spans="1:10" x14ac:dyDescent="0.2">
      <c r="A24" t="s">
        <v>728</v>
      </c>
      <c r="B24" s="140">
        <v>42985</v>
      </c>
      <c r="C24" t="s">
        <v>738</v>
      </c>
      <c r="D24">
        <v>-96.99</v>
      </c>
      <c r="E24" t="s">
        <v>657</v>
      </c>
      <c r="F24" t="s">
        <v>846</v>
      </c>
      <c r="J24" s="128"/>
    </row>
    <row r="25" spans="1:10" x14ac:dyDescent="0.2">
      <c r="A25" t="s">
        <v>728</v>
      </c>
      <c r="B25" s="140">
        <v>42986</v>
      </c>
      <c r="C25" t="s">
        <v>738</v>
      </c>
      <c r="D25">
        <v>-9.57</v>
      </c>
      <c r="E25" t="s">
        <v>657</v>
      </c>
      <c r="F25" t="s">
        <v>847</v>
      </c>
      <c r="J25" s="128"/>
    </row>
    <row r="26" spans="1:10" x14ac:dyDescent="0.2">
      <c r="A26" t="s">
        <v>728</v>
      </c>
      <c r="B26" s="140">
        <v>42986</v>
      </c>
      <c r="C26" t="s">
        <v>738</v>
      </c>
      <c r="D26">
        <v>-7.64</v>
      </c>
      <c r="E26" t="s">
        <v>657</v>
      </c>
      <c r="F26" t="s">
        <v>848</v>
      </c>
      <c r="J26" s="128"/>
    </row>
    <row r="27" spans="1:10" x14ac:dyDescent="0.2">
      <c r="A27" t="s">
        <v>728</v>
      </c>
      <c r="B27" s="140">
        <v>42986</v>
      </c>
      <c r="C27" t="s">
        <v>738</v>
      </c>
      <c r="D27">
        <v>-5.75</v>
      </c>
      <c r="E27" t="s">
        <v>657</v>
      </c>
      <c r="F27" t="s">
        <v>849</v>
      </c>
      <c r="J27" s="128"/>
    </row>
    <row r="28" spans="1:10" x14ac:dyDescent="0.2">
      <c r="A28" t="s">
        <v>728</v>
      </c>
      <c r="B28" s="140">
        <v>42986</v>
      </c>
      <c r="C28" t="s">
        <v>738</v>
      </c>
      <c r="D28">
        <v>-3.5</v>
      </c>
      <c r="E28" t="s">
        <v>657</v>
      </c>
      <c r="F28" t="s">
        <v>850</v>
      </c>
      <c r="J28" s="128"/>
    </row>
    <row r="29" spans="1:10" x14ac:dyDescent="0.2">
      <c r="A29" t="s">
        <v>728</v>
      </c>
      <c r="B29" s="140">
        <v>42986</v>
      </c>
      <c r="C29" t="s">
        <v>738</v>
      </c>
      <c r="D29">
        <v>-31.49</v>
      </c>
      <c r="E29" t="s">
        <v>657</v>
      </c>
      <c r="F29" t="s">
        <v>851</v>
      </c>
      <c r="J29" s="128"/>
    </row>
    <row r="30" spans="1:10" x14ac:dyDescent="0.2">
      <c r="A30" t="s">
        <v>728</v>
      </c>
      <c r="B30" s="140">
        <v>42989</v>
      </c>
      <c r="C30" t="s">
        <v>738</v>
      </c>
      <c r="D30">
        <v>350</v>
      </c>
      <c r="E30" t="s">
        <v>698</v>
      </c>
      <c r="F30" t="s">
        <v>742</v>
      </c>
      <c r="J30" s="128"/>
    </row>
    <row r="31" spans="1:10" x14ac:dyDescent="0.2">
      <c r="A31" t="s">
        <v>728</v>
      </c>
      <c r="B31" s="140">
        <v>42989</v>
      </c>
      <c r="C31" t="s">
        <v>738</v>
      </c>
      <c r="D31">
        <v>-25.22</v>
      </c>
      <c r="E31" t="s">
        <v>657</v>
      </c>
      <c r="F31" t="s">
        <v>852</v>
      </c>
      <c r="J31" s="128"/>
    </row>
    <row r="32" spans="1:10" x14ac:dyDescent="0.2">
      <c r="A32" t="s">
        <v>728</v>
      </c>
      <c r="B32" s="140">
        <v>42989</v>
      </c>
      <c r="C32" t="s">
        <v>738</v>
      </c>
      <c r="D32">
        <v>-5.23</v>
      </c>
      <c r="E32" t="s">
        <v>657</v>
      </c>
      <c r="F32" t="s">
        <v>852</v>
      </c>
      <c r="J32" s="128"/>
    </row>
    <row r="33" spans="1:10" x14ac:dyDescent="0.2">
      <c r="A33" t="s">
        <v>728</v>
      </c>
      <c r="B33" s="140">
        <v>42989</v>
      </c>
      <c r="C33" t="s">
        <v>738</v>
      </c>
      <c r="D33">
        <v>-75.599999999999994</v>
      </c>
      <c r="E33" t="s">
        <v>657</v>
      </c>
      <c r="F33" t="s">
        <v>853</v>
      </c>
      <c r="J33" s="128"/>
    </row>
    <row r="34" spans="1:10" x14ac:dyDescent="0.2">
      <c r="A34" t="s">
        <v>728</v>
      </c>
      <c r="B34" s="140">
        <v>42989</v>
      </c>
      <c r="C34" t="s">
        <v>738</v>
      </c>
      <c r="D34">
        <v>-14</v>
      </c>
      <c r="E34" t="s">
        <v>657</v>
      </c>
      <c r="F34" t="s">
        <v>854</v>
      </c>
      <c r="J34" s="128"/>
    </row>
    <row r="35" spans="1:10" x14ac:dyDescent="0.2">
      <c r="A35" t="s">
        <v>728</v>
      </c>
      <c r="B35" s="140">
        <v>42989</v>
      </c>
      <c r="C35" t="s">
        <v>738</v>
      </c>
      <c r="D35">
        <v>-0.99</v>
      </c>
      <c r="E35" t="s">
        <v>657</v>
      </c>
      <c r="F35" t="s">
        <v>740</v>
      </c>
      <c r="J35" s="128"/>
    </row>
    <row r="36" spans="1:10" x14ac:dyDescent="0.2">
      <c r="A36" t="s">
        <v>728</v>
      </c>
      <c r="B36" s="140">
        <v>42990</v>
      </c>
      <c r="C36" t="s">
        <v>738</v>
      </c>
      <c r="D36">
        <v>-30</v>
      </c>
      <c r="E36" t="s">
        <v>658</v>
      </c>
      <c r="F36" t="s">
        <v>739</v>
      </c>
      <c r="J36" s="128"/>
    </row>
    <row r="37" spans="1:10" x14ac:dyDescent="0.2">
      <c r="A37" t="s">
        <v>728</v>
      </c>
      <c r="B37" s="140">
        <v>42991</v>
      </c>
      <c r="C37" t="s">
        <v>738</v>
      </c>
      <c r="D37">
        <v>-20.98</v>
      </c>
      <c r="E37" t="s">
        <v>657</v>
      </c>
      <c r="F37" t="s">
        <v>855</v>
      </c>
      <c r="J37" s="128"/>
    </row>
    <row r="38" spans="1:10" x14ac:dyDescent="0.2">
      <c r="A38" t="s">
        <v>728</v>
      </c>
      <c r="B38" s="140">
        <v>42991</v>
      </c>
      <c r="C38" t="s">
        <v>738</v>
      </c>
      <c r="D38">
        <v>-18.760000000000002</v>
      </c>
      <c r="E38" t="s">
        <v>657</v>
      </c>
      <c r="F38" t="s">
        <v>856</v>
      </c>
      <c r="J38" s="128"/>
    </row>
    <row r="39" spans="1:10" x14ac:dyDescent="0.2">
      <c r="A39" t="s">
        <v>728</v>
      </c>
      <c r="B39" s="140">
        <v>42991</v>
      </c>
      <c r="C39" t="s">
        <v>738</v>
      </c>
      <c r="D39">
        <v>-77.08</v>
      </c>
      <c r="E39" t="s">
        <v>657</v>
      </c>
      <c r="F39" t="s">
        <v>857</v>
      </c>
      <c r="J39" s="128"/>
    </row>
    <row r="40" spans="1:10" x14ac:dyDescent="0.2">
      <c r="A40" t="s">
        <v>728</v>
      </c>
      <c r="B40" s="140">
        <v>42991</v>
      </c>
      <c r="C40" t="s">
        <v>738</v>
      </c>
      <c r="D40">
        <v>-32.200000000000003</v>
      </c>
      <c r="E40" t="s">
        <v>657</v>
      </c>
      <c r="F40" t="s">
        <v>858</v>
      </c>
      <c r="J40" s="128"/>
    </row>
    <row r="41" spans="1:10" x14ac:dyDescent="0.2">
      <c r="A41" t="s">
        <v>728</v>
      </c>
      <c r="B41" s="140">
        <v>42991</v>
      </c>
      <c r="C41" t="s">
        <v>738</v>
      </c>
      <c r="D41">
        <v>-0.79</v>
      </c>
      <c r="E41" t="s">
        <v>657</v>
      </c>
      <c r="F41" t="s">
        <v>740</v>
      </c>
      <c r="J41" s="128"/>
    </row>
    <row r="42" spans="1:10" x14ac:dyDescent="0.2">
      <c r="A42" t="s">
        <v>728</v>
      </c>
      <c r="B42" s="140">
        <v>42992</v>
      </c>
      <c r="C42" t="s">
        <v>738</v>
      </c>
      <c r="D42">
        <v>-24.28</v>
      </c>
      <c r="E42" t="s">
        <v>657</v>
      </c>
      <c r="F42" t="s">
        <v>859</v>
      </c>
      <c r="J42" s="128"/>
    </row>
    <row r="43" spans="1:10" x14ac:dyDescent="0.2">
      <c r="A43" t="s">
        <v>728</v>
      </c>
      <c r="B43" s="140">
        <v>42992</v>
      </c>
      <c r="C43" t="s">
        <v>738</v>
      </c>
      <c r="D43">
        <v>-17.55</v>
      </c>
      <c r="E43" t="s">
        <v>657</v>
      </c>
      <c r="F43" t="s">
        <v>860</v>
      </c>
      <c r="J43" s="128"/>
    </row>
    <row r="44" spans="1:10" x14ac:dyDescent="0.2">
      <c r="A44" t="s">
        <v>728</v>
      </c>
      <c r="B44" s="140">
        <v>42992</v>
      </c>
      <c r="C44" t="s">
        <v>738</v>
      </c>
      <c r="D44">
        <v>-9.4</v>
      </c>
      <c r="E44" t="s">
        <v>657</v>
      </c>
      <c r="F44" t="s">
        <v>861</v>
      </c>
      <c r="J44" s="128"/>
    </row>
    <row r="45" spans="1:10" x14ac:dyDescent="0.2">
      <c r="A45" t="s">
        <v>728</v>
      </c>
      <c r="B45" s="140">
        <v>42992</v>
      </c>
      <c r="C45" t="s">
        <v>738</v>
      </c>
      <c r="D45">
        <v>-7.95</v>
      </c>
      <c r="E45" t="s">
        <v>657</v>
      </c>
      <c r="F45" t="s">
        <v>861</v>
      </c>
      <c r="J45" s="128"/>
    </row>
    <row r="46" spans="1:10" x14ac:dyDescent="0.2">
      <c r="A46" t="s">
        <v>728</v>
      </c>
      <c r="B46" s="140">
        <v>42993</v>
      </c>
      <c r="C46" t="s">
        <v>738</v>
      </c>
      <c r="D46">
        <v>250</v>
      </c>
      <c r="E46" t="s">
        <v>698</v>
      </c>
      <c r="F46" t="s">
        <v>862</v>
      </c>
      <c r="J46" s="128"/>
    </row>
    <row r="47" spans="1:10" x14ac:dyDescent="0.2">
      <c r="A47" t="s">
        <v>728</v>
      </c>
      <c r="B47" s="140">
        <v>42993</v>
      </c>
      <c r="C47" t="s">
        <v>738</v>
      </c>
      <c r="D47">
        <v>16</v>
      </c>
      <c r="E47" t="s">
        <v>694</v>
      </c>
      <c r="F47" t="s">
        <v>863</v>
      </c>
      <c r="J47" s="128"/>
    </row>
    <row r="48" spans="1:10" x14ac:dyDescent="0.2">
      <c r="A48" t="s">
        <v>728</v>
      </c>
      <c r="B48" s="140">
        <v>42993</v>
      </c>
      <c r="C48" t="s">
        <v>738</v>
      </c>
      <c r="D48">
        <v>-29.65</v>
      </c>
      <c r="E48" t="s">
        <v>657</v>
      </c>
      <c r="F48" t="s">
        <v>864</v>
      </c>
      <c r="J48" s="128"/>
    </row>
    <row r="49" spans="1:10" x14ac:dyDescent="0.2">
      <c r="A49" t="s">
        <v>728</v>
      </c>
      <c r="B49" s="140">
        <v>42993</v>
      </c>
      <c r="C49" t="s">
        <v>738</v>
      </c>
      <c r="D49">
        <v>-24.45</v>
      </c>
      <c r="E49" t="s">
        <v>657</v>
      </c>
      <c r="F49" t="s">
        <v>865</v>
      </c>
      <c r="J49" s="128"/>
    </row>
    <row r="50" spans="1:10" x14ac:dyDescent="0.2">
      <c r="A50" t="s">
        <v>728</v>
      </c>
      <c r="B50" s="140">
        <v>42993</v>
      </c>
      <c r="C50" t="s">
        <v>738</v>
      </c>
      <c r="D50">
        <v>-9.31</v>
      </c>
      <c r="E50" t="s">
        <v>657</v>
      </c>
      <c r="F50" t="s">
        <v>866</v>
      </c>
      <c r="J50" s="128"/>
    </row>
    <row r="51" spans="1:10" x14ac:dyDescent="0.2">
      <c r="A51" t="s">
        <v>728</v>
      </c>
      <c r="B51" s="140">
        <v>42993</v>
      </c>
      <c r="C51" t="s">
        <v>738</v>
      </c>
      <c r="D51">
        <v>-4.8899999999999997</v>
      </c>
      <c r="E51" t="s">
        <v>657</v>
      </c>
      <c r="F51" t="s">
        <v>867</v>
      </c>
      <c r="J51" s="128"/>
    </row>
    <row r="52" spans="1:10" x14ac:dyDescent="0.2">
      <c r="A52" t="s">
        <v>728</v>
      </c>
      <c r="B52" s="140">
        <v>42993</v>
      </c>
      <c r="C52" t="s">
        <v>738</v>
      </c>
      <c r="D52">
        <v>-2.2999999999999998</v>
      </c>
      <c r="E52" t="s">
        <v>657</v>
      </c>
      <c r="F52" t="s">
        <v>868</v>
      </c>
      <c r="J52" s="128"/>
    </row>
    <row r="53" spans="1:10" x14ac:dyDescent="0.2">
      <c r="A53" t="s">
        <v>728</v>
      </c>
      <c r="B53" s="140">
        <v>42993</v>
      </c>
      <c r="C53" t="s">
        <v>738</v>
      </c>
      <c r="D53">
        <v>-2.15</v>
      </c>
      <c r="E53" t="s">
        <v>657</v>
      </c>
      <c r="F53" t="s">
        <v>869</v>
      </c>
      <c r="J53" s="128"/>
    </row>
    <row r="54" spans="1:10" x14ac:dyDescent="0.2">
      <c r="A54" t="s">
        <v>728</v>
      </c>
      <c r="B54" s="140">
        <v>42993</v>
      </c>
      <c r="C54" t="s">
        <v>738</v>
      </c>
      <c r="D54">
        <v>-2.15</v>
      </c>
      <c r="E54" t="s">
        <v>657</v>
      </c>
      <c r="F54" t="s">
        <v>869</v>
      </c>
      <c r="J54" s="128"/>
    </row>
    <row r="55" spans="1:10" x14ac:dyDescent="0.2">
      <c r="A55" t="s">
        <v>728</v>
      </c>
      <c r="B55" s="140">
        <v>42993</v>
      </c>
      <c r="C55" t="s">
        <v>738</v>
      </c>
      <c r="D55">
        <v>-31.1</v>
      </c>
      <c r="E55" t="s">
        <v>657</v>
      </c>
      <c r="F55" t="s">
        <v>870</v>
      </c>
      <c r="J55" s="128"/>
    </row>
    <row r="56" spans="1:10" x14ac:dyDescent="0.2">
      <c r="A56" t="s">
        <v>728</v>
      </c>
      <c r="B56" s="140">
        <v>42993</v>
      </c>
      <c r="C56" t="s">
        <v>738</v>
      </c>
      <c r="D56">
        <v>-61.5</v>
      </c>
      <c r="E56" t="s">
        <v>652</v>
      </c>
      <c r="F56" t="s">
        <v>741</v>
      </c>
      <c r="J56" s="128"/>
    </row>
    <row r="57" spans="1:10" x14ac:dyDescent="0.2">
      <c r="A57" t="s">
        <v>728</v>
      </c>
      <c r="B57" s="140">
        <v>42996</v>
      </c>
      <c r="C57" t="s">
        <v>738</v>
      </c>
      <c r="D57">
        <v>-21.3</v>
      </c>
      <c r="E57" t="s">
        <v>657</v>
      </c>
      <c r="F57" t="s">
        <v>871</v>
      </c>
      <c r="J57" s="128"/>
    </row>
    <row r="58" spans="1:10" x14ac:dyDescent="0.2">
      <c r="A58" t="s">
        <v>728</v>
      </c>
      <c r="B58" s="140">
        <v>42996</v>
      </c>
      <c r="C58" t="s">
        <v>738</v>
      </c>
      <c r="D58">
        <v>-10.83</v>
      </c>
      <c r="E58" t="s">
        <v>657</v>
      </c>
      <c r="F58" t="s">
        <v>872</v>
      </c>
      <c r="J58" s="128"/>
    </row>
    <row r="59" spans="1:10" x14ac:dyDescent="0.2">
      <c r="A59" t="s">
        <v>728</v>
      </c>
      <c r="B59" s="140">
        <v>42996</v>
      </c>
      <c r="C59" t="s">
        <v>738</v>
      </c>
      <c r="D59">
        <v>-9.99</v>
      </c>
      <c r="E59" t="s">
        <v>657</v>
      </c>
      <c r="F59" t="s">
        <v>873</v>
      </c>
      <c r="J59" s="128"/>
    </row>
    <row r="60" spans="1:10" x14ac:dyDescent="0.2">
      <c r="A60" t="s">
        <v>728</v>
      </c>
      <c r="B60" s="140">
        <v>42996</v>
      </c>
      <c r="C60" t="s">
        <v>738</v>
      </c>
      <c r="D60">
        <v>-5.77</v>
      </c>
      <c r="E60" t="s">
        <v>657</v>
      </c>
      <c r="F60" t="s">
        <v>874</v>
      </c>
      <c r="J60" s="128"/>
    </row>
    <row r="61" spans="1:10" x14ac:dyDescent="0.2">
      <c r="A61" t="s">
        <v>728</v>
      </c>
      <c r="B61" s="140">
        <v>42996</v>
      </c>
      <c r="C61" t="s">
        <v>738</v>
      </c>
      <c r="D61">
        <v>-1.1499999999999999</v>
      </c>
      <c r="E61" t="s">
        <v>657</v>
      </c>
      <c r="F61" t="s">
        <v>872</v>
      </c>
      <c r="J61" s="128"/>
    </row>
    <row r="62" spans="1:10" x14ac:dyDescent="0.2">
      <c r="A62" t="s">
        <v>728</v>
      </c>
      <c r="B62" s="140">
        <v>42996</v>
      </c>
      <c r="C62" t="s">
        <v>738</v>
      </c>
      <c r="D62">
        <v>-35.6</v>
      </c>
      <c r="E62" t="s">
        <v>657</v>
      </c>
      <c r="F62" t="s">
        <v>875</v>
      </c>
      <c r="J62" s="128"/>
    </row>
    <row r="63" spans="1:10" x14ac:dyDescent="0.2">
      <c r="A63" t="s">
        <v>728</v>
      </c>
      <c r="B63" s="140">
        <v>42997</v>
      </c>
      <c r="C63" t="s">
        <v>738</v>
      </c>
      <c r="D63">
        <v>-8.65</v>
      </c>
      <c r="E63" t="s">
        <v>657</v>
      </c>
      <c r="F63" t="s">
        <v>876</v>
      </c>
      <c r="J63" s="128"/>
    </row>
    <row r="64" spans="1:10" x14ac:dyDescent="0.2">
      <c r="A64" t="s">
        <v>728</v>
      </c>
      <c r="B64" s="140">
        <v>42997</v>
      </c>
      <c r="C64" t="s">
        <v>738</v>
      </c>
      <c r="D64">
        <v>-38.39</v>
      </c>
      <c r="E64" t="s">
        <v>657</v>
      </c>
      <c r="F64" t="s">
        <v>877</v>
      </c>
      <c r="J64" s="128"/>
    </row>
    <row r="65" spans="1:10" x14ac:dyDescent="0.2">
      <c r="A65" t="s">
        <v>728</v>
      </c>
      <c r="B65" s="140">
        <v>42997</v>
      </c>
      <c r="C65" t="s">
        <v>738</v>
      </c>
      <c r="D65">
        <v>-36.04</v>
      </c>
      <c r="E65" t="s">
        <v>657</v>
      </c>
      <c r="F65" t="s">
        <v>878</v>
      </c>
      <c r="J65" s="128"/>
    </row>
    <row r="66" spans="1:10" x14ac:dyDescent="0.2">
      <c r="A66" t="s">
        <v>728</v>
      </c>
      <c r="B66" s="140">
        <v>42997</v>
      </c>
      <c r="C66" t="s">
        <v>738</v>
      </c>
      <c r="D66">
        <v>-1.65</v>
      </c>
      <c r="E66" t="s">
        <v>657</v>
      </c>
      <c r="F66" t="s">
        <v>879</v>
      </c>
      <c r="J66" s="128"/>
    </row>
    <row r="67" spans="1:10" x14ac:dyDescent="0.2">
      <c r="A67" t="s">
        <v>728</v>
      </c>
      <c r="B67" s="140">
        <v>42998</v>
      </c>
      <c r="C67" t="s">
        <v>738</v>
      </c>
      <c r="D67">
        <v>-3.78</v>
      </c>
      <c r="E67" t="s">
        <v>657</v>
      </c>
      <c r="F67" t="s">
        <v>880</v>
      </c>
      <c r="J67" s="128"/>
    </row>
    <row r="68" spans="1:10" x14ac:dyDescent="0.2">
      <c r="A68" t="s">
        <v>728</v>
      </c>
      <c r="B68" s="140">
        <v>42999</v>
      </c>
      <c r="C68" t="s">
        <v>738</v>
      </c>
      <c r="D68">
        <v>120</v>
      </c>
      <c r="E68" t="s">
        <v>698</v>
      </c>
      <c r="F68" t="s">
        <v>742</v>
      </c>
      <c r="J68" s="128"/>
    </row>
    <row r="69" spans="1:10" x14ac:dyDescent="0.2">
      <c r="A69" t="s">
        <v>728</v>
      </c>
      <c r="B69" s="140">
        <v>42999</v>
      </c>
      <c r="C69" t="s">
        <v>738</v>
      </c>
      <c r="D69">
        <v>-19.45</v>
      </c>
      <c r="E69" t="s">
        <v>657</v>
      </c>
      <c r="F69" t="s">
        <v>881</v>
      </c>
      <c r="J69" s="128"/>
    </row>
    <row r="70" spans="1:10" x14ac:dyDescent="0.2">
      <c r="A70" t="s">
        <v>728</v>
      </c>
      <c r="B70" s="140">
        <v>42999</v>
      </c>
      <c r="C70" t="s">
        <v>738</v>
      </c>
      <c r="D70">
        <v>-7.45</v>
      </c>
      <c r="E70" t="s">
        <v>657</v>
      </c>
      <c r="F70" t="s">
        <v>882</v>
      </c>
      <c r="J70" s="128"/>
    </row>
    <row r="71" spans="1:10" x14ac:dyDescent="0.2">
      <c r="A71" t="s">
        <v>728</v>
      </c>
      <c r="B71" s="140">
        <v>43000</v>
      </c>
      <c r="C71" t="s">
        <v>738</v>
      </c>
      <c r="D71">
        <v>-3.98</v>
      </c>
      <c r="E71" t="s">
        <v>657</v>
      </c>
      <c r="F71" t="s">
        <v>883</v>
      </c>
      <c r="J71" s="128"/>
    </row>
    <row r="72" spans="1:10" x14ac:dyDescent="0.2">
      <c r="A72" t="s">
        <v>728</v>
      </c>
      <c r="B72" s="140">
        <v>43000</v>
      </c>
      <c r="C72" t="s">
        <v>738</v>
      </c>
      <c r="D72">
        <v>-102.02</v>
      </c>
      <c r="E72" t="s">
        <v>657</v>
      </c>
      <c r="F72" t="s">
        <v>884</v>
      </c>
      <c r="J72" s="128"/>
    </row>
    <row r="73" spans="1:10" x14ac:dyDescent="0.2">
      <c r="A73" t="s">
        <v>728</v>
      </c>
      <c r="B73" s="140">
        <v>43003</v>
      </c>
      <c r="C73" t="s">
        <v>738</v>
      </c>
      <c r="D73">
        <v>43.5</v>
      </c>
      <c r="E73" t="s">
        <v>695</v>
      </c>
      <c r="F73" t="s">
        <v>885</v>
      </c>
      <c r="J73" s="128"/>
    </row>
    <row r="74" spans="1:10" x14ac:dyDescent="0.2">
      <c r="A74" t="s">
        <v>728</v>
      </c>
      <c r="B74" s="140">
        <v>43003</v>
      </c>
      <c r="C74" t="s">
        <v>738</v>
      </c>
      <c r="D74">
        <v>-8.32</v>
      </c>
      <c r="E74" t="s">
        <v>657</v>
      </c>
      <c r="F74" t="s">
        <v>886</v>
      </c>
      <c r="J74" s="128"/>
    </row>
    <row r="75" spans="1:10" x14ac:dyDescent="0.2">
      <c r="A75" t="s">
        <v>728</v>
      </c>
      <c r="B75" s="140">
        <v>43003</v>
      </c>
      <c r="C75" t="s">
        <v>738</v>
      </c>
      <c r="D75">
        <v>-4.18</v>
      </c>
      <c r="E75" t="s">
        <v>657</v>
      </c>
      <c r="F75" t="s">
        <v>887</v>
      </c>
      <c r="J75" s="128"/>
    </row>
    <row r="76" spans="1:10" x14ac:dyDescent="0.2">
      <c r="A76" t="s">
        <v>728</v>
      </c>
      <c r="B76" s="140">
        <v>43005</v>
      </c>
      <c r="C76" t="s">
        <v>738</v>
      </c>
      <c r="D76">
        <v>1200</v>
      </c>
      <c r="E76" t="s">
        <v>703</v>
      </c>
      <c r="F76" t="s">
        <v>743</v>
      </c>
      <c r="J76" s="128"/>
    </row>
    <row r="77" spans="1:10" x14ac:dyDescent="0.2">
      <c r="A77" t="s">
        <v>728</v>
      </c>
      <c r="B77" s="140">
        <v>43005</v>
      </c>
      <c r="C77" t="s">
        <v>738</v>
      </c>
      <c r="D77">
        <v>-12.85</v>
      </c>
      <c r="E77" t="s">
        <v>657</v>
      </c>
      <c r="F77" t="s">
        <v>888</v>
      </c>
      <c r="J77" s="128"/>
    </row>
    <row r="78" spans="1:10" x14ac:dyDescent="0.2">
      <c r="A78" t="s">
        <v>728</v>
      </c>
      <c r="B78" s="140">
        <v>43005</v>
      </c>
      <c r="C78" t="s">
        <v>738</v>
      </c>
      <c r="D78">
        <v>-5.75</v>
      </c>
      <c r="E78" t="s">
        <v>657</v>
      </c>
      <c r="F78" t="s">
        <v>889</v>
      </c>
      <c r="J78" s="128"/>
    </row>
    <row r="79" spans="1:10" x14ac:dyDescent="0.2">
      <c r="A79" t="s">
        <v>728</v>
      </c>
      <c r="B79" s="140">
        <v>43006</v>
      </c>
      <c r="C79" t="s">
        <v>738</v>
      </c>
      <c r="D79">
        <v>-11.91</v>
      </c>
      <c r="E79" t="s">
        <v>657</v>
      </c>
      <c r="F79" t="s">
        <v>890</v>
      </c>
      <c r="J79" s="128"/>
    </row>
    <row r="80" spans="1:10" x14ac:dyDescent="0.2">
      <c r="A80" t="s">
        <v>728</v>
      </c>
      <c r="B80" s="140">
        <v>43006</v>
      </c>
      <c r="C80" t="s">
        <v>738</v>
      </c>
      <c r="D80">
        <v>-7.95</v>
      </c>
      <c r="E80" t="s">
        <v>657</v>
      </c>
      <c r="F80" t="s">
        <v>891</v>
      </c>
      <c r="J80" s="128"/>
    </row>
    <row r="81" spans="1:10" x14ac:dyDescent="0.2">
      <c r="A81" t="s">
        <v>728</v>
      </c>
      <c r="B81" s="140">
        <v>43006</v>
      </c>
      <c r="C81" t="s">
        <v>738</v>
      </c>
      <c r="D81">
        <v>-6.42</v>
      </c>
      <c r="E81" t="s">
        <v>657</v>
      </c>
      <c r="F81" t="s">
        <v>890</v>
      </c>
      <c r="J81" s="128"/>
    </row>
    <row r="82" spans="1:10" x14ac:dyDescent="0.2">
      <c r="A82" t="s">
        <v>728</v>
      </c>
      <c r="B82" s="140">
        <v>43006</v>
      </c>
      <c r="C82" t="s">
        <v>738</v>
      </c>
      <c r="D82">
        <v>-2.79</v>
      </c>
      <c r="E82" t="s">
        <v>657</v>
      </c>
      <c r="F82" t="s">
        <v>892</v>
      </c>
      <c r="J82" s="128"/>
    </row>
    <row r="83" spans="1:10" x14ac:dyDescent="0.2">
      <c r="A83" t="s">
        <v>728</v>
      </c>
      <c r="B83" s="140">
        <v>43006</v>
      </c>
      <c r="C83" t="s">
        <v>738</v>
      </c>
      <c r="D83">
        <v>-35.29</v>
      </c>
      <c r="E83" t="s">
        <v>657</v>
      </c>
      <c r="F83" t="s">
        <v>893</v>
      </c>
      <c r="J83" s="128"/>
    </row>
    <row r="84" spans="1:10" x14ac:dyDescent="0.2">
      <c r="A84" t="s">
        <v>728</v>
      </c>
      <c r="B84" s="140">
        <v>43006</v>
      </c>
      <c r="C84" t="s">
        <v>738</v>
      </c>
      <c r="D84">
        <v>-16.25</v>
      </c>
      <c r="E84" t="s">
        <v>657</v>
      </c>
      <c r="F84" t="s">
        <v>894</v>
      </c>
      <c r="J84" s="128"/>
    </row>
    <row r="85" spans="1:10" x14ac:dyDescent="0.2">
      <c r="A85" t="s">
        <v>728</v>
      </c>
      <c r="B85" s="140">
        <v>43006</v>
      </c>
      <c r="C85" t="s">
        <v>738</v>
      </c>
      <c r="D85">
        <v>-4</v>
      </c>
      <c r="E85" t="s">
        <v>657</v>
      </c>
      <c r="F85" t="s">
        <v>895</v>
      </c>
      <c r="J85" s="128"/>
    </row>
    <row r="86" spans="1:10" x14ac:dyDescent="0.2">
      <c r="A86" t="s">
        <v>728</v>
      </c>
      <c r="B86" s="140">
        <v>43007</v>
      </c>
      <c r="C86" t="s">
        <v>738</v>
      </c>
      <c r="D86">
        <v>-19.47</v>
      </c>
      <c r="E86" t="s">
        <v>657</v>
      </c>
      <c r="F86" t="s">
        <v>896</v>
      </c>
      <c r="J86" s="128"/>
    </row>
    <row r="87" spans="1:10" x14ac:dyDescent="0.2">
      <c r="A87" t="s">
        <v>728</v>
      </c>
      <c r="B87" s="140">
        <v>43007</v>
      </c>
      <c r="C87" t="s">
        <v>738</v>
      </c>
      <c r="D87">
        <v>-12.89</v>
      </c>
      <c r="E87" t="s">
        <v>657</v>
      </c>
      <c r="F87" t="s">
        <v>897</v>
      </c>
      <c r="J87" s="128"/>
    </row>
    <row r="88" spans="1:10" x14ac:dyDescent="0.2">
      <c r="A88" t="s">
        <v>728</v>
      </c>
      <c r="B88" s="140">
        <v>43007</v>
      </c>
      <c r="C88" t="s">
        <v>738</v>
      </c>
      <c r="D88">
        <v>-12.35</v>
      </c>
      <c r="E88" t="s">
        <v>657</v>
      </c>
      <c r="F88" t="s">
        <v>898</v>
      </c>
      <c r="J88" s="128"/>
    </row>
    <row r="89" spans="1:10" x14ac:dyDescent="0.2">
      <c r="A89" t="s">
        <v>728</v>
      </c>
      <c r="B89" s="140">
        <v>43007</v>
      </c>
      <c r="C89" t="s">
        <v>738</v>
      </c>
      <c r="D89">
        <v>-8.3000000000000007</v>
      </c>
      <c r="E89" t="s">
        <v>657</v>
      </c>
      <c r="F89" t="s">
        <v>899</v>
      </c>
      <c r="J89" s="128"/>
    </row>
    <row r="90" spans="1:10" x14ac:dyDescent="0.2">
      <c r="A90" t="s">
        <v>728</v>
      </c>
      <c r="B90" s="140">
        <v>43007</v>
      </c>
      <c r="C90" t="s">
        <v>738</v>
      </c>
      <c r="D90">
        <v>-2.95</v>
      </c>
      <c r="E90" t="s">
        <v>657</v>
      </c>
      <c r="F90" t="s">
        <v>900</v>
      </c>
      <c r="J90" s="128"/>
    </row>
    <row r="91" spans="1:10" x14ac:dyDescent="0.2">
      <c r="A91" t="s">
        <v>728</v>
      </c>
      <c r="B91" s="140">
        <v>43007</v>
      </c>
      <c r="C91" t="s">
        <v>738</v>
      </c>
      <c r="D91">
        <v>-30.28</v>
      </c>
      <c r="E91" t="s">
        <v>657</v>
      </c>
      <c r="F91" t="s">
        <v>901</v>
      </c>
      <c r="J91" s="128"/>
    </row>
    <row r="92" spans="1:10" x14ac:dyDescent="0.2">
      <c r="A92" t="s">
        <v>728</v>
      </c>
      <c r="B92" s="140">
        <v>43007</v>
      </c>
      <c r="C92" t="s">
        <v>738</v>
      </c>
      <c r="D92">
        <v>-9</v>
      </c>
      <c r="E92" t="s">
        <v>652</v>
      </c>
      <c r="F92" t="s">
        <v>902</v>
      </c>
      <c r="J92" s="128"/>
    </row>
    <row r="93" spans="1:10" x14ac:dyDescent="0.2">
      <c r="B93" s="140"/>
      <c r="J93" s="128"/>
    </row>
    <row r="94" spans="1:10" x14ac:dyDescent="0.2">
      <c r="B94" s="140"/>
      <c r="J94" s="128"/>
    </row>
    <row r="95" spans="1:10" x14ac:dyDescent="0.2">
      <c r="B95" s="140"/>
      <c r="J95" s="128"/>
    </row>
    <row r="96" spans="1:10" x14ac:dyDescent="0.2">
      <c r="B96" s="140"/>
      <c r="J96" s="128"/>
    </row>
    <row r="97" spans="2:10" x14ac:dyDescent="0.2">
      <c r="B97" s="140"/>
      <c r="J97" s="128"/>
    </row>
    <row r="98" spans="2:10" x14ac:dyDescent="0.2">
      <c r="B98" s="140"/>
      <c r="J98" s="128"/>
    </row>
    <row r="99" spans="2:10" x14ac:dyDescent="0.2">
      <c r="B99" s="140"/>
      <c r="J99" s="128"/>
    </row>
    <row r="100" spans="2:10" x14ac:dyDescent="0.2">
      <c r="B100" s="140"/>
      <c r="J100" s="128"/>
    </row>
    <row r="101" spans="2:10" x14ac:dyDescent="0.2">
      <c r="B101" s="140"/>
      <c r="J101" s="128"/>
    </row>
    <row r="102" spans="2:10" x14ac:dyDescent="0.2">
      <c r="B102" s="140"/>
      <c r="J102" s="128"/>
    </row>
    <row r="103" spans="2:10" x14ac:dyDescent="0.2">
      <c r="B103" s="140"/>
      <c r="J103" s="128"/>
    </row>
    <row r="104" spans="2:10" x14ac:dyDescent="0.2">
      <c r="B104" s="140"/>
      <c r="J104" s="128"/>
    </row>
    <row r="105" spans="2:10" x14ac:dyDescent="0.2">
      <c r="B105" s="140"/>
      <c r="J105" s="128"/>
    </row>
    <row r="106" spans="2:10" x14ac:dyDescent="0.2">
      <c r="B106" s="140"/>
      <c r="J106" s="128"/>
    </row>
    <row r="107" spans="2:10" x14ac:dyDescent="0.2">
      <c r="B107" s="140"/>
      <c r="J107" s="128"/>
    </row>
    <row r="108" spans="2:10" x14ac:dyDescent="0.2">
      <c r="B108" s="140"/>
      <c r="J108" s="128"/>
    </row>
    <row r="109" spans="2:10" x14ac:dyDescent="0.2">
      <c r="B109" s="140"/>
      <c r="J109" s="128"/>
    </row>
    <row r="110" spans="2:10" x14ac:dyDescent="0.2">
      <c r="B110" s="140"/>
      <c r="J110" s="128"/>
    </row>
    <row r="111" spans="2:10" x14ac:dyDescent="0.2">
      <c r="B111" s="140"/>
      <c r="J111" s="128"/>
    </row>
    <row r="112" spans="2:10" x14ac:dyDescent="0.2">
      <c r="B112" s="140"/>
      <c r="J112" s="128"/>
    </row>
    <row r="113" spans="2:2" x14ac:dyDescent="0.2">
      <c r="B113" s="140"/>
    </row>
    <row r="114" spans="2:2" x14ac:dyDescent="0.2">
      <c r="B114" s="140"/>
    </row>
    <row r="115" spans="2:2" x14ac:dyDescent="0.2">
      <c r="B115" s="140"/>
    </row>
    <row r="116" spans="2:2" x14ac:dyDescent="0.2">
      <c r="B116" s="140"/>
    </row>
    <row r="117" spans="2:2" x14ac:dyDescent="0.2">
      <c r="B117" s="140"/>
    </row>
    <row r="118" spans="2:2" x14ac:dyDescent="0.2">
      <c r="B118" s="140"/>
    </row>
    <row r="119" spans="2:2" x14ac:dyDescent="0.2">
      <c r="B119" s="140"/>
    </row>
    <row r="120" spans="2:2" x14ac:dyDescent="0.2">
      <c r="B120" s="140"/>
    </row>
    <row r="121" spans="2:2" x14ac:dyDescent="0.2">
      <c r="B121" s="140"/>
    </row>
    <row r="122" spans="2:2" x14ac:dyDescent="0.2">
      <c r="B122" s="140"/>
    </row>
    <row r="123" spans="2:2" x14ac:dyDescent="0.2">
      <c r="B123" s="140"/>
    </row>
    <row r="124" spans="2:2" x14ac:dyDescent="0.2">
      <c r="B124" s="140"/>
    </row>
    <row r="125" spans="2:2" x14ac:dyDescent="0.2">
      <c r="B125" s="140"/>
    </row>
    <row r="126" spans="2:2" x14ac:dyDescent="0.2">
      <c r="B126" s="140"/>
    </row>
    <row r="127" spans="2:2" x14ac:dyDescent="0.2">
      <c r="B127" s="140"/>
    </row>
    <row r="128" spans="2:2" x14ac:dyDescent="0.2">
      <c r="B128" s="140"/>
    </row>
    <row r="129" spans="2:2" x14ac:dyDescent="0.2">
      <c r="B129" s="140"/>
    </row>
    <row r="130" spans="2:2" x14ac:dyDescent="0.2">
      <c r="B130" s="140"/>
    </row>
    <row r="131" spans="2:2" x14ac:dyDescent="0.2">
      <c r="B131" s="140"/>
    </row>
    <row r="132" spans="2:2" x14ac:dyDescent="0.2">
      <c r="B132" s="140"/>
    </row>
    <row r="133" spans="2:2" x14ac:dyDescent="0.2">
      <c r="B133" s="140"/>
    </row>
    <row r="134" spans="2:2" x14ac:dyDescent="0.2">
      <c r="B134" s="140"/>
    </row>
    <row r="135" spans="2:2" x14ac:dyDescent="0.2">
      <c r="B135" s="140"/>
    </row>
    <row r="136" spans="2:2" x14ac:dyDescent="0.2">
      <c r="B136" s="140"/>
    </row>
    <row r="137" spans="2:2" x14ac:dyDescent="0.2">
      <c r="B137" s="140"/>
    </row>
    <row r="138" spans="2:2" x14ac:dyDescent="0.2">
      <c r="B138" s="140"/>
    </row>
    <row r="139" spans="2:2" x14ac:dyDescent="0.2">
      <c r="B139" s="140"/>
    </row>
    <row r="140" spans="2:2" x14ac:dyDescent="0.2">
      <c r="B140" s="140"/>
    </row>
    <row r="141" spans="2:2" x14ac:dyDescent="0.2">
      <c r="B141" s="140"/>
    </row>
    <row r="142" spans="2:2" x14ac:dyDescent="0.2">
      <c r="B142" s="140"/>
    </row>
    <row r="143" spans="2:2" x14ac:dyDescent="0.2">
      <c r="B143" s="140"/>
    </row>
    <row r="144" spans="2:2" x14ac:dyDescent="0.2">
      <c r="B144" s="140"/>
    </row>
    <row r="145" spans="2:2" x14ac:dyDescent="0.2">
      <c r="B145" s="140"/>
    </row>
    <row r="146" spans="2:2" x14ac:dyDescent="0.2">
      <c r="B146" s="140"/>
    </row>
    <row r="147" spans="2:2" x14ac:dyDescent="0.2">
      <c r="B147" s="140"/>
    </row>
    <row r="148" spans="2:2" x14ac:dyDescent="0.2">
      <c r="B148" s="140"/>
    </row>
    <row r="149" spans="2:2" x14ac:dyDescent="0.2">
      <c r="B149" s="140"/>
    </row>
    <row r="150" spans="2:2" x14ac:dyDescent="0.2">
      <c r="B150" s="140"/>
    </row>
    <row r="151" spans="2:2" x14ac:dyDescent="0.2">
      <c r="B151" s="140"/>
    </row>
    <row r="152" spans="2:2" x14ac:dyDescent="0.2">
      <c r="B152" s="140"/>
    </row>
    <row r="153" spans="2:2" x14ac:dyDescent="0.2">
      <c r="B153" s="140"/>
    </row>
    <row r="154" spans="2:2" x14ac:dyDescent="0.2">
      <c r="B154" s="140"/>
    </row>
    <row r="155" spans="2:2" x14ac:dyDescent="0.2">
      <c r="B155" s="140"/>
    </row>
    <row r="156" spans="2:2" x14ac:dyDescent="0.2">
      <c r="B156" s="140"/>
    </row>
    <row r="157" spans="2:2" x14ac:dyDescent="0.2">
      <c r="B157" s="140"/>
    </row>
    <row r="158" spans="2:2" x14ac:dyDescent="0.2">
      <c r="B158" s="140"/>
    </row>
    <row r="159" spans="2:2" x14ac:dyDescent="0.2">
      <c r="B159" s="140"/>
    </row>
    <row r="160" spans="2:2" x14ac:dyDescent="0.2">
      <c r="B160" s="140"/>
    </row>
    <row r="161" spans="2:2" x14ac:dyDescent="0.2">
      <c r="B161" s="140"/>
    </row>
    <row r="162" spans="2:2" x14ac:dyDescent="0.2">
      <c r="B162" s="140"/>
    </row>
    <row r="163" spans="2:2" x14ac:dyDescent="0.2">
      <c r="B163" s="140"/>
    </row>
    <row r="164" spans="2:2" x14ac:dyDescent="0.2">
      <c r="B164" s="140"/>
    </row>
    <row r="165" spans="2:2" x14ac:dyDescent="0.2">
      <c r="B165" s="140"/>
    </row>
    <row r="166" spans="2:2" x14ac:dyDescent="0.2">
      <c r="B166" s="140"/>
    </row>
    <row r="167" spans="2:2" x14ac:dyDescent="0.2">
      <c r="B167" s="140"/>
    </row>
    <row r="168" spans="2:2" x14ac:dyDescent="0.2">
      <c r="B168" s="140"/>
    </row>
    <row r="169" spans="2:2" x14ac:dyDescent="0.2">
      <c r="B169" s="140"/>
    </row>
    <row r="170" spans="2:2" x14ac:dyDescent="0.2">
      <c r="B170" s="140"/>
    </row>
    <row r="171" spans="2:2" x14ac:dyDescent="0.2">
      <c r="B171" s="140"/>
    </row>
    <row r="172" spans="2:2" x14ac:dyDescent="0.2">
      <c r="B172" s="140"/>
    </row>
    <row r="173" spans="2:2" x14ac:dyDescent="0.2">
      <c r="B173" s="140"/>
    </row>
    <row r="174" spans="2:2" x14ac:dyDescent="0.2">
      <c r="B174" s="140"/>
    </row>
    <row r="175" spans="2:2" x14ac:dyDescent="0.2">
      <c r="B175" s="140"/>
    </row>
    <row r="176" spans="2:2" x14ac:dyDescent="0.2">
      <c r="B176" s="140"/>
    </row>
    <row r="177" spans="2:2" x14ac:dyDescent="0.2">
      <c r="B177" s="140"/>
    </row>
    <row r="178" spans="2:2" x14ac:dyDescent="0.2">
      <c r="B178" s="140"/>
    </row>
    <row r="179" spans="2:2" x14ac:dyDescent="0.2">
      <c r="B179" s="140"/>
    </row>
    <row r="180" spans="2:2" x14ac:dyDescent="0.2">
      <c r="B180" s="140"/>
    </row>
    <row r="181" spans="2:2" x14ac:dyDescent="0.2">
      <c r="B181" s="140"/>
    </row>
    <row r="182" spans="2:2" x14ac:dyDescent="0.2">
      <c r="B182" s="140"/>
    </row>
    <row r="183" spans="2:2" x14ac:dyDescent="0.2">
      <c r="B183" s="140"/>
    </row>
    <row r="184" spans="2:2" x14ac:dyDescent="0.2">
      <c r="B184" s="140"/>
    </row>
    <row r="185" spans="2:2" x14ac:dyDescent="0.2">
      <c r="B185" s="140"/>
    </row>
    <row r="186" spans="2:2" x14ac:dyDescent="0.2">
      <c r="B186" s="140"/>
    </row>
    <row r="187" spans="2:2" x14ac:dyDescent="0.2">
      <c r="B187" s="140"/>
    </row>
    <row r="188" spans="2:2" x14ac:dyDescent="0.2">
      <c r="B188" s="140"/>
    </row>
    <row r="189" spans="2:2" x14ac:dyDescent="0.2">
      <c r="B189" s="140"/>
    </row>
    <row r="190" spans="2:2" x14ac:dyDescent="0.2">
      <c r="B190" s="140"/>
    </row>
    <row r="191" spans="2:2" x14ac:dyDescent="0.2">
      <c r="B191" s="140"/>
    </row>
    <row r="192" spans="2:2" x14ac:dyDescent="0.2">
      <c r="B192" s="140"/>
    </row>
    <row r="193" spans="2:2" x14ac:dyDescent="0.2">
      <c r="B193" s="140"/>
    </row>
    <row r="194" spans="2:2" x14ac:dyDescent="0.2">
      <c r="B194" s="140"/>
    </row>
    <row r="195" spans="2:2" x14ac:dyDescent="0.2">
      <c r="B195" s="140"/>
    </row>
  </sheetData>
  <autoFilter ref="A1:I115"/>
  <sortState ref="A2:I112">
    <sortCondition ref="B2:B11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09"/>
  <sheetViews>
    <sheetView zoomScale="85" zoomScaleNormal="85" workbookViewId="0"/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5" width="16.5703125" bestFit="1" customWidth="1"/>
    <col min="7" max="7" width="16.5703125" bestFit="1" customWidth="1"/>
    <col min="8" max="8" width="12.28515625" bestFit="1" customWidth="1"/>
    <col min="9" max="9" width="12.85546875" bestFit="1" customWidth="1"/>
    <col min="10" max="10" width="2.28515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t="s">
        <v>465</v>
      </c>
      <c r="F1" t="s">
        <v>465</v>
      </c>
      <c r="G1" t="s">
        <v>466</v>
      </c>
      <c r="H1" t="s">
        <v>467</v>
      </c>
      <c r="I1" t="s">
        <v>468</v>
      </c>
    </row>
    <row r="2" spans="1:10" x14ac:dyDescent="0.2">
      <c r="A2" t="s">
        <v>480</v>
      </c>
      <c r="B2">
        <v>432716</v>
      </c>
      <c r="C2" s="80">
        <v>42992.635717592595</v>
      </c>
      <c r="D2" t="s">
        <v>903</v>
      </c>
      <c r="F2">
        <v>0</v>
      </c>
      <c r="G2">
        <v>0</v>
      </c>
      <c r="H2">
        <v>226.72</v>
      </c>
      <c r="J2" t="s">
        <v>980</v>
      </c>
    </row>
    <row r="3" spans="1:10" x14ac:dyDescent="0.2">
      <c r="A3" t="s">
        <v>480</v>
      </c>
      <c r="B3">
        <v>432716</v>
      </c>
      <c r="C3" s="80">
        <v>42992.635717592595</v>
      </c>
      <c r="D3" t="s">
        <v>617</v>
      </c>
      <c r="F3">
        <v>133097</v>
      </c>
      <c r="G3">
        <v>16.32</v>
      </c>
      <c r="H3">
        <v>0</v>
      </c>
      <c r="J3" t="s">
        <v>981</v>
      </c>
    </row>
    <row r="4" spans="1:10" x14ac:dyDescent="0.2">
      <c r="A4" t="s">
        <v>480</v>
      </c>
      <c r="B4">
        <v>432761</v>
      </c>
      <c r="C4" s="80">
        <v>42992.639861111114</v>
      </c>
      <c r="D4" t="s">
        <v>618</v>
      </c>
      <c r="F4">
        <v>114900</v>
      </c>
      <c r="G4">
        <v>210.4</v>
      </c>
      <c r="H4">
        <v>0</v>
      </c>
      <c r="J4" t="s">
        <v>982</v>
      </c>
    </row>
    <row r="5" spans="1:10" x14ac:dyDescent="0.2">
      <c r="A5" t="s">
        <v>480</v>
      </c>
      <c r="B5">
        <v>435485</v>
      </c>
      <c r="C5" s="80">
        <v>43004.650740740741</v>
      </c>
      <c r="D5" t="s">
        <v>903</v>
      </c>
      <c r="F5">
        <v>0</v>
      </c>
      <c r="G5">
        <v>0</v>
      </c>
      <c r="H5">
        <v>398.28</v>
      </c>
      <c r="J5" t="s">
        <v>980</v>
      </c>
    </row>
    <row r="6" spans="1:10" x14ac:dyDescent="0.2">
      <c r="A6" t="s">
        <v>480</v>
      </c>
      <c r="B6">
        <v>435485</v>
      </c>
      <c r="C6" s="80">
        <v>43004.650740740741</v>
      </c>
      <c r="D6" t="s">
        <v>617</v>
      </c>
      <c r="F6">
        <v>133999</v>
      </c>
      <c r="G6">
        <v>28.68</v>
      </c>
      <c r="H6">
        <v>0</v>
      </c>
      <c r="J6" t="s">
        <v>981</v>
      </c>
    </row>
    <row r="7" spans="1:10" x14ac:dyDescent="0.2">
      <c r="A7" t="s">
        <v>480</v>
      </c>
      <c r="B7">
        <v>435651</v>
      </c>
      <c r="C7" s="80">
        <v>43004.656643518516</v>
      </c>
      <c r="D7" t="s">
        <v>618</v>
      </c>
      <c r="F7">
        <v>115512</v>
      </c>
      <c r="G7">
        <v>369.6</v>
      </c>
      <c r="H7">
        <v>0</v>
      </c>
      <c r="J7" t="s">
        <v>982</v>
      </c>
    </row>
    <row r="8" spans="1:10" x14ac:dyDescent="0.2">
      <c r="A8" t="s">
        <v>482</v>
      </c>
      <c r="B8">
        <v>428841</v>
      </c>
      <c r="C8" s="80">
        <v>42979.562349537038</v>
      </c>
      <c r="D8" t="s">
        <v>904</v>
      </c>
      <c r="E8" s="56" t="s">
        <v>976</v>
      </c>
      <c r="F8">
        <v>0</v>
      </c>
      <c r="G8">
        <v>0</v>
      </c>
      <c r="H8">
        <v>720</v>
      </c>
      <c r="J8" t="s">
        <v>980</v>
      </c>
    </row>
    <row r="9" spans="1:10" x14ac:dyDescent="0.2">
      <c r="A9" t="s">
        <v>482</v>
      </c>
      <c r="B9">
        <v>428841</v>
      </c>
      <c r="C9" s="80">
        <v>42979.562349537038</v>
      </c>
      <c r="D9" t="s">
        <v>619</v>
      </c>
      <c r="F9">
        <v>131776</v>
      </c>
      <c r="G9">
        <v>51.84</v>
      </c>
      <c r="H9">
        <v>0</v>
      </c>
      <c r="J9" t="s">
        <v>981</v>
      </c>
    </row>
    <row r="10" spans="1:10" x14ac:dyDescent="0.2">
      <c r="A10" t="s">
        <v>482</v>
      </c>
      <c r="B10">
        <v>428939</v>
      </c>
      <c r="C10" s="80">
        <v>42979.566527777781</v>
      </c>
      <c r="D10" t="s">
        <v>620</v>
      </c>
      <c r="F10">
        <v>113723</v>
      </c>
      <c r="G10">
        <v>418.16</v>
      </c>
      <c r="H10">
        <v>0</v>
      </c>
      <c r="J10" t="s">
        <v>982</v>
      </c>
    </row>
    <row r="11" spans="1:10" x14ac:dyDescent="0.2">
      <c r="A11" t="s">
        <v>482</v>
      </c>
      <c r="B11">
        <v>432566</v>
      </c>
      <c r="C11" s="80">
        <v>42992.369108796294</v>
      </c>
      <c r="D11" t="s">
        <v>905</v>
      </c>
      <c r="F11">
        <v>138984</v>
      </c>
      <c r="G11">
        <v>0</v>
      </c>
      <c r="H11">
        <v>130</v>
      </c>
      <c r="J11" t="s">
        <v>983</v>
      </c>
    </row>
    <row r="12" spans="1:10" x14ac:dyDescent="0.2">
      <c r="A12" t="s">
        <v>482</v>
      </c>
      <c r="B12">
        <v>432777</v>
      </c>
      <c r="C12" s="80">
        <v>42992.722083333334</v>
      </c>
      <c r="D12" t="s">
        <v>906</v>
      </c>
      <c r="E12" s="56" t="s">
        <v>975</v>
      </c>
      <c r="F12">
        <v>0</v>
      </c>
      <c r="G12">
        <v>130</v>
      </c>
      <c r="H12">
        <v>0</v>
      </c>
      <c r="J12" t="s">
        <v>983</v>
      </c>
    </row>
    <row r="13" spans="1:10" x14ac:dyDescent="0.2">
      <c r="A13" t="s">
        <v>482</v>
      </c>
      <c r="B13">
        <v>433885</v>
      </c>
      <c r="C13" s="80">
        <v>42998.447638888887</v>
      </c>
      <c r="D13" t="s">
        <v>907</v>
      </c>
      <c r="E13" s="56" t="s">
        <v>975</v>
      </c>
      <c r="F13">
        <v>23</v>
      </c>
      <c r="G13">
        <v>895</v>
      </c>
      <c r="H13">
        <v>0</v>
      </c>
      <c r="J13" t="s">
        <v>983</v>
      </c>
    </row>
    <row r="14" spans="1:10" x14ac:dyDescent="0.2">
      <c r="A14" t="s">
        <v>485</v>
      </c>
      <c r="B14">
        <v>431174</v>
      </c>
      <c r="C14" s="80">
        <v>42987.444131944445</v>
      </c>
      <c r="D14" t="s">
        <v>908</v>
      </c>
      <c r="E14" s="56" t="s">
        <v>975</v>
      </c>
      <c r="F14">
        <v>787</v>
      </c>
      <c r="G14">
        <v>720</v>
      </c>
      <c r="H14">
        <v>0</v>
      </c>
      <c r="J14" t="s">
        <v>983</v>
      </c>
    </row>
    <row r="15" spans="1:10" x14ac:dyDescent="0.2">
      <c r="A15" t="s">
        <v>485</v>
      </c>
      <c r="B15">
        <v>432582</v>
      </c>
      <c r="C15" s="80">
        <v>42992.375069444446</v>
      </c>
      <c r="D15" t="s">
        <v>909</v>
      </c>
      <c r="F15">
        <v>138996</v>
      </c>
      <c r="G15">
        <v>0</v>
      </c>
      <c r="H15">
        <v>720</v>
      </c>
      <c r="J15" t="s">
        <v>983</v>
      </c>
    </row>
    <row r="16" spans="1:10" x14ac:dyDescent="0.2">
      <c r="A16" t="s">
        <v>485</v>
      </c>
      <c r="B16">
        <v>436409</v>
      </c>
      <c r="C16" s="80">
        <v>43006.629351851851</v>
      </c>
      <c r="D16" t="s">
        <v>910</v>
      </c>
      <c r="E16" s="56" t="s">
        <v>976</v>
      </c>
      <c r="F16">
        <v>0</v>
      </c>
      <c r="G16">
        <v>0</v>
      </c>
      <c r="H16">
        <v>50</v>
      </c>
      <c r="J16" t="s">
        <v>980</v>
      </c>
    </row>
    <row r="17" spans="1:10" x14ac:dyDescent="0.2">
      <c r="A17" t="s">
        <v>485</v>
      </c>
      <c r="B17">
        <v>436409</v>
      </c>
      <c r="C17" s="80">
        <v>43006.629351851851</v>
      </c>
      <c r="D17" t="s">
        <v>752</v>
      </c>
      <c r="F17">
        <v>0</v>
      </c>
      <c r="G17">
        <v>0</v>
      </c>
      <c r="H17">
        <v>67.03</v>
      </c>
      <c r="J17" t="s">
        <v>980</v>
      </c>
    </row>
    <row r="18" spans="1:10" x14ac:dyDescent="0.2">
      <c r="A18" t="s">
        <v>485</v>
      </c>
      <c r="B18">
        <v>436409</v>
      </c>
      <c r="C18" s="80">
        <v>43006.629351851851</v>
      </c>
      <c r="D18" t="s">
        <v>621</v>
      </c>
      <c r="F18">
        <v>134401</v>
      </c>
      <c r="G18">
        <v>4.82</v>
      </c>
      <c r="H18">
        <v>0</v>
      </c>
      <c r="J18" t="s">
        <v>981</v>
      </c>
    </row>
    <row r="19" spans="1:10" x14ac:dyDescent="0.2">
      <c r="A19" t="s">
        <v>485</v>
      </c>
      <c r="B19">
        <v>436420</v>
      </c>
      <c r="C19" s="80">
        <v>43006.646516203706</v>
      </c>
      <c r="D19" t="s">
        <v>751</v>
      </c>
      <c r="F19">
        <v>115862</v>
      </c>
      <c r="G19">
        <v>112.21</v>
      </c>
      <c r="H19">
        <v>0</v>
      </c>
      <c r="J19" t="s">
        <v>982</v>
      </c>
    </row>
    <row r="20" spans="1:10" x14ac:dyDescent="0.2">
      <c r="A20" t="s">
        <v>486</v>
      </c>
      <c r="B20">
        <v>431036</v>
      </c>
      <c r="C20" s="80">
        <v>42986.497465277775</v>
      </c>
      <c r="D20" t="s">
        <v>911</v>
      </c>
      <c r="F20">
        <v>0</v>
      </c>
      <c r="G20">
        <v>0</v>
      </c>
      <c r="H20">
        <v>466.12</v>
      </c>
      <c r="J20" t="s">
        <v>980</v>
      </c>
    </row>
    <row r="21" spans="1:10" x14ac:dyDescent="0.2">
      <c r="A21" t="s">
        <v>486</v>
      </c>
      <c r="B21">
        <v>431036</v>
      </c>
      <c r="C21" s="80">
        <v>42986.497465277775</v>
      </c>
      <c r="D21" t="s">
        <v>622</v>
      </c>
      <c r="F21">
        <v>132633</v>
      </c>
      <c r="G21">
        <v>33.56</v>
      </c>
      <c r="H21">
        <v>0</v>
      </c>
      <c r="J21" t="s">
        <v>981</v>
      </c>
    </row>
    <row r="22" spans="1:10" x14ac:dyDescent="0.2">
      <c r="A22" t="s">
        <v>486</v>
      </c>
      <c r="B22">
        <v>431041</v>
      </c>
      <c r="C22" s="80">
        <v>42986.499166666668</v>
      </c>
      <c r="D22" t="s">
        <v>623</v>
      </c>
      <c r="F22">
        <v>114377</v>
      </c>
      <c r="G22">
        <v>432.56</v>
      </c>
      <c r="H22">
        <v>0</v>
      </c>
      <c r="J22" t="s">
        <v>982</v>
      </c>
    </row>
    <row r="23" spans="1:10" x14ac:dyDescent="0.2">
      <c r="A23" t="s">
        <v>491</v>
      </c>
      <c r="B23">
        <v>436801</v>
      </c>
      <c r="C23" s="80">
        <v>43007.609340277777</v>
      </c>
      <c r="D23" t="s">
        <v>912</v>
      </c>
      <c r="F23">
        <v>0</v>
      </c>
      <c r="G23">
        <v>0</v>
      </c>
      <c r="H23">
        <v>509.24</v>
      </c>
      <c r="J23" t="s">
        <v>980</v>
      </c>
    </row>
    <row r="24" spans="1:10" x14ac:dyDescent="0.2">
      <c r="A24" t="s">
        <v>491</v>
      </c>
      <c r="B24">
        <v>436801</v>
      </c>
      <c r="C24" s="80">
        <v>43007.609340277777</v>
      </c>
      <c r="D24" t="s">
        <v>624</v>
      </c>
      <c r="F24">
        <v>134515</v>
      </c>
      <c r="G24">
        <v>36.659999999999997</v>
      </c>
      <c r="H24">
        <v>0</v>
      </c>
      <c r="J24" t="s">
        <v>981</v>
      </c>
    </row>
    <row r="25" spans="1:10" x14ac:dyDescent="0.2">
      <c r="A25" t="s">
        <v>491</v>
      </c>
      <c r="B25">
        <v>436814</v>
      </c>
      <c r="C25" s="80">
        <v>43007.613078703704</v>
      </c>
      <c r="D25" t="s">
        <v>625</v>
      </c>
      <c r="F25">
        <v>115965</v>
      </c>
      <c r="G25">
        <v>472.58</v>
      </c>
      <c r="H25">
        <v>0</v>
      </c>
      <c r="J25" t="s">
        <v>982</v>
      </c>
    </row>
    <row r="26" spans="1:10" x14ac:dyDescent="0.2">
      <c r="A26" t="s">
        <v>492</v>
      </c>
      <c r="B26">
        <v>435606</v>
      </c>
      <c r="C26" s="80">
        <v>43004.650740740741</v>
      </c>
      <c r="D26" t="s">
        <v>750</v>
      </c>
      <c r="F26">
        <v>0</v>
      </c>
      <c r="G26">
        <v>0</v>
      </c>
      <c r="H26">
        <v>216.65</v>
      </c>
      <c r="J26" t="s">
        <v>980</v>
      </c>
    </row>
    <row r="27" spans="1:10" x14ac:dyDescent="0.2">
      <c r="A27" t="s">
        <v>492</v>
      </c>
      <c r="B27">
        <v>435606</v>
      </c>
      <c r="C27" s="80">
        <v>43004.650740740741</v>
      </c>
      <c r="D27" t="s">
        <v>626</v>
      </c>
      <c r="F27">
        <v>134117</v>
      </c>
      <c r="G27">
        <v>15.6</v>
      </c>
      <c r="H27">
        <v>0</v>
      </c>
      <c r="J27" t="s">
        <v>981</v>
      </c>
    </row>
    <row r="28" spans="1:10" x14ac:dyDescent="0.2">
      <c r="A28" t="s">
        <v>492</v>
      </c>
      <c r="B28">
        <v>435606</v>
      </c>
      <c r="C28" s="80">
        <v>43004.650740740741</v>
      </c>
      <c r="D28" t="s">
        <v>913</v>
      </c>
      <c r="F28">
        <v>0</v>
      </c>
      <c r="G28">
        <v>0</v>
      </c>
      <c r="H28">
        <v>155.43</v>
      </c>
      <c r="J28" t="s">
        <v>980</v>
      </c>
    </row>
    <row r="29" spans="1:10" x14ac:dyDescent="0.2">
      <c r="A29" t="s">
        <v>492</v>
      </c>
      <c r="B29">
        <v>435606</v>
      </c>
      <c r="C29" s="80">
        <v>43004.650740740741</v>
      </c>
      <c r="D29" t="s">
        <v>626</v>
      </c>
      <c r="F29">
        <v>134117</v>
      </c>
      <c r="G29">
        <v>11.2</v>
      </c>
      <c r="H29">
        <v>0</v>
      </c>
      <c r="J29" t="s">
        <v>981</v>
      </c>
    </row>
    <row r="30" spans="1:10" x14ac:dyDescent="0.2">
      <c r="A30" t="s">
        <v>492</v>
      </c>
      <c r="B30">
        <v>435651</v>
      </c>
      <c r="C30" s="80">
        <v>43004.656643518516</v>
      </c>
      <c r="D30" t="s">
        <v>627</v>
      </c>
      <c r="F30">
        <v>115633</v>
      </c>
      <c r="G30">
        <v>345.28</v>
      </c>
      <c r="H30">
        <v>0</v>
      </c>
      <c r="J30" t="s">
        <v>982</v>
      </c>
    </row>
    <row r="31" spans="1:10" x14ac:dyDescent="0.2">
      <c r="A31" t="s">
        <v>493</v>
      </c>
      <c r="B31">
        <v>428711</v>
      </c>
      <c r="C31" s="80">
        <v>42979.516435185185</v>
      </c>
      <c r="D31" t="s">
        <v>914</v>
      </c>
      <c r="E31" s="56" t="s">
        <v>975</v>
      </c>
      <c r="G31">
        <v>20</v>
      </c>
      <c r="H31">
        <v>0</v>
      </c>
      <c r="J31" t="s">
        <v>983</v>
      </c>
    </row>
    <row r="32" spans="1:10" x14ac:dyDescent="0.2">
      <c r="A32" t="s">
        <v>493</v>
      </c>
      <c r="B32">
        <v>433382</v>
      </c>
      <c r="C32" s="80">
        <v>42996.593402777777</v>
      </c>
      <c r="D32" t="s">
        <v>915</v>
      </c>
      <c r="F32">
        <v>0</v>
      </c>
      <c r="G32">
        <v>0</v>
      </c>
      <c r="H32">
        <v>277.52999999999997</v>
      </c>
      <c r="J32" t="s">
        <v>980</v>
      </c>
    </row>
    <row r="33" spans="1:10" x14ac:dyDescent="0.2">
      <c r="A33" t="s">
        <v>493</v>
      </c>
      <c r="B33">
        <v>433382</v>
      </c>
      <c r="C33" s="80">
        <v>42996.593402777777</v>
      </c>
      <c r="D33" t="s">
        <v>628</v>
      </c>
      <c r="F33">
        <v>133358</v>
      </c>
      <c r="G33">
        <v>19.98</v>
      </c>
      <c r="H33">
        <v>0</v>
      </c>
      <c r="J33" t="s">
        <v>981</v>
      </c>
    </row>
    <row r="34" spans="1:10" x14ac:dyDescent="0.2">
      <c r="A34" t="s">
        <v>493</v>
      </c>
      <c r="B34">
        <v>433393</v>
      </c>
      <c r="C34" s="80">
        <v>42996.600752314815</v>
      </c>
      <c r="D34" t="s">
        <v>749</v>
      </c>
      <c r="F34">
        <v>115094</v>
      </c>
      <c r="G34">
        <v>237.55</v>
      </c>
      <c r="H34">
        <v>0</v>
      </c>
      <c r="J34" t="s">
        <v>982</v>
      </c>
    </row>
    <row r="35" spans="1:10" x14ac:dyDescent="0.2">
      <c r="A35" t="s">
        <v>493</v>
      </c>
      <c r="B35">
        <v>435608</v>
      </c>
      <c r="C35" s="80">
        <v>43004.650740740741</v>
      </c>
      <c r="D35" t="s">
        <v>915</v>
      </c>
      <c r="F35">
        <v>0</v>
      </c>
      <c r="G35">
        <v>0</v>
      </c>
      <c r="H35">
        <v>247.47</v>
      </c>
      <c r="J35" t="s">
        <v>980</v>
      </c>
    </row>
    <row r="36" spans="1:10" x14ac:dyDescent="0.2">
      <c r="A36" t="s">
        <v>493</v>
      </c>
      <c r="B36">
        <v>435608</v>
      </c>
      <c r="C36" s="80">
        <v>43004.650740740741</v>
      </c>
      <c r="D36" t="s">
        <v>628</v>
      </c>
      <c r="F36">
        <v>134119</v>
      </c>
      <c r="G36">
        <v>17.82</v>
      </c>
      <c r="H36">
        <v>0</v>
      </c>
      <c r="J36" t="s">
        <v>981</v>
      </c>
    </row>
    <row r="37" spans="1:10" x14ac:dyDescent="0.2">
      <c r="A37" t="s">
        <v>493</v>
      </c>
      <c r="B37">
        <v>435651</v>
      </c>
      <c r="C37" s="80">
        <v>43004.656643518516</v>
      </c>
      <c r="D37" t="s">
        <v>749</v>
      </c>
      <c r="F37">
        <v>115635</v>
      </c>
      <c r="G37">
        <v>229.65</v>
      </c>
      <c r="H37">
        <v>0</v>
      </c>
      <c r="J37" t="s">
        <v>982</v>
      </c>
    </row>
    <row r="38" spans="1:10" x14ac:dyDescent="0.2">
      <c r="A38" t="s">
        <v>494</v>
      </c>
      <c r="B38">
        <v>433555</v>
      </c>
      <c r="C38" s="80">
        <v>42997.424363425926</v>
      </c>
      <c r="D38" t="s">
        <v>916</v>
      </c>
      <c r="E38" s="56" t="s">
        <v>975</v>
      </c>
      <c r="F38">
        <v>8993</v>
      </c>
      <c r="G38">
        <v>216</v>
      </c>
      <c r="H38">
        <v>0</v>
      </c>
      <c r="J38" t="s">
        <v>983</v>
      </c>
    </row>
    <row r="39" spans="1:10" x14ac:dyDescent="0.2">
      <c r="A39" t="s">
        <v>494</v>
      </c>
      <c r="B39">
        <v>435619</v>
      </c>
      <c r="C39" s="80">
        <v>43004.650740740741</v>
      </c>
      <c r="D39" t="s">
        <v>917</v>
      </c>
      <c r="F39">
        <v>0</v>
      </c>
      <c r="G39">
        <v>0</v>
      </c>
      <c r="H39">
        <v>490</v>
      </c>
      <c r="J39" t="s">
        <v>980</v>
      </c>
    </row>
    <row r="40" spans="1:10" x14ac:dyDescent="0.2">
      <c r="A40" t="s">
        <v>494</v>
      </c>
      <c r="B40">
        <v>435619</v>
      </c>
      <c r="C40" s="80">
        <v>43004.650740740741</v>
      </c>
      <c r="D40" t="s">
        <v>629</v>
      </c>
      <c r="F40">
        <v>134130</v>
      </c>
      <c r="G40">
        <v>35.28</v>
      </c>
      <c r="H40">
        <v>0</v>
      </c>
      <c r="J40" t="s">
        <v>981</v>
      </c>
    </row>
    <row r="41" spans="1:10" x14ac:dyDescent="0.2">
      <c r="A41" t="s">
        <v>494</v>
      </c>
      <c r="B41">
        <v>435651</v>
      </c>
      <c r="C41" s="80">
        <v>43004.656643518516</v>
      </c>
      <c r="D41" t="s">
        <v>630</v>
      </c>
      <c r="F41">
        <v>115646</v>
      </c>
      <c r="G41">
        <v>238.72</v>
      </c>
      <c r="H41">
        <v>0</v>
      </c>
      <c r="J41" t="s">
        <v>982</v>
      </c>
    </row>
    <row r="42" spans="1:10" x14ac:dyDescent="0.2">
      <c r="A42" t="s">
        <v>497</v>
      </c>
      <c r="B42">
        <v>435585</v>
      </c>
      <c r="C42" s="80">
        <v>43004.650740740741</v>
      </c>
      <c r="D42" t="s">
        <v>918</v>
      </c>
      <c r="F42">
        <v>0</v>
      </c>
      <c r="G42">
        <v>0</v>
      </c>
      <c r="H42">
        <v>500</v>
      </c>
      <c r="J42" t="s">
        <v>980</v>
      </c>
    </row>
    <row r="43" spans="1:10" x14ac:dyDescent="0.2">
      <c r="A43" t="s">
        <v>497</v>
      </c>
      <c r="B43">
        <v>435585</v>
      </c>
      <c r="C43" s="80">
        <v>43004.650740740741</v>
      </c>
      <c r="D43" t="s">
        <v>631</v>
      </c>
      <c r="F43">
        <v>134096</v>
      </c>
      <c r="G43">
        <v>36</v>
      </c>
      <c r="H43">
        <v>0</v>
      </c>
      <c r="J43" t="s">
        <v>981</v>
      </c>
    </row>
    <row r="44" spans="1:10" x14ac:dyDescent="0.2">
      <c r="A44" t="s">
        <v>497</v>
      </c>
      <c r="B44">
        <v>435651</v>
      </c>
      <c r="C44" s="80">
        <v>43004.656643518516</v>
      </c>
      <c r="D44" t="s">
        <v>632</v>
      </c>
      <c r="F44">
        <v>115612</v>
      </c>
      <c r="G44">
        <v>464</v>
      </c>
      <c r="H44">
        <v>0</v>
      </c>
      <c r="J44" t="s">
        <v>982</v>
      </c>
    </row>
    <row r="45" spans="1:10" x14ac:dyDescent="0.2">
      <c r="A45" t="s">
        <v>499</v>
      </c>
      <c r="B45">
        <v>433609</v>
      </c>
      <c r="C45" s="80">
        <v>42997.494398148148</v>
      </c>
      <c r="D45" t="s">
        <v>919</v>
      </c>
      <c r="E45" s="56" t="s">
        <v>975</v>
      </c>
      <c r="F45">
        <v>9021</v>
      </c>
      <c r="G45">
        <v>96</v>
      </c>
      <c r="H45">
        <v>0</v>
      </c>
      <c r="J45" t="s">
        <v>983</v>
      </c>
    </row>
    <row r="46" spans="1:10" x14ac:dyDescent="0.2">
      <c r="A46" t="s">
        <v>499</v>
      </c>
      <c r="B46">
        <v>435593</v>
      </c>
      <c r="C46" s="80">
        <v>43004.650740740741</v>
      </c>
      <c r="D46" t="s">
        <v>748</v>
      </c>
      <c r="F46">
        <v>0</v>
      </c>
      <c r="G46">
        <v>0</v>
      </c>
      <c r="H46">
        <v>231.36</v>
      </c>
      <c r="J46" t="s">
        <v>980</v>
      </c>
    </row>
    <row r="47" spans="1:10" x14ac:dyDescent="0.2">
      <c r="A47" t="s">
        <v>499</v>
      </c>
      <c r="B47">
        <v>435593</v>
      </c>
      <c r="C47" s="80">
        <v>43004.650740740741</v>
      </c>
      <c r="D47" t="s">
        <v>633</v>
      </c>
      <c r="F47">
        <v>134104</v>
      </c>
      <c r="G47">
        <v>16.66</v>
      </c>
      <c r="H47">
        <v>0</v>
      </c>
      <c r="J47" t="s">
        <v>981</v>
      </c>
    </row>
    <row r="48" spans="1:10" x14ac:dyDescent="0.2">
      <c r="A48" t="s">
        <v>499</v>
      </c>
      <c r="B48">
        <v>435593</v>
      </c>
      <c r="C48" s="80">
        <v>43004.650740740741</v>
      </c>
      <c r="D48" t="s">
        <v>920</v>
      </c>
      <c r="F48">
        <v>0</v>
      </c>
      <c r="G48">
        <v>0</v>
      </c>
      <c r="H48">
        <v>230.16</v>
      </c>
      <c r="J48" t="s">
        <v>980</v>
      </c>
    </row>
    <row r="49" spans="1:10" x14ac:dyDescent="0.2">
      <c r="A49" t="s">
        <v>499</v>
      </c>
      <c r="B49">
        <v>435593</v>
      </c>
      <c r="C49" s="80">
        <v>43004.650740740741</v>
      </c>
      <c r="D49" t="s">
        <v>633</v>
      </c>
      <c r="F49">
        <v>134104</v>
      </c>
      <c r="G49">
        <v>16.57</v>
      </c>
      <c r="H49">
        <v>0</v>
      </c>
      <c r="J49" t="s">
        <v>981</v>
      </c>
    </row>
    <row r="50" spans="1:10" x14ac:dyDescent="0.2">
      <c r="A50" t="s">
        <v>499</v>
      </c>
      <c r="B50">
        <v>435651</v>
      </c>
      <c r="C50" s="80">
        <v>43004.656643518516</v>
      </c>
      <c r="D50" t="s">
        <v>634</v>
      </c>
      <c r="F50">
        <v>115620</v>
      </c>
      <c r="G50">
        <v>332.29</v>
      </c>
      <c r="H50">
        <v>0</v>
      </c>
      <c r="J50" t="s">
        <v>982</v>
      </c>
    </row>
    <row r="51" spans="1:10" x14ac:dyDescent="0.2">
      <c r="A51" t="s">
        <v>503</v>
      </c>
      <c r="B51">
        <v>433386</v>
      </c>
      <c r="C51" s="80">
        <v>42996.593402777777</v>
      </c>
      <c r="D51" t="s">
        <v>921</v>
      </c>
      <c r="F51">
        <v>0</v>
      </c>
      <c r="G51">
        <v>0</v>
      </c>
      <c r="H51">
        <v>57.76</v>
      </c>
      <c r="J51" t="s">
        <v>980</v>
      </c>
    </row>
    <row r="52" spans="1:10" x14ac:dyDescent="0.2">
      <c r="A52" t="s">
        <v>503</v>
      </c>
      <c r="B52">
        <v>433386</v>
      </c>
      <c r="C52" s="80">
        <v>42996.593402777777</v>
      </c>
      <c r="D52" t="s">
        <v>635</v>
      </c>
      <c r="F52">
        <v>133362</v>
      </c>
      <c r="G52">
        <v>4.16</v>
      </c>
      <c r="H52">
        <v>0</v>
      </c>
      <c r="J52" t="s">
        <v>981</v>
      </c>
    </row>
    <row r="53" spans="1:10" x14ac:dyDescent="0.2">
      <c r="A53" t="s">
        <v>503</v>
      </c>
      <c r="B53">
        <v>433393</v>
      </c>
      <c r="C53" s="80">
        <v>42996.600752314815</v>
      </c>
      <c r="D53" t="s">
        <v>636</v>
      </c>
      <c r="F53">
        <v>115098</v>
      </c>
      <c r="G53">
        <v>53.6</v>
      </c>
      <c r="H53">
        <v>0</v>
      </c>
      <c r="J53" t="s">
        <v>982</v>
      </c>
    </row>
    <row r="54" spans="1:10" x14ac:dyDescent="0.2">
      <c r="A54" t="s">
        <v>503</v>
      </c>
      <c r="B54">
        <v>433557</v>
      </c>
      <c r="C54" s="80">
        <v>42997.425069444442</v>
      </c>
      <c r="D54" t="s">
        <v>922</v>
      </c>
      <c r="F54">
        <v>767</v>
      </c>
      <c r="G54">
        <v>80</v>
      </c>
      <c r="H54">
        <v>0</v>
      </c>
      <c r="J54" t="s">
        <v>983</v>
      </c>
    </row>
    <row r="55" spans="1:10" x14ac:dyDescent="0.2">
      <c r="A55" t="s">
        <v>503</v>
      </c>
      <c r="B55">
        <v>435624</v>
      </c>
      <c r="C55" s="80">
        <v>43004.650740740741</v>
      </c>
      <c r="D55" t="s">
        <v>921</v>
      </c>
      <c r="F55">
        <v>0</v>
      </c>
      <c r="G55">
        <v>0</v>
      </c>
      <c r="H55">
        <v>442.24</v>
      </c>
      <c r="J55" t="s">
        <v>980</v>
      </c>
    </row>
    <row r="56" spans="1:10" x14ac:dyDescent="0.2">
      <c r="A56" t="s">
        <v>503</v>
      </c>
      <c r="B56">
        <v>435624</v>
      </c>
      <c r="C56" s="80">
        <v>43004.650740740741</v>
      </c>
      <c r="D56" t="s">
        <v>635</v>
      </c>
      <c r="F56">
        <v>134135</v>
      </c>
      <c r="G56">
        <v>31.84</v>
      </c>
      <c r="H56">
        <v>0</v>
      </c>
      <c r="J56" t="s">
        <v>981</v>
      </c>
    </row>
    <row r="57" spans="1:10" x14ac:dyDescent="0.2">
      <c r="A57" t="s">
        <v>503</v>
      </c>
      <c r="B57">
        <v>435651</v>
      </c>
      <c r="C57" s="80">
        <v>43004.656643518516</v>
      </c>
      <c r="D57" t="s">
        <v>636</v>
      </c>
      <c r="F57">
        <v>115651</v>
      </c>
      <c r="G57">
        <v>330.4</v>
      </c>
      <c r="H57">
        <v>0</v>
      </c>
      <c r="J57" t="s">
        <v>982</v>
      </c>
    </row>
    <row r="58" spans="1:10" x14ac:dyDescent="0.2">
      <c r="A58" t="s">
        <v>505</v>
      </c>
      <c r="B58">
        <v>433720</v>
      </c>
      <c r="C58" s="80">
        <v>42997.633553240739</v>
      </c>
      <c r="D58" t="s">
        <v>923</v>
      </c>
      <c r="F58">
        <v>0</v>
      </c>
      <c r="G58">
        <v>0</v>
      </c>
      <c r="H58">
        <v>116.2</v>
      </c>
      <c r="J58" t="s">
        <v>980</v>
      </c>
    </row>
    <row r="59" spans="1:10" x14ac:dyDescent="0.2">
      <c r="A59" t="s">
        <v>505</v>
      </c>
      <c r="B59">
        <v>433720</v>
      </c>
      <c r="C59" s="80">
        <v>42997.633553240739</v>
      </c>
      <c r="D59" t="s">
        <v>637</v>
      </c>
      <c r="F59">
        <v>133474</v>
      </c>
      <c r="G59">
        <v>8.36</v>
      </c>
      <c r="H59">
        <v>0</v>
      </c>
      <c r="J59" t="s">
        <v>981</v>
      </c>
    </row>
    <row r="60" spans="1:10" x14ac:dyDescent="0.2">
      <c r="A60" t="s">
        <v>505</v>
      </c>
      <c r="B60">
        <v>433729</v>
      </c>
      <c r="C60" s="80">
        <v>42997.636666666665</v>
      </c>
      <c r="D60" t="s">
        <v>638</v>
      </c>
      <c r="F60">
        <v>115189</v>
      </c>
      <c r="G60">
        <v>107.84</v>
      </c>
      <c r="H60">
        <v>0</v>
      </c>
      <c r="J60" t="s">
        <v>982</v>
      </c>
    </row>
    <row r="61" spans="1:10" x14ac:dyDescent="0.2">
      <c r="A61" t="s">
        <v>505</v>
      </c>
      <c r="B61">
        <v>435587</v>
      </c>
      <c r="C61" s="80">
        <v>43004.650740740741</v>
      </c>
      <c r="D61" t="s">
        <v>923</v>
      </c>
      <c r="F61">
        <v>0</v>
      </c>
      <c r="G61">
        <v>0</v>
      </c>
      <c r="H61">
        <v>388.8</v>
      </c>
      <c r="J61" t="s">
        <v>980</v>
      </c>
    </row>
    <row r="62" spans="1:10" x14ac:dyDescent="0.2">
      <c r="A62" t="s">
        <v>505</v>
      </c>
      <c r="B62">
        <v>435587</v>
      </c>
      <c r="C62" s="80">
        <v>43004.650740740741</v>
      </c>
      <c r="D62" t="s">
        <v>637</v>
      </c>
      <c r="F62">
        <v>134098</v>
      </c>
      <c r="G62">
        <v>28</v>
      </c>
      <c r="H62">
        <v>0</v>
      </c>
      <c r="J62" t="s">
        <v>981</v>
      </c>
    </row>
    <row r="63" spans="1:10" x14ac:dyDescent="0.2">
      <c r="A63" t="s">
        <v>505</v>
      </c>
      <c r="B63">
        <v>435651</v>
      </c>
      <c r="C63" s="80">
        <v>43004.656643518516</v>
      </c>
      <c r="D63" t="s">
        <v>638</v>
      </c>
      <c r="F63">
        <v>115614</v>
      </c>
      <c r="G63">
        <v>360.8</v>
      </c>
      <c r="H63">
        <v>0</v>
      </c>
      <c r="J63" t="s">
        <v>982</v>
      </c>
    </row>
    <row r="64" spans="1:10" x14ac:dyDescent="0.2">
      <c r="A64" s="56" t="s">
        <v>507</v>
      </c>
      <c r="B64">
        <v>435594</v>
      </c>
      <c r="C64" s="80">
        <v>43004.650740740741</v>
      </c>
      <c r="D64" t="s">
        <v>924</v>
      </c>
      <c r="F64">
        <v>0</v>
      </c>
      <c r="G64">
        <v>0</v>
      </c>
      <c r="H64">
        <v>2.14</v>
      </c>
      <c r="J64" t="s">
        <v>980</v>
      </c>
    </row>
    <row r="65" spans="1:10" x14ac:dyDescent="0.2">
      <c r="A65" s="56" t="s">
        <v>507</v>
      </c>
      <c r="B65">
        <v>435594</v>
      </c>
      <c r="C65" s="80">
        <v>43004.650740740741</v>
      </c>
      <c r="D65" t="s">
        <v>640</v>
      </c>
      <c r="F65">
        <v>134105</v>
      </c>
      <c r="G65">
        <v>0.16</v>
      </c>
      <c r="H65">
        <v>0</v>
      </c>
      <c r="J65" t="s">
        <v>981</v>
      </c>
    </row>
    <row r="66" spans="1:10" x14ac:dyDescent="0.2">
      <c r="A66" s="56" t="s">
        <v>507</v>
      </c>
      <c r="B66">
        <v>435594</v>
      </c>
      <c r="C66" s="80">
        <v>43004.650740740741</v>
      </c>
      <c r="D66" t="s">
        <v>639</v>
      </c>
      <c r="F66">
        <v>0</v>
      </c>
      <c r="G66">
        <v>0</v>
      </c>
      <c r="H66">
        <v>70.66</v>
      </c>
      <c r="J66" t="s">
        <v>980</v>
      </c>
    </row>
    <row r="67" spans="1:10" x14ac:dyDescent="0.2">
      <c r="A67" s="56" t="s">
        <v>507</v>
      </c>
      <c r="B67">
        <v>435594</v>
      </c>
      <c r="C67" s="80">
        <v>43004.650740740741</v>
      </c>
      <c r="D67" t="s">
        <v>640</v>
      </c>
      <c r="F67">
        <v>134105</v>
      </c>
      <c r="G67">
        <v>5.09</v>
      </c>
      <c r="H67">
        <v>0</v>
      </c>
      <c r="J67" t="s">
        <v>981</v>
      </c>
    </row>
    <row r="68" spans="1:10" x14ac:dyDescent="0.2">
      <c r="A68" s="56" t="s">
        <v>507</v>
      </c>
      <c r="B68">
        <v>435651</v>
      </c>
      <c r="C68" s="80">
        <v>43004.656643518516</v>
      </c>
      <c r="D68" t="s">
        <v>641</v>
      </c>
      <c r="F68">
        <v>115621</v>
      </c>
      <c r="G68">
        <v>67.55</v>
      </c>
      <c r="H68">
        <v>0</v>
      </c>
      <c r="J68" t="s">
        <v>982</v>
      </c>
    </row>
    <row r="69" spans="1:10" x14ac:dyDescent="0.2">
      <c r="A69" t="s">
        <v>475</v>
      </c>
      <c r="B69">
        <v>435611</v>
      </c>
      <c r="C69" s="80">
        <v>43004.650740740741</v>
      </c>
      <c r="D69" t="s">
        <v>925</v>
      </c>
      <c r="F69">
        <v>0</v>
      </c>
      <c r="G69">
        <v>0</v>
      </c>
      <c r="H69">
        <v>371.76</v>
      </c>
      <c r="J69" t="s">
        <v>980</v>
      </c>
    </row>
    <row r="70" spans="1:10" x14ac:dyDescent="0.2">
      <c r="A70" t="s">
        <v>475</v>
      </c>
      <c r="B70">
        <v>435611</v>
      </c>
      <c r="C70" s="80">
        <v>43004.650740740741</v>
      </c>
      <c r="D70" t="s">
        <v>642</v>
      </c>
      <c r="F70">
        <v>134122</v>
      </c>
      <c r="G70">
        <v>26.77</v>
      </c>
      <c r="H70">
        <v>0</v>
      </c>
      <c r="J70" t="s">
        <v>981</v>
      </c>
    </row>
    <row r="71" spans="1:10" x14ac:dyDescent="0.2">
      <c r="A71" t="s">
        <v>475</v>
      </c>
      <c r="B71">
        <v>435611</v>
      </c>
      <c r="C71" s="80">
        <v>43004.650740740741</v>
      </c>
      <c r="D71" t="s">
        <v>746</v>
      </c>
      <c r="F71">
        <v>0</v>
      </c>
      <c r="G71">
        <v>0</v>
      </c>
      <c r="H71">
        <v>45.36</v>
      </c>
      <c r="J71" t="s">
        <v>980</v>
      </c>
    </row>
    <row r="72" spans="1:10" x14ac:dyDescent="0.2">
      <c r="A72" t="s">
        <v>475</v>
      </c>
      <c r="B72">
        <v>435611</v>
      </c>
      <c r="C72" s="80">
        <v>43004.650740740741</v>
      </c>
      <c r="D72" t="s">
        <v>642</v>
      </c>
      <c r="F72">
        <v>134122</v>
      </c>
      <c r="G72">
        <v>3.26</v>
      </c>
      <c r="H72">
        <v>0</v>
      </c>
      <c r="J72" t="s">
        <v>981</v>
      </c>
    </row>
    <row r="73" spans="1:10" x14ac:dyDescent="0.2">
      <c r="A73" t="s">
        <v>475</v>
      </c>
      <c r="B73">
        <v>435651</v>
      </c>
      <c r="C73" s="80">
        <v>43004.656643518516</v>
      </c>
      <c r="D73" t="s">
        <v>747</v>
      </c>
      <c r="F73">
        <v>115638</v>
      </c>
      <c r="G73">
        <v>387.09</v>
      </c>
      <c r="H73">
        <v>0</v>
      </c>
      <c r="J73" t="s">
        <v>982</v>
      </c>
    </row>
    <row r="74" spans="1:10" x14ac:dyDescent="0.2">
      <c r="A74" t="s">
        <v>489</v>
      </c>
      <c r="B74">
        <v>435086</v>
      </c>
      <c r="C74" s="80">
        <v>43003.675081018519</v>
      </c>
      <c r="D74" t="s">
        <v>926</v>
      </c>
      <c r="F74">
        <v>0</v>
      </c>
      <c r="G74">
        <v>0</v>
      </c>
      <c r="H74">
        <v>610</v>
      </c>
      <c r="J74" t="s">
        <v>980</v>
      </c>
    </row>
    <row r="75" spans="1:10" x14ac:dyDescent="0.2">
      <c r="A75" t="s">
        <v>489</v>
      </c>
      <c r="B75">
        <v>435086</v>
      </c>
      <c r="C75" s="80">
        <v>43003.675081018519</v>
      </c>
      <c r="D75" t="s">
        <v>563</v>
      </c>
      <c r="F75">
        <v>133900</v>
      </c>
      <c r="G75">
        <v>43.92</v>
      </c>
      <c r="H75">
        <v>0</v>
      </c>
      <c r="J75" t="s">
        <v>981</v>
      </c>
    </row>
    <row r="76" spans="1:10" x14ac:dyDescent="0.2">
      <c r="A76" t="s">
        <v>489</v>
      </c>
      <c r="B76">
        <v>435089</v>
      </c>
      <c r="C76" s="80">
        <v>43003.677256944444</v>
      </c>
      <c r="D76" t="s">
        <v>564</v>
      </c>
      <c r="F76">
        <v>115437</v>
      </c>
      <c r="G76">
        <v>566.08000000000004</v>
      </c>
      <c r="H76">
        <v>0</v>
      </c>
      <c r="J76" t="s">
        <v>982</v>
      </c>
    </row>
    <row r="77" spans="1:10" x14ac:dyDescent="0.2">
      <c r="A77" t="s">
        <v>487</v>
      </c>
      <c r="B77">
        <v>431388</v>
      </c>
      <c r="C77" s="80">
        <v>42989.635775462964</v>
      </c>
      <c r="D77" t="s">
        <v>927</v>
      </c>
      <c r="F77">
        <v>0</v>
      </c>
      <c r="G77">
        <v>0</v>
      </c>
      <c r="H77">
        <v>231.7</v>
      </c>
      <c r="J77" t="s">
        <v>980</v>
      </c>
    </row>
    <row r="78" spans="1:10" x14ac:dyDescent="0.2">
      <c r="A78" t="s">
        <v>487</v>
      </c>
      <c r="B78">
        <v>431388</v>
      </c>
      <c r="C78" s="80">
        <v>42989.635775462964</v>
      </c>
      <c r="D78" t="s">
        <v>565</v>
      </c>
      <c r="F78">
        <v>132790</v>
      </c>
      <c r="G78">
        <v>16.68</v>
      </c>
      <c r="H78">
        <v>0</v>
      </c>
      <c r="J78" t="s">
        <v>981</v>
      </c>
    </row>
    <row r="79" spans="1:10" x14ac:dyDescent="0.2">
      <c r="A79" t="s">
        <v>487</v>
      </c>
      <c r="B79">
        <v>431402</v>
      </c>
      <c r="C79" s="80">
        <v>42989.638194444444</v>
      </c>
      <c r="D79" t="s">
        <v>566</v>
      </c>
      <c r="F79">
        <v>114447</v>
      </c>
      <c r="G79">
        <v>215.02</v>
      </c>
      <c r="H79">
        <v>0</v>
      </c>
      <c r="J79" t="s">
        <v>982</v>
      </c>
    </row>
    <row r="80" spans="1:10" x14ac:dyDescent="0.2">
      <c r="A80" t="s">
        <v>487</v>
      </c>
      <c r="B80">
        <v>435595</v>
      </c>
      <c r="C80" s="80">
        <v>43004.650740740741</v>
      </c>
      <c r="D80" t="s">
        <v>927</v>
      </c>
      <c r="F80">
        <v>0</v>
      </c>
      <c r="G80">
        <v>0</v>
      </c>
      <c r="H80">
        <v>283.3</v>
      </c>
      <c r="J80" t="s">
        <v>980</v>
      </c>
    </row>
    <row r="81" spans="1:10" x14ac:dyDescent="0.2">
      <c r="A81" t="s">
        <v>487</v>
      </c>
      <c r="B81">
        <v>435595</v>
      </c>
      <c r="C81" s="80">
        <v>43004.650740740741</v>
      </c>
      <c r="D81" t="s">
        <v>565</v>
      </c>
      <c r="F81">
        <v>134106</v>
      </c>
      <c r="G81">
        <v>20.399999999999999</v>
      </c>
      <c r="H81">
        <v>0</v>
      </c>
      <c r="J81" t="s">
        <v>981</v>
      </c>
    </row>
    <row r="82" spans="1:10" x14ac:dyDescent="0.2">
      <c r="A82" t="s">
        <v>487</v>
      </c>
      <c r="B82">
        <v>435651</v>
      </c>
      <c r="C82" s="80">
        <v>43004.656643518516</v>
      </c>
      <c r="D82" t="s">
        <v>566</v>
      </c>
      <c r="F82">
        <v>115622</v>
      </c>
      <c r="G82">
        <v>262.89999999999998</v>
      </c>
      <c r="H82">
        <v>0</v>
      </c>
      <c r="J82" t="s">
        <v>982</v>
      </c>
    </row>
    <row r="83" spans="1:10" x14ac:dyDescent="0.2">
      <c r="A83" t="s">
        <v>488</v>
      </c>
      <c r="B83">
        <v>435596</v>
      </c>
      <c r="C83" s="80">
        <v>43004.650740740741</v>
      </c>
      <c r="D83" t="s">
        <v>928</v>
      </c>
      <c r="F83">
        <v>0</v>
      </c>
      <c r="G83">
        <v>0</v>
      </c>
      <c r="H83">
        <v>499.28</v>
      </c>
      <c r="J83" t="s">
        <v>980</v>
      </c>
    </row>
    <row r="84" spans="1:10" x14ac:dyDescent="0.2">
      <c r="A84" t="s">
        <v>488</v>
      </c>
      <c r="B84">
        <v>435596</v>
      </c>
      <c r="C84" s="80">
        <v>43004.650740740741</v>
      </c>
      <c r="D84" t="s">
        <v>567</v>
      </c>
      <c r="F84">
        <v>134107</v>
      </c>
      <c r="G84">
        <v>35.950000000000003</v>
      </c>
      <c r="H84">
        <v>0</v>
      </c>
      <c r="J84" t="s">
        <v>981</v>
      </c>
    </row>
    <row r="85" spans="1:10" x14ac:dyDescent="0.2">
      <c r="A85" t="s">
        <v>488</v>
      </c>
      <c r="B85">
        <v>435651</v>
      </c>
      <c r="C85" s="80">
        <v>43004.656643518516</v>
      </c>
      <c r="D85" t="s">
        <v>568</v>
      </c>
      <c r="F85">
        <v>115623</v>
      </c>
      <c r="G85">
        <v>463.33</v>
      </c>
      <c r="H85">
        <v>0</v>
      </c>
      <c r="J85" t="s">
        <v>982</v>
      </c>
    </row>
    <row r="86" spans="1:10" x14ac:dyDescent="0.2">
      <c r="A86" t="s">
        <v>496</v>
      </c>
      <c r="B86">
        <v>435584</v>
      </c>
      <c r="C86" s="80">
        <v>43004.650740740741</v>
      </c>
      <c r="D86" t="s">
        <v>929</v>
      </c>
      <c r="F86">
        <v>0</v>
      </c>
      <c r="G86">
        <v>0</v>
      </c>
      <c r="H86">
        <v>499.27</v>
      </c>
      <c r="J86" t="s">
        <v>980</v>
      </c>
    </row>
    <row r="87" spans="1:10" x14ac:dyDescent="0.2">
      <c r="A87" t="s">
        <v>496</v>
      </c>
      <c r="B87">
        <v>435584</v>
      </c>
      <c r="C87" s="80">
        <v>43004.650740740741</v>
      </c>
      <c r="D87" t="s">
        <v>569</v>
      </c>
      <c r="F87">
        <v>134095</v>
      </c>
      <c r="G87">
        <v>35.950000000000003</v>
      </c>
      <c r="H87">
        <v>0</v>
      </c>
      <c r="J87" t="s">
        <v>981</v>
      </c>
    </row>
    <row r="88" spans="1:10" x14ac:dyDescent="0.2">
      <c r="A88" t="s">
        <v>496</v>
      </c>
      <c r="B88">
        <v>435651</v>
      </c>
      <c r="C88" s="80">
        <v>43004.656643518516</v>
      </c>
      <c r="D88" t="s">
        <v>570</v>
      </c>
      <c r="F88">
        <v>115611</v>
      </c>
      <c r="G88">
        <v>463.32</v>
      </c>
      <c r="H88">
        <v>0</v>
      </c>
      <c r="J88" t="s">
        <v>982</v>
      </c>
    </row>
    <row r="89" spans="1:10" x14ac:dyDescent="0.2">
      <c r="A89" t="s">
        <v>498</v>
      </c>
      <c r="B89">
        <v>430463</v>
      </c>
      <c r="C89" s="80">
        <v>42984.62599537037</v>
      </c>
      <c r="D89" t="s">
        <v>930</v>
      </c>
      <c r="F89">
        <v>0</v>
      </c>
      <c r="G89">
        <v>0</v>
      </c>
      <c r="H89">
        <v>500</v>
      </c>
      <c r="J89" t="s">
        <v>980</v>
      </c>
    </row>
    <row r="90" spans="1:10" x14ac:dyDescent="0.2">
      <c r="A90" t="s">
        <v>498</v>
      </c>
      <c r="B90">
        <v>430463</v>
      </c>
      <c r="C90" s="80">
        <v>42984.62599537037</v>
      </c>
      <c r="D90" t="s">
        <v>571</v>
      </c>
      <c r="F90">
        <v>132432</v>
      </c>
      <c r="G90">
        <v>36</v>
      </c>
      <c r="H90">
        <v>0</v>
      </c>
      <c r="J90" t="s">
        <v>981</v>
      </c>
    </row>
    <row r="91" spans="1:10" x14ac:dyDescent="0.2">
      <c r="A91" t="s">
        <v>498</v>
      </c>
      <c r="B91">
        <v>430487</v>
      </c>
      <c r="C91" s="80">
        <v>42984.666620370372</v>
      </c>
      <c r="D91" t="s">
        <v>572</v>
      </c>
      <c r="F91">
        <v>114235</v>
      </c>
      <c r="G91">
        <v>464</v>
      </c>
      <c r="H91">
        <v>0</v>
      </c>
      <c r="J91" t="s">
        <v>982</v>
      </c>
    </row>
    <row r="92" spans="1:10" x14ac:dyDescent="0.2">
      <c r="A92" t="s">
        <v>511</v>
      </c>
      <c r="B92">
        <v>430776</v>
      </c>
      <c r="C92" s="80">
        <v>42985.636562500003</v>
      </c>
      <c r="D92" t="s">
        <v>931</v>
      </c>
      <c r="F92">
        <v>0</v>
      </c>
      <c r="G92">
        <v>0</v>
      </c>
      <c r="H92">
        <v>278.31</v>
      </c>
      <c r="J92" t="s">
        <v>980</v>
      </c>
    </row>
    <row r="93" spans="1:10" x14ac:dyDescent="0.2">
      <c r="A93" t="s">
        <v>511</v>
      </c>
      <c r="B93">
        <v>430776</v>
      </c>
      <c r="C93" s="80">
        <v>42985.636562500003</v>
      </c>
      <c r="D93" t="s">
        <v>573</v>
      </c>
      <c r="F93">
        <v>132544</v>
      </c>
      <c r="G93">
        <v>20.04</v>
      </c>
      <c r="H93">
        <v>0</v>
      </c>
      <c r="J93" t="s">
        <v>981</v>
      </c>
    </row>
    <row r="94" spans="1:10" x14ac:dyDescent="0.2">
      <c r="A94" t="s">
        <v>511</v>
      </c>
      <c r="B94">
        <v>430787</v>
      </c>
      <c r="C94" s="80">
        <v>42985.640451388892</v>
      </c>
      <c r="D94" t="s">
        <v>574</v>
      </c>
      <c r="F94">
        <v>114308</v>
      </c>
      <c r="G94">
        <v>258.27</v>
      </c>
      <c r="H94">
        <v>0</v>
      </c>
      <c r="J94" t="s">
        <v>982</v>
      </c>
    </row>
    <row r="95" spans="1:10" x14ac:dyDescent="0.2">
      <c r="A95" t="s">
        <v>511</v>
      </c>
      <c r="B95">
        <v>435614</v>
      </c>
      <c r="C95" s="80">
        <v>43004.650740740741</v>
      </c>
      <c r="D95" t="s">
        <v>931</v>
      </c>
      <c r="F95">
        <v>0</v>
      </c>
      <c r="G95">
        <v>0</v>
      </c>
      <c r="H95">
        <v>246.69</v>
      </c>
      <c r="J95" t="s">
        <v>980</v>
      </c>
    </row>
    <row r="96" spans="1:10" x14ac:dyDescent="0.2">
      <c r="A96" t="s">
        <v>511</v>
      </c>
      <c r="B96">
        <v>435614</v>
      </c>
      <c r="C96" s="80">
        <v>43004.650740740741</v>
      </c>
      <c r="D96" t="s">
        <v>573</v>
      </c>
      <c r="F96">
        <v>134125</v>
      </c>
      <c r="G96">
        <v>17.760000000000002</v>
      </c>
      <c r="H96">
        <v>0</v>
      </c>
      <c r="J96" t="s">
        <v>981</v>
      </c>
    </row>
    <row r="97" spans="1:10" x14ac:dyDescent="0.2">
      <c r="A97" t="s">
        <v>511</v>
      </c>
      <c r="B97">
        <v>435651</v>
      </c>
      <c r="C97" s="80">
        <v>43004.656643518516</v>
      </c>
      <c r="D97" t="s">
        <v>574</v>
      </c>
      <c r="F97">
        <v>115641</v>
      </c>
      <c r="G97">
        <v>228.93</v>
      </c>
      <c r="H97">
        <v>0</v>
      </c>
      <c r="J97" t="s">
        <v>982</v>
      </c>
    </row>
    <row r="98" spans="1:10" x14ac:dyDescent="0.2">
      <c r="A98" t="s">
        <v>502</v>
      </c>
      <c r="B98">
        <v>431812</v>
      </c>
      <c r="C98" s="80">
        <v>42990.638078703705</v>
      </c>
      <c r="D98" t="s">
        <v>932</v>
      </c>
      <c r="F98">
        <v>0</v>
      </c>
      <c r="G98">
        <v>0</v>
      </c>
      <c r="H98">
        <v>228.76</v>
      </c>
      <c r="J98" t="s">
        <v>980</v>
      </c>
    </row>
    <row r="99" spans="1:10" x14ac:dyDescent="0.2">
      <c r="A99" t="s">
        <v>502</v>
      </c>
      <c r="B99">
        <v>431812</v>
      </c>
      <c r="C99" s="80">
        <v>42990.638078703705</v>
      </c>
      <c r="D99" t="s">
        <v>575</v>
      </c>
      <c r="F99">
        <v>132931</v>
      </c>
      <c r="G99">
        <v>16.48</v>
      </c>
      <c r="H99">
        <v>0</v>
      </c>
      <c r="J99" t="s">
        <v>981</v>
      </c>
    </row>
    <row r="100" spans="1:10" x14ac:dyDescent="0.2">
      <c r="A100" t="s">
        <v>502</v>
      </c>
      <c r="B100">
        <v>431824</v>
      </c>
      <c r="C100" s="80">
        <v>42990.642546296294</v>
      </c>
      <c r="D100" t="s">
        <v>576</v>
      </c>
      <c r="F100">
        <v>114562</v>
      </c>
      <c r="G100">
        <v>212.28</v>
      </c>
      <c r="H100">
        <v>0</v>
      </c>
      <c r="J100" t="s">
        <v>982</v>
      </c>
    </row>
    <row r="101" spans="1:10" x14ac:dyDescent="0.2">
      <c r="A101" t="s">
        <v>502</v>
      </c>
      <c r="B101">
        <v>435621</v>
      </c>
      <c r="C101" s="80">
        <v>43004.650740740741</v>
      </c>
      <c r="D101" t="s">
        <v>932</v>
      </c>
      <c r="F101">
        <v>0</v>
      </c>
      <c r="G101">
        <v>0</v>
      </c>
      <c r="H101">
        <v>271.24</v>
      </c>
      <c r="J101" t="s">
        <v>980</v>
      </c>
    </row>
    <row r="102" spans="1:10" x14ac:dyDescent="0.2">
      <c r="A102" t="s">
        <v>502</v>
      </c>
      <c r="B102">
        <v>435621</v>
      </c>
      <c r="C102" s="80">
        <v>43004.650740740741</v>
      </c>
      <c r="D102" t="s">
        <v>575</v>
      </c>
      <c r="F102">
        <v>134132</v>
      </c>
      <c r="G102">
        <v>19.52</v>
      </c>
      <c r="H102">
        <v>0</v>
      </c>
      <c r="J102" t="s">
        <v>981</v>
      </c>
    </row>
    <row r="103" spans="1:10" x14ac:dyDescent="0.2">
      <c r="A103" t="s">
        <v>502</v>
      </c>
      <c r="B103">
        <v>435651</v>
      </c>
      <c r="C103" s="80">
        <v>43004.656643518516</v>
      </c>
      <c r="D103" t="s">
        <v>576</v>
      </c>
      <c r="F103">
        <v>115648</v>
      </c>
      <c r="G103">
        <v>251.72</v>
      </c>
      <c r="H103">
        <v>0</v>
      </c>
      <c r="J103" t="s">
        <v>982</v>
      </c>
    </row>
    <row r="104" spans="1:10" x14ac:dyDescent="0.2">
      <c r="A104" t="s">
        <v>500</v>
      </c>
      <c r="B104">
        <v>431803</v>
      </c>
      <c r="C104" s="80">
        <v>42990.638078703705</v>
      </c>
      <c r="D104" t="s">
        <v>933</v>
      </c>
      <c r="F104">
        <v>0</v>
      </c>
      <c r="G104">
        <v>0</v>
      </c>
      <c r="H104">
        <v>650</v>
      </c>
      <c r="J104" t="s">
        <v>980</v>
      </c>
    </row>
    <row r="105" spans="1:10" x14ac:dyDescent="0.2">
      <c r="A105" t="s">
        <v>500</v>
      </c>
      <c r="B105">
        <v>431803</v>
      </c>
      <c r="C105" s="80">
        <v>42990.638078703705</v>
      </c>
      <c r="D105" t="s">
        <v>577</v>
      </c>
      <c r="F105">
        <v>132922</v>
      </c>
      <c r="G105">
        <v>46.8</v>
      </c>
      <c r="H105">
        <v>0</v>
      </c>
      <c r="J105" t="s">
        <v>981</v>
      </c>
    </row>
    <row r="106" spans="1:10" x14ac:dyDescent="0.2">
      <c r="A106" t="s">
        <v>500</v>
      </c>
      <c r="B106">
        <v>431824</v>
      </c>
      <c r="C106" s="80">
        <v>42990.642546296294</v>
      </c>
      <c r="D106" t="s">
        <v>578</v>
      </c>
      <c r="F106">
        <v>114553</v>
      </c>
      <c r="G106">
        <v>603.20000000000005</v>
      </c>
      <c r="H106">
        <v>0</v>
      </c>
      <c r="J106" t="s">
        <v>982</v>
      </c>
    </row>
    <row r="107" spans="1:10" x14ac:dyDescent="0.2">
      <c r="A107" t="s">
        <v>504</v>
      </c>
      <c r="B107">
        <v>432528</v>
      </c>
      <c r="C107" s="80">
        <v>42991.638043981482</v>
      </c>
      <c r="D107" t="s">
        <v>934</v>
      </c>
      <c r="F107">
        <v>0</v>
      </c>
      <c r="G107">
        <v>0</v>
      </c>
      <c r="H107">
        <v>550</v>
      </c>
      <c r="J107" t="s">
        <v>980</v>
      </c>
    </row>
    <row r="108" spans="1:10" x14ac:dyDescent="0.2">
      <c r="A108" t="s">
        <v>504</v>
      </c>
      <c r="B108">
        <v>432528</v>
      </c>
      <c r="C108" s="80">
        <v>42991.638043981482</v>
      </c>
      <c r="D108" t="s">
        <v>579</v>
      </c>
      <c r="F108">
        <v>133051</v>
      </c>
      <c r="G108">
        <v>39.6</v>
      </c>
      <c r="H108">
        <v>0</v>
      </c>
      <c r="J108" t="s">
        <v>981</v>
      </c>
    </row>
    <row r="109" spans="1:10" x14ac:dyDescent="0.2">
      <c r="A109" t="s">
        <v>504</v>
      </c>
      <c r="B109">
        <v>432533</v>
      </c>
      <c r="C109" s="80">
        <v>42991.640405092592</v>
      </c>
      <c r="D109" t="s">
        <v>580</v>
      </c>
      <c r="F109">
        <v>114874</v>
      </c>
      <c r="G109">
        <v>510.4</v>
      </c>
      <c r="H109">
        <v>0</v>
      </c>
      <c r="J109" t="s">
        <v>982</v>
      </c>
    </row>
    <row r="110" spans="1:10" x14ac:dyDescent="0.2">
      <c r="A110" s="99" t="s">
        <v>504</v>
      </c>
      <c r="B110">
        <v>436619</v>
      </c>
      <c r="C110" s="80">
        <v>43007.451145833336</v>
      </c>
      <c r="D110" t="s">
        <v>935</v>
      </c>
      <c r="E110" s="56" t="s">
        <v>975</v>
      </c>
      <c r="F110">
        <v>1061</v>
      </c>
      <c r="G110">
        <v>54</v>
      </c>
      <c r="H110">
        <v>0</v>
      </c>
      <c r="J110" t="s">
        <v>983</v>
      </c>
    </row>
    <row r="111" spans="1:10" x14ac:dyDescent="0.2">
      <c r="A111" t="s">
        <v>506</v>
      </c>
      <c r="B111">
        <v>435589</v>
      </c>
      <c r="C111" s="80">
        <v>43004.650740740741</v>
      </c>
      <c r="D111" t="s">
        <v>936</v>
      </c>
      <c r="F111">
        <v>0</v>
      </c>
      <c r="G111">
        <v>0</v>
      </c>
      <c r="H111">
        <v>499.28</v>
      </c>
      <c r="J111" t="s">
        <v>980</v>
      </c>
    </row>
    <row r="112" spans="1:10" x14ac:dyDescent="0.2">
      <c r="A112" t="s">
        <v>506</v>
      </c>
      <c r="B112">
        <v>435589</v>
      </c>
      <c r="C112" s="80">
        <v>43004.650740740741</v>
      </c>
      <c r="D112" t="s">
        <v>581</v>
      </c>
      <c r="F112">
        <v>134100</v>
      </c>
      <c r="G112">
        <v>35.950000000000003</v>
      </c>
      <c r="H112">
        <v>0</v>
      </c>
      <c r="J112" t="s">
        <v>981</v>
      </c>
    </row>
    <row r="113" spans="1:10" x14ac:dyDescent="0.2">
      <c r="A113" t="s">
        <v>506</v>
      </c>
      <c r="B113">
        <v>435651</v>
      </c>
      <c r="C113" s="80">
        <v>43004.656643518516</v>
      </c>
      <c r="D113" t="s">
        <v>582</v>
      </c>
      <c r="F113">
        <v>115616</v>
      </c>
      <c r="G113">
        <v>463.33</v>
      </c>
      <c r="H113">
        <v>0</v>
      </c>
      <c r="J113" t="s">
        <v>982</v>
      </c>
    </row>
    <row r="114" spans="1:10" x14ac:dyDescent="0.2">
      <c r="A114" t="s">
        <v>469</v>
      </c>
      <c r="B114">
        <v>435580</v>
      </c>
      <c r="C114" s="80">
        <v>43004.650740740741</v>
      </c>
      <c r="D114" t="s">
        <v>937</v>
      </c>
      <c r="F114">
        <v>0</v>
      </c>
      <c r="G114">
        <v>0</v>
      </c>
      <c r="H114">
        <v>499.28</v>
      </c>
      <c r="J114" t="s">
        <v>980</v>
      </c>
    </row>
    <row r="115" spans="1:10" x14ac:dyDescent="0.2">
      <c r="A115" t="s">
        <v>469</v>
      </c>
      <c r="B115">
        <v>435580</v>
      </c>
      <c r="C115" s="80">
        <v>43004.650740740741</v>
      </c>
      <c r="D115" t="s">
        <v>583</v>
      </c>
      <c r="F115">
        <v>134091</v>
      </c>
      <c r="G115">
        <v>35.950000000000003</v>
      </c>
      <c r="H115">
        <v>0</v>
      </c>
      <c r="J115" t="s">
        <v>981</v>
      </c>
    </row>
    <row r="116" spans="1:10" x14ac:dyDescent="0.2">
      <c r="A116" t="s">
        <v>469</v>
      </c>
      <c r="B116">
        <v>435651</v>
      </c>
      <c r="C116" s="80">
        <v>43004.656643518516</v>
      </c>
      <c r="D116" t="s">
        <v>584</v>
      </c>
      <c r="F116">
        <v>115607</v>
      </c>
      <c r="G116">
        <v>463.33</v>
      </c>
      <c r="H116">
        <v>0</v>
      </c>
      <c r="J116" t="s">
        <v>982</v>
      </c>
    </row>
    <row r="117" spans="1:10" x14ac:dyDescent="0.2">
      <c r="A117" t="s">
        <v>561</v>
      </c>
      <c r="B117">
        <v>431806</v>
      </c>
      <c r="C117" s="80">
        <v>42990.638078703705</v>
      </c>
      <c r="D117" t="s">
        <v>753</v>
      </c>
      <c r="F117">
        <v>0</v>
      </c>
      <c r="G117">
        <v>0</v>
      </c>
      <c r="H117">
        <v>383.95</v>
      </c>
      <c r="J117" t="s">
        <v>980</v>
      </c>
    </row>
    <row r="118" spans="1:10" x14ac:dyDescent="0.2">
      <c r="A118" t="s">
        <v>561</v>
      </c>
      <c r="B118">
        <v>431806</v>
      </c>
      <c r="C118" s="80">
        <v>42990.638078703705</v>
      </c>
      <c r="D118" t="s">
        <v>585</v>
      </c>
      <c r="F118">
        <v>132925</v>
      </c>
      <c r="G118">
        <v>27.65</v>
      </c>
      <c r="H118">
        <v>0</v>
      </c>
      <c r="J118" t="s">
        <v>981</v>
      </c>
    </row>
    <row r="119" spans="1:10" x14ac:dyDescent="0.2">
      <c r="A119" t="s">
        <v>561</v>
      </c>
      <c r="B119">
        <v>431824</v>
      </c>
      <c r="C119" s="80">
        <v>42990.642546296294</v>
      </c>
      <c r="D119" t="s">
        <v>586</v>
      </c>
      <c r="F119">
        <v>114556</v>
      </c>
      <c r="G119">
        <v>356.3</v>
      </c>
      <c r="H119">
        <v>0</v>
      </c>
      <c r="J119" t="s">
        <v>982</v>
      </c>
    </row>
    <row r="120" spans="1:10" x14ac:dyDescent="0.2">
      <c r="A120" t="s">
        <v>561</v>
      </c>
      <c r="B120">
        <v>435602</v>
      </c>
      <c r="C120" s="80">
        <v>43004.650740740741</v>
      </c>
      <c r="D120" t="s">
        <v>938</v>
      </c>
      <c r="F120">
        <v>0</v>
      </c>
      <c r="G120">
        <v>0</v>
      </c>
      <c r="H120">
        <v>110.33</v>
      </c>
      <c r="J120" t="s">
        <v>980</v>
      </c>
    </row>
    <row r="121" spans="1:10" x14ac:dyDescent="0.2">
      <c r="A121" t="s">
        <v>561</v>
      </c>
      <c r="B121">
        <v>435602</v>
      </c>
      <c r="C121" s="80">
        <v>43004.650740740741</v>
      </c>
      <c r="D121" t="s">
        <v>585</v>
      </c>
      <c r="F121">
        <v>134113</v>
      </c>
      <c r="G121">
        <v>7.94</v>
      </c>
      <c r="H121">
        <v>0</v>
      </c>
      <c r="J121" t="s">
        <v>981</v>
      </c>
    </row>
    <row r="122" spans="1:10" x14ac:dyDescent="0.2">
      <c r="A122" t="s">
        <v>561</v>
      </c>
      <c r="B122">
        <v>435651</v>
      </c>
      <c r="C122" s="80">
        <v>43004.656643518516</v>
      </c>
      <c r="D122" t="s">
        <v>586</v>
      </c>
      <c r="F122">
        <v>115629</v>
      </c>
      <c r="G122">
        <v>102.39</v>
      </c>
      <c r="H122">
        <v>0</v>
      </c>
      <c r="J122" t="s">
        <v>982</v>
      </c>
    </row>
    <row r="123" spans="1:10" x14ac:dyDescent="0.2">
      <c r="A123" t="s">
        <v>470</v>
      </c>
      <c r="B123">
        <v>435612</v>
      </c>
      <c r="C123" s="80">
        <v>43004.650740740741</v>
      </c>
      <c r="D123" t="s">
        <v>939</v>
      </c>
      <c r="F123">
        <v>0</v>
      </c>
      <c r="G123">
        <v>0</v>
      </c>
      <c r="H123">
        <v>426.5</v>
      </c>
      <c r="J123" t="s">
        <v>980</v>
      </c>
    </row>
    <row r="124" spans="1:10" x14ac:dyDescent="0.2">
      <c r="A124" t="s">
        <v>470</v>
      </c>
      <c r="B124">
        <v>435612</v>
      </c>
      <c r="C124" s="80">
        <v>43004.650740740741</v>
      </c>
      <c r="D124" t="s">
        <v>587</v>
      </c>
      <c r="F124">
        <v>134123</v>
      </c>
      <c r="G124">
        <v>30.71</v>
      </c>
      <c r="H124">
        <v>0</v>
      </c>
      <c r="J124" t="s">
        <v>981</v>
      </c>
    </row>
    <row r="125" spans="1:10" x14ac:dyDescent="0.2">
      <c r="A125" t="s">
        <v>470</v>
      </c>
      <c r="B125">
        <v>435612</v>
      </c>
      <c r="C125" s="80">
        <v>43004.650740740741</v>
      </c>
      <c r="D125" t="s">
        <v>754</v>
      </c>
      <c r="F125">
        <v>0</v>
      </c>
      <c r="G125">
        <v>0</v>
      </c>
      <c r="H125">
        <v>39.619999999999997</v>
      </c>
      <c r="J125" t="s">
        <v>980</v>
      </c>
    </row>
    <row r="126" spans="1:10" x14ac:dyDescent="0.2">
      <c r="A126" t="s">
        <v>470</v>
      </c>
      <c r="B126">
        <v>435612</v>
      </c>
      <c r="C126" s="80">
        <v>43004.650740740741</v>
      </c>
      <c r="D126" t="s">
        <v>587</v>
      </c>
      <c r="F126">
        <v>134123</v>
      </c>
      <c r="G126">
        <v>2.86</v>
      </c>
      <c r="H126">
        <v>0</v>
      </c>
      <c r="J126" t="s">
        <v>981</v>
      </c>
    </row>
    <row r="127" spans="1:10" x14ac:dyDescent="0.2">
      <c r="A127" t="s">
        <v>470</v>
      </c>
      <c r="B127">
        <v>435651</v>
      </c>
      <c r="C127" s="80">
        <v>43004.656643518516</v>
      </c>
      <c r="D127" t="s">
        <v>588</v>
      </c>
      <c r="F127">
        <v>115639</v>
      </c>
      <c r="G127">
        <v>432.55</v>
      </c>
      <c r="H127">
        <v>0</v>
      </c>
      <c r="J127" t="s">
        <v>982</v>
      </c>
    </row>
    <row r="128" spans="1:10" x14ac:dyDescent="0.2">
      <c r="A128" t="s">
        <v>471</v>
      </c>
      <c r="B128">
        <v>435616</v>
      </c>
      <c r="C128" s="80">
        <v>43004.650740740741</v>
      </c>
      <c r="D128" t="s">
        <v>940</v>
      </c>
      <c r="F128">
        <v>0</v>
      </c>
      <c r="G128">
        <v>0</v>
      </c>
      <c r="H128">
        <v>499.28</v>
      </c>
      <c r="J128" t="s">
        <v>980</v>
      </c>
    </row>
    <row r="129" spans="1:10" x14ac:dyDescent="0.2">
      <c r="A129" t="s">
        <v>471</v>
      </c>
      <c r="B129">
        <v>435616</v>
      </c>
      <c r="C129" s="80">
        <v>43004.650740740741</v>
      </c>
      <c r="D129" t="s">
        <v>589</v>
      </c>
      <c r="F129">
        <v>134127</v>
      </c>
      <c r="G129">
        <v>35.950000000000003</v>
      </c>
      <c r="H129">
        <v>0</v>
      </c>
      <c r="J129" t="s">
        <v>981</v>
      </c>
    </row>
    <row r="130" spans="1:10" x14ac:dyDescent="0.2">
      <c r="A130" t="s">
        <v>471</v>
      </c>
      <c r="B130">
        <v>435651</v>
      </c>
      <c r="C130" s="80">
        <v>43004.656643518516</v>
      </c>
      <c r="D130" t="s">
        <v>590</v>
      </c>
      <c r="F130">
        <v>115643</v>
      </c>
      <c r="G130">
        <v>463.33</v>
      </c>
      <c r="H130">
        <v>0</v>
      </c>
      <c r="J130" t="s">
        <v>982</v>
      </c>
    </row>
    <row r="131" spans="1:10" x14ac:dyDescent="0.2">
      <c r="A131" t="s">
        <v>478</v>
      </c>
      <c r="B131">
        <v>433383</v>
      </c>
      <c r="C131" s="80">
        <v>42996.593402777777</v>
      </c>
      <c r="D131" t="s">
        <v>941</v>
      </c>
      <c r="F131">
        <v>0</v>
      </c>
      <c r="G131">
        <v>0</v>
      </c>
      <c r="H131">
        <v>119.8</v>
      </c>
      <c r="J131" t="s">
        <v>980</v>
      </c>
    </row>
    <row r="132" spans="1:10" x14ac:dyDescent="0.2">
      <c r="A132" t="s">
        <v>478</v>
      </c>
      <c r="B132">
        <v>433383</v>
      </c>
      <c r="C132" s="80">
        <v>42996.593402777777</v>
      </c>
      <c r="D132" t="s">
        <v>591</v>
      </c>
      <c r="F132">
        <v>133359</v>
      </c>
      <c r="G132">
        <v>8.6300000000000008</v>
      </c>
      <c r="H132">
        <v>0</v>
      </c>
      <c r="J132" t="s">
        <v>981</v>
      </c>
    </row>
    <row r="133" spans="1:10" x14ac:dyDescent="0.2">
      <c r="A133" t="s">
        <v>478</v>
      </c>
      <c r="B133">
        <v>433393</v>
      </c>
      <c r="C133" s="80">
        <v>42996.600752314815</v>
      </c>
      <c r="D133" t="s">
        <v>592</v>
      </c>
      <c r="F133">
        <v>115095</v>
      </c>
      <c r="G133">
        <v>111.17</v>
      </c>
      <c r="H133">
        <v>0</v>
      </c>
      <c r="J133" t="s">
        <v>982</v>
      </c>
    </row>
    <row r="134" spans="1:10" x14ac:dyDescent="0.2">
      <c r="A134" t="s">
        <v>478</v>
      </c>
      <c r="B134">
        <v>435615</v>
      </c>
      <c r="C134" s="80">
        <v>43004.650740740741</v>
      </c>
      <c r="D134" t="s">
        <v>941</v>
      </c>
      <c r="F134">
        <v>0</v>
      </c>
      <c r="G134">
        <v>0</v>
      </c>
      <c r="H134">
        <v>275.2</v>
      </c>
      <c r="J134" t="s">
        <v>980</v>
      </c>
    </row>
    <row r="135" spans="1:10" x14ac:dyDescent="0.2">
      <c r="A135" t="s">
        <v>478</v>
      </c>
      <c r="B135">
        <v>435615</v>
      </c>
      <c r="C135" s="80">
        <v>43004.650740740741</v>
      </c>
      <c r="D135" t="s">
        <v>591</v>
      </c>
      <c r="F135">
        <v>134126</v>
      </c>
      <c r="G135">
        <v>19.809999999999999</v>
      </c>
      <c r="H135">
        <v>0</v>
      </c>
      <c r="J135" t="s">
        <v>981</v>
      </c>
    </row>
    <row r="136" spans="1:10" x14ac:dyDescent="0.2">
      <c r="A136" t="s">
        <v>478</v>
      </c>
      <c r="B136">
        <v>435651</v>
      </c>
      <c r="C136" s="80">
        <v>43004.656643518516</v>
      </c>
      <c r="D136" t="s">
        <v>592</v>
      </c>
      <c r="F136">
        <v>115642</v>
      </c>
      <c r="G136">
        <v>255.39</v>
      </c>
      <c r="H136">
        <v>0</v>
      </c>
      <c r="J136" t="s">
        <v>982</v>
      </c>
    </row>
    <row r="137" spans="1:10" x14ac:dyDescent="0.2">
      <c r="A137" t="s">
        <v>474</v>
      </c>
      <c r="B137">
        <v>433380</v>
      </c>
      <c r="C137" s="80">
        <v>42996.593402777777</v>
      </c>
      <c r="D137" t="s">
        <v>942</v>
      </c>
      <c r="F137">
        <v>0</v>
      </c>
      <c r="G137">
        <v>0</v>
      </c>
      <c r="H137">
        <v>32.94</v>
      </c>
      <c r="J137" t="s">
        <v>980</v>
      </c>
    </row>
    <row r="138" spans="1:10" x14ac:dyDescent="0.2">
      <c r="A138" t="s">
        <v>474</v>
      </c>
      <c r="B138">
        <v>433380</v>
      </c>
      <c r="C138" s="80">
        <v>42996.593402777777</v>
      </c>
      <c r="D138" t="s">
        <v>593</v>
      </c>
      <c r="F138">
        <v>133356</v>
      </c>
      <c r="G138">
        <v>2.38</v>
      </c>
      <c r="H138">
        <v>0</v>
      </c>
      <c r="J138" t="s">
        <v>981</v>
      </c>
    </row>
    <row r="139" spans="1:10" x14ac:dyDescent="0.2">
      <c r="A139" t="s">
        <v>474</v>
      </c>
      <c r="B139">
        <v>433393</v>
      </c>
      <c r="C139" s="80">
        <v>42996.600752314815</v>
      </c>
      <c r="D139" t="s">
        <v>594</v>
      </c>
      <c r="F139">
        <v>115092</v>
      </c>
      <c r="G139">
        <v>30.56</v>
      </c>
      <c r="H139">
        <v>0</v>
      </c>
      <c r="J139" t="s">
        <v>982</v>
      </c>
    </row>
    <row r="140" spans="1:10" x14ac:dyDescent="0.2">
      <c r="A140" t="s">
        <v>474</v>
      </c>
      <c r="B140">
        <v>433541</v>
      </c>
      <c r="C140" s="80">
        <v>42997.41846064815</v>
      </c>
      <c r="D140" t="s">
        <v>943</v>
      </c>
      <c r="F140">
        <v>690</v>
      </c>
      <c r="G140">
        <v>75</v>
      </c>
      <c r="H140">
        <v>0</v>
      </c>
      <c r="J140" t="s">
        <v>983</v>
      </c>
    </row>
    <row r="141" spans="1:10" x14ac:dyDescent="0.2">
      <c r="A141" t="s">
        <v>474</v>
      </c>
      <c r="B141">
        <v>435601</v>
      </c>
      <c r="C141" s="80">
        <v>43004.650740740741</v>
      </c>
      <c r="D141" t="s">
        <v>942</v>
      </c>
      <c r="F141">
        <v>0</v>
      </c>
      <c r="G141">
        <v>0</v>
      </c>
      <c r="H141">
        <v>461.52</v>
      </c>
      <c r="J141" t="s">
        <v>980</v>
      </c>
    </row>
    <row r="142" spans="1:10" x14ac:dyDescent="0.2">
      <c r="A142" t="s">
        <v>474</v>
      </c>
      <c r="B142">
        <v>435601</v>
      </c>
      <c r="C142" s="80">
        <v>43004.650740740741</v>
      </c>
      <c r="D142" t="s">
        <v>593</v>
      </c>
      <c r="F142">
        <v>134112</v>
      </c>
      <c r="G142">
        <v>33.229999999999997</v>
      </c>
      <c r="H142">
        <v>0</v>
      </c>
      <c r="J142" t="s">
        <v>981</v>
      </c>
    </row>
    <row r="143" spans="1:10" x14ac:dyDescent="0.2">
      <c r="A143" t="s">
        <v>474</v>
      </c>
      <c r="B143">
        <v>435651</v>
      </c>
      <c r="C143" s="80">
        <v>43004.656643518516</v>
      </c>
      <c r="D143" t="s">
        <v>594</v>
      </c>
      <c r="F143">
        <v>115628</v>
      </c>
      <c r="G143">
        <v>353.29</v>
      </c>
      <c r="H143">
        <v>0</v>
      </c>
      <c r="J143" t="s">
        <v>982</v>
      </c>
    </row>
    <row r="144" spans="1:10" x14ac:dyDescent="0.2">
      <c r="A144" t="s">
        <v>509</v>
      </c>
      <c r="B144">
        <v>435610</v>
      </c>
      <c r="C144" s="80">
        <v>43004.650740740741</v>
      </c>
      <c r="D144" t="s">
        <v>944</v>
      </c>
      <c r="F144">
        <v>0</v>
      </c>
      <c r="G144">
        <v>0</v>
      </c>
      <c r="H144">
        <v>500</v>
      </c>
      <c r="J144" t="s">
        <v>980</v>
      </c>
    </row>
    <row r="145" spans="1:10" x14ac:dyDescent="0.2">
      <c r="A145" t="s">
        <v>509</v>
      </c>
      <c r="B145">
        <v>435610</v>
      </c>
      <c r="C145" s="80">
        <v>43004.650740740741</v>
      </c>
      <c r="D145" t="s">
        <v>595</v>
      </c>
      <c r="F145">
        <v>134121</v>
      </c>
      <c r="G145">
        <v>36</v>
      </c>
      <c r="H145">
        <v>0</v>
      </c>
      <c r="J145" t="s">
        <v>981</v>
      </c>
    </row>
    <row r="146" spans="1:10" x14ac:dyDescent="0.2">
      <c r="A146" t="s">
        <v>509</v>
      </c>
      <c r="B146">
        <v>435651</v>
      </c>
      <c r="C146" s="80">
        <v>43004.656643518516</v>
      </c>
      <c r="D146" t="s">
        <v>596</v>
      </c>
      <c r="F146">
        <v>115637</v>
      </c>
      <c r="G146">
        <v>464</v>
      </c>
      <c r="H146">
        <v>0</v>
      </c>
      <c r="J146" t="s">
        <v>982</v>
      </c>
    </row>
    <row r="147" spans="1:10" x14ac:dyDescent="0.2">
      <c r="A147" t="s">
        <v>473</v>
      </c>
      <c r="B147">
        <v>433379</v>
      </c>
      <c r="C147" s="80">
        <v>42996.593402777777</v>
      </c>
      <c r="D147" t="s">
        <v>945</v>
      </c>
      <c r="F147">
        <v>0</v>
      </c>
      <c r="G147">
        <v>0</v>
      </c>
      <c r="H147">
        <v>37.76</v>
      </c>
      <c r="J147" t="s">
        <v>980</v>
      </c>
    </row>
    <row r="148" spans="1:10" x14ac:dyDescent="0.2">
      <c r="A148" t="s">
        <v>473</v>
      </c>
      <c r="B148">
        <v>433379</v>
      </c>
      <c r="C148" s="80">
        <v>42996.593402777777</v>
      </c>
      <c r="D148" t="s">
        <v>597</v>
      </c>
      <c r="F148">
        <v>133355</v>
      </c>
      <c r="G148">
        <v>2.72</v>
      </c>
      <c r="H148">
        <v>0</v>
      </c>
      <c r="J148" t="s">
        <v>981</v>
      </c>
    </row>
    <row r="149" spans="1:10" x14ac:dyDescent="0.2">
      <c r="A149" t="s">
        <v>473</v>
      </c>
      <c r="B149">
        <v>433393</v>
      </c>
      <c r="C149" s="80">
        <v>42996.600752314815</v>
      </c>
      <c r="D149" t="s">
        <v>598</v>
      </c>
      <c r="F149">
        <v>115091</v>
      </c>
      <c r="G149">
        <v>35.04</v>
      </c>
      <c r="H149">
        <v>0</v>
      </c>
      <c r="J149" t="s">
        <v>982</v>
      </c>
    </row>
    <row r="150" spans="1:10" x14ac:dyDescent="0.2">
      <c r="A150" t="s">
        <v>473</v>
      </c>
      <c r="B150">
        <v>435600</v>
      </c>
      <c r="C150" s="80">
        <v>43004.650740740741</v>
      </c>
      <c r="D150" t="s">
        <v>945</v>
      </c>
      <c r="F150">
        <v>0</v>
      </c>
      <c r="G150">
        <v>0</v>
      </c>
      <c r="H150">
        <v>461.52</v>
      </c>
      <c r="J150" t="s">
        <v>980</v>
      </c>
    </row>
    <row r="151" spans="1:10" x14ac:dyDescent="0.2">
      <c r="A151" t="s">
        <v>473</v>
      </c>
      <c r="B151">
        <v>435600</v>
      </c>
      <c r="C151" s="80">
        <v>43004.650740740741</v>
      </c>
      <c r="D151" t="s">
        <v>597</v>
      </c>
      <c r="F151">
        <v>134111</v>
      </c>
      <c r="G151">
        <v>33.229999999999997</v>
      </c>
      <c r="H151">
        <v>0</v>
      </c>
      <c r="J151" t="s">
        <v>981</v>
      </c>
    </row>
    <row r="152" spans="1:10" x14ac:dyDescent="0.2">
      <c r="A152" t="s">
        <v>473</v>
      </c>
      <c r="B152">
        <v>435651</v>
      </c>
      <c r="C152" s="80">
        <v>43004.656643518516</v>
      </c>
      <c r="D152" t="s">
        <v>598</v>
      </c>
      <c r="F152">
        <v>115627</v>
      </c>
      <c r="G152">
        <v>428.29</v>
      </c>
      <c r="H152">
        <v>0</v>
      </c>
      <c r="J152" t="s">
        <v>982</v>
      </c>
    </row>
    <row r="153" spans="1:10" x14ac:dyDescent="0.2">
      <c r="A153" t="s">
        <v>472</v>
      </c>
      <c r="B153">
        <v>435578</v>
      </c>
      <c r="C153" s="80">
        <v>43004.650740740741</v>
      </c>
      <c r="D153" t="s">
        <v>755</v>
      </c>
      <c r="F153">
        <v>0</v>
      </c>
      <c r="G153">
        <v>0</v>
      </c>
      <c r="H153">
        <v>111.6</v>
      </c>
      <c r="J153" t="s">
        <v>980</v>
      </c>
    </row>
    <row r="154" spans="1:10" x14ac:dyDescent="0.2">
      <c r="A154" t="s">
        <v>472</v>
      </c>
      <c r="B154">
        <v>435578</v>
      </c>
      <c r="C154" s="80">
        <v>43004.650740740741</v>
      </c>
      <c r="D154" t="s">
        <v>599</v>
      </c>
      <c r="F154">
        <v>134089</v>
      </c>
      <c r="G154">
        <v>8.0399999999999991</v>
      </c>
      <c r="H154">
        <v>0</v>
      </c>
      <c r="J154" t="s">
        <v>981</v>
      </c>
    </row>
    <row r="155" spans="1:10" x14ac:dyDescent="0.2">
      <c r="A155" t="s">
        <v>472</v>
      </c>
      <c r="B155">
        <v>435578</v>
      </c>
      <c r="C155" s="80">
        <v>43004.650740740741</v>
      </c>
      <c r="D155" t="s">
        <v>946</v>
      </c>
      <c r="F155">
        <v>0</v>
      </c>
      <c r="G155">
        <v>0</v>
      </c>
      <c r="H155">
        <v>354.52</v>
      </c>
      <c r="J155" t="s">
        <v>980</v>
      </c>
    </row>
    <row r="156" spans="1:10" x14ac:dyDescent="0.2">
      <c r="A156" t="s">
        <v>472</v>
      </c>
      <c r="B156">
        <v>435578</v>
      </c>
      <c r="C156" s="80">
        <v>43004.650740740741</v>
      </c>
      <c r="D156" t="s">
        <v>599</v>
      </c>
      <c r="F156">
        <v>134089</v>
      </c>
      <c r="G156">
        <v>25.52</v>
      </c>
      <c r="H156">
        <v>0</v>
      </c>
      <c r="J156" t="s">
        <v>981</v>
      </c>
    </row>
    <row r="157" spans="1:10" x14ac:dyDescent="0.2">
      <c r="A157" t="s">
        <v>472</v>
      </c>
      <c r="B157">
        <v>435651</v>
      </c>
      <c r="C157" s="80">
        <v>43004.656643518516</v>
      </c>
      <c r="D157" t="s">
        <v>600</v>
      </c>
      <c r="F157">
        <v>115605</v>
      </c>
      <c r="G157">
        <v>432.56</v>
      </c>
      <c r="H157">
        <v>0</v>
      </c>
      <c r="J157" t="s">
        <v>982</v>
      </c>
    </row>
    <row r="158" spans="1:10" x14ac:dyDescent="0.2">
      <c r="A158" t="s">
        <v>479</v>
      </c>
      <c r="B158">
        <v>435645</v>
      </c>
      <c r="C158" s="80">
        <v>43004.650740740741</v>
      </c>
      <c r="D158" t="s">
        <v>947</v>
      </c>
      <c r="F158">
        <v>0</v>
      </c>
      <c r="G158">
        <v>0</v>
      </c>
      <c r="H158">
        <v>350</v>
      </c>
      <c r="J158" t="s">
        <v>980</v>
      </c>
    </row>
    <row r="159" spans="1:10" x14ac:dyDescent="0.2">
      <c r="A159" t="s">
        <v>479</v>
      </c>
      <c r="B159">
        <v>435645</v>
      </c>
      <c r="C159" s="80">
        <v>43004.650740740741</v>
      </c>
      <c r="D159" t="s">
        <v>601</v>
      </c>
      <c r="F159">
        <v>134156</v>
      </c>
      <c r="G159">
        <v>25.2</v>
      </c>
      <c r="H159">
        <v>0</v>
      </c>
      <c r="J159" t="s">
        <v>981</v>
      </c>
    </row>
    <row r="160" spans="1:10" x14ac:dyDescent="0.2">
      <c r="A160" t="s">
        <v>479</v>
      </c>
      <c r="B160">
        <v>435651</v>
      </c>
      <c r="C160" s="80">
        <v>43004.656643518516</v>
      </c>
      <c r="D160" t="s">
        <v>602</v>
      </c>
      <c r="F160">
        <v>115672</v>
      </c>
      <c r="G160">
        <v>144.80000000000001</v>
      </c>
      <c r="H160">
        <v>0</v>
      </c>
      <c r="J160" t="s">
        <v>982</v>
      </c>
    </row>
    <row r="161" spans="1:10" x14ac:dyDescent="0.2">
      <c r="A161" t="s">
        <v>562</v>
      </c>
      <c r="B161">
        <v>429554</v>
      </c>
      <c r="C161" s="80">
        <v>42982.622986111113</v>
      </c>
      <c r="D161" t="s">
        <v>948</v>
      </c>
      <c r="F161">
        <v>0</v>
      </c>
      <c r="G161">
        <v>0</v>
      </c>
      <c r="H161">
        <v>520</v>
      </c>
      <c r="J161" t="s">
        <v>980</v>
      </c>
    </row>
    <row r="162" spans="1:10" x14ac:dyDescent="0.2">
      <c r="A162" t="s">
        <v>562</v>
      </c>
      <c r="B162">
        <v>429554</v>
      </c>
      <c r="C162" s="80">
        <v>42982.622986111113</v>
      </c>
      <c r="D162" t="s">
        <v>603</v>
      </c>
      <c r="F162">
        <v>132021</v>
      </c>
      <c r="G162">
        <v>37.44</v>
      </c>
      <c r="H162">
        <v>0</v>
      </c>
      <c r="J162" t="s">
        <v>981</v>
      </c>
    </row>
    <row r="163" spans="1:10" x14ac:dyDescent="0.2">
      <c r="A163" t="s">
        <v>562</v>
      </c>
      <c r="B163">
        <v>429717</v>
      </c>
      <c r="C163" s="80">
        <v>42982.638807870368</v>
      </c>
      <c r="D163" t="s">
        <v>604</v>
      </c>
      <c r="F163">
        <v>113879</v>
      </c>
      <c r="G163">
        <v>482.56</v>
      </c>
      <c r="H163">
        <v>0</v>
      </c>
      <c r="J163" t="s">
        <v>982</v>
      </c>
    </row>
    <row r="164" spans="1:10" x14ac:dyDescent="0.2">
      <c r="A164" t="s">
        <v>484</v>
      </c>
      <c r="B164">
        <v>431034</v>
      </c>
      <c r="C164" s="80">
        <v>42986.497465277775</v>
      </c>
      <c r="D164" t="s">
        <v>949</v>
      </c>
      <c r="F164">
        <v>0</v>
      </c>
      <c r="G164">
        <v>0</v>
      </c>
      <c r="H164">
        <v>365.56</v>
      </c>
      <c r="J164" t="s">
        <v>980</v>
      </c>
    </row>
    <row r="165" spans="1:10" x14ac:dyDescent="0.2">
      <c r="A165" t="s">
        <v>484</v>
      </c>
      <c r="B165">
        <v>431034</v>
      </c>
      <c r="C165" s="80">
        <v>42986.497465277775</v>
      </c>
      <c r="D165" t="s">
        <v>605</v>
      </c>
      <c r="F165">
        <v>132632</v>
      </c>
      <c r="G165">
        <v>26.32</v>
      </c>
      <c r="H165">
        <v>0</v>
      </c>
      <c r="J165" t="s">
        <v>981</v>
      </c>
    </row>
    <row r="166" spans="1:10" x14ac:dyDescent="0.2">
      <c r="A166" t="s">
        <v>484</v>
      </c>
      <c r="B166">
        <v>431041</v>
      </c>
      <c r="C166" s="80">
        <v>42986.499166666668</v>
      </c>
      <c r="D166" t="s">
        <v>606</v>
      </c>
      <c r="F166">
        <v>114375</v>
      </c>
      <c r="G166">
        <v>339.24</v>
      </c>
      <c r="H166">
        <v>0</v>
      </c>
      <c r="J166" t="s">
        <v>982</v>
      </c>
    </row>
    <row r="167" spans="1:10" x14ac:dyDescent="0.2">
      <c r="A167" t="s">
        <v>484</v>
      </c>
      <c r="B167">
        <v>435622</v>
      </c>
      <c r="C167" s="80">
        <v>43004.650740740741</v>
      </c>
      <c r="D167" t="s">
        <v>949</v>
      </c>
      <c r="F167">
        <v>0</v>
      </c>
      <c r="G167">
        <v>0</v>
      </c>
      <c r="H167">
        <v>134.44</v>
      </c>
      <c r="J167" t="s">
        <v>980</v>
      </c>
    </row>
    <row r="168" spans="1:10" x14ac:dyDescent="0.2">
      <c r="A168" t="s">
        <v>484</v>
      </c>
      <c r="B168">
        <v>435622</v>
      </c>
      <c r="C168" s="80">
        <v>43004.650740740741</v>
      </c>
      <c r="D168" t="s">
        <v>605</v>
      </c>
      <c r="F168">
        <v>134133</v>
      </c>
      <c r="G168">
        <v>9.68</v>
      </c>
      <c r="H168">
        <v>0</v>
      </c>
      <c r="J168" t="s">
        <v>981</v>
      </c>
    </row>
    <row r="169" spans="1:10" x14ac:dyDescent="0.2">
      <c r="A169" t="s">
        <v>484</v>
      </c>
      <c r="B169">
        <v>435651</v>
      </c>
      <c r="C169" s="80">
        <v>43004.656643518516</v>
      </c>
      <c r="D169" t="s">
        <v>606</v>
      </c>
      <c r="F169">
        <v>115649</v>
      </c>
      <c r="G169">
        <v>124.76</v>
      </c>
      <c r="H169">
        <v>0</v>
      </c>
      <c r="J169" t="s">
        <v>982</v>
      </c>
    </row>
    <row r="170" spans="1:10" x14ac:dyDescent="0.2">
      <c r="A170" t="s">
        <v>483</v>
      </c>
      <c r="B170">
        <v>432755</v>
      </c>
      <c r="C170" s="80">
        <v>42992.635717592595</v>
      </c>
      <c r="D170" t="s">
        <v>950</v>
      </c>
      <c r="F170">
        <v>0</v>
      </c>
      <c r="G170">
        <v>0</v>
      </c>
      <c r="H170">
        <v>243.79</v>
      </c>
      <c r="J170" t="s">
        <v>980</v>
      </c>
    </row>
    <row r="171" spans="1:10" x14ac:dyDescent="0.2">
      <c r="A171" t="s">
        <v>483</v>
      </c>
      <c r="B171">
        <v>432755</v>
      </c>
      <c r="C171" s="80">
        <v>42992.635717592595</v>
      </c>
      <c r="D171" t="s">
        <v>607</v>
      </c>
      <c r="F171">
        <v>133130</v>
      </c>
      <c r="G171">
        <v>17.559999999999999</v>
      </c>
      <c r="H171">
        <v>0</v>
      </c>
      <c r="J171" t="s">
        <v>981</v>
      </c>
    </row>
    <row r="172" spans="1:10" x14ac:dyDescent="0.2">
      <c r="A172" t="s">
        <v>483</v>
      </c>
      <c r="B172">
        <v>432761</v>
      </c>
      <c r="C172" s="80">
        <v>42992.639861111114</v>
      </c>
      <c r="D172" t="s">
        <v>608</v>
      </c>
      <c r="F172">
        <v>114939</v>
      </c>
      <c r="G172">
        <v>226.23</v>
      </c>
      <c r="H172">
        <v>0</v>
      </c>
      <c r="J172" t="s">
        <v>982</v>
      </c>
    </row>
    <row r="173" spans="1:10" x14ac:dyDescent="0.2">
      <c r="A173" t="s">
        <v>483</v>
      </c>
      <c r="B173">
        <v>435620</v>
      </c>
      <c r="C173" s="80">
        <v>43004.650740740741</v>
      </c>
      <c r="D173" t="s">
        <v>950</v>
      </c>
      <c r="F173">
        <v>0</v>
      </c>
      <c r="G173">
        <v>0</v>
      </c>
      <c r="H173">
        <v>261.20999999999998</v>
      </c>
      <c r="J173" t="s">
        <v>980</v>
      </c>
    </row>
    <row r="174" spans="1:10" x14ac:dyDescent="0.2">
      <c r="A174" t="s">
        <v>483</v>
      </c>
      <c r="B174">
        <v>435620</v>
      </c>
      <c r="C174" s="80">
        <v>43004.650740740741</v>
      </c>
      <c r="D174" t="s">
        <v>607</v>
      </c>
      <c r="F174">
        <v>134131</v>
      </c>
      <c r="G174">
        <v>18.8</v>
      </c>
      <c r="H174">
        <v>0</v>
      </c>
      <c r="J174" t="s">
        <v>981</v>
      </c>
    </row>
    <row r="175" spans="1:10" x14ac:dyDescent="0.2">
      <c r="A175" t="s">
        <v>483</v>
      </c>
      <c r="B175">
        <v>435651</v>
      </c>
      <c r="C175" s="80">
        <v>43004.656643518516</v>
      </c>
      <c r="D175" t="s">
        <v>608</v>
      </c>
      <c r="F175">
        <v>115647</v>
      </c>
      <c r="G175">
        <v>242.41</v>
      </c>
      <c r="H175">
        <v>0</v>
      </c>
      <c r="J175" t="s">
        <v>982</v>
      </c>
    </row>
    <row r="176" spans="1:10" x14ac:dyDescent="0.2">
      <c r="A176" t="s">
        <v>483</v>
      </c>
      <c r="B176">
        <v>435680</v>
      </c>
      <c r="C176" s="80">
        <v>43004.718819444446</v>
      </c>
      <c r="D176" t="s">
        <v>951</v>
      </c>
      <c r="E176" s="56" t="s">
        <v>975</v>
      </c>
      <c r="F176">
        <v>817</v>
      </c>
      <c r="G176">
        <v>55</v>
      </c>
      <c r="H176">
        <v>0</v>
      </c>
      <c r="J176" t="s">
        <v>983</v>
      </c>
    </row>
    <row r="177" spans="1:10" x14ac:dyDescent="0.2">
      <c r="A177" t="s">
        <v>481</v>
      </c>
      <c r="B177">
        <v>430022</v>
      </c>
      <c r="C177" s="80">
        <v>42983.565983796296</v>
      </c>
      <c r="D177" t="s">
        <v>952</v>
      </c>
      <c r="E177" s="56" t="s">
        <v>976</v>
      </c>
      <c r="F177">
        <v>0</v>
      </c>
      <c r="G177">
        <v>0</v>
      </c>
      <c r="H177">
        <v>720</v>
      </c>
      <c r="J177" t="s">
        <v>980</v>
      </c>
    </row>
    <row r="178" spans="1:10" x14ac:dyDescent="0.2">
      <c r="A178" t="s">
        <v>481</v>
      </c>
      <c r="B178">
        <v>436732</v>
      </c>
      <c r="C178" s="80">
        <v>43007.609340277777</v>
      </c>
      <c r="D178" t="s">
        <v>953</v>
      </c>
      <c r="E178" s="56" t="s">
        <v>976</v>
      </c>
      <c r="F178">
        <v>0</v>
      </c>
      <c r="G178">
        <v>0</v>
      </c>
      <c r="H178">
        <v>150</v>
      </c>
      <c r="J178" t="s">
        <v>980</v>
      </c>
    </row>
    <row r="179" spans="1:10" x14ac:dyDescent="0.2">
      <c r="A179" t="s">
        <v>477</v>
      </c>
      <c r="B179">
        <v>435609</v>
      </c>
      <c r="C179" s="80">
        <v>43004.650740740741</v>
      </c>
      <c r="D179" t="s">
        <v>954</v>
      </c>
      <c r="F179">
        <v>0</v>
      </c>
      <c r="G179">
        <v>0</v>
      </c>
      <c r="H179">
        <v>450</v>
      </c>
      <c r="J179" t="s">
        <v>980</v>
      </c>
    </row>
    <row r="180" spans="1:10" x14ac:dyDescent="0.2">
      <c r="A180" t="s">
        <v>477</v>
      </c>
      <c r="B180">
        <v>435609</v>
      </c>
      <c r="C180" s="80">
        <v>43004.650740740741</v>
      </c>
      <c r="D180" t="s">
        <v>609</v>
      </c>
      <c r="F180">
        <v>134120</v>
      </c>
      <c r="G180">
        <v>32.4</v>
      </c>
      <c r="H180">
        <v>0</v>
      </c>
      <c r="J180" t="s">
        <v>981</v>
      </c>
    </row>
    <row r="181" spans="1:10" x14ac:dyDescent="0.2">
      <c r="A181" t="s">
        <v>477</v>
      </c>
      <c r="B181">
        <v>435651</v>
      </c>
      <c r="C181" s="80">
        <v>43004.656643518516</v>
      </c>
      <c r="D181" t="s">
        <v>756</v>
      </c>
      <c r="F181">
        <v>115636</v>
      </c>
      <c r="G181">
        <v>417.6</v>
      </c>
      <c r="H181">
        <v>0</v>
      </c>
      <c r="J181" t="s">
        <v>982</v>
      </c>
    </row>
    <row r="182" spans="1:10" x14ac:dyDescent="0.2">
      <c r="A182" t="s">
        <v>495</v>
      </c>
      <c r="B182">
        <v>433385</v>
      </c>
      <c r="C182" s="80">
        <v>42996.593402777777</v>
      </c>
      <c r="D182" t="s">
        <v>955</v>
      </c>
      <c r="F182">
        <v>0</v>
      </c>
      <c r="G182">
        <v>0</v>
      </c>
      <c r="H182">
        <v>37.74</v>
      </c>
      <c r="J182" t="s">
        <v>980</v>
      </c>
    </row>
    <row r="183" spans="1:10" x14ac:dyDescent="0.2">
      <c r="A183" t="s">
        <v>495</v>
      </c>
      <c r="B183">
        <v>433385</v>
      </c>
      <c r="C183" s="80">
        <v>42996.593402777777</v>
      </c>
      <c r="D183" t="s">
        <v>610</v>
      </c>
      <c r="F183">
        <v>133361</v>
      </c>
      <c r="G183">
        <v>2.71</v>
      </c>
      <c r="H183">
        <v>0</v>
      </c>
      <c r="J183" t="s">
        <v>981</v>
      </c>
    </row>
    <row r="184" spans="1:10" x14ac:dyDescent="0.2">
      <c r="A184" t="s">
        <v>495</v>
      </c>
      <c r="B184">
        <v>433393</v>
      </c>
      <c r="C184" s="80">
        <v>42996.600752314815</v>
      </c>
      <c r="D184" t="s">
        <v>611</v>
      </c>
      <c r="F184">
        <v>115097</v>
      </c>
      <c r="G184">
        <v>35.03</v>
      </c>
      <c r="H184">
        <v>0</v>
      </c>
      <c r="J184" t="s">
        <v>982</v>
      </c>
    </row>
    <row r="185" spans="1:10" x14ac:dyDescent="0.2">
      <c r="A185" t="s">
        <v>495</v>
      </c>
      <c r="B185">
        <v>435623</v>
      </c>
      <c r="C185" s="80">
        <v>43004.650740740741</v>
      </c>
      <c r="D185" t="s">
        <v>955</v>
      </c>
      <c r="F185">
        <v>0</v>
      </c>
      <c r="G185">
        <v>0</v>
      </c>
      <c r="H185">
        <v>461.52</v>
      </c>
      <c r="J185" t="s">
        <v>980</v>
      </c>
    </row>
    <row r="186" spans="1:10" x14ac:dyDescent="0.2">
      <c r="A186" t="s">
        <v>495</v>
      </c>
      <c r="B186">
        <v>435623</v>
      </c>
      <c r="C186" s="80">
        <v>43004.650740740741</v>
      </c>
      <c r="D186" t="s">
        <v>610</v>
      </c>
      <c r="F186">
        <v>134134</v>
      </c>
      <c r="G186">
        <v>33.229999999999997</v>
      </c>
      <c r="H186">
        <v>0</v>
      </c>
      <c r="J186" t="s">
        <v>981</v>
      </c>
    </row>
    <row r="187" spans="1:10" x14ac:dyDescent="0.2">
      <c r="A187" t="s">
        <v>495</v>
      </c>
      <c r="B187">
        <v>435651</v>
      </c>
      <c r="C187" s="80">
        <v>43004.656643518516</v>
      </c>
      <c r="D187" t="s">
        <v>611</v>
      </c>
      <c r="F187">
        <v>115650</v>
      </c>
      <c r="G187">
        <v>428.29</v>
      </c>
      <c r="H187">
        <v>0</v>
      </c>
      <c r="J187" t="s">
        <v>982</v>
      </c>
    </row>
    <row r="188" spans="1:10" x14ac:dyDescent="0.2">
      <c r="A188" t="s">
        <v>476</v>
      </c>
      <c r="B188">
        <v>430301</v>
      </c>
      <c r="C188" s="80">
        <v>42984.435162037036</v>
      </c>
      <c r="D188" t="s">
        <v>956</v>
      </c>
      <c r="E188" s="56" t="s">
        <v>975</v>
      </c>
      <c r="F188">
        <v>785</v>
      </c>
      <c r="G188">
        <v>220</v>
      </c>
      <c r="H188">
        <v>0</v>
      </c>
      <c r="J188" t="s">
        <v>983</v>
      </c>
    </row>
    <row r="189" spans="1:10" x14ac:dyDescent="0.2">
      <c r="A189" t="s">
        <v>476</v>
      </c>
      <c r="B189">
        <v>433378</v>
      </c>
      <c r="C189" s="80">
        <v>42996.593402777777</v>
      </c>
      <c r="D189" t="s">
        <v>957</v>
      </c>
      <c r="F189">
        <v>0</v>
      </c>
      <c r="G189">
        <v>0</v>
      </c>
      <c r="H189">
        <v>232.62</v>
      </c>
      <c r="J189" t="s">
        <v>980</v>
      </c>
    </row>
    <row r="190" spans="1:10" x14ac:dyDescent="0.2">
      <c r="A190" t="s">
        <v>476</v>
      </c>
      <c r="B190">
        <v>433378</v>
      </c>
      <c r="C190" s="80">
        <v>42996.593402777777</v>
      </c>
      <c r="D190" t="s">
        <v>612</v>
      </c>
      <c r="F190">
        <v>133354</v>
      </c>
      <c r="G190">
        <v>16.75</v>
      </c>
      <c r="H190">
        <v>0</v>
      </c>
      <c r="J190" t="s">
        <v>981</v>
      </c>
    </row>
    <row r="191" spans="1:10" x14ac:dyDescent="0.2">
      <c r="A191" t="s">
        <v>476</v>
      </c>
      <c r="B191">
        <v>435599</v>
      </c>
      <c r="C191" s="80">
        <v>43004.650740740741</v>
      </c>
      <c r="D191" t="s">
        <v>957</v>
      </c>
      <c r="F191">
        <v>0</v>
      </c>
      <c r="G191">
        <v>0</v>
      </c>
      <c r="H191">
        <v>272.38</v>
      </c>
      <c r="J191" t="s">
        <v>980</v>
      </c>
    </row>
    <row r="192" spans="1:10" x14ac:dyDescent="0.2">
      <c r="A192" t="s">
        <v>476</v>
      </c>
      <c r="B192">
        <v>435599</v>
      </c>
      <c r="C192" s="80">
        <v>43004.650740740741</v>
      </c>
      <c r="D192" t="s">
        <v>612</v>
      </c>
      <c r="F192">
        <v>134110</v>
      </c>
      <c r="G192">
        <v>19.61</v>
      </c>
      <c r="H192">
        <v>0</v>
      </c>
      <c r="J192" t="s">
        <v>981</v>
      </c>
    </row>
    <row r="193" spans="1:10" x14ac:dyDescent="0.2">
      <c r="A193" t="s">
        <v>476</v>
      </c>
      <c r="B193">
        <v>435651</v>
      </c>
      <c r="C193" s="80">
        <v>43004.656643518516</v>
      </c>
      <c r="D193" t="s">
        <v>613</v>
      </c>
      <c r="F193">
        <v>115626</v>
      </c>
      <c r="G193">
        <v>248.64</v>
      </c>
      <c r="H193">
        <v>0</v>
      </c>
      <c r="J193" t="s">
        <v>982</v>
      </c>
    </row>
    <row r="194" spans="1:10" x14ac:dyDescent="0.2">
      <c r="A194" t="s">
        <v>614</v>
      </c>
      <c r="B194">
        <v>430459</v>
      </c>
      <c r="C194" s="80">
        <v>42984.62599537037</v>
      </c>
      <c r="D194" t="s">
        <v>958</v>
      </c>
      <c r="F194">
        <v>0</v>
      </c>
      <c r="G194">
        <v>0</v>
      </c>
      <c r="H194">
        <v>76.72</v>
      </c>
      <c r="J194" t="s">
        <v>980</v>
      </c>
    </row>
    <row r="195" spans="1:10" x14ac:dyDescent="0.2">
      <c r="A195" t="s">
        <v>614</v>
      </c>
      <c r="B195">
        <v>430459</v>
      </c>
      <c r="C195" s="80">
        <v>42984.62599537037</v>
      </c>
      <c r="D195" t="s">
        <v>615</v>
      </c>
      <c r="F195">
        <v>132428</v>
      </c>
      <c r="G195">
        <v>5.52</v>
      </c>
      <c r="H195">
        <v>0</v>
      </c>
      <c r="J195" t="s">
        <v>981</v>
      </c>
    </row>
    <row r="196" spans="1:10" x14ac:dyDescent="0.2">
      <c r="A196" t="s">
        <v>614</v>
      </c>
      <c r="B196">
        <v>430487</v>
      </c>
      <c r="C196" s="80">
        <v>42984.666620370372</v>
      </c>
      <c r="D196" t="s">
        <v>616</v>
      </c>
      <c r="F196">
        <v>114231</v>
      </c>
      <c r="G196">
        <v>71.2</v>
      </c>
      <c r="H196">
        <v>0</v>
      </c>
      <c r="J196" t="s">
        <v>982</v>
      </c>
    </row>
    <row r="197" spans="1:10" x14ac:dyDescent="0.2">
      <c r="A197" t="s">
        <v>614</v>
      </c>
      <c r="B197">
        <v>432762</v>
      </c>
      <c r="C197" s="80">
        <v>42992.653900462959</v>
      </c>
      <c r="D197" t="s">
        <v>959</v>
      </c>
      <c r="E197" s="56" t="s">
        <v>975</v>
      </c>
      <c r="F197">
        <v>798</v>
      </c>
      <c r="G197">
        <v>730</v>
      </c>
      <c r="H197">
        <v>0</v>
      </c>
      <c r="J197" t="s">
        <v>983</v>
      </c>
    </row>
    <row r="198" spans="1:10" x14ac:dyDescent="0.2">
      <c r="A198" t="s">
        <v>614</v>
      </c>
      <c r="B198">
        <v>436798</v>
      </c>
      <c r="C198" s="80">
        <v>43007.609340277777</v>
      </c>
      <c r="D198" t="s">
        <v>958</v>
      </c>
      <c r="F198">
        <v>0</v>
      </c>
      <c r="G198">
        <v>0</v>
      </c>
      <c r="H198">
        <v>461.55</v>
      </c>
      <c r="J198" t="s">
        <v>980</v>
      </c>
    </row>
    <row r="199" spans="1:10" x14ac:dyDescent="0.2">
      <c r="A199" t="s">
        <v>614</v>
      </c>
      <c r="B199">
        <v>436798</v>
      </c>
      <c r="C199" s="80">
        <v>43007.609340277777</v>
      </c>
      <c r="D199" t="s">
        <v>615</v>
      </c>
      <c r="F199">
        <v>134512</v>
      </c>
      <c r="G199">
        <v>33.229999999999997</v>
      </c>
      <c r="H199">
        <v>0</v>
      </c>
      <c r="J199" t="s">
        <v>981</v>
      </c>
    </row>
    <row r="200" spans="1:10" x14ac:dyDescent="0.2">
      <c r="C200" s="80"/>
    </row>
    <row r="201" spans="1:10" x14ac:dyDescent="0.2">
      <c r="C201" s="80"/>
    </row>
    <row r="202" spans="1:10" x14ac:dyDescent="0.2">
      <c r="C202" s="80"/>
    </row>
    <row r="203" spans="1:10" x14ac:dyDescent="0.2">
      <c r="C203" s="80"/>
    </row>
    <row r="204" spans="1:10" x14ac:dyDescent="0.2">
      <c r="C204" s="80"/>
    </row>
    <row r="205" spans="1:10" x14ac:dyDescent="0.2">
      <c r="C205" s="80"/>
    </row>
    <row r="206" spans="1:10" x14ac:dyDescent="0.2">
      <c r="C206" s="80"/>
    </row>
    <row r="207" spans="1:10" x14ac:dyDescent="0.2">
      <c r="C207" s="80"/>
    </row>
    <row r="208" spans="1:10" x14ac:dyDescent="0.2">
      <c r="C208" s="80"/>
    </row>
    <row r="209" spans="3:3" x14ac:dyDescent="0.2">
      <c r="C209" s="80"/>
    </row>
    <row r="210" spans="3:3" x14ac:dyDescent="0.2">
      <c r="C210" s="80"/>
    </row>
    <row r="211" spans="3:3" x14ac:dyDescent="0.2">
      <c r="C211" s="80"/>
    </row>
    <row r="212" spans="3:3" x14ac:dyDescent="0.2">
      <c r="C212" s="80"/>
    </row>
    <row r="213" spans="3:3" x14ac:dyDescent="0.2">
      <c r="C213" s="80"/>
    </row>
    <row r="214" spans="3:3" x14ac:dyDescent="0.2">
      <c r="C214" s="80"/>
    </row>
    <row r="215" spans="3:3" x14ac:dyDescent="0.2">
      <c r="C215" s="80"/>
    </row>
    <row r="216" spans="3:3" x14ac:dyDescent="0.2">
      <c r="C216" s="80"/>
    </row>
    <row r="217" spans="3:3" x14ac:dyDescent="0.2">
      <c r="C217" s="80"/>
    </row>
    <row r="218" spans="3:3" x14ac:dyDescent="0.2">
      <c r="C218" s="80"/>
    </row>
    <row r="219" spans="3:3" x14ac:dyDescent="0.2">
      <c r="C219" s="80"/>
    </row>
    <row r="220" spans="3:3" x14ac:dyDescent="0.2">
      <c r="C220" s="80"/>
    </row>
    <row r="221" spans="3:3" x14ac:dyDescent="0.2">
      <c r="C221" s="80"/>
    </row>
    <row r="222" spans="3:3" x14ac:dyDescent="0.2">
      <c r="C222" s="80"/>
    </row>
    <row r="223" spans="3:3" x14ac:dyDescent="0.2">
      <c r="C223" s="80"/>
    </row>
    <row r="224" spans="3:3" x14ac:dyDescent="0.2">
      <c r="C224" s="80"/>
    </row>
    <row r="225" spans="3:3" x14ac:dyDescent="0.2">
      <c r="C225" s="80"/>
    </row>
    <row r="226" spans="3:3" x14ac:dyDescent="0.2">
      <c r="C226" s="80"/>
    </row>
    <row r="227" spans="3:3" x14ac:dyDescent="0.2">
      <c r="C227" s="80"/>
    </row>
    <row r="228" spans="3:3" x14ac:dyDescent="0.2">
      <c r="C228" s="80"/>
    </row>
    <row r="229" spans="3:3" x14ac:dyDescent="0.2">
      <c r="C229" s="80"/>
    </row>
    <row r="230" spans="3:3" x14ac:dyDescent="0.2">
      <c r="C230" s="80"/>
    </row>
    <row r="231" spans="3:3" x14ac:dyDescent="0.2">
      <c r="C231" s="80"/>
    </row>
    <row r="232" spans="3:3" x14ac:dyDescent="0.2">
      <c r="C232" s="80"/>
    </row>
    <row r="233" spans="3:3" x14ac:dyDescent="0.2">
      <c r="C233" s="80"/>
    </row>
    <row r="234" spans="3:3" x14ac:dyDescent="0.2">
      <c r="C234" s="80"/>
    </row>
    <row r="235" spans="3:3" x14ac:dyDescent="0.2">
      <c r="C235" s="80"/>
    </row>
    <row r="236" spans="3:3" x14ac:dyDescent="0.2">
      <c r="C236" s="80"/>
    </row>
    <row r="237" spans="3:3" x14ac:dyDescent="0.2">
      <c r="C237" s="80"/>
    </row>
    <row r="238" spans="3:3" x14ac:dyDescent="0.2">
      <c r="C238" s="80"/>
    </row>
    <row r="239" spans="3:3" x14ac:dyDescent="0.2">
      <c r="C239" s="80"/>
    </row>
    <row r="240" spans="3:3" x14ac:dyDescent="0.2">
      <c r="C240" s="80"/>
    </row>
    <row r="241" spans="3:3" x14ac:dyDescent="0.2">
      <c r="C241" s="80"/>
    </row>
    <row r="242" spans="3:3" x14ac:dyDescent="0.2">
      <c r="C242" s="80"/>
    </row>
    <row r="243" spans="3:3" x14ac:dyDescent="0.2">
      <c r="C243" s="80"/>
    </row>
    <row r="244" spans="3:3" x14ac:dyDescent="0.2">
      <c r="C244" s="80"/>
    </row>
    <row r="245" spans="3:3" x14ac:dyDescent="0.2">
      <c r="C245" s="80"/>
    </row>
    <row r="246" spans="3:3" x14ac:dyDescent="0.2">
      <c r="C246" s="80"/>
    </row>
    <row r="247" spans="3:3" x14ac:dyDescent="0.2">
      <c r="C247" s="80"/>
    </row>
    <row r="248" spans="3:3" x14ac:dyDescent="0.2">
      <c r="C248" s="80"/>
    </row>
    <row r="249" spans="3:3" x14ac:dyDescent="0.2">
      <c r="C249" s="80"/>
    </row>
    <row r="250" spans="3:3" x14ac:dyDescent="0.2">
      <c r="C250" s="80"/>
    </row>
    <row r="251" spans="3:3" x14ac:dyDescent="0.2">
      <c r="C251" s="80"/>
    </row>
    <row r="252" spans="3:3" x14ac:dyDescent="0.2">
      <c r="C252" s="80"/>
    </row>
    <row r="253" spans="3:3" x14ac:dyDescent="0.2">
      <c r="C253" s="80"/>
    </row>
    <row r="254" spans="3:3" x14ac:dyDescent="0.2">
      <c r="C254" s="80"/>
    </row>
    <row r="255" spans="3:3" x14ac:dyDescent="0.2">
      <c r="C255" s="80"/>
    </row>
    <row r="256" spans="3:3" x14ac:dyDescent="0.2">
      <c r="C256" s="80"/>
    </row>
    <row r="257" spans="3:3" x14ac:dyDescent="0.2">
      <c r="C257" s="80"/>
    </row>
    <row r="258" spans="3:3" x14ac:dyDescent="0.2">
      <c r="C258" s="80"/>
    </row>
    <row r="259" spans="3:3" x14ac:dyDescent="0.2">
      <c r="C259" s="80"/>
    </row>
    <row r="260" spans="3:3" x14ac:dyDescent="0.2">
      <c r="C260" s="80"/>
    </row>
    <row r="261" spans="3:3" x14ac:dyDescent="0.2">
      <c r="C261" s="80"/>
    </row>
    <row r="262" spans="3:3" x14ac:dyDescent="0.2">
      <c r="C262" s="80"/>
    </row>
    <row r="263" spans="3:3" x14ac:dyDescent="0.2">
      <c r="C263" s="80"/>
    </row>
    <row r="264" spans="3:3" x14ac:dyDescent="0.2">
      <c r="C264" s="80"/>
    </row>
    <row r="265" spans="3:3" x14ac:dyDescent="0.2">
      <c r="C265" s="80"/>
    </row>
    <row r="266" spans="3:3" x14ac:dyDescent="0.2">
      <c r="C266" s="80"/>
    </row>
    <row r="267" spans="3:3" x14ac:dyDescent="0.2">
      <c r="C267" s="80"/>
    </row>
    <row r="268" spans="3:3" x14ac:dyDescent="0.2">
      <c r="C268" s="80"/>
    </row>
    <row r="269" spans="3:3" x14ac:dyDescent="0.2">
      <c r="C269" s="80"/>
    </row>
    <row r="270" spans="3:3" x14ac:dyDescent="0.2">
      <c r="C270" s="80"/>
    </row>
    <row r="271" spans="3:3" x14ac:dyDescent="0.2">
      <c r="C271" s="80"/>
    </row>
    <row r="272" spans="3:3" x14ac:dyDescent="0.2">
      <c r="C272" s="80"/>
    </row>
    <row r="273" spans="3:3" x14ac:dyDescent="0.2">
      <c r="C273" s="80"/>
    </row>
    <row r="274" spans="3:3" x14ac:dyDescent="0.2">
      <c r="C274" s="80"/>
    </row>
    <row r="275" spans="3:3" x14ac:dyDescent="0.2">
      <c r="C275" s="80"/>
    </row>
    <row r="276" spans="3:3" x14ac:dyDescent="0.2">
      <c r="C276" s="80"/>
    </row>
    <row r="277" spans="3:3" x14ac:dyDescent="0.2">
      <c r="C277" s="80"/>
    </row>
    <row r="278" spans="3:3" x14ac:dyDescent="0.2">
      <c r="C278" s="80"/>
    </row>
    <row r="279" spans="3:3" x14ac:dyDescent="0.2">
      <c r="C279" s="80"/>
    </row>
    <row r="280" spans="3:3" x14ac:dyDescent="0.2">
      <c r="C280" s="80"/>
    </row>
    <row r="281" spans="3:3" x14ac:dyDescent="0.2">
      <c r="C281" s="80"/>
    </row>
    <row r="282" spans="3:3" x14ac:dyDescent="0.2">
      <c r="C282" s="80"/>
    </row>
    <row r="283" spans="3:3" x14ac:dyDescent="0.2">
      <c r="C283" s="80"/>
    </row>
    <row r="284" spans="3:3" x14ac:dyDescent="0.2">
      <c r="C284" s="80"/>
    </row>
    <row r="285" spans="3:3" x14ac:dyDescent="0.2">
      <c r="C285" s="80"/>
    </row>
    <row r="286" spans="3:3" x14ac:dyDescent="0.2">
      <c r="C286" s="80"/>
    </row>
    <row r="287" spans="3:3" x14ac:dyDescent="0.2">
      <c r="C287" s="80"/>
    </row>
    <row r="288" spans="3:3" x14ac:dyDescent="0.2">
      <c r="C288" s="80"/>
    </row>
    <row r="289" spans="3:3" x14ac:dyDescent="0.2">
      <c r="C289" s="80"/>
    </row>
    <row r="290" spans="3:3" x14ac:dyDescent="0.2">
      <c r="C290" s="80"/>
    </row>
    <row r="291" spans="3:3" x14ac:dyDescent="0.2">
      <c r="C291" s="80"/>
    </row>
    <row r="292" spans="3:3" x14ac:dyDescent="0.2">
      <c r="C292" s="80"/>
    </row>
    <row r="293" spans="3:3" x14ac:dyDescent="0.2">
      <c r="C293" s="80"/>
    </row>
    <row r="294" spans="3:3" x14ac:dyDescent="0.2">
      <c r="C294" s="80"/>
    </row>
    <row r="295" spans="3:3" x14ac:dyDescent="0.2">
      <c r="C295" s="80"/>
    </row>
    <row r="296" spans="3:3" x14ac:dyDescent="0.2">
      <c r="C296" s="80"/>
    </row>
    <row r="297" spans="3:3" x14ac:dyDescent="0.2">
      <c r="C297" s="80"/>
    </row>
    <row r="298" spans="3:3" x14ac:dyDescent="0.2">
      <c r="C298" s="80"/>
    </row>
    <row r="299" spans="3:3" x14ac:dyDescent="0.2">
      <c r="C299" s="80"/>
    </row>
    <row r="300" spans="3:3" x14ac:dyDescent="0.2">
      <c r="C300" s="80"/>
    </row>
    <row r="301" spans="3:3" x14ac:dyDescent="0.2">
      <c r="C301" s="80"/>
    </row>
    <row r="302" spans="3:3" x14ac:dyDescent="0.2">
      <c r="C302" s="80"/>
    </row>
    <row r="303" spans="3:3" x14ac:dyDescent="0.2">
      <c r="C303" s="80"/>
    </row>
    <row r="304" spans="3:3" x14ac:dyDescent="0.2">
      <c r="C304" s="80"/>
    </row>
    <row r="305" spans="3:3" x14ac:dyDescent="0.2">
      <c r="C305" s="80"/>
    </row>
    <row r="306" spans="3:3" x14ac:dyDescent="0.2">
      <c r="C306" s="80"/>
    </row>
    <row r="307" spans="3:3" x14ac:dyDescent="0.2">
      <c r="C307" s="80"/>
    </row>
    <row r="308" spans="3:3" x14ac:dyDescent="0.2">
      <c r="C308" s="80"/>
    </row>
    <row r="309" spans="3:3" x14ac:dyDescent="0.2">
      <c r="C309" s="80"/>
    </row>
  </sheetData>
  <autoFilter ref="A1:I23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zoomScale="70" workbookViewId="0">
      <selection activeCell="H49" sqref="H49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614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s="56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31</vt:i4>
      </vt:variant>
    </vt:vector>
  </HeadingPairs>
  <TitlesOfParts>
    <vt:vector size="44" baseType="lpstr">
      <vt:lpstr>Rent Statement</vt:lpstr>
      <vt:lpstr>Import</vt:lpstr>
      <vt:lpstr>Statistics</vt:lpstr>
      <vt:lpstr>Statistics-1</vt:lpstr>
      <vt:lpstr>MT</vt:lpstr>
      <vt:lpstr>MT (1585)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'MT (1585)'!MT_Amount</vt:lpstr>
      <vt:lpstr>MT_Amount</vt:lpstr>
      <vt:lpstr>'MT (1585)'!MT_BankRef</vt:lpstr>
      <vt:lpstr>MT_BankRef</vt:lpstr>
      <vt:lpstr>'MT (1585)'!MT_Desc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2018-01-29T19:13:28Z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