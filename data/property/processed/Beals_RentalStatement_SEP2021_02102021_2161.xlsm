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E9B5D3BE-BCA6-46FA-BE00-72290540B9F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IV!$A$1:$I$94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IV!$D$4:$D$384</definedName>
    <definedName name="IV_Amount_4040">'IV (4040)'!$D$2:$D$490</definedName>
    <definedName name="IV_BankRef">IV!$F$4:$F$384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26" i="31690"/>
  <c r="C22" i="31690"/>
  <c r="C17" i="31690"/>
  <c r="B25" i="31690"/>
  <c r="B24" i="31690"/>
  <c r="B17" i="31690"/>
  <c r="C24" i="31690"/>
  <c r="B32" i="31690"/>
  <c r="E39" i="31690"/>
  <c r="B31" i="31690"/>
  <c r="C29" i="31690"/>
  <c r="C31" i="31690"/>
  <c r="C33" i="31690"/>
  <c r="C34" i="31690"/>
  <c r="C32" i="31690"/>
  <c r="C18" i="31690"/>
  <c r="C30" i="31690"/>
  <c r="B34" i="31690"/>
  <c r="B18" i="31690"/>
  <c r="C25" i="31690"/>
  <c r="B26" i="31690"/>
  <c r="B29" i="31690"/>
  <c r="B21" i="31690"/>
  <c r="B30" i="31690"/>
  <c r="C21" i="31690"/>
  <c r="B22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<sst xmlns="http://schemas.openxmlformats.org/spreadsheetml/2006/main" count="4474" uniqueCount="1154">
  <si>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</si>
  <si>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</si>
  <si>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</si>
  <si>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</si>
  <si>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</si>
  <si>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</si>
  <si>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</si>
  <si>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</si>
  <si>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</si>
  <si>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</si>
  <si>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</si>
  <si>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</si>
  <si>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</si>
  <si>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</si>
  <si>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</si>
  <si>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</si>
  <si>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</si>
  <si>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</si>
  <si>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</si>
  <si>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</si>
  <si>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</si>
  <si>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</si>
  <si>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</si>
  <si>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</si>
  <si>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</si>
  <si>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</si>
  <si>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</si>
  <si>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</si>
  <si>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</si>
  <si>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</si>
  <si>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</si>
  <si>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</si>
  <si>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</si>
  <si>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</si>
  <si>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</si>
  <si>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</si>
  <si>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</si>
  <si>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</si>
  <si>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</si>
  <si>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</si>
  <si>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</si>
  <si>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</si>
  <si>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</si>
  <si>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</si>
  <si>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</si>
  <si>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</si>
  <si>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</si>
  <si>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</si>
  <si>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</si>
  <si>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</si>
  <si>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</si>
  <si>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</si>
  <si>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</si>
  <si>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</si>
  <si>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</si>
  <si>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</si>
  <si>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</si>
  <si>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</si>
  <si>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</si>
  <si>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</si>
  <si>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</si>
  <si>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</si>
  <si>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</si>
  <si>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</si>
  <si>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</si>
  <si>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</si>
  <si>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</si>
  <si>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</si>
  <si>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</si>
  <si>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</si>
  <si>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</si>
  <si>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</si>
  <si>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</si>
  <si>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</si>
  <si>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</si>
  <si>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</si>
  <si>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</si>
  <si>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</si>
  <si>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</si>
  <si>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</si>
  <si>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</si>
  <si>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</si>
  <si>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</si>
  <si>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</si>
  <si>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</si>
  <si>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</si>
  <si>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</si>
  <si>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</si>
  <si>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</si>
  <si>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</si>
  <si>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</si>
  <si>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</si>
  <si>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</si>
  <si>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</si>
  <si>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</si>
  <si>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</si>
  <si>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</si>
  <si>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</si>
  <si>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</si>
  <si>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</si>
  <si>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</si>
  <si>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</si>
  <si>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</si>
  <si>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</si>
  <si>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</si>
  <si>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</si>
  <si>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</si>
  <si>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</si>
  <si>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</si>
  <si>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</si>
  <si>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</si>
  <si>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</si>
  <si>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</si>
  <si>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</si>
  <si>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</si>
  <si>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</si>
  <si>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</si>
  <si>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</si>
  <si>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</si>
  <si>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</si>
  <si>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</si>
  <si>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</si>
  <si>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</si>
  <si>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</si>
  <si>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</si>
  <si>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</si>
  <si>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</si>
  <si>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</si>
  <si>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</si>
  <si>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</si>
  <si>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</si>
  <si>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</si>
  <si>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</si>
  <si>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</si>
  <si>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</si>
  <si>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</si>
  <si>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</si>
  <si>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</si>
  <si>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</si>
  <si>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</si>
  <si>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</si>
  <si>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</si>
  <si>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</si>
  <si>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</si>
  <si>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</si>
  <si>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</si>
  <si>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</si>
  <si>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</si>
  <si>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</si>
  <si>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</si>
  <si>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</si>
  <si>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</si>
  <si>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</si>
  <si>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</si>
  <si>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</si>
  <si>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</si>
  <si>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</si>
  <si>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</si>
  <si>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</si>
  <si>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</si>
  <si>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</si>
  <si>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</si>
  <si>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</si>
  <si>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</si>
  <si>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</si>
  <si>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</si>
  <si>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</si>
  <si>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</si>
  <si>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</si>
  <si>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</si>
  <si>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</si>
  <si>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</si>
  <si>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</si>
  <si>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</si>
  <si>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</si>
  <si>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</si>
  <si>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</si>
  <si>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</si>
  <si>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</si>
  <si>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</si>
  <si>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</si>
  <si>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</si>
  <si>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</si>
  <si>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</si>
  <si>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</si>
  <si>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</si>
  <si>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</si>
  <si>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</si>
  <si>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</si>
  <si>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</si>
  <si>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</si>
  <si>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</si>
  <si>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</si>
  <si>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</si>
  <si>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</si>
  <si>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</si>
  <si>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</si>
  <si>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</si>
  <si>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</si>
  <si>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</si>
  <si>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</si>
  <si>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</si>
  <si>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</si>
  <si>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</si>
  <si>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</si>
  <si>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</si>
  <si>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</si>
  <si>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</si>
  <si>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</si>
  <si>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</si>
  <si>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</si>
  <si>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</si>
  <si>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</si>
  <si>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</si>
  <si>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</si>
  <si>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</si>
  <si>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</si>
  <si>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</si>
  <si>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</si>
  <si>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</si>
  <si>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</si>
  <si>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</si>
  <si>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</si>
  <si>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</si>
  <si>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</si>
  <si>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</si>
  <si>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</si>
  <si>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</si>
  <si>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</si>
  <si>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</si>
  <si>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</si>
  <si>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</si>
  <si>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</si>
  <si>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</si>
  <si>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</si>
  <si>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</si>
  <si>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</si>
  <si>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</si>
  <si>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</si>
  <si>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</si>
  <si>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</si>
  <si>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</si>
  <si>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</si>
  <si>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</si>
  <si>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</si>
  <si>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</si>
  <si>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</si>
  <si>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</si>
  <si>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</si>
  <si>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</si>
  <si>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</si>
  <si>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</si>
  <si>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</si>
  <si>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</si>
  <si>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</si>
  <si>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</si>
  <si>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</si>
  <si>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</si>
  <si>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</si>
  <si>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</si>
  <si>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</si>
  <si>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</si>
  <si>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</si>
  <si>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</si>
  <si>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</si>
  <si>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</si>
  <si>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</si>
  <si>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</si>
  <si>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</si>
  <si>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</si>
  <si>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</si>
  <si>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</si>
  <si>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</si>
  <si>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</si>
  <si>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</si>
  <si>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</si>
  <si>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</si>
  <si>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</si>
  <si>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</si>
  <si>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</si>
  <si>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</si>
  <si>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</si>
  <si>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</si>
  <si>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</si>
  <si>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</si>
  <si>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</si>
  <si>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</si>
  <si>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</si>
  <si>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</si>
  <si>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</si>
  <si>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</si>
  <si>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</si>
  <si>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</si>
  <si>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</si>
  <si>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</si>
  <si>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</si>
  <si>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</si>
  <si>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</si>
  <si>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</si>
  <si>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</si>
  <si>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</si>
  <si>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</si>
  <si>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</si>
  <si>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</si>
  <si>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</si>
  <si>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</si>
  <si>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</si>
  <si>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</si>
  <si>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</si>
  <si>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</si>
  <si>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</si>
  <si>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</si>
  <si>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</si>
  <si>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</si>
  <si>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</si>
  <si>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</si>
  <si>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</si>
  <si>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</si>
  <si>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</si>
  <si>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</si>
  <si>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</si>
  <si>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</si>
  <si>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</si>
  <si>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</si>
  <si>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</si>
  <si>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</si>
  <si>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</si>
  <si>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</si>
  <si>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</si>
  <si>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</si>
  <si>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</si>
  <si>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</si>
  <si>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</si>
  <si>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</si>
  <si>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</si>
  <si>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</si>
  <si>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</si>
  <si>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</si>
  <si>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</si>
  <si>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</si>
  <si>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</si>
  <si>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</si>
  <si>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</si>
  <si>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</si>
  <si>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</si>
  <si>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</si>
  <si>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</si>
  <si>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</si>
  <si>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</si>
  <si>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</si>
  <si>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</si>
  <si>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</si>
  <si>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</si>
  <si>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</si>
  <si>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</si>
  <si>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</si>
  <si>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</si>
  <si>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</si>
  <si>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</si>
  <si>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</si>
  <si>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</si>
  <si>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</si>
  <si>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</si>
  <si>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</si>
  <si>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</si>
  <si>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</si>
  <si>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</si>
  <si>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</si>
  <si>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</si>
  <si>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</si>
  <si>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</si>
  <si>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</si>
  <si>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</si>
  <si>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</si>
  <si>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</si>
  <si>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</si>
  <si>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</si>
  <si>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</si>
  <si>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</si>
  <si>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</si>
  <si>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</si>
  <si>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</si>
  <si>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</si>
  <si>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</si>
  <si>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</si>
  <si>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</si>
  <si>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</si>
  <si>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</si>
  <si>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</si>
  <si>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</si>
  <si>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</si>
  <si>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</si>
  <si>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</si>
  <si>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</si>
  <si>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</si>
  <si>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</si>
  <si>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</si>
  <si>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</si>
  <si>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</si>
  <si>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</si>
  <si>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</si>
  <si>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</si>
  <si>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</si>
  <si>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</si>
  <si>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</si>
  <si>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</si>
  <si>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</si>
  <si>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</si>
  <si>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</si>
  <si>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</si>
  <si>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</si>
  <si>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</si>
  <si>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</si>
  <si>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</si>
  <si>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</si>
  <si>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</si>
  <si>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</si>
  <si>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</si>
  <si>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</si>
  <si>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</si>
  <si>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</si>
  <si>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</si>
  <si>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</si>
  <si>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</si>
  <si>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</si>
  <si>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</si>
  <si>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</si>
  <si>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</si>
  <si>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</si>
  <si>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</si>
  <si>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</si>
  <si>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</si>
  <si>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</si>
  <si>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</si>
  <si>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</si>
  <si>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</si>
  <si>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</si>
  <si>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</si>
  <si>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</si>
  <si>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</si>
  <si>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</si>
  <si>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</si>
  <si>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</si>
  <si>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</si>
  <si>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</si>
  <si>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</si>
  <si>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</si>
  <si>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</si>
  <si>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</si>
  <si>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</si>
  <si>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</si>
  <si>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</si>
  <si>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</si>
  <si>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</si>
  <si>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</si>
  <si>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</si>
  <si>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</si>
  <si>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</si>
  <si>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</si>
  <si>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</si>
  <si>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</si>
  <si>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</si>
  <si>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</si>
  <si>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</si>
  <si>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</si>
  <si>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</si>
  <si>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</si>
  <si>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</si>
  <si>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</si>
  <si>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</si>
  <si>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</si>
  <si>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</si>
  <si>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</si>
  <si>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</si>
  <si>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</si>
  <si>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</si>
  <si>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</si>
  <si>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</si>
  <si>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</si>
  <si>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</si>
  <si>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</si>
  <si>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</si>
  <si>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</si>
  <si>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</si>
  <si>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</si>
  <si>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</si>
  <si>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</si>
  <si>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</si>
  <si>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</si>
  <si>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</si>
  <si>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</si>
  <si>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</si>
  <si>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</si>
  <si>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</si>
  <si>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</si>
  <si>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</si>
  <si>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</si>
  <si>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</si>
  <si>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</si>
  <si>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</si>
  <si>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</si>
  <si>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</si>
  <si>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</si>
  <si>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</si>
  <si>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</si>
  <si>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</si>
  <si>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</si>
  <si>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</si>
  <si>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</si>
  <si>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</si>
  <si>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</si>
  <si>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</si>
  <si>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</si>
  <si>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</si>
  <si>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</si>
  <si>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</si>
  <si>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</si>
  <si>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</si>
  <si>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</si>
  <si>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</si>
  <si>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</si>
  <si>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</si>
  <si>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</si>
  <si>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</si>
  <si>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</si>
  <si>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</si>
  <si>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</si>
  <si>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</si>
  <si>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</si>
  <si>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</si>
  <si>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</si>
  <si>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</si>
  <si>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</si>
  <si>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</si>
  <si>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</si>
  <si>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</si>
  <si>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</si>
  <si>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</si>
  <si>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</si>
  <si>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</si>
  <si>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</si>
  <si>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</si>
  <si>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</si>
  <si>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</si>
  <si>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</si>
  <si>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</si>
  <si>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</si>
  <si>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</si>
  <si>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</si>
  <si>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</si>
  <si>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</si>
  <si>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</si>
  <si>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</si>
  <si>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</si>
  <si>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</si>
  <si>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</si>
  <si>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</si>
  <si>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</si>
  <si>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</si>
  <si>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</si>
  <si>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</si>
  <si>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</si>
  <si>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</si>
  <si>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</si>
  <si>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</si>
  <si>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</si>
  <si>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</si>
  <si>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</si>
  <si>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</si>
  <si>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</si>
  <si>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</si>
  <si>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</si>
  <si>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</si>
  <si>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</si>
  <si>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</si>
  <si>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</si>
  <si>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</si>
  <si>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</si>
  <si>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</si>
  <si>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</si>
  <si>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</si>
  <si>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</si>
  <si>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</si>
  <si>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</si>
  <si>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</si>
  <si>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</si>
  <si>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</si>
  <si>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</si>
  <si>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</si>
  <si>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</si>
  <si>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</si>
  <si>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</si>
  <si>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</si>
  <si>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</si>
  <si>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</si>
  <si>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</si>
  <si>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</si>
  <si>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</si>
  <si>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</si>
  <si>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</si>
  <si>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</si>
  <si>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</si>
  <si>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</si>
  <si>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</si>
  <si>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</si>
  <si>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</si>
  <si>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</si>
  <si>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</si>
  <si>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</si>
  <si>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</si>
  <si>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</si>
  <si>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</si>
  <si>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</si>
  <si>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</si>
  <si>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</si>
  <si>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</si>
  <si>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</si>
  <si>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</si>
  <si>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</si>
  <si>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</si>
  <si>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</si>
  <si>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</si>
  <si>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</si>
  <si>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</si>
  <si>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</si>
  <si>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</si>
  <si>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</si>
  <si>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</si>
  <si>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</si>
  <si>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</si>
  <si>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</si>
  <si>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</si>
  <si>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</si>
  <si>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1, 169 Fawcett Road, Southsea</t>
  </si>
  <si>
    <t>Legislation &amp; Compliance  - Flat 3,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</si>
  <si>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</si>
  <si>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</si>
  <si>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</si>
  <si>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</si>
  <si>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</si>
  <si>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</si>
  <si>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</si>
  <si>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13,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</si>
  <si>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</si>
  <si>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</si>
  <si>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</si>
  <si>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8 Alhambra Road, Southsea</t>
  </si>
  <si>
    <t>Legislation &amp; Compliance  - Flat 3, 12-14 Alhambra Road, Southsea</t>
  </si>
  <si>
    <t>Legislation &amp; Compliance  - Flat 16, 12-14 Alhambra Road, Southsea</t>
  </si>
  <si>
    <t>Legislation &amp; Compliance  - Flat 12, 16-18 Alhambra Road, Southsea</t>
  </si>
  <si>
    <t>Legislation &amp; Compliance  - Flat 16, 16-18 Alhambra Road, Southsea</t>
  </si>
  <si>
    <t>Legislation &amp; Compliance  - Flat 5, 12-14 Alhambra Road, Southsea</t>
  </si>
  <si>
    <t>Legislation &amp; Compliance  - Flat 7, 12-14 Alhambra Road, Southsea</t>
  </si>
  <si>
    <t/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</si>
  <si>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</si>
  <si>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</si>
  <si>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</si>
  <si>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</si>
  <si>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</si>
  <si>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</si>
  <si>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</si>
  <si>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</si>
  <si>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</si>
  <si>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</si>
  <si>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</si>
  <si>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</si>
  <si>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</si>
  <si>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</si>
  <si>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</si>
  <si>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</si>
  <si>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</si>
  <si>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</si>
  <si>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</si>
  <si>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</si>
  <si>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Not paid DEC 20 - check if he's in arrears</t>
  </si>
  <si>
    <t>Not paid FEB - dates did not carry on</t>
  </si>
  <si>
    <t>Where is rent for shop? - Need to get rent statement for shop</t>
  </si>
  <si>
    <t>Check arrears</t>
  </si>
  <si>
    <t>Not paid FEB - paid twice in MAR</t>
  </si>
  <si>
    <t>Bruen move out date</t>
  </si>
  <si>
    <t>Paid to 28/06/21</t>
  </si>
  <si>
    <t>Alan Young move out date 27/10/20</t>
  </si>
  <si>
    <t>Paid to 27/08/2021</t>
  </si>
  <si>
    <t>Check arrears - Paid twice in June because Not Paid May - Arrears from Nov 19, Half payment again in Feb 20 and May 20, Aug 20 - Check statement</t>
  </si>
  <si>
    <t>Check arrears - had some low rents earlier in year</t>
  </si>
  <si>
    <t>Vintila move out date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</si>
  <si>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</si>
  <si>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</si>
  <si>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</si>
  <si>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</si>
  <si>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4, 321 London Road, Portsmouth</t>
  </si>
  <si>
    <t>Amount payable to Mr Mathew Tucker - Flat 4, 321 London Road, Portsmouth</t>
  </si>
  <si>
    <t>Management Fee at 7% - Flat 1, 169 Fawcett Road, Southsea</t>
  </si>
  <si>
    <t>Rent for period 06/08/2021 - 05/09/2021 from Ms Susan Parkinson - Flat 1, 169 Fawcett Road, Southsea</t>
  </si>
  <si>
    <t>Amount payable to Mr Mathew Tucker - Flat 1, 169 Fawcett Road, Southsea</t>
  </si>
  <si>
    <t>Management Fee at 7% - Flat 3, 169 Fawcett Road, Southsea</t>
  </si>
  <si>
    <t>Amount payable to Mr Mathew Tucker - Flat 3, 169 Fawcett Road, Southsea</t>
  </si>
  <si>
    <t>Management Fee at 7% - Flat 1, 171 Fawcett Road, Southsea</t>
  </si>
  <si>
    <t>Rent for period 06/08/2021 - 05/09/2021 from Ms Kirstine Aldridge - Flat 1, 171 Fawcett Road, Southsea</t>
  </si>
  <si>
    <t>Amount payable to Mr Mathew Tucker - Flat 1, 171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</si>
  <si>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</si>
  <si>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</si>
  <si>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</si>
  <si>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</si>
  <si>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</si>
  <si>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</si>
  <si>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</si>
  <si>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</si>
  <si>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</si>
  <si>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</si>
  <si>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3, 12-14 Alhambra Road, Southsea</t>
  </si>
  <si>
    <t>Amount payable to Ms Ivana Valentino - Flat 3, 12-14 Alhambra Road, Southsea</t>
  </si>
  <si>
    <t>Management Fee at 7% - Flat 5, 12-14 Alhambra Road, Southsea</t>
  </si>
  <si>
    <t>Amount payable to Ms Ivana Valentino - Flat 5, 12-14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</si>
  <si>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</si>
  <si>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</si>
  <si>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</si>
  <si>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</si>
  <si>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</si>
  <si>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</si>
  <si>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6% - Flat 16, 12-14 Alhambra Road, Southsea</t>
  </si>
  <si>
    <t>Rent for period 19/08/2021 - 18/09/2021 from Mr Aubrey Milligan - Flat 16, 12-14 Alhambra Road, Southsea</t>
  </si>
  <si>
    <t>Amount payable to Ms Ivana Valentino - Flat 16,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</si>
  <si>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</si>
  <si>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</si>
  <si>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</si>
  <si>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</si>
  <si>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Management Fee at 7% - Flat 12, 16-18 Alhambra Road, Southsea</t>
  </si>
  <si>
    <t>Amount payable to Ms Ivana Valentino - Flat 12, 16-18 Alhambra Road, Southsea</t>
  </si>
  <si>
    <t>Management Fee at 7% - Flat 13, 16-18 Alhambra Road, Southsea</t>
  </si>
  <si>
    <t>Amount payable to Mr Mathew Tucker - Flat 13, 16-18 Alhambra Road, Southsea</t>
  </si>
  <si>
    <t>20-74-09 60458872</t>
  </si>
  <si>
    <t>FT</t>
  </si>
  <si>
    <t>PAYMENT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</si>
  <si>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</si>
  <si>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</si>
  <si>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</si>
  <si>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</si>
  <si>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</si>
  <si>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</si>
  <si>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</si>
  <si>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</si>
  <si>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</si>
  <si>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</si>
  <si>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</si>
  <si>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</si>
  <si>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</si>
  <si>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</si>
  <si>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</si>
  <si>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 xml:space="preserve">FYLES GR              RENT               FT </t>
  </si>
  <si>
    <t>BCC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</si>
  <si>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</si>
  <si>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</si>
  <si>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</si>
  <si>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</si>
  <si>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</si>
  <si>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</si>
  <si>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</si>
  <si>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</si>
  <si>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</si>
  <si>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</si>
  <si>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</si>
  <si>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BOOTS</t>
  </si>
  <si>
    <t>DIRECTDEP</t>
  </si>
  <si>
    <t>BEALS ESTATE AGENT    FLAT 3169 FAWCETT  BGC</t>
  </si>
  <si>
    <t>BEALS ESTATE AGENT    196A KINGSTON ROAD BGC</t>
  </si>
  <si>
    <t>BEALS ESTATE AGENT    FLAT 2171 FAWCETT  BGC</t>
  </si>
  <si>
    <t>CASH</t>
  </si>
  <si>
    <t>BHAM MIDSHIRES        020010556389/35299 DDR</t>
  </si>
  <si>
    <t>BEALS ESTATE AGENT    FLAT 1412-14 ALHAM BGC</t>
  </si>
  <si>
    <t>STO</t>
  </si>
  <si>
    <t>J BOTTLE              RENT               STO</t>
  </si>
  <si>
    <t>BHAM MIDSHIRES        020009309942/35735 DDR</t>
  </si>
  <si>
    <t>BEALS ESTATE AGENT    FLAT 68 ALHAMBRA R BGC</t>
  </si>
  <si>
    <t>BEALS ESTATE AGENT    FLAT 1171 FAWCETT  BGC</t>
  </si>
  <si>
    <t>K PARSON              RENT               STO</t>
  </si>
  <si>
    <t>BHAM MIDSHIRES        020000389757/37175 DDR</t>
  </si>
  <si>
    <t xml:space="preserve">TIDBURY M             RENT               FT </t>
  </si>
  <si>
    <t>BEALS ESTATE AGENT    SHOP196 KINGSTON R BGC</t>
  </si>
  <si>
    <t>201280 23186385       V HAJEK 169 FAWCET STO</t>
  </si>
  <si>
    <t xml:space="preserve">INGOLDSBY K A         FLAT 19 ALHAMBRA   FT </t>
  </si>
  <si>
    <t>BEALS ESTATE AGENT    FLAT 616-18 ALHAMB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</si>
  <si>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</si>
  <si>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</si>
  <si>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</si>
  <si>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</si>
  <si>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</si>
  <si>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1116-18 ALHAM BGC</t>
  </si>
  <si>
    <t>CIPRIAN GEORGESCU     F2 321 LONDON ROAD BGC</t>
  </si>
  <si>
    <t>BEALS ESTATE AGENT    FLAT 3163 FRATTON  BGC</t>
  </si>
  <si>
    <t>BEALS ESTATE AGENT    FLAT 712-14 ALHAMB BGC</t>
  </si>
  <si>
    <t>PAYPAL PAYMENT        5CM22229DF5GW      DDR</t>
  </si>
  <si>
    <t>BHAM MIDSHIRES        020003649652/41838 DDR</t>
  </si>
  <si>
    <t xml:space="preserve">207409 40406538       TRF                FT </t>
  </si>
  <si>
    <t>SSE SOUTHERN ELECT    6882766014         STO</t>
  </si>
  <si>
    <t>BHAM MIDSHIRES        020007882432/46801 DDR</t>
  </si>
  <si>
    <t>Jake Lindemere     BGC</t>
  </si>
  <si>
    <t>BEALS ESTATE AGENT    FLAT 1012-14 ALHAM BGC</t>
  </si>
  <si>
    <t>BEALS ESTATE AGENT    FLAT 1169 FAWCETT  BGC</t>
  </si>
  <si>
    <t>BEALS ESTATE AGENT    FLAT 1321 LONDON R BGC</t>
  </si>
  <si>
    <t>A Ibiyemi             RENT 3 321 LONDON  BGC</t>
  </si>
  <si>
    <t>BEALS ESTATE AGENT    FLAT 4321 LONDON R BGC</t>
  </si>
  <si>
    <t>MISS SOPHIE H BEDF    FLAT 17 ALHAMBRA   STO</t>
  </si>
  <si>
    <t>BHAM MIDSHIRES        020002731371/28015 DDR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</si>
  <si>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</si>
  <si>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</si>
  <si>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</si>
  <si>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</si>
  <si>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</si>
  <si>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</si>
  <si>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</si>
  <si>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</si>
  <si>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</si>
  <si>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</si>
  <si>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</si>
  <si>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</si>
  <si>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>M Williams            RENT               BGC</t>
  </si>
  <si>
    <t>BEALS ESTATE AGENT    FLAT 78 ALHAMBRA R BGC</t>
  </si>
  <si>
    <t>TOPAZ FIN JASPER      PRU00010/191462710 DDR</t>
  </si>
  <si>
    <t>KINGSTON UNITY        PL684048A VALENTNO STO</t>
  </si>
  <si>
    <t>M Doyle               23B HAMPSHIRE TER. BGC</t>
  </si>
  <si>
    <t>SKIPTON B.S.          SBS00001/165905969 DDR</t>
  </si>
  <si>
    <t>SHEPHERDS FS          PN026484A          DDR</t>
  </si>
  <si>
    <t>L Nikolov             RENT FOR 171 FLAT  BGC</t>
  </si>
  <si>
    <t>BHAM MIDSHIRES        020007900597/59348 DDR</t>
  </si>
  <si>
    <t>AVIVA LIFE            014033997          DDR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</si>
  <si>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</si>
  <si>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</si>
  <si>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</si>
  <si>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</si>
  <si>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</si>
  <si>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</si>
  <si>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</si>
  <si>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</si>
  <si>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</si>
  <si>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RENT       BGC</t>
  </si>
  <si>
    <t>BEALS ESTATE AGENT    FLAT 312-14 ALHAMB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</si>
  <si>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</si>
  <si>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</si>
  <si>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</si>
  <si>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</si>
  <si>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</si>
  <si>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</si>
  <si>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</si>
  <si>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N Raja Mohammad       RENT FOR 23C       BGC</t>
  </si>
  <si>
    <t>MR MATTHEW STUART     207409 40406538    STO</t>
  </si>
  <si>
    <t>BOOTS REWARDSCHEME    A45028400000736    DDR</t>
  </si>
  <si>
    <t>20-74-09 40406538</t>
  </si>
  <si>
    <t xml:space="preserve">ETSY                  IRELAND               </t>
  </si>
  <si>
    <t>ID MOBILE LIMITED     12253154/001       DDR</t>
  </si>
  <si>
    <t xml:space="preserve">207409 60458872       TRF                FT </t>
  </si>
  <si>
    <t xml:space="preserve">205397 30728691       TRF                FT </t>
  </si>
  <si>
    <t>TUCK&amp;VALEN HSE%0 P    207409 40406538    STO</t>
  </si>
  <si>
    <t>GSC</t>
  </si>
  <si>
    <t>Rent for period 25/09/2021 - 24/10/2021 from Ms Sharon Briscoe - Flat 1, 321 London Road, Portsmouth</t>
  </si>
  <si>
    <t>Rent for period 26/09/2021 - 25/10/2021 from Miss Carol Carrington - Flat 4, 321 London Road, Portsmouth</t>
  </si>
  <si>
    <t>Rent for period 06/09/2021 - 05/10/2021 from Ms Susan Parkinson - Flat 1, 169 Fawcett Road, Southsea</t>
  </si>
  <si>
    <t>Rent for period 15/08/2021 - 14/09/2021 from Mr Graham Robinson - Flat 3, 169 Fawcett Road, Southsea</t>
  </si>
  <si>
    <t>Rent for period 06/09/2021 - 05/10/2021 from Ms Kirstine Aldridge - Flat 1, 171 Fawcett Road, Southsea</t>
  </si>
  <si>
    <t>Rent for period 02/09/2021 - 01/10/2021 from Mr Michael Pedace - Flat 2, 171 Fawcett Road, Southsea</t>
  </si>
  <si>
    <t>Rent for period 14/09/2021 - 13/10/2021 from Mr Martin Brett - Flat 3, 163 Fratton Road, Portsmouth</t>
  </si>
  <si>
    <t>Rent for period 11/09/2021 - 10/10/2021 from Mr Martin Gliszczynski (SIE-SOF T/A Pol Help) - Shop, 196 Kingston Road, Portsmouth</t>
  </si>
  <si>
    <t>Rent for period 01/09/2021 - 30/09/2021 from Ms Jo Henson - 196a Kingston Road, Portsmouth</t>
  </si>
  <si>
    <t>Rent for period 08/09/2021 - 07/10/2021 from Mr Antony Raymond Hinks - Flat 6, 8 Alhambra Road, Southsea</t>
  </si>
  <si>
    <t>Rent for period 30/08/2021 - 29/09/2021 from Mr Andrew Austin - Flat 7, 8 Alhambra Road, Southsea</t>
  </si>
  <si>
    <t>Management Fee at 7% - Flat 7, 8 Alhambra Road, Southsea</t>
  </si>
  <si>
    <t>Amount payable to Ms Ivana Valentino - Flat 7, 8 Alhambra Road, Southsea</t>
  </si>
  <si>
    <t>Rent for period 30/09/2021 - 29/10/2021 from Mr Andrew Austin - Flat 7, 8 Alhambra Road, Southsea</t>
  </si>
  <si>
    <t>Rent for period 18/09/2021 - 17/10/2021 from Mr Andrew Greer - Flat 3, 12-14 Alhambra Road, Southsea</t>
  </si>
  <si>
    <t>Rent for period 23/09/2021 - 22/10/2021 from Mr Michael Valverde - Flat 5, 12-14 Alhambra Road, Southsea</t>
  </si>
  <si>
    <t>Rent for period 14/09/2021 - 13/10/2021 from Mr Aleksandra Radzevics - Flat 7, 12-14 Alhambra Road, Southsea</t>
  </si>
  <si>
    <t>Rent for period 20/09/2021 - 19/10/2021 from Mr Andrew England - Flat 10, 12-14 Alhambra Road, Southsea</t>
  </si>
  <si>
    <t>Rent for period 06/09/2021 - 05/10/2021 from Mr Paul McIlwraith - Flat 14, 12-14 Alhambra Road, Southsea</t>
  </si>
  <si>
    <t>Rent for period 19/09/2021 - 18/10/2021 from Mr Aubrey Milligan - Flat 16, 12-14 Alhambra Road, Southsea</t>
  </si>
  <si>
    <t>Rent for period 12/09/2021 - 11/10/2021 from Mr Peter Taperek - Flat 6, 16-18 Alhambra Road, Southsea</t>
  </si>
  <si>
    <t>Rent for period 12/09/2021 - 11/10/2021 from Mr Sam Yates - Flat 11, 16-18 Alhambra Road, Southsea</t>
  </si>
  <si>
    <t>Rent for period 19/09/2021 - 18/10/2021 from Mr Jason Passmore - Flat 12, 16-18 Alhambra Road, Southsea</t>
  </si>
  <si>
    <t>Rent for period 28/09/2021 - 27/10/2021 from Mr Tomas Gamarro Garcia, Miss Agnieszka Helena Kraus - Flat 13, 16-18 Alhambra Road, Southsea</t>
  </si>
  <si>
    <t>BEALS ESTATE AGENT    FLAT 1316-18 ALHAM BGC</t>
  </si>
  <si>
    <t>ROSEWAY LABS          ON 31 AUG          BCC</t>
  </si>
  <si>
    <t>TASKER ON TASKRABB    ON 31 AUG          BCC</t>
  </si>
  <si>
    <t>WWW.JOHNLEWIS.COM     ON 01 SEP          BCC</t>
  </si>
  <si>
    <t>SCHOOLBLAZER LTD      ON 02 SEP          BCC</t>
  </si>
  <si>
    <t>WWW.JOHNLEWIS.COM     ON 04 SEP          BCC</t>
  </si>
  <si>
    <t>JOHN LEWIS            ON 04 SEP          BCC</t>
  </si>
  <si>
    <t xml:space="preserve">TIM KEMP ACCOUNTAN    23111FRTNLWVT      FT </t>
  </si>
  <si>
    <t>KINGSTON DOMESTIC     2138 1 16-18 GHOBB BBP</t>
  </si>
  <si>
    <t>KINGSTON DOMESTIC     2139 4 12-14 HOBB  BBP</t>
  </si>
  <si>
    <t>ROSEWAY LABS          ON 08 SEP          BCC</t>
  </si>
  <si>
    <t>PETER TAPEREK         17 4-6 CURTAIN POL BBP</t>
  </si>
  <si>
    <t>HARRODS BEAUTY LTD    ON 09 SEP          BCC</t>
  </si>
  <si>
    <t>VILLAGE GREEN DEAL    10843 7 8 EPC      BBP</t>
  </si>
  <si>
    <t>VILLAGE GREEN DEAL    10842 14 12-14 EPC BBP</t>
  </si>
  <si>
    <t>POST OFFICE COUNTE    ON 10 SEP          CLP</t>
  </si>
  <si>
    <t>WWW.JOHNLEWIS.COM     ON 12 SEP          BCC</t>
  </si>
  <si>
    <t>HARRODS BEAUTY LTD    ON 12 SEP          BCC</t>
  </si>
  <si>
    <t>VILLAGE GREEN DEAL    10845 3 163 EPC    BBP</t>
  </si>
  <si>
    <t>MARKS&amp;SPENCER PLC     ON 13 SEP          CLP</t>
  </si>
  <si>
    <t>HOMESENSE             ON 13 SEP          CLP</t>
  </si>
  <si>
    <t>T K MAXX              ON 13 SEP          BCC</t>
  </si>
  <si>
    <t>Spotify UK            ON 13 SEP          BCC</t>
  </si>
  <si>
    <t>AMZNMktplace          ON 13 SEP          BCC</t>
  </si>
  <si>
    <t>A BECK PLUMBING       10661 GS 1 16-18   BBP</t>
  </si>
  <si>
    <t>MARKS&amp;SPENCER PLC     ON 14 SEP          CLP</t>
  </si>
  <si>
    <t>BP BEDFORD EXPRESS    ON 13 SEP          CLP</t>
  </si>
  <si>
    <t>NO LIMITZ             ON 14 SEP          CLP</t>
  </si>
  <si>
    <t>TESCO STORE 2105      ON 14 SEP          CLP</t>
  </si>
  <si>
    <t>NEW COUNTY SERVICE    ON 14 SEP          BCC</t>
  </si>
  <si>
    <t>NO LIMITZ             ON 14 SEP          BCC</t>
  </si>
  <si>
    <t>SCHOOLBLAZER LTD      ON 15 SEP          BCC</t>
  </si>
  <si>
    <t>CO OPERATIVE FOOD     ON 15 SEP          CLP</t>
  </si>
  <si>
    <t>PETER TAPEREK         4 12-14 RAT POISON BBP</t>
  </si>
  <si>
    <t>PETER TAPEREK         4 12-14 RAT SPRAY  BBP</t>
  </si>
  <si>
    <t>BP BEDFORD EXPRESS    ON 15 SEP          CLP</t>
  </si>
  <si>
    <t xml:space="preserve">RESI SAFE             8764 MTUCKER       FT </t>
  </si>
  <si>
    <t>PETER TAPEREK         OVO DEBT 4 12-14   BBP</t>
  </si>
  <si>
    <t>AMZNMktplace          ON 20 SEP          BCC</t>
  </si>
  <si>
    <t xml:space="preserve">205397 30728691       HMRC               FT </t>
  </si>
  <si>
    <t>HMRC SELF ASSESSME    2172560187K        BBP</t>
  </si>
  <si>
    <t>HMRC SELF ASSESSME    6776465142K        BBP</t>
  </si>
  <si>
    <t>BP BEDFORD EXPRESS    ON 22 SEP          CLP</t>
  </si>
  <si>
    <t>TESCO STORE 2105      ON 23 SEP          BCC</t>
  </si>
  <si>
    <t>CO OPERATIVE FOOD     ON 25 SEP          CLP</t>
  </si>
  <si>
    <t>BP BEDFORD EXPRESS    ON 24 SEP          CLP</t>
  </si>
  <si>
    <t>IZ *THE PAVILION T    ON 24 SEP          CLP</t>
  </si>
  <si>
    <t>NEW COUNTY SERVICE    ON 26 SEP          BCC</t>
  </si>
  <si>
    <t>PCC INTERNET PAYME    ON 24 SEP          BCC</t>
  </si>
  <si>
    <t>BP BEDFORD EXPRESS    ON 23 SEP          BCC</t>
  </si>
  <si>
    <t>MARKS&amp;SPENCER PLC     ON 24 SEP          BCC</t>
  </si>
  <si>
    <t>BOOTS 6407            ON 27 SEP          BCC</t>
  </si>
  <si>
    <t>WEFIX WINDOWS AND     1778 712-14 WINDOW BBP</t>
  </si>
  <si>
    <t>A BECK PLUMBING       10805 11618 LEAK   BBP</t>
  </si>
  <si>
    <t>IZ *THE PAVILION T    ON 29 SEP          CLP</t>
  </si>
  <si>
    <t>MORTGAGE TRUST        002197389 10115960 DDR</t>
  </si>
  <si>
    <t>MORTGAGE TRUST        002186357 10115960 DDR</t>
  </si>
  <si>
    <t>MORTGAGE TRUST        002186356 10115960 DDR</t>
  </si>
  <si>
    <t>MORTGAGE TRUST        002186317 10115960 DDR</t>
  </si>
  <si>
    <t xml:space="preserve">	 </t>
  </si>
  <si>
    <t xml:space="preserve">FURCZYK Z K           RENTANDWATERSEPT   FT </t>
  </si>
  <si>
    <t>WWW.TDS.GB.COM        ON 31 AUG          BCC</t>
  </si>
  <si>
    <t>FLAT 22 4-6 ALHAMB    SEQUENCE  UK  LIMI BGC</t>
  </si>
  <si>
    <t>THE HARPUR TRUST D    TUCKM8  BVALR8     DDR</t>
  </si>
  <si>
    <t>THE HARPUR TRUST D    GVALS1             DDR</t>
  </si>
  <si>
    <t>THE HARPUR TRUST D    BVAL000            DDR</t>
  </si>
  <si>
    <t>THE DISPUTE SERVIC    TDS EW15159254     BGC</t>
  </si>
  <si>
    <t>A BECK  PLUMBING      10539 23C GS       BBP</t>
  </si>
  <si>
    <t>A BECK  PLUMBING      10538 3 171GS      BBP</t>
  </si>
  <si>
    <t xml:space="preserve">PCC COLLECTION ACC    10522094X             </t>
  </si>
  <si>
    <t>BT GROUP PLC          GB14092007-000084  DDR</t>
  </si>
  <si>
    <t xml:space="preserve">MARIA C               RENT FLAT -23 4-6  FT </t>
  </si>
  <si>
    <t>A BECK  PLUMBING      10662 3171 GASBOX  BBP</t>
  </si>
  <si>
    <t>THE DISPUTE SERVIC    EW20471838         BBP</t>
  </si>
  <si>
    <t xml:space="preserve">207409 60458872       HMRC               FT </t>
  </si>
  <si>
    <t>H3G                   980404269602230921 DDR</t>
  </si>
  <si>
    <t>FABIA FAYYAZ          flat 7 alhambra    BGC</t>
  </si>
  <si>
    <t>MARKS&amp;SPENCER PLC     ON 31 AUG          CLP</t>
  </si>
  <si>
    <t>MCDONALDS 1548        ON 31 AUG          CLP</t>
  </si>
  <si>
    <t>IZ *THE PAVILION T    ON 31 AUG          CLP</t>
  </si>
  <si>
    <t>MARKS&amp;SPENCER PLC     ON 31 AUG          BCC</t>
  </si>
  <si>
    <t>NO LIMITZ             ON 31 AUG          BCC</t>
  </si>
  <si>
    <t>BP BEDFORD EXPRESS    ON 30 AUG          BCC</t>
  </si>
  <si>
    <t>WH SMITH              ON 01 SEP          BCC</t>
  </si>
  <si>
    <t>JD SPORTS PLC         ON 01 SEP          CLP</t>
  </si>
  <si>
    <t>MARKS&amp;SPENCER PLC     ON 01 SEP          CLP</t>
  </si>
  <si>
    <t>HOLLAND &amp; BARRETT     ON 01 SEP          BCC</t>
  </si>
  <si>
    <t>gohenry Limited       ON 01 SEP          BCC</t>
  </si>
  <si>
    <t>PARKING FEE           ON 01 SEP          BCC</t>
  </si>
  <si>
    <t>MERCEDES BENZ PART    ON 02 SEP          CLP</t>
  </si>
  <si>
    <t>MARKS&amp;SPENCER PLC     ON 02 SEP          CLP</t>
  </si>
  <si>
    <t>TESCO STORE 2885      ON 02 SEP          CLP</t>
  </si>
  <si>
    <t>SPECSAVERS            ON 02 SEP          CLP</t>
  </si>
  <si>
    <t>MCDONALDS             ON 02 SEP          CLP</t>
  </si>
  <si>
    <t>HALFORDS 0887         ON 02 SEP          CLP</t>
  </si>
  <si>
    <t>COSTA COFFEE 43035    ON 02 SEP          CLP</t>
  </si>
  <si>
    <t>TESCO STORE 2105      ON 02 SEP          BCC</t>
  </si>
  <si>
    <t>WWW.JOHNLEWIS.COM     ON 02 SEP          BCC</t>
  </si>
  <si>
    <t>AMZNMktplace          ON 02 SEP          BCC</t>
  </si>
  <si>
    <t>REFUND</t>
  </si>
  <si>
    <t>MARKS&amp;SPENCER PLC     ON 04 SEP          CLR</t>
  </si>
  <si>
    <t>MARKS&amp;SPENCER PLC     ON 04 SEP          BCC</t>
  </si>
  <si>
    <t>BP BEDFORD EXPRESS    ON 02 SEP          CLP</t>
  </si>
  <si>
    <t>MARKS&amp;SPENCER PLC     ON 03 SEP          CLP</t>
  </si>
  <si>
    <t>BP BEDFORD EXPRESS    ON 03 SEP          CLP</t>
  </si>
  <si>
    <t xml:space="preserve">NOTEMACHINE           KASH'S BUDGENS        </t>
  </si>
  <si>
    <t>WAITROSE              ON 06 SEP          CLP</t>
  </si>
  <si>
    <t>TESCO STORE 2105      ON 06 SEP          CLP</t>
  </si>
  <si>
    <t>MCDONALDS 1548        ON 06 SEP          CLP</t>
  </si>
  <si>
    <t>CO OPERATIVE FOOD     ON 06 SEP          CLP</t>
  </si>
  <si>
    <t>STARBUCKS             ON 06 SEP          CLP</t>
  </si>
  <si>
    <t>TESCO PAY AT PUMP     ON 06 SEP          BCC</t>
  </si>
  <si>
    <t>TESCO PAY AT PUMP     ON 07 SEP          BCC</t>
  </si>
  <si>
    <t>BOOTS 6407            ON 07 SEP          BCC</t>
  </si>
  <si>
    <t>MARKS&amp;SPENCER PLC     ON 07 SEP          BCC</t>
  </si>
  <si>
    <t>T K MAXX              ON 08 SEP          CLP</t>
  </si>
  <si>
    <t>CO OPERATIVE FOOD     ON 08 SEP          CLP</t>
  </si>
  <si>
    <t>NO LIMITZ             ON 08 SEP          CLP</t>
  </si>
  <si>
    <t>WAITROSE              ON 08 SEP          BCC</t>
  </si>
  <si>
    <t>AMZNMktplace          ON 08 SEP          BCC</t>
  </si>
  <si>
    <t>MARKS&amp;SPENCER PLC     ON 09 SEP          CLP</t>
  </si>
  <si>
    <t>BOOTS 6407            ON 09 SEP          CLP</t>
  </si>
  <si>
    <t>TESCO STORE 2105      ON 09 SEP          CLP</t>
  </si>
  <si>
    <t>COSTA COFFEE          ON 09 SEP          CLP</t>
  </si>
  <si>
    <t>PARKING FEE           ON 09 SEP          BCC</t>
  </si>
  <si>
    <t>NO LIMITZ             ON 10 SEP          CLP</t>
  </si>
  <si>
    <t>MARKS&amp;SPENCER PLC     ON 12 SEP          CLP</t>
  </si>
  <si>
    <t>SES MILTON KEYNES     ON 12 SEP          CLP</t>
  </si>
  <si>
    <t>WAITROSE              ON 10 SEP          CLP</t>
  </si>
  <si>
    <t>BP BEDFORD EXPRESS    ON 10 SEP          CLP</t>
  </si>
  <si>
    <t>Neds Noodle Bar       ON 12 SEP          CLP</t>
  </si>
  <si>
    <t>CO OPERATIVE FOOD     ON 11 SEP          CLP</t>
  </si>
  <si>
    <t>COSTA COFFEE 43035    ON 11 SEP          CLP</t>
  </si>
  <si>
    <t>CO OPERATIVE FOOD     ON 10 SEP          CLP</t>
  </si>
  <si>
    <t xml:space="preserve">CARDTRONICS UK LTD    BP - ELSTOW INTERC    </t>
  </si>
  <si>
    <t>PARKING FEE           ON 12 SEP          BCC</t>
  </si>
  <si>
    <t>HM Hennes Mauritz     ON 15 SEP          BCC</t>
  </si>
  <si>
    <t>WAITROSE              ON 15 SEP          BCC</t>
  </si>
  <si>
    <t>A1 Foods              ON 16 SEP          CLP</t>
  </si>
  <si>
    <t>COSTA COFFEE 43035    ON 16 SEP          CLP</t>
  </si>
  <si>
    <t>MARKS&amp;SPENCER PLC     ON 16 SEP          BCC</t>
  </si>
  <si>
    <t>TESCO STORE 2105      ON 18 SEP          CLP</t>
  </si>
  <si>
    <t>CO OPERATIVE FOOD     ON 17 SEP          CLP</t>
  </si>
  <si>
    <t>CO OPERATIVE FOOD     ON 19 SEP          CLP</t>
  </si>
  <si>
    <t>COSTA COFFEE 43035    ON 19 SEP          CLP</t>
  </si>
  <si>
    <t>IZ *THE PAVILION T    ON 17 SEP          CLP</t>
  </si>
  <si>
    <t>CO OPERATIVE FOOD     ON 18 SEP          CLP</t>
  </si>
  <si>
    <t>TESCO STORE 2105      ON 17 SEP          BCC</t>
  </si>
  <si>
    <t>Amazon Prime*WN2OY    ON 18 SEP          BCC</t>
  </si>
  <si>
    <t>AMZNMKTPLACE AMAZO    ON 17 SEP          BCC</t>
  </si>
  <si>
    <t>MARKS&amp;SPENCER PLC     ON 20 SEP          CLP</t>
  </si>
  <si>
    <t>IZ *THE PAVILION T    ON 20 SEP          CLP</t>
  </si>
  <si>
    <t>BP NEWHAM AVENUE C    ON 19 SEP          BCC</t>
  </si>
  <si>
    <t>OTH</t>
  </si>
  <si>
    <t xml:space="preserve">INTEREST CHARGED      </t>
  </si>
  <si>
    <t>COSTCO WHOLESALE #    ON 21 SEP          CLP</t>
  </si>
  <si>
    <t>COSTCO WHOLESALE #    ON 21 SEP          BCC</t>
  </si>
  <si>
    <t>JOHN LEWIS            ON 22 SEP          CLP</t>
  </si>
  <si>
    <t>MARKS&amp;SPENCER PLC     ON 22 SEP          CLP</t>
  </si>
  <si>
    <t>MILTON KEYNES         ON 22 SEP          CLP</t>
  </si>
  <si>
    <t>BOOTS 6407            ON 22 SEP          CLP</t>
  </si>
  <si>
    <t>PRET A MANGER         ON 22 SEP          CLP</t>
  </si>
  <si>
    <t>AMZNMktplace          ON 22 SEP          BCC</t>
  </si>
  <si>
    <t>PARKING FEE           ON 22 SEP          BCC</t>
  </si>
  <si>
    <t>CO OPERATIVE FOOD     ON 23 SEP          CLP</t>
  </si>
  <si>
    <t>CO OPERATIVE FOOD     ON 26 SEP          CLP</t>
  </si>
  <si>
    <t>AMZNMktplace          ON 26 SEP          BCC</t>
  </si>
  <si>
    <t>MARKS&amp;SPENCER PLC     ON 27 SEP          CLP</t>
  </si>
  <si>
    <t>TESCO STORE 2105      ON 27 SEP          CLP</t>
  </si>
  <si>
    <t>CO OPERATIVE FOOD     ON 27 SEP          CLP</t>
  </si>
  <si>
    <t>IZ *THE PAVILION T    ON 27 SEP          CLP</t>
  </si>
  <si>
    <t>AMZNMktplace          ON 27 SEP          BCC</t>
  </si>
  <si>
    <t>IZ *THE PAVILION T    ON 28 SEP          CLP</t>
  </si>
  <si>
    <t>NEXT RETAIL LTD       ON 28 SEP          CLP</t>
  </si>
  <si>
    <t>AMZNMktplace          ON 29 SEP          BCC</t>
  </si>
  <si>
    <t>T K MAXX              ON 29 SEP          CLR</t>
  </si>
  <si>
    <t>AMZ*Big Deals UK      ON 29 SEP          BCC</t>
  </si>
  <si>
    <t>WAITROSE              ON 29 SEP          CLP</t>
  </si>
  <si>
    <t>BP BEDFORD EXPRESS    ON 28 SEP          CLP</t>
  </si>
  <si>
    <t>T K MAXX              ON 29 SEP          CLP</t>
  </si>
  <si>
    <t>CO OPERATIVE FOOD     ON 29 SEP          CLP</t>
  </si>
  <si>
    <t>COSTA COFFEE 43035    ON 29 SEP          CLP</t>
  </si>
  <si>
    <t>TESCO STORE 2105      ON 29 SEP          BCC</t>
  </si>
  <si>
    <t>Rent for period 18/08/2021 - 17/09/2021 from Mr Ciprian Georgescu - Flat 2, 321 London Rd</t>
  </si>
  <si>
    <t>Rent for period 24/09/2021 - 23/10/2021 from Mr Jake Lindemere - Flat 20, 4-6 Alhambra Road</t>
  </si>
  <si>
    <t>Rent for period 01/10/2021 - 30/11/2020 from Mrs Adebusola Ibiyemi - Flat 3, 321 London Road</t>
  </si>
  <si>
    <t>Rent for period 14/08/2021 - 13/09/2021 from Miss Katie Ingoldsby - Flat 19, 4-6 Alhambra Road, Southsea</t>
  </si>
  <si>
    <t>Rent for period 07/08/2021 - 06/09/2021 from Mr Matthew Tidbury - Flat 4, 163 Fratton Road, Portsmouth</t>
  </si>
  <si>
    <t>Rent for period 07/09/2021 - 06/10/2020 from Mr James Bottle - Flat 5, 8 Alhambra Road</t>
  </si>
  <si>
    <t>Rent for period 10/07/2021 - 11/08/2021 from Mr Vaclav Hajek - Flat 2, 169 Fawcett Road, Southsea</t>
  </si>
  <si>
    <t>Rent for period 12/09/2021 - 11/10/2021 from Miss Katherine Parson - Flat 18, 4-6 Alhambra Road</t>
  </si>
  <si>
    <t>Rent for period 29/09/2021 - 28/10/2021 from Miss Sophie Bedford - Flat 17, 4-6 Alhambra Road</t>
  </si>
  <si>
    <t>Rent for period 25/09/2021 - 24/10/2021 from Mr Michael Betts - Flat 11, 12-14 Alhambra Road, Southsea</t>
  </si>
  <si>
    <t>Rent for period 30/08/2021 - 29/09/2021 from Miss Zofia Furczyk - Flat 8, 8 Alhambra Road, Southsea</t>
  </si>
  <si>
    <t>Rent for period 04/09/2021 - 03/10/2021 from Mr Marut Doyle and Miss Thunyakan Chewwaiyaphat - 23B Hampshire Terrace</t>
  </si>
  <si>
    <t>Rent for period 15/09/2021 - 14/10/2021 from Miss Bria Barber and Mr Shawn Griffiths - Flat 3, 16-18 Alhambra Road, Southsea</t>
  </si>
  <si>
    <t>Rent for period 30/09/2021 - 29/10/2021 from Mr Raja Numanunnain and Miss Hortenzia Kulcsar - 23C Hampshire Terrace</t>
  </si>
  <si>
    <t>Rent for period 01/09/2021 - 30/10/2021 from Mr Lachezar Nikolav and Miss Daniella Fulker - Flat 3, 171 Fawcett Rd</t>
  </si>
  <si>
    <t>Fox &amp; Sons fees refund</t>
  </si>
  <si>
    <t>Rent for period 02/09/2021 - 01/10/2021 from Mr Gary Fyles - Flat 1, 16-18 Alhambra Rd</t>
  </si>
  <si>
    <t>Deposit</t>
  </si>
  <si>
    <t>Rent for period 27/09/2021 - 26/10/2021 from Mr Habeel Zahur and Dr Fabia Fayyaz - Flat 7, 16-18 Alhambra Road, Southsea</t>
  </si>
  <si>
    <t>Oven</t>
  </si>
  <si>
    <t>Fix curtain</t>
  </si>
  <si>
    <t>EPC</t>
  </si>
  <si>
    <t>Post keys?</t>
  </si>
  <si>
    <t>Pest control</t>
  </si>
  <si>
    <t>Gas meter</t>
  </si>
  <si>
    <t>Windows</t>
  </si>
  <si>
    <t>Leak</t>
  </si>
  <si>
    <t>Gas box</t>
  </si>
  <si>
    <t>Furniture left in the flat.</t>
  </si>
  <si>
    <t>Electric</t>
  </si>
  <si>
    <t>Council Tax</t>
  </si>
  <si>
    <t>Council Tax - not sure what property so assign to this as have bit, wrong ref though.</t>
  </si>
  <si>
    <t>Shower rail</t>
  </si>
  <si>
    <t>Anti mould unibond</t>
  </si>
  <si>
    <t>Refunded from Fratton + Lordswood - 02/10/21</t>
  </si>
  <si>
    <t>Alhambra Rd - refunded on 02/10/21</t>
  </si>
  <si>
    <t>Sim renew for 4-6 - refund - refunded from 4-6 on 02/10/21</t>
  </si>
  <si>
    <t>Companies House - refunded 02/10/21 from Fratton</t>
  </si>
  <si>
    <t>Companies House - refunded 02/10/21 from Lordswood</t>
  </si>
  <si>
    <t>Late LLP filing fine</t>
  </si>
  <si>
    <t>Rent for period 22/09/2021 - 21/10/2021 from Mr G Stukas - Flat 21, Alhambra Road</t>
  </si>
  <si>
    <t>Rent for period 25/09/2021 - 24/10/2021 from Mr Mark Williams - First Floor Flat, 196 Kingston Road</t>
  </si>
  <si>
    <t>Rent for period 15/09/2021 - 14/10/2021 from Miss Andreea Maria and Mr Cosmin Maria - Flat 23, 4-6 Alhambra Road, Southsea</t>
  </si>
  <si>
    <t>BK,PM,RT</t>
  </si>
  <si>
    <t>BK</t>
  </si>
  <si>
    <t>BK,MT</t>
  </si>
  <si>
    <t>BK,PM,EX</t>
  </si>
  <si>
    <t>RT</t>
  </si>
  <si>
    <t>MF</t>
  </si>
  <si>
    <t>PM</t>
  </si>
  <si>
    <t>EX</t>
  </si>
  <si>
    <t>Sharon Briscoe (25/01/2019 - present)</t>
  </si>
  <si>
    <t>Cipran Georgescu (18/01/2020 - present)</t>
  </si>
  <si>
    <t>Adebusola Ibiyemi (31/03/2021 -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</si>
  <si>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</si>
  <si>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</si>
  <si>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</si>
  <si>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</si>
  <si>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</si>
  <si>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</si>
  <si>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</si>
  <si>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</si>
  <si>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</si>
  <si>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</si>
  <si>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</si>
  <si>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</si>
  <si>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</si>
  <si>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</si>
  <si>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</si>
  <si>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</si>
  <si>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</si>
  <si>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</si>
  <si>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</si>
  <si>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</si>
  <si>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</si>
  <si>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</si>
  <si>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</si>
  <si>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</si>
  <si>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Andreea Maria and Mr Cosmin Maria (15/01/2020 - present)</t>
  </si>
  <si>
    <t>Andrew Greer (18/07/2017 -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</si>
  <si>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</si>
  <si>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</si>
  <si>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</si>
  <si>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</si>
  <si>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</si>
  <si>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</si>
  <si>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</si>
  <si>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</si>
  <si>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</si>
  <si>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Habeel Zahur and Dr Fabia Fayyaz (27/07/2021 - present)</t>
  </si>
  <si>
    <t>Sam Yates (12/05/2017 - present)</t>
  </si>
  <si>
    <t>Mr Jason Passmore (19/09/2016 - present)</t>
  </si>
  <si>
    <t>Tomas Gamarro Garcia, Miss Agnieszka Helena Kraus (28/11/2018 -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</si>
</sst>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88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164" fontId="0" fillId="12" borderId="0" xfId="0" applyNumberFormat="1" applyFill="1"/>
    <xf numFmtId="0" fontId="3" fillId="15" borderId="9" xfId="0" applyFont="1" applyFill="1" applyBorder="1"/>
    <xf numFmtId="164" fontId="0" fillId="15" borderId="0" xfId="0" applyNumberFormat="1" applyFill="1"/>
    <xf numFmtId="170" fontId="0" fillId="0" borderId="0" xfId="0" applyNumberFormat="1"/>
    <xf numFmtId="0" fontId="0" fillId="16" borderId="0" xfId="0" applyFill="1"/>
    <xf numFmtId="0" fontId="5" fillId="16" borderId="0" xfId="0" applyFont="1" applyFill="1"/>
    <xf numFmtId="0" fontId="0" fillId="17" borderId="0" xfId="0" applyFill="1"/>
    <xf numFmtId="0" fontId="5" fillId="17" borderId="0" xfId="0" applyFont="1" applyFill="1"/>
    <xf numFmtId="0" fontId="3" fillId="16" borderId="0" xfId="0" applyFont="1" applyFill="1"/>
    <xf numFmtId="0" fontId="5" fillId="11" borderId="0" xfId="0" applyFont="1" applyFill="1"/>
    <xf numFmtId="0" fontId="5" fillId="19" borderId="0" xfId="0" applyFont="1" applyFill="1"/>
    <xf numFmtId="0" fontId="0" fillId="19" borderId="0" xfId="0" applyFill="1"/>
    <xf numFmtId="0" fontId="5" fillId="18" borderId="0" xfId="0" applyFont="1" applyFill="1"/>
    <xf numFmtId="0" fontId="3" fillId="17" borderId="0" xfId="0" applyFont="1" applyFill="1"/>
    <xf numFmtId="0" fontId="0" fillId="20" borderId="0" xfId="0" applyFill="1"/>
    <xf numFmtId="0" fontId="5" fillId="20" borderId="0" xfId="0" applyFont="1" applyFill="1"/>
    <xf numFmtId="0" fontId="5" fillId="13" borderId="0" xfId="0" applyFont="1" applyFill="1"/>
    <xf numFmtId="0" fontId="0" fillId="13" borderId="0" xfId="0" applyFill="1"/>
    <xf numFmtId="0" fontId="0" fillId="18" borderId="0" xfId="0" applyFill="1"/>
    <xf numFmtId="0" fontId="27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8467</xdr:colOff>
          <xdr:row>1</xdr:row>
          <xdr:rowOff>8467</xdr:rowOff>
        </xdr:from>
        <xdr:to>
          <xdr:col>16</xdr:col>
          <xdr:colOff>84667</xdr:colOff>
          <xdr:row>2</xdr:row>
          <xdr:rowOff>84667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8467</xdr:colOff>
          <xdr:row>1</xdr:row>
          <xdr:rowOff>8467</xdr:rowOff>
        </xdr:from>
        <xdr:to>
          <xdr:col>16</xdr:col>
          <xdr:colOff>84667</xdr:colOff>
          <xdr:row>2</xdr:row>
          <xdr:rowOff>84667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8467</xdr:colOff>
          <xdr:row>1</xdr:row>
          <xdr:rowOff>8467</xdr:rowOff>
        </xdr:from>
        <xdr:to>
          <xdr:col>16</xdr:col>
          <xdr:colOff>84667</xdr:colOff>
          <xdr:row>2</xdr:row>
          <xdr:rowOff>84667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8467</xdr:colOff>
          <xdr:row>1</xdr:row>
          <xdr:rowOff>8467</xdr:rowOff>
        </xdr:from>
        <xdr:to>
          <xdr:col>16</xdr:col>
          <xdr:colOff>84667</xdr:colOff>
          <xdr:row>2</xdr:row>
          <xdr:rowOff>84667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135467</xdr:rowOff>
        </xdr:from>
        <xdr:to>
          <xdr:col>6</xdr:col>
          <xdr:colOff>287867</xdr:colOff>
          <xdr:row>3</xdr:row>
          <xdr:rowOff>105833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8" zoomScale="70" zoomScaleNormal="70" workbookViewId="0">
      <selection activeCell="D36" sqref="D36"/>
    </sheetView>
  </sheetViews>
  <sheetFormatPr defaultRowHeight="12.7" x14ac:dyDescent="0.4"/>
  <cols>
    <col min="1" max="1" width="38.5859375" customWidth="1"/>
    <col min="2" max="2" width="39.1171875" customWidth="1"/>
    <col min="3" max="3" width="17.703125" customWidth="1"/>
    <col min="4" max="4" width="22.1171875" customWidth="1"/>
    <col min="5" max="5" width="11.703125" customWidth="1"/>
    <col min="6" max="6" width="13.5859375" customWidth="1"/>
    <col min="7" max="7" width="11.703125" customWidth="1"/>
    <col min="8" max="8" width="10" customWidth="1"/>
    <col min="9" max="9" width="10.87890625" bestFit="1" customWidth="1"/>
    <col min="10" max="10" width="12.1171875" bestFit="1" customWidth="1"/>
    <col min="11" max="13" width="11.703125" customWidth="1"/>
    <col min="14" max="14" width="16.29296875" bestFit="1" customWidth="1"/>
    <col min="15" max="15" width="14.1171875" customWidth="1"/>
    <col min="16" max="16" width="13.703125" customWidth="1"/>
    <col min="17" max="17" width="16.1171875" style="15" customWidth="1"/>
    <col min="18" max="18" width="50" customWidth="1"/>
    <col min="19" max="19" width="28.703125" bestFit="1" customWidth="1"/>
    <col min="20" max="20" width="27.1171875" bestFit="1" customWidth="1"/>
    <col min="21" max="22" width="13.41015625" bestFit="1" customWidth="1"/>
  </cols>
  <sheetData>
    <row r="1" spans="1:23" ht="17.7" x14ac:dyDescent="0.55000000000000004">
      <c r="A1" s="6" t="s">
        <v>134</v>
      </c>
      <c r="Q1"/>
    </row>
    <row r="2" spans="1:23" x14ac:dyDescent="0.4">
      <c r="Q2"/>
    </row>
    <row r="3" spans="1:23" ht="13.7" x14ac:dyDescent="0.4">
      <c r="A3" s="7" t="s">
        <v>31</v>
      </c>
      <c r="B3" s="77">
        <v>44469</v>
      </c>
      <c r="Q3"/>
    </row>
    <row r="4" spans="1:23" ht="13.7" x14ac:dyDescent="0.4">
      <c r="A4" s="7"/>
      <c r="B4" s="7"/>
      <c r="Q4"/>
    </row>
    <row r="5" spans="1:23" ht="14.25" customHeight="1" x14ac:dyDescent="0.4">
      <c r="A5" s="46" t="s">
        <v>546</v>
      </c>
      <c r="B5" s="36"/>
      <c r="Q5"/>
    </row>
    <row r="6" spans="1:23" x14ac:dyDescent="0.4">
      <c r="A6" s="1"/>
    </row>
    <row r="7" spans="1:23" ht="27.35" x14ac:dyDescent="0.4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45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4">
      <c r="A9" s="158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4">
      <c r="A10" s="22" t="s">
        <v>53</v>
      </c>
      <c r="B10" s="16" t="s">
        <v>1112</v>
      </c>
      <c r="C10" s="20" t="s">
        <v>567</v>
      </c>
      <c r="D10" s="66">
        <v>44464</v>
      </c>
      <c r="E10" s="70">
        <v>44493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44464.468055555553</v>
      </c>
      <c r="L10" s="69"/>
      <c r="M10" s="102">
        <f t="shared" ref="M10:M63" si="1">IF(F10-G10-H10-I10-L10&lt;&gt;0, F10-G10-H10-I10-L10,"")</f>
        <v>446</v>
      </c>
      <c r="N10" s="40" t="s">
        <v>258</v>
      </c>
      <c r="O10" s="71">
        <v>131.62</v>
      </c>
      <c r="P10" s="39">
        <f t="shared" si="0"/>
        <v>314.38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4">
      <c r="A11" s="161" t="s">
        <v>54</v>
      </c>
      <c r="B11" s="16" t="s">
        <v>1113</v>
      </c>
      <c r="C11" s="20" t="s">
        <v>130</v>
      </c>
      <c r="D11" s="66">
        <v>44426</v>
      </c>
      <c r="E11" s="70">
        <v>44456</v>
      </c>
      <c r="F11" s="71">
        <v>550</v>
      </c>
      <c r="G11" s="68"/>
      <c r="H11" s="68"/>
      <c r="I11" s="69"/>
      <c r="J11" s="72">
        <v>550</v>
      </c>
      <c r="K11" s="70">
        <v>44459</v>
      </c>
      <c r="L11" s="69"/>
      <c r="M11" s="102">
        <f t="shared" si="1"/>
        <v>550</v>
      </c>
      <c r="N11" s="40" t="s">
        <v>258</v>
      </c>
      <c r="O11" s="71">
        <v>124.19</v>
      </c>
      <c r="P11" s="39">
        <f t="shared" si="0"/>
        <v>425.81</v>
      </c>
      <c r="Q11" s="118">
        <f t="shared" si="2"/>
        <v>0</v>
      </c>
      <c r="R11" s="122" t="s">
        <v>673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4">
      <c r="A12" s="161" t="s">
        <v>55</v>
      </c>
      <c r="B12" s="16" t="s">
        <v>1114</v>
      </c>
      <c r="C12" s="20" t="s">
        <v>130</v>
      </c>
      <c r="D12" s="66">
        <v>44470</v>
      </c>
      <c r="E12" s="70">
        <v>44165</v>
      </c>
      <c r="F12" s="71">
        <v>725</v>
      </c>
      <c r="G12" s="68"/>
      <c r="H12" s="68"/>
      <c r="I12" s="69"/>
      <c r="J12" s="72">
        <v>725</v>
      </c>
      <c r="K12" s="70">
        <v>44469</v>
      </c>
      <c r="L12" s="69">
        <v>63.3</v>
      </c>
      <c r="M12" s="102">
        <f t="shared" si="1"/>
        <v>661.7</v>
      </c>
      <c r="N12" s="40" t="s">
        <v>6</v>
      </c>
      <c r="O12" s="123">
        <v>86.43</v>
      </c>
      <c r="P12" s="39">
        <f t="shared" si="0"/>
        <v>575.27</v>
      </c>
      <c r="Q12" s="118">
        <f t="shared" si="2"/>
        <v>0</v>
      </c>
      <c r="R12" s="54"/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4">
      <c r="A13" s="168" t="s">
        <v>56</v>
      </c>
      <c r="B13" s="16" t="s">
        <v>1115</v>
      </c>
      <c r="C13" s="20" t="s">
        <v>95</v>
      </c>
      <c r="D13" s="66">
        <v>44465</v>
      </c>
      <c r="E13" s="70">
        <v>44494</v>
      </c>
      <c r="F13" s="71">
        <v>500</v>
      </c>
      <c r="G13" s="68">
        <v>35</v>
      </c>
      <c r="H13" s="68">
        <v>7</v>
      </c>
      <c r="I13" s="69">
        <v>12</v>
      </c>
      <c r="J13" s="72">
        <v>446</v>
      </c>
      <c r="K13" s="70">
        <v>44467.544444444444</v>
      </c>
      <c r="L13" s="69"/>
      <c r="M13" s="102">
        <f t="shared" si="1"/>
        <v>446</v>
      </c>
      <c r="N13" s="40" t="s">
        <v>6</v>
      </c>
      <c r="O13" s="71">
        <v>131.65</v>
      </c>
      <c r="P13" s="39">
        <f t="shared" si="0"/>
        <v>314.35000000000002</v>
      </c>
      <c r="Q13" s="118">
        <f t="shared" si="2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4">
      <c r="A14" s="158" t="s">
        <v>1116</v>
      </c>
      <c r="B14" s="37" t="s">
        <v>653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4">
      <c r="A15" s="22" t="s">
        <v>57</v>
      </c>
      <c r="B15" s="16" t="s">
        <v>1117</v>
      </c>
      <c r="C15" s="20" t="s">
        <v>567</v>
      </c>
      <c r="D15" s="66">
        <v>44414</v>
      </c>
      <c r="E15" s="66">
        <v>44474</v>
      </c>
      <c r="F15" s="71">
        <v>466.12</v>
      </c>
      <c r="G15" s="68">
        <v>32.630000000000003</v>
      </c>
      <c r="H15" s="68">
        <v>6.53</v>
      </c>
      <c r="I15" s="69">
        <v>6</v>
      </c>
      <c r="J15" s="72">
        <v>420.96</v>
      </c>
      <c r="K15" s="70">
        <v>44460.550694444442</v>
      </c>
      <c r="L15" s="69"/>
      <c r="M15" s="102">
        <f t="shared" si="1"/>
        <v>420.96000000000004</v>
      </c>
      <c r="N15" s="40" t="s">
        <v>6</v>
      </c>
      <c r="O15" s="71">
        <v>118.58</v>
      </c>
      <c r="P15" s="39">
        <f t="shared" si="0"/>
        <v>302.38000000000005</v>
      </c>
      <c r="Q15" s="118">
        <f t="shared" si="2"/>
        <v>-5.6843418860808015E-14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4">
      <c r="A16" s="161" t="s">
        <v>58</v>
      </c>
      <c r="B16" s="16" t="s">
        <v>1118</v>
      </c>
      <c r="C16" s="20" t="s">
        <v>130</v>
      </c>
      <c r="D16" s="66">
        <v>44387</v>
      </c>
      <c r="E16" s="70">
        <v>44419</v>
      </c>
      <c r="F16" s="71">
        <v>495</v>
      </c>
      <c r="G16" s="68"/>
      <c r="H16" s="68"/>
      <c r="I16" s="69"/>
      <c r="J16" s="72">
        <v>495</v>
      </c>
      <c r="K16" s="70">
        <v>44452</v>
      </c>
      <c r="L16" s="69"/>
      <c r="M16" s="102">
        <f t="shared" si="1"/>
        <v>495</v>
      </c>
      <c r="N16" s="40" t="s">
        <v>6</v>
      </c>
      <c r="O16" s="123">
        <v>85.92</v>
      </c>
      <c r="P16" s="39">
        <f t="shared" si="0"/>
        <v>409.08</v>
      </c>
      <c r="Q16" s="118">
        <f t="shared" si="2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4">
      <c r="A17" s="22" t="s">
        <v>59</v>
      </c>
      <c r="B17" s="16" t="s">
        <v>1119</v>
      </c>
      <c r="C17" s="20" t="s">
        <v>95</v>
      </c>
      <c r="D17" s="66">
        <v>44423</v>
      </c>
      <c r="E17" s="70">
        <v>44453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44441.527083333334</v>
      </c>
      <c r="L17" s="69"/>
      <c r="M17" s="102">
        <f t="shared" si="1"/>
        <v>452</v>
      </c>
      <c r="N17" s="40" t="s">
        <v>258</v>
      </c>
      <c r="O17" s="71">
        <v>120.94</v>
      </c>
      <c r="P17" s="39">
        <f t="shared" si="0"/>
        <v>331.06</v>
      </c>
      <c r="Q17" s="118">
        <f t="shared" si="2"/>
        <v>0</v>
      </c>
      <c r="R17" s="122" t="s">
        <v>674</v>
      </c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4">
      <c r="A18" s="158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4">
      <c r="A19" s="22" t="s">
        <v>186</v>
      </c>
      <c r="B19" s="16" t="s">
        <v>1120</v>
      </c>
      <c r="C19" s="20" t="s">
        <v>95</v>
      </c>
      <c r="D19" s="66">
        <v>44414</v>
      </c>
      <c r="E19" s="66">
        <v>44474</v>
      </c>
      <c r="F19" s="71">
        <v>600</v>
      </c>
      <c r="G19" s="68">
        <v>42</v>
      </c>
      <c r="H19" s="68">
        <v>8.4</v>
      </c>
      <c r="I19" s="69">
        <v>6</v>
      </c>
      <c r="J19" s="72">
        <v>543.6</v>
      </c>
      <c r="K19" s="70">
        <v>44448.474999999999</v>
      </c>
      <c r="L19" s="69"/>
      <c r="M19" s="102">
        <f t="shared" si="1"/>
        <v>543.6</v>
      </c>
      <c r="N19" s="40" t="s">
        <v>258</v>
      </c>
      <c r="O19" s="71">
        <v>175.77</v>
      </c>
      <c r="P19" s="39">
        <f t="shared" si="0"/>
        <v>367.83000000000004</v>
      </c>
      <c r="Q19" s="118">
        <f t="shared" si="2"/>
        <v>0</v>
      </c>
      <c r="R19" s="128" t="s">
        <v>675</v>
      </c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4">
      <c r="A20" s="22" t="s">
        <v>187</v>
      </c>
      <c r="B20" s="16" t="s">
        <v>1121</v>
      </c>
      <c r="C20" s="20" t="s">
        <v>95</v>
      </c>
      <c r="D20" s="66">
        <v>44441</v>
      </c>
      <c r="E20" s="70">
        <v>44470</v>
      </c>
      <c r="F20" s="71">
        <v>500</v>
      </c>
      <c r="G20" s="68">
        <v>35</v>
      </c>
      <c r="H20" s="68">
        <v>7</v>
      </c>
      <c r="I20" s="69">
        <v>6</v>
      </c>
      <c r="J20" s="72">
        <v>452</v>
      </c>
      <c r="K20" s="70">
        <v>44442.428472222222</v>
      </c>
      <c r="L20" s="69"/>
      <c r="M20" s="102">
        <f t="shared" si="1"/>
        <v>452</v>
      </c>
      <c r="N20" s="40" t="s">
        <v>6</v>
      </c>
      <c r="O20" s="71">
        <v>155.5</v>
      </c>
      <c r="P20" s="39">
        <f t="shared" si="0"/>
        <v>296.5</v>
      </c>
      <c r="Q20" s="118">
        <f t="shared" si="2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4">
      <c r="A21" s="161" t="s">
        <v>188</v>
      </c>
      <c r="B21" s="16" t="s">
        <v>1122</v>
      </c>
      <c r="C21" s="20" t="s">
        <v>130</v>
      </c>
      <c r="D21" s="66">
        <v>44440</v>
      </c>
      <c r="E21" s="70">
        <v>44499</v>
      </c>
      <c r="F21" s="71">
        <v>850</v>
      </c>
      <c r="G21" s="68"/>
      <c r="H21" s="68"/>
      <c r="I21" s="69"/>
      <c r="J21" s="72">
        <v>850</v>
      </c>
      <c r="K21" s="70">
        <v>44445</v>
      </c>
      <c r="L21" s="69">
        <v>216</v>
      </c>
      <c r="M21" s="102">
        <f t="shared" si="1"/>
        <v>634</v>
      </c>
      <c r="N21" s="40" t="s">
        <v>6</v>
      </c>
      <c r="O21" s="71">
        <v>188.99</v>
      </c>
      <c r="P21" s="39">
        <f>IFERROR(IF(M21-O21&lt;&gt;0,M21-O21,""),-O21)</f>
        <v>445.01</v>
      </c>
      <c r="Q21" s="118">
        <f t="shared" si="2"/>
        <v>0</v>
      </c>
      <c r="R21" s="52"/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4">
      <c r="A22" s="158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4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4">
      <c r="A24" s="22" t="s">
        <v>61</v>
      </c>
      <c r="B24" s="16" t="s">
        <v>1123</v>
      </c>
      <c r="C24" s="20" t="s">
        <v>95</v>
      </c>
      <c r="D24" s="66">
        <v>44453</v>
      </c>
      <c r="E24" s="70">
        <v>44482</v>
      </c>
      <c r="F24" s="71">
        <v>450</v>
      </c>
      <c r="G24" s="68">
        <v>31.5</v>
      </c>
      <c r="H24" s="68">
        <v>6.3</v>
      </c>
      <c r="I24" s="69">
        <v>6</v>
      </c>
      <c r="J24" s="72">
        <v>406.2</v>
      </c>
      <c r="K24" s="70">
        <v>44455.499305555553</v>
      </c>
      <c r="L24" s="69">
        <v>45</v>
      </c>
      <c r="M24" s="102">
        <f t="shared" si="1"/>
        <v>361.2</v>
      </c>
      <c r="N24" s="40" t="s">
        <v>6</v>
      </c>
      <c r="O24" s="71">
        <v>120.15</v>
      </c>
      <c r="P24" s="39">
        <f t="shared" si="3"/>
        <v>241.04999999999998</v>
      </c>
      <c r="Q24" s="118">
        <f t="shared" si="2"/>
        <v>0</v>
      </c>
      <c r="R24" s="122" t="s">
        <v>684</v>
      </c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4">
      <c r="A25" s="161" t="s">
        <v>62</v>
      </c>
      <c r="B25" s="16" t="s">
        <v>1124</v>
      </c>
      <c r="C25" s="20" t="s">
        <v>130</v>
      </c>
      <c r="D25" s="66">
        <v>44415</v>
      </c>
      <c r="E25" s="70">
        <v>44445</v>
      </c>
      <c r="F25" s="71">
        <v>500</v>
      </c>
      <c r="G25" s="68"/>
      <c r="H25" s="68"/>
      <c r="I25" s="69"/>
      <c r="J25" s="72">
        <v>500</v>
      </c>
      <c r="K25" s="70">
        <v>44454</v>
      </c>
      <c r="L25" s="69"/>
      <c r="M25" s="102">
        <f t="shared" si="1"/>
        <v>500</v>
      </c>
      <c r="N25" s="40" t="s">
        <v>6</v>
      </c>
      <c r="O25" s="71">
        <v>110.93</v>
      </c>
      <c r="P25" s="39">
        <f t="shared" si="3"/>
        <v>389.07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4">
      <c r="A26" s="158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4">
      <c r="A27" s="22" t="s">
        <v>63</v>
      </c>
      <c r="B27" s="16" t="s">
        <v>1125</v>
      </c>
      <c r="C27" s="20" t="s">
        <v>567</v>
      </c>
      <c r="D27" s="66">
        <v>44450</v>
      </c>
      <c r="E27" s="66">
        <v>44479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44450.46875</v>
      </c>
      <c r="L27" s="69"/>
      <c r="M27" s="102">
        <f t="shared" si="1"/>
        <v>314.60000000000002</v>
      </c>
      <c r="N27" s="40" t="s">
        <v>258</v>
      </c>
      <c r="O27" s="106"/>
      <c r="P27" s="39">
        <f t="shared" si="3"/>
        <v>314.60000000000002</v>
      </c>
      <c r="Q27" s="118">
        <f t="shared" si="2"/>
        <v>0</v>
      </c>
      <c r="R27" s="128" t="s">
        <v>676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4">
      <c r="A28" s="22" t="s">
        <v>64</v>
      </c>
      <c r="B28" s="16" t="s">
        <v>1126</v>
      </c>
      <c r="C28" s="20" t="s">
        <v>95</v>
      </c>
      <c r="D28" s="66">
        <v>44440</v>
      </c>
      <c r="E28" s="66">
        <v>44469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44441.527083333334</v>
      </c>
      <c r="L28" s="69"/>
      <c r="M28" s="102">
        <f t="shared" si="1"/>
        <v>470.32000000000005</v>
      </c>
      <c r="N28" s="40" t="s">
        <v>6</v>
      </c>
      <c r="O28" s="67">
        <v>156.11000000000001</v>
      </c>
      <c r="P28" s="39">
        <f t="shared" si="3"/>
        <v>314.21000000000004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5">
      <c r="A29" s="161" t="s">
        <v>65</v>
      </c>
      <c r="B29" s="16" t="s">
        <v>1127</v>
      </c>
      <c r="C29" s="20" t="s">
        <v>130</v>
      </c>
      <c r="D29" s="66">
        <v>44464</v>
      </c>
      <c r="E29" s="66">
        <v>44493</v>
      </c>
      <c r="F29" s="71">
        <v>825</v>
      </c>
      <c r="G29" s="68"/>
      <c r="H29" s="68"/>
      <c r="I29" s="69"/>
      <c r="J29" s="72">
        <v>825</v>
      </c>
      <c r="K29" s="70">
        <v>44469</v>
      </c>
      <c r="L29" s="69"/>
      <c r="M29" s="102">
        <f t="shared" si="1"/>
        <v>825</v>
      </c>
      <c r="N29" s="40" t="s">
        <v>258</v>
      </c>
      <c r="O29" s="71">
        <v>184.24</v>
      </c>
      <c r="P29" s="39">
        <f t="shared" si="3"/>
        <v>640.76</v>
      </c>
      <c r="Q29" s="118">
        <f t="shared" si="2"/>
        <v>0</v>
      </c>
      <c r="R29" s="122" t="s">
        <v>677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4">
      <c r="A30" s="158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4">
      <c r="A31" s="161" t="s">
        <v>99</v>
      </c>
      <c r="B31" s="16" t="s">
        <v>1128</v>
      </c>
      <c r="C31" s="20" t="s">
        <v>130</v>
      </c>
      <c r="D31" s="66">
        <v>44443</v>
      </c>
      <c r="E31" s="66">
        <v>44472</v>
      </c>
      <c r="F31" s="67">
        <v>775</v>
      </c>
      <c r="G31" s="68"/>
      <c r="H31" s="68"/>
      <c r="I31" s="69"/>
      <c r="J31" s="72">
        <v>775</v>
      </c>
      <c r="K31" s="70">
        <v>44445</v>
      </c>
      <c r="L31" s="69"/>
      <c r="M31" s="102">
        <f t="shared" si="1"/>
        <v>775</v>
      </c>
      <c r="N31" s="40" t="s">
        <v>6</v>
      </c>
      <c r="O31" s="67">
        <v>149.19999999999999</v>
      </c>
      <c r="P31" s="39">
        <f t="shared" si="3"/>
        <v>625.79999999999995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5">
      <c r="A32" s="161" t="s">
        <v>102</v>
      </c>
      <c r="B32" s="16" t="s">
        <v>1129</v>
      </c>
      <c r="C32" s="20" t="s">
        <v>130</v>
      </c>
      <c r="D32" s="66">
        <v>44469</v>
      </c>
      <c r="E32" s="66">
        <v>44498</v>
      </c>
      <c r="F32" s="71">
        <v>775</v>
      </c>
      <c r="G32" s="68"/>
      <c r="H32" s="68"/>
      <c r="I32" s="69"/>
      <c r="J32" s="72">
        <v>775</v>
      </c>
      <c r="K32" s="70">
        <v>44467</v>
      </c>
      <c r="L32" s="69">
        <v>60</v>
      </c>
      <c r="M32" s="102">
        <f t="shared" si="1"/>
        <v>715</v>
      </c>
      <c r="N32" s="40" t="s">
        <v>6</v>
      </c>
      <c r="O32" s="71">
        <v>485.49</v>
      </c>
      <c r="P32" s="39">
        <f t="shared" si="3"/>
        <v>229.51</v>
      </c>
      <c r="Q32" s="118">
        <f t="shared" si="2"/>
        <v>0</v>
      </c>
      <c r="R32" s="122" t="s">
        <v>678</v>
      </c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4">
      <c r="A33" s="158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4">
      <c r="A34" s="161" t="s">
        <v>103</v>
      </c>
      <c r="B34" s="16" t="s">
        <v>1130</v>
      </c>
      <c r="C34" s="20" t="s">
        <v>130</v>
      </c>
      <c r="D34" s="66">
        <v>44446</v>
      </c>
      <c r="E34" s="70">
        <v>44110</v>
      </c>
      <c r="F34" s="71">
        <v>650</v>
      </c>
      <c r="G34" s="68"/>
      <c r="H34" s="68"/>
      <c r="I34" s="69"/>
      <c r="J34" s="72">
        <v>650</v>
      </c>
      <c r="K34" s="66">
        <v>44449</v>
      </c>
      <c r="L34" s="69"/>
      <c r="M34" s="102">
        <f t="shared" si="1"/>
        <v>650</v>
      </c>
      <c r="N34" s="49" t="s">
        <v>6</v>
      </c>
      <c r="O34" s="71">
        <v>156.21</v>
      </c>
      <c r="P34" s="39">
        <f t="shared" si="3"/>
        <v>493.78999999999996</v>
      </c>
      <c r="Q34" s="118">
        <f t="shared" si="2"/>
        <v>0</v>
      </c>
      <c r="R34" s="122" t="s">
        <v>679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4">
      <c r="A35" s="22" t="s">
        <v>66</v>
      </c>
      <c r="B35" s="16" t="s">
        <v>1131</v>
      </c>
      <c r="C35" s="20" t="s">
        <v>95</v>
      </c>
      <c r="D35" s="66">
        <v>44447</v>
      </c>
      <c r="E35" s="66">
        <v>44476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44447.490972222222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4">
      <c r="A36" s="22" t="s">
        <v>105</v>
      </c>
      <c r="B36" s="16" t="s">
        <v>1132</v>
      </c>
      <c r="C36" s="20" t="s">
        <v>567</v>
      </c>
      <c r="D36" s="70">
        <v>44438</v>
      </c>
      <c r="E36" s="70">
        <v>44498</v>
      </c>
      <c r="F36" s="71">
        <v>1000</v>
      </c>
      <c r="G36" s="68">
        <v>70</v>
      </c>
      <c r="H36" s="68">
        <v>14</v>
      </c>
      <c r="I36" s="69">
        <v>12</v>
      </c>
      <c r="J36" s="72">
        <v>904</v>
      </c>
      <c r="K36" s="70">
        <v>44440.570833333331</v>
      </c>
      <c r="L36" s="69">
        <v>45</v>
      </c>
      <c r="M36" s="102">
        <f t="shared" si="1"/>
        <v>859</v>
      </c>
      <c r="N36" s="49" t="s">
        <v>6</v>
      </c>
      <c r="O36" s="71">
        <v>155.44</v>
      </c>
      <c r="P36" s="39">
        <f t="shared" si="3"/>
        <v>703.56</v>
      </c>
      <c r="Q36" s="118">
        <f t="shared" si="2"/>
        <v>0</v>
      </c>
      <c r="R36" s="122" t="s">
        <v>683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5">
      <c r="A37" s="161" t="s">
        <v>106</v>
      </c>
      <c r="B37" s="16" t="s">
        <v>1133</v>
      </c>
      <c r="C37" s="20" t="s">
        <v>130</v>
      </c>
      <c r="D37" s="66">
        <v>44438</v>
      </c>
      <c r="E37" s="66">
        <v>44468</v>
      </c>
      <c r="F37" s="71">
        <v>695</v>
      </c>
      <c r="G37" s="68"/>
      <c r="H37" s="68"/>
      <c r="I37" s="69"/>
      <c r="J37" s="72">
        <v>695</v>
      </c>
      <c r="K37" s="70">
        <v>44440</v>
      </c>
      <c r="L37" s="69">
        <v>127.07</v>
      </c>
      <c r="M37" s="102">
        <f t="shared" si="1"/>
        <v>567.93000000000006</v>
      </c>
      <c r="N37" s="40" t="s">
        <v>6</v>
      </c>
      <c r="O37" s="71"/>
      <c r="P37" s="39">
        <f t="shared" si="3"/>
        <v>567.93000000000006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4">
      <c r="A38" s="161" t="s">
        <v>224</v>
      </c>
      <c r="B38" s="16" t="s">
        <v>1134</v>
      </c>
      <c r="C38" s="20" t="s">
        <v>130</v>
      </c>
      <c r="D38" s="70">
        <v>44468</v>
      </c>
      <c r="E38" s="70">
        <v>44497</v>
      </c>
      <c r="F38" s="67">
        <v>650</v>
      </c>
      <c r="G38" s="68"/>
      <c r="H38" s="68"/>
      <c r="I38" s="69"/>
      <c r="J38" s="72">
        <v>650</v>
      </c>
      <c r="K38" s="70">
        <v>44467</v>
      </c>
      <c r="L38" s="69">
        <v>16.579999999999998</v>
      </c>
      <c r="M38" s="102">
        <f t="shared" si="1"/>
        <v>633.41999999999996</v>
      </c>
      <c r="N38" s="40" t="s">
        <v>6</v>
      </c>
      <c r="O38" s="67">
        <v>156.21</v>
      </c>
      <c r="P38" s="39">
        <f t="shared" si="3"/>
        <v>477.20999999999992</v>
      </c>
      <c r="Q38" s="118">
        <f t="shared" si="2"/>
        <v>0</v>
      </c>
      <c r="R38" s="50" t="s">
        <v>680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4">
      <c r="A39" s="161" t="s">
        <v>226</v>
      </c>
      <c r="B39" s="16" t="s">
        <v>1135</v>
      </c>
      <c r="C39" s="20" t="s">
        <v>130</v>
      </c>
      <c r="D39" s="70">
        <v>44451</v>
      </c>
      <c r="E39" s="70">
        <v>44480</v>
      </c>
      <c r="F39" s="67">
        <v>630</v>
      </c>
      <c r="G39" s="68"/>
      <c r="H39" s="68"/>
      <c r="I39" s="69"/>
      <c r="J39" s="72">
        <v>630</v>
      </c>
      <c r="K39" s="66">
        <v>44452</v>
      </c>
      <c r="L39" s="69">
        <v>42.2</v>
      </c>
      <c r="M39" s="102">
        <f t="shared" si="1"/>
        <v>587.79999999999995</v>
      </c>
      <c r="N39" s="40" t="s">
        <v>6</v>
      </c>
      <c r="O39" s="67">
        <v>156.21</v>
      </c>
      <c r="P39" s="39">
        <f t="shared" si="3"/>
        <v>431.58999999999992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4">
      <c r="A40" s="161" t="s">
        <v>227</v>
      </c>
      <c r="B40" s="16" t="s">
        <v>1136</v>
      </c>
      <c r="C40" s="20" t="s">
        <v>130</v>
      </c>
      <c r="D40" s="70">
        <v>44422</v>
      </c>
      <c r="E40" s="70">
        <v>44452</v>
      </c>
      <c r="F40" s="71">
        <v>700</v>
      </c>
      <c r="G40" s="68"/>
      <c r="H40" s="68"/>
      <c r="I40" s="69"/>
      <c r="J40" s="72">
        <v>700</v>
      </c>
      <c r="K40" s="70">
        <v>44453</v>
      </c>
      <c r="L40" s="69"/>
      <c r="M40" s="102">
        <f t="shared" si="1"/>
        <v>700</v>
      </c>
      <c r="N40" s="40" t="s">
        <v>6</v>
      </c>
      <c r="O40" s="71">
        <v>184.81</v>
      </c>
      <c r="P40" s="39">
        <f t="shared" si="3"/>
        <v>515.19000000000005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4">
      <c r="A41" s="161" t="s">
        <v>228</v>
      </c>
      <c r="B41" s="16" t="s">
        <v>1137</v>
      </c>
      <c r="C41" s="20" t="s">
        <v>130</v>
      </c>
      <c r="D41" s="66">
        <v>44463</v>
      </c>
      <c r="E41" s="66">
        <v>44492</v>
      </c>
      <c r="F41" s="67">
        <v>500</v>
      </c>
      <c r="G41" s="68"/>
      <c r="H41" s="68"/>
      <c r="I41" s="69"/>
      <c r="J41" s="72">
        <v>500</v>
      </c>
      <c r="K41" s="66">
        <v>44466</v>
      </c>
      <c r="L41" s="69"/>
      <c r="M41" s="102">
        <f t="shared" si="1"/>
        <v>500</v>
      </c>
      <c r="N41" s="40" t="s">
        <v>6</v>
      </c>
      <c r="O41" s="67">
        <v>183.34</v>
      </c>
      <c r="P41" s="39">
        <f t="shared" si="3"/>
        <v>316.65999999999997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5">
      <c r="A42" s="161" t="s">
        <v>107</v>
      </c>
      <c r="B42" s="16" t="s">
        <v>1138</v>
      </c>
      <c r="C42" s="20" t="s">
        <v>130</v>
      </c>
      <c r="D42" s="66">
        <v>44461</v>
      </c>
      <c r="E42" s="66">
        <v>44490</v>
      </c>
      <c r="F42" s="71">
        <v>625</v>
      </c>
      <c r="G42" s="68"/>
      <c r="H42" s="68"/>
      <c r="I42" s="69"/>
      <c r="J42" s="72">
        <v>625</v>
      </c>
      <c r="K42" s="70">
        <v>44456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5">
      <c r="A43" s="161" t="s">
        <v>67</v>
      </c>
      <c r="B43" s="16" t="s">
        <v>653</v>
      </c>
      <c r="C43" s="20"/>
      <c r="D43" s="66"/>
      <c r="E43" s="66"/>
      <c r="F43" s="71"/>
      <c r="G43" s="68"/>
      <c r="H43" s="68"/>
      <c r="I43" s="69"/>
      <c r="J43" s="72"/>
      <c r="K43" s="70"/>
      <c r="L43" s="69">
        <v>765</v>
      </c>
      <c r="M43" s="102">
        <f t="shared" si="1"/>
        <v>-765</v>
      </c>
      <c r="N43" s="40" t="s">
        <v>6</v>
      </c>
      <c r="O43" s="71">
        <v>183.02</v>
      </c>
      <c r="P43" s="39">
        <f t="shared" si="3"/>
        <v>-948.02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5">
      <c r="A44" s="161" t="s">
        <v>109</v>
      </c>
      <c r="B44" s="16" t="s">
        <v>1139</v>
      </c>
      <c r="C44" s="20" t="s">
        <v>130</v>
      </c>
      <c r="D44" s="66">
        <v>44454</v>
      </c>
      <c r="E44" s="66">
        <v>44483</v>
      </c>
      <c r="F44" s="71">
        <v>700</v>
      </c>
      <c r="G44" s="68"/>
      <c r="H44" s="68"/>
      <c r="I44" s="69"/>
      <c r="J44" s="72">
        <v>700</v>
      </c>
      <c r="K44" s="70">
        <v>44454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4">
      <c r="A45" s="158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5">
      <c r="A46" s="168" t="s">
        <v>68</v>
      </c>
      <c r="B46" s="16" t="s">
        <v>1140</v>
      </c>
      <c r="C46" s="20" t="s">
        <v>567</v>
      </c>
      <c r="D46" s="66">
        <v>44457</v>
      </c>
      <c r="E46" s="66">
        <v>44486</v>
      </c>
      <c r="F46" s="71">
        <v>525</v>
      </c>
      <c r="G46" s="68">
        <v>36.75</v>
      </c>
      <c r="H46" s="68">
        <v>7.35</v>
      </c>
      <c r="I46" s="69">
        <v>6</v>
      </c>
      <c r="J46" s="72">
        <v>474.9</v>
      </c>
      <c r="K46" s="70">
        <v>44459.481944444444</v>
      </c>
      <c r="L46" s="69"/>
      <c r="M46" s="102">
        <f t="shared" si="1"/>
        <v>474.9</v>
      </c>
      <c r="N46" s="40" t="s">
        <v>6</v>
      </c>
      <c r="O46" s="71">
        <v>153.77000000000001</v>
      </c>
      <c r="P46" s="39">
        <f t="shared" si="3"/>
        <v>321.13</v>
      </c>
      <c r="Q46" s="118">
        <f t="shared" si="2"/>
        <v>0</v>
      </c>
      <c r="R46" s="50"/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4">
      <c r="A47" s="169" t="s">
        <v>69</v>
      </c>
      <c r="B47" s="16" t="s">
        <v>653</v>
      </c>
      <c r="C47" s="20"/>
      <c r="D47" s="66"/>
      <c r="E47" s="66"/>
      <c r="F47" s="67"/>
      <c r="G47" s="68"/>
      <c r="H47" s="68"/>
      <c r="I47" s="69"/>
      <c r="J47" s="72"/>
      <c r="K47" s="70"/>
      <c r="L47" s="69">
        <v>917.54</v>
      </c>
      <c r="M47" s="102">
        <f t="shared" si="1"/>
        <v>-917.54</v>
      </c>
      <c r="N47" s="40" t="s">
        <v>6</v>
      </c>
      <c r="O47" s="67">
        <v>50.05</v>
      </c>
      <c r="P47" s="39">
        <f t="shared" si="3"/>
        <v>-967.58999999999992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5">
      <c r="A48" s="22" t="s">
        <v>86</v>
      </c>
      <c r="B48" s="164" t="s">
        <v>1141</v>
      </c>
      <c r="C48" s="20" t="s">
        <v>95</v>
      </c>
      <c r="D48" s="66">
        <v>44462</v>
      </c>
      <c r="E48" s="66">
        <v>44491</v>
      </c>
      <c r="F48" s="71">
        <v>490</v>
      </c>
      <c r="G48" s="68">
        <v>34.299999999999997</v>
      </c>
      <c r="H48" s="68">
        <v>6.86</v>
      </c>
      <c r="I48" s="69">
        <v>6</v>
      </c>
      <c r="J48" s="72">
        <v>442.84</v>
      </c>
      <c r="K48" s="70">
        <v>44462.458333333336</v>
      </c>
      <c r="L48" s="69"/>
      <c r="M48" s="102">
        <f t="shared" si="1"/>
        <v>442.84</v>
      </c>
      <c r="N48" s="40" t="s">
        <v>6</v>
      </c>
      <c r="O48" s="71">
        <v>153.74</v>
      </c>
      <c r="P48" s="39">
        <f t="shared" si="3"/>
        <v>289.09999999999997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4">
      <c r="A49" s="22" t="s">
        <v>111</v>
      </c>
      <c r="B49" s="164" t="s">
        <v>1142</v>
      </c>
      <c r="C49" s="20" t="s">
        <v>95</v>
      </c>
      <c r="D49" s="70">
        <v>44453</v>
      </c>
      <c r="E49" s="70">
        <v>44482</v>
      </c>
      <c r="F49" s="71">
        <v>499.28</v>
      </c>
      <c r="G49" s="68">
        <v>34.950000000000003</v>
      </c>
      <c r="H49" s="68">
        <v>6.99</v>
      </c>
      <c r="I49" s="69">
        <v>6</v>
      </c>
      <c r="J49" s="72">
        <v>451.34</v>
      </c>
      <c r="K49" s="70">
        <v>44455.499305555553</v>
      </c>
      <c r="L49" s="69">
        <v>162</v>
      </c>
      <c r="M49" s="102">
        <f t="shared" si="1"/>
        <v>289.33999999999997</v>
      </c>
      <c r="N49" s="40" t="s">
        <v>6</v>
      </c>
      <c r="O49" s="71">
        <v>147.83000000000001</v>
      </c>
      <c r="P49" s="39">
        <f t="shared" si="3"/>
        <v>141.50999999999996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4">
      <c r="A50" s="161" t="s">
        <v>231</v>
      </c>
      <c r="B50" s="164" t="s">
        <v>1143</v>
      </c>
      <c r="C50" s="20" t="s">
        <v>567</v>
      </c>
      <c r="D50" s="66">
        <v>44464</v>
      </c>
      <c r="E50" s="66">
        <v>44493</v>
      </c>
      <c r="F50" s="67">
        <v>600</v>
      </c>
      <c r="G50" s="68"/>
      <c r="H50" s="68"/>
      <c r="I50" s="69"/>
      <c r="J50" s="72">
        <v>600</v>
      </c>
      <c r="K50" s="70">
        <v>44466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5">
      <c r="A51" s="22" t="s">
        <v>70</v>
      </c>
      <c r="B51" s="16" t="s">
        <v>1144</v>
      </c>
      <c r="C51" s="20" t="s">
        <v>95</v>
      </c>
      <c r="D51" s="66">
        <v>44459</v>
      </c>
      <c r="E51" s="66">
        <v>44488</v>
      </c>
      <c r="F51" s="71">
        <v>499.76</v>
      </c>
      <c r="G51" s="68">
        <v>34.979999999999997</v>
      </c>
      <c r="H51" s="68">
        <v>7</v>
      </c>
      <c r="I51" s="69">
        <v>6</v>
      </c>
      <c r="J51" s="72">
        <v>451.78</v>
      </c>
      <c r="K51" s="70">
        <v>44460.550694444442</v>
      </c>
      <c r="L51" s="69"/>
      <c r="M51" s="102">
        <f t="shared" si="1"/>
        <v>451.78</v>
      </c>
      <c r="N51" s="40" t="s">
        <v>258</v>
      </c>
      <c r="O51" s="71">
        <v>153.75</v>
      </c>
      <c r="P51" s="39">
        <f t="shared" si="3"/>
        <v>298.02999999999997</v>
      </c>
      <c r="Q51" s="118">
        <f t="shared" si="2"/>
        <v>0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4">
      <c r="A52" s="22" t="s">
        <v>71</v>
      </c>
      <c r="B52" s="16" t="s">
        <v>1145</v>
      </c>
      <c r="C52" s="20" t="s">
        <v>567</v>
      </c>
      <c r="D52" s="66">
        <v>44445</v>
      </c>
      <c r="E52" s="66">
        <v>44474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44446.569444444445</v>
      </c>
      <c r="L52" s="69">
        <v>56.22</v>
      </c>
      <c r="M52" s="102">
        <f t="shared" si="1"/>
        <v>395.78</v>
      </c>
      <c r="N52" s="40" t="s">
        <v>6</v>
      </c>
      <c r="O52" s="67">
        <v>194.02</v>
      </c>
      <c r="P52" s="39">
        <f t="shared" si="3"/>
        <v>201.75999999999996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5">
      <c r="A53" s="22" t="s">
        <v>72</v>
      </c>
      <c r="B53" s="164" t="s">
        <v>1146</v>
      </c>
      <c r="C53" s="20" t="s">
        <v>95</v>
      </c>
      <c r="D53" s="66">
        <v>44427</v>
      </c>
      <c r="E53" s="66">
        <v>44487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44460.550694444442</v>
      </c>
      <c r="L53" s="69"/>
      <c r="M53" s="102">
        <f t="shared" si="1"/>
        <v>422.28999999999996</v>
      </c>
      <c r="N53" s="40" t="s">
        <v>6</v>
      </c>
      <c r="O53" s="71">
        <v>159.08000000000001</v>
      </c>
      <c r="P53" s="39">
        <f t="shared" si="3"/>
        <v>263.20999999999992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4">
      <c r="A54" s="158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4">
      <c r="A55" s="167" t="s">
        <v>73</v>
      </c>
      <c r="B55" s="16" t="s">
        <v>1147</v>
      </c>
      <c r="C55" s="20" t="s">
        <v>130</v>
      </c>
      <c r="D55" s="66">
        <v>44441</v>
      </c>
      <c r="E55" s="66">
        <v>44470</v>
      </c>
      <c r="F55" s="67">
        <v>850</v>
      </c>
      <c r="G55" s="68"/>
      <c r="H55" s="68"/>
      <c r="I55" s="69"/>
      <c r="J55" s="72">
        <v>850</v>
      </c>
      <c r="K55" s="70">
        <v>44440</v>
      </c>
      <c r="L55" s="69">
        <v>159</v>
      </c>
      <c r="M55" s="102">
        <f t="shared" si="1"/>
        <v>691</v>
      </c>
      <c r="N55" s="40" t="s">
        <v>202</v>
      </c>
      <c r="O55" s="67">
        <v>187.18</v>
      </c>
      <c r="P55" s="39">
        <f t="shared" si="3"/>
        <v>503.82</v>
      </c>
      <c r="Q55" s="118">
        <f t="shared" si="2"/>
        <v>0</v>
      </c>
      <c r="R55" s="122" t="s">
        <v>685</v>
      </c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5">
      <c r="A56" s="161" t="s">
        <v>112</v>
      </c>
      <c r="B56" s="16" t="s">
        <v>1148</v>
      </c>
      <c r="C56" s="20" t="s">
        <v>130</v>
      </c>
      <c r="D56" s="66">
        <v>44454</v>
      </c>
      <c r="E56" s="66">
        <v>44483</v>
      </c>
      <c r="F56" s="71">
        <v>600</v>
      </c>
      <c r="G56" s="68"/>
      <c r="H56" s="68"/>
      <c r="I56" s="69"/>
      <c r="J56" s="72">
        <v>600</v>
      </c>
      <c r="K56" s="70">
        <v>44456</v>
      </c>
      <c r="L56" s="69"/>
      <c r="M56" s="102">
        <f t="shared" si="1"/>
        <v>600</v>
      </c>
      <c r="N56" s="40" t="s">
        <v>6</v>
      </c>
      <c r="O56" s="71">
        <v>153.76</v>
      </c>
      <c r="P56" s="39">
        <f t="shared" si="3"/>
        <v>446.24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4">
      <c r="A57" s="22" t="s">
        <v>115</v>
      </c>
      <c r="B57" s="16" t="s">
        <v>1149</v>
      </c>
      <c r="C57" s="20" t="s">
        <v>95</v>
      </c>
      <c r="D57" s="66">
        <v>44451</v>
      </c>
      <c r="E57" s="66">
        <v>44480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44453.535416666666</v>
      </c>
      <c r="L57" s="69"/>
      <c r="M57" s="102">
        <f t="shared" si="1"/>
        <v>452</v>
      </c>
      <c r="N57" s="40" t="s">
        <v>6</v>
      </c>
      <c r="O57" s="67">
        <v>168.95</v>
      </c>
      <c r="P57" s="39">
        <f t="shared" si="3"/>
        <v>283.05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4.35" x14ac:dyDescent="0.5">
      <c r="A58" s="167" t="s">
        <v>117</v>
      </c>
      <c r="B58" s="16" t="s">
        <v>1150</v>
      </c>
      <c r="C58" s="20" t="s">
        <v>130</v>
      </c>
      <c r="D58" s="66">
        <v>44466</v>
      </c>
      <c r="E58" s="66">
        <v>44495</v>
      </c>
      <c r="F58" s="71">
        <v>750</v>
      </c>
      <c r="G58" s="68"/>
      <c r="H58" s="68"/>
      <c r="I58" s="69"/>
      <c r="J58" s="72">
        <v>750</v>
      </c>
      <c r="K58" s="70">
        <v>44467</v>
      </c>
      <c r="L58" s="69"/>
      <c r="M58" s="102">
        <f t="shared" si="1"/>
        <v>750</v>
      </c>
      <c r="N58" s="40" t="s">
        <v>202</v>
      </c>
      <c r="O58" s="71">
        <v>153.72</v>
      </c>
      <c r="P58" s="39">
        <f t="shared" si="3"/>
        <v>596.28</v>
      </c>
      <c r="Q58" s="118">
        <f t="shared" si="2"/>
        <v>0</v>
      </c>
      <c r="R58" s="40" t="s">
        <v>681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4">
      <c r="A59" s="22" t="s">
        <v>74</v>
      </c>
      <c r="B59" s="16" t="s">
        <v>1151</v>
      </c>
      <c r="C59" s="20" t="s">
        <v>567</v>
      </c>
      <c r="D59" s="66">
        <v>44451</v>
      </c>
      <c r="E59" s="66">
        <v>44480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44453.535416666666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5">
      <c r="A60" s="22" t="s">
        <v>118</v>
      </c>
      <c r="B60" s="16" t="s">
        <v>1152</v>
      </c>
      <c r="C60" s="20" t="s">
        <v>95</v>
      </c>
      <c r="D60" s="66">
        <v>44458</v>
      </c>
      <c r="E60" s="66">
        <v>44487</v>
      </c>
      <c r="F60" s="71">
        <v>505</v>
      </c>
      <c r="G60" s="68">
        <v>35.35</v>
      </c>
      <c r="H60" s="68">
        <v>7.07</v>
      </c>
      <c r="I60" s="69">
        <v>6</v>
      </c>
      <c r="J60" s="72">
        <v>456.58</v>
      </c>
      <c r="K60" s="70">
        <v>44459.481944444444</v>
      </c>
      <c r="L60" s="69"/>
      <c r="M60" s="102">
        <f t="shared" si="1"/>
        <v>456.58</v>
      </c>
      <c r="N60" s="40" t="s">
        <v>6</v>
      </c>
      <c r="O60" s="71">
        <v>153.72</v>
      </c>
      <c r="P60" s="39">
        <f t="shared" si="3"/>
        <v>302.86</v>
      </c>
      <c r="Q60" s="118">
        <f t="shared" si="2"/>
        <v>0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4">
      <c r="A61" s="169" t="s">
        <v>119</v>
      </c>
      <c r="B61" s="16" t="s">
        <v>1153</v>
      </c>
      <c r="C61" s="33" t="s">
        <v>567</v>
      </c>
      <c r="D61" s="66">
        <v>44467</v>
      </c>
      <c r="E61" s="66">
        <v>44496</v>
      </c>
      <c r="F61" s="67">
        <v>550</v>
      </c>
      <c r="G61" s="68">
        <v>38.5</v>
      </c>
      <c r="H61" s="68">
        <v>7.7</v>
      </c>
      <c r="I61" s="69">
        <v>12</v>
      </c>
      <c r="J61" s="72">
        <v>491.8</v>
      </c>
      <c r="K61" s="70">
        <v>44467.544444444444</v>
      </c>
      <c r="L61" s="69"/>
      <c r="M61" s="102">
        <f t="shared" si="1"/>
        <v>491.8</v>
      </c>
      <c r="N61" s="40" t="s">
        <v>6</v>
      </c>
      <c r="O61" s="67">
        <v>187.31</v>
      </c>
      <c r="P61" s="39">
        <f t="shared" si="3"/>
        <v>304.49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5">
      <c r="A62" s="22" t="s">
        <v>75</v>
      </c>
      <c r="B62" s="16" t="s">
        <v>653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159.08000000000001</v>
      </c>
      <c r="P62" s="39">
        <f t="shared" si="3"/>
        <v>-159.08000000000001</v>
      </c>
      <c r="Q62" s="118">
        <f t="shared" si="2"/>
        <v>0</v>
      </c>
      <c r="R62" s="50" t="s">
        <v>682</v>
      </c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4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4">
      <c r="F64" s="10"/>
      <c r="G64" s="10"/>
      <c r="H64" s="10"/>
      <c r="I64" s="10"/>
      <c r="J64" s="10"/>
    </row>
    <row r="65" spans="1:18" ht="14" thickBot="1" x14ac:dyDescent="0.45">
      <c r="A65" s="159">
        <v>0</v>
      </c>
      <c r="B65" s="160" t="s">
        <v>571</v>
      </c>
      <c r="C65" s="11"/>
      <c r="E65" s="12" t="s">
        <v>19</v>
      </c>
      <c r="F65" s="35">
        <f>SUM(F9:F63)</f>
        <v>24411.679999999997</v>
      </c>
      <c r="G65" s="35">
        <f>SUM(G9:G63)</f>
        <v>763.05000000000007</v>
      </c>
      <c r="H65" s="35">
        <f>SUM(H9:H63)</f>
        <v>152.61999999999995</v>
      </c>
      <c r="I65" s="35">
        <f>SUM(I9:I63)</f>
        <v>150</v>
      </c>
      <c r="J65" s="35">
        <f>SUM(J9:J63)</f>
        <v>23346.010000000002</v>
      </c>
      <c r="K65" s="34"/>
      <c r="L65" s="35">
        <f>SUM(L9:L63)</f>
        <v>2689.91</v>
      </c>
      <c r="M65" s="35">
        <f>SUM(M9:M63)</f>
        <v>20656.100000000002</v>
      </c>
      <c r="N65" s="34"/>
      <c r="O65" s="35">
        <f>SUM(O9:O63)</f>
        <v>6865.0400000000027</v>
      </c>
      <c r="P65" s="35">
        <f>SUM(P9:P63)</f>
        <v>13791.06</v>
      </c>
      <c r="R65" s="34"/>
    </row>
    <row r="66" spans="1:18" ht="13" thickTop="1" x14ac:dyDescent="0.4">
      <c r="A66" s="157">
        <v>3</v>
      </c>
      <c r="B66" s="163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4">
      <c r="A67" s="161">
        <v>16</v>
      </c>
      <c r="B67" s="163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4">
      <c r="A68" s="164">
        <v>23</v>
      </c>
      <c r="B68" s="163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4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4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4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4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4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4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4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4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4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4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4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4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4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4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4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4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4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4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4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4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4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E50E1C51-DA3B-499F-B3BA-8DC581E32D9E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" x14ac:dyDescent="0.4"/>
  <cols>
    <col min="1" max="1" width="35.87890625" bestFit="1" customWidth="1"/>
    <col min="2" max="2" width="12.1171875" customWidth="1"/>
    <col min="3" max="3" width="11.703125" bestFit="1" customWidth="1"/>
    <col min="4" max="4" width="8.41015625" bestFit="1" customWidth="1"/>
    <col min="5" max="5" width="13.41015625" customWidth="1"/>
    <col min="6" max="6" width="11.703125" bestFit="1" customWidth="1"/>
    <col min="7" max="7" width="8" customWidth="1"/>
    <col min="8" max="8" width="12.87890625" customWidth="1"/>
    <col min="9" max="9" width="13" customWidth="1"/>
  </cols>
  <sheetData>
    <row r="1" spans="1:9" ht="14.35" x14ac:dyDescent="0.5">
      <c r="A1" s="84" t="s">
        <v>519</v>
      </c>
      <c r="B1" s="84"/>
    </row>
    <row r="2" spans="1:9" ht="14.35" x14ac:dyDescent="0.5">
      <c r="A2" s="84"/>
      <c r="B2" s="84"/>
    </row>
    <row r="3" spans="1:9" x14ac:dyDescent="0.4">
      <c r="E3" t="s">
        <v>399</v>
      </c>
      <c r="H3" t="s">
        <v>400</v>
      </c>
    </row>
    <row r="4" spans="1:9" x14ac:dyDescent="0.4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4">
      <c r="A5" t="s">
        <v>215</v>
      </c>
      <c r="B5" s="34">
        <f>SUM('Rent Statement'!F9:F63)</f>
        <v>24411.679999999997</v>
      </c>
      <c r="E5" s="34">
        <f>SUMIF('Rent Statement'!S9:S63,"=Mathew Tucker", 'Rent Statement'!F9:F63)</f>
        <v>15110.4</v>
      </c>
      <c r="H5" s="34">
        <f>SUMIF('Rent Statement'!S9:S63,"Ivana Valentino", 'Rent Statement'!F9:F63)</f>
        <v>9301.2800000000007</v>
      </c>
    </row>
    <row r="6" spans="1:9" x14ac:dyDescent="0.4">
      <c r="A6" t="s">
        <v>214</v>
      </c>
      <c r="C6" s="45">
        <f>-SUM('Rent Statement'!O9:O63)</f>
        <v>-6865.0400000000027</v>
      </c>
      <c r="F6" s="45">
        <f>-SUMIF('Rent Statement'!S9:S63,"Mathew Tucker",'Rent Statement'!O9:O63)</f>
        <v>-3902.1199999999994</v>
      </c>
      <c r="I6" s="45">
        <f>-SUMIF('Rent Statement'!S9:S63,"Ivana Valentino",'Rent Statement'!O9:O63)</f>
        <v>-2962.92</v>
      </c>
    </row>
    <row r="7" spans="1:9" x14ac:dyDescent="0.4">
      <c r="A7" t="s">
        <v>213</v>
      </c>
      <c r="C7" s="45">
        <f>-SUM('Rent Statement'!G9:G63)</f>
        <v>-763.05000000000007</v>
      </c>
      <c r="F7" s="45">
        <f>-SUMIF('Rent Statement'!S9:S63,"Mathew Tucker",'Rent Statement'!G9:G63)</f>
        <v>-523.98</v>
      </c>
      <c r="I7" s="45">
        <f>-SUMIF('Rent Statement'!S9:S63,"Ivana Valentino",'Rent Statement'!G9:G63)</f>
        <v>-239.07</v>
      </c>
    </row>
    <row r="8" spans="1:9" x14ac:dyDescent="0.4">
      <c r="A8" t="s">
        <v>212</v>
      </c>
      <c r="C8" s="45">
        <f>-SUM('Rent Statement'!H9:H63)</f>
        <v>-152.61999999999995</v>
      </c>
      <c r="F8" s="45">
        <f>-SUMIF('Rent Statement'!S9:S63,"Mathew Tucker",'Rent Statement'!H9:H63)</f>
        <v>-104.8</v>
      </c>
      <c r="I8" s="45">
        <f>-SUMIF('Rent Statement'!S9:S63,"Ivana Valentino",'Rent Statement'!H9:H63)</f>
        <v>-47.82</v>
      </c>
    </row>
    <row r="9" spans="1:9" x14ac:dyDescent="0.4">
      <c r="A9" t="s">
        <v>211</v>
      </c>
      <c r="C9" s="45">
        <f>-SUM('Rent Statement'!I9:I63)-SUM('Rent Statement'!L9:L63)</f>
        <v>-2839.91</v>
      </c>
      <c r="F9" s="45">
        <f>-SUMIF('Rent Statement'!S9:S63,"Mathew Tucker",'Rent Statement'!I9:I63)-SUMIF('Rent Statement'!S9:S63,"Mathew Tucker",'Rent Statement'!L9:L63)</f>
        <v>-1584.84</v>
      </c>
      <c r="I9" s="45">
        <f>-SUMIF('Rent Statement'!S9:S63,"Ivana Valentino",'Rent Statement'!I9:I63)-SUMIF('Rent Statement'!S9:S63,"Ivana Valentino",'Rent Statement'!L9:L63)</f>
        <v>-1255.07</v>
      </c>
    </row>
    <row r="10" spans="1:9" x14ac:dyDescent="0.4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4">
      <c r="B11" s="34"/>
    </row>
    <row r="12" spans="1:9" ht="13" thickBot="1" x14ac:dyDescent="0.45">
      <c r="A12" t="s">
        <v>210</v>
      </c>
      <c r="B12" s="35">
        <f>B5+SUM(C6:C9)</f>
        <v>13791.059999999994</v>
      </c>
      <c r="D12" s="43"/>
      <c r="E12" s="109">
        <f>E5+SUM(F6:F10)</f>
        <v>8994.66</v>
      </c>
      <c r="H12" s="109">
        <f>H5+SUM(I6:I10)</f>
        <v>4796.4000000000005</v>
      </c>
    </row>
    <row r="13" spans="1:9" ht="14.7" thickTop="1" x14ac:dyDescent="0.5">
      <c r="A13" s="85"/>
      <c r="B13" s="85"/>
      <c r="C13" s="81"/>
      <c r="F13" s="81"/>
    </row>
    <row r="14" spans="1:9" ht="28.7" x14ac:dyDescent="0.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4.35" x14ac:dyDescent="0.5">
      <c r="A15" s="85" t="s">
        <v>522</v>
      </c>
      <c r="B15" s="82">
        <f>E12</f>
        <v>8994.66</v>
      </c>
      <c r="C15" s="82">
        <f>H12</f>
        <v>4796.4000000000005</v>
      </c>
      <c r="D15" s="89"/>
      <c r="E15" s="154">
        <v>0.5</v>
      </c>
      <c r="F15" s="155">
        <v>0.5</v>
      </c>
    </row>
    <row r="16" spans="1:9" ht="14.35" x14ac:dyDescent="0.5">
      <c r="A16" s="85"/>
      <c r="B16" s="90"/>
      <c r="C16" s="90"/>
      <c r="D16" s="91"/>
      <c r="E16" s="92"/>
      <c r="F16" s="93"/>
    </row>
    <row r="17" spans="1:17" x14ac:dyDescent="0.4">
      <c r="A17" t="s">
        <v>517</v>
      </c>
      <c r="B17" s="82" t="e">
        <f ca="1">EVAL("SUM(SUMIFS(MT_Amount, MT_BankRef," &amp;$H17&amp; "))")</f>
        <v>#NAME?</v>
      </c>
      <c r="C17" s="82" t="e">
        <f ca="1">EVAL("SUM(SUMIFS(IV_Amount, IV_BankRef," &amp;$H17&amp; "))")</f>
        <v>#NAME?</v>
      </c>
      <c r="D17" s="94"/>
      <c r="E17" s="95"/>
      <c r="F17" s="96"/>
      <c r="G17" s="46"/>
      <c r="H17" s="46" t="s">
        <v>563</v>
      </c>
    </row>
    <row r="18" spans="1:17" x14ac:dyDescent="0.4">
      <c r="A18" t="s">
        <v>25</v>
      </c>
      <c r="B18" s="82" t="e">
        <f ca="1">EVAL("SUM(SUMIFS(MT_Amount, MT_BankRef," &amp;$H18&amp; "))")</f>
        <v>#NAME?</v>
      </c>
      <c r="C18" s="82" t="e">
        <f ca="1">EVAL("SUM(SUMIFS(IV_Amount, IV_BankRef," &amp;$H18&amp; "))")</f>
        <v>#NAME?</v>
      </c>
      <c r="D18" s="94"/>
      <c r="E18" s="95"/>
      <c r="F18" s="96"/>
      <c r="H18" s="46" t="s">
        <v>518</v>
      </c>
    </row>
    <row r="19" spans="1:17" x14ac:dyDescent="0.4">
      <c r="B19" s="83" t="e">
        <f ca="1">SUM(B17:B18)</f>
        <v>#NAME?</v>
      </c>
      <c r="C19" s="83" t="e">
        <f ca="1">SUM(C17:C18)</f>
        <v>#NAME?</v>
      </c>
      <c r="D19" s="94"/>
      <c r="E19" s="95"/>
      <c r="F19" s="96"/>
    </row>
    <row r="20" spans="1:17" ht="14.35" x14ac:dyDescent="0.5">
      <c r="A20" s="85"/>
      <c r="B20" s="82"/>
      <c r="C20" s="82"/>
      <c r="D20" s="94"/>
      <c r="E20" s="95"/>
      <c r="F20" s="96"/>
      <c r="H20" s="85"/>
    </row>
    <row r="21" spans="1:17" x14ac:dyDescent="0.4">
      <c r="A21" t="s">
        <v>523</v>
      </c>
      <c r="B21" s="82" t="e">
        <f ca="1">EVAL("SUM(SUMIFS(MT_Amount, MT_BankRef," &amp;$H21&amp; "))")</f>
        <v>#NAME?</v>
      </c>
      <c r="C21" s="82" t="e">
        <f ca="1">EVAL("SUM(SUMIFS(IV_Amount, IV_BankRef," &amp;$H21&amp; "))")</f>
        <v>#NAME?</v>
      </c>
      <c r="D21" s="94"/>
      <c r="E21" s="95"/>
      <c r="F21" s="96"/>
      <c r="H21" t="s">
        <v>524</v>
      </c>
    </row>
    <row r="22" spans="1:17" x14ac:dyDescent="0.4">
      <c r="A22" s="81" t="s">
        <v>525</v>
      </c>
      <c r="B22" s="82" t="e">
        <f ca="1">EVAL("SUM(SUMIFS(MT_Amount, MT_BankRef," &amp;$H22&amp; "))")</f>
        <v>#NAME?</v>
      </c>
      <c r="C22" s="82" t="e">
        <f ca="1">EVAL("SUM(SUMIFS(IV_Amount, IV_BankRef," &amp;$H22&amp; "))")</f>
        <v>#NAME?</v>
      </c>
      <c r="D22" s="94"/>
      <c r="E22" s="95"/>
      <c r="F22" s="96"/>
      <c r="H22" s="81" t="s">
        <v>526</v>
      </c>
    </row>
    <row r="23" spans="1:17" x14ac:dyDescent="0.4">
      <c r="A23" s="81"/>
      <c r="B23" s="82"/>
      <c r="C23" s="82"/>
      <c r="D23" s="94"/>
      <c r="E23" s="95"/>
      <c r="F23" s="96"/>
      <c r="H23" s="81"/>
    </row>
    <row r="24" spans="1:17" x14ac:dyDescent="0.4">
      <c r="A24" s="81" t="s">
        <v>531</v>
      </c>
      <c r="B24" s="82" t="e">
        <f ca="1">EVAL("SUM(SUMIFS(MT_Amount, MT_BankRef," &amp;$H24&amp; "))")</f>
        <v>#NAME?</v>
      </c>
      <c r="C24" s="82" t="e">
        <f ca="1">EVAL("SUM(SUMIFS(IV_Amount, IV_BankRef," &amp;$H24&amp; "))")</f>
        <v>#NAME?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4">
      <c r="A25" s="81" t="s">
        <v>538</v>
      </c>
      <c r="B25" s="82" t="e">
        <f ca="1">EVAL("SUM(SUMIFS(MT_Amount, MT_BankRef," &amp;$H25&amp; "))")</f>
        <v>#NAME?</v>
      </c>
      <c r="C25" s="82" t="e">
        <f ca="1">EVAL("SUM(SUMIFS(IV_Amount, IV_BankRef," &amp;$H25&amp; "))")</f>
        <v>#NAME?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4">
      <c r="A26" s="81" t="s">
        <v>540</v>
      </c>
      <c r="B26" s="82" t="e">
        <f ca="1">EVAL("SUM(SUMIFS(MT_Amount, MT_BankRef," &amp;$H26&amp; "))")</f>
        <v>#NAME?</v>
      </c>
      <c r="C26" s="82" t="e">
        <f ca="1">EVAL("SUM(SUMIFS(IV_Amount, IV_BankRef," &amp;$H26&amp; "))")</f>
        <v>#NAME?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4">
      <c r="A27" s="81"/>
      <c r="B27" s="82"/>
      <c r="C27" s="82"/>
      <c r="D27" s="94"/>
      <c r="E27" s="95"/>
      <c r="F27" s="96"/>
      <c r="H27" s="81"/>
    </row>
    <row r="28" spans="1:17" x14ac:dyDescent="0.4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4">
      <c r="A29" t="s">
        <v>527</v>
      </c>
      <c r="B29" s="110" t="e">
        <f ca="1">EVAL("SUM(SUMIFS(MT_Amount, MT_BankRef," &amp;$H29&amp; "))")</f>
        <v>#NAME?</v>
      </c>
      <c r="C29" s="83" t="e">
        <f ca="1">EVAL("SUM(SUMIFS(IV_Amount, IV_BankRef," &amp;$H29&amp; "))")</f>
        <v>#NAME?</v>
      </c>
      <c r="D29" s="111" t="e">
        <f t="shared" ref="D29:D35" ca="1" si="1">B29+C29</f>
        <v>#NAME?</v>
      </c>
      <c r="E29" s="112" t="str">
        <f ca="1">IFERROR(($D29)*E$15,"")</f>
        <v/>
      </c>
      <c r="F29" s="113" t="str">
        <f ca="1">IFERROR(($D29)*F$15,"")</f>
        <v/>
      </c>
      <c r="H29" t="s">
        <v>528</v>
      </c>
      <c r="J29" s="46"/>
      <c r="Q29" s="46"/>
    </row>
    <row r="30" spans="1:17" x14ac:dyDescent="0.4">
      <c r="A30" s="81" t="s">
        <v>529</v>
      </c>
      <c r="B30" s="114" t="e">
        <f ca="1">EVAL("SUM(SUMIFS(MT_Amount, MT_BankRef," &amp;$H30&amp; "))")</f>
        <v>#NAME?</v>
      </c>
      <c r="C30" s="82" t="e">
        <f ca="1">EVAL("SUM(SUMIFS(IV_Amount, IV_BankRef," &amp;$H30&amp; "))")</f>
        <v>#NAME?</v>
      </c>
      <c r="D30" s="94" t="e">
        <f t="shared" ca="1" si="1"/>
        <v>#NAME?</v>
      </c>
      <c r="E30" s="95" t="str">
        <f t="shared" ref="E30:F35" ca="1" si="2">IFERROR(($D30)*E$15,"")</f>
        <v/>
      </c>
      <c r="F30" s="96" t="str">
        <f t="shared" ca="1" si="2"/>
        <v/>
      </c>
      <c r="H30" s="81" t="s">
        <v>530</v>
      </c>
      <c r="Q30" s="46"/>
    </row>
    <row r="31" spans="1:17" x14ac:dyDescent="0.4">
      <c r="A31" s="81" t="s">
        <v>533</v>
      </c>
      <c r="B31" s="114" t="e">
        <f ca="1">EVAL("SUM(SUMIFS(MT_Amount, MT_BankRef," &amp;$H31&amp; "))")</f>
        <v>#NAME?</v>
      </c>
      <c r="C31" s="82" t="e">
        <f ca="1">EVAL("SUM(SUMIFS(IV_Amount, IV_BankRef," &amp;$H31&amp; "))")</f>
        <v>#NAME?</v>
      </c>
      <c r="D31" s="94" t="e">
        <f t="shared" ca="1" si="1"/>
        <v>#NAME?</v>
      </c>
      <c r="E31" s="95" t="str">
        <f t="shared" ca="1" si="2"/>
        <v/>
      </c>
      <c r="F31" s="96" t="str">
        <f t="shared" ca="1" si="2"/>
        <v/>
      </c>
      <c r="H31" t="s">
        <v>534</v>
      </c>
    </row>
    <row r="32" spans="1:17" x14ac:dyDescent="0.4">
      <c r="A32" s="81" t="s">
        <v>535</v>
      </c>
      <c r="B32" s="114" t="e">
        <f ca="1">EVAL("SUM(SUMIFS(MT_Amount, MT_BankRef," &amp;$H32&amp; "))")</f>
        <v>#NAME?</v>
      </c>
      <c r="C32" s="82" t="e">
        <f ca="1">EVAL("SUM(SUMIFS(IV_Amount, IV_BankRef," &amp;$H32&amp; "))")</f>
        <v>#NAME?</v>
      </c>
      <c r="D32" s="94" t="e">
        <f t="shared" ca="1" si="1"/>
        <v>#NAME?</v>
      </c>
      <c r="E32" s="95" t="str">
        <f t="shared" ca="1" si="2"/>
        <v/>
      </c>
      <c r="F32" s="96" t="str">
        <f t="shared" ca="1" si="2"/>
        <v/>
      </c>
      <c r="H32" t="s">
        <v>536</v>
      </c>
    </row>
    <row r="33" spans="1:8" ht="14.35" x14ac:dyDescent="0.5">
      <c r="A33" s="81" t="s">
        <v>537</v>
      </c>
      <c r="B33" s="120">
        <f>SUMIFS(MT_Amount, MT_Include,"I")</f>
        <v>0</v>
      </c>
      <c r="C33" s="82" t="e">
        <f ca="1">EVAL("SUM(SUMIFS(IV_Amount, IV_BankRef," &amp;$H33&amp; "))")-SUMIFS(IV_Amount_4040, IV_BankRef_4040,"=X")</f>
        <v>#NAME?</v>
      </c>
      <c r="D33" s="94" t="e">
        <f t="shared" ca="1" si="1"/>
        <v>#NAME?</v>
      </c>
      <c r="E33" s="95" t="str">
        <f t="shared" ca="1" si="2"/>
        <v/>
      </c>
      <c r="F33" s="96" t="str">
        <f t="shared" ca="1" si="2"/>
        <v/>
      </c>
      <c r="H33" s="46" t="s">
        <v>562</v>
      </c>
    </row>
    <row r="34" spans="1:8" x14ac:dyDescent="0.4">
      <c r="A34" s="81" t="s">
        <v>25</v>
      </c>
      <c r="B34" s="114" t="e">
        <f ca="1">EVAL("SUM(SUMIFS(MT_Amount, MT_BankRef," &amp;$H34&amp; "))")</f>
        <v>#NAME?</v>
      </c>
      <c r="C34" s="82" t="e">
        <f ca="1">EVAL("SUM(SUMIFS(IV_Amount, IV_BankRef," &amp;$H34&amp; "))")</f>
        <v>#NAME?</v>
      </c>
      <c r="D34" s="94" t="e">
        <f t="shared" ca="1" si="1"/>
        <v>#NAME?</v>
      </c>
      <c r="E34" s="95" t="str">
        <f t="shared" ca="1" si="2"/>
        <v/>
      </c>
      <c r="F34" s="96" t="str">
        <f t="shared" ca="1" si="2"/>
        <v/>
      </c>
      <c r="H34" s="81" t="s">
        <v>542</v>
      </c>
    </row>
    <row r="35" spans="1:8" x14ac:dyDescent="0.4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4">
      <c r="B36" s="97" t="e">
        <f ca="1">SUBTOTAL(9,B29:B35)</f>
        <v>#NAME?</v>
      </c>
      <c r="C36" s="97" t="e">
        <f ca="1">SUBTOTAL(9,C29:C35)</f>
        <v>#NAME?</v>
      </c>
      <c r="D36" s="98" t="e">
        <f ca="1">SUBTOTAL(9,D20:D35)</f>
        <v>#NAME?</v>
      </c>
      <c r="E36" s="99">
        <f ca="1">SUBTOTAL(9,E29:E35)</f>
        <v>0</v>
      </c>
      <c r="F36" s="97">
        <f ca="1">SUBTOTAL(9,F29:F35)</f>
        <v>0</v>
      </c>
    </row>
    <row r="37" spans="1:8" x14ac:dyDescent="0.4">
      <c r="B37" s="82"/>
      <c r="C37" s="82"/>
      <c r="D37" s="82"/>
      <c r="E37" s="95"/>
      <c r="F37" s="82"/>
    </row>
    <row r="38" spans="1:8" x14ac:dyDescent="0.4">
      <c r="A38" s="81" t="s">
        <v>552</v>
      </c>
      <c r="E38" s="82" t="e">
        <f ca="1">SUM(B29:B35)</f>
        <v>#NAME?</v>
      </c>
      <c r="F38" s="82" t="e">
        <f ca="1">SUM(C29:C35)</f>
        <v>#NAME?</v>
      </c>
    </row>
    <row r="39" spans="1:8" x14ac:dyDescent="0.4">
      <c r="A39" s="105" t="s">
        <v>553</v>
      </c>
      <c r="E39" s="95" t="e">
        <f ca="1">EVAL("SUM(SUMIFS(MT_Amount, MT_BankRef," &amp;$H39&amp; "))")</f>
        <v>#NAME?</v>
      </c>
      <c r="F39" s="82" t="e">
        <f ca="1">-E39</f>
        <v>#NAME?</v>
      </c>
      <c r="H39" t="s">
        <v>543</v>
      </c>
    </row>
    <row r="40" spans="1:8" x14ac:dyDescent="0.4">
      <c r="E40" s="100"/>
      <c r="F40" s="82"/>
    </row>
    <row r="41" spans="1:8" x14ac:dyDescent="0.4">
      <c r="A41" t="s">
        <v>544</v>
      </c>
      <c r="E41" s="99" t="e">
        <f ca="1">E36-E38-E39</f>
        <v>#NAME?</v>
      </c>
      <c r="F41" s="99" t="e">
        <f ca="1">F36-F38-F39</f>
        <v>#NAME?</v>
      </c>
    </row>
    <row r="42" spans="1:8" x14ac:dyDescent="0.4">
      <c r="A42" s="108" t="s">
        <v>555</v>
      </c>
    </row>
    <row r="43" spans="1:8" x14ac:dyDescent="0.4">
      <c r="A43" s="108"/>
      <c r="E43" s="82"/>
    </row>
    <row r="44" spans="1:8" x14ac:dyDescent="0.4">
      <c r="A44" s="105"/>
      <c r="E44" s="82"/>
    </row>
    <row r="45" spans="1:8" x14ac:dyDescent="0.4">
      <c r="A45" s="105" t="s">
        <v>570</v>
      </c>
      <c r="E45" s="82">
        <v>2264.66</v>
      </c>
    </row>
    <row r="46" spans="1:8" x14ac:dyDescent="0.4">
      <c r="A46" s="46"/>
    </row>
    <row r="47" spans="1:8" x14ac:dyDescent="0.4">
      <c r="A47" s="46"/>
    </row>
    <row r="48" spans="1:8" x14ac:dyDescent="0.4">
      <c r="A48" s="108"/>
      <c r="E48" s="97" t="e">
        <f ca="1">E41+SUM(E44:E47)</f>
        <v>#NAME?</v>
      </c>
      <c r="F48" s="46"/>
    </row>
    <row r="50" spans="1:7" x14ac:dyDescent="0.4">
      <c r="A50" s="42" t="s">
        <v>545</v>
      </c>
      <c r="D50" s="46"/>
    </row>
    <row r="51" spans="1:7" x14ac:dyDescent="0.4">
      <c r="A51" s="42"/>
      <c r="D51" s="46"/>
    </row>
    <row r="52" spans="1:7" x14ac:dyDescent="0.4">
      <c r="A52" s="46"/>
      <c r="D52" s="46"/>
      <c r="G52" s="46"/>
    </row>
    <row r="53" spans="1:7" x14ac:dyDescent="0.4">
      <c r="A53" s="46"/>
      <c r="D53" s="108"/>
    </row>
    <row r="54" spans="1:7" x14ac:dyDescent="0.4">
      <c r="D54" s="108"/>
      <c r="F54" s="46"/>
    </row>
    <row r="55" spans="1:7" x14ac:dyDescent="0.4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" x14ac:dyDescent="0.4"/>
  <cols>
    <col min="1" max="1" width="35.5859375" bestFit="1" customWidth="1"/>
    <col min="2" max="2" width="10.1171875" bestFit="1" customWidth="1"/>
    <col min="3" max="3" width="11.29296875" bestFit="1" customWidth="1"/>
    <col min="4" max="4" width="123.41015625" bestFit="1" customWidth="1"/>
    <col min="5" max="5" width="10.1171875" bestFit="1" customWidth="1"/>
    <col min="6" max="6" width="11.29296875" bestFit="1" customWidth="1"/>
    <col min="8" max="8" width="10.1171875" bestFit="1" customWidth="1"/>
    <col min="9" max="9" width="11.29296875" bestFit="1" customWidth="1"/>
  </cols>
  <sheetData>
    <row r="1" spans="1:9" x14ac:dyDescent="0.4">
      <c r="A1" s="104"/>
    </row>
    <row r="2" spans="1:9" x14ac:dyDescent="0.4">
      <c r="A2" s="42"/>
      <c r="B2" s="58"/>
      <c r="C2" s="58"/>
      <c r="D2" s="59"/>
      <c r="E2" s="58"/>
      <c r="F2" s="58"/>
      <c r="G2" s="59"/>
      <c r="H2" s="58"/>
      <c r="I2" s="58"/>
    </row>
    <row r="3" spans="1:9" ht="14.35" x14ac:dyDescent="0.5">
      <c r="A3" s="186" t="s">
        <v>654</v>
      </c>
    </row>
    <row r="4" spans="1:9" x14ac:dyDescent="0.4">
      <c r="A4" t="s">
        <v>655</v>
      </c>
      <c r="B4">
        <v>22</v>
      </c>
    </row>
    <row r="5" spans="1:9" x14ac:dyDescent="0.4">
      <c r="A5" t="s">
        <v>656</v>
      </c>
      <c r="B5">
        <v>32</v>
      </c>
    </row>
    <row r="6" spans="1:9" x14ac:dyDescent="0.4">
      <c r="A6" t="s">
        <v>657</v>
      </c>
      <c r="B6">
        <v>32</v>
      </c>
    </row>
    <row r="7" spans="1:9" x14ac:dyDescent="0.4">
      <c r="A7" t="s">
        <v>658</v>
      </c>
      <c r="B7">
        <v>29</v>
      </c>
    </row>
    <row r="8" spans="1:9" x14ac:dyDescent="0.4">
      <c r="A8" t="s">
        <v>659</v>
      </c>
      <c r="B8">
        <v>21</v>
      </c>
    </row>
    <row r="9" spans="1:9" x14ac:dyDescent="0.4">
      <c r="A9" t="s">
        <v>660</v>
      </c>
      <c r="B9">
        <v>19</v>
      </c>
    </row>
    <row r="11" spans="1:9" ht="14.35" x14ac:dyDescent="0.5">
      <c r="A11" s="186" t="s">
        <v>24</v>
      </c>
      <c r="B11" s="186" t="s">
        <v>512</v>
      </c>
      <c r="C11" s="186" t="s">
        <v>514</v>
      </c>
      <c r="D11" s="186" t="s">
        <v>547</v>
      </c>
      <c r="E11" s="186" t="s">
        <v>661</v>
      </c>
      <c r="F11" s="186" t="s">
        <v>662</v>
      </c>
    </row>
    <row r="12" spans="1:9" x14ac:dyDescent="0.4">
      <c r="A12" t="s">
        <v>53</v>
      </c>
      <c r="B12" s="187">
        <v>44436.022916666669</v>
      </c>
      <c r="C12">
        <v>-12</v>
      </c>
      <c r="D12" t="s">
        <v>631</v>
      </c>
      <c r="E12">
        <v>241022</v>
      </c>
      <c r="F12" t="s">
        <v>663</v>
      </c>
    </row>
    <row r="13" spans="1:9" x14ac:dyDescent="0.4">
      <c r="A13" t="s">
        <v>56</v>
      </c>
      <c r="B13" s="187">
        <v>44436.022916666669</v>
      </c>
      <c r="C13">
        <v>-6</v>
      </c>
      <c r="D13" t="s">
        <v>632</v>
      </c>
      <c r="E13">
        <v>241026</v>
      </c>
      <c r="F13" t="s">
        <v>663</v>
      </c>
    </row>
    <row r="14" spans="1:9" x14ac:dyDescent="0.4">
      <c r="A14" t="s">
        <v>57</v>
      </c>
      <c r="B14" s="187">
        <v>44436.022916666669</v>
      </c>
      <c r="C14">
        <v>-6</v>
      </c>
      <c r="D14" t="s">
        <v>633</v>
      </c>
      <c r="E14">
        <v>241032</v>
      </c>
      <c r="F14" t="s">
        <v>663</v>
      </c>
    </row>
    <row r="15" spans="1:9" x14ac:dyDescent="0.4">
      <c r="A15" t="s">
        <v>59</v>
      </c>
      <c r="B15" s="187">
        <v>44436.022916666669</v>
      </c>
      <c r="C15">
        <v>-6</v>
      </c>
      <c r="D15" t="s">
        <v>634</v>
      </c>
      <c r="E15">
        <v>241036</v>
      </c>
      <c r="F15" t="s">
        <v>663</v>
      </c>
    </row>
    <row r="16" spans="1:9" x14ac:dyDescent="0.4">
      <c r="A16" t="s">
        <v>186</v>
      </c>
      <c r="B16" s="187">
        <v>44436.022916666669</v>
      </c>
      <c r="C16">
        <v>-6</v>
      </c>
      <c r="D16" t="s">
        <v>643</v>
      </c>
      <c r="E16">
        <v>241042</v>
      </c>
      <c r="F16" t="s">
        <v>663</v>
      </c>
    </row>
    <row r="17" spans="1:6" x14ac:dyDescent="0.4">
      <c r="A17" t="s">
        <v>187</v>
      </c>
      <c r="B17" s="187">
        <v>44436.022916666669</v>
      </c>
      <c r="C17">
        <v>-6</v>
      </c>
      <c r="D17" t="s">
        <v>635</v>
      </c>
      <c r="E17">
        <v>241049</v>
      </c>
      <c r="F17" t="s">
        <v>663</v>
      </c>
    </row>
    <row r="18" spans="1:6" x14ac:dyDescent="0.4">
      <c r="A18" t="s">
        <v>61</v>
      </c>
      <c r="B18" s="187">
        <v>44436.022916666669</v>
      </c>
      <c r="C18">
        <v>-6</v>
      </c>
      <c r="D18" t="s">
        <v>636</v>
      </c>
      <c r="E18">
        <v>241056</v>
      </c>
      <c r="F18" t="s">
        <v>663</v>
      </c>
    </row>
    <row r="19" spans="1:6" x14ac:dyDescent="0.4">
      <c r="A19" t="s">
        <v>63</v>
      </c>
      <c r="B19" s="187">
        <v>44436.022916666669</v>
      </c>
      <c r="C19">
        <v>-6</v>
      </c>
      <c r="D19" t="s">
        <v>644</v>
      </c>
      <c r="E19">
        <v>241060</v>
      </c>
      <c r="F19" t="s">
        <v>663</v>
      </c>
    </row>
    <row r="20" spans="1:6" x14ac:dyDescent="0.4">
      <c r="A20" t="s">
        <v>64</v>
      </c>
      <c r="B20" s="187">
        <v>44436.022916666669</v>
      </c>
      <c r="C20">
        <v>-6</v>
      </c>
      <c r="D20" t="s">
        <v>645</v>
      </c>
      <c r="E20">
        <v>241064</v>
      </c>
      <c r="F20" t="s">
        <v>663</v>
      </c>
    </row>
    <row r="21" spans="1:6" x14ac:dyDescent="0.4">
      <c r="A21" t="s">
        <v>66</v>
      </c>
      <c r="B21" s="187">
        <v>44436.022916666669</v>
      </c>
      <c r="C21">
        <v>-6</v>
      </c>
      <c r="D21" t="s">
        <v>637</v>
      </c>
      <c r="E21">
        <v>241071</v>
      </c>
      <c r="F21" t="s">
        <v>663</v>
      </c>
    </row>
    <row r="22" spans="1:6" x14ac:dyDescent="0.4">
      <c r="A22" t="s">
        <v>105</v>
      </c>
      <c r="B22" s="187">
        <v>44436.022916666669</v>
      </c>
      <c r="C22">
        <v>-6</v>
      </c>
      <c r="D22" t="s">
        <v>646</v>
      </c>
      <c r="E22">
        <v>241072</v>
      </c>
      <c r="F22" t="s">
        <v>663</v>
      </c>
    </row>
    <row r="23" spans="1:6" x14ac:dyDescent="0.4">
      <c r="A23" t="s">
        <v>68</v>
      </c>
      <c r="B23" s="187">
        <v>44436.022916666669</v>
      </c>
      <c r="C23">
        <v>-6</v>
      </c>
      <c r="D23" t="s">
        <v>647</v>
      </c>
      <c r="E23">
        <v>241079</v>
      </c>
      <c r="F23" t="s">
        <v>663</v>
      </c>
    </row>
    <row r="24" spans="1:6" x14ac:dyDescent="0.4">
      <c r="A24" t="s">
        <v>86</v>
      </c>
      <c r="B24" s="187">
        <v>44436.022916666669</v>
      </c>
      <c r="C24">
        <v>-6</v>
      </c>
      <c r="D24" t="s">
        <v>651</v>
      </c>
      <c r="E24">
        <v>241084</v>
      </c>
      <c r="F24" t="s">
        <v>663</v>
      </c>
    </row>
    <row r="25" spans="1:6" x14ac:dyDescent="0.4">
      <c r="A25" t="s">
        <v>111</v>
      </c>
      <c r="B25" s="187">
        <v>44436.022916666669</v>
      </c>
      <c r="C25">
        <v>-6</v>
      </c>
      <c r="D25" t="s">
        <v>652</v>
      </c>
      <c r="E25">
        <v>241091</v>
      </c>
      <c r="F25" t="s">
        <v>663</v>
      </c>
    </row>
    <row r="26" spans="1:6" x14ac:dyDescent="0.4">
      <c r="A26" t="s">
        <v>70</v>
      </c>
      <c r="B26" s="187">
        <v>44436.022916666669</v>
      </c>
      <c r="C26">
        <v>-6</v>
      </c>
      <c r="D26" t="s">
        <v>638</v>
      </c>
      <c r="E26">
        <v>241098</v>
      </c>
      <c r="F26" t="s">
        <v>663</v>
      </c>
    </row>
    <row r="27" spans="1:6" x14ac:dyDescent="0.4">
      <c r="A27" t="s">
        <v>71</v>
      </c>
      <c r="B27" s="187">
        <v>44436.022916666669</v>
      </c>
      <c r="C27">
        <v>-6</v>
      </c>
      <c r="D27" t="s">
        <v>639</v>
      </c>
      <c r="E27">
        <v>241102</v>
      </c>
      <c r="F27" t="s">
        <v>663</v>
      </c>
    </row>
    <row r="28" spans="1:6" x14ac:dyDescent="0.4">
      <c r="A28" t="s">
        <v>72</v>
      </c>
      <c r="B28" s="187">
        <v>44436.022916666669</v>
      </c>
      <c r="C28">
        <v>-6</v>
      </c>
      <c r="D28" t="s">
        <v>648</v>
      </c>
      <c r="E28">
        <v>241108</v>
      </c>
      <c r="F28" t="s">
        <v>663</v>
      </c>
    </row>
    <row r="29" spans="1:6" x14ac:dyDescent="0.4">
      <c r="A29" t="s">
        <v>115</v>
      </c>
      <c r="B29" s="187">
        <v>44436.022916666669</v>
      </c>
      <c r="C29">
        <v>-6</v>
      </c>
      <c r="D29" t="s">
        <v>640</v>
      </c>
      <c r="E29">
        <v>241115</v>
      </c>
      <c r="F29" t="s">
        <v>663</v>
      </c>
    </row>
    <row r="30" spans="1:6" x14ac:dyDescent="0.4">
      <c r="A30" t="s">
        <v>74</v>
      </c>
      <c r="B30" s="187">
        <v>44436.022916666669</v>
      </c>
      <c r="C30">
        <v>-6</v>
      </c>
      <c r="D30" t="s">
        <v>641</v>
      </c>
      <c r="E30">
        <v>241119</v>
      </c>
      <c r="F30" t="s">
        <v>663</v>
      </c>
    </row>
    <row r="31" spans="1:6" x14ac:dyDescent="0.4">
      <c r="A31" t="s">
        <v>118</v>
      </c>
      <c r="B31" s="187">
        <v>44436.022916666669</v>
      </c>
      <c r="C31">
        <v>-6</v>
      </c>
      <c r="D31" t="s">
        <v>649</v>
      </c>
      <c r="E31">
        <v>241126</v>
      </c>
      <c r="F31" t="s">
        <v>663</v>
      </c>
    </row>
    <row r="32" spans="1:6" x14ac:dyDescent="0.4">
      <c r="A32" t="s">
        <v>119</v>
      </c>
      <c r="B32" s="187">
        <v>44436.022916666669</v>
      </c>
      <c r="C32">
        <v>-6</v>
      </c>
      <c r="D32" t="s">
        <v>642</v>
      </c>
      <c r="E32">
        <v>241130</v>
      </c>
      <c r="F32" t="s">
        <v>663</v>
      </c>
    </row>
    <row r="33" spans="1:6" x14ac:dyDescent="0.4">
      <c r="A33" t="s">
        <v>53</v>
      </c>
      <c r="B33" s="187">
        <v>44467.023611111108</v>
      </c>
      <c r="C33">
        <v>-12</v>
      </c>
      <c r="D33" t="s">
        <v>631</v>
      </c>
      <c r="E33">
        <v>241468</v>
      </c>
      <c r="F33" t="s">
        <v>664</v>
      </c>
    </row>
    <row r="34" spans="1:6" x14ac:dyDescent="0.4">
      <c r="A34" t="s">
        <v>57</v>
      </c>
      <c r="B34" s="187">
        <v>44467.023611111108</v>
      </c>
      <c r="C34">
        <v>-6</v>
      </c>
      <c r="D34" t="s">
        <v>633</v>
      </c>
      <c r="E34">
        <v>241478</v>
      </c>
      <c r="F34" t="s">
        <v>664</v>
      </c>
    </row>
    <row r="35" spans="1:6" x14ac:dyDescent="0.4">
      <c r="A35" t="s">
        <v>59</v>
      </c>
      <c r="B35" s="187">
        <v>44467.023611111108</v>
      </c>
      <c r="C35">
        <v>-6</v>
      </c>
      <c r="D35" t="s">
        <v>634</v>
      </c>
      <c r="E35">
        <v>241482</v>
      </c>
      <c r="F35" t="s">
        <v>664</v>
      </c>
    </row>
    <row r="36" spans="1:6" x14ac:dyDescent="0.4">
      <c r="A36" t="s">
        <v>186</v>
      </c>
      <c r="B36" s="187">
        <v>44467.023611111108</v>
      </c>
      <c r="C36">
        <v>-6</v>
      </c>
      <c r="D36" t="s">
        <v>643</v>
      </c>
      <c r="E36">
        <v>241488</v>
      </c>
      <c r="F36" t="s">
        <v>664</v>
      </c>
    </row>
    <row r="37" spans="1:6" x14ac:dyDescent="0.4">
      <c r="A37" t="s">
        <v>187</v>
      </c>
      <c r="B37" s="187">
        <v>44467.023611111108</v>
      </c>
      <c r="C37">
        <v>-6</v>
      </c>
      <c r="D37" t="s">
        <v>635</v>
      </c>
      <c r="E37">
        <v>241495</v>
      </c>
      <c r="F37" t="s">
        <v>664</v>
      </c>
    </row>
    <row r="38" spans="1:6" x14ac:dyDescent="0.4">
      <c r="A38" t="s">
        <v>61</v>
      </c>
      <c r="B38" s="187">
        <v>44467.023611111108</v>
      </c>
      <c r="C38">
        <v>-6</v>
      </c>
      <c r="D38" t="s">
        <v>636</v>
      </c>
      <c r="E38">
        <v>241502</v>
      </c>
      <c r="F38" t="s">
        <v>664</v>
      </c>
    </row>
    <row r="39" spans="1:6" x14ac:dyDescent="0.4">
      <c r="A39" t="s">
        <v>63</v>
      </c>
      <c r="B39" s="187">
        <v>44467.023611111108</v>
      </c>
      <c r="C39">
        <v>-6</v>
      </c>
      <c r="D39" t="s">
        <v>644</v>
      </c>
      <c r="E39">
        <v>241506</v>
      </c>
      <c r="F39" t="s">
        <v>664</v>
      </c>
    </row>
    <row r="40" spans="1:6" x14ac:dyDescent="0.4">
      <c r="A40" t="s">
        <v>64</v>
      </c>
      <c r="B40" s="187">
        <v>44467.023611111108</v>
      </c>
      <c r="C40">
        <v>-6</v>
      </c>
      <c r="D40" t="s">
        <v>645</v>
      </c>
      <c r="E40">
        <v>241510</v>
      </c>
      <c r="F40" t="s">
        <v>664</v>
      </c>
    </row>
    <row r="41" spans="1:6" x14ac:dyDescent="0.4">
      <c r="A41" t="s">
        <v>66</v>
      </c>
      <c r="B41" s="187">
        <v>44467.023611111108</v>
      </c>
      <c r="C41">
        <v>-6</v>
      </c>
      <c r="D41" t="s">
        <v>637</v>
      </c>
      <c r="E41">
        <v>241517</v>
      </c>
      <c r="F41" t="s">
        <v>664</v>
      </c>
    </row>
    <row r="42" spans="1:6" x14ac:dyDescent="0.4">
      <c r="A42" t="s">
        <v>68</v>
      </c>
      <c r="B42" s="187">
        <v>44467.023611111108</v>
      </c>
      <c r="C42">
        <v>-6</v>
      </c>
      <c r="D42" t="s">
        <v>647</v>
      </c>
      <c r="E42">
        <v>241531</v>
      </c>
      <c r="F42" t="s">
        <v>664</v>
      </c>
    </row>
    <row r="43" spans="1:6" x14ac:dyDescent="0.4">
      <c r="A43" t="s">
        <v>86</v>
      </c>
      <c r="B43" s="187">
        <v>44467.023611111108</v>
      </c>
      <c r="C43">
        <v>-6</v>
      </c>
      <c r="D43" t="s">
        <v>651</v>
      </c>
      <c r="E43">
        <v>241535</v>
      </c>
      <c r="F43" t="s">
        <v>664</v>
      </c>
    </row>
    <row r="44" spans="1:6" x14ac:dyDescent="0.4">
      <c r="A44" t="s">
        <v>111</v>
      </c>
      <c r="B44" s="187">
        <v>44467.023611111108</v>
      </c>
      <c r="C44">
        <v>-6</v>
      </c>
      <c r="D44" t="s">
        <v>652</v>
      </c>
      <c r="E44">
        <v>241542</v>
      </c>
      <c r="F44" t="s">
        <v>664</v>
      </c>
    </row>
    <row r="45" spans="1:6" x14ac:dyDescent="0.4">
      <c r="A45" t="s">
        <v>70</v>
      </c>
      <c r="B45" s="187">
        <v>44467.023611111108</v>
      </c>
      <c r="C45">
        <v>-6</v>
      </c>
      <c r="D45" t="s">
        <v>638</v>
      </c>
      <c r="E45">
        <v>241546</v>
      </c>
      <c r="F45" t="s">
        <v>664</v>
      </c>
    </row>
    <row r="46" spans="1:6" x14ac:dyDescent="0.4">
      <c r="A46" t="s">
        <v>71</v>
      </c>
      <c r="B46" s="187">
        <v>44467.023611111108</v>
      </c>
      <c r="C46">
        <v>-6</v>
      </c>
      <c r="D46" t="s">
        <v>639</v>
      </c>
      <c r="E46">
        <v>241550</v>
      </c>
      <c r="F46" t="s">
        <v>664</v>
      </c>
    </row>
    <row r="47" spans="1:6" x14ac:dyDescent="0.4">
      <c r="A47" t="s">
        <v>72</v>
      </c>
      <c r="B47" s="187">
        <v>44467.023611111108</v>
      </c>
      <c r="C47">
        <v>-6</v>
      </c>
      <c r="D47" t="s">
        <v>648</v>
      </c>
      <c r="E47">
        <v>241556</v>
      </c>
      <c r="F47" t="s">
        <v>664</v>
      </c>
    </row>
    <row r="48" spans="1:6" x14ac:dyDescent="0.4">
      <c r="A48" t="s">
        <v>115</v>
      </c>
      <c r="B48" s="187">
        <v>44467.023611111108</v>
      </c>
      <c r="C48">
        <v>-6</v>
      </c>
      <c r="D48" t="s">
        <v>640</v>
      </c>
      <c r="E48">
        <v>241563</v>
      </c>
      <c r="F48" t="s">
        <v>664</v>
      </c>
    </row>
    <row r="49" spans="1:6" x14ac:dyDescent="0.4">
      <c r="A49" t="s">
        <v>74</v>
      </c>
      <c r="B49" s="187">
        <v>44467.023611111108</v>
      </c>
      <c r="C49">
        <v>-6</v>
      </c>
      <c r="D49" t="s">
        <v>641</v>
      </c>
      <c r="E49">
        <v>241567</v>
      </c>
      <c r="F49" t="s">
        <v>664</v>
      </c>
    </row>
    <row r="50" spans="1:6" x14ac:dyDescent="0.4">
      <c r="A50" t="s">
        <v>118</v>
      </c>
      <c r="B50" s="187">
        <v>44467.023611111108</v>
      </c>
      <c r="C50">
        <v>-6</v>
      </c>
      <c r="D50" t="s">
        <v>649</v>
      </c>
      <c r="E50">
        <v>241574</v>
      </c>
      <c r="F50" t="s">
        <v>664</v>
      </c>
    </row>
    <row r="51" spans="1:6" x14ac:dyDescent="0.4">
      <c r="A51" t="s">
        <v>75</v>
      </c>
      <c r="B51" s="187">
        <v>44467.023611111108</v>
      </c>
      <c r="C51">
        <v>-6</v>
      </c>
      <c r="D51" t="s">
        <v>650</v>
      </c>
      <c r="E51">
        <v>241579</v>
      </c>
      <c r="F51" t="s">
        <v>664</v>
      </c>
    </row>
    <row r="52" spans="1:6" x14ac:dyDescent="0.4">
      <c r="A52" t="s">
        <v>75</v>
      </c>
      <c r="B52" s="166">
        <v>44344.022916666669</v>
      </c>
      <c r="C52">
        <v>-6</v>
      </c>
      <c r="D52" t="s">
        <v>650</v>
      </c>
      <c r="E52">
        <v>233498</v>
      </c>
      <c r="F52" t="s">
        <v>664</v>
      </c>
    </row>
    <row r="53" spans="1:6" ht="14.35" x14ac:dyDescent="0.5">
      <c r="A53" s="186" t="s">
        <v>665</v>
      </c>
    </row>
    <row r="54" spans="1:6" x14ac:dyDescent="0.4">
      <c r="A54" t="s">
        <v>666</v>
      </c>
      <c r="B54" t="s">
        <v>520</v>
      </c>
    </row>
    <row r="55" spans="1:6" x14ac:dyDescent="0.4">
      <c r="A55" t="s">
        <v>667</v>
      </c>
      <c r="B55">
        <v>135</v>
      </c>
    </row>
    <row r="56" spans="1:6" x14ac:dyDescent="0.4">
      <c r="A56" t="s">
        <v>668</v>
      </c>
      <c r="B56">
        <v>135</v>
      </c>
    </row>
    <row r="57" spans="1:6" x14ac:dyDescent="0.4">
      <c r="A57" t="s">
        <v>669</v>
      </c>
      <c r="B57">
        <v>0</v>
      </c>
    </row>
    <row r="58" spans="1:6" x14ac:dyDescent="0.4">
      <c r="A58" t="s">
        <v>670</v>
      </c>
      <c r="B58">
        <v>135</v>
      </c>
      <c r="C58">
        <v>133</v>
      </c>
    </row>
    <row r="59" spans="1:6" x14ac:dyDescent="0.4">
      <c r="A59" t="s">
        <v>671</v>
      </c>
      <c r="B59">
        <v>17</v>
      </c>
      <c r="C59">
        <v>17</v>
      </c>
    </row>
    <row r="60" spans="1:6" x14ac:dyDescent="0.4">
      <c r="A60" t="s">
        <v>672</v>
      </c>
      <c r="B60">
        <v>29</v>
      </c>
      <c r="C60">
        <v>29</v>
      </c>
    </row>
    <row r="61" spans="1:6" x14ac:dyDescent="0.4">
      <c r="A61" t="s">
        <v>670</v>
      </c>
      <c r="B61">
        <v>136</v>
      </c>
      <c r="C61">
        <v>135</v>
      </c>
    </row>
    <row r="62" spans="1:6" x14ac:dyDescent="0.4">
      <c r="A62" t="s">
        <v>666</v>
      </c>
      <c r="B62" t="s">
        <v>521</v>
      </c>
    </row>
    <row r="63" spans="1:6" x14ac:dyDescent="0.4">
      <c r="A63" t="s">
        <v>667</v>
      </c>
      <c r="B63">
        <v>64</v>
      </c>
    </row>
    <row r="64" spans="1:6" x14ac:dyDescent="0.4">
      <c r="A64" t="s">
        <v>668</v>
      </c>
      <c r="B64">
        <v>64</v>
      </c>
    </row>
    <row r="65" spans="1:3" x14ac:dyDescent="0.4">
      <c r="A65" t="s">
        <v>669</v>
      </c>
      <c r="B65">
        <v>0</v>
      </c>
    </row>
    <row r="66" spans="1:3" x14ac:dyDescent="0.4">
      <c r="A66" t="s">
        <v>670</v>
      </c>
      <c r="B66">
        <v>64</v>
      </c>
      <c r="C66">
        <v>64</v>
      </c>
    </row>
    <row r="67" spans="1:3" x14ac:dyDescent="0.4">
      <c r="A67" t="s">
        <v>671</v>
      </c>
      <c r="B67">
        <v>9</v>
      </c>
      <c r="C67">
        <v>9</v>
      </c>
    </row>
    <row r="68" spans="1:3" x14ac:dyDescent="0.4">
      <c r="A68" t="s">
        <v>672</v>
      </c>
      <c r="B68">
        <v>15</v>
      </c>
      <c r="C68">
        <v>15</v>
      </c>
    </row>
    <row r="69" spans="1:3" x14ac:dyDescent="0.4">
      <c r="A69" t="s">
        <v>670</v>
      </c>
      <c r="B69">
        <v>57</v>
      </c>
      <c r="C69">
        <v>57</v>
      </c>
    </row>
    <row r="70" spans="1:3" x14ac:dyDescent="0.4">
      <c r="A70" t="s">
        <v>671</v>
      </c>
      <c r="B70">
        <v>3</v>
      </c>
      <c r="C70">
        <v>3</v>
      </c>
    </row>
    <row r="71" spans="1:3" x14ac:dyDescent="0.4">
      <c r="A71" t="s">
        <v>672</v>
      </c>
      <c r="B71">
        <v>16</v>
      </c>
      <c r="C71">
        <v>16</v>
      </c>
    </row>
    <row r="78" spans="1:3" x14ac:dyDescent="0.4">
      <c r="B78" s="136"/>
    </row>
    <row r="79" spans="1:3" x14ac:dyDescent="0.4">
      <c r="B79" s="136"/>
    </row>
    <row r="80" spans="1:3" x14ac:dyDescent="0.4">
      <c r="B80" s="136"/>
    </row>
    <row r="81" spans="2:2" x14ac:dyDescent="0.4">
      <c r="B81" s="136"/>
    </row>
    <row r="82" spans="2:2" x14ac:dyDescent="0.4">
      <c r="B82" s="136"/>
    </row>
    <row r="83" spans="2:2" x14ac:dyDescent="0.4">
      <c r="B83" s="136"/>
    </row>
    <row r="84" spans="2:2" x14ac:dyDescent="0.4">
      <c r="B84" s="136"/>
    </row>
    <row r="85" spans="2:2" x14ac:dyDescent="0.4">
      <c r="B85" s="136"/>
    </row>
    <row r="86" spans="2:2" x14ac:dyDescent="0.4">
      <c r="B86" s="136"/>
    </row>
    <row r="87" spans="2:2" x14ac:dyDescent="0.4">
      <c r="B87" s="136"/>
    </row>
    <row r="88" spans="2:2" x14ac:dyDescent="0.4">
      <c r="B88" s="136"/>
    </row>
    <row r="89" spans="2:2" x14ac:dyDescent="0.4">
      <c r="B89" s="136"/>
    </row>
    <row r="90" spans="2:2" x14ac:dyDescent="0.4">
      <c r="B90" s="136"/>
    </row>
    <row r="91" spans="2:2" x14ac:dyDescent="0.4">
      <c r="B91" s="136"/>
    </row>
    <row r="92" spans="2:2" x14ac:dyDescent="0.4">
      <c r="B92" s="136"/>
    </row>
    <row r="93" spans="2:2" x14ac:dyDescent="0.4">
      <c r="B93" s="136"/>
    </row>
    <row r="94" spans="2:2" x14ac:dyDescent="0.4">
      <c r="B94" s="136"/>
    </row>
    <row r="95" spans="2:2" x14ac:dyDescent="0.4">
      <c r="B95" s="136"/>
    </row>
    <row r="96" spans="2:2" x14ac:dyDescent="0.4">
      <c r="B96" s="136"/>
    </row>
    <row r="97" spans="1:2" x14ac:dyDescent="0.4">
      <c r="B97" s="136"/>
    </row>
    <row r="98" spans="1:2" x14ac:dyDescent="0.4">
      <c r="B98" s="136"/>
    </row>
    <row r="99" spans="1:2" x14ac:dyDescent="0.4">
      <c r="B99" s="136"/>
    </row>
    <row r="101" spans="1:2" ht="14.35" x14ac:dyDescent="0.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zoomScale="70" zoomScaleNormal="70" workbookViewId="0">
      <selection activeCell="H109" sqref="H109"/>
    </sheetView>
  </sheetViews>
  <sheetFormatPr defaultColWidth="9.1171875" defaultRowHeight="12.7" x14ac:dyDescent="0.4"/>
  <cols>
    <col min="1" max="1" width="10.29296875" style="129" bestFit="1" customWidth="1"/>
    <col min="2" max="2" width="10.703125" style="129" bestFit="1" customWidth="1"/>
    <col min="3" max="3" width="17.29296875" style="129" bestFit="1" customWidth="1"/>
    <col min="4" max="4" width="12.87890625" style="129" bestFit="1" customWidth="1"/>
    <col min="5" max="5" width="14.29296875" style="129" bestFit="1" customWidth="1"/>
    <col min="6" max="6" width="50.1171875" style="129" bestFit="1" customWidth="1"/>
    <col min="7" max="7" width="10.703125" style="129" bestFit="1" customWidth="1"/>
    <col min="8" max="8" width="25.5859375" style="129" customWidth="1"/>
    <col min="9" max="9" width="8.703125" style="129" bestFit="1" customWidth="1"/>
    <col min="10" max="16384" width="9.1171875" style="129"/>
  </cols>
  <sheetData>
    <row r="1" spans="1:9" x14ac:dyDescent="0.4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4">
      <c r="B2" s="130">
        <v>44440</v>
      </c>
      <c r="C2" s="129" t="s">
        <v>731</v>
      </c>
      <c r="D2" s="129">
        <v>850</v>
      </c>
      <c r="E2" s="129" t="s">
        <v>732</v>
      </c>
      <c r="F2" s="129" t="s">
        <v>749</v>
      </c>
      <c r="G2" s="51" t="s">
        <v>499</v>
      </c>
      <c r="H2" s="46" t="s">
        <v>1077</v>
      </c>
      <c r="I2" t="s">
        <v>1104</v>
      </c>
    </row>
    <row r="3" spans="1:9" x14ac:dyDescent="0.4">
      <c r="B3" s="130">
        <v>44440</v>
      </c>
      <c r="C3" s="129" t="s">
        <v>731</v>
      </c>
      <c r="D3" s="129">
        <v>497.8</v>
      </c>
      <c r="E3" s="129" t="s">
        <v>763</v>
      </c>
      <c r="F3" s="129" t="s">
        <v>878</v>
      </c>
      <c r="G3" s="174"/>
      <c r="H3" s="131"/>
      <c r="I3" t="s">
        <v>1105</v>
      </c>
    </row>
    <row r="4" spans="1:9" x14ac:dyDescent="0.4">
      <c r="B4" s="130">
        <v>44440</v>
      </c>
      <c r="C4" s="129" t="s">
        <v>731</v>
      </c>
      <c r="D4" s="129">
        <v>-200</v>
      </c>
      <c r="E4" s="129" t="s">
        <v>733</v>
      </c>
      <c r="F4" s="129" t="s">
        <v>879</v>
      </c>
      <c r="G4" s="100"/>
      <c r="H4" s="131"/>
      <c r="I4" t="s">
        <v>1105</v>
      </c>
    </row>
    <row r="5" spans="1:9" x14ac:dyDescent="0.4">
      <c r="B5" s="130">
        <v>44440</v>
      </c>
      <c r="C5" s="129" t="s">
        <v>731</v>
      </c>
      <c r="D5" s="129">
        <v>-157</v>
      </c>
      <c r="E5" s="129" t="s">
        <v>733</v>
      </c>
      <c r="F5" s="129" t="s">
        <v>880</v>
      </c>
      <c r="G5" s="153"/>
      <c r="H5" s="131"/>
      <c r="I5" t="s">
        <v>1105</v>
      </c>
    </row>
    <row r="6" spans="1:9" x14ac:dyDescent="0.4">
      <c r="B6" s="130">
        <v>44440</v>
      </c>
      <c r="C6" s="129" t="s">
        <v>731</v>
      </c>
      <c r="D6" s="129">
        <v>-157</v>
      </c>
      <c r="E6" s="129" t="s">
        <v>733</v>
      </c>
      <c r="F6" s="129" t="s">
        <v>880</v>
      </c>
      <c r="G6" s="176"/>
      <c r="H6" s="131"/>
      <c r="I6" t="s">
        <v>1105</v>
      </c>
    </row>
    <row r="7" spans="1:9" x14ac:dyDescent="0.4">
      <c r="B7" s="130">
        <v>44440</v>
      </c>
      <c r="C7" s="129" t="s">
        <v>731</v>
      </c>
      <c r="D7" s="129">
        <v>-1200</v>
      </c>
      <c r="E7" s="129" t="s">
        <v>734</v>
      </c>
      <c r="F7" s="129" t="s">
        <v>736</v>
      </c>
      <c r="G7" s="179"/>
      <c r="H7" s="131"/>
      <c r="I7" t="s">
        <v>1105</v>
      </c>
    </row>
    <row r="8" spans="1:9" x14ac:dyDescent="0.4">
      <c r="B8" s="130">
        <v>44440</v>
      </c>
      <c r="C8" s="129" t="s">
        <v>731</v>
      </c>
      <c r="D8" s="129">
        <v>-500</v>
      </c>
      <c r="E8" s="129" t="s">
        <v>734</v>
      </c>
      <c r="F8" s="129" t="s">
        <v>737</v>
      </c>
      <c r="G8" s="185"/>
      <c r="I8" t="s">
        <v>1105</v>
      </c>
    </row>
    <row r="9" spans="1:9" x14ac:dyDescent="0.4">
      <c r="B9" s="130">
        <v>44440</v>
      </c>
      <c r="C9" s="129" t="s">
        <v>731</v>
      </c>
      <c r="D9" s="129">
        <v>-232.5</v>
      </c>
      <c r="E9" s="129" t="s">
        <v>734</v>
      </c>
      <c r="F9" s="129" t="s">
        <v>742</v>
      </c>
      <c r="G9" s="185"/>
      <c r="I9" t="s">
        <v>1105</v>
      </c>
    </row>
    <row r="10" spans="1:9" x14ac:dyDescent="0.4">
      <c r="B10" s="130">
        <v>44440</v>
      </c>
      <c r="C10" s="129" t="s">
        <v>731</v>
      </c>
      <c r="D10" s="129">
        <v>-160</v>
      </c>
      <c r="E10" s="129" t="s">
        <v>734</v>
      </c>
      <c r="F10" s="129" t="s">
        <v>740</v>
      </c>
      <c r="G10" s="185"/>
      <c r="I10" t="s">
        <v>1105</v>
      </c>
    </row>
    <row r="11" spans="1:9" x14ac:dyDescent="0.4">
      <c r="B11" s="130">
        <v>44440</v>
      </c>
      <c r="C11" s="129" t="s">
        <v>731</v>
      </c>
      <c r="D11" s="129">
        <v>-157.5</v>
      </c>
      <c r="E11" s="129" t="s">
        <v>734</v>
      </c>
      <c r="F11" s="129" t="s">
        <v>741</v>
      </c>
      <c r="G11" s="185"/>
      <c r="I11" t="s">
        <v>1105</v>
      </c>
    </row>
    <row r="12" spans="1:9" x14ac:dyDescent="0.4">
      <c r="B12" s="130">
        <v>44440</v>
      </c>
      <c r="C12" s="129" t="s">
        <v>731</v>
      </c>
      <c r="D12" s="129">
        <v>-50</v>
      </c>
      <c r="E12" s="129" t="s">
        <v>734</v>
      </c>
      <c r="F12" s="129" t="s">
        <v>738</v>
      </c>
      <c r="G12" s="179"/>
      <c r="H12" s="131"/>
      <c r="I12" t="s">
        <v>1105</v>
      </c>
    </row>
    <row r="13" spans="1:9" x14ac:dyDescent="0.4">
      <c r="B13" s="130">
        <v>44440</v>
      </c>
      <c r="C13" s="129" t="s">
        <v>731</v>
      </c>
      <c r="D13" s="129">
        <v>-50</v>
      </c>
      <c r="E13" s="129" t="s">
        <v>734</v>
      </c>
      <c r="F13" s="129" t="s">
        <v>739</v>
      </c>
      <c r="G13" s="179"/>
      <c r="H13" s="131"/>
      <c r="I13" t="s">
        <v>1105</v>
      </c>
    </row>
    <row r="14" spans="1:9" x14ac:dyDescent="0.4">
      <c r="B14" s="130">
        <v>44440</v>
      </c>
      <c r="C14" s="129" t="s">
        <v>731</v>
      </c>
      <c r="D14" s="129">
        <v>-168.95</v>
      </c>
      <c r="E14" s="129" t="s">
        <v>743</v>
      </c>
      <c r="F14" s="129" t="s">
        <v>747</v>
      </c>
      <c r="G14" s="172"/>
      <c r="H14" s="131"/>
      <c r="I14" t="s">
        <v>1106</v>
      </c>
    </row>
    <row r="15" spans="1:9" x14ac:dyDescent="0.4">
      <c r="B15" s="130">
        <v>44440</v>
      </c>
      <c r="C15" s="129" t="s">
        <v>731</v>
      </c>
      <c r="D15" s="129">
        <v>-183.34</v>
      </c>
      <c r="E15" s="129" t="s">
        <v>743</v>
      </c>
      <c r="F15" s="129" t="s">
        <v>748</v>
      </c>
      <c r="G15" s="172"/>
      <c r="H15" s="131"/>
      <c r="I15" t="s">
        <v>1106</v>
      </c>
    </row>
    <row r="16" spans="1:9" x14ac:dyDescent="0.4">
      <c r="B16" s="130">
        <v>44440</v>
      </c>
      <c r="C16" s="129" t="s">
        <v>731</v>
      </c>
      <c r="D16" s="129">
        <v>-28.45</v>
      </c>
      <c r="E16" s="129" t="s">
        <v>743</v>
      </c>
      <c r="F16" s="129" t="s">
        <v>746</v>
      </c>
      <c r="G16" s="172"/>
      <c r="H16" s="131"/>
      <c r="I16" t="s">
        <v>1105</v>
      </c>
    </row>
    <row r="17" spans="2:9" x14ac:dyDescent="0.4">
      <c r="B17" s="130">
        <v>44440</v>
      </c>
      <c r="C17" s="129" t="s">
        <v>731</v>
      </c>
      <c r="D17" s="129">
        <v>-85.92</v>
      </c>
      <c r="E17" s="129" t="s">
        <v>743</v>
      </c>
      <c r="F17" s="129" t="s">
        <v>744</v>
      </c>
      <c r="G17" s="172"/>
      <c r="H17" s="131"/>
      <c r="I17" t="s">
        <v>1106</v>
      </c>
    </row>
    <row r="18" spans="2:9" x14ac:dyDescent="0.4">
      <c r="B18" s="130">
        <v>44440</v>
      </c>
      <c r="C18" s="129" t="s">
        <v>731</v>
      </c>
      <c r="D18" s="129">
        <v>-86.43</v>
      </c>
      <c r="E18" s="129" t="s">
        <v>743</v>
      </c>
      <c r="F18" s="129" t="s">
        <v>745</v>
      </c>
      <c r="G18" s="171"/>
      <c r="I18" t="s">
        <v>1106</v>
      </c>
    </row>
    <row r="19" spans="2:9" x14ac:dyDescent="0.4">
      <c r="B19" s="130">
        <v>44441</v>
      </c>
      <c r="C19" s="129" t="s">
        <v>731</v>
      </c>
      <c r="D19" s="129">
        <v>-420.15</v>
      </c>
      <c r="E19" s="129" t="s">
        <v>733</v>
      </c>
      <c r="F19" s="129" t="s">
        <v>881</v>
      </c>
      <c r="G19" s="185"/>
      <c r="I19" t="s">
        <v>1105</v>
      </c>
    </row>
    <row r="20" spans="2:9" x14ac:dyDescent="0.4">
      <c r="B20" s="130">
        <v>44441</v>
      </c>
      <c r="C20" s="129" t="s">
        <v>731</v>
      </c>
      <c r="D20" s="129">
        <v>-250</v>
      </c>
      <c r="E20" s="129" t="s">
        <v>734</v>
      </c>
      <c r="F20" s="129" t="s">
        <v>735</v>
      </c>
      <c r="G20" s="185"/>
      <c r="H20" s="131"/>
      <c r="I20" t="s">
        <v>1105</v>
      </c>
    </row>
    <row r="21" spans="2:9" x14ac:dyDescent="0.4">
      <c r="B21" s="130">
        <v>44442</v>
      </c>
      <c r="C21" s="129" t="s">
        <v>731</v>
      </c>
      <c r="D21" s="129">
        <v>-87.49</v>
      </c>
      <c r="E21" s="129" t="s">
        <v>733</v>
      </c>
      <c r="F21" s="129" t="s">
        <v>882</v>
      </c>
      <c r="G21" s="185"/>
      <c r="I21" t="s">
        <v>1105</v>
      </c>
    </row>
    <row r="22" spans="2:9" x14ac:dyDescent="0.4">
      <c r="B22" s="130">
        <v>44442</v>
      </c>
      <c r="C22" s="129" t="s">
        <v>731</v>
      </c>
      <c r="D22" s="129">
        <v>-155.5</v>
      </c>
      <c r="E22" s="129" t="s">
        <v>743</v>
      </c>
      <c r="F22" s="129" t="s">
        <v>751</v>
      </c>
      <c r="G22" s="172"/>
      <c r="H22" s="131"/>
      <c r="I22" t="s">
        <v>1106</v>
      </c>
    </row>
    <row r="23" spans="2:9" x14ac:dyDescent="0.4">
      <c r="B23" s="130">
        <v>44442</v>
      </c>
      <c r="C23" s="129" t="s">
        <v>731</v>
      </c>
      <c r="D23" s="129">
        <v>-175.77</v>
      </c>
      <c r="E23" s="129" t="s">
        <v>743</v>
      </c>
      <c r="F23" s="129" t="s">
        <v>752</v>
      </c>
      <c r="G23" s="171"/>
      <c r="H23" s="131"/>
      <c r="I23" t="s">
        <v>1106</v>
      </c>
    </row>
    <row r="24" spans="2:9" x14ac:dyDescent="0.4">
      <c r="B24" s="130">
        <v>44442</v>
      </c>
      <c r="C24" s="129" t="s">
        <v>731</v>
      </c>
      <c r="D24" s="129">
        <v>-194.02</v>
      </c>
      <c r="E24" s="129" t="s">
        <v>743</v>
      </c>
      <c r="F24" s="129" t="s">
        <v>753</v>
      </c>
      <c r="G24" s="171"/>
      <c r="H24" s="131"/>
      <c r="I24" t="s">
        <v>1106</v>
      </c>
    </row>
    <row r="25" spans="2:9" x14ac:dyDescent="0.4">
      <c r="B25" s="130">
        <v>44442</v>
      </c>
      <c r="C25" s="129" t="s">
        <v>731</v>
      </c>
      <c r="D25" s="129">
        <v>-187.31</v>
      </c>
      <c r="E25" s="129" t="s">
        <v>743</v>
      </c>
      <c r="F25" s="129" t="s">
        <v>754</v>
      </c>
      <c r="G25" s="171"/>
      <c r="H25" s="131"/>
      <c r="I25" t="s">
        <v>1106</v>
      </c>
    </row>
    <row r="26" spans="2:9" x14ac:dyDescent="0.4">
      <c r="B26" s="130">
        <v>44442</v>
      </c>
      <c r="C26" s="129" t="s">
        <v>731</v>
      </c>
      <c r="D26" s="129">
        <v>-153.83000000000001</v>
      </c>
      <c r="E26" s="129" t="s">
        <v>743</v>
      </c>
      <c r="F26" s="129" t="s">
        <v>755</v>
      </c>
      <c r="G26" s="171"/>
      <c r="H26" s="131"/>
      <c r="I26" t="s">
        <v>1106</v>
      </c>
    </row>
    <row r="27" spans="2:9" x14ac:dyDescent="0.4">
      <c r="B27" s="130">
        <v>44442</v>
      </c>
      <c r="C27" s="129" t="s">
        <v>731</v>
      </c>
      <c r="D27" s="129">
        <v>-187.18</v>
      </c>
      <c r="E27" s="129" t="s">
        <v>743</v>
      </c>
      <c r="F27" s="129" t="s">
        <v>756</v>
      </c>
      <c r="G27" s="171"/>
      <c r="H27" s="131"/>
      <c r="I27" t="s">
        <v>1106</v>
      </c>
    </row>
    <row r="28" spans="2:9" x14ac:dyDescent="0.4">
      <c r="B28" s="130">
        <v>44442</v>
      </c>
      <c r="C28" s="129" t="s">
        <v>731</v>
      </c>
      <c r="D28" s="129">
        <v>-153.74</v>
      </c>
      <c r="E28" s="129" t="s">
        <v>743</v>
      </c>
      <c r="F28" s="129" t="s">
        <v>757</v>
      </c>
      <c r="G28" s="171"/>
      <c r="H28" s="131"/>
      <c r="I28" t="s">
        <v>1106</v>
      </c>
    </row>
    <row r="29" spans="2:9" x14ac:dyDescent="0.4">
      <c r="B29" s="130">
        <v>44442</v>
      </c>
      <c r="C29" s="129" t="s">
        <v>731</v>
      </c>
      <c r="D29" s="129">
        <v>-118.58</v>
      </c>
      <c r="E29" s="129" t="s">
        <v>743</v>
      </c>
      <c r="F29" s="129" t="s">
        <v>758</v>
      </c>
      <c r="G29" s="171"/>
      <c r="H29" s="131"/>
      <c r="I29" t="s">
        <v>1106</v>
      </c>
    </row>
    <row r="30" spans="2:9" x14ac:dyDescent="0.4">
      <c r="B30" s="130">
        <v>44442</v>
      </c>
      <c r="C30" s="129" t="s">
        <v>731</v>
      </c>
      <c r="D30" s="129">
        <v>-131.62</v>
      </c>
      <c r="E30" s="129" t="s">
        <v>743</v>
      </c>
      <c r="F30" s="129" t="s">
        <v>759</v>
      </c>
      <c r="G30" s="171"/>
      <c r="I30" t="s">
        <v>1106</v>
      </c>
    </row>
    <row r="31" spans="2:9" x14ac:dyDescent="0.4">
      <c r="B31" s="130">
        <v>44442</v>
      </c>
      <c r="C31" s="129" t="s">
        <v>731</v>
      </c>
      <c r="D31" s="129">
        <v>-131.65</v>
      </c>
      <c r="E31" s="129" t="s">
        <v>743</v>
      </c>
      <c r="F31" s="129" t="s">
        <v>760</v>
      </c>
      <c r="G31" s="171"/>
      <c r="I31" t="s">
        <v>1106</v>
      </c>
    </row>
    <row r="32" spans="2:9" x14ac:dyDescent="0.4">
      <c r="B32" s="130">
        <v>44442</v>
      </c>
      <c r="C32" s="129" t="s">
        <v>731</v>
      </c>
      <c r="D32" s="129">
        <v>-120.15</v>
      </c>
      <c r="E32" s="129" t="s">
        <v>743</v>
      </c>
      <c r="F32" s="129" t="s">
        <v>761</v>
      </c>
      <c r="G32" s="172"/>
      <c r="H32" s="131"/>
      <c r="I32" t="s">
        <v>1106</v>
      </c>
    </row>
    <row r="33" spans="2:9" x14ac:dyDescent="0.4">
      <c r="B33" s="130">
        <v>44445</v>
      </c>
      <c r="C33" s="129" t="s">
        <v>731</v>
      </c>
      <c r="D33" s="129">
        <v>237.7</v>
      </c>
      <c r="E33" s="129" t="s">
        <v>750</v>
      </c>
      <c r="F33" s="129" t="s">
        <v>883</v>
      </c>
      <c r="G33" s="179"/>
      <c r="H33" s="131"/>
      <c r="I33" t="s">
        <v>1105</v>
      </c>
    </row>
    <row r="34" spans="2:9" x14ac:dyDescent="0.4">
      <c r="B34" s="130">
        <v>44445</v>
      </c>
      <c r="C34" s="129" t="s">
        <v>731</v>
      </c>
      <c r="D34" s="129">
        <v>179</v>
      </c>
      <c r="E34" s="129" t="s">
        <v>750</v>
      </c>
      <c r="F34" s="129" t="s">
        <v>883</v>
      </c>
      <c r="G34" s="185"/>
      <c r="I34" t="s">
        <v>1105</v>
      </c>
    </row>
    <row r="35" spans="2:9" x14ac:dyDescent="0.4">
      <c r="B35" s="130">
        <v>44445</v>
      </c>
      <c r="C35" s="129" t="s">
        <v>731</v>
      </c>
      <c r="D35" s="129">
        <v>470.32</v>
      </c>
      <c r="E35" s="129" t="s">
        <v>763</v>
      </c>
      <c r="F35" s="129" t="s">
        <v>765</v>
      </c>
      <c r="G35" s="173"/>
      <c r="I35" t="s">
        <v>1105</v>
      </c>
    </row>
    <row r="36" spans="2:9" x14ac:dyDescent="0.4">
      <c r="B36" s="130">
        <v>44445</v>
      </c>
      <c r="C36" s="129" t="s">
        <v>731</v>
      </c>
      <c r="D36" s="129">
        <v>452</v>
      </c>
      <c r="E36" s="129" t="s">
        <v>763</v>
      </c>
      <c r="F36" s="129" t="s">
        <v>764</v>
      </c>
      <c r="G36" s="173"/>
      <c r="I36" t="s">
        <v>1105</v>
      </c>
    </row>
    <row r="37" spans="2:9" x14ac:dyDescent="0.4">
      <c r="B37" s="130">
        <v>44445</v>
      </c>
      <c r="C37" s="129" t="s">
        <v>731</v>
      </c>
      <c r="D37" s="129">
        <v>-46.1</v>
      </c>
      <c r="E37" s="129" t="s">
        <v>733</v>
      </c>
      <c r="F37" s="129" t="s">
        <v>884</v>
      </c>
      <c r="G37" s="179"/>
      <c r="H37" s="131"/>
      <c r="I37" t="s">
        <v>1105</v>
      </c>
    </row>
    <row r="38" spans="2:9" x14ac:dyDescent="0.4">
      <c r="B38" s="130">
        <v>44446</v>
      </c>
      <c r="C38" s="129" t="s">
        <v>731</v>
      </c>
      <c r="D38" s="129">
        <v>99.08</v>
      </c>
      <c r="E38" s="129" t="s">
        <v>763</v>
      </c>
      <c r="F38" s="129" t="s">
        <v>766</v>
      </c>
      <c r="G38" s="173"/>
      <c r="I38" t="s">
        <v>1105</v>
      </c>
    </row>
    <row r="39" spans="2:9" x14ac:dyDescent="0.4">
      <c r="B39" s="130">
        <v>44446</v>
      </c>
      <c r="C39" s="129" t="s">
        <v>731</v>
      </c>
      <c r="D39" s="129">
        <v>-432</v>
      </c>
      <c r="E39" s="129" t="s">
        <v>732</v>
      </c>
      <c r="F39" s="129" t="s">
        <v>885</v>
      </c>
      <c r="G39" s="131"/>
      <c r="H39" s="131" t="s">
        <v>1095</v>
      </c>
      <c r="I39" t="s">
        <v>1105</v>
      </c>
    </row>
    <row r="40" spans="2:9" x14ac:dyDescent="0.4">
      <c r="B40" s="130">
        <v>44446</v>
      </c>
      <c r="C40" s="129" t="s">
        <v>731</v>
      </c>
      <c r="D40" s="129">
        <v>-229</v>
      </c>
      <c r="E40" s="129" t="s">
        <v>733</v>
      </c>
      <c r="F40" s="129" t="s">
        <v>886</v>
      </c>
      <c r="G40" s="51" t="s">
        <v>499</v>
      </c>
      <c r="H40" s="133" t="s">
        <v>1080</v>
      </c>
      <c r="I40" t="s">
        <v>1107</v>
      </c>
    </row>
    <row r="41" spans="2:9" x14ac:dyDescent="0.4">
      <c r="B41" s="130">
        <v>44446</v>
      </c>
      <c r="C41" s="129" t="s">
        <v>731</v>
      </c>
      <c r="D41" s="129">
        <v>-45</v>
      </c>
      <c r="E41" s="129" t="s">
        <v>733</v>
      </c>
      <c r="F41" s="129" t="s">
        <v>887</v>
      </c>
      <c r="G41" s="51" t="s">
        <v>510</v>
      </c>
      <c r="H41" s="133" t="s">
        <v>1080</v>
      </c>
      <c r="I41" t="s">
        <v>1107</v>
      </c>
    </row>
    <row r="42" spans="2:9" x14ac:dyDescent="0.4">
      <c r="B42" s="130">
        <v>44447</v>
      </c>
      <c r="C42" s="129" t="s">
        <v>731</v>
      </c>
      <c r="D42" s="129">
        <v>-500</v>
      </c>
      <c r="E42" s="129" t="s">
        <v>732</v>
      </c>
      <c r="F42" s="129" t="s">
        <v>793</v>
      </c>
      <c r="G42" s="185"/>
      <c r="H42" s="131"/>
      <c r="I42" t="s">
        <v>1105</v>
      </c>
    </row>
    <row r="43" spans="2:9" x14ac:dyDescent="0.4">
      <c r="B43" s="130">
        <v>44448</v>
      </c>
      <c r="C43" s="129" t="s">
        <v>731</v>
      </c>
      <c r="D43" s="129">
        <v>452</v>
      </c>
      <c r="E43" s="129" t="s">
        <v>763</v>
      </c>
      <c r="F43" s="129" t="s">
        <v>769</v>
      </c>
      <c r="G43" s="173"/>
      <c r="H43" s="131"/>
      <c r="I43" t="s">
        <v>1105</v>
      </c>
    </row>
    <row r="44" spans="2:9" x14ac:dyDescent="0.4">
      <c r="B44" s="130">
        <v>44448</v>
      </c>
      <c r="C44" s="129" t="s">
        <v>731</v>
      </c>
      <c r="D44" s="129">
        <v>-100</v>
      </c>
      <c r="E44" s="129" t="s">
        <v>733</v>
      </c>
      <c r="F44" s="129" t="s">
        <v>888</v>
      </c>
      <c r="G44" s="185"/>
      <c r="H44" s="131"/>
      <c r="I44" t="s">
        <v>1105</v>
      </c>
    </row>
    <row r="45" spans="2:9" x14ac:dyDescent="0.4">
      <c r="B45" s="130">
        <v>44448</v>
      </c>
      <c r="C45" s="129" t="s">
        <v>731</v>
      </c>
      <c r="D45" s="129">
        <v>-16.940000000000001</v>
      </c>
      <c r="E45" s="129" t="s">
        <v>743</v>
      </c>
      <c r="F45" s="129" t="s">
        <v>768</v>
      </c>
      <c r="G45" s="171"/>
      <c r="I45" t="s">
        <v>1106</v>
      </c>
    </row>
    <row r="46" spans="2:9" x14ac:dyDescent="0.4">
      <c r="B46" s="130">
        <v>44449</v>
      </c>
      <c r="C46" s="129" t="s">
        <v>731</v>
      </c>
      <c r="D46" s="129">
        <v>327.98</v>
      </c>
      <c r="E46" s="129" t="s">
        <v>763</v>
      </c>
      <c r="F46" s="129" t="s">
        <v>773</v>
      </c>
      <c r="G46" s="173"/>
      <c r="I46" t="s">
        <v>1105</v>
      </c>
    </row>
    <row r="47" spans="2:9" x14ac:dyDescent="0.4">
      <c r="B47" s="130">
        <v>44449</v>
      </c>
      <c r="C47" s="129" t="s">
        <v>731</v>
      </c>
      <c r="D47" s="129">
        <v>650</v>
      </c>
      <c r="E47" s="129" t="s">
        <v>770</v>
      </c>
      <c r="F47" s="129" t="s">
        <v>771</v>
      </c>
      <c r="G47" s="134" t="s">
        <v>482</v>
      </c>
      <c r="H47" s="46" t="s">
        <v>1066</v>
      </c>
      <c r="I47" t="s">
        <v>1104</v>
      </c>
    </row>
    <row r="48" spans="2:9" x14ac:dyDescent="0.4">
      <c r="B48" s="130">
        <v>44449</v>
      </c>
      <c r="C48" s="129" t="s">
        <v>731</v>
      </c>
      <c r="D48" s="129">
        <v>-16.579999999999998</v>
      </c>
      <c r="E48" s="129" t="s">
        <v>733</v>
      </c>
      <c r="F48" s="129" t="s">
        <v>889</v>
      </c>
      <c r="G48" s="51" t="s">
        <v>486</v>
      </c>
      <c r="H48" s="133" t="s">
        <v>1081</v>
      </c>
      <c r="I48" t="s">
        <v>1107</v>
      </c>
    </row>
    <row r="49" spans="2:9" x14ac:dyDescent="0.4">
      <c r="B49" s="130">
        <v>44449</v>
      </c>
      <c r="C49" s="129" t="s">
        <v>731</v>
      </c>
      <c r="D49" s="129">
        <v>-183.6</v>
      </c>
      <c r="E49" s="129" t="s">
        <v>733</v>
      </c>
      <c r="F49" s="129" t="s">
        <v>890</v>
      </c>
      <c r="G49" s="185"/>
      <c r="H49" s="131"/>
      <c r="I49" t="s">
        <v>1105</v>
      </c>
    </row>
    <row r="50" spans="2:9" x14ac:dyDescent="0.4">
      <c r="B50" s="130">
        <v>44449</v>
      </c>
      <c r="C50" s="129" t="s">
        <v>731</v>
      </c>
      <c r="D50" s="129">
        <v>-50.05</v>
      </c>
      <c r="E50" s="129" t="s">
        <v>743</v>
      </c>
      <c r="F50" s="129" t="s">
        <v>772</v>
      </c>
      <c r="G50" s="171"/>
      <c r="I50" t="s">
        <v>1106</v>
      </c>
    </row>
    <row r="51" spans="2:9" x14ac:dyDescent="0.4">
      <c r="B51" s="130">
        <v>44452</v>
      </c>
      <c r="C51" s="129" t="s">
        <v>731</v>
      </c>
      <c r="D51" s="129">
        <v>495</v>
      </c>
      <c r="E51" s="129" t="s">
        <v>770</v>
      </c>
      <c r="F51" s="129" t="s">
        <v>779</v>
      </c>
      <c r="G51" s="134" t="s">
        <v>472</v>
      </c>
      <c r="H51" s="46" t="s">
        <v>1067</v>
      </c>
      <c r="I51" t="s">
        <v>1104</v>
      </c>
    </row>
    <row r="52" spans="2:9" x14ac:dyDescent="0.4">
      <c r="B52" s="130">
        <v>44452</v>
      </c>
      <c r="C52" s="129" t="s">
        <v>731</v>
      </c>
      <c r="D52" s="129">
        <v>543.6</v>
      </c>
      <c r="E52" s="129" t="s">
        <v>763</v>
      </c>
      <c r="F52" s="129" t="s">
        <v>774</v>
      </c>
      <c r="G52" s="173"/>
      <c r="H52" s="131"/>
      <c r="I52" t="s">
        <v>1105</v>
      </c>
    </row>
    <row r="53" spans="2:9" x14ac:dyDescent="0.4">
      <c r="B53" s="130">
        <v>44452</v>
      </c>
      <c r="C53" s="129" t="s">
        <v>731</v>
      </c>
      <c r="D53" s="129">
        <v>630</v>
      </c>
      <c r="E53" s="129" t="s">
        <v>770</v>
      </c>
      <c r="F53" s="129" t="s">
        <v>775</v>
      </c>
      <c r="G53" s="134" t="s">
        <v>487</v>
      </c>
      <c r="H53" s="46" t="s">
        <v>1068</v>
      </c>
      <c r="I53" t="s">
        <v>1104</v>
      </c>
    </row>
    <row r="54" spans="2:9" x14ac:dyDescent="0.4">
      <c r="B54" s="130">
        <v>44452</v>
      </c>
      <c r="C54" s="129" t="s">
        <v>731</v>
      </c>
      <c r="D54" s="129">
        <v>-45</v>
      </c>
      <c r="E54" s="129" t="s">
        <v>733</v>
      </c>
      <c r="F54" s="129" t="s">
        <v>891</v>
      </c>
      <c r="G54" s="51" t="s">
        <v>484</v>
      </c>
      <c r="H54" s="131" t="s">
        <v>1082</v>
      </c>
      <c r="I54" t="s">
        <v>1107</v>
      </c>
    </row>
    <row r="55" spans="2:9" x14ac:dyDescent="0.4">
      <c r="B55" s="130">
        <v>44452</v>
      </c>
      <c r="C55" s="129" t="s">
        <v>731</v>
      </c>
      <c r="D55" s="129">
        <v>-45</v>
      </c>
      <c r="E55" s="129" t="s">
        <v>733</v>
      </c>
      <c r="F55" s="129" t="s">
        <v>892</v>
      </c>
      <c r="G55" s="51" t="s">
        <v>497</v>
      </c>
      <c r="H55" s="131" t="s">
        <v>1082</v>
      </c>
      <c r="I55" t="s">
        <v>1107</v>
      </c>
    </row>
    <row r="56" spans="2:9" x14ac:dyDescent="0.4">
      <c r="B56" s="130">
        <v>44452</v>
      </c>
      <c r="C56" s="129" t="s">
        <v>731</v>
      </c>
      <c r="D56" s="129">
        <v>-11.22</v>
      </c>
      <c r="E56" s="129" t="s">
        <v>733</v>
      </c>
      <c r="F56" s="129" t="s">
        <v>893</v>
      </c>
      <c r="G56" s="51" t="s">
        <v>497</v>
      </c>
      <c r="H56" s="133" t="s">
        <v>1083</v>
      </c>
      <c r="I56" t="s">
        <v>1107</v>
      </c>
    </row>
    <row r="57" spans="2:9" x14ac:dyDescent="0.4">
      <c r="B57" s="130">
        <v>44452</v>
      </c>
      <c r="C57" s="129" t="s">
        <v>731</v>
      </c>
      <c r="D57" s="129">
        <v>-126.95</v>
      </c>
      <c r="E57" s="129" t="s">
        <v>733</v>
      </c>
      <c r="F57" s="129" t="s">
        <v>894</v>
      </c>
      <c r="G57" s="179"/>
      <c r="H57" s="131"/>
      <c r="I57" t="s">
        <v>1105</v>
      </c>
    </row>
    <row r="58" spans="2:9" x14ac:dyDescent="0.4">
      <c r="B58" s="130">
        <v>44452</v>
      </c>
      <c r="C58" s="129" t="s">
        <v>731</v>
      </c>
      <c r="D58" s="129">
        <v>-74</v>
      </c>
      <c r="E58" s="129" t="s">
        <v>733</v>
      </c>
      <c r="F58" s="129" t="s">
        <v>895</v>
      </c>
      <c r="G58" s="179"/>
      <c r="H58" s="131"/>
      <c r="I58" t="s">
        <v>1105</v>
      </c>
    </row>
    <row r="59" spans="2:9" x14ac:dyDescent="0.4">
      <c r="B59" s="130">
        <v>44452</v>
      </c>
      <c r="C59" s="129" t="s">
        <v>731</v>
      </c>
      <c r="D59" s="129">
        <v>-47</v>
      </c>
      <c r="E59" s="129" t="s">
        <v>733</v>
      </c>
      <c r="F59" s="129" t="s">
        <v>895</v>
      </c>
      <c r="G59" s="179"/>
      <c r="H59" s="131"/>
      <c r="I59" t="s">
        <v>1105</v>
      </c>
    </row>
    <row r="60" spans="2:9" x14ac:dyDescent="0.4">
      <c r="B60" s="130">
        <v>44452</v>
      </c>
      <c r="C60" s="129" t="s">
        <v>731</v>
      </c>
      <c r="D60" s="129">
        <v>-120.94</v>
      </c>
      <c r="E60" s="129" t="s">
        <v>743</v>
      </c>
      <c r="F60" s="129" t="s">
        <v>776</v>
      </c>
      <c r="G60" s="171"/>
      <c r="H60" s="131"/>
      <c r="I60" t="s">
        <v>1106</v>
      </c>
    </row>
    <row r="61" spans="2:9" x14ac:dyDescent="0.4">
      <c r="B61" s="130">
        <v>44453</v>
      </c>
      <c r="C61" s="129" t="s">
        <v>731</v>
      </c>
      <c r="D61" s="129">
        <v>700</v>
      </c>
      <c r="E61" s="129" t="s">
        <v>732</v>
      </c>
      <c r="F61" s="129" t="s">
        <v>780</v>
      </c>
      <c r="G61" s="134" t="s">
        <v>488</v>
      </c>
      <c r="H61" s="46" t="s">
        <v>1064</v>
      </c>
      <c r="I61" t="s">
        <v>1104</v>
      </c>
    </row>
    <row r="62" spans="2:9" x14ac:dyDescent="0.4">
      <c r="B62" s="130">
        <v>44453</v>
      </c>
      <c r="C62" s="129" t="s">
        <v>731</v>
      </c>
      <c r="D62" s="129">
        <v>-45</v>
      </c>
      <c r="E62" s="129" t="s">
        <v>733</v>
      </c>
      <c r="F62" s="129" t="s">
        <v>896</v>
      </c>
      <c r="G62" s="134" t="s">
        <v>476</v>
      </c>
      <c r="H62" s="133" t="s">
        <v>1082</v>
      </c>
      <c r="I62" t="s">
        <v>1107</v>
      </c>
    </row>
    <row r="63" spans="2:9" x14ac:dyDescent="0.4">
      <c r="B63" s="130">
        <v>44453</v>
      </c>
      <c r="C63" s="129" t="s">
        <v>731</v>
      </c>
      <c r="D63" s="129">
        <v>-16.350000000000001</v>
      </c>
      <c r="E63" s="129" t="s">
        <v>733</v>
      </c>
      <c r="F63" s="129" t="s">
        <v>897</v>
      </c>
      <c r="G63" s="185"/>
      <c r="H63" s="131"/>
      <c r="I63" t="s">
        <v>1105</v>
      </c>
    </row>
    <row r="64" spans="2:9" x14ac:dyDescent="0.4">
      <c r="B64" s="130">
        <v>44453</v>
      </c>
      <c r="C64" s="129" t="s">
        <v>731</v>
      </c>
      <c r="D64" s="129">
        <v>-7.96</v>
      </c>
      <c r="E64" s="129" t="s">
        <v>733</v>
      </c>
      <c r="F64" s="129" t="s">
        <v>898</v>
      </c>
      <c r="G64" s="179"/>
      <c r="H64" s="131"/>
      <c r="I64" t="s">
        <v>1105</v>
      </c>
    </row>
    <row r="65" spans="2:9" x14ac:dyDescent="0.4">
      <c r="B65" s="130">
        <v>44453</v>
      </c>
      <c r="C65" s="129" t="s">
        <v>731</v>
      </c>
      <c r="D65" s="129">
        <v>-52.06</v>
      </c>
      <c r="E65" s="129" t="s">
        <v>733</v>
      </c>
      <c r="F65" s="129" t="s">
        <v>899</v>
      </c>
      <c r="G65" s="179"/>
      <c r="H65" s="131"/>
      <c r="I65" t="s">
        <v>1105</v>
      </c>
    </row>
    <row r="66" spans="2:9" x14ac:dyDescent="0.4">
      <c r="B66" s="130">
        <v>44453</v>
      </c>
      <c r="C66" s="129" t="s">
        <v>731</v>
      </c>
      <c r="D66" s="129">
        <v>-16.989999999999998</v>
      </c>
      <c r="E66" s="129" t="s">
        <v>733</v>
      </c>
      <c r="F66" s="129" t="s">
        <v>900</v>
      </c>
      <c r="G66" s="185"/>
      <c r="H66" s="131"/>
      <c r="I66" t="s">
        <v>1105</v>
      </c>
    </row>
    <row r="67" spans="2:9" x14ac:dyDescent="0.4">
      <c r="B67" s="130">
        <v>44453</v>
      </c>
      <c r="C67" s="129" t="s">
        <v>731</v>
      </c>
      <c r="D67" s="129">
        <v>-8.8000000000000007</v>
      </c>
      <c r="E67" s="129" t="s">
        <v>733</v>
      </c>
      <c r="F67" s="129" t="s">
        <v>901</v>
      </c>
      <c r="G67" s="134" t="s">
        <v>487</v>
      </c>
      <c r="H67" s="133" t="s">
        <v>1094</v>
      </c>
      <c r="I67" t="s">
        <v>1107</v>
      </c>
    </row>
    <row r="68" spans="2:9" x14ac:dyDescent="0.4">
      <c r="B68" s="130">
        <v>44454</v>
      </c>
      <c r="C68" s="129" t="s">
        <v>731</v>
      </c>
      <c r="D68" s="129">
        <v>500</v>
      </c>
      <c r="E68" s="129" t="s">
        <v>732</v>
      </c>
      <c r="F68" s="129" t="s">
        <v>777</v>
      </c>
      <c r="G68" s="134" t="s">
        <v>477</v>
      </c>
      <c r="H68" s="46" t="s">
        <v>1065</v>
      </c>
      <c r="I68" t="s">
        <v>1104</v>
      </c>
    </row>
    <row r="69" spans="2:9" x14ac:dyDescent="0.4">
      <c r="B69" s="130">
        <v>44454</v>
      </c>
      <c r="C69" s="129" t="s">
        <v>731</v>
      </c>
      <c r="D69" s="129">
        <v>314.60000000000002</v>
      </c>
      <c r="E69" s="129" t="s">
        <v>763</v>
      </c>
      <c r="F69" s="129" t="s">
        <v>778</v>
      </c>
      <c r="G69" s="174"/>
      <c r="H69" s="131"/>
      <c r="I69" t="s">
        <v>1105</v>
      </c>
    </row>
    <row r="70" spans="2:9" x14ac:dyDescent="0.4">
      <c r="B70" s="130">
        <v>44454</v>
      </c>
      <c r="C70" s="129" t="s">
        <v>731</v>
      </c>
      <c r="D70" s="129">
        <v>-60</v>
      </c>
      <c r="E70" s="129" t="s">
        <v>733</v>
      </c>
      <c r="F70" s="129" t="s">
        <v>902</v>
      </c>
      <c r="G70" s="134" t="s">
        <v>499</v>
      </c>
      <c r="H70" s="133" t="s">
        <v>853</v>
      </c>
      <c r="I70" t="s">
        <v>1107</v>
      </c>
    </row>
    <row r="71" spans="2:9" x14ac:dyDescent="0.4">
      <c r="B71" s="130">
        <v>44454</v>
      </c>
      <c r="C71" s="129" t="s">
        <v>731</v>
      </c>
      <c r="D71" s="129">
        <v>-700</v>
      </c>
      <c r="E71" s="129" t="s">
        <v>732</v>
      </c>
      <c r="F71" s="129" t="s">
        <v>793</v>
      </c>
      <c r="G71" s="179"/>
      <c r="H71" s="131"/>
      <c r="I71" t="s">
        <v>1105</v>
      </c>
    </row>
    <row r="72" spans="2:9" x14ac:dyDescent="0.4">
      <c r="B72" s="130">
        <v>44454</v>
      </c>
      <c r="C72" s="129" t="s">
        <v>731</v>
      </c>
      <c r="D72" s="129">
        <v>-35.549999999999997</v>
      </c>
      <c r="E72" s="129" t="s">
        <v>733</v>
      </c>
      <c r="F72" s="129" t="s">
        <v>903</v>
      </c>
      <c r="G72" s="185"/>
      <c r="H72" s="131"/>
      <c r="I72" t="s">
        <v>1105</v>
      </c>
    </row>
    <row r="73" spans="2:9" x14ac:dyDescent="0.4">
      <c r="B73" s="130">
        <v>44454</v>
      </c>
      <c r="C73" s="129" t="s">
        <v>731</v>
      </c>
      <c r="D73" s="129">
        <v>-13.05</v>
      </c>
      <c r="E73" s="129" t="s">
        <v>733</v>
      </c>
      <c r="F73" s="129" t="s">
        <v>904</v>
      </c>
      <c r="G73" s="185"/>
      <c r="H73" s="131"/>
      <c r="I73" t="s">
        <v>1105</v>
      </c>
    </row>
    <row r="74" spans="2:9" x14ac:dyDescent="0.4">
      <c r="B74" s="130">
        <v>44454</v>
      </c>
      <c r="C74" s="129" t="s">
        <v>731</v>
      </c>
      <c r="D74" s="129">
        <v>-9</v>
      </c>
      <c r="E74" s="129" t="s">
        <v>733</v>
      </c>
      <c r="F74" s="129" t="s">
        <v>905</v>
      </c>
      <c r="G74" s="185"/>
      <c r="H74" s="131"/>
      <c r="I74" t="s">
        <v>1105</v>
      </c>
    </row>
    <row r="75" spans="2:9" x14ac:dyDescent="0.4">
      <c r="B75" s="130">
        <v>44454</v>
      </c>
      <c r="C75" s="129" t="s">
        <v>731</v>
      </c>
      <c r="D75" s="129">
        <v>-5.05</v>
      </c>
      <c r="E75" s="129" t="s">
        <v>733</v>
      </c>
      <c r="F75" s="129" t="s">
        <v>906</v>
      </c>
      <c r="G75" s="185"/>
      <c r="H75" s="131"/>
      <c r="I75" t="s">
        <v>1105</v>
      </c>
    </row>
    <row r="76" spans="2:9" x14ac:dyDescent="0.4">
      <c r="B76" s="130">
        <v>44454</v>
      </c>
      <c r="C76" s="129" t="s">
        <v>731</v>
      </c>
      <c r="D76" s="129">
        <v>-68.959999999999994</v>
      </c>
      <c r="E76" s="129" t="s">
        <v>733</v>
      </c>
      <c r="F76" s="129" t="s">
        <v>907</v>
      </c>
      <c r="G76" s="185"/>
      <c r="H76" s="131"/>
      <c r="I76" t="s">
        <v>1105</v>
      </c>
    </row>
    <row r="77" spans="2:9" x14ac:dyDescent="0.4">
      <c r="B77" s="130">
        <v>44454</v>
      </c>
      <c r="C77" s="129" t="s">
        <v>731</v>
      </c>
      <c r="D77" s="129">
        <v>-50.99</v>
      </c>
      <c r="E77" s="129" t="s">
        <v>733</v>
      </c>
      <c r="F77" s="129" t="s">
        <v>908</v>
      </c>
      <c r="G77" s="185"/>
      <c r="H77" s="131"/>
      <c r="I77" t="s">
        <v>1105</v>
      </c>
    </row>
    <row r="78" spans="2:9" x14ac:dyDescent="0.4">
      <c r="B78" s="130">
        <v>44454</v>
      </c>
      <c r="C78" s="129" t="s">
        <v>731</v>
      </c>
      <c r="D78" s="129">
        <v>-366.23</v>
      </c>
      <c r="E78" s="129" t="s">
        <v>743</v>
      </c>
      <c r="F78" s="129" t="s">
        <v>782</v>
      </c>
      <c r="G78" s="172"/>
      <c r="H78" s="131"/>
      <c r="I78" t="s">
        <v>1105</v>
      </c>
    </row>
    <row r="79" spans="2:9" x14ac:dyDescent="0.4">
      <c r="B79" s="130">
        <v>44454</v>
      </c>
      <c r="C79" s="129" t="s">
        <v>731</v>
      </c>
      <c r="D79" s="129">
        <v>-184.81</v>
      </c>
      <c r="E79" s="129" t="s">
        <v>743</v>
      </c>
      <c r="F79" s="129" t="s">
        <v>785</v>
      </c>
      <c r="G79" s="171"/>
      <c r="H79" s="131"/>
      <c r="I79" t="s">
        <v>1106</v>
      </c>
    </row>
    <row r="80" spans="2:9" x14ac:dyDescent="0.4">
      <c r="B80" s="130">
        <v>44454</v>
      </c>
      <c r="C80" s="129" t="s">
        <v>731</v>
      </c>
      <c r="D80" s="129">
        <v>-155.44</v>
      </c>
      <c r="E80" s="129" t="s">
        <v>743</v>
      </c>
      <c r="F80" s="129" t="s">
        <v>786</v>
      </c>
      <c r="G80" s="171"/>
      <c r="H80" s="131"/>
      <c r="I80" t="s">
        <v>1106</v>
      </c>
    </row>
    <row r="81" spans="2:9" x14ac:dyDescent="0.4">
      <c r="B81" s="130">
        <v>44455</v>
      </c>
      <c r="C81" s="129" t="s">
        <v>731</v>
      </c>
      <c r="D81" s="129">
        <v>79.5</v>
      </c>
      <c r="E81" s="129" t="s">
        <v>750</v>
      </c>
      <c r="F81" s="129" t="s">
        <v>909</v>
      </c>
      <c r="G81" s="185"/>
      <c r="I81" t="s">
        <v>1105</v>
      </c>
    </row>
    <row r="82" spans="2:9" x14ac:dyDescent="0.4">
      <c r="B82" s="130">
        <v>44455</v>
      </c>
      <c r="C82" s="129" t="s">
        <v>731</v>
      </c>
      <c r="D82" s="129">
        <v>497.8</v>
      </c>
      <c r="E82" s="129" t="s">
        <v>763</v>
      </c>
      <c r="F82" s="129" t="s">
        <v>787</v>
      </c>
      <c r="G82" s="180"/>
      <c r="H82" s="131"/>
      <c r="I82" t="s">
        <v>1105</v>
      </c>
    </row>
    <row r="83" spans="2:9" x14ac:dyDescent="0.4">
      <c r="B83" s="130">
        <v>44455</v>
      </c>
      <c r="C83" s="129" t="s">
        <v>731</v>
      </c>
      <c r="D83" s="129">
        <v>202.66</v>
      </c>
      <c r="E83" s="129" t="s">
        <v>763</v>
      </c>
      <c r="F83" s="129" t="s">
        <v>781</v>
      </c>
      <c r="G83" s="173"/>
      <c r="I83" t="s">
        <v>1105</v>
      </c>
    </row>
    <row r="84" spans="2:9" x14ac:dyDescent="0.4">
      <c r="B84" s="130">
        <v>44455</v>
      </c>
      <c r="C84" s="129" t="s">
        <v>731</v>
      </c>
      <c r="D84" s="129">
        <v>-12.14</v>
      </c>
      <c r="E84" s="129" t="s">
        <v>733</v>
      </c>
      <c r="F84" s="129" t="s">
        <v>910</v>
      </c>
      <c r="G84" s="185"/>
      <c r="H84" s="131"/>
      <c r="I84" t="s">
        <v>1105</v>
      </c>
    </row>
    <row r="85" spans="2:9" x14ac:dyDescent="0.4">
      <c r="B85" s="130">
        <v>44455</v>
      </c>
      <c r="C85" s="129" t="s">
        <v>731</v>
      </c>
      <c r="D85" s="129">
        <v>-13.99</v>
      </c>
      <c r="E85" s="129" t="s">
        <v>743</v>
      </c>
      <c r="F85" s="129" t="s">
        <v>791</v>
      </c>
      <c r="G85" s="171"/>
      <c r="I85" t="s">
        <v>1105</v>
      </c>
    </row>
    <row r="86" spans="2:9" x14ac:dyDescent="0.4">
      <c r="B86" s="130">
        <v>44456</v>
      </c>
      <c r="C86" s="129" t="s">
        <v>731</v>
      </c>
      <c r="D86" s="129">
        <v>-25</v>
      </c>
      <c r="E86" s="129" t="s">
        <v>733</v>
      </c>
      <c r="F86" s="129" t="s">
        <v>911</v>
      </c>
      <c r="G86" s="134" t="s">
        <v>510</v>
      </c>
      <c r="H86" s="133" t="s">
        <v>1084</v>
      </c>
      <c r="I86" t="s">
        <v>1107</v>
      </c>
    </row>
    <row r="87" spans="2:9" x14ac:dyDescent="0.4">
      <c r="B87" s="130">
        <v>44456</v>
      </c>
      <c r="C87" s="129" t="s">
        <v>731</v>
      </c>
      <c r="D87" s="129">
        <v>-7.54</v>
      </c>
      <c r="E87" s="129" t="s">
        <v>733</v>
      </c>
      <c r="F87" s="129" t="s">
        <v>912</v>
      </c>
      <c r="G87" s="134" t="s">
        <v>510</v>
      </c>
      <c r="H87" s="133" t="s">
        <v>1084</v>
      </c>
      <c r="I87" t="s">
        <v>1107</v>
      </c>
    </row>
    <row r="88" spans="2:9" x14ac:dyDescent="0.4">
      <c r="B88" s="130">
        <v>44456</v>
      </c>
      <c r="C88" s="129" t="s">
        <v>731</v>
      </c>
      <c r="D88" s="129">
        <v>-12.1</v>
      </c>
      <c r="E88" s="129" t="s">
        <v>733</v>
      </c>
      <c r="F88" s="129" t="s">
        <v>913</v>
      </c>
      <c r="G88" s="185"/>
      <c r="I88" t="s">
        <v>1105</v>
      </c>
    </row>
    <row r="89" spans="2:9" x14ac:dyDescent="0.4">
      <c r="B89" s="130">
        <v>44456</v>
      </c>
      <c r="C89" s="129" t="s">
        <v>731</v>
      </c>
      <c r="D89" s="129">
        <v>-15</v>
      </c>
      <c r="E89" s="129" t="s">
        <v>734</v>
      </c>
      <c r="F89" s="131" t="s">
        <v>794</v>
      </c>
      <c r="G89" s="53" t="s">
        <v>557</v>
      </c>
      <c r="H89" s="131" t="s">
        <v>1090</v>
      </c>
      <c r="I89" t="s">
        <v>1107</v>
      </c>
    </row>
    <row r="90" spans="2:9" x14ac:dyDescent="0.4">
      <c r="B90" s="130">
        <v>44459</v>
      </c>
      <c r="C90" s="129" t="s">
        <v>731</v>
      </c>
      <c r="D90" s="129">
        <v>550</v>
      </c>
      <c r="E90" s="129" t="s">
        <v>763</v>
      </c>
      <c r="F90" s="129" t="s">
        <v>788</v>
      </c>
      <c r="G90" s="134" t="s">
        <v>558</v>
      </c>
      <c r="H90" s="46" t="s">
        <v>1061</v>
      </c>
      <c r="I90" t="s">
        <v>1104</v>
      </c>
    </row>
    <row r="91" spans="2:9" x14ac:dyDescent="0.4">
      <c r="B91" s="130">
        <v>44459</v>
      </c>
      <c r="C91" s="129" t="s">
        <v>731</v>
      </c>
      <c r="D91" s="129">
        <v>58.12</v>
      </c>
      <c r="E91" s="129" t="s">
        <v>763</v>
      </c>
      <c r="F91" s="129" t="s">
        <v>789</v>
      </c>
      <c r="G91" s="174"/>
      <c r="H91" s="131"/>
      <c r="I91" t="s">
        <v>1105</v>
      </c>
    </row>
    <row r="92" spans="2:9" x14ac:dyDescent="0.4">
      <c r="B92" s="130">
        <v>44459</v>
      </c>
      <c r="C92" s="129" t="s">
        <v>731</v>
      </c>
      <c r="D92" s="129">
        <v>28.59</v>
      </c>
      <c r="E92" s="129" t="s">
        <v>763</v>
      </c>
      <c r="F92" s="129" t="s">
        <v>790</v>
      </c>
      <c r="G92" s="173"/>
      <c r="H92" s="131"/>
      <c r="I92" t="s">
        <v>1105</v>
      </c>
    </row>
    <row r="93" spans="2:9" x14ac:dyDescent="0.4">
      <c r="B93" s="130">
        <v>44459</v>
      </c>
      <c r="C93" s="129" t="s">
        <v>731</v>
      </c>
      <c r="D93" s="129">
        <v>-156</v>
      </c>
      <c r="E93" s="129" t="s">
        <v>732</v>
      </c>
      <c r="F93" s="129" t="s">
        <v>914</v>
      </c>
      <c r="G93" s="51"/>
      <c r="H93" s="131" t="s">
        <v>1096</v>
      </c>
      <c r="I93" t="s">
        <v>1105</v>
      </c>
    </row>
    <row r="94" spans="2:9" x14ac:dyDescent="0.4">
      <c r="B94" s="130">
        <v>44459</v>
      </c>
      <c r="C94" s="129" t="s">
        <v>731</v>
      </c>
      <c r="D94" s="129">
        <v>-35</v>
      </c>
      <c r="E94" s="129" t="s">
        <v>733</v>
      </c>
      <c r="F94" s="129" t="s">
        <v>915</v>
      </c>
      <c r="G94" s="134" t="s">
        <v>510</v>
      </c>
      <c r="H94" s="133" t="s">
        <v>1085</v>
      </c>
      <c r="I94" t="s">
        <v>1107</v>
      </c>
    </row>
    <row r="95" spans="2:9" x14ac:dyDescent="0.4">
      <c r="B95" s="130">
        <v>44459</v>
      </c>
      <c r="C95" s="129" t="s">
        <v>731</v>
      </c>
      <c r="D95" s="129">
        <v>-12.27</v>
      </c>
      <c r="E95" s="129" t="s">
        <v>743</v>
      </c>
      <c r="F95" s="129" t="s">
        <v>783</v>
      </c>
      <c r="G95" s="172"/>
      <c r="H95" s="131"/>
      <c r="I95" t="s">
        <v>1106</v>
      </c>
    </row>
    <row r="96" spans="2:9" x14ac:dyDescent="0.4">
      <c r="B96" s="130">
        <v>44459</v>
      </c>
      <c r="C96" s="129" t="s">
        <v>731</v>
      </c>
      <c r="D96" s="129">
        <v>-149.19999999999999</v>
      </c>
      <c r="E96" s="129" t="s">
        <v>743</v>
      </c>
      <c r="F96" s="129" t="s">
        <v>784</v>
      </c>
      <c r="G96" s="172"/>
      <c r="H96" s="131"/>
      <c r="I96" t="s">
        <v>1106</v>
      </c>
    </row>
    <row r="97" spans="2:9" x14ac:dyDescent="0.4">
      <c r="B97" s="130">
        <v>44459</v>
      </c>
      <c r="C97" s="129" t="s">
        <v>731</v>
      </c>
      <c r="D97" s="129">
        <v>-124.19</v>
      </c>
      <c r="E97" s="129" t="s">
        <v>743</v>
      </c>
      <c r="F97" s="129" t="s">
        <v>792</v>
      </c>
      <c r="G97" s="171"/>
      <c r="I97" t="s">
        <v>1106</v>
      </c>
    </row>
    <row r="98" spans="2:9" x14ac:dyDescent="0.4">
      <c r="B98" s="130">
        <v>44460</v>
      </c>
      <c r="C98" s="129" t="s">
        <v>731</v>
      </c>
      <c r="D98" s="129">
        <v>-33.4</v>
      </c>
      <c r="E98" s="129" t="s">
        <v>733</v>
      </c>
      <c r="F98" s="129" t="s">
        <v>916</v>
      </c>
      <c r="G98" s="134" t="s">
        <v>487</v>
      </c>
      <c r="H98" s="131" t="s">
        <v>1093</v>
      </c>
      <c r="I98" t="s">
        <v>1107</v>
      </c>
    </row>
    <row r="99" spans="2:9" x14ac:dyDescent="0.4">
      <c r="B99" s="130">
        <v>44461</v>
      </c>
      <c r="C99" s="129" t="s">
        <v>731</v>
      </c>
      <c r="D99" s="129">
        <v>-156.11000000000001</v>
      </c>
      <c r="E99" s="129" t="s">
        <v>743</v>
      </c>
      <c r="F99" s="129" t="s">
        <v>795</v>
      </c>
      <c r="G99" s="171"/>
      <c r="H99" s="131"/>
      <c r="I99" t="s">
        <v>1106</v>
      </c>
    </row>
    <row r="100" spans="2:9" x14ac:dyDescent="0.4">
      <c r="B100" s="130">
        <v>44462</v>
      </c>
      <c r="C100" s="129" t="s">
        <v>731</v>
      </c>
      <c r="D100" s="129">
        <v>451.78</v>
      </c>
      <c r="E100" s="129" t="s">
        <v>763</v>
      </c>
      <c r="F100" s="129" t="s">
        <v>797</v>
      </c>
      <c r="G100" s="174"/>
      <c r="H100" s="131"/>
      <c r="I100" t="s">
        <v>1105</v>
      </c>
    </row>
    <row r="101" spans="2:9" x14ac:dyDescent="0.4">
      <c r="B101" s="130">
        <v>44462</v>
      </c>
      <c r="C101" s="129" t="s">
        <v>731</v>
      </c>
      <c r="D101" s="129">
        <v>422.75</v>
      </c>
      <c r="E101" s="129" t="s">
        <v>763</v>
      </c>
      <c r="F101" s="129" t="s">
        <v>790</v>
      </c>
      <c r="G101" s="174"/>
      <c r="I101" t="s">
        <v>1105</v>
      </c>
    </row>
    <row r="102" spans="2:9" x14ac:dyDescent="0.4">
      <c r="B102" s="130">
        <v>44462</v>
      </c>
      <c r="C102" s="129" t="s">
        <v>731</v>
      </c>
      <c r="D102" s="129">
        <v>420.96</v>
      </c>
      <c r="E102" s="129" t="s">
        <v>763</v>
      </c>
      <c r="F102" s="129" t="s">
        <v>798</v>
      </c>
      <c r="G102" s="173"/>
      <c r="H102" s="131"/>
      <c r="I102" t="s">
        <v>1105</v>
      </c>
    </row>
    <row r="103" spans="2:9" x14ac:dyDescent="0.4">
      <c r="B103" s="130">
        <v>44462</v>
      </c>
      <c r="C103" s="129" t="s">
        <v>731</v>
      </c>
      <c r="D103" s="129">
        <v>352.92</v>
      </c>
      <c r="E103" s="129" t="s">
        <v>763</v>
      </c>
      <c r="F103" s="129" t="s">
        <v>766</v>
      </c>
      <c r="G103" s="173"/>
      <c r="I103" t="s">
        <v>1105</v>
      </c>
    </row>
    <row r="104" spans="2:9" x14ac:dyDescent="0.4">
      <c r="B104" s="130">
        <v>44462</v>
      </c>
      <c r="C104" s="129" t="s">
        <v>731</v>
      </c>
      <c r="D104" s="129">
        <v>348.08</v>
      </c>
      <c r="E104" s="129" t="s">
        <v>763</v>
      </c>
      <c r="F104" s="129" t="s">
        <v>789</v>
      </c>
      <c r="G104" s="173"/>
      <c r="H104" s="131"/>
      <c r="I104" t="s">
        <v>1105</v>
      </c>
    </row>
    <row r="105" spans="2:9" x14ac:dyDescent="0.4">
      <c r="B105" s="130">
        <v>44462</v>
      </c>
      <c r="C105" s="129" t="s">
        <v>731</v>
      </c>
      <c r="D105" s="129">
        <v>249.34</v>
      </c>
      <c r="E105" s="129" t="s">
        <v>763</v>
      </c>
      <c r="F105" s="129" t="s">
        <v>781</v>
      </c>
      <c r="G105" s="173"/>
      <c r="H105" s="131"/>
      <c r="I105" t="s">
        <v>1105</v>
      </c>
    </row>
    <row r="106" spans="2:9" x14ac:dyDescent="0.4">
      <c r="B106" s="130">
        <v>44462</v>
      </c>
      <c r="C106" s="129" t="s">
        <v>731</v>
      </c>
      <c r="D106" s="129">
        <v>124.02</v>
      </c>
      <c r="E106" s="129" t="s">
        <v>763</v>
      </c>
      <c r="F106" s="129" t="s">
        <v>773</v>
      </c>
      <c r="G106" s="180"/>
      <c r="H106" s="131"/>
      <c r="I106" t="s">
        <v>1105</v>
      </c>
    </row>
    <row r="107" spans="2:9" x14ac:dyDescent="0.4">
      <c r="B107" s="130">
        <v>44463</v>
      </c>
      <c r="C107" s="129" t="s">
        <v>731</v>
      </c>
      <c r="D107" s="129">
        <v>1200</v>
      </c>
      <c r="E107" s="129" t="s">
        <v>732</v>
      </c>
      <c r="F107" s="129" t="s">
        <v>917</v>
      </c>
      <c r="G107" s="181"/>
      <c r="H107" s="131"/>
      <c r="I107" t="s">
        <v>1105</v>
      </c>
    </row>
    <row r="108" spans="2:9" x14ac:dyDescent="0.4">
      <c r="B108" s="130">
        <v>44463</v>
      </c>
      <c r="C108" s="129" t="s">
        <v>731</v>
      </c>
      <c r="D108" s="129">
        <v>-1200</v>
      </c>
      <c r="E108" s="129" t="s">
        <v>733</v>
      </c>
      <c r="F108" s="129" t="s">
        <v>918</v>
      </c>
      <c r="G108" s="181"/>
      <c r="H108" s="133" t="s">
        <v>1100</v>
      </c>
      <c r="I108" t="s">
        <v>1105</v>
      </c>
    </row>
    <row r="109" spans="2:9" x14ac:dyDescent="0.4">
      <c r="B109" s="130">
        <v>44463</v>
      </c>
      <c r="C109" s="129" t="s">
        <v>731</v>
      </c>
      <c r="D109" s="129">
        <v>-1200</v>
      </c>
      <c r="E109" s="129" t="s">
        <v>733</v>
      </c>
      <c r="F109" s="129" t="s">
        <v>919</v>
      </c>
      <c r="G109" s="182"/>
      <c r="H109" s="133" t="s">
        <v>1100</v>
      </c>
      <c r="I109" t="s">
        <v>1105</v>
      </c>
    </row>
    <row r="110" spans="2:9" x14ac:dyDescent="0.4">
      <c r="B110" s="130">
        <v>44463</v>
      </c>
      <c r="C110" s="129" t="s">
        <v>731</v>
      </c>
      <c r="D110" s="129">
        <v>-11.95</v>
      </c>
      <c r="E110" s="129" t="s">
        <v>733</v>
      </c>
      <c r="F110" s="129" t="s">
        <v>920</v>
      </c>
      <c r="G110" s="185"/>
      <c r="H110" s="131"/>
      <c r="I110" t="s">
        <v>1105</v>
      </c>
    </row>
    <row r="111" spans="2:9" x14ac:dyDescent="0.4">
      <c r="B111" s="130">
        <v>44463</v>
      </c>
      <c r="C111" s="129" t="s">
        <v>731</v>
      </c>
      <c r="D111" s="129">
        <v>-111.04</v>
      </c>
      <c r="E111" s="129" t="s">
        <v>733</v>
      </c>
      <c r="F111" s="129" t="s">
        <v>921</v>
      </c>
      <c r="G111" s="185"/>
      <c r="H111" s="133"/>
      <c r="I111" t="s">
        <v>1105</v>
      </c>
    </row>
    <row r="112" spans="2:9" x14ac:dyDescent="0.4">
      <c r="B112" s="130">
        <v>44466</v>
      </c>
      <c r="C112" s="129" t="s">
        <v>731</v>
      </c>
      <c r="D112" s="129">
        <v>500</v>
      </c>
      <c r="E112" s="129" t="s">
        <v>763</v>
      </c>
      <c r="F112" s="129" t="s">
        <v>796</v>
      </c>
      <c r="G112" s="134" t="s">
        <v>489</v>
      </c>
      <c r="H112" s="46" t="s">
        <v>1062</v>
      </c>
      <c r="I112" t="s">
        <v>1104</v>
      </c>
    </row>
    <row r="113" spans="2:16" x14ac:dyDescent="0.4">
      <c r="B113" s="130">
        <v>44466</v>
      </c>
      <c r="C113" s="129" t="s">
        <v>731</v>
      </c>
      <c r="D113" s="129">
        <v>-27.73</v>
      </c>
      <c r="E113" s="129" t="s">
        <v>733</v>
      </c>
      <c r="F113" s="129" t="s">
        <v>922</v>
      </c>
      <c r="G113" s="185"/>
      <c r="I113" t="s">
        <v>1105</v>
      </c>
    </row>
    <row r="114" spans="2:16" x14ac:dyDescent="0.4">
      <c r="B114" s="130">
        <v>44466</v>
      </c>
      <c r="C114" s="129" t="s">
        <v>731</v>
      </c>
      <c r="D114" s="129">
        <v>-11.65</v>
      </c>
      <c r="E114" s="129" t="s">
        <v>733</v>
      </c>
      <c r="F114" s="129" t="s">
        <v>923</v>
      </c>
      <c r="G114" s="185"/>
      <c r="H114" s="131"/>
      <c r="I114" t="s">
        <v>1105</v>
      </c>
    </row>
    <row r="115" spans="2:16" x14ac:dyDescent="0.4">
      <c r="B115" s="130">
        <v>44466</v>
      </c>
      <c r="C115" s="129" t="s">
        <v>731</v>
      </c>
      <c r="D115" s="129">
        <v>-4.7</v>
      </c>
      <c r="E115" s="129" t="s">
        <v>733</v>
      </c>
      <c r="F115" s="129" t="s">
        <v>924</v>
      </c>
      <c r="G115" s="185"/>
      <c r="I115" t="s">
        <v>1105</v>
      </c>
    </row>
    <row r="116" spans="2:16" x14ac:dyDescent="0.4">
      <c r="B116" s="130">
        <v>44466</v>
      </c>
      <c r="C116" s="129" t="s">
        <v>731</v>
      </c>
      <c r="D116" s="129">
        <v>-67.790000000000006</v>
      </c>
      <c r="E116" s="129" t="s">
        <v>733</v>
      </c>
      <c r="F116" s="129" t="s">
        <v>925</v>
      </c>
      <c r="G116" s="185"/>
      <c r="H116" s="131"/>
      <c r="I116" t="s">
        <v>1105</v>
      </c>
    </row>
    <row r="117" spans="2:16" x14ac:dyDescent="0.4">
      <c r="B117" s="130">
        <v>44466</v>
      </c>
      <c r="C117" s="129" t="s">
        <v>731</v>
      </c>
      <c r="D117" s="129">
        <v>-63.3</v>
      </c>
      <c r="E117" s="129" t="s">
        <v>733</v>
      </c>
      <c r="F117" s="129" t="s">
        <v>926</v>
      </c>
      <c r="G117" s="51" t="s">
        <v>469</v>
      </c>
      <c r="H117" s="131" t="s">
        <v>1091</v>
      </c>
      <c r="I117" t="s">
        <v>1107</v>
      </c>
    </row>
    <row r="118" spans="2:16" x14ac:dyDescent="0.4">
      <c r="B118" s="130">
        <v>44466</v>
      </c>
      <c r="C118" s="129" t="s">
        <v>731</v>
      </c>
      <c r="D118" s="129">
        <v>-61.76</v>
      </c>
      <c r="E118" s="129" t="s">
        <v>733</v>
      </c>
      <c r="F118" s="129" t="s">
        <v>927</v>
      </c>
      <c r="G118" s="185"/>
      <c r="H118" s="131"/>
      <c r="I118" t="s">
        <v>1105</v>
      </c>
      <c r="J118" s="131"/>
    </row>
    <row r="119" spans="2:16" x14ac:dyDescent="0.4">
      <c r="B119" s="130">
        <v>44466</v>
      </c>
      <c r="C119" s="129" t="s">
        <v>731</v>
      </c>
      <c r="D119" s="129">
        <v>-45.93</v>
      </c>
      <c r="E119" s="129" t="s">
        <v>733</v>
      </c>
      <c r="F119" s="129" t="s">
        <v>928</v>
      </c>
      <c r="G119" s="185"/>
      <c r="H119" s="131"/>
      <c r="I119" t="s">
        <v>1105</v>
      </c>
      <c r="J119" s="131"/>
    </row>
    <row r="120" spans="2:16" x14ac:dyDescent="0.4">
      <c r="B120" s="130">
        <v>44466</v>
      </c>
      <c r="C120" s="129" t="s">
        <v>731</v>
      </c>
      <c r="D120" s="129">
        <v>-49.98</v>
      </c>
      <c r="E120" s="129" t="s">
        <v>743</v>
      </c>
      <c r="F120" s="129" t="s">
        <v>791</v>
      </c>
      <c r="H120" s="131" t="s">
        <v>1097</v>
      </c>
      <c r="I120" t="s">
        <v>1105</v>
      </c>
      <c r="J120" s="131"/>
    </row>
    <row r="121" spans="2:16" x14ac:dyDescent="0.4">
      <c r="B121" s="130">
        <v>44467</v>
      </c>
      <c r="C121" s="129" t="s">
        <v>731</v>
      </c>
      <c r="D121" s="129">
        <v>650</v>
      </c>
      <c r="E121" s="129" t="s">
        <v>770</v>
      </c>
      <c r="F121" s="129" t="s">
        <v>802</v>
      </c>
      <c r="G121" s="134" t="s">
        <v>486</v>
      </c>
      <c r="H121" s="46" t="s">
        <v>1069</v>
      </c>
      <c r="I121" t="s">
        <v>1104</v>
      </c>
    </row>
    <row r="122" spans="2:16" x14ac:dyDescent="0.4">
      <c r="B122" s="130">
        <v>44467</v>
      </c>
      <c r="C122" s="129" t="s">
        <v>731</v>
      </c>
      <c r="D122" s="129">
        <v>-72.180000000000007</v>
      </c>
      <c r="E122" s="129" t="s">
        <v>733</v>
      </c>
      <c r="F122" s="129" t="s">
        <v>929</v>
      </c>
      <c r="G122" s="185"/>
      <c r="H122" s="131"/>
      <c r="I122" t="s">
        <v>1105</v>
      </c>
      <c r="P122" s="131"/>
    </row>
    <row r="123" spans="2:16" x14ac:dyDescent="0.4">
      <c r="B123" s="130">
        <v>44467</v>
      </c>
      <c r="C123" s="129" t="s">
        <v>731</v>
      </c>
      <c r="D123" s="129">
        <v>-13</v>
      </c>
      <c r="E123" s="129" t="s">
        <v>743</v>
      </c>
      <c r="F123" s="129" t="s">
        <v>791</v>
      </c>
      <c r="H123" s="131" t="s">
        <v>1098</v>
      </c>
      <c r="I123" t="s">
        <v>1105</v>
      </c>
    </row>
    <row r="124" spans="2:16" x14ac:dyDescent="0.4">
      <c r="B124" s="130">
        <v>44467</v>
      </c>
      <c r="C124" s="129" t="s">
        <v>731</v>
      </c>
      <c r="D124" s="129">
        <v>-13</v>
      </c>
      <c r="E124" s="129" t="s">
        <v>743</v>
      </c>
      <c r="F124" s="129" t="s">
        <v>791</v>
      </c>
      <c r="H124" s="131" t="s">
        <v>1099</v>
      </c>
      <c r="I124" t="s">
        <v>1105</v>
      </c>
    </row>
    <row r="125" spans="2:16" x14ac:dyDescent="0.4">
      <c r="B125" s="130">
        <v>44468</v>
      </c>
      <c r="C125" s="129" t="s">
        <v>731</v>
      </c>
      <c r="D125" s="129">
        <v>446</v>
      </c>
      <c r="E125" s="129" t="s">
        <v>763</v>
      </c>
      <c r="F125" s="129" t="s">
        <v>799</v>
      </c>
      <c r="G125" s="174"/>
      <c r="H125" s="131"/>
      <c r="I125" t="s">
        <v>1105</v>
      </c>
      <c r="J125" s="131"/>
    </row>
    <row r="126" spans="2:16" x14ac:dyDescent="0.4">
      <c r="B126" s="130">
        <v>44468</v>
      </c>
      <c r="C126" s="129" t="s">
        <v>731</v>
      </c>
      <c r="D126" s="129">
        <v>-110.93</v>
      </c>
      <c r="E126" s="129" t="s">
        <v>743</v>
      </c>
      <c r="F126" s="129" t="s">
        <v>803</v>
      </c>
      <c r="G126" s="171"/>
      <c r="H126" s="131"/>
      <c r="I126" t="s">
        <v>1106</v>
      </c>
      <c r="J126" s="131"/>
    </row>
    <row r="127" spans="2:16" x14ac:dyDescent="0.4">
      <c r="B127" s="130">
        <v>44469</v>
      </c>
      <c r="C127" s="129" t="s">
        <v>731</v>
      </c>
      <c r="D127" s="129">
        <v>725</v>
      </c>
      <c r="E127" s="129" t="s">
        <v>763</v>
      </c>
      <c r="F127" s="129" t="s">
        <v>800</v>
      </c>
      <c r="G127" s="51" t="s">
        <v>469</v>
      </c>
      <c r="H127" s="46" t="s">
        <v>1063</v>
      </c>
      <c r="I127" t="s">
        <v>1104</v>
      </c>
    </row>
    <row r="128" spans="2:16" x14ac:dyDescent="0.4">
      <c r="B128" s="130">
        <v>44469</v>
      </c>
      <c r="C128" s="129" t="s">
        <v>731</v>
      </c>
      <c r="D128" s="129">
        <v>491.8</v>
      </c>
      <c r="E128" s="129" t="s">
        <v>763</v>
      </c>
      <c r="F128" s="129" t="s">
        <v>878</v>
      </c>
      <c r="G128" s="173"/>
      <c r="H128" s="131"/>
      <c r="I128" t="s">
        <v>1105</v>
      </c>
    </row>
    <row r="129" spans="2:10" x14ac:dyDescent="0.4">
      <c r="B129" s="130">
        <v>44469</v>
      </c>
      <c r="C129" s="129" t="s">
        <v>731</v>
      </c>
      <c r="D129" s="129">
        <v>446</v>
      </c>
      <c r="E129" s="129" t="s">
        <v>763</v>
      </c>
      <c r="F129" s="129" t="s">
        <v>801</v>
      </c>
      <c r="G129" s="173"/>
      <c r="H129" s="133"/>
      <c r="I129" t="s">
        <v>1105</v>
      </c>
      <c r="J129" s="133"/>
    </row>
    <row r="130" spans="2:10" x14ac:dyDescent="0.4">
      <c r="B130" s="130">
        <v>44469</v>
      </c>
      <c r="C130" s="129" t="s">
        <v>731</v>
      </c>
      <c r="D130" s="129">
        <v>-162</v>
      </c>
      <c r="E130" s="129" t="s">
        <v>733</v>
      </c>
      <c r="F130" s="129" t="s">
        <v>930</v>
      </c>
      <c r="G130" s="134" t="s">
        <v>494</v>
      </c>
      <c r="H130" s="131" t="s">
        <v>1086</v>
      </c>
      <c r="I130" t="s">
        <v>1107</v>
      </c>
      <c r="J130" s="133"/>
    </row>
    <row r="131" spans="2:10" x14ac:dyDescent="0.4">
      <c r="B131" s="130">
        <v>44469</v>
      </c>
      <c r="C131" s="129" t="s">
        <v>731</v>
      </c>
      <c r="D131" s="129">
        <v>-90</v>
      </c>
      <c r="E131" s="129" t="s">
        <v>733</v>
      </c>
      <c r="F131" s="129" t="s">
        <v>931</v>
      </c>
      <c r="G131" s="134" t="s">
        <v>499</v>
      </c>
      <c r="H131" s="131" t="s">
        <v>1087</v>
      </c>
      <c r="I131" t="s">
        <v>1107</v>
      </c>
      <c r="J131" s="131"/>
    </row>
    <row r="132" spans="2:10" x14ac:dyDescent="0.4">
      <c r="B132" s="130">
        <v>44469</v>
      </c>
      <c r="C132" s="129" t="s">
        <v>731</v>
      </c>
      <c r="D132" s="129">
        <v>-4.5</v>
      </c>
      <c r="E132" s="129" t="s">
        <v>733</v>
      </c>
      <c r="F132" s="129" t="s">
        <v>932</v>
      </c>
      <c r="G132" s="185"/>
      <c r="H132" s="131"/>
      <c r="I132" t="s">
        <v>1105</v>
      </c>
      <c r="J132" s="131"/>
    </row>
    <row r="133" spans="2:10" x14ac:dyDescent="0.4">
      <c r="B133" s="130">
        <v>44469</v>
      </c>
      <c r="C133" s="129" t="s">
        <v>731</v>
      </c>
      <c r="D133" s="129">
        <v>-147.83000000000001</v>
      </c>
      <c r="E133" s="129" t="s">
        <v>743</v>
      </c>
      <c r="F133" s="129" t="s">
        <v>933</v>
      </c>
      <c r="G133" s="175"/>
      <c r="H133" s="131"/>
      <c r="I133" t="s">
        <v>1106</v>
      </c>
    </row>
    <row r="134" spans="2:10" x14ac:dyDescent="0.4">
      <c r="B134" s="130">
        <v>44469</v>
      </c>
      <c r="C134" s="129" t="s">
        <v>731</v>
      </c>
      <c r="D134" s="129">
        <v>-156.21</v>
      </c>
      <c r="E134" s="129" t="s">
        <v>743</v>
      </c>
      <c r="F134" s="129" t="s">
        <v>934</v>
      </c>
      <c r="G134" s="172"/>
      <c r="H134" s="131"/>
      <c r="I134" t="s">
        <v>1106</v>
      </c>
      <c r="J134" s="131"/>
    </row>
    <row r="135" spans="2:10" x14ac:dyDescent="0.4">
      <c r="B135" s="130">
        <v>44469</v>
      </c>
      <c r="C135" s="129" t="s">
        <v>731</v>
      </c>
      <c r="D135" s="129">
        <v>-156.21</v>
      </c>
      <c r="E135" s="129" t="s">
        <v>743</v>
      </c>
      <c r="F135" s="129" t="s">
        <v>935</v>
      </c>
      <c r="G135" s="171"/>
      <c r="H135" s="131"/>
      <c r="I135" t="s">
        <v>1106</v>
      </c>
      <c r="J135" s="131"/>
    </row>
    <row r="136" spans="2:10" x14ac:dyDescent="0.4">
      <c r="B136" s="130">
        <v>44469</v>
      </c>
      <c r="C136" s="129" t="s">
        <v>731</v>
      </c>
      <c r="D136" s="129">
        <v>-156.21</v>
      </c>
      <c r="E136" s="129" t="s">
        <v>743</v>
      </c>
      <c r="F136" s="129" t="s">
        <v>936</v>
      </c>
      <c r="G136" s="171"/>
      <c r="H136" s="131"/>
      <c r="I136" t="s">
        <v>1106</v>
      </c>
      <c r="J136" s="131"/>
    </row>
    <row r="137" spans="2:10" x14ac:dyDescent="0.4">
      <c r="B137" s="130"/>
      <c r="H137" s="131"/>
    </row>
    <row r="138" spans="2:10" x14ac:dyDescent="0.4">
      <c r="B138" s="130"/>
      <c r="H138" s="131"/>
      <c r="J138" s="131"/>
    </row>
    <row r="139" spans="2:10" x14ac:dyDescent="0.4">
      <c r="B139" s="130"/>
    </row>
    <row r="140" spans="2:10" x14ac:dyDescent="0.4">
      <c r="B140" s="130"/>
      <c r="H140" s="133"/>
      <c r="J140" s="131"/>
    </row>
    <row r="141" spans="2:10" x14ac:dyDescent="0.4">
      <c r="B141" s="130"/>
      <c r="H141" s="131"/>
    </row>
    <row r="142" spans="2:10" x14ac:dyDescent="0.4">
      <c r="B142" s="130"/>
      <c r="H142" s="133"/>
    </row>
    <row r="143" spans="2:10" x14ac:dyDescent="0.4">
      <c r="B143" s="130"/>
      <c r="H143" s="133"/>
    </row>
    <row r="144" spans="2:10" x14ac:dyDescent="0.4">
      <c r="B144" s="130"/>
      <c r="G144" s="131"/>
      <c r="H144" s="131"/>
    </row>
    <row r="145" spans="2:10" x14ac:dyDescent="0.4">
      <c r="B145" s="130"/>
      <c r="H145" s="133"/>
      <c r="J145" s="133"/>
    </row>
    <row r="146" spans="2:10" x14ac:dyDescent="0.4">
      <c r="B146" s="130"/>
      <c r="H146" s="133"/>
    </row>
    <row r="147" spans="2:10" x14ac:dyDescent="0.4">
      <c r="B147" s="130"/>
      <c r="J147" s="131"/>
    </row>
    <row r="148" spans="2:10" x14ac:dyDescent="0.4">
      <c r="B148" s="130"/>
      <c r="H148" s="133"/>
    </row>
    <row r="149" spans="2:10" x14ac:dyDescent="0.4">
      <c r="B149" s="130"/>
    </row>
    <row r="150" spans="2:10" x14ac:dyDescent="0.4">
      <c r="B150" s="166"/>
      <c r="C150"/>
      <c r="D150"/>
      <c r="E150"/>
      <c r="F150"/>
      <c r="H150" s="131"/>
      <c r="I150"/>
      <c r="J150" s="131"/>
    </row>
    <row r="151" spans="2:10" x14ac:dyDescent="0.4">
      <c r="B151" s="166"/>
      <c r="C151"/>
      <c r="D151"/>
      <c r="E151"/>
      <c r="F151"/>
      <c r="G151" s="131"/>
      <c r="H151" s="131"/>
      <c r="I151"/>
      <c r="J151" s="131"/>
    </row>
    <row r="152" spans="2:10" x14ac:dyDescent="0.4">
      <c r="B152" s="166"/>
      <c r="C152"/>
      <c r="D152"/>
      <c r="E152"/>
      <c r="F152"/>
      <c r="H152" s="133"/>
      <c r="I152"/>
      <c r="J152" s="131"/>
    </row>
    <row r="153" spans="2:10" x14ac:dyDescent="0.4">
      <c r="B153" s="166"/>
      <c r="C153"/>
      <c r="D153"/>
      <c r="E153"/>
      <c r="F153"/>
      <c r="I153"/>
    </row>
    <row r="154" spans="2:10" x14ac:dyDescent="0.4">
      <c r="B154" s="166"/>
      <c r="C154"/>
      <c r="D154"/>
      <c r="E154"/>
      <c r="F154"/>
      <c r="I154"/>
    </row>
    <row r="155" spans="2:10" x14ac:dyDescent="0.4">
      <c r="B155" s="166"/>
      <c r="C155"/>
      <c r="D155"/>
      <c r="E155"/>
      <c r="F155"/>
      <c r="I155"/>
    </row>
    <row r="156" spans="2:10" x14ac:dyDescent="0.4">
      <c r="B156" s="130"/>
      <c r="H156" s="131"/>
    </row>
    <row r="157" spans="2:10" x14ac:dyDescent="0.4">
      <c r="B157" s="130"/>
    </row>
    <row r="158" spans="2:10" x14ac:dyDescent="0.4">
      <c r="B158" s="130"/>
    </row>
    <row r="159" spans="2:10" x14ac:dyDescent="0.4">
      <c r="B159" s="130"/>
    </row>
    <row r="160" spans="2:10" x14ac:dyDescent="0.4">
      <c r="B160" s="130"/>
    </row>
    <row r="161" spans="2:10" x14ac:dyDescent="0.4">
      <c r="B161" s="130"/>
    </row>
    <row r="162" spans="2:10" x14ac:dyDescent="0.4">
      <c r="B162" s="130"/>
    </row>
    <row r="163" spans="2:10" x14ac:dyDescent="0.4">
      <c r="B163" s="130"/>
    </row>
    <row r="164" spans="2:10" x14ac:dyDescent="0.4">
      <c r="B164" s="130"/>
    </row>
    <row r="165" spans="2:10" x14ac:dyDescent="0.4">
      <c r="B165" s="130"/>
      <c r="H165" s="131"/>
      <c r="J165" s="131"/>
    </row>
    <row r="166" spans="2:10" x14ac:dyDescent="0.4">
      <c r="B166" s="130"/>
      <c r="J166" s="131"/>
    </row>
    <row r="167" spans="2:10" x14ac:dyDescent="0.4">
      <c r="B167" s="130"/>
      <c r="H167" s="133"/>
      <c r="J167" s="133"/>
    </row>
    <row r="168" spans="2:10" x14ac:dyDescent="0.4">
      <c r="B168" s="130"/>
    </row>
    <row r="169" spans="2:10" x14ac:dyDescent="0.4">
      <c r="B169" s="130"/>
      <c r="J169" s="131"/>
    </row>
    <row r="170" spans="2:10" x14ac:dyDescent="0.4">
      <c r="B170" s="130"/>
      <c r="H170" s="133"/>
      <c r="J170" s="131"/>
    </row>
    <row r="171" spans="2:10" x14ac:dyDescent="0.4">
      <c r="B171" s="130"/>
      <c r="J171" s="131"/>
    </row>
    <row r="172" spans="2:10" x14ac:dyDescent="0.4">
      <c r="B172" s="130"/>
    </row>
    <row r="173" spans="2:10" x14ac:dyDescent="0.4">
      <c r="B173" s="130"/>
    </row>
    <row r="174" spans="2:10" x14ac:dyDescent="0.4">
      <c r="B174" s="130"/>
      <c r="H174" s="133"/>
    </row>
    <row r="175" spans="2:10" x14ac:dyDescent="0.4">
      <c r="B175" s="130"/>
      <c r="H175" s="133"/>
      <c r="J175" s="131"/>
    </row>
    <row r="176" spans="2:10" x14ac:dyDescent="0.4">
      <c r="B176" s="130"/>
      <c r="G176" s="131"/>
      <c r="H176" s="133"/>
      <c r="J176" s="131"/>
    </row>
    <row r="177" spans="2:10" x14ac:dyDescent="0.4">
      <c r="B177" s="130"/>
      <c r="J177" s="131"/>
    </row>
    <row r="178" spans="2:10" x14ac:dyDescent="0.4">
      <c r="B178" s="130"/>
      <c r="J178" s="131"/>
    </row>
    <row r="179" spans="2:10" x14ac:dyDescent="0.4">
      <c r="B179" s="130"/>
      <c r="J179" s="131"/>
    </row>
    <row r="180" spans="2:10" x14ac:dyDescent="0.4">
      <c r="B180" s="130"/>
      <c r="J180" s="131"/>
    </row>
    <row r="181" spans="2:10" x14ac:dyDescent="0.4">
      <c r="B181" s="130"/>
      <c r="F181" s="131"/>
      <c r="G181" s="131"/>
      <c r="H181" s="131"/>
      <c r="J181" s="131"/>
    </row>
    <row r="182" spans="2:10" x14ac:dyDescent="0.4">
      <c r="B182" s="130"/>
      <c r="F182" s="131"/>
      <c r="G182" s="132"/>
    </row>
    <row r="183" spans="2:10" x14ac:dyDescent="0.4">
      <c r="B183" s="130"/>
      <c r="J183" s="131"/>
    </row>
    <row r="184" spans="2:10" x14ac:dyDescent="0.4">
      <c r="B184" s="130"/>
      <c r="H184" s="131"/>
      <c r="J184" s="131"/>
    </row>
    <row r="185" spans="2:10" x14ac:dyDescent="0.4">
      <c r="B185" s="130"/>
      <c r="H185" s="131"/>
      <c r="J185" s="131"/>
    </row>
    <row r="186" spans="2:10" x14ac:dyDescent="0.4">
      <c r="B186" s="130"/>
      <c r="J186" s="131"/>
    </row>
    <row r="187" spans="2:10" x14ac:dyDescent="0.4">
      <c r="B187" s="130"/>
      <c r="J187" s="131"/>
    </row>
    <row r="188" spans="2:10" x14ac:dyDescent="0.4">
      <c r="B188" s="130"/>
      <c r="J188" s="131"/>
    </row>
    <row r="189" spans="2:10" x14ac:dyDescent="0.4">
      <c r="B189" s="130"/>
      <c r="J189" s="131"/>
    </row>
    <row r="190" spans="2:10" x14ac:dyDescent="0.4">
      <c r="B190" s="130"/>
      <c r="G190" s="131"/>
      <c r="H190" s="131"/>
    </row>
    <row r="191" spans="2:10" x14ac:dyDescent="0.4">
      <c r="B191" s="130"/>
      <c r="G191" s="131"/>
      <c r="H191" s="131"/>
    </row>
    <row r="192" spans="2:10" x14ac:dyDescent="0.4">
      <c r="B192" s="130"/>
      <c r="G192" s="131"/>
      <c r="H192" s="131"/>
    </row>
    <row r="193" spans="2:10" x14ac:dyDescent="0.4">
      <c r="B193" s="130"/>
      <c r="G193" s="131"/>
      <c r="H193" s="131"/>
    </row>
    <row r="194" spans="2:10" x14ac:dyDescent="0.4">
      <c r="B194" s="130"/>
      <c r="H194" s="131"/>
    </row>
    <row r="195" spans="2:10" x14ac:dyDescent="0.4">
      <c r="B195" s="130"/>
      <c r="H195" s="133"/>
      <c r="J195" s="131"/>
    </row>
    <row r="196" spans="2:10" x14ac:dyDescent="0.4">
      <c r="B196" s="130"/>
      <c r="J196" s="131"/>
    </row>
    <row r="197" spans="2:10" x14ac:dyDescent="0.4">
      <c r="B197" s="130"/>
    </row>
    <row r="198" spans="2:10" x14ac:dyDescent="0.4">
      <c r="B198" s="130"/>
      <c r="J198" s="131"/>
    </row>
    <row r="199" spans="2:10" x14ac:dyDescent="0.4">
      <c r="B199" s="130"/>
      <c r="H199" s="131"/>
      <c r="J199" s="131"/>
    </row>
    <row r="200" spans="2:10" x14ac:dyDescent="0.4">
      <c r="B200" s="130"/>
      <c r="H200" s="133"/>
    </row>
    <row r="201" spans="2:10" x14ac:dyDescent="0.4">
      <c r="B201" s="130"/>
      <c r="H201" s="133"/>
    </row>
    <row r="202" spans="2:10" x14ac:dyDescent="0.4">
      <c r="B202" s="130"/>
      <c r="H202" s="131"/>
    </row>
    <row r="203" spans="2:10" x14ac:dyDescent="0.4">
      <c r="B203" s="130"/>
      <c r="H203" s="131"/>
    </row>
    <row r="204" spans="2:10" x14ac:dyDescent="0.4">
      <c r="B204" s="130"/>
      <c r="H204" s="131"/>
    </row>
    <row r="205" spans="2:10" x14ac:dyDescent="0.4">
      <c r="B205" s="130"/>
    </row>
    <row r="206" spans="2:10" x14ac:dyDescent="0.4">
      <c r="B206" s="130"/>
    </row>
    <row r="207" spans="2:10" x14ac:dyDescent="0.4">
      <c r="B207" s="130"/>
    </row>
    <row r="208" spans="2:10" x14ac:dyDescent="0.4">
      <c r="B208" s="130"/>
      <c r="H208" s="131"/>
      <c r="J208" s="131"/>
    </row>
    <row r="209" spans="2:10" x14ac:dyDescent="0.4">
      <c r="B209" s="130"/>
      <c r="H209" s="131"/>
    </row>
    <row r="210" spans="2:10" x14ac:dyDescent="0.4">
      <c r="B210" s="130"/>
    </row>
    <row r="211" spans="2:10" x14ac:dyDescent="0.4">
      <c r="B211" s="130"/>
    </row>
    <row r="212" spans="2:10" x14ac:dyDescent="0.4">
      <c r="B212" s="130"/>
      <c r="H212" s="131"/>
      <c r="J212" s="131"/>
    </row>
    <row r="213" spans="2:10" x14ac:dyDescent="0.4">
      <c r="B213" s="130"/>
      <c r="H213" s="131"/>
      <c r="J213" s="131"/>
    </row>
    <row r="214" spans="2:10" x14ac:dyDescent="0.4">
      <c r="B214" s="130"/>
    </row>
    <row r="215" spans="2:10" x14ac:dyDescent="0.4">
      <c r="B215" s="130"/>
    </row>
    <row r="216" spans="2:10" x14ac:dyDescent="0.4">
      <c r="B216" s="130"/>
      <c r="H216" s="131"/>
    </row>
    <row r="217" spans="2:10" x14ac:dyDescent="0.4">
      <c r="B217" s="130"/>
    </row>
    <row r="218" spans="2:10" x14ac:dyDescent="0.4">
      <c r="B218" s="130"/>
      <c r="H218" s="131"/>
    </row>
    <row r="219" spans="2:10" x14ac:dyDescent="0.4">
      <c r="B219" s="130"/>
    </row>
    <row r="220" spans="2:10" x14ac:dyDescent="0.4">
      <c r="B220" s="130"/>
      <c r="H220" s="131"/>
    </row>
    <row r="221" spans="2:10" x14ac:dyDescent="0.4">
      <c r="B221" s="130"/>
      <c r="G221" s="131"/>
      <c r="H221" s="131"/>
    </row>
    <row r="222" spans="2:10" x14ac:dyDescent="0.4">
      <c r="B222" s="130"/>
      <c r="H222" s="133"/>
    </row>
    <row r="223" spans="2:10" x14ac:dyDescent="0.4">
      <c r="B223" s="130"/>
      <c r="J223" s="131"/>
    </row>
    <row r="224" spans="2:10" x14ac:dyDescent="0.4">
      <c r="B224" s="130"/>
      <c r="J224" s="131"/>
    </row>
    <row r="225" spans="2:10" x14ac:dyDescent="0.4">
      <c r="B225" s="130"/>
      <c r="G225" s="131"/>
    </row>
    <row r="226" spans="2:10" x14ac:dyDescent="0.4">
      <c r="B226" s="130"/>
      <c r="H226" s="131"/>
      <c r="J226" s="131"/>
    </row>
    <row r="227" spans="2:10" x14ac:dyDescent="0.4">
      <c r="B227" s="130"/>
      <c r="H227" s="131"/>
      <c r="J227" s="131"/>
    </row>
    <row r="228" spans="2:10" x14ac:dyDescent="0.4">
      <c r="B228" s="130"/>
    </row>
    <row r="229" spans="2:10" x14ac:dyDescent="0.4">
      <c r="B229" s="130"/>
    </row>
    <row r="230" spans="2:10" x14ac:dyDescent="0.4">
      <c r="B230" s="130"/>
      <c r="F230" s="131"/>
    </row>
    <row r="231" spans="2:10" x14ac:dyDescent="0.4">
      <c r="B231" s="130"/>
      <c r="H231" s="131"/>
    </row>
    <row r="232" spans="2:10" x14ac:dyDescent="0.4">
      <c r="B232" s="130"/>
      <c r="J232" s="131"/>
    </row>
    <row r="233" spans="2:10" x14ac:dyDescent="0.4">
      <c r="B233" s="130"/>
      <c r="H233" s="133"/>
      <c r="J233" s="133"/>
    </row>
    <row r="234" spans="2:10" x14ac:dyDescent="0.4">
      <c r="B234" s="130"/>
    </row>
    <row r="235" spans="2:10" x14ac:dyDescent="0.4">
      <c r="B235" s="130"/>
      <c r="J235" s="131"/>
    </row>
    <row r="236" spans="2:10" x14ac:dyDescent="0.4">
      <c r="B236" s="130"/>
      <c r="H236" s="131"/>
      <c r="J236" s="131"/>
    </row>
    <row r="237" spans="2:10" x14ac:dyDescent="0.4">
      <c r="B237" s="130"/>
    </row>
    <row r="238" spans="2:10" x14ac:dyDescent="0.4">
      <c r="B238" s="130"/>
    </row>
    <row r="239" spans="2:10" x14ac:dyDescent="0.4">
      <c r="B239" s="130"/>
    </row>
    <row r="240" spans="2:10" x14ac:dyDescent="0.4">
      <c r="B240" s="130"/>
    </row>
    <row r="241" spans="2:10" x14ac:dyDescent="0.4">
      <c r="B241" s="130"/>
    </row>
    <row r="242" spans="2:10" x14ac:dyDescent="0.4">
      <c r="B242" s="130"/>
      <c r="J242" s="131"/>
    </row>
    <row r="243" spans="2:10" x14ac:dyDescent="0.4">
      <c r="B243" s="130"/>
      <c r="J243" s="131"/>
    </row>
    <row r="244" spans="2:10" x14ac:dyDescent="0.4">
      <c r="B244" s="130"/>
    </row>
    <row r="245" spans="2:10" x14ac:dyDescent="0.4">
      <c r="B245" s="130"/>
      <c r="H245" s="131"/>
    </row>
    <row r="246" spans="2:10" x14ac:dyDescent="0.4">
      <c r="B246" s="130"/>
    </row>
    <row r="247" spans="2:10" x14ac:dyDescent="0.4">
      <c r="B247" s="130"/>
    </row>
    <row r="248" spans="2:10" x14ac:dyDescent="0.4">
      <c r="B248" s="130"/>
    </row>
    <row r="249" spans="2:10" x14ac:dyDescent="0.4">
      <c r="B249" s="130"/>
    </row>
    <row r="250" spans="2:10" x14ac:dyDescent="0.4">
      <c r="B250" s="130"/>
    </row>
    <row r="251" spans="2:10" x14ac:dyDescent="0.4">
      <c r="B251" s="130"/>
    </row>
    <row r="252" spans="2:10" x14ac:dyDescent="0.4">
      <c r="B252" s="130"/>
    </row>
    <row r="253" spans="2:10" x14ac:dyDescent="0.4">
      <c r="B253" s="130"/>
    </row>
    <row r="254" spans="2:10" x14ac:dyDescent="0.4">
      <c r="B254" s="130"/>
      <c r="H254" s="131"/>
    </row>
    <row r="255" spans="2:10" x14ac:dyDescent="0.4">
      <c r="B255" s="130"/>
      <c r="H255" s="131"/>
      <c r="J255" s="131"/>
    </row>
    <row r="256" spans="2:10" x14ac:dyDescent="0.4">
      <c r="B256" s="130"/>
      <c r="H256" s="131"/>
      <c r="J256" s="131"/>
    </row>
    <row r="257" spans="2:10" x14ac:dyDescent="0.4">
      <c r="B257" s="130"/>
      <c r="J257" s="131"/>
    </row>
    <row r="258" spans="2:10" x14ac:dyDescent="0.4">
      <c r="B258" s="130"/>
      <c r="J258" s="131"/>
    </row>
    <row r="259" spans="2:10" x14ac:dyDescent="0.4">
      <c r="B259" s="130"/>
      <c r="G259" s="131"/>
      <c r="H259" s="131"/>
    </row>
    <row r="260" spans="2:10" x14ac:dyDescent="0.4">
      <c r="B260" s="130"/>
      <c r="J260" s="131"/>
    </row>
    <row r="261" spans="2:10" x14ac:dyDescent="0.4">
      <c r="B261" s="130"/>
      <c r="J261" s="131"/>
    </row>
    <row r="262" spans="2:10" x14ac:dyDescent="0.4">
      <c r="B262" s="130"/>
    </row>
    <row r="263" spans="2:10" x14ac:dyDescent="0.4">
      <c r="B263" s="130"/>
    </row>
    <row r="264" spans="2:10" x14ac:dyDescent="0.4">
      <c r="B264" s="130"/>
    </row>
    <row r="265" spans="2:10" x14ac:dyDescent="0.4">
      <c r="B265" s="130"/>
    </row>
    <row r="266" spans="2:10" x14ac:dyDescent="0.4">
      <c r="B266" s="130"/>
    </row>
    <row r="267" spans="2:10" x14ac:dyDescent="0.4">
      <c r="B267" s="130"/>
    </row>
    <row r="268" spans="2:10" x14ac:dyDescent="0.4">
      <c r="B268" s="130"/>
    </row>
    <row r="269" spans="2:10" x14ac:dyDescent="0.4">
      <c r="B269" s="130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4"/>
  <sheetViews>
    <sheetView zoomScale="70" zoomScaleNormal="70" workbookViewId="0">
      <selection activeCell="Q24" sqref="Q24"/>
    </sheetView>
  </sheetViews>
  <sheetFormatPr defaultColWidth="9.1171875" defaultRowHeight="12.7" x14ac:dyDescent="0.4"/>
  <cols>
    <col min="1" max="1" width="10.29296875" style="129" bestFit="1" customWidth="1"/>
    <col min="2" max="2" width="10.703125" style="129" bestFit="1" customWidth="1"/>
    <col min="3" max="3" width="17.29296875" style="129" bestFit="1" customWidth="1"/>
    <col min="4" max="4" width="8.87890625" style="129" bestFit="1" customWidth="1"/>
    <col min="5" max="5" width="15.29296875" style="129" bestFit="1" customWidth="1"/>
    <col min="6" max="6" width="52" style="129" bestFit="1" customWidth="1"/>
    <col min="7" max="7" width="12" style="129" bestFit="1" customWidth="1"/>
    <col min="8" max="8" width="25.1171875" style="129" customWidth="1"/>
    <col min="9" max="9" width="8.703125" style="129" bestFit="1" customWidth="1"/>
    <col min="10" max="16384" width="9.1171875" style="129"/>
  </cols>
  <sheetData>
    <row r="1" spans="1:15" x14ac:dyDescent="0.4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4">
      <c r="A2" s="129" t="s">
        <v>937</v>
      </c>
      <c r="B2" s="130">
        <v>44440</v>
      </c>
      <c r="C2" s="129" t="s">
        <v>804</v>
      </c>
      <c r="D2" s="129">
        <v>695</v>
      </c>
      <c r="E2" s="131" t="s">
        <v>732</v>
      </c>
      <c r="F2" s="131" t="s">
        <v>938</v>
      </c>
      <c r="G2" s="134" t="s">
        <v>485</v>
      </c>
      <c r="H2" s="46" t="s">
        <v>1071</v>
      </c>
      <c r="I2" t="s">
        <v>1104</v>
      </c>
    </row>
    <row r="3" spans="1:15" x14ac:dyDescent="0.4">
      <c r="A3" s="129" t="s">
        <v>937</v>
      </c>
      <c r="B3" s="130">
        <v>44440</v>
      </c>
      <c r="C3" s="129" t="s">
        <v>804</v>
      </c>
      <c r="D3" s="129">
        <v>1200</v>
      </c>
      <c r="E3" s="131" t="s">
        <v>770</v>
      </c>
      <c r="F3" s="131" t="s">
        <v>805</v>
      </c>
      <c r="G3" s="179"/>
      <c r="H3" s="131"/>
      <c r="I3" t="s">
        <v>1105</v>
      </c>
    </row>
    <row r="4" spans="1:15" x14ac:dyDescent="0.4">
      <c r="A4" t="s">
        <v>937</v>
      </c>
      <c r="B4" s="130">
        <v>44440</v>
      </c>
      <c r="C4" s="129" t="s">
        <v>804</v>
      </c>
      <c r="D4" s="129">
        <v>-805</v>
      </c>
      <c r="E4" s="129" t="s">
        <v>733</v>
      </c>
      <c r="F4" s="129" t="s">
        <v>939</v>
      </c>
      <c r="G4" s="134" t="s">
        <v>510</v>
      </c>
      <c r="H4" s="46" t="s">
        <v>1078</v>
      </c>
      <c r="I4" t="s">
        <v>1107</v>
      </c>
    </row>
    <row r="5" spans="1:15" x14ac:dyDescent="0.4">
      <c r="A5" t="s">
        <v>937</v>
      </c>
      <c r="B5" s="130">
        <v>44440</v>
      </c>
      <c r="C5" s="129" t="s">
        <v>804</v>
      </c>
      <c r="D5" s="129">
        <v>-232.5</v>
      </c>
      <c r="E5" s="129" t="s">
        <v>734</v>
      </c>
      <c r="F5" s="129" t="s">
        <v>809</v>
      </c>
      <c r="G5" s="178"/>
      <c r="I5" t="s">
        <v>1105</v>
      </c>
    </row>
    <row r="6" spans="1:15" x14ac:dyDescent="0.4">
      <c r="A6" t="s">
        <v>937</v>
      </c>
      <c r="B6" s="130">
        <v>44440</v>
      </c>
      <c r="C6" s="129" t="s">
        <v>804</v>
      </c>
      <c r="D6" s="129">
        <v>-160</v>
      </c>
      <c r="E6" s="129" t="s">
        <v>734</v>
      </c>
      <c r="F6" s="129" t="s">
        <v>807</v>
      </c>
      <c r="G6" s="177"/>
      <c r="H6" s="131"/>
      <c r="I6" t="s">
        <v>1105</v>
      </c>
      <c r="O6" s="131"/>
    </row>
    <row r="7" spans="1:15" x14ac:dyDescent="0.4">
      <c r="A7" t="s">
        <v>937</v>
      </c>
      <c r="B7" s="130">
        <v>44440</v>
      </c>
      <c r="C7" s="129" t="s">
        <v>804</v>
      </c>
      <c r="D7" s="129">
        <v>-157.5</v>
      </c>
      <c r="E7" s="129" t="s">
        <v>734</v>
      </c>
      <c r="F7" s="129" t="s">
        <v>808</v>
      </c>
      <c r="G7" s="178"/>
      <c r="I7" t="s">
        <v>1105</v>
      </c>
    </row>
    <row r="8" spans="1:15" x14ac:dyDescent="0.4">
      <c r="A8" t="s">
        <v>937</v>
      </c>
      <c r="B8" s="130">
        <v>44440</v>
      </c>
      <c r="C8" s="129" t="s">
        <v>804</v>
      </c>
      <c r="D8" s="129">
        <v>-50</v>
      </c>
      <c r="E8" s="129" t="s">
        <v>734</v>
      </c>
      <c r="F8" s="129" t="s">
        <v>806</v>
      </c>
      <c r="G8" s="153"/>
      <c r="I8" t="s">
        <v>1105</v>
      </c>
    </row>
    <row r="9" spans="1:15" x14ac:dyDescent="0.4">
      <c r="A9" t="s">
        <v>937</v>
      </c>
      <c r="B9" s="130">
        <v>44440</v>
      </c>
      <c r="C9" s="129" t="s">
        <v>804</v>
      </c>
      <c r="D9" s="129">
        <v>-50</v>
      </c>
      <c r="E9" s="129" t="s">
        <v>734</v>
      </c>
      <c r="F9" s="129" t="s">
        <v>739</v>
      </c>
      <c r="G9" s="178"/>
      <c r="I9" t="s">
        <v>1105</v>
      </c>
    </row>
    <row r="10" spans="1:15" x14ac:dyDescent="0.4">
      <c r="A10" t="s">
        <v>937</v>
      </c>
      <c r="B10" s="130">
        <v>44440</v>
      </c>
      <c r="C10" s="129" t="s">
        <v>804</v>
      </c>
      <c r="D10" s="129">
        <v>-183.02</v>
      </c>
      <c r="E10" s="129" t="s">
        <v>743</v>
      </c>
      <c r="F10" s="129" t="s">
        <v>811</v>
      </c>
      <c r="G10" s="171"/>
      <c r="I10" t="s">
        <v>1106</v>
      </c>
    </row>
    <row r="11" spans="1:15" x14ac:dyDescent="0.4">
      <c r="A11" t="s">
        <v>937</v>
      </c>
      <c r="B11" s="130">
        <v>44440</v>
      </c>
      <c r="C11" s="129" t="s">
        <v>804</v>
      </c>
      <c r="D11" s="129">
        <v>-184.52</v>
      </c>
      <c r="E11" s="129" t="s">
        <v>743</v>
      </c>
      <c r="F11" s="129" t="s">
        <v>812</v>
      </c>
      <c r="G11" s="171"/>
      <c r="I11" t="s">
        <v>1106</v>
      </c>
    </row>
    <row r="12" spans="1:15" x14ac:dyDescent="0.4">
      <c r="A12" t="s">
        <v>937</v>
      </c>
      <c r="B12" s="130">
        <v>44440</v>
      </c>
      <c r="C12" s="129" t="s">
        <v>804</v>
      </c>
      <c r="D12" s="129">
        <v>-340.6</v>
      </c>
      <c r="E12" s="129" t="s">
        <v>743</v>
      </c>
      <c r="F12" s="129" t="s">
        <v>813</v>
      </c>
      <c r="G12" s="171"/>
      <c r="H12" s="131"/>
      <c r="I12" t="s">
        <v>1106</v>
      </c>
    </row>
    <row r="13" spans="1:15" x14ac:dyDescent="0.4">
      <c r="A13" t="s">
        <v>937</v>
      </c>
      <c r="B13" s="130">
        <v>44440</v>
      </c>
      <c r="C13" s="129" t="s">
        <v>804</v>
      </c>
      <c r="D13" s="129">
        <v>-153.76</v>
      </c>
      <c r="E13" s="129" t="s">
        <v>743</v>
      </c>
      <c r="F13" s="129" t="s">
        <v>815</v>
      </c>
      <c r="G13" s="171"/>
      <c r="I13" t="s">
        <v>1106</v>
      </c>
    </row>
    <row r="14" spans="1:15" x14ac:dyDescent="0.4">
      <c r="A14" t="s">
        <v>937</v>
      </c>
      <c r="B14" s="130">
        <v>44440</v>
      </c>
      <c r="C14" s="129" t="s">
        <v>804</v>
      </c>
      <c r="D14" s="129">
        <v>-485.49</v>
      </c>
      <c r="E14" s="129" t="s">
        <v>743</v>
      </c>
      <c r="F14" s="129" t="s">
        <v>814</v>
      </c>
      <c r="G14" s="172"/>
      <c r="H14" s="131"/>
      <c r="I14" t="s">
        <v>1106</v>
      </c>
    </row>
    <row r="15" spans="1:15" x14ac:dyDescent="0.4">
      <c r="A15" t="s">
        <v>937</v>
      </c>
      <c r="B15" s="130">
        <v>44441</v>
      </c>
      <c r="C15" s="129" t="s">
        <v>804</v>
      </c>
      <c r="D15" s="129">
        <v>-37.950000000000003</v>
      </c>
      <c r="E15" s="129" t="s">
        <v>743</v>
      </c>
      <c r="F15" s="129" t="s">
        <v>810</v>
      </c>
      <c r="G15" s="172"/>
      <c r="H15" s="131"/>
      <c r="I15" t="s">
        <v>1105</v>
      </c>
    </row>
    <row r="16" spans="1:15" x14ac:dyDescent="0.4">
      <c r="A16" t="s">
        <v>937</v>
      </c>
      <c r="B16" s="130">
        <v>44442</v>
      </c>
      <c r="C16" s="129" t="s">
        <v>804</v>
      </c>
      <c r="D16" s="129">
        <v>452</v>
      </c>
      <c r="E16" s="129" t="s">
        <v>763</v>
      </c>
      <c r="F16" s="129" t="s">
        <v>817</v>
      </c>
      <c r="G16" s="173"/>
      <c r="H16" s="131"/>
      <c r="I16" t="s">
        <v>1105</v>
      </c>
    </row>
    <row r="17" spans="1:9" x14ac:dyDescent="0.4">
      <c r="A17" t="s">
        <v>937</v>
      </c>
      <c r="B17" s="130">
        <v>44442</v>
      </c>
      <c r="C17" s="129" t="s">
        <v>804</v>
      </c>
      <c r="D17" s="129">
        <v>105</v>
      </c>
      <c r="E17" s="129" t="s">
        <v>763</v>
      </c>
      <c r="F17" s="129" t="s">
        <v>940</v>
      </c>
      <c r="G17" s="134" t="s">
        <v>491</v>
      </c>
      <c r="H17" s="131" t="s">
        <v>1076</v>
      </c>
      <c r="I17" t="s">
        <v>1107</v>
      </c>
    </row>
    <row r="18" spans="1:9" x14ac:dyDescent="0.4">
      <c r="A18" t="s">
        <v>937</v>
      </c>
      <c r="B18" s="130">
        <v>44442</v>
      </c>
      <c r="C18" s="129" t="s">
        <v>804</v>
      </c>
      <c r="D18" s="129">
        <v>-353.23</v>
      </c>
      <c r="E18" s="129" t="s">
        <v>743</v>
      </c>
      <c r="F18" s="129" t="s">
        <v>821</v>
      </c>
      <c r="G18" s="171"/>
      <c r="I18" t="s">
        <v>1105</v>
      </c>
    </row>
    <row r="19" spans="1:9" x14ac:dyDescent="0.4">
      <c r="A19" t="s">
        <v>937</v>
      </c>
      <c r="B19" s="130">
        <v>44442</v>
      </c>
      <c r="C19" s="129" t="s">
        <v>804</v>
      </c>
      <c r="D19" s="129">
        <v>-188.99</v>
      </c>
      <c r="E19" s="129" t="s">
        <v>743</v>
      </c>
      <c r="F19" s="129" t="s">
        <v>818</v>
      </c>
      <c r="G19" s="172"/>
      <c r="I19" t="s">
        <v>1106</v>
      </c>
    </row>
    <row r="20" spans="1:9" x14ac:dyDescent="0.4">
      <c r="A20" t="s">
        <v>937</v>
      </c>
      <c r="B20" s="130">
        <v>44445</v>
      </c>
      <c r="C20" s="129" t="s">
        <v>804</v>
      </c>
      <c r="D20" s="129">
        <v>850</v>
      </c>
      <c r="E20" s="129" t="s">
        <v>763</v>
      </c>
      <c r="F20" s="129" t="s">
        <v>823</v>
      </c>
      <c r="G20" s="134" t="s">
        <v>474</v>
      </c>
      <c r="H20" s="131" t="s">
        <v>1075</v>
      </c>
      <c r="I20" t="s">
        <v>1104</v>
      </c>
    </row>
    <row r="21" spans="1:9" x14ac:dyDescent="0.4">
      <c r="A21" t="s">
        <v>937</v>
      </c>
      <c r="B21" s="130">
        <v>44445</v>
      </c>
      <c r="C21" s="129" t="s">
        <v>804</v>
      </c>
      <c r="D21" s="129">
        <v>775</v>
      </c>
      <c r="E21" s="129" t="s">
        <v>763</v>
      </c>
      <c r="F21" s="129" t="s">
        <v>820</v>
      </c>
      <c r="G21" s="134" t="s">
        <v>480</v>
      </c>
      <c r="H21" s="46" t="s">
        <v>1072</v>
      </c>
      <c r="I21" t="s">
        <v>1104</v>
      </c>
    </row>
    <row r="22" spans="1:9" x14ac:dyDescent="0.4">
      <c r="A22" t="s">
        <v>937</v>
      </c>
      <c r="B22" s="130">
        <v>44445</v>
      </c>
      <c r="C22" s="129" t="s">
        <v>804</v>
      </c>
      <c r="D22" s="129">
        <v>-75</v>
      </c>
      <c r="E22" s="129" t="s">
        <v>734</v>
      </c>
      <c r="F22" s="129" t="s">
        <v>819</v>
      </c>
      <c r="G22" s="176"/>
      <c r="H22" s="131"/>
      <c r="I22" t="s">
        <v>1105</v>
      </c>
    </row>
    <row r="23" spans="1:9" x14ac:dyDescent="0.4">
      <c r="A23" t="s">
        <v>937</v>
      </c>
      <c r="B23" s="130">
        <v>44445</v>
      </c>
      <c r="C23" s="129" t="s">
        <v>804</v>
      </c>
      <c r="D23" s="129">
        <v>-2329</v>
      </c>
      <c r="E23" s="129" t="s">
        <v>743</v>
      </c>
      <c r="F23" s="129" t="s">
        <v>941</v>
      </c>
      <c r="G23" s="183"/>
      <c r="H23" s="131"/>
      <c r="I23" t="s">
        <v>1105</v>
      </c>
    </row>
    <row r="24" spans="1:9" x14ac:dyDescent="0.4">
      <c r="A24" t="s">
        <v>937</v>
      </c>
      <c r="B24" s="130">
        <v>44445</v>
      </c>
      <c r="C24" s="129" t="s">
        <v>804</v>
      </c>
      <c r="D24" s="129">
        <v>-75</v>
      </c>
      <c r="E24" s="129" t="s">
        <v>743</v>
      </c>
      <c r="F24" s="129" t="s">
        <v>822</v>
      </c>
      <c r="G24" s="171"/>
      <c r="H24" s="131"/>
      <c r="I24" t="s">
        <v>1105</v>
      </c>
    </row>
    <row r="25" spans="1:9" x14ac:dyDescent="0.4">
      <c r="A25" t="s">
        <v>937</v>
      </c>
      <c r="B25" s="130">
        <v>44445</v>
      </c>
      <c r="C25" s="129" t="s">
        <v>804</v>
      </c>
      <c r="D25" s="129">
        <v>-1564.68</v>
      </c>
      <c r="E25" s="129" t="s">
        <v>743</v>
      </c>
      <c r="F25" s="129" t="s">
        <v>942</v>
      </c>
      <c r="G25" s="184"/>
      <c r="H25" s="131"/>
      <c r="I25" t="s">
        <v>1105</v>
      </c>
    </row>
    <row r="26" spans="1:9" x14ac:dyDescent="0.4">
      <c r="A26" t="s">
        <v>937</v>
      </c>
      <c r="B26" s="130">
        <v>44445</v>
      </c>
      <c r="C26" s="129" t="s">
        <v>804</v>
      </c>
      <c r="D26" s="129">
        <v>-1509.68</v>
      </c>
      <c r="E26" s="129" t="s">
        <v>743</v>
      </c>
      <c r="F26" s="129" t="s">
        <v>943</v>
      </c>
      <c r="G26" s="183"/>
      <c r="H26" s="131"/>
      <c r="I26" t="s">
        <v>1105</v>
      </c>
    </row>
    <row r="27" spans="1:9" x14ac:dyDescent="0.4">
      <c r="A27" t="s">
        <v>937</v>
      </c>
      <c r="B27" s="130">
        <v>44446</v>
      </c>
      <c r="C27" s="129" t="s">
        <v>804</v>
      </c>
      <c r="D27" s="129">
        <v>220</v>
      </c>
      <c r="E27" s="129" t="s">
        <v>763</v>
      </c>
      <c r="F27" s="129" t="s">
        <v>944</v>
      </c>
      <c r="G27" s="51" t="s">
        <v>499</v>
      </c>
      <c r="H27" s="131" t="s">
        <v>1089</v>
      </c>
      <c r="I27" t="s">
        <v>1107</v>
      </c>
    </row>
    <row r="28" spans="1:9" x14ac:dyDescent="0.4">
      <c r="A28" t="s">
        <v>937</v>
      </c>
      <c r="B28" s="130">
        <v>44446</v>
      </c>
      <c r="C28" s="129" t="s">
        <v>804</v>
      </c>
      <c r="D28" s="129">
        <v>-60</v>
      </c>
      <c r="E28" s="129" t="s">
        <v>733</v>
      </c>
      <c r="F28" s="129" t="s">
        <v>945</v>
      </c>
      <c r="G28" s="134" t="s">
        <v>481</v>
      </c>
      <c r="H28" s="131" t="s">
        <v>853</v>
      </c>
      <c r="I28" t="s">
        <v>1107</v>
      </c>
    </row>
    <row r="29" spans="1:9" x14ac:dyDescent="0.4">
      <c r="A29" t="s">
        <v>937</v>
      </c>
      <c r="B29" s="130">
        <v>44446</v>
      </c>
      <c r="C29" s="129" t="s">
        <v>804</v>
      </c>
      <c r="D29" s="129">
        <v>-48</v>
      </c>
      <c r="E29" s="129" t="s">
        <v>733</v>
      </c>
      <c r="F29" s="129" t="s">
        <v>946</v>
      </c>
      <c r="G29" s="134" t="s">
        <v>474</v>
      </c>
      <c r="H29" s="131" t="s">
        <v>853</v>
      </c>
      <c r="I29" t="s">
        <v>1107</v>
      </c>
    </row>
    <row r="30" spans="1:9" x14ac:dyDescent="0.4">
      <c r="A30" t="s">
        <v>937</v>
      </c>
      <c r="B30" s="130">
        <v>44446</v>
      </c>
      <c r="C30" s="129" t="s">
        <v>804</v>
      </c>
      <c r="D30" s="129">
        <v>-127.07</v>
      </c>
      <c r="E30" s="129" t="s">
        <v>743</v>
      </c>
      <c r="F30" s="131" t="s">
        <v>947</v>
      </c>
      <c r="G30" s="134" t="s">
        <v>485</v>
      </c>
      <c r="H30" s="131" t="s">
        <v>1092</v>
      </c>
      <c r="I30" t="s">
        <v>1107</v>
      </c>
    </row>
    <row r="31" spans="1:9" x14ac:dyDescent="0.4">
      <c r="A31" t="s">
        <v>937</v>
      </c>
      <c r="B31" s="130">
        <v>44447</v>
      </c>
      <c r="C31" s="129" t="s">
        <v>804</v>
      </c>
      <c r="D31" s="129">
        <v>-300</v>
      </c>
      <c r="E31" s="129" t="s">
        <v>732</v>
      </c>
      <c r="F31" s="129" t="s">
        <v>793</v>
      </c>
      <c r="G31" s="185"/>
      <c r="I31" t="s">
        <v>1105</v>
      </c>
    </row>
    <row r="32" spans="1:9" x14ac:dyDescent="0.4">
      <c r="A32" t="s">
        <v>937</v>
      </c>
      <c r="B32" s="130">
        <v>44447</v>
      </c>
      <c r="C32" s="129" t="s">
        <v>804</v>
      </c>
      <c r="D32" s="129">
        <v>-184.24</v>
      </c>
      <c r="E32" s="129" t="s">
        <v>743</v>
      </c>
      <c r="F32" s="129" t="s">
        <v>824</v>
      </c>
      <c r="G32" s="171"/>
      <c r="H32" s="131"/>
      <c r="I32" t="s">
        <v>1106</v>
      </c>
    </row>
    <row r="33" spans="1:9" x14ac:dyDescent="0.4">
      <c r="A33" t="s">
        <v>937</v>
      </c>
      <c r="B33" s="130">
        <v>44452</v>
      </c>
      <c r="C33" s="129" t="s">
        <v>804</v>
      </c>
      <c r="D33" s="129">
        <v>-37.68</v>
      </c>
      <c r="E33" s="129" t="s">
        <v>743</v>
      </c>
      <c r="F33" s="129" t="s">
        <v>825</v>
      </c>
      <c r="G33" s="171"/>
      <c r="I33" t="s">
        <v>1105</v>
      </c>
    </row>
    <row r="34" spans="1:9" x14ac:dyDescent="0.4">
      <c r="A34" t="s">
        <v>937</v>
      </c>
      <c r="B34" s="130">
        <v>44453</v>
      </c>
      <c r="C34" s="129" t="s">
        <v>804</v>
      </c>
      <c r="D34" s="129">
        <v>-56.41</v>
      </c>
      <c r="E34" s="129" t="s">
        <v>743</v>
      </c>
      <c r="F34" s="129" t="s">
        <v>948</v>
      </c>
      <c r="G34" s="171"/>
      <c r="H34" s="131"/>
      <c r="I34" t="s">
        <v>1105</v>
      </c>
    </row>
    <row r="35" spans="1:9" x14ac:dyDescent="0.4">
      <c r="A35" t="s">
        <v>937</v>
      </c>
      <c r="B35" s="130">
        <v>44454</v>
      </c>
      <c r="C35" s="129" t="s">
        <v>804</v>
      </c>
      <c r="D35" s="129">
        <v>700</v>
      </c>
      <c r="E35" s="129" t="s">
        <v>732</v>
      </c>
      <c r="F35" s="129" t="s">
        <v>949</v>
      </c>
      <c r="G35" s="134" t="s">
        <v>509</v>
      </c>
      <c r="H35" s="46" t="s">
        <v>1103</v>
      </c>
      <c r="I35" t="s">
        <v>1104</v>
      </c>
    </row>
    <row r="36" spans="1:9" x14ac:dyDescent="0.4">
      <c r="A36" t="s">
        <v>937</v>
      </c>
      <c r="B36" s="130">
        <v>44454</v>
      </c>
      <c r="C36" s="129" t="s">
        <v>804</v>
      </c>
      <c r="D36" s="129">
        <v>-168</v>
      </c>
      <c r="E36" s="129" t="s">
        <v>733</v>
      </c>
      <c r="F36" s="129" t="s">
        <v>950</v>
      </c>
      <c r="G36" s="134" t="s">
        <v>474</v>
      </c>
      <c r="H36" s="133" t="s">
        <v>1088</v>
      </c>
      <c r="I36" t="s">
        <v>1107</v>
      </c>
    </row>
    <row r="37" spans="1:9" x14ac:dyDescent="0.4">
      <c r="A37" t="s">
        <v>937</v>
      </c>
      <c r="B37" s="130">
        <v>44454</v>
      </c>
      <c r="C37" s="129" t="s">
        <v>804</v>
      </c>
      <c r="D37" s="129">
        <v>-155.44</v>
      </c>
      <c r="E37" s="129" t="s">
        <v>743</v>
      </c>
      <c r="F37" s="129" t="s">
        <v>827</v>
      </c>
      <c r="G37" s="172"/>
      <c r="H37" s="131"/>
      <c r="I37" t="s">
        <v>1106</v>
      </c>
    </row>
    <row r="38" spans="1:9" x14ac:dyDescent="0.4">
      <c r="A38" t="s">
        <v>937</v>
      </c>
      <c r="B38" s="130">
        <v>44454</v>
      </c>
      <c r="C38" s="129" t="s">
        <v>804</v>
      </c>
      <c r="D38" s="129">
        <v>-153.72</v>
      </c>
      <c r="E38" s="129" t="s">
        <v>743</v>
      </c>
      <c r="F38" s="129" t="s">
        <v>828</v>
      </c>
      <c r="G38" s="172"/>
      <c r="H38" s="131"/>
      <c r="I38" t="s">
        <v>1106</v>
      </c>
    </row>
    <row r="39" spans="1:9" x14ac:dyDescent="0.4">
      <c r="A39" t="s">
        <v>937</v>
      </c>
      <c r="B39" s="130">
        <v>44454</v>
      </c>
      <c r="C39" s="129" t="s">
        <v>804</v>
      </c>
      <c r="D39" s="129">
        <v>-159.08000000000001</v>
      </c>
      <c r="E39" s="129" t="s">
        <v>743</v>
      </c>
      <c r="F39" s="129" t="s">
        <v>829</v>
      </c>
      <c r="G39" s="172"/>
      <c r="H39" s="131"/>
      <c r="I39" t="s">
        <v>1106</v>
      </c>
    </row>
    <row r="40" spans="1:9" x14ac:dyDescent="0.4">
      <c r="A40" t="s">
        <v>937</v>
      </c>
      <c r="B40" s="130">
        <v>44454</v>
      </c>
      <c r="C40" s="129" t="s">
        <v>804</v>
      </c>
      <c r="D40" s="129">
        <v>-159.08000000000001</v>
      </c>
      <c r="E40" s="129" t="s">
        <v>743</v>
      </c>
      <c r="F40" s="129" t="s">
        <v>830</v>
      </c>
      <c r="G40" s="171"/>
      <c r="H40" s="131"/>
      <c r="I40" t="s">
        <v>1106</v>
      </c>
    </row>
    <row r="41" spans="1:9" x14ac:dyDescent="0.4">
      <c r="A41" t="s">
        <v>937</v>
      </c>
      <c r="B41" s="130">
        <v>44454</v>
      </c>
      <c r="C41" s="129" t="s">
        <v>804</v>
      </c>
      <c r="D41" s="129">
        <v>-153.75</v>
      </c>
      <c r="E41" s="129" t="s">
        <v>743</v>
      </c>
      <c r="F41" s="129" t="s">
        <v>831</v>
      </c>
      <c r="G41" s="172"/>
      <c r="H41" s="131"/>
      <c r="I41" t="s">
        <v>1106</v>
      </c>
    </row>
    <row r="42" spans="1:9" x14ac:dyDescent="0.4">
      <c r="A42" t="s">
        <v>937</v>
      </c>
      <c r="B42" s="130">
        <v>44454</v>
      </c>
      <c r="C42" s="129" t="s">
        <v>804</v>
      </c>
      <c r="D42" s="129">
        <v>-153.72</v>
      </c>
      <c r="E42" s="129" t="s">
        <v>743</v>
      </c>
      <c r="F42" s="129" t="s">
        <v>832</v>
      </c>
      <c r="G42" s="171"/>
      <c r="H42" s="131"/>
      <c r="I42" t="s">
        <v>1106</v>
      </c>
    </row>
    <row r="43" spans="1:9" x14ac:dyDescent="0.4">
      <c r="A43" t="s">
        <v>937</v>
      </c>
      <c r="B43" s="130">
        <v>44454</v>
      </c>
      <c r="C43" s="129" t="s">
        <v>804</v>
      </c>
      <c r="D43" s="129">
        <v>-153.77000000000001</v>
      </c>
      <c r="E43" s="129" t="s">
        <v>743</v>
      </c>
      <c r="F43" s="129" t="s">
        <v>833</v>
      </c>
      <c r="G43" s="171"/>
      <c r="H43" s="131"/>
      <c r="I43" t="s">
        <v>1106</v>
      </c>
    </row>
    <row r="44" spans="1:9" x14ac:dyDescent="0.4">
      <c r="A44" t="s">
        <v>937</v>
      </c>
      <c r="B44" s="130">
        <v>44454</v>
      </c>
      <c r="C44" s="129" t="s">
        <v>804</v>
      </c>
      <c r="D44" s="129">
        <v>-153.74</v>
      </c>
      <c r="E44" s="129" t="s">
        <v>743</v>
      </c>
      <c r="F44" s="129" t="s">
        <v>834</v>
      </c>
      <c r="G44" s="172"/>
      <c r="H44" s="131"/>
      <c r="I44" t="s">
        <v>1106</v>
      </c>
    </row>
    <row r="45" spans="1:9" x14ac:dyDescent="0.4">
      <c r="A45" t="s">
        <v>937</v>
      </c>
      <c r="B45" s="130">
        <v>44455</v>
      </c>
      <c r="C45" s="129" t="s">
        <v>804</v>
      </c>
      <c r="D45" s="129">
        <v>80</v>
      </c>
      <c r="E45" s="129" t="s">
        <v>763</v>
      </c>
      <c r="F45" s="129" t="s">
        <v>940</v>
      </c>
      <c r="G45" s="134" t="s">
        <v>491</v>
      </c>
      <c r="H45" s="46" t="s">
        <v>1076</v>
      </c>
      <c r="I45" t="s">
        <v>1107</v>
      </c>
    </row>
    <row r="46" spans="1:9" x14ac:dyDescent="0.4">
      <c r="A46" t="s">
        <v>937</v>
      </c>
      <c r="B46" s="130">
        <v>44455</v>
      </c>
      <c r="C46" s="129" t="s">
        <v>804</v>
      </c>
      <c r="D46" s="129">
        <v>-950</v>
      </c>
      <c r="E46" s="129" t="s">
        <v>733</v>
      </c>
      <c r="F46" s="129" t="s">
        <v>951</v>
      </c>
      <c r="G46" s="134" t="s">
        <v>491</v>
      </c>
      <c r="H46" s="131" t="s">
        <v>1078</v>
      </c>
      <c r="I46" t="s">
        <v>1107</v>
      </c>
    </row>
    <row r="47" spans="1:9" x14ac:dyDescent="0.4">
      <c r="A47" t="s">
        <v>937</v>
      </c>
      <c r="B47" s="130">
        <v>44456</v>
      </c>
      <c r="C47" s="129" t="s">
        <v>804</v>
      </c>
      <c r="D47" s="129">
        <v>625</v>
      </c>
      <c r="E47" s="129" t="s">
        <v>763</v>
      </c>
      <c r="F47" s="129" t="s">
        <v>835</v>
      </c>
      <c r="G47" s="134" t="s">
        <v>490</v>
      </c>
      <c r="H47" s="46" t="s">
        <v>1101</v>
      </c>
      <c r="I47" t="s">
        <v>1104</v>
      </c>
    </row>
    <row r="48" spans="1:9" x14ac:dyDescent="0.4">
      <c r="A48" t="s">
        <v>937</v>
      </c>
      <c r="B48" s="130">
        <v>44456</v>
      </c>
      <c r="C48" s="129" t="s">
        <v>804</v>
      </c>
      <c r="D48" s="129">
        <v>600</v>
      </c>
      <c r="E48" s="129" t="s">
        <v>763</v>
      </c>
      <c r="F48" s="129" t="s">
        <v>826</v>
      </c>
      <c r="G48" s="134" t="s">
        <v>500</v>
      </c>
      <c r="H48" s="46" t="s">
        <v>1073</v>
      </c>
      <c r="I48" t="s">
        <v>1104</v>
      </c>
    </row>
    <row r="49" spans="1:9" x14ac:dyDescent="0.4">
      <c r="A49" t="s">
        <v>937</v>
      </c>
      <c r="B49" s="130">
        <v>44459</v>
      </c>
      <c r="C49" s="129" t="s">
        <v>804</v>
      </c>
      <c r="D49" s="129">
        <v>-36.880000000000003</v>
      </c>
      <c r="E49" s="129" t="s">
        <v>743</v>
      </c>
      <c r="F49" s="129" t="s">
        <v>837</v>
      </c>
      <c r="G49" s="171"/>
      <c r="I49" t="s">
        <v>1105</v>
      </c>
    </row>
    <row r="50" spans="1:9" x14ac:dyDescent="0.4">
      <c r="A50" t="s">
        <v>937</v>
      </c>
      <c r="B50" s="130">
        <v>44461</v>
      </c>
      <c r="C50" s="129" t="s">
        <v>804</v>
      </c>
      <c r="D50" s="129">
        <v>208.99</v>
      </c>
      <c r="E50" s="129" t="s">
        <v>763</v>
      </c>
      <c r="F50" s="129" t="s">
        <v>836</v>
      </c>
      <c r="G50" s="173"/>
      <c r="H50" s="131"/>
      <c r="I50" t="s">
        <v>1105</v>
      </c>
    </row>
    <row r="51" spans="1:9" x14ac:dyDescent="0.4">
      <c r="A51" t="s">
        <v>937</v>
      </c>
      <c r="B51" s="130">
        <v>44461</v>
      </c>
      <c r="C51" s="129" t="s">
        <v>804</v>
      </c>
      <c r="D51" s="129">
        <v>100.78</v>
      </c>
      <c r="E51" s="129" t="s">
        <v>763</v>
      </c>
      <c r="F51" s="129" t="s">
        <v>838</v>
      </c>
      <c r="G51" s="173"/>
      <c r="I51" t="s">
        <v>1105</v>
      </c>
    </row>
    <row r="52" spans="1:9" x14ac:dyDescent="0.4">
      <c r="A52" t="s">
        <v>937</v>
      </c>
      <c r="B52" s="130">
        <v>44461</v>
      </c>
      <c r="C52" s="129" t="s">
        <v>804</v>
      </c>
      <c r="D52" s="129">
        <v>-10</v>
      </c>
      <c r="E52" s="129" t="s">
        <v>743</v>
      </c>
      <c r="F52" s="129" t="s">
        <v>839</v>
      </c>
      <c r="G52" s="171"/>
      <c r="I52" t="s">
        <v>1105</v>
      </c>
    </row>
    <row r="53" spans="1:9" x14ac:dyDescent="0.4">
      <c r="A53" t="s">
        <v>937</v>
      </c>
      <c r="B53" s="130">
        <v>44462</v>
      </c>
      <c r="C53" s="129" t="s">
        <v>804</v>
      </c>
      <c r="D53" s="129">
        <v>422.29</v>
      </c>
      <c r="E53" s="129" t="s">
        <v>763</v>
      </c>
      <c r="F53" s="129" t="s">
        <v>843</v>
      </c>
      <c r="G53" s="173"/>
      <c r="H53" s="131"/>
      <c r="I53" t="s">
        <v>1105</v>
      </c>
    </row>
    <row r="54" spans="1:9" x14ac:dyDescent="0.4">
      <c r="A54" t="s">
        <v>937</v>
      </c>
      <c r="B54" s="130">
        <v>44462</v>
      </c>
      <c r="C54" s="129" t="s">
        <v>804</v>
      </c>
      <c r="D54" s="129">
        <v>355.8</v>
      </c>
      <c r="E54" s="129" t="s">
        <v>763</v>
      </c>
      <c r="F54" s="129" t="s">
        <v>838</v>
      </c>
      <c r="G54" s="174"/>
      <c r="H54" s="131"/>
      <c r="I54" t="s">
        <v>1105</v>
      </c>
    </row>
    <row r="55" spans="1:9" x14ac:dyDescent="0.4">
      <c r="A55" t="s">
        <v>937</v>
      </c>
      <c r="B55" s="130">
        <v>44462</v>
      </c>
      <c r="C55" s="129" t="s">
        <v>804</v>
      </c>
      <c r="D55" s="129">
        <v>265.91000000000003</v>
      </c>
      <c r="E55" s="129" t="s">
        <v>763</v>
      </c>
      <c r="F55" s="129" t="s">
        <v>836</v>
      </c>
      <c r="G55" s="174"/>
      <c r="H55" s="131"/>
      <c r="I55" t="s">
        <v>1105</v>
      </c>
    </row>
    <row r="56" spans="1:9" x14ac:dyDescent="0.4">
      <c r="A56" t="s">
        <v>937</v>
      </c>
      <c r="B56" s="130">
        <v>44462</v>
      </c>
      <c r="C56" s="129" t="s">
        <v>804</v>
      </c>
      <c r="D56" s="129">
        <v>-10</v>
      </c>
      <c r="E56" s="129" t="s">
        <v>743</v>
      </c>
      <c r="F56" s="129" t="s">
        <v>841</v>
      </c>
      <c r="G56" s="172"/>
      <c r="I56" t="s">
        <v>1105</v>
      </c>
    </row>
    <row r="57" spans="1:9" x14ac:dyDescent="0.4">
      <c r="A57" t="s">
        <v>937</v>
      </c>
      <c r="B57" s="130">
        <v>44463</v>
      </c>
      <c r="C57" s="129" t="s">
        <v>804</v>
      </c>
      <c r="D57" s="129">
        <v>-1200</v>
      </c>
      <c r="E57" s="129" t="s">
        <v>732</v>
      </c>
      <c r="F57" s="129" t="s">
        <v>952</v>
      </c>
      <c r="G57" s="181"/>
      <c r="H57" s="131"/>
      <c r="I57" t="s">
        <v>1105</v>
      </c>
    </row>
    <row r="58" spans="1:9" x14ac:dyDescent="0.4">
      <c r="A58" t="s">
        <v>937</v>
      </c>
      <c r="B58" s="130">
        <v>44466</v>
      </c>
      <c r="C58" s="129" t="s">
        <v>804</v>
      </c>
      <c r="D58" s="129">
        <v>442.84</v>
      </c>
      <c r="E58" s="129" t="s">
        <v>763</v>
      </c>
      <c r="F58" s="129" t="s">
        <v>842</v>
      </c>
      <c r="G58" s="174"/>
      <c r="H58" s="131"/>
      <c r="I58" t="s">
        <v>1105</v>
      </c>
    </row>
    <row r="59" spans="1:9" x14ac:dyDescent="0.4">
      <c r="A59" t="s">
        <v>937</v>
      </c>
      <c r="B59" s="130">
        <v>44466</v>
      </c>
      <c r="C59" s="129" t="s">
        <v>804</v>
      </c>
      <c r="D59" s="129">
        <v>600</v>
      </c>
      <c r="E59" s="129" t="s">
        <v>770</v>
      </c>
      <c r="F59" s="129" t="s">
        <v>840</v>
      </c>
      <c r="G59" s="134" t="s">
        <v>496</v>
      </c>
      <c r="H59" s="46" t="s">
        <v>1070</v>
      </c>
      <c r="I59" t="s">
        <v>1104</v>
      </c>
    </row>
    <row r="60" spans="1:9" x14ac:dyDescent="0.4">
      <c r="A60" t="s">
        <v>937</v>
      </c>
      <c r="B60" s="130">
        <v>44466</v>
      </c>
      <c r="C60" s="129" t="s">
        <v>804</v>
      </c>
      <c r="D60" s="129">
        <v>-1200</v>
      </c>
      <c r="E60" s="129" t="s">
        <v>734</v>
      </c>
      <c r="F60" s="129" t="s">
        <v>845</v>
      </c>
      <c r="G60" s="178"/>
      <c r="I60" t="s">
        <v>1105</v>
      </c>
    </row>
    <row r="61" spans="1:9" x14ac:dyDescent="0.4">
      <c r="A61" t="s">
        <v>937</v>
      </c>
      <c r="B61" s="130">
        <v>44466</v>
      </c>
      <c r="C61" s="129" t="s">
        <v>804</v>
      </c>
      <c r="D61" s="129">
        <v>-18.25</v>
      </c>
      <c r="E61" s="129" t="s">
        <v>743</v>
      </c>
      <c r="F61" s="129" t="s">
        <v>953</v>
      </c>
      <c r="G61" s="171"/>
      <c r="I61" t="s">
        <v>1105</v>
      </c>
    </row>
    <row r="62" spans="1:9" x14ac:dyDescent="0.4">
      <c r="A62" t="s">
        <v>937</v>
      </c>
      <c r="B62" s="130">
        <v>44467</v>
      </c>
      <c r="C62" s="129" t="s">
        <v>804</v>
      </c>
      <c r="D62" s="129">
        <v>775</v>
      </c>
      <c r="E62" s="129" t="s">
        <v>763</v>
      </c>
      <c r="F62" s="129" t="s">
        <v>844</v>
      </c>
      <c r="G62" s="134" t="s">
        <v>481</v>
      </c>
      <c r="H62" s="46" t="s">
        <v>1074</v>
      </c>
      <c r="I62" t="s">
        <v>1104</v>
      </c>
    </row>
    <row r="63" spans="1:9" x14ac:dyDescent="0.4">
      <c r="A63" t="s">
        <v>937</v>
      </c>
      <c r="B63" s="130">
        <v>44467</v>
      </c>
      <c r="C63" s="129" t="s">
        <v>804</v>
      </c>
      <c r="D63" s="129">
        <v>750</v>
      </c>
      <c r="E63" s="129" t="s">
        <v>763</v>
      </c>
      <c r="F63" s="129" t="s">
        <v>954</v>
      </c>
      <c r="G63" s="134" t="s">
        <v>502</v>
      </c>
      <c r="H63" s="46" t="s">
        <v>1079</v>
      </c>
      <c r="I63" t="s">
        <v>1104</v>
      </c>
    </row>
    <row r="64" spans="1:9" x14ac:dyDescent="0.4">
      <c r="A64" t="s">
        <v>937</v>
      </c>
      <c r="B64" s="166">
        <v>44467</v>
      </c>
      <c r="C64" t="s">
        <v>804</v>
      </c>
      <c r="D64">
        <v>-33</v>
      </c>
      <c r="E64" t="s">
        <v>743</v>
      </c>
      <c r="F64" t="s">
        <v>846</v>
      </c>
      <c r="G64" s="172"/>
      <c r="H64" s="46"/>
      <c r="I64" t="s">
        <v>1105</v>
      </c>
    </row>
    <row r="65" spans="1:10" x14ac:dyDescent="0.4">
      <c r="A65" t="s">
        <v>937</v>
      </c>
      <c r="B65" s="166">
        <v>44469</v>
      </c>
      <c r="C65" t="s">
        <v>804</v>
      </c>
      <c r="D65">
        <v>825</v>
      </c>
      <c r="E65" t="s">
        <v>763</v>
      </c>
      <c r="F65" t="s">
        <v>816</v>
      </c>
      <c r="G65" s="134" t="s">
        <v>479</v>
      </c>
      <c r="H65" s="46" t="s">
        <v>1102</v>
      </c>
      <c r="I65" t="s">
        <v>1104</v>
      </c>
    </row>
    <row r="66" spans="1:10" x14ac:dyDescent="0.4">
      <c r="A66"/>
      <c r="B66" s="166"/>
      <c r="C66"/>
      <c r="D66"/>
      <c r="E66"/>
      <c r="F66"/>
      <c r="G66"/>
      <c r="H66"/>
      <c r="I66"/>
      <c r="J66"/>
    </row>
    <row r="67" spans="1:10" x14ac:dyDescent="0.4">
      <c r="A67"/>
      <c r="B67" s="166"/>
      <c r="C67"/>
      <c r="D67"/>
      <c r="E67"/>
      <c r="F67"/>
      <c r="G67"/>
      <c r="H67" s="46"/>
      <c r="I67"/>
      <c r="J67"/>
    </row>
    <row r="68" spans="1:10" x14ac:dyDescent="0.4">
      <c r="A68"/>
      <c r="B68" s="166"/>
      <c r="C68"/>
      <c r="D68"/>
      <c r="E68"/>
      <c r="F68"/>
      <c r="G68"/>
      <c r="H68" s="46"/>
      <c r="I68"/>
      <c r="J68"/>
    </row>
    <row r="69" spans="1:10" x14ac:dyDescent="0.4">
      <c r="A69"/>
      <c r="B69" s="166"/>
      <c r="C69"/>
      <c r="D69"/>
      <c r="E69"/>
      <c r="F69"/>
      <c r="G69" s="46"/>
      <c r="H69" s="46"/>
      <c r="I69"/>
      <c r="J69"/>
    </row>
    <row r="70" spans="1:10" x14ac:dyDescent="0.4">
      <c r="A70"/>
      <c r="B70" s="156"/>
      <c r="C70"/>
      <c r="D70"/>
      <c r="E70"/>
      <c r="F70"/>
      <c r="G70"/>
      <c r="H70"/>
      <c r="I70"/>
      <c r="J70"/>
    </row>
    <row r="71" spans="1:10" x14ac:dyDescent="0.4">
      <c r="A71"/>
      <c r="B71" s="156"/>
      <c r="C71"/>
      <c r="D71"/>
      <c r="E71"/>
      <c r="F71"/>
      <c r="G71"/>
      <c r="H71"/>
      <c r="I71"/>
      <c r="J71"/>
    </row>
    <row r="72" spans="1:10" x14ac:dyDescent="0.4">
      <c r="A72"/>
      <c r="B72" s="156"/>
      <c r="C72"/>
      <c r="D72"/>
      <c r="E72"/>
      <c r="F72"/>
      <c r="G72"/>
      <c r="H72"/>
      <c r="I72"/>
      <c r="J72"/>
    </row>
    <row r="73" spans="1:10" x14ac:dyDescent="0.4">
      <c r="A73"/>
      <c r="B73" s="156"/>
      <c r="C73"/>
      <c r="D73"/>
      <c r="E73"/>
      <c r="F73"/>
      <c r="G73"/>
      <c r="H73"/>
      <c r="I73"/>
      <c r="J73"/>
    </row>
    <row r="74" spans="1:10" x14ac:dyDescent="0.4">
      <c r="B74" s="130"/>
      <c r="G74" s="46"/>
      <c r="H74" s="133"/>
    </row>
    <row r="75" spans="1:10" x14ac:dyDescent="0.4">
      <c r="B75" s="130"/>
      <c r="G75" s="46"/>
      <c r="H75" s="131"/>
    </row>
    <row r="76" spans="1:10" x14ac:dyDescent="0.4">
      <c r="B76" s="130"/>
      <c r="G76" s="46"/>
    </row>
    <row r="77" spans="1:10" x14ac:dyDescent="0.4">
      <c r="A77" s="130"/>
      <c r="B77" s="130"/>
      <c r="G77" s="46"/>
      <c r="H77" s="131"/>
    </row>
    <row r="78" spans="1:10" x14ac:dyDescent="0.4">
      <c r="A78" s="130"/>
      <c r="B78" s="130"/>
      <c r="G78" s="46"/>
    </row>
    <row r="79" spans="1:10" x14ac:dyDescent="0.4">
      <c r="A79" s="130"/>
      <c r="B79" s="130"/>
      <c r="G79" s="46"/>
    </row>
    <row r="80" spans="1:10" x14ac:dyDescent="0.4">
      <c r="A80" s="130"/>
      <c r="B80" s="130"/>
      <c r="G80" s="46"/>
    </row>
    <row r="81" spans="2:14" x14ac:dyDescent="0.4">
      <c r="B81" s="130"/>
      <c r="G81" s="46"/>
    </row>
    <row r="82" spans="2:14" x14ac:dyDescent="0.4">
      <c r="B82" s="130"/>
      <c r="G82" s="46"/>
    </row>
    <row r="83" spans="2:14" x14ac:dyDescent="0.4">
      <c r="B83" s="130"/>
      <c r="G83" s="46"/>
    </row>
    <row r="84" spans="2:14" x14ac:dyDescent="0.4">
      <c r="B84" s="130"/>
      <c r="G84" s="46"/>
    </row>
    <row r="85" spans="2:14" x14ac:dyDescent="0.4">
      <c r="B85" s="130"/>
      <c r="G85" s="46"/>
      <c r="H85" s="131"/>
    </row>
    <row r="86" spans="2:14" x14ac:dyDescent="0.4">
      <c r="B86" s="130"/>
      <c r="G86" s="46"/>
      <c r="H86" s="131"/>
    </row>
    <row r="87" spans="2:14" x14ac:dyDescent="0.4">
      <c r="B87" s="130"/>
      <c r="G87" s="46"/>
    </row>
    <row r="88" spans="2:14" x14ac:dyDescent="0.4">
      <c r="B88" s="130"/>
      <c r="G88" s="46"/>
      <c r="H88" s="131"/>
    </row>
    <row r="89" spans="2:14" x14ac:dyDescent="0.4">
      <c r="B89" s="130"/>
      <c r="G89" s="46"/>
      <c r="H89" s="133"/>
      <c r="N89" s="131"/>
    </row>
    <row r="90" spans="2:14" x14ac:dyDescent="0.4">
      <c r="B90" s="130"/>
      <c r="G90" s="46"/>
      <c r="H90" s="133"/>
    </row>
    <row r="91" spans="2:14" x14ac:dyDescent="0.4">
      <c r="B91" s="130"/>
      <c r="G91" s="46"/>
    </row>
    <row r="92" spans="2:14" x14ac:dyDescent="0.4">
      <c r="B92" s="130"/>
      <c r="G92" s="46"/>
    </row>
    <row r="93" spans="2:14" x14ac:dyDescent="0.4">
      <c r="B93" s="130"/>
      <c r="G93" s="46"/>
    </row>
    <row r="94" spans="2:14" x14ac:dyDescent="0.4">
      <c r="B94" s="130"/>
      <c r="G94" s="46"/>
      <c r="H94" s="131"/>
    </row>
  </sheetData>
  <autoFilter ref="A1:I94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4" zoomScale="85" zoomScaleNormal="85" workbookViewId="0">
      <selection activeCell="F141" sqref="F141"/>
    </sheetView>
  </sheetViews>
  <sheetFormatPr defaultColWidth="9.1171875" defaultRowHeight="12.7" x14ac:dyDescent="0.4"/>
  <cols>
    <col min="1" max="1" width="9.1171875" style="129"/>
    <col min="2" max="2" width="10.1171875" style="129" bestFit="1" customWidth="1"/>
    <col min="3" max="3" width="17.29296875" style="129" bestFit="1" customWidth="1"/>
    <col min="4" max="4" width="9.1171875" style="129"/>
    <col min="5" max="5" width="12.87890625" style="129" customWidth="1"/>
    <col min="6" max="6" width="50.1171875" style="129" bestFit="1" customWidth="1"/>
    <col min="7" max="7" width="10.703125" style="129" bestFit="1" customWidth="1"/>
    <col min="8" max="8" width="25.1171875" style="129" customWidth="1"/>
    <col min="9" max="9" width="8.703125" style="129" bestFit="1" customWidth="1"/>
    <col min="10" max="16384" width="9.1171875" style="129"/>
  </cols>
  <sheetData>
    <row r="1" spans="1:9" x14ac:dyDescent="0.4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4">
      <c r="B2" s="130">
        <v>44440</v>
      </c>
      <c r="C2" s="129" t="s">
        <v>847</v>
      </c>
      <c r="D2" s="129">
        <v>-23.65</v>
      </c>
      <c r="E2" s="129" t="s">
        <v>733</v>
      </c>
      <c r="F2" s="129" t="s">
        <v>955</v>
      </c>
    </row>
    <row r="3" spans="1:9" x14ac:dyDescent="0.4">
      <c r="B3" s="130">
        <v>44440</v>
      </c>
      <c r="C3" s="129" t="s">
        <v>847</v>
      </c>
      <c r="D3" s="129">
        <v>-14.36</v>
      </c>
      <c r="E3" s="129" t="s">
        <v>733</v>
      </c>
      <c r="F3" s="129" t="s">
        <v>956</v>
      </c>
    </row>
    <row r="4" spans="1:9" x14ac:dyDescent="0.4">
      <c r="B4" s="130">
        <v>44440</v>
      </c>
      <c r="C4" s="129" t="s">
        <v>847</v>
      </c>
      <c r="D4" s="129">
        <v>-10.4</v>
      </c>
      <c r="E4" s="129" t="s">
        <v>733</v>
      </c>
      <c r="F4" s="129" t="s">
        <v>957</v>
      </c>
    </row>
    <row r="5" spans="1:9" x14ac:dyDescent="0.4">
      <c r="B5" s="130">
        <v>44440</v>
      </c>
      <c r="C5" s="129" t="s">
        <v>847</v>
      </c>
      <c r="D5" s="129">
        <v>-135</v>
      </c>
      <c r="E5" s="129" t="s">
        <v>733</v>
      </c>
      <c r="F5" s="129" t="s">
        <v>958</v>
      </c>
    </row>
    <row r="6" spans="1:9" x14ac:dyDescent="0.4">
      <c r="B6" s="130">
        <v>44440</v>
      </c>
      <c r="C6" s="129" t="s">
        <v>847</v>
      </c>
      <c r="D6" s="129">
        <v>-98.57</v>
      </c>
      <c r="E6" s="129" t="s">
        <v>733</v>
      </c>
      <c r="F6" s="129" t="s">
        <v>959</v>
      </c>
    </row>
    <row r="7" spans="1:9" x14ac:dyDescent="0.4">
      <c r="B7" s="130">
        <v>44440</v>
      </c>
      <c r="C7" s="129" t="s">
        <v>847</v>
      </c>
      <c r="D7" s="129">
        <v>-74.95</v>
      </c>
      <c r="E7" s="129" t="s">
        <v>733</v>
      </c>
      <c r="F7" s="129" t="s">
        <v>959</v>
      </c>
    </row>
    <row r="8" spans="1:9" x14ac:dyDescent="0.4">
      <c r="B8" s="130">
        <v>44440</v>
      </c>
      <c r="C8" s="129" t="s">
        <v>847</v>
      </c>
      <c r="D8" s="129">
        <v>-55.07</v>
      </c>
      <c r="E8" s="129" t="s">
        <v>733</v>
      </c>
      <c r="F8" s="129" t="s">
        <v>960</v>
      </c>
    </row>
    <row r="9" spans="1:9" x14ac:dyDescent="0.4">
      <c r="B9" s="130">
        <v>44441</v>
      </c>
      <c r="C9" s="129" t="s">
        <v>847</v>
      </c>
      <c r="D9" s="129">
        <v>9.99</v>
      </c>
      <c r="E9" s="129" t="s">
        <v>750</v>
      </c>
      <c r="F9" s="129" t="s">
        <v>961</v>
      </c>
    </row>
    <row r="10" spans="1:9" x14ac:dyDescent="0.4">
      <c r="B10" s="130">
        <v>44441</v>
      </c>
      <c r="C10" s="129" t="s">
        <v>847</v>
      </c>
      <c r="D10" s="129">
        <v>-30</v>
      </c>
      <c r="E10" s="129" t="s">
        <v>733</v>
      </c>
      <c r="F10" s="129" t="s">
        <v>962</v>
      </c>
    </row>
    <row r="11" spans="1:9" x14ac:dyDescent="0.4">
      <c r="B11" s="130">
        <v>44441</v>
      </c>
      <c r="C11" s="129" t="s">
        <v>847</v>
      </c>
      <c r="D11" s="129">
        <v>-22.45</v>
      </c>
      <c r="E11" s="129" t="s">
        <v>733</v>
      </c>
      <c r="F11" s="129" t="s">
        <v>963</v>
      </c>
    </row>
    <row r="12" spans="1:9" x14ac:dyDescent="0.4">
      <c r="B12" s="130">
        <v>44441</v>
      </c>
      <c r="C12" s="129" t="s">
        <v>847</v>
      </c>
      <c r="D12" s="129">
        <v>-86.35</v>
      </c>
      <c r="E12" s="129" t="s">
        <v>733</v>
      </c>
      <c r="F12" s="129" t="s">
        <v>961</v>
      </c>
    </row>
    <row r="13" spans="1:9" x14ac:dyDescent="0.4">
      <c r="B13" s="130">
        <v>44441</v>
      </c>
      <c r="C13" s="129" t="s">
        <v>847</v>
      </c>
      <c r="D13" s="129">
        <v>-47.31</v>
      </c>
      <c r="E13" s="129" t="s">
        <v>733</v>
      </c>
      <c r="F13" s="129" t="s">
        <v>964</v>
      </c>
    </row>
    <row r="14" spans="1:9" x14ac:dyDescent="0.4">
      <c r="B14" s="130">
        <v>44441</v>
      </c>
      <c r="C14" s="129" t="s">
        <v>847</v>
      </c>
      <c r="D14" s="129">
        <v>-3.49</v>
      </c>
      <c r="E14" s="129" t="s">
        <v>733</v>
      </c>
      <c r="F14" s="129" t="s">
        <v>965</v>
      </c>
    </row>
    <row r="15" spans="1:9" x14ac:dyDescent="0.4">
      <c r="B15" s="130">
        <v>44441</v>
      </c>
      <c r="C15" s="129" t="s">
        <v>847</v>
      </c>
      <c r="D15" s="129">
        <v>-2.5</v>
      </c>
      <c r="E15" s="129" t="s">
        <v>733</v>
      </c>
      <c r="F15" s="129" t="s">
        <v>966</v>
      </c>
    </row>
    <row r="16" spans="1:9" x14ac:dyDescent="0.4">
      <c r="B16" s="130">
        <v>44442</v>
      </c>
      <c r="C16" s="129" t="s">
        <v>847</v>
      </c>
      <c r="D16" s="129">
        <v>-41.64</v>
      </c>
      <c r="E16" s="129" t="s">
        <v>733</v>
      </c>
      <c r="F16" s="129" t="s">
        <v>967</v>
      </c>
    </row>
    <row r="17" spans="2:6" x14ac:dyDescent="0.4">
      <c r="B17" s="130">
        <v>44442</v>
      </c>
      <c r="C17" s="129" t="s">
        <v>847</v>
      </c>
      <c r="D17" s="129">
        <v>-39.1</v>
      </c>
      <c r="E17" s="129" t="s">
        <v>733</v>
      </c>
      <c r="F17" s="129" t="s">
        <v>968</v>
      </c>
    </row>
    <row r="18" spans="2:6" x14ac:dyDescent="0.4">
      <c r="B18" s="130">
        <v>44442</v>
      </c>
      <c r="C18" s="129" t="s">
        <v>847</v>
      </c>
      <c r="D18" s="129">
        <v>-33.700000000000003</v>
      </c>
      <c r="E18" s="129" t="s">
        <v>733</v>
      </c>
      <c r="F18" s="129" t="s">
        <v>969</v>
      </c>
    </row>
    <row r="19" spans="2:6" x14ac:dyDescent="0.4">
      <c r="B19" s="130">
        <v>44442</v>
      </c>
      <c r="C19" s="129" t="s">
        <v>847</v>
      </c>
      <c r="D19" s="129">
        <v>-30</v>
      </c>
      <c r="E19" s="129" t="s">
        <v>733</v>
      </c>
      <c r="F19" s="129" t="s">
        <v>970</v>
      </c>
    </row>
    <row r="20" spans="2:6" x14ac:dyDescent="0.4">
      <c r="B20" s="130">
        <v>44442</v>
      </c>
      <c r="C20" s="129" t="s">
        <v>847</v>
      </c>
      <c r="D20" s="129">
        <v>-25.74</v>
      </c>
      <c r="E20" s="129" t="s">
        <v>733</v>
      </c>
      <c r="F20" s="129" t="s">
        <v>762</v>
      </c>
    </row>
    <row r="21" spans="2:6" x14ac:dyDescent="0.4">
      <c r="B21" s="130">
        <v>44442</v>
      </c>
      <c r="C21" s="129" t="s">
        <v>847</v>
      </c>
      <c r="D21" s="129">
        <v>-10.47</v>
      </c>
      <c r="E21" s="129" t="s">
        <v>733</v>
      </c>
      <c r="F21" s="129" t="s">
        <v>971</v>
      </c>
    </row>
    <row r="22" spans="2:6" x14ac:dyDescent="0.4">
      <c r="B22" s="130">
        <v>44442</v>
      </c>
      <c r="C22" s="129" t="s">
        <v>847</v>
      </c>
      <c r="D22" s="129">
        <v>-5</v>
      </c>
      <c r="E22" s="129" t="s">
        <v>733</v>
      </c>
      <c r="F22" s="129" t="s">
        <v>972</v>
      </c>
    </row>
    <row r="23" spans="2:6" x14ac:dyDescent="0.4">
      <c r="B23" s="130">
        <v>44442</v>
      </c>
      <c r="C23" s="129" t="s">
        <v>847</v>
      </c>
      <c r="D23" s="129">
        <v>-4.5999999999999996</v>
      </c>
      <c r="E23" s="129" t="s">
        <v>733</v>
      </c>
      <c r="F23" s="129" t="s">
        <v>973</v>
      </c>
    </row>
    <row r="24" spans="2:6" x14ac:dyDescent="0.4">
      <c r="B24" s="130">
        <v>44442</v>
      </c>
      <c r="C24" s="129" t="s">
        <v>847</v>
      </c>
      <c r="D24" s="129">
        <v>-97.62</v>
      </c>
      <c r="E24" s="129" t="s">
        <v>733</v>
      </c>
      <c r="F24" s="129" t="s">
        <v>974</v>
      </c>
    </row>
    <row r="25" spans="2:6" x14ac:dyDescent="0.4">
      <c r="B25" s="130">
        <v>44442</v>
      </c>
      <c r="C25" s="129" t="s">
        <v>847</v>
      </c>
      <c r="D25" s="129">
        <v>-63.95</v>
      </c>
      <c r="E25" s="129" t="s">
        <v>733</v>
      </c>
      <c r="F25" s="129" t="s">
        <v>975</v>
      </c>
    </row>
    <row r="26" spans="2:6" x14ac:dyDescent="0.4">
      <c r="B26" s="130">
        <v>44442</v>
      </c>
      <c r="C26" s="129" t="s">
        <v>847</v>
      </c>
      <c r="D26" s="129">
        <v>-29.82</v>
      </c>
      <c r="E26" s="129" t="s">
        <v>733</v>
      </c>
      <c r="F26" s="129" t="s">
        <v>976</v>
      </c>
    </row>
    <row r="27" spans="2:6" x14ac:dyDescent="0.4">
      <c r="B27" s="130">
        <v>44445</v>
      </c>
      <c r="C27" s="129" t="s">
        <v>847</v>
      </c>
      <c r="D27" s="129">
        <v>39</v>
      </c>
      <c r="E27" s="129" t="s">
        <v>977</v>
      </c>
      <c r="F27" s="129" t="s">
        <v>978</v>
      </c>
    </row>
    <row r="28" spans="2:6" x14ac:dyDescent="0.4">
      <c r="B28" s="130">
        <v>44445</v>
      </c>
      <c r="C28" s="129" t="s">
        <v>847</v>
      </c>
      <c r="D28" s="129">
        <v>60.5</v>
      </c>
      <c r="E28" s="129" t="s">
        <v>750</v>
      </c>
      <c r="F28" s="129" t="s">
        <v>883</v>
      </c>
    </row>
    <row r="29" spans="2:6" x14ac:dyDescent="0.4">
      <c r="B29" s="130">
        <v>44445</v>
      </c>
      <c r="C29" s="129" t="s">
        <v>847</v>
      </c>
      <c r="D29" s="129">
        <v>40</v>
      </c>
      <c r="E29" s="129" t="s">
        <v>750</v>
      </c>
      <c r="F29" s="129" t="s">
        <v>979</v>
      </c>
    </row>
    <row r="30" spans="2:6" x14ac:dyDescent="0.4">
      <c r="B30" s="130">
        <v>44445</v>
      </c>
      <c r="C30" s="129" t="s">
        <v>847</v>
      </c>
      <c r="D30" s="129">
        <v>-44.04</v>
      </c>
      <c r="E30" s="129" t="s">
        <v>733</v>
      </c>
      <c r="F30" s="129" t="s">
        <v>980</v>
      </c>
    </row>
    <row r="31" spans="2:6" x14ac:dyDescent="0.4">
      <c r="B31" s="130">
        <v>44445</v>
      </c>
      <c r="C31" s="129" t="s">
        <v>847</v>
      </c>
      <c r="D31" s="129">
        <v>-33.1</v>
      </c>
      <c r="E31" s="129" t="s">
        <v>733</v>
      </c>
      <c r="F31" s="129" t="s">
        <v>981</v>
      </c>
    </row>
    <row r="32" spans="2:6" x14ac:dyDescent="0.4">
      <c r="B32" s="130">
        <v>44445</v>
      </c>
      <c r="C32" s="129" t="s">
        <v>847</v>
      </c>
      <c r="D32" s="129">
        <v>-15</v>
      </c>
      <c r="E32" s="129" t="s">
        <v>733</v>
      </c>
      <c r="F32" s="129" t="s">
        <v>982</v>
      </c>
    </row>
    <row r="33" spans="2:6" x14ac:dyDescent="0.4">
      <c r="B33" s="130">
        <v>44445</v>
      </c>
      <c r="C33" s="129" t="s">
        <v>847</v>
      </c>
      <c r="D33" s="129">
        <v>-14.55</v>
      </c>
      <c r="E33" s="129" t="s">
        <v>733</v>
      </c>
      <c r="F33" s="129" t="s">
        <v>980</v>
      </c>
    </row>
    <row r="34" spans="2:6" x14ac:dyDescent="0.4">
      <c r="B34" s="130">
        <v>44445</v>
      </c>
      <c r="C34" s="129" t="s">
        <v>847</v>
      </c>
      <c r="D34" s="129">
        <v>-10</v>
      </c>
      <c r="E34" s="129" t="s">
        <v>767</v>
      </c>
      <c r="F34" s="129" t="s">
        <v>983</v>
      </c>
    </row>
    <row r="35" spans="2:6" x14ac:dyDescent="0.4">
      <c r="B35" s="130">
        <v>44445</v>
      </c>
      <c r="C35" s="129" t="s">
        <v>847</v>
      </c>
      <c r="D35" s="129">
        <v>-22.5</v>
      </c>
      <c r="E35" s="129" t="s">
        <v>733</v>
      </c>
      <c r="F35" s="129" t="s">
        <v>979</v>
      </c>
    </row>
    <row r="36" spans="2:6" x14ac:dyDescent="0.4">
      <c r="B36" s="130">
        <v>44446</v>
      </c>
      <c r="C36" s="129" t="s">
        <v>847</v>
      </c>
      <c r="D36" s="129">
        <v>-44.76</v>
      </c>
      <c r="E36" s="129" t="s">
        <v>733</v>
      </c>
      <c r="F36" s="129" t="s">
        <v>984</v>
      </c>
    </row>
    <row r="37" spans="2:6" x14ac:dyDescent="0.4">
      <c r="B37" s="130">
        <v>44446</v>
      </c>
      <c r="C37" s="129" t="s">
        <v>847</v>
      </c>
      <c r="D37" s="129">
        <v>-22.3</v>
      </c>
      <c r="E37" s="129" t="s">
        <v>733</v>
      </c>
      <c r="F37" s="129" t="s">
        <v>985</v>
      </c>
    </row>
    <row r="38" spans="2:6" x14ac:dyDescent="0.4">
      <c r="B38" s="130">
        <v>44446</v>
      </c>
      <c r="C38" s="129" t="s">
        <v>847</v>
      </c>
      <c r="D38" s="129">
        <v>-18.239999999999998</v>
      </c>
      <c r="E38" s="129" t="s">
        <v>733</v>
      </c>
      <c r="F38" s="129" t="s">
        <v>986</v>
      </c>
    </row>
    <row r="39" spans="2:6" x14ac:dyDescent="0.4">
      <c r="B39" s="130">
        <v>44446</v>
      </c>
      <c r="C39" s="129" t="s">
        <v>847</v>
      </c>
      <c r="D39" s="129">
        <v>-12.24</v>
      </c>
      <c r="E39" s="129" t="s">
        <v>733</v>
      </c>
      <c r="F39" s="129" t="s">
        <v>987</v>
      </c>
    </row>
    <row r="40" spans="2:6" x14ac:dyDescent="0.4">
      <c r="B40" s="130">
        <v>44446</v>
      </c>
      <c r="C40" s="129" t="s">
        <v>847</v>
      </c>
      <c r="D40" s="129">
        <v>-12.18</v>
      </c>
      <c r="E40" s="129" t="s">
        <v>733</v>
      </c>
      <c r="F40" s="129" t="s">
        <v>987</v>
      </c>
    </row>
    <row r="41" spans="2:6" x14ac:dyDescent="0.4">
      <c r="B41" s="130">
        <v>44446</v>
      </c>
      <c r="C41" s="129" t="s">
        <v>847</v>
      </c>
      <c r="D41" s="129">
        <v>-4.5</v>
      </c>
      <c r="E41" s="129" t="s">
        <v>733</v>
      </c>
      <c r="F41" s="129" t="s">
        <v>988</v>
      </c>
    </row>
    <row r="42" spans="2:6" x14ac:dyDescent="0.4">
      <c r="B42" s="130">
        <v>44446</v>
      </c>
      <c r="C42" s="129" t="s">
        <v>847</v>
      </c>
      <c r="D42" s="129">
        <v>-28.13</v>
      </c>
      <c r="E42" s="129" t="s">
        <v>733</v>
      </c>
      <c r="F42" s="129" t="s">
        <v>989</v>
      </c>
    </row>
    <row r="43" spans="2:6" x14ac:dyDescent="0.4">
      <c r="B43" s="130">
        <v>44447</v>
      </c>
      <c r="C43" s="129" t="s">
        <v>847</v>
      </c>
      <c r="D43" s="129">
        <v>500</v>
      </c>
      <c r="E43" s="129" t="s">
        <v>732</v>
      </c>
      <c r="F43" s="129" t="s">
        <v>850</v>
      </c>
    </row>
    <row r="44" spans="2:6" x14ac:dyDescent="0.4">
      <c r="B44" s="130">
        <v>44447</v>
      </c>
      <c r="C44" s="129" t="s">
        <v>847</v>
      </c>
      <c r="D44" s="129">
        <v>300</v>
      </c>
      <c r="E44" s="129" t="s">
        <v>732</v>
      </c>
      <c r="F44" s="129" t="s">
        <v>851</v>
      </c>
    </row>
    <row r="45" spans="2:6" x14ac:dyDescent="0.4">
      <c r="B45" s="130">
        <v>44447</v>
      </c>
      <c r="C45" s="129" t="s">
        <v>847</v>
      </c>
      <c r="D45" s="129">
        <v>-78.78</v>
      </c>
      <c r="E45" s="129" t="s">
        <v>733</v>
      </c>
      <c r="F45" s="129" t="s">
        <v>990</v>
      </c>
    </row>
    <row r="46" spans="2:6" x14ac:dyDescent="0.4">
      <c r="B46" s="130">
        <v>44447</v>
      </c>
      <c r="C46" s="129" t="s">
        <v>847</v>
      </c>
      <c r="D46" s="129">
        <v>-58.14</v>
      </c>
      <c r="E46" s="129" t="s">
        <v>733</v>
      </c>
      <c r="F46" s="129" t="s">
        <v>991</v>
      </c>
    </row>
    <row r="47" spans="2:6" x14ac:dyDescent="0.4">
      <c r="B47" s="130">
        <v>44447</v>
      </c>
      <c r="C47" s="129" t="s">
        <v>847</v>
      </c>
      <c r="D47" s="129">
        <v>-56.6</v>
      </c>
      <c r="E47" s="129" t="s">
        <v>733</v>
      </c>
      <c r="F47" s="129" t="s">
        <v>992</v>
      </c>
    </row>
    <row r="48" spans="2:6" x14ac:dyDescent="0.4">
      <c r="B48" s="130">
        <v>44448</v>
      </c>
      <c r="C48" s="129" t="s">
        <v>847</v>
      </c>
      <c r="D48" s="129">
        <v>-33.17</v>
      </c>
      <c r="E48" s="129" t="s">
        <v>733</v>
      </c>
      <c r="F48" s="129" t="s">
        <v>993</v>
      </c>
    </row>
    <row r="49" spans="2:6" x14ac:dyDescent="0.4">
      <c r="B49" s="130">
        <v>44448</v>
      </c>
      <c r="C49" s="129" t="s">
        <v>847</v>
      </c>
      <c r="D49" s="129">
        <v>-23.65</v>
      </c>
      <c r="E49" s="129" t="s">
        <v>733</v>
      </c>
      <c r="F49" s="129" t="s">
        <v>994</v>
      </c>
    </row>
    <row r="50" spans="2:6" x14ac:dyDescent="0.4">
      <c r="B50" s="130">
        <v>44448</v>
      </c>
      <c r="C50" s="129" t="s">
        <v>847</v>
      </c>
      <c r="D50" s="129">
        <v>-8</v>
      </c>
      <c r="E50" s="129" t="s">
        <v>733</v>
      </c>
      <c r="F50" s="129" t="s">
        <v>995</v>
      </c>
    </row>
    <row r="51" spans="2:6" x14ac:dyDescent="0.4">
      <c r="B51" s="130">
        <v>44448</v>
      </c>
      <c r="C51" s="129" t="s">
        <v>847</v>
      </c>
      <c r="D51" s="129">
        <v>-87.15</v>
      </c>
      <c r="E51" s="129" t="s">
        <v>733</v>
      </c>
      <c r="F51" s="129" t="s">
        <v>996</v>
      </c>
    </row>
    <row r="52" spans="2:6" x14ac:dyDescent="0.4">
      <c r="B52" s="130">
        <v>44448</v>
      </c>
      <c r="C52" s="129" t="s">
        <v>847</v>
      </c>
      <c r="D52" s="129">
        <v>-50</v>
      </c>
      <c r="E52" s="129" t="s">
        <v>733</v>
      </c>
      <c r="F52" s="129" t="s">
        <v>996</v>
      </c>
    </row>
    <row r="53" spans="2:6" x14ac:dyDescent="0.4">
      <c r="B53" s="130">
        <v>44448</v>
      </c>
      <c r="C53" s="129" t="s">
        <v>847</v>
      </c>
      <c r="D53" s="129">
        <v>-35.89</v>
      </c>
      <c r="E53" s="129" t="s">
        <v>733</v>
      </c>
      <c r="F53" s="129" t="s">
        <v>997</v>
      </c>
    </row>
    <row r="54" spans="2:6" x14ac:dyDescent="0.4">
      <c r="B54" s="130">
        <v>44449</v>
      </c>
      <c r="C54" s="129" t="s">
        <v>847</v>
      </c>
      <c r="D54" s="129">
        <v>-34.15</v>
      </c>
      <c r="E54" s="129" t="s">
        <v>733</v>
      </c>
      <c r="F54" s="129" t="s">
        <v>998</v>
      </c>
    </row>
    <row r="55" spans="2:6" x14ac:dyDescent="0.4">
      <c r="B55" s="130">
        <v>44449</v>
      </c>
      <c r="C55" s="129" t="s">
        <v>847</v>
      </c>
      <c r="D55" s="129">
        <v>-33.119999999999997</v>
      </c>
      <c r="E55" s="129" t="s">
        <v>733</v>
      </c>
      <c r="F55" s="129" t="s">
        <v>999</v>
      </c>
    </row>
    <row r="56" spans="2:6" x14ac:dyDescent="0.4">
      <c r="B56" s="130">
        <v>44449</v>
      </c>
      <c r="C56" s="129" t="s">
        <v>847</v>
      </c>
      <c r="D56" s="129">
        <v>-16.55</v>
      </c>
      <c r="E56" s="129" t="s">
        <v>733</v>
      </c>
      <c r="F56" s="129" t="s">
        <v>1000</v>
      </c>
    </row>
    <row r="57" spans="2:6" x14ac:dyDescent="0.4">
      <c r="B57" s="130">
        <v>44449</v>
      </c>
      <c r="C57" s="129" t="s">
        <v>847</v>
      </c>
      <c r="D57" s="129">
        <v>-2.6</v>
      </c>
      <c r="E57" s="129" t="s">
        <v>733</v>
      </c>
      <c r="F57" s="129" t="s">
        <v>1001</v>
      </c>
    </row>
    <row r="58" spans="2:6" x14ac:dyDescent="0.4">
      <c r="B58" s="130">
        <v>44449</v>
      </c>
      <c r="C58" s="129" t="s">
        <v>847</v>
      </c>
      <c r="D58" s="129">
        <v>-6.79</v>
      </c>
      <c r="E58" s="129" t="s">
        <v>733</v>
      </c>
      <c r="F58" s="129" t="s">
        <v>848</v>
      </c>
    </row>
    <row r="59" spans="2:6" x14ac:dyDescent="0.4">
      <c r="B59" s="130">
        <v>44449</v>
      </c>
      <c r="C59" s="129" t="s">
        <v>847</v>
      </c>
      <c r="D59" s="129">
        <v>-2.5</v>
      </c>
      <c r="E59" s="129" t="s">
        <v>733</v>
      </c>
      <c r="F59" s="129" t="s">
        <v>1002</v>
      </c>
    </row>
    <row r="60" spans="2:6" x14ac:dyDescent="0.4">
      <c r="B60" s="130">
        <v>44449</v>
      </c>
      <c r="C60" s="129" t="s">
        <v>847</v>
      </c>
      <c r="D60" s="129">
        <v>-8</v>
      </c>
      <c r="E60" s="129" t="s">
        <v>743</v>
      </c>
      <c r="F60" s="129" t="s">
        <v>849</v>
      </c>
    </row>
    <row r="61" spans="2:6" x14ac:dyDescent="0.4">
      <c r="B61" s="130">
        <v>44452</v>
      </c>
      <c r="C61" s="129" t="s">
        <v>847</v>
      </c>
      <c r="D61" s="129">
        <v>-36</v>
      </c>
      <c r="E61" s="129" t="s">
        <v>733</v>
      </c>
      <c r="F61" s="129" t="s">
        <v>1003</v>
      </c>
    </row>
    <row r="62" spans="2:6" x14ac:dyDescent="0.4">
      <c r="B62" s="130">
        <v>44452</v>
      </c>
      <c r="C62" s="129" t="s">
        <v>847</v>
      </c>
      <c r="D62" s="129">
        <v>-34.39</v>
      </c>
      <c r="E62" s="129" t="s">
        <v>733</v>
      </c>
      <c r="F62" s="129" t="s">
        <v>1004</v>
      </c>
    </row>
    <row r="63" spans="2:6" x14ac:dyDescent="0.4">
      <c r="B63" s="130">
        <v>44452</v>
      </c>
      <c r="C63" s="129" t="s">
        <v>847</v>
      </c>
      <c r="D63" s="129">
        <v>-29.99</v>
      </c>
      <c r="E63" s="129" t="s">
        <v>733</v>
      </c>
      <c r="F63" s="129" t="s">
        <v>1005</v>
      </c>
    </row>
    <row r="64" spans="2:6" x14ac:dyDescent="0.4">
      <c r="B64" s="130">
        <v>44452</v>
      </c>
      <c r="C64" s="129" t="s">
        <v>847</v>
      </c>
      <c r="D64" s="129">
        <v>-27.3</v>
      </c>
      <c r="E64" s="129" t="s">
        <v>733</v>
      </c>
      <c r="F64" s="129" t="s">
        <v>1006</v>
      </c>
    </row>
    <row r="65" spans="2:6" x14ac:dyDescent="0.4">
      <c r="B65" s="130">
        <v>44452</v>
      </c>
      <c r="C65" s="129" t="s">
        <v>847</v>
      </c>
      <c r="D65" s="129">
        <v>-25.85</v>
      </c>
      <c r="E65" s="129" t="s">
        <v>733</v>
      </c>
      <c r="F65" s="129" t="s">
        <v>1007</v>
      </c>
    </row>
    <row r="66" spans="2:6" x14ac:dyDescent="0.4">
      <c r="B66" s="130">
        <v>44452</v>
      </c>
      <c r="C66" s="129" t="s">
        <v>847</v>
      </c>
      <c r="D66" s="129">
        <v>-19</v>
      </c>
      <c r="E66" s="129" t="s">
        <v>733</v>
      </c>
      <c r="F66" s="129" t="s">
        <v>1004</v>
      </c>
    </row>
    <row r="67" spans="2:6" x14ac:dyDescent="0.4">
      <c r="B67" s="130">
        <v>44452</v>
      </c>
      <c r="C67" s="129" t="s">
        <v>847</v>
      </c>
      <c r="D67" s="129">
        <v>-16.55</v>
      </c>
      <c r="E67" s="129" t="s">
        <v>733</v>
      </c>
      <c r="F67" s="129" t="s">
        <v>1008</v>
      </c>
    </row>
    <row r="68" spans="2:6" x14ac:dyDescent="0.4">
      <c r="B68" s="130">
        <v>44452</v>
      </c>
      <c r="C68" s="129" t="s">
        <v>847</v>
      </c>
      <c r="D68" s="129">
        <v>-16.23</v>
      </c>
      <c r="E68" s="129" t="s">
        <v>733</v>
      </c>
      <c r="F68" s="129" t="s">
        <v>1009</v>
      </c>
    </row>
    <row r="69" spans="2:6" x14ac:dyDescent="0.4">
      <c r="B69" s="130">
        <v>44452</v>
      </c>
      <c r="C69" s="129" t="s">
        <v>847</v>
      </c>
      <c r="D69" s="129">
        <v>-14.55</v>
      </c>
      <c r="E69" s="129" t="s">
        <v>733</v>
      </c>
      <c r="F69" s="129" t="s">
        <v>1010</v>
      </c>
    </row>
    <row r="70" spans="2:6" x14ac:dyDescent="0.4">
      <c r="B70" s="130">
        <v>44452</v>
      </c>
      <c r="C70" s="129" t="s">
        <v>847</v>
      </c>
      <c r="D70" s="129">
        <v>-14.5</v>
      </c>
      <c r="E70" s="129" t="s">
        <v>733</v>
      </c>
      <c r="F70" s="129" t="s">
        <v>1003</v>
      </c>
    </row>
    <row r="71" spans="2:6" x14ac:dyDescent="0.4">
      <c r="B71" s="130">
        <v>44452</v>
      </c>
      <c r="C71" s="129" t="s">
        <v>847</v>
      </c>
      <c r="D71" s="129">
        <v>-9.65</v>
      </c>
      <c r="E71" s="129" t="s">
        <v>733</v>
      </c>
      <c r="F71" s="129" t="s">
        <v>1011</v>
      </c>
    </row>
    <row r="72" spans="2:6" x14ac:dyDescent="0.4">
      <c r="B72" s="130">
        <v>44452</v>
      </c>
      <c r="C72" s="129" t="s">
        <v>847</v>
      </c>
      <c r="D72" s="129">
        <v>-2.6</v>
      </c>
      <c r="E72" s="129" t="s">
        <v>733</v>
      </c>
      <c r="F72" s="129" t="s">
        <v>1010</v>
      </c>
    </row>
    <row r="73" spans="2:6" x14ac:dyDescent="0.4">
      <c r="B73" s="130">
        <v>44452</v>
      </c>
      <c r="C73" s="129" t="s">
        <v>847</v>
      </c>
      <c r="D73" s="129">
        <v>-210</v>
      </c>
      <c r="E73" s="129" t="s">
        <v>767</v>
      </c>
      <c r="F73" s="129" t="s">
        <v>1012</v>
      </c>
    </row>
    <row r="74" spans="2:6" x14ac:dyDescent="0.4">
      <c r="B74" s="130">
        <v>44452</v>
      </c>
      <c r="C74" s="129" t="s">
        <v>847</v>
      </c>
      <c r="D74" s="129">
        <v>-3</v>
      </c>
      <c r="E74" s="129" t="s">
        <v>733</v>
      </c>
      <c r="F74" s="129" t="s">
        <v>1013</v>
      </c>
    </row>
    <row r="75" spans="2:6" x14ac:dyDescent="0.4">
      <c r="B75" s="130">
        <v>44454</v>
      </c>
      <c r="C75" s="129" t="s">
        <v>847</v>
      </c>
      <c r="D75" s="129">
        <v>700</v>
      </c>
      <c r="E75" s="129" t="s">
        <v>732</v>
      </c>
      <c r="F75" s="129" t="s">
        <v>850</v>
      </c>
    </row>
    <row r="76" spans="2:6" x14ac:dyDescent="0.4">
      <c r="B76" s="130">
        <v>44455</v>
      </c>
      <c r="C76" s="129" t="s">
        <v>847</v>
      </c>
      <c r="D76" s="129">
        <v>25.98</v>
      </c>
      <c r="E76" s="129" t="s">
        <v>750</v>
      </c>
      <c r="F76" s="129" t="s">
        <v>1014</v>
      </c>
    </row>
    <row r="77" spans="2:6" x14ac:dyDescent="0.4">
      <c r="B77" s="130">
        <v>44455</v>
      </c>
      <c r="C77" s="129" t="s">
        <v>847</v>
      </c>
      <c r="D77" s="129">
        <v>-75.930000000000007</v>
      </c>
      <c r="E77" s="129" t="s">
        <v>733</v>
      </c>
      <c r="F77" s="129" t="s">
        <v>1015</v>
      </c>
    </row>
    <row r="78" spans="2:6" x14ac:dyDescent="0.4">
      <c r="B78" s="130">
        <v>44456</v>
      </c>
      <c r="C78" s="129" t="s">
        <v>847</v>
      </c>
      <c r="D78" s="129">
        <v>-26.06</v>
      </c>
      <c r="E78" s="129" t="s">
        <v>733</v>
      </c>
      <c r="F78" s="129" t="s">
        <v>1016</v>
      </c>
    </row>
    <row r="79" spans="2:6" x14ac:dyDescent="0.4">
      <c r="B79" s="130">
        <v>44456</v>
      </c>
      <c r="C79" s="129" t="s">
        <v>847</v>
      </c>
      <c r="D79" s="129">
        <v>-2.1</v>
      </c>
      <c r="E79" s="129" t="s">
        <v>733</v>
      </c>
      <c r="F79" s="129" t="s">
        <v>1017</v>
      </c>
    </row>
    <row r="80" spans="2:6" x14ac:dyDescent="0.4">
      <c r="B80" s="130">
        <v>44456</v>
      </c>
      <c r="C80" s="129" t="s">
        <v>847</v>
      </c>
      <c r="D80" s="129">
        <v>-1.69</v>
      </c>
      <c r="E80" s="129" t="s">
        <v>733</v>
      </c>
      <c r="F80" s="129" t="s">
        <v>1016</v>
      </c>
    </row>
    <row r="81" spans="2:6" x14ac:dyDescent="0.4">
      <c r="B81" s="130">
        <v>44456</v>
      </c>
      <c r="C81" s="129" t="s">
        <v>847</v>
      </c>
      <c r="D81" s="129">
        <v>-54.25</v>
      </c>
      <c r="E81" s="129" t="s">
        <v>733</v>
      </c>
      <c r="F81" s="129" t="s">
        <v>1018</v>
      </c>
    </row>
    <row r="82" spans="2:6" x14ac:dyDescent="0.4">
      <c r="B82" s="130">
        <v>44459</v>
      </c>
      <c r="C82" s="129" t="s">
        <v>847</v>
      </c>
      <c r="D82" s="129">
        <v>-31.49</v>
      </c>
      <c r="E82" s="129" t="s">
        <v>733</v>
      </c>
      <c r="F82" s="129" t="s">
        <v>1019</v>
      </c>
    </row>
    <row r="83" spans="2:6" x14ac:dyDescent="0.4">
      <c r="B83" s="130">
        <v>44459</v>
      </c>
      <c r="C83" s="129" t="s">
        <v>847</v>
      </c>
      <c r="D83" s="129">
        <v>-19.72</v>
      </c>
      <c r="E83" s="129" t="s">
        <v>733</v>
      </c>
      <c r="F83" s="129" t="s">
        <v>1020</v>
      </c>
    </row>
    <row r="84" spans="2:6" x14ac:dyDescent="0.4">
      <c r="B84" s="130">
        <v>44459</v>
      </c>
      <c r="C84" s="129" t="s">
        <v>847</v>
      </c>
      <c r="D84" s="129">
        <v>-17.14</v>
      </c>
      <c r="E84" s="129" t="s">
        <v>733</v>
      </c>
      <c r="F84" s="129" t="s">
        <v>1021</v>
      </c>
    </row>
    <row r="85" spans="2:6" x14ac:dyDescent="0.4">
      <c r="B85" s="130">
        <v>44459</v>
      </c>
      <c r="C85" s="129" t="s">
        <v>847</v>
      </c>
      <c r="D85" s="129">
        <v>-6.45</v>
      </c>
      <c r="E85" s="129" t="s">
        <v>733</v>
      </c>
      <c r="F85" s="129" t="s">
        <v>1022</v>
      </c>
    </row>
    <row r="86" spans="2:6" x14ac:dyDescent="0.4">
      <c r="B86" s="130">
        <v>44459</v>
      </c>
      <c r="C86" s="129" t="s">
        <v>847</v>
      </c>
      <c r="D86" s="129">
        <v>-4.7</v>
      </c>
      <c r="E86" s="129" t="s">
        <v>733</v>
      </c>
      <c r="F86" s="129" t="s">
        <v>1023</v>
      </c>
    </row>
    <row r="87" spans="2:6" x14ac:dyDescent="0.4">
      <c r="B87" s="130">
        <v>44459</v>
      </c>
      <c r="C87" s="129" t="s">
        <v>847</v>
      </c>
      <c r="D87" s="129">
        <v>-4.1500000000000004</v>
      </c>
      <c r="E87" s="129" t="s">
        <v>733</v>
      </c>
      <c r="F87" s="129" t="s">
        <v>1024</v>
      </c>
    </row>
    <row r="88" spans="2:6" x14ac:dyDescent="0.4">
      <c r="B88" s="130">
        <v>44459</v>
      </c>
      <c r="C88" s="129" t="s">
        <v>847</v>
      </c>
      <c r="D88" s="129">
        <v>-50.13</v>
      </c>
      <c r="E88" s="129" t="s">
        <v>733</v>
      </c>
      <c r="F88" s="129" t="s">
        <v>1025</v>
      </c>
    </row>
    <row r="89" spans="2:6" x14ac:dyDescent="0.4">
      <c r="B89" s="130">
        <v>44459</v>
      </c>
      <c r="C89" s="129" t="s">
        <v>847</v>
      </c>
      <c r="D89" s="129">
        <v>-7.99</v>
      </c>
      <c r="E89" s="129" t="s">
        <v>733</v>
      </c>
      <c r="F89" s="129" t="s">
        <v>1026</v>
      </c>
    </row>
    <row r="90" spans="2:6" x14ac:dyDescent="0.4">
      <c r="B90" s="130">
        <v>44459</v>
      </c>
      <c r="C90" s="129" t="s">
        <v>847</v>
      </c>
      <c r="D90" s="129">
        <v>-4.49</v>
      </c>
      <c r="E90" s="129" t="s">
        <v>733</v>
      </c>
      <c r="F90" s="129" t="s">
        <v>1027</v>
      </c>
    </row>
    <row r="91" spans="2:6" x14ac:dyDescent="0.4">
      <c r="B91" s="130">
        <v>44460</v>
      </c>
      <c r="C91" s="129" t="s">
        <v>847</v>
      </c>
      <c r="D91" s="129">
        <v>-20.100000000000001</v>
      </c>
      <c r="E91" s="129" t="s">
        <v>733</v>
      </c>
      <c r="F91" s="129" t="s">
        <v>1028</v>
      </c>
    </row>
    <row r="92" spans="2:6" x14ac:dyDescent="0.4">
      <c r="B92" s="130">
        <v>44460</v>
      </c>
      <c r="C92" s="129" t="s">
        <v>847</v>
      </c>
      <c r="D92" s="129">
        <v>-3.6</v>
      </c>
      <c r="E92" s="129" t="s">
        <v>733</v>
      </c>
      <c r="F92" s="129" t="s">
        <v>1029</v>
      </c>
    </row>
    <row r="93" spans="2:6" x14ac:dyDescent="0.4">
      <c r="B93" s="130">
        <v>44460</v>
      </c>
      <c r="C93" s="129" t="s">
        <v>847</v>
      </c>
      <c r="D93" s="129">
        <v>-60.77</v>
      </c>
      <c r="E93" s="129" t="s">
        <v>733</v>
      </c>
      <c r="F93" s="129" t="s">
        <v>1030</v>
      </c>
    </row>
    <row r="94" spans="2:6" x14ac:dyDescent="0.4">
      <c r="B94" s="130">
        <v>44461</v>
      </c>
      <c r="C94" s="129" t="s">
        <v>847</v>
      </c>
      <c r="D94" s="129">
        <v>-0.36</v>
      </c>
      <c r="E94" s="129" t="s">
        <v>1031</v>
      </c>
      <c r="F94" s="129" t="s">
        <v>1032</v>
      </c>
    </row>
    <row r="95" spans="2:6" x14ac:dyDescent="0.4">
      <c r="B95" s="130">
        <v>44461</v>
      </c>
      <c r="C95" s="129" t="s">
        <v>847</v>
      </c>
      <c r="D95" s="129">
        <v>-4.9000000000000004</v>
      </c>
      <c r="E95" s="129" t="s">
        <v>733</v>
      </c>
      <c r="F95" s="129" t="s">
        <v>1033</v>
      </c>
    </row>
    <row r="96" spans="2:6" x14ac:dyDescent="0.4">
      <c r="B96" s="130">
        <v>44461</v>
      </c>
      <c r="C96" s="129" t="s">
        <v>847</v>
      </c>
      <c r="D96" s="129">
        <v>-80.900000000000006</v>
      </c>
      <c r="E96" s="129" t="s">
        <v>733</v>
      </c>
      <c r="F96" s="129" t="s">
        <v>1034</v>
      </c>
    </row>
    <row r="97" spans="2:8" x14ac:dyDescent="0.4">
      <c r="B97" s="130">
        <v>44462</v>
      </c>
      <c r="C97" s="129" t="s">
        <v>847</v>
      </c>
      <c r="D97" s="129">
        <v>-36.5</v>
      </c>
      <c r="E97" s="129" t="s">
        <v>733</v>
      </c>
      <c r="F97" s="129" t="s">
        <v>1035</v>
      </c>
    </row>
    <row r="98" spans="2:8" x14ac:dyDescent="0.4">
      <c r="B98" s="130">
        <v>44462</v>
      </c>
      <c r="C98" s="129" t="s">
        <v>847</v>
      </c>
      <c r="D98" s="129">
        <v>-23.35</v>
      </c>
      <c r="E98" s="129" t="s">
        <v>733</v>
      </c>
      <c r="F98" s="129" t="s">
        <v>1036</v>
      </c>
    </row>
    <row r="99" spans="2:8" x14ac:dyDescent="0.4">
      <c r="B99" s="130">
        <v>44462</v>
      </c>
      <c r="C99" s="129" t="s">
        <v>847</v>
      </c>
      <c r="D99" s="129">
        <v>-18.5</v>
      </c>
      <c r="E99" s="129" t="s">
        <v>733</v>
      </c>
      <c r="F99" s="129" t="s">
        <v>1037</v>
      </c>
    </row>
    <row r="100" spans="2:8" x14ac:dyDescent="0.4">
      <c r="B100" s="130">
        <v>44462</v>
      </c>
      <c r="C100" s="129" t="s">
        <v>847</v>
      </c>
      <c r="D100" s="129">
        <v>-17.54</v>
      </c>
      <c r="E100" s="129" t="s">
        <v>733</v>
      </c>
      <c r="F100" s="129" t="s">
        <v>1038</v>
      </c>
      <c r="H100" s="131"/>
    </row>
    <row r="101" spans="2:8" x14ac:dyDescent="0.4">
      <c r="B101" s="130">
        <v>44462</v>
      </c>
      <c r="C101" s="129" t="s">
        <v>847</v>
      </c>
      <c r="D101" s="129">
        <v>-3.75</v>
      </c>
      <c r="E101" s="129" t="s">
        <v>733</v>
      </c>
      <c r="F101" s="129" t="s">
        <v>1039</v>
      </c>
    </row>
    <row r="102" spans="2:8" x14ac:dyDescent="0.4">
      <c r="B102" s="130">
        <v>44462</v>
      </c>
      <c r="C102" s="129" t="s">
        <v>847</v>
      </c>
      <c r="D102" s="129">
        <v>-9.98</v>
      </c>
      <c r="E102" s="129" t="s">
        <v>733</v>
      </c>
      <c r="F102" s="129" t="s">
        <v>1040</v>
      </c>
    </row>
    <row r="103" spans="2:8" x14ac:dyDescent="0.4">
      <c r="B103" s="130">
        <v>44462</v>
      </c>
      <c r="C103" s="129" t="s">
        <v>847</v>
      </c>
      <c r="D103" s="129">
        <v>-3.5</v>
      </c>
      <c r="E103" s="129" t="s">
        <v>733</v>
      </c>
      <c r="F103" s="129" t="s">
        <v>1041</v>
      </c>
    </row>
    <row r="104" spans="2:8" x14ac:dyDescent="0.4">
      <c r="B104" s="130">
        <v>44463</v>
      </c>
      <c r="C104" s="129" t="s">
        <v>847</v>
      </c>
      <c r="D104" s="129">
        <v>-5.6</v>
      </c>
      <c r="E104" s="129" t="s">
        <v>733</v>
      </c>
      <c r="F104" s="129" t="s">
        <v>1042</v>
      </c>
    </row>
    <row r="105" spans="2:8" x14ac:dyDescent="0.4">
      <c r="B105" s="130">
        <v>44466</v>
      </c>
      <c r="C105" s="129" t="s">
        <v>847</v>
      </c>
      <c r="D105" s="129">
        <v>1200</v>
      </c>
      <c r="E105" s="129" t="s">
        <v>770</v>
      </c>
      <c r="F105" s="129" t="s">
        <v>852</v>
      </c>
    </row>
    <row r="106" spans="2:8" x14ac:dyDescent="0.4">
      <c r="B106" s="130">
        <v>44466</v>
      </c>
      <c r="C106" s="129" t="s">
        <v>847</v>
      </c>
      <c r="D106" s="129">
        <v>-29.33</v>
      </c>
      <c r="E106" s="129" t="s">
        <v>733</v>
      </c>
      <c r="F106" s="129" t="s">
        <v>1043</v>
      </c>
    </row>
    <row r="107" spans="2:8" x14ac:dyDescent="0.4">
      <c r="B107" s="130">
        <v>44466</v>
      </c>
      <c r="C107" s="129" t="s">
        <v>847</v>
      </c>
      <c r="D107" s="129">
        <v>-21.99</v>
      </c>
      <c r="E107" s="129" t="s">
        <v>733</v>
      </c>
      <c r="F107" s="129" t="s">
        <v>1044</v>
      </c>
    </row>
    <row r="108" spans="2:8" x14ac:dyDescent="0.4">
      <c r="B108" s="130">
        <v>44467</v>
      </c>
      <c r="C108" s="129" t="s">
        <v>847</v>
      </c>
      <c r="D108" s="129">
        <v>-33.799999999999997</v>
      </c>
      <c r="E108" s="129" t="s">
        <v>733</v>
      </c>
      <c r="F108" s="129" t="s">
        <v>1045</v>
      </c>
    </row>
    <row r="109" spans="2:8" x14ac:dyDescent="0.4">
      <c r="B109" s="130">
        <v>44467</v>
      </c>
      <c r="C109" s="129" t="s">
        <v>847</v>
      </c>
      <c r="D109" s="129">
        <v>-20.6</v>
      </c>
      <c r="E109" s="129" t="s">
        <v>733</v>
      </c>
      <c r="F109" s="129" t="s">
        <v>1046</v>
      </c>
    </row>
    <row r="110" spans="2:8" x14ac:dyDescent="0.4">
      <c r="B110" s="130">
        <v>44467</v>
      </c>
      <c r="C110" s="129" t="s">
        <v>847</v>
      </c>
      <c r="D110" s="129">
        <v>-7.38</v>
      </c>
      <c r="E110" s="129" t="s">
        <v>733</v>
      </c>
      <c r="F110" s="129" t="s">
        <v>1047</v>
      </c>
    </row>
    <row r="111" spans="2:8" x14ac:dyDescent="0.4">
      <c r="B111" s="130">
        <v>44467</v>
      </c>
      <c r="C111" s="129" t="s">
        <v>847</v>
      </c>
      <c r="D111" s="129">
        <v>-2.1</v>
      </c>
      <c r="E111" s="129" t="s">
        <v>733</v>
      </c>
      <c r="F111" s="129" t="s">
        <v>1048</v>
      </c>
    </row>
    <row r="112" spans="2:8" x14ac:dyDescent="0.4">
      <c r="B112" s="130">
        <v>44467</v>
      </c>
      <c r="C112" s="129" t="s">
        <v>847</v>
      </c>
      <c r="D112" s="129">
        <v>-11.37</v>
      </c>
      <c r="E112" s="129" t="s">
        <v>733</v>
      </c>
      <c r="F112" s="129" t="s">
        <v>1049</v>
      </c>
    </row>
    <row r="113" spans="2:8" x14ac:dyDescent="0.4">
      <c r="B113" s="130">
        <v>44468</v>
      </c>
      <c r="C113" s="129" t="s">
        <v>847</v>
      </c>
      <c r="D113" s="129">
        <v>-4.5</v>
      </c>
      <c r="E113" s="129" t="s">
        <v>733</v>
      </c>
      <c r="F113" s="129" t="s">
        <v>1050</v>
      </c>
      <c r="H113" s="131"/>
    </row>
    <row r="114" spans="2:8" x14ac:dyDescent="0.4">
      <c r="B114" s="130">
        <v>44468</v>
      </c>
      <c r="C114" s="129" t="s">
        <v>847</v>
      </c>
      <c r="D114" s="129">
        <v>-4</v>
      </c>
      <c r="E114" s="129" t="s">
        <v>733</v>
      </c>
      <c r="F114" s="129" t="s">
        <v>1051</v>
      </c>
    </row>
    <row r="115" spans="2:8" x14ac:dyDescent="0.4">
      <c r="B115" s="130">
        <v>44468</v>
      </c>
      <c r="C115" s="129" t="s">
        <v>847</v>
      </c>
      <c r="D115" s="129">
        <v>-13.98</v>
      </c>
      <c r="E115" s="129" t="s">
        <v>733</v>
      </c>
      <c r="F115" s="129" t="s">
        <v>1052</v>
      </c>
    </row>
    <row r="116" spans="2:8" x14ac:dyDescent="0.4">
      <c r="B116" s="130">
        <v>44469</v>
      </c>
      <c r="C116" s="129" t="s">
        <v>847</v>
      </c>
      <c r="D116" s="129">
        <v>30.99</v>
      </c>
      <c r="E116" s="129" t="s">
        <v>977</v>
      </c>
      <c r="F116" s="129" t="s">
        <v>1053</v>
      </c>
    </row>
    <row r="117" spans="2:8" x14ac:dyDescent="0.4">
      <c r="B117" s="130">
        <v>44469</v>
      </c>
      <c r="C117" s="129" t="s">
        <v>847</v>
      </c>
      <c r="D117" s="129">
        <v>5.87</v>
      </c>
      <c r="E117" s="129" t="s">
        <v>750</v>
      </c>
      <c r="F117" s="129" t="s">
        <v>1054</v>
      </c>
    </row>
    <row r="118" spans="2:8" x14ac:dyDescent="0.4">
      <c r="B118" s="130">
        <v>44469</v>
      </c>
      <c r="C118" s="129" t="s">
        <v>847</v>
      </c>
      <c r="D118" s="129">
        <v>-40.64</v>
      </c>
      <c r="E118" s="129" t="s">
        <v>733</v>
      </c>
      <c r="F118" s="129" t="s">
        <v>1055</v>
      </c>
    </row>
    <row r="119" spans="2:8" x14ac:dyDescent="0.4">
      <c r="B119" s="130">
        <v>44469</v>
      </c>
      <c r="C119" s="129" t="s">
        <v>847</v>
      </c>
      <c r="D119" s="129">
        <v>-33</v>
      </c>
      <c r="E119" s="129" t="s">
        <v>733</v>
      </c>
      <c r="F119" s="129" t="s">
        <v>1056</v>
      </c>
    </row>
    <row r="120" spans="2:8" x14ac:dyDescent="0.4">
      <c r="B120" s="130">
        <v>44469</v>
      </c>
      <c r="C120" s="129" t="s">
        <v>847</v>
      </c>
      <c r="D120" s="129">
        <v>-7.99</v>
      </c>
      <c r="E120" s="129" t="s">
        <v>733</v>
      </c>
      <c r="F120" s="129" t="s">
        <v>1057</v>
      </c>
    </row>
    <row r="121" spans="2:8" x14ac:dyDescent="0.4">
      <c r="B121" s="130">
        <v>44469</v>
      </c>
      <c r="C121" s="129" t="s">
        <v>847</v>
      </c>
      <c r="D121" s="129">
        <v>-6.15</v>
      </c>
      <c r="E121" s="129" t="s">
        <v>733</v>
      </c>
      <c r="F121" s="129" t="s">
        <v>1058</v>
      </c>
    </row>
    <row r="122" spans="2:8" x14ac:dyDescent="0.4">
      <c r="B122" s="130">
        <v>44469</v>
      </c>
      <c r="C122" s="129" t="s">
        <v>847</v>
      </c>
      <c r="D122" s="129">
        <v>-4.5999999999999996</v>
      </c>
      <c r="E122" s="129" t="s">
        <v>733</v>
      </c>
      <c r="F122" s="129" t="s">
        <v>1059</v>
      </c>
    </row>
    <row r="123" spans="2:8" x14ac:dyDescent="0.4">
      <c r="B123" s="130">
        <v>44469</v>
      </c>
      <c r="C123" s="129" t="s">
        <v>847</v>
      </c>
      <c r="D123" s="129">
        <v>-16.7</v>
      </c>
      <c r="E123" s="129" t="s">
        <v>733</v>
      </c>
      <c r="F123" s="129" t="s">
        <v>1060</v>
      </c>
    </row>
    <row r="124" spans="2:8" x14ac:dyDescent="0.4">
      <c r="B124" s="130"/>
    </row>
    <row r="125" spans="2:8" x14ac:dyDescent="0.4">
      <c r="B125" s="130"/>
    </row>
    <row r="126" spans="2:8" x14ac:dyDescent="0.4">
      <c r="B126" s="130"/>
    </row>
    <row r="127" spans="2:8" x14ac:dyDescent="0.4">
      <c r="B127" s="130"/>
    </row>
    <row r="128" spans="2:8" x14ac:dyDescent="0.4">
      <c r="B128" s="130"/>
      <c r="H128" s="131"/>
    </row>
    <row r="129" spans="2:2" x14ac:dyDescent="0.4">
      <c r="B129" s="130"/>
    </row>
    <row r="130" spans="2:2" x14ac:dyDescent="0.4">
      <c r="B130" s="130"/>
    </row>
    <row r="131" spans="2:2" x14ac:dyDescent="0.4">
      <c r="B131" s="130"/>
    </row>
    <row r="132" spans="2:2" x14ac:dyDescent="0.4">
      <c r="B132" s="130"/>
    </row>
    <row r="133" spans="2:2" x14ac:dyDescent="0.4">
      <c r="B133" s="130"/>
    </row>
    <row r="134" spans="2:2" x14ac:dyDescent="0.4">
      <c r="B134" s="130"/>
    </row>
    <row r="135" spans="2:2" x14ac:dyDescent="0.4">
      <c r="B135" s="130"/>
    </row>
    <row r="136" spans="2:2" x14ac:dyDescent="0.4">
      <c r="B136" s="130"/>
    </row>
    <row r="137" spans="2:2" x14ac:dyDescent="0.4">
      <c r="B137" s="130"/>
    </row>
    <row r="138" spans="2:2" x14ac:dyDescent="0.4">
      <c r="B138" s="130"/>
    </row>
    <row r="139" spans="2:2" x14ac:dyDescent="0.4">
      <c r="B139" s="130"/>
    </row>
    <row r="140" spans="2:2" x14ac:dyDescent="0.4">
      <c r="B140" s="130"/>
    </row>
    <row r="141" spans="2:2" x14ac:dyDescent="0.4">
      <c r="B141" s="130"/>
    </row>
    <row r="142" spans="2:2" x14ac:dyDescent="0.4">
      <c r="B142" s="130"/>
    </row>
    <row r="143" spans="2:2" x14ac:dyDescent="0.4">
      <c r="B143" s="130"/>
    </row>
    <row r="144" spans="2:2" x14ac:dyDescent="0.4">
      <c r="B144" s="130"/>
    </row>
    <row r="145" spans="2:2" x14ac:dyDescent="0.4">
      <c r="B145" s="130"/>
    </row>
    <row r="146" spans="2:2" x14ac:dyDescent="0.4">
      <c r="B146" s="130"/>
    </row>
    <row r="147" spans="2:2" x14ac:dyDescent="0.4">
      <c r="B147" s="130"/>
    </row>
    <row r="148" spans="2:2" x14ac:dyDescent="0.4">
      <c r="B148" s="130"/>
    </row>
    <row r="149" spans="2:2" x14ac:dyDescent="0.4">
      <c r="B149" s="130"/>
    </row>
    <row r="150" spans="2:2" x14ac:dyDescent="0.4">
      <c r="B150" s="130"/>
    </row>
    <row r="151" spans="2:2" x14ac:dyDescent="0.4">
      <c r="B151" s="130"/>
    </row>
    <row r="152" spans="2:2" x14ac:dyDescent="0.4">
      <c r="B152" s="130"/>
    </row>
    <row r="153" spans="2:2" x14ac:dyDescent="0.4">
      <c r="B153" s="130"/>
    </row>
    <row r="154" spans="2:2" x14ac:dyDescent="0.4">
      <c r="B154" s="130"/>
    </row>
    <row r="155" spans="2:2" x14ac:dyDescent="0.4">
      <c r="B155" s="130"/>
    </row>
    <row r="156" spans="2:2" x14ac:dyDescent="0.4">
      <c r="B156" s="130"/>
    </row>
    <row r="157" spans="2:2" x14ac:dyDescent="0.4">
      <c r="B157" s="130"/>
    </row>
    <row r="158" spans="2:2" x14ac:dyDescent="0.4">
      <c r="B158" s="130"/>
    </row>
    <row r="159" spans="2:2" x14ac:dyDescent="0.4">
      <c r="B159" s="130"/>
    </row>
    <row r="160" spans="2:2" x14ac:dyDescent="0.4">
      <c r="B160" s="130"/>
    </row>
    <row r="161" spans="2:2" x14ac:dyDescent="0.4">
      <c r="B161" s="130"/>
    </row>
    <row r="162" spans="2:2" x14ac:dyDescent="0.4">
      <c r="B162" s="130"/>
    </row>
    <row r="163" spans="2:2" x14ac:dyDescent="0.4">
      <c r="B163" s="130"/>
    </row>
    <row r="164" spans="2:2" x14ac:dyDescent="0.4">
      <c r="B164" s="130"/>
    </row>
    <row r="165" spans="2:2" x14ac:dyDescent="0.4">
      <c r="B165" s="130"/>
    </row>
    <row r="166" spans="2:2" x14ac:dyDescent="0.4">
      <c r="B166" s="130"/>
    </row>
    <row r="167" spans="2:2" x14ac:dyDescent="0.4">
      <c r="B167" s="130"/>
    </row>
    <row r="168" spans="2:2" x14ac:dyDescent="0.4">
      <c r="B168" s="130"/>
    </row>
    <row r="169" spans="2:2" x14ac:dyDescent="0.4">
      <c r="B169" s="130"/>
    </row>
    <row r="170" spans="2:2" x14ac:dyDescent="0.4">
      <c r="B170" s="130"/>
    </row>
    <row r="171" spans="2:2" x14ac:dyDescent="0.4">
      <c r="B171" s="130"/>
    </row>
    <row r="172" spans="2:2" x14ac:dyDescent="0.4">
      <c r="B172" s="130"/>
    </row>
    <row r="173" spans="2:2" x14ac:dyDescent="0.4">
      <c r="B173" s="130"/>
    </row>
    <row r="174" spans="2:2" x14ac:dyDescent="0.4">
      <c r="B174" s="130"/>
    </row>
    <row r="175" spans="2:2" x14ac:dyDescent="0.4">
      <c r="B175" s="130"/>
    </row>
    <row r="176" spans="2:2" x14ac:dyDescent="0.4">
      <c r="B176" s="130"/>
    </row>
    <row r="177" spans="2:2" x14ac:dyDescent="0.4">
      <c r="B177" s="130"/>
    </row>
    <row r="178" spans="2:2" x14ac:dyDescent="0.4">
      <c r="B178" s="130"/>
    </row>
    <row r="179" spans="2:2" x14ac:dyDescent="0.4">
      <c r="B179" s="130"/>
    </row>
    <row r="180" spans="2:2" x14ac:dyDescent="0.4">
      <c r="B180" s="130"/>
    </row>
    <row r="181" spans="2:2" x14ac:dyDescent="0.4">
      <c r="B181" s="130"/>
    </row>
    <row r="182" spans="2:2" x14ac:dyDescent="0.4">
      <c r="B182" s="130"/>
    </row>
    <row r="183" spans="2:2" x14ac:dyDescent="0.4">
      <c r="B183" s="130"/>
    </row>
    <row r="184" spans="2:2" x14ac:dyDescent="0.4">
      <c r="B184" s="130"/>
    </row>
    <row r="185" spans="2:2" x14ac:dyDescent="0.4">
      <c r="B185" s="130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zoomScale="85" zoomScaleNormal="85" workbookViewId="0">
      <selection activeCell="M9" sqref="M9"/>
    </sheetView>
  </sheetViews>
  <sheetFormatPr defaultRowHeight="12.7" x14ac:dyDescent="0.4"/>
  <cols>
    <col min="1" max="1" width="22.29296875" bestFit="1" customWidth="1"/>
    <col min="2" max="2" width="9.87890625" bestFit="1" customWidth="1"/>
    <col min="3" max="3" width="15.41015625" bestFit="1" customWidth="1"/>
    <col min="4" max="4" width="114.703125" bestFit="1" customWidth="1"/>
    <col min="5" max="6" width="16.5859375" bestFit="1" customWidth="1"/>
    <col min="7" max="7" width="12.29296875" bestFit="1" customWidth="1"/>
    <col min="8" max="8" width="12.87890625" customWidth="1"/>
    <col min="9" max="9" width="7.1171875" bestFit="1" customWidth="1"/>
  </cols>
  <sheetData>
    <row r="1" spans="1:12" x14ac:dyDescent="0.4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2" ht="14.35" x14ac:dyDescent="0.5">
      <c r="A2" t="s">
        <v>468</v>
      </c>
      <c r="B2">
        <v>839183</v>
      </c>
      <c r="C2" s="170">
        <v>44464.467361111114</v>
      </c>
      <c r="D2" t="s">
        <v>854</v>
      </c>
      <c r="F2">
        <v>0</v>
      </c>
      <c r="G2">
        <v>0</v>
      </c>
      <c r="H2">
        <v>500</v>
      </c>
      <c r="I2" s="165"/>
      <c r="J2" t="s">
        <v>1108</v>
      </c>
      <c r="K2" s="165"/>
      <c r="L2" s="165"/>
    </row>
    <row r="3" spans="1:12" ht="14.35" x14ac:dyDescent="0.5">
      <c r="A3" t="s">
        <v>468</v>
      </c>
      <c r="B3">
        <v>839183</v>
      </c>
      <c r="C3" s="170">
        <v>44464.467361111114</v>
      </c>
      <c r="D3" t="s">
        <v>686</v>
      </c>
      <c r="E3" t="s">
        <v>687</v>
      </c>
      <c r="F3">
        <v>319624</v>
      </c>
      <c r="G3">
        <v>42</v>
      </c>
      <c r="H3">
        <v>0</v>
      </c>
      <c r="I3" s="165"/>
      <c r="J3" t="s">
        <v>1109</v>
      </c>
      <c r="K3" s="165"/>
      <c r="L3" s="165"/>
    </row>
    <row r="4" spans="1:12" ht="14.35" x14ac:dyDescent="0.5">
      <c r="A4" t="s">
        <v>468</v>
      </c>
      <c r="B4">
        <v>839185</v>
      </c>
      <c r="C4" s="170">
        <v>44464.468055555553</v>
      </c>
      <c r="D4" t="s">
        <v>688</v>
      </c>
      <c r="E4" t="s">
        <v>689</v>
      </c>
      <c r="F4">
        <v>243360</v>
      </c>
      <c r="G4">
        <v>446</v>
      </c>
      <c r="H4">
        <v>0</v>
      </c>
      <c r="I4" s="165"/>
      <c r="J4" t="s">
        <v>1110</v>
      </c>
      <c r="K4" s="165"/>
      <c r="L4" s="165"/>
    </row>
    <row r="5" spans="1:12" ht="14.35" x14ac:dyDescent="0.5">
      <c r="A5" t="s">
        <v>468</v>
      </c>
      <c r="B5">
        <v>839312</v>
      </c>
      <c r="C5" s="170">
        <v>44467.023611111108</v>
      </c>
      <c r="D5" t="s">
        <v>631</v>
      </c>
      <c r="E5" t="s">
        <v>687</v>
      </c>
      <c r="F5">
        <v>320587</v>
      </c>
      <c r="G5">
        <v>12</v>
      </c>
      <c r="H5">
        <v>0</v>
      </c>
      <c r="I5" s="165"/>
      <c r="J5" t="s">
        <v>1111</v>
      </c>
      <c r="K5" s="165"/>
      <c r="L5" s="165"/>
    </row>
    <row r="6" spans="1:12" ht="14.35" x14ac:dyDescent="0.5">
      <c r="A6" t="s">
        <v>470</v>
      </c>
      <c r="B6">
        <v>839312</v>
      </c>
      <c r="C6" s="170">
        <v>44467.023611111108</v>
      </c>
      <c r="D6" t="s">
        <v>632</v>
      </c>
      <c r="E6" t="s">
        <v>687</v>
      </c>
      <c r="F6">
        <v>320590</v>
      </c>
      <c r="G6">
        <v>6</v>
      </c>
      <c r="H6">
        <v>0</v>
      </c>
      <c r="I6" s="165"/>
      <c r="J6" t="s">
        <v>1111</v>
      </c>
      <c r="K6" s="165"/>
      <c r="L6" s="165"/>
    </row>
    <row r="7" spans="1:12" ht="14.35" x14ac:dyDescent="0.5">
      <c r="A7" t="s">
        <v>470</v>
      </c>
      <c r="B7">
        <v>839551</v>
      </c>
      <c r="C7" s="170">
        <v>44467.536805555559</v>
      </c>
      <c r="D7" t="s">
        <v>855</v>
      </c>
      <c r="F7">
        <v>0</v>
      </c>
      <c r="G7">
        <v>0</v>
      </c>
      <c r="H7">
        <v>500</v>
      </c>
      <c r="I7" s="165"/>
      <c r="J7" t="s">
        <v>1108</v>
      </c>
      <c r="K7" s="165"/>
      <c r="L7" s="165"/>
    </row>
    <row r="8" spans="1:12" ht="14.35" x14ac:dyDescent="0.5">
      <c r="A8" t="s">
        <v>470</v>
      </c>
      <c r="B8">
        <v>839551</v>
      </c>
      <c r="C8" s="170">
        <v>44467.536805555559</v>
      </c>
      <c r="D8" t="s">
        <v>690</v>
      </c>
      <c r="E8" t="s">
        <v>687</v>
      </c>
      <c r="F8">
        <v>320859</v>
      </c>
      <c r="G8">
        <v>42</v>
      </c>
      <c r="H8">
        <v>0</v>
      </c>
      <c r="I8" s="165"/>
      <c r="J8" t="s">
        <v>1109</v>
      </c>
      <c r="K8" s="165"/>
      <c r="L8" s="165"/>
    </row>
    <row r="9" spans="1:12" ht="14.35" x14ac:dyDescent="0.5">
      <c r="A9" t="s">
        <v>470</v>
      </c>
      <c r="B9">
        <v>839561</v>
      </c>
      <c r="C9" s="170">
        <v>44467.544444444444</v>
      </c>
      <c r="D9" t="s">
        <v>691</v>
      </c>
      <c r="E9" t="s">
        <v>689</v>
      </c>
      <c r="F9">
        <v>243508</v>
      </c>
      <c r="G9">
        <v>446</v>
      </c>
      <c r="H9">
        <v>0</v>
      </c>
      <c r="I9" s="165"/>
      <c r="J9" t="s">
        <v>1110</v>
      </c>
      <c r="K9" s="165"/>
      <c r="L9" s="165"/>
    </row>
    <row r="10" spans="1:12" ht="14.35" x14ac:dyDescent="0.5">
      <c r="A10" t="s">
        <v>471</v>
      </c>
      <c r="B10">
        <v>838264</v>
      </c>
      <c r="C10" s="170">
        <v>44460.54791666667</v>
      </c>
      <c r="D10" t="s">
        <v>693</v>
      </c>
      <c r="F10">
        <v>0</v>
      </c>
      <c r="G10">
        <v>0</v>
      </c>
      <c r="H10">
        <v>113.36</v>
      </c>
      <c r="I10" s="165"/>
      <c r="J10" t="s">
        <v>1108</v>
      </c>
      <c r="K10" s="165"/>
      <c r="L10" s="165"/>
    </row>
    <row r="11" spans="1:12" ht="14.35" x14ac:dyDescent="0.5">
      <c r="A11" t="s">
        <v>471</v>
      </c>
      <c r="B11">
        <v>838264</v>
      </c>
      <c r="C11" s="170">
        <v>44460.54791666667</v>
      </c>
      <c r="D11" t="s">
        <v>692</v>
      </c>
      <c r="E11" t="s">
        <v>687</v>
      </c>
      <c r="F11">
        <v>319297</v>
      </c>
      <c r="G11">
        <v>9.5299999999999994</v>
      </c>
      <c r="H11">
        <v>0</v>
      </c>
      <c r="I11" s="165"/>
      <c r="J11" t="s">
        <v>1109</v>
      </c>
      <c r="K11" s="165"/>
      <c r="L11" s="165"/>
    </row>
    <row r="12" spans="1:12" ht="14.35" x14ac:dyDescent="0.5">
      <c r="A12" t="s">
        <v>471</v>
      </c>
      <c r="B12">
        <v>838264</v>
      </c>
      <c r="C12" s="170">
        <v>44460.54791666667</v>
      </c>
      <c r="D12" t="s">
        <v>856</v>
      </c>
      <c r="F12">
        <v>0</v>
      </c>
      <c r="G12">
        <v>0</v>
      </c>
      <c r="H12">
        <v>352.76</v>
      </c>
      <c r="I12" s="165"/>
      <c r="J12" t="s">
        <v>1108</v>
      </c>
      <c r="K12" s="165"/>
      <c r="L12" s="165"/>
    </row>
    <row r="13" spans="1:12" ht="14.35" x14ac:dyDescent="0.5">
      <c r="A13" t="s">
        <v>471</v>
      </c>
      <c r="B13">
        <v>838264</v>
      </c>
      <c r="C13" s="170">
        <v>44460.54791666667</v>
      </c>
      <c r="D13" t="s">
        <v>692</v>
      </c>
      <c r="E13" t="s">
        <v>687</v>
      </c>
      <c r="F13">
        <v>319297</v>
      </c>
      <c r="G13">
        <v>29.63</v>
      </c>
      <c r="H13">
        <v>0</v>
      </c>
      <c r="I13" s="165"/>
      <c r="J13" t="s">
        <v>1109</v>
      </c>
      <c r="K13" s="165"/>
      <c r="L13" s="165"/>
    </row>
    <row r="14" spans="1:12" ht="14.35" x14ac:dyDescent="0.5">
      <c r="A14" t="s">
        <v>471</v>
      </c>
      <c r="B14">
        <v>838289</v>
      </c>
      <c r="C14" s="170">
        <v>44460.550694444442</v>
      </c>
      <c r="D14" t="s">
        <v>694</v>
      </c>
      <c r="E14" t="s">
        <v>689</v>
      </c>
      <c r="F14">
        <v>242936</v>
      </c>
      <c r="G14">
        <v>420.96</v>
      </c>
      <c r="H14">
        <v>0</v>
      </c>
      <c r="I14" s="165"/>
      <c r="J14" t="s">
        <v>1110</v>
      </c>
      <c r="K14" s="165"/>
      <c r="L14" s="165"/>
    </row>
    <row r="15" spans="1:12" ht="14.35" x14ac:dyDescent="0.5">
      <c r="A15" t="s">
        <v>471</v>
      </c>
      <c r="B15">
        <v>839312</v>
      </c>
      <c r="C15" s="170">
        <v>44467.023611111108</v>
      </c>
      <c r="D15" t="s">
        <v>633</v>
      </c>
      <c r="E15" t="s">
        <v>687</v>
      </c>
      <c r="F15">
        <v>320516</v>
      </c>
      <c r="G15">
        <v>6</v>
      </c>
      <c r="H15">
        <v>0</v>
      </c>
      <c r="I15" s="165"/>
      <c r="J15" t="s">
        <v>1111</v>
      </c>
      <c r="K15" s="165"/>
      <c r="L15" s="165"/>
    </row>
    <row r="16" spans="1:12" ht="14.35" x14ac:dyDescent="0.5">
      <c r="A16" t="s">
        <v>508</v>
      </c>
      <c r="B16">
        <v>834865</v>
      </c>
      <c r="C16" s="170">
        <v>44441.522916666669</v>
      </c>
      <c r="D16" t="s">
        <v>857</v>
      </c>
      <c r="F16">
        <v>0</v>
      </c>
      <c r="G16">
        <v>0</v>
      </c>
      <c r="H16">
        <v>500</v>
      </c>
      <c r="I16" s="165"/>
      <c r="J16" t="s">
        <v>1108</v>
      </c>
      <c r="K16" s="165"/>
      <c r="L16" s="165"/>
    </row>
    <row r="17" spans="1:12" ht="14.35" x14ac:dyDescent="0.5">
      <c r="A17" t="s">
        <v>508</v>
      </c>
      <c r="B17">
        <v>834865</v>
      </c>
      <c r="C17" s="170">
        <v>44441.522916666669</v>
      </c>
      <c r="D17" t="s">
        <v>695</v>
      </c>
      <c r="E17" t="s">
        <v>687</v>
      </c>
      <c r="F17">
        <v>317535</v>
      </c>
      <c r="G17">
        <v>42</v>
      </c>
      <c r="H17">
        <v>0</v>
      </c>
      <c r="I17" s="165"/>
      <c r="J17" t="s">
        <v>1109</v>
      </c>
      <c r="K17" s="165"/>
      <c r="L17" s="165"/>
    </row>
    <row r="18" spans="1:12" ht="14.35" x14ac:dyDescent="0.5">
      <c r="A18" t="s">
        <v>508</v>
      </c>
      <c r="B18">
        <v>834877</v>
      </c>
      <c r="C18" s="170">
        <v>44441.527083333334</v>
      </c>
      <c r="D18" t="s">
        <v>696</v>
      </c>
      <c r="E18" t="s">
        <v>689</v>
      </c>
      <c r="F18">
        <v>241388</v>
      </c>
      <c r="G18">
        <v>452</v>
      </c>
      <c r="H18">
        <v>0</v>
      </c>
      <c r="I18" s="165"/>
      <c r="J18" t="s">
        <v>1110</v>
      </c>
      <c r="K18" s="165"/>
      <c r="L18" s="165"/>
    </row>
    <row r="19" spans="1:12" ht="14.35" x14ac:dyDescent="0.5">
      <c r="A19" t="s">
        <v>508</v>
      </c>
      <c r="B19">
        <v>839312</v>
      </c>
      <c r="C19" s="170">
        <v>44467.023611111108</v>
      </c>
      <c r="D19" t="s">
        <v>634</v>
      </c>
      <c r="E19" t="s">
        <v>687</v>
      </c>
      <c r="F19">
        <v>320517</v>
      </c>
      <c r="G19">
        <v>6</v>
      </c>
      <c r="H19">
        <v>0</v>
      </c>
      <c r="I19" s="165"/>
      <c r="J19" t="s">
        <v>1111</v>
      </c>
      <c r="K19" s="165"/>
      <c r="L19" s="165"/>
    </row>
    <row r="20" spans="1:12" ht="14.35" x14ac:dyDescent="0.5">
      <c r="A20" t="s">
        <v>560</v>
      </c>
      <c r="B20">
        <v>835976</v>
      </c>
      <c r="C20" s="170">
        <v>44448.472222222219</v>
      </c>
      <c r="D20" t="s">
        <v>698</v>
      </c>
      <c r="F20">
        <v>0</v>
      </c>
      <c r="G20">
        <v>0</v>
      </c>
      <c r="H20">
        <v>460</v>
      </c>
      <c r="I20" s="165"/>
      <c r="J20" t="s">
        <v>1108</v>
      </c>
      <c r="K20" s="165"/>
      <c r="L20" s="165"/>
    </row>
    <row r="21" spans="1:12" ht="14.35" x14ac:dyDescent="0.5">
      <c r="A21" t="s">
        <v>560</v>
      </c>
      <c r="B21">
        <v>835976</v>
      </c>
      <c r="C21" s="170">
        <v>44448.472222222219</v>
      </c>
      <c r="D21" t="s">
        <v>697</v>
      </c>
      <c r="E21" t="s">
        <v>687</v>
      </c>
      <c r="F21">
        <v>318208</v>
      </c>
      <c r="G21">
        <v>38.64</v>
      </c>
      <c r="H21">
        <v>0</v>
      </c>
      <c r="I21" s="165"/>
      <c r="J21" t="s">
        <v>1109</v>
      </c>
      <c r="K21" s="165"/>
      <c r="L21" s="165"/>
    </row>
    <row r="22" spans="1:12" ht="14.35" x14ac:dyDescent="0.5">
      <c r="A22" t="s">
        <v>560</v>
      </c>
      <c r="B22">
        <v>835976</v>
      </c>
      <c r="C22" s="170">
        <v>44448.472222222219</v>
      </c>
      <c r="D22" t="s">
        <v>858</v>
      </c>
      <c r="F22">
        <v>0</v>
      </c>
      <c r="G22">
        <v>0</v>
      </c>
      <c r="H22">
        <v>140</v>
      </c>
      <c r="I22" s="165"/>
      <c r="J22" t="s">
        <v>1108</v>
      </c>
      <c r="K22" s="165"/>
      <c r="L22" s="165"/>
    </row>
    <row r="23" spans="1:12" ht="14.35" x14ac:dyDescent="0.5">
      <c r="A23" t="s">
        <v>560</v>
      </c>
      <c r="B23">
        <v>835976</v>
      </c>
      <c r="C23" s="170">
        <v>44448.472222222219</v>
      </c>
      <c r="D23" t="s">
        <v>697</v>
      </c>
      <c r="E23" t="s">
        <v>687</v>
      </c>
      <c r="F23">
        <v>318208</v>
      </c>
      <c r="G23">
        <v>11.76</v>
      </c>
      <c r="H23">
        <v>0</v>
      </c>
      <c r="I23" s="165"/>
      <c r="J23" t="s">
        <v>1109</v>
      </c>
      <c r="K23" s="165"/>
      <c r="L23" s="165"/>
    </row>
    <row r="24" spans="1:12" ht="14.35" x14ac:dyDescent="0.5">
      <c r="A24" t="s">
        <v>560</v>
      </c>
      <c r="B24">
        <v>835985</v>
      </c>
      <c r="C24" s="170">
        <v>44448.474999999999</v>
      </c>
      <c r="D24" t="s">
        <v>699</v>
      </c>
      <c r="E24" t="s">
        <v>689</v>
      </c>
      <c r="F24">
        <v>241817</v>
      </c>
      <c r="G24">
        <v>543.6</v>
      </c>
      <c r="H24">
        <v>0</v>
      </c>
      <c r="I24" s="165"/>
      <c r="J24" t="s">
        <v>1110</v>
      </c>
      <c r="K24" s="165"/>
      <c r="L24" s="165"/>
    </row>
    <row r="25" spans="1:12" ht="14.35" x14ac:dyDescent="0.5">
      <c r="A25" t="s">
        <v>560</v>
      </c>
      <c r="B25">
        <v>839312</v>
      </c>
      <c r="C25" s="170">
        <v>44467.023611111108</v>
      </c>
      <c r="D25" t="s">
        <v>643</v>
      </c>
      <c r="E25" t="s">
        <v>687</v>
      </c>
      <c r="F25">
        <v>320520</v>
      </c>
      <c r="G25">
        <v>6</v>
      </c>
      <c r="H25">
        <v>0</v>
      </c>
      <c r="I25" s="165"/>
      <c r="J25" t="s">
        <v>1111</v>
      </c>
      <c r="K25" s="165"/>
      <c r="L25" s="165"/>
    </row>
    <row r="26" spans="1:12" ht="14.35" x14ac:dyDescent="0.5">
      <c r="A26" t="s">
        <v>473</v>
      </c>
      <c r="B26">
        <v>835117</v>
      </c>
      <c r="C26" s="170">
        <v>44442.425000000003</v>
      </c>
      <c r="D26" t="s">
        <v>859</v>
      </c>
      <c r="F26">
        <v>0</v>
      </c>
      <c r="G26">
        <v>0</v>
      </c>
      <c r="H26">
        <v>114.72</v>
      </c>
      <c r="I26" s="165"/>
      <c r="J26" t="s">
        <v>1108</v>
      </c>
      <c r="K26" s="165"/>
      <c r="L26" s="165"/>
    </row>
    <row r="27" spans="1:12" ht="14.35" x14ac:dyDescent="0.5">
      <c r="A27" t="s">
        <v>473</v>
      </c>
      <c r="B27">
        <v>835117</v>
      </c>
      <c r="C27" s="170">
        <v>44442.425000000003</v>
      </c>
      <c r="D27" t="s">
        <v>700</v>
      </c>
      <c r="E27" t="s">
        <v>687</v>
      </c>
      <c r="F27">
        <v>317650</v>
      </c>
      <c r="G27">
        <v>9.64</v>
      </c>
      <c r="H27">
        <v>0</v>
      </c>
      <c r="I27" s="165"/>
      <c r="J27" t="s">
        <v>1109</v>
      </c>
      <c r="K27" s="165"/>
      <c r="L27" s="165"/>
    </row>
    <row r="28" spans="1:12" ht="14.35" x14ac:dyDescent="0.5">
      <c r="A28" t="s">
        <v>473</v>
      </c>
      <c r="B28">
        <v>835129</v>
      </c>
      <c r="C28" s="170">
        <v>44442.428472222222</v>
      </c>
      <c r="D28" t="s">
        <v>701</v>
      </c>
      <c r="E28" t="s">
        <v>689</v>
      </c>
      <c r="F28">
        <v>241473</v>
      </c>
      <c r="G28">
        <v>99.08</v>
      </c>
      <c r="H28">
        <v>0</v>
      </c>
      <c r="I28" s="165"/>
      <c r="J28" t="s">
        <v>1110</v>
      </c>
      <c r="K28" s="165"/>
      <c r="L28" s="165"/>
    </row>
    <row r="29" spans="1:12" ht="14.35" x14ac:dyDescent="0.5">
      <c r="A29" t="s">
        <v>473</v>
      </c>
      <c r="B29">
        <v>838271</v>
      </c>
      <c r="C29" s="170">
        <v>44460.54791666667</v>
      </c>
      <c r="D29" t="s">
        <v>859</v>
      </c>
      <c r="F29">
        <v>0</v>
      </c>
      <c r="G29">
        <v>0</v>
      </c>
      <c r="H29">
        <v>385.28</v>
      </c>
      <c r="I29" s="165"/>
      <c r="J29" t="s">
        <v>1108</v>
      </c>
      <c r="K29" s="165"/>
      <c r="L29" s="165"/>
    </row>
    <row r="30" spans="1:12" ht="14.35" x14ac:dyDescent="0.5">
      <c r="A30" t="s">
        <v>473</v>
      </c>
      <c r="B30">
        <v>838271</v>
      </c>
      <c r="C30" s="170">
        <v>44460.54791666667</v>
      </c>
      <c r="D30" t="s">
        <v>700</v>
      </c>
      <c r="E30" t="s">
        <v>687</v>
      </c>
      <c r="F30">
        <v>319304</v>
      </c>
      <c r="G30">
        <v>32.36</v>
      </c>
      <c r="H30">
        <v>0</v>
      </c>
      <c r="I30" s="165"/>
      <c r="J30" t="s">
        <v>1109</v>
      </c>
      <c r="K30" s="165"/>
      <c r="L30" s="165"/>
    </row>
    <row r="31" spans="1:12" ht="14.35" x14ac:dyDescent="0.5">
      <c r="A31" t="s">
        <v>473</v>
      </c>
      <c r="B31">
        <v>838289</v>
      </c>
      <c r="C31" s="170">
        <v>44460.550694444442</v>
      </c>
      <c r="D31" t="s">
        <v>701</v>
      </c>
      <c r="E31" t="s">
        <v>689</v>
      </c>
      <c r="F31">
        <v>242943</v>
      </c>
      <c r="G31">
        <v>352.92</v>
      </c>
      <c r="H31">
        <v>0</v>
      </c>
      <c r="I31" s="165"/>
      <c r="J31" t="s">
        <v>1110</v>
      </c>
      <c r="K31" s="165"/>
      <c r="L31" s="165"/>
    </row>
    <row r="32" spans="1:12" ht="14.35" x14ac:dyDescent="0.5">
      <c r="A32" t="s">
        <v>473</v>
      </c>
      <c r="B32">
        <v>839312</v>
      </c>
      <c r="C32" s="170">
        <v>44467.023611111108</v>
      </c>
      <c r="D32" t="s">
        <v>635</v>
      </c>
      <c r="E32" t="s">
        <v>687</v>
      </c>
      <c r="F32">
        <v>320522</v>
      </c>
      <c r="G32">
        <v>6</v>
      </c>
      <c r="H32">
        <v>0</v>
      </c>
      <c r="I32" s="165"/>
      <c r="J32" t="s">
        <v>1111</v>
      </c>
      <c r="K32" s="165"/>
      <c r="L32" s="165"/>
    </row>
    <row r="33" spans="1:12" ht="14.35" x14ac:dyDescent="0.5">
      <c r="A33" t="s">
        <v>476</v>
      </c>
      <c r="B33">
        <v>837361</v>
      </c>
      <c r="C33" s="170">
        <v>44455.49722222222</v>
      </c>
      <c r="D33" t="s">
        <v>860</v>
      </c>
      <c r="F33">
        <v>0</v>
      </c>
      <c r="G33">
        <v>0</v>
      </c>
      <c r="H33">
        <v>70</v>
      </c>
      <c r="I33" s="165"/>
      <c r="J33" t="s">
        <v>1108</v>
      </c>
      <c r="K33" s="165"/>
      <c r="L33" s="165"/>
    </row>
    <row r="34" spans="1:12" ht="14.35" x14ac:dyDescent="0.5">
      <c r="A34" t="s">
        <v>476</v>
      </c>
      <c r="B34">
        <v>837361</v>
      </c>
      <c r="C34" s="170">
        <v>44455.49722222222</v>
      </c>
      <c r="D34" t="s">
        <v>702</v>
      </c>
      <c r="E34" t="s">
        <v>687</v>
      </c>
      <c r="F34">
        <v>318832</v>
      </c>
      <c r="G34">
        <v>5.88</v>
      </c>
      <c r="H34">
        <v>0</v>
      </c>
      <c r="I34" s="165"/>
      <c r="J34" t="s">
        <v>1109</v>
      </c>
      <c r="K34" s="165"/>
      <c r="L34" s="165"/>
    </row>
    <row r="35" spans="1:12" ht="14.35" x14ac:dyDescent="0.5">
      <c r="A35" t="s">
        <v>476</v>
      </c>
      <c r="B35">
        <v>837370</v>
      </c>
      <c r="C35" s="170">
        <v>44455.499305555553</v>
      </c>
      <c r="D35" t="s">
        <v>703</v>
      </c>
      <c r="E35" t="s">
        <v>689</v>
      </c>
      <c r="F35">
        <v>242541</v>
      </c>
      <c r="G35">
        <v>58.12</v>
      </c>
      <c r="H35">
        <v>0</v>
      </c>
      <c r="I35" s="165"/>
      <c r="J35" t="s">
        <v>1110</v>
      </c>
      <c r="K35" s="165"/>
      <c r="L35" s="165"/>
    </row>
    <row r="36" spans="1:12" ht="14.35" x14ac:dyDescent="0.5">
      <c r="A36" t="s">
        <v>476</v>
      </c>
      <c r="B36">
        <v>838275</v>
      </c>
      <c r="C36" s="170">
        <v>44460.54791666667</v>
      </c>
      <c r="D36" t="s">
        <v>860</v>
      </c>
      <c r="F36">
        <v>0</v>
      </c>
      <c r="G36">
        <v>0</v>
      </c>
      <c r="H36">
        <v>380</v>
      </c>
      <c r="I36" s="165"/>
      <c r="J36" t="s">
        <v>1108</v>
      </c>
      <c r="K36" s="165"/>
      <c r="L36" s="165"/>
    </row>
    <row r="37" spans="1:12" ht="14.35" x14ac:dyDescent="0.5">
      <c r="A37" t="s">
        <v>476</v>
      </c>
      <c r="B37">
        <v>838275</v>
      </c>
      <c r="C37" s="170">
        <v>44460.54791666667</v>
      </c>
      <c r="D37" t="s">
        <v>702</v>
      </c>
      <c r="E37" t="s">
        <v>687</v>
      </c>
      <c r="F37">
        <v>319307</v>
      </c>
      <c r="G37">
        <v>31.92</v>
      </c>
      <c r="H37">
        <v>0</v>
      </c>
      <c r="I37" s="165"/>
      <c r="J37" t="s">
        <v>1109</v>
      </c>
      <c r="K37" s="165"/>
      <c r="L37" s="165"/>
    </row>
    <row r="38" spans="1:12" ht="14.35" x14ac:dyDescent="0.5">
      <c r="A38" t="s">
        <v>476</v>
      </c>
      <c r="B38">
        <v>838289</v>
      </c>
      <c r="C38" s="170">
        <v>44460.550694444442</v>
      </c>
      <c r="D38" t="s">
        <v>703</v>
      </c>
      <c r="E38" t="s">
        <v>689</v>
      </c>
      <c r="F38">
        <v>242947</v>
      </c>
      <c r="G38">
        <v>348.08</v>
      </c>
      <c r="H38">
        <v>0</v>
      </c>
      <c r="I38" s="165"/>
      <c r="J38" t="s">
        <v>1110</v>
      </c>
      <c r="K38" s="165"/>
      <c r="L38" s="165"/>
    </row>
    <row r="39" spans="1:12" ht="14.35" x14ac:dyDescent="0.5">
      <c r="A39" t="s">
        <v>476</v>
      </c>
      <c r="B39">
        <v>839312</v>
      </c>
      <c r="C39" s="170">
        <v>44467.023611111108</v>
      </c>
      <c r="D39" t="s">
        <v>636</v>
      </c>
      <c r="E39" t="s">
        <v>687</v>
      </c>
      <c r="F39">
        <v>320508</v>
      </c>
      <c r="G39">
        <v>6</v>
      </c>
      <c r="H39">
        <v>0</v>
      </c>
      <c r="I39" s="165"/>
      <c r="J39" t="s">
        <v>1111</v>
      </c>
      <c r="K39" s="165"/>
      <c r="L39" s="165"/>
    </row>
    <row r="40" spans="1:12" ht="14.35" x14ac:dyDescent="0.5">
      <c r="A40" t="s">
        <v>478</v>
      </c>
      <c r="B40">
        <v>836301</v>
      </c>
      <c r="C40" s="170">
        <v>44450.467361111114</v>
      </c>
      <c r="D40" t="s">
        <v>861</v>
      </c>
      <c r="F40">
        <v>0</v>
      </c>
      <c r="G40">
        <v>0</v>
      </c>
      <c r="H40">
        <v>350</v>
      </c>
      <c r="I40" s="165"/>
      <c r="J40" t="s">
        <v>1108</v>
      </c>
      <c r="K40" s="165"/>
      <c r="L40" s="165"/>
    </row>
    <row r="41" spans="1:12" ht="14.35" x14ac:dyDescent="0.5">
      <c r="A41" t="s">
        <v>478</v>
      </c>
      <c r="B41">
        <v>836301</v>
      </c>
      <c r="C41" s="170">
        <v>44450.467361111114</v>
      </c>
      <c r="D41" t="s">
        <v>704</v>
      </c>
      <c r="E41" t="s">
        <v>687</v>
      </c>
      <c r="F41">
        <v>318430</v>
      </c>
      <c r="G41">
        <v>29.4</v>
      </c>
      <c r="H41">
        <v>0</v>
      </c>
      <c r="I41" s="165"/>
      <c r="J41" t="s">
        <v>1109</v>
      </c>
      <c r="K41" s="165"/>
      <c r="L41" s="165"/>
    </row>
    <row r="42" spans="1:12" ht="14.35" x14ac:dyDescent="0.5">
      <c r="A42" t="s">
        <v>478</v>
      </c>
      <c r="B42">
        <v>836302</v>
      </c>
      <c r="C42" s="170">
        <v>44450.46875</v>
      </c>
      <c r="D42" t="s">
        <v>705</v>
      </c>
      <c r="E42" t="s">
        <v>689</v>
      </c>
      <c r="F42">
        <v>241936</v>
      </c>
      <c r="G42">
        <v>314.60000000000002</v>
      </c>
      <c r="H42">
        <v>0</v>
      </c>
      <c r="I42" s="165"/>
      <c r="J42" t="s">
        <v>1110</v>
      </c>
      <c r="K42" s="165"/>
      <c r="L42" s="165"/>
    </row>
    <row r="43" spans="1:12" ht="14.35" x14ac:dyDescent="0.5">
      <c r="A43" t="s">
        <v>478</v>
      </c>
      <c r="B43">
        <v>839312</v>
      </c>
      <c r="C43" s="170">
        <v>44467.023611111108</v>
      </c>
      <c r="D43" t="s">
        <v>644</v>
      </c>
      <c r="E43" t="s">
        <v>687</v>
      </c>
      <c r="F43">
        <v>320537</v>
      </c>
      <c r="G43">
        <v>6</v>
      </c>
      <c r="H43">
        <v>0</v>
      </c>
      <c r="I43" s="165"/>
      <c r="J43" t="s">
        <v>1111</v>
      </c>
      <c r="K43" s="165"/>
      <c r="L43" s="165"/>
    </row>
    <row r="44" spans="1:12" ht="14.35" x14ac:dyDescent="0.5">
      <c r="A44" t="s">
        <v>559</v>
      </c>
      <c r="B44">
        <v>834756</v>
      </c>
      <c r="C44" s="170">
        <v>44441.498611111114</v>
      </c>
      <c r="D44" t="s">
        <v>862</v>
      </c>
      <c r="F44">
        <v>0</v>
      </c>
      <c r="G44">
        <v>0</v>
      </c>
      <c r="H44">
        <v>520</v>
      </c>
      <c r="I44" s="165"/>
      <c r="J44" t="s">
        <v>1108</v>
      </c>
      <c r="K44" s="165"/>
      <c r="L44" s="165"/>
    </row>
    <row r="45" spans="1:12" ht="14.35" x14ac:dyDescent="0.5">
      <c r="A45" t="s">
        <v>559</v>
      </c>
      <c r="B45">
        <v>834756</v>
      </c>
      <c r="C45" s="170">
        <v>44441.498611111114</v>
      </c>
      <c r="D45" t="s">
        <v>706</v>
      </c>
      <c r="E45" t="s">
        <v>687</v>
      </c>
      <c r="F45">
        <v>317432</v>
      </c>
      <c r="G45">
        <v>43.68</v>
      </c>
      <c r="H45">
        <v>0</v>
      </c>
      <c r="I45" s="165"/>
      <c r="J45" t="s">
        <v>1109</v>
      </c>
      <c r="K45" s="165"/>
      <c r="L45" s="165"/>
    </row>
    <row r="46" spans="1:12" ht="14.35" x14ac:dyDescent="0.5">
      <c r="A46" t="s">
        <v>559</v>
      </c>
      <c r="B46">
        <v>834877</v>
      </c>
      <c r="C46" s="170">
        <v>44441.527083333334</v>
      </c>
      <c r="D46" t="s">
        <v>707</v>
      </c>
      <c r="E46" t="s">
        <v>689</v>
      </c>
      <c r="F46">
        <v>241286</v>
      </c>
      <c r="G46">
        <v>470.32</v>
      </c>
      <c r="H46">
        <v>0</v>
      </c>
      <c r="I46" s="165"/>
      <c r="J46" t="s">
        <v>1110</v>
      </c>
      <c r="K46" s="165"/>
      <c r="L46" s="165"/>
    </row>
    <row r="47" spans="1:12" ht="14.35" x14ac:dyDescent="0.5">
      <c r="A47" t="s">
        <v>559</v>
      </c>
      <c r="B47">
        <v>839312</v>
      </c>
      <c r="C47" s="170">
        <v>44467.023611111108</v>
      </c>
      <c r="D47" t="s">
        <v>645</v>
      </c>
      <c r="E47" t="s">
        <v>687</v>
      </c>
      <c r="F47">
        <v>320539</v>
      </c>
      <c r="G47">
        <v>6</v>
      </c>
      <c r="H47">
        <v>0</v>
      </c>
      <c r="I47" s="165"/>
      <c r="J47" t="s">
        <v>1111</v>
      </c>
      <c r="K47" s="165"/>
      <c r="L47" s="165"/>
    </row>
    <row r="48" spans="1:12" ht="14.35" x14ac:dyDescent="0.5">
      <c r="A48" t="s">
        <v>483</v>
      </c>
      <c r="B48">
        <v>835800</v>
      </c>
      <c r="C48" s="170">
        <v>44447.490277777775</v>
      </c>
      <c r="D48" t="s">
        <v>863</v>
      </c>
      <c r="F48">
        <v>0</v>
      </c>
      <c r="G48">
        <v>0</v>
      </c>
      <c r="H48">
        <v>364.6</v>
      </c>
      <c r="I48" s="165"/>
      <c r="J48" t="s">
        <v>1108</v>
      </c>
      <c r="K48" s="165"/>
      <c r="L48" s="165"/>
    </row>
    <row r="49" spans="1:12" ht="14.35" x14ac:dyDescent="0.5">
      <c r="A49" t="s">
        <v>483</v>
      </c>
      <c r="B49">
        <v>835800</v>
      </c>
      <c r="C49" s="170">
        <v>44447.490277777775</v>
      </c>
      <c r="D49" t="s">
        <v>708</v>
      </c>
      <c r="E49" t="s">
        <v>687</v>
      </c>
      <c r="F49">
        <v>318121</v>
      </c>
      <c r="G49">
        <v>30.62</v>
      </c>
      <c r="H49">
        <v>0</v>
      </c>
      <c r="I49" s="165"/>
      <c r="J49" t="s">
        <v>1109</v>
      </c>
      <c r="K49" s="165"/>
      <c r="L49" s="165"/>
    </row>
    <row r="50" spans="1:12" ht="14.35" x14ac:dyDescent="0.5">
      <c r="A50" t="s">
        <v>483</v>
      </c>
      <c r="B50">
        <v>835805</v>
      </c>
      <c r="C50" s="170">
        <v>44447.490972222222</v>
      </c>
      <c r="D50" t="s">
        <v>709</v>
      </c>
      <c r="E50" t="s">
        <v>689</v>
      </c>
      <c r="F50">
        <v>241763</v>
      </c>
      <c r="G50">
        <v>327.98</v>
      </c>
      <c r="H50">
        <v>0</v>
      </c>
      <c r="I50" s="165"/>
      <c r="J50" t="s">
        <v>1110</v>
      </c>
      <c r="K50" s="165"/>
      <c r="L50" s="165"/>
    </row>
    <row r="51" spans="1:12" ht="14.35" x14ac:dyDescent="0.5">
      <c r="A51" t="s">
        <v>483</v>
      </c>
      <c r="B51">
        <v>838280</v>
      </c>
      <c r="C51" s="170">
        <v>44460.54791666667</v>
      </c>
      <c r="D51" t="s">
        <v>863</v>
      </c>
      <c r="F51">
        <v>0</v>
      </c>
      <c r="G51">
        <v>0</v>
      </c>
      <c r="H51">
        <v>135.4</v>
      </c>
      <c r="I51" s="165"/>
      <c r="J51" t="s">
        <v>1108</v>
      </c>
      <c r="K51" s="165"/>
      <c r="L51" s="165"/>
    </row>
    <row r="52" spans="1:12" ht="14.35" x14ac:dyDescent="0.5">
      <c r="A52" t="s">
        <v>483</v>
      </c>
      <c r="B52">
        <v>838280</v>
      </c>
      <c r="C52" s="170">
        <v>44460.54791666667</v>
      </c>
      <c r="D52" t="s">
        <v>708</v>
      </c>
      <c r="E52" t="s">
        <v>687</v>
      </c>
      <c r="F52">
        <v>319311</v>
      </c>
      <c r="G52">
        <v>11.38</v>
      </c>
      <c r="H52">
        <v>0</v>
      </c>
      <c r="I52" s="165"/>
      <c r="J52" t="s">
        <v>1109</v>
      </c>
      <c r="K52" s="165"/>
      <c r="L52" s="165"/>
    </row>
    <row r="53" spans="1:12" ht="14.35" x14ac:dyDescent="0.5">
      <c r="A53" t="s">
        <v>483</v>
      </c>
      <c r="B53">
        <v>838289</v>
      </c>
      <c r="C53" s="170">
        <v>44460.550694444442</v>
      </c>
      <c r="D53" t="s">
        <v>709</v>
      </c>
      <c r="E53" t="s">
        <v>689</v>
      </c>
      <c r="F53">
        <v>242952</v>
      </c>
      <c r="G53">
        <v>124.02</v>
      </c>
      <c r="H53">
        <v>0</v>
      </c>
      <c r="I53" s="165"/>
      <c r="J53" t="s">
        <v>1110</v>
      </c>
      <c r="K53" s="165"/>
      <c r="L53" s="165"/>
    </row>
    <row r="54" spans="1:12" ht="14.35" x14ac:dyDescent="0.5">
      <c r="A54" t="s">
        <v>483</v>
      </c>
      <c r="B54">
        <v>839312</v>
      </c>
      <c r="C54" s="170">
        <v>44467.023611111108</v>
      </c>
      <c r="D54" t="s">
        <v>637</v>
      </c>
      <c r="E54" t="s">
        <v>687</v>
      </c>
      <c r="F54">
        <v>320649</v>
      </c>
      <c r="G54">
        <v>6</v>
      </c>
      <c r="H54">
        <v>0</v>
      </c>
      <c r="I54" s="165"/>
      <c r="J54" t="s">
        <v>1111</v>
      </c>
      <c r="K54" s="165"/>
      <c r="L54" s="165"/>
    </row>
    <row r="55" spans="1:12" ht="14.35" x14ac:dyDescent="0.5">
      <c r="A55" t="s">
        <v>484</v>
      </c>
      <c r="B55">
        <v>834521</v>
      </c>
      <c r="C55" s="170">
        <v>44440.568749999999</v>
      </c>
      <c r="D55" t="s">
        <v>864</v>
      </c>
      <c r="F55">
        <v>0</v>
      </c>
      <c r="G55">
        <v>0</v>
      </c>
      <c r="H55">
        <v>500</v>
      </c>
      <c r="I55" s="165"/>
      <c r="J55" t="s">
        <v>1108</v>
      </c>
      <c r="K55" s="165"/>
      <c r="L55" s="165"/>
    </row>
    <row r="56" spans="1:12" ht="14.35" x14ac:dyDescent="0.5">
      <c r="A56" t="s">
        <v>484</v>
      </c>
      <c r="B56">
        <v>834521</v>
      </c>
      <c r="C56" s="170">
        <v>44440.568749999999</v>
      </c>
      <c r="D56" t="s">
        <v>865</v>
      </c>
      <c r="E56" t="s">
        <v>687</v>
      </c>
      <c r="F56">
        <v>317305</v>
      </c>
      <c r="G56">
        <v>42</v>
      </c>
      <c r="H56">
        <v>0</v>
      </c>
      <c r="I56" s="165"/>
      <c r="J56" t="s">
        <v>1109</v>
      </c>
      <c r="K56" s="165"/>
      <c r="L56" s="165"/>
    </row>
    <row r="57" spans="1:12" ht="14.35" x14ac:dyDescent="0.5">
      <c r="A57" t="s">
        <v>484</v>
      </c>
      <c r="B57">
        <v>834537</v>
      </c>
      <c r="C57" s="170">
        <v>44440.570833333331</v>
      </c>
      <c r="D57" t="s">
        <v>866</v>
      </c>
      <c r="E57" t="s">
        <v>689</v>
      </c>
      <c r="F57">
        <v>241205</v>
      </c>
      <c r="G57">
        <v>452</v>
      </c>
      <c r="H57">
        <v>0</v>
      </c>
      <c r="I57" s="165"/>
      <c r="J57" t="s">
        <v>1110</v>
      </c>
      <c r="K57" s="165"/>
      <c r="L57" s="165"/>
    </row>
    <row r="58" spans="1:12" ht="14.35" x14ac:dyDescent="0.5">
      <c r="A58" t="s">
        <v>484</v>
      </c>
      <c r="B58">
        <v>839312</v>
      </c>
      <c r="C58" s="170">
        <v>44467.023611111108</v>
      </c>
      <c r="D58" t="s">
        <v>646</v>
      </c>
      <c r="E58" t="s">
        <v>687</v>
      </c>
      <c r="F58">
        <v>320650</v>
      </c>
      <c r="G58">
        <v>6</v>
      </c>
      <c r="H58">
        <v>0</v>
      </c>
      <c r="I58" s="165"/>
      <c r="J58" t="s">
        <v>1111</v>
      </c>
      <c r="K58" s="165"/>
      <c r="L58" s="165"/>
    </row>
    <row r="59" spans="1:12" ht="14.35" x14ac:dyDescent="0.5">
      <c r="A59" t="s">
        <v>484</v>
      </c>
      <c r="B59">
        <v>840043</v>
      </c>
      <c r="C59" s="170">
        <v>44469.493750000001</v>
      </c>
      <c r="D59" t="s">
        <v>867</v>
      </c>
      <c r="F59">
        <v>0</v>
      </c>
      <c r="G59">
        <v>0</v>
      </c>
      <c r="H59">
        <v>500</v>
      </c>
      <c r="I59" s="165"/>
      <c r="J59" t="s">
        <v>1108</v>
      </c>
      <c r="K59" s="165"/>
      <c r="L59" s="165"/>
    </row>
    <row r="60" spans="1:12" ht="14.35" x14ac:dyDescent="0.5">
      <c r="A60" t="s">
        <v>484</v>
      </c>
      <c r="B60">
        <v>840043</v>
      </c>
      <c r="C60" s="170">
        <v>44469.493750000001</v>
      </c>
      <c r="D60" t="s">
        <v>865</v>
      </c>
      <c r="E60" t="s">
        <v>687</v>
      </c>
      <c r="F60">
        <v>321049</v>
      </c>
      <c r="G60">
        <v>42</v>
      </c>
      <c r="H60">
        <v>0</v>
      </c>
      <c r="I60" s="165"/>
      <c r="J60" t="s">
        <v>1109</v>
      </c>
      <c r="K60" s="165"/>
      <c r="L60" s="165"/>
    </row>
    <row r="61" spans="1:12" ht="14.35" x14ac:dyDescent="0.5">
      <c r="A61" t="s">
        <v>484</v>
      </c>
      <c r="B61">
        <v>840047</v>
      </c>
      <c r="C61" s="170">
        <v>44469.495138888888</v>
      </c>
      <c r="D61" t="s">
        <v>866</v>
      </c>
      <c r="E61" t="s">
        <v>689</v>
      </c>
      <c r="F61">
        <v>243693</v>
      </c>
      <c r="G61">
        <v>452</v>
      </c>
      <c r="H61">
        <v>0</v>
      </c>
      <c r="I61" s="165"/>
      <c r="J61" t="s">
        <v>1110</v>
      </c>
      <c r="K61" s="165"/>
      <c r="L61" s="165"/>
    </row>
    <row r="62" spans="1:12" ht="14.35" x14ac:dyDescent="0.5">
      <c r="A62" t="s">
        <v>492</v>
      </c>
      <c r="B62">
        <v>837695</v>
      </c>
      <c r="C62" s="170">
        <v>44459.479861111111</v>
      </c>
      <c r="D62" t="s">
        <v>868</v>
      </c>
      <c r="F62">
        <v>0</v>
      </c>
      <c r="G62">
        <v>0</v>
      </c>
      <c r="H62">
        <v>234.71</v>
      </c>
      <c r="I62" s="165"/>
      <c r="J62" t="s">
        <v>1108</v>
      </c>
      <c r="K62" s="165"/>
      <c r="L62" s="165"/>
    </row>
    <row r="63" spans="1:12" ht="14.35" x14ac:dyDescent="0.5">
      <c r="A63" t="s">
        <v>492</v>
      </c>
      <c r="B63">
        <v>837695</v>
      </c>
      <c r="C63" s="170">
        <v>44459.479861111111</v>
      </c>
      <c r="D63" t="s">
        <v>710</v>
      </c>
      <c r="E63" t="s">
        <v>687</v>
      </c>
      <c r="F63">
        <v>319150</v>
      </c>
      <c r="G63">
        <v>19.72</v>
      </c>
      <c r="H63">
        <v>0</v>
      </c>
      <c r="I63" s="165"/>
      <c r="J63" t="s">
        <v>1109</v>
      </c>
      <c r="K63" s="165"/>
      <c r="L63" s="165"/>
    </row>
    <row r="64" spans="1:12" ht="14.35" x14ac:dyDescent="0.5">
      <c r="A64" t="s">
        <v>492</v>
      </c>
      <c r="B64">
        <v>837704</v>
      </c>
      <c r="C64" s="170">
        <v>44459.481944444444</v>
      </c>
      <c r="D64" t="s">
        <v>711</v>
      </c>
      <c r="E64" t="s">
        <v>689</v>
      </c>
      <c r="F64">
        <v>242639</v>
      </c>
      <c r="G64">
        <v>208.99</v>
      </c>
      <c r="H64">
        <v>0</v>
      </c>
      <c r="I64" s="165"/>
      <c r="J64" t="s">
        <v>1110</v>
      </c>
      <c r="K64" s="165"/>
      <c r="L64" s="165"/>
    </row>
    <row r="65" spans="1:12" ht="14.35" x14ac:dyDescent="0.5">
      <c r="A65" t="s">
        <v>492</v>
      </c>
      <c r="B65">
        <v>838274</v>
      </c>
      <c r="C65" s="170">
        <v>44460.54791666667</v>
      </c>
      <c r="D65" t="s">
        <v>868</v>
      </c>
      <c r="F65">
        <v>0</v>
      </c>
      <c r="G65">
        <v>0</v>
      </c>
      <c r="H65">
        <v>290.29000000000002</v>
      </c>
      <c r="I65" s="165"/>
      <c r="J65" t="s">
        <v>1108</v>
      </c>
      <c r="K65" s="165"/>
      <c r="L65" s="165"/>
    </row>
    <row r="66" spans="1:12" ht="14.35" x14ac:dyDescent="0.5">
      <c r="A66" t="s">
        <v>492</v>
      </c>
      <c r="B66">
        <v>838274</v>
      </c>
      <c r="C66" s="170">
        <v>44460.54791666667</v>
      </c>
      <c r="D66" t="s">
        <v>710</v>
      </c>
      <c r="E66" t="s">
        <v>687</v>
      </c>
      <c r="F66">
        <v>319306</v>
      </c>
      <c r="G66">
        <v>24.38</v>
      </c>
      <c r="H66">
        <v>0</v>
      </c>
      <c r="I66" s="165"/>
      <c r="J66" t="s">
        <v>1109</v>
      </c>
      <c r="K66" s="165"/>
      <c r="L66" s="165"/>
    </row>
    <row r="67" spans="1:12" ht="14.35" x14ac:dyDescent="0.5">
      <c r="A67" t="s">
        <v>492</v>
      </c>
      <c r="B67">
        <v>838289</v>
      </c>
      <c r="C67" s="170">
        <v>44460.550694444442</v>
      </c>
      <c r="D67" t="s">
        <v>711</v>
      </c>
      <c r="E67" t="s">
        <v>689</v>
      </c>
      <c r="F67">
        <v>242946</v>
      </c>
      <c r="G67">
        <v>265.91000000000003</v>
      </c>
      <c r="H67">
        <v>0</v>
      </c>
      <c r="I67" s="165"/>
      <c r="J67" t="s">
        <v>1110</v>
      </c>
      <c r="K67" s="165"/>
      <c r="L67" s="165"/>
    </row>
    <row r="68" spans="1:12" ht="14.35" x14ac:dyDescent="0.5">
      <c r="A68" t="s">
        <v>492</v>
      </c>
      <c r="B68">
        <v>839312</v>
      </c>
      <c r="C68" s="170">
        <v>44467.023611111108</v>
      </c>
      <c r="D68" t="s">
        <v>647</v>
      </c>
      <c r="E68" t="s">
        <v>687</v>
      </c>
      <c r="F68">
        <v>320453</v>
      </c>
      <c r="G68">
        <v>6</v>
      </c>
      <c r="H68">
        <v>0</v>
      </c>
      <c r="I68" s="165"/>
      <c r="J68" t="s">
        <v>1111</v>
      </c>
      <c r="K68" s="165"/>
      <c r="L68" s="165"/>
    </row>
    <row r="69" spans="1:12" ht="14.35" x14ac:dyDescent="0.5">
      <c r="A69" t="s">
        <v>493</v>
      </c>
      <c r="B69">
        <v>838833</v>
      </c>
      <c r="C69" s="170">
        <v>44462.455555555556</v>
      </c>
      <c r="D69" t="s">
        <v>869</v>
      </c>
      <c r="F69">
        <v>0</v>
      </c>
      <c r="G69">
        <v>0</v>
      </c>
      <c r="H69">
        <v>490</v>
      </c>
      <c r="I69" s="165"/>
      <c r="J69" t="s">
        <v>1108</v>
      </c>
      <c r="K69" s="165"/>
      <c r="L69" s="165"/>
    </row>
    <row r="70" spans="1:12" ht="14.35" x14ac:dyDescent="0.5">
      <c r="A70" t="s">
        <v>493</v>
      </c>
      <c r="B70">
        <v>838833</v>
      </c>
      <c r="C70" s="170">
        <v>44462.455555555556</v>
      </c>
      <c r="D70" t="s">
        <v>712</v>
      </c>
      <c r="E70" t="s">
        <v>687</v>
      </c>
      <c r="F70">
        <v>319464</v>
      </c>
      <c r="G70">
        <v>41.16</v>
      </c>
      <c r="H70">
        <v>0</v>
      </c>
      <c r="I70" s="165"/>
      <c r="J70" t="s">
        <v>1109</v>
      </c>
      <c r="K70" s="165"/>
      <c r="L70" s="165"/>
    </row>
    <row r="71" spans="1:12" ht="14.35" x14ac:dyDescent="0.5">
      <c r="A71" t="s">
        <v>493</v>
      </c>
      <c r="B71">
        <v>838839</v>
      </c>
      <c r="C71" s="170">
        <v>44462.458333333336</v>
      </c>
      <c r="D71" t="s">
        <v>713</v>
      </c>
      <c r="E71" t="s">
        <v>689</v>
      </c>
      <c r="F71">
        <v>243267</v>
      </c>
      <c r="G71">
        <v>442.84</v>
      </c>
      <c r="H71">
        <v>0</v>
      </c>
      <c r="I71" s="165"/>
      <c r="J71" t="s">
        <v>1110</v>
      </c>
      <c r="K71" s="165"/>
      <c r="L71" s="165"/>
    </row>
    <row r="72" spans="1:12" ht="14.35" x14ac:dyDescent="0.5">
      <c r="A72" t="s">
        <v>493</v>
      </c>
      <c r="B72">
        <v>839312</v>
      </c>
      <c r="C72" s="170">
        <v>44467.023611111108</v>
      </c>
      <c r="D72" t="s">
        <v>651</v>
      </c>
      <c r="E72" t="s">
        <v>687</v>
      </c>
      <c r="F72">
        <v>320456</v>
      </c>
      <c r="G72">
        <v>6</v>
      </c>
      <c r="H72">
        <v>0</v>
      </c>
      <c r="I72" s="165"/>
      <c r="J72" t="s">
        <v>1111</v>
      </c>
      <c r="K72" s="165"/>
      <c r="L72" s="165"/>
    </row>
    <row r="73" spans="1:12" ht="14.35" x14ac:dyDescent="0.5">
      <c r="A73" t="s">
        <v>494</v>
      </c>
      <c r="B73">
        <v>837364</v>
      </c>
      <c r="C73" s="170">
        <v>44455.49722222222</v>
      </c>
      <c r="D73" t="s">
        <v>870</v>
      </c>
      <c r="F73">
        <v>0</v>
      </c>
      <c r="G73">
        <v>0</v>
      </c>
      <c r="H73">
        <v>37.76</v>
      </c>
      <c r="I73" s="165"/>
      <c r="J73" t="s">
        <v>1108</v>
      </c>
      <c r="K73" s="165"/>
      <c r="L73" s="165"/>
    </row>
    <row r="74" spans="1:12" ht="14.35" x14ac:dyDescent="0.5">
      <c r="A74" t="s">
        <v>494</v>
      </c>
      <c r="B74">
        <v>837364</v>
      </c>
      <c r="C74" s="170">
        <v>44455.49722222222</v>
      </c>
      <c r="D74" t="s">
        <v>714</v>
      </c>
      <c r="E74" t="s">
        <v>687</v>
      </c>
      <c r="F74">
        <v>318835</v>
      </c>
      <c r="G74">
        <v>3.17</v>
      </c>
      <c r="H74">
        <v>0</v>
      </c>
      <c r="I74" s="165"/>
      <c r="J74" t="s">
        <v>1109</v>
      </c>
      <c r="K74" s="165"/>
      <c r="L74" s="165"/>
    </row>
    <row r="75" spans="1:12" ht="14.35" x14ac:dyDescent="0.5">
      <c r="A75" t="s">
        <v>494</v>
      </c>
      <c r="B75">
        <v>837370</v>
      </c>
      <c r="C75" s="170">
        <v>44455.499305555553</v>
      </c>
      <c r="D75" t="s">
        <v>715</v>
      </c>
      <c r="E75" t="s">
        <v>689</v>
      </c>
      <c r="F75">
        <v>242544</v>
      </c>
      <c r="G75">
        <v>28.59</v>
      </c>
      <c r="H75">
        <v>0</v>
      </c>
      <c r="I75" s="165"/>
      <c r="J75" t="s">
        <v>1110</v>
      </c>
      <c r="K75" s="165"/>
      <c r="L75" s="165"/>
    </row>
    <row r="76" spans="1:12" ht="14.35" x14ac:dyDescent="0.5">
      <c r="A76" t="s">
        <v>494</v>
      </c>
      <c r="B76">
        <v>838281</v>
      </c>
      <c r="C76" s="170">
        <v>44460.54791666667</v>
      </c>
      <c r="D76" t="s">
        <v>870</v>
      </c>
      <c r="F76">
        <v>0</v>
      </c>
      <c r="G76">
        <v>0</v>
      </c>
      <c r="H76">
        <v>461.52</v>
      </c>
      <c r="I76" s="165"/>
      <c r="J76" t="s">
        <v>1108</v>
      </c>
      <c r="K76" s="165"/>
      <c r="L76" s="165"/>
    </row>
    <row r="77" spans="1:12" ht="14.35" x14ac:dyDescent="0.5">
      <c r="A77" t="s">
        <v>494</v>
      </c>
      <c r="B77">
        <v>838281</v>
      </c>
      <c r="C77" s="170">
        <v>44460.54791666667</v>
      </c>
      <c r="D77" t="s">
        <v>714</v>
      </c>
      <c r="E77" t="s">
        <v>687</v>
      </c>
      <c r="F77">
        <v>319312</v>
      </c>
      <c r="G77">
        <v>38.770000000000003</v>
      </c>
      <c r="H77">
        <v>0</v>
      </c>
      <c r="I77" s="165"/>
      <c r="J77" t="s">
        <v>1109</v>
      </c>
      <c r="K77" s="165"/>
      <c r="L77" s="165"/>
    </row>
    <row r="78" spans="1:12" ht="14.35" x14ac:dyDescent="0.5">
      <c r="A78" t="s">
        <v>494</v>
      </c>
      <c r="B78">
        <v>838289</v>
      </c>
      <c r="C78" s="170">
        <v>44460.550694444442</v>
      </c>
      <c r="D78" t="s">
        <v>715</v>
      </c>
      <c r="E78" t="s">
        <v>689</v>
      </c>
      <c r="F78">
        <v>242953</v>
      </c>
      <c r="G78">
        <v>422.75</v>
      </c>
      <c r="H78">
        <v>0</v>
      </c>
      <c r="I78" s="165"/>
      <c r="J78" t="s">
        <v>1110</v>
      </c>
      <c r="K78" s="165"/>
      <c r="L78" s="165"/>
    </row>
    <row r="79" spans="1:12" ht="14.35" x14ac:dyDescent="0.5">
      <c r="A79" t="s">
        <v>494</v>
      </c>
      <c r="B79">
        <v>839312</v>
      </c>
      <c r="C79" s="170">
        <v>44467.023611111108</v>
      </c>
      <c r="D79" t="s">
        <v>652</v>
      </c>
      <c r="E79" t="s">
        <v>687</v>
      </c>
      <c r="F79">
        <v>320457</v>
      </c>
      <c r="G79">
        <v>6</v>
      </c>
      <c r="H79">
        <v>0</v>
      </c>
      <c r="I79" s="165"/>
      <c r="J79" t="s">
        <v>1111</v>
      </c>
      <c r="K79" s="165"/>
      <c r="L79" s="165"/>
    </row>
    <row r="80" spans="1:12" ht="14.35" x14ac:dyDescent="0.5">
      <c r="A80" t="s">
        <v>495</v>
      </c>
      <c r="B80">
        <v>838266</v>
      </c>
      <c r="C80" s="170">
        <v>44460.54791666667</v>
      </c>
      <c r="D80" t="s">
        <v>871</v>
      </c>
      <c r="F80">
        <v>0</v>
      </c>
      <c r="G80">
        <v>0</v>
      </c>
      <c r="H80">
        <v>499.76</v>
      </c>
      <c r="I80" s="165"/>
      <c r="J80" t="s">
        <v>1108</v>
      </c>
      <c r="K80" s="165"/>
      <c r="L80" s="165"/>
    </row>
    <row r="81" spans="1:12" ht="14.35" x14ac:dyDescent="0.5">
      <c r="A81" t="s">
        <v>495</v>
      </c>
      <c r="B81">
        <v>838266</v>
      </c>
      <c r="C81" s="170">
        <v>44460.54791666667</v>
      </c>
      <c r="D81" t="s">
        <v>716</v>
      </c>
      <c r="E81" t="s">
        <v>687</v>
      </c>
      <c r="F81">
        <v>319299</v>
      </c>
      <c r="G81">
        <v>41.98</v>
      </c>
      <c r="H81">
        <v>0</v>
      </c>
      <c r="I81" s="165"/>
      <c r="J81" t="s">
        <v>1109</v>
      </c>
      <c r="K81" s="165"/>
      <c r="L81" s="165"/>
    </row>
    <row r="82" spans="1:12" ht="14.35" x14ac:dyDescent="0.5">
      <c r="A82" t="s">
        <v>495</v>
      </c>
      <c r="B82">
        <v>838289</v>
      </c>
      <c r="C82" s="170">
        <v>44460.550694444442</v>
      </c>
      <c r="D82" t="s">
        <v>717</v>
      </c>
      <c r="E82" t="s">
        <v>689</v>
      </c>
      <c r="F82">
        <v>242938</v>
      </c>
      <c r="G82">
        <v>451.78</v>
      </c>
      <c r="H82">
        <v>0</v>
      </c>
      <c r="I82" s="165"/>
      <c r="J82" t="s">
        <v>1110</v>
      </c>
      <c r="K82" s="165"/>
      <c r="L82" s="165"/>
    </row>
    <row r="83" spans="1:12" ht="14.35" x14ac:dyDescent="0.5">
      <c r="A83" t="s">
        <v>495</v>
      </c>
      <c r="B83">
        <v>839312</v>
      </c>
      <c r="C83" s="170">
        <v>44467.023611111108</v>
      </c>
      <c r="D83" t="s">
        <v>638</v>
      </c>
      <c r="E83" t="s">
        <v>687</v>
      </c>
      <c r="F83">
        <v>320442</v>
      </c>
      <c r="G83">
        <v>6</v>
      </c>
      <c r="H83">
        <v>0</v>
      </c>
      <c r="I83" s="165"/>
      <c r="J83" t="s">
        <v>1111</v>
      </c>
      <c r="K83" s="165"/>
      <c r="L83" s="165"/>
    </row>
    <row r="84" spans="1:12" ht="14.35" x14ac:dyDescent="0.5">
      <c r="A84" t="s">
        <v>497</v>
      </c>
      <c r="B84">
        <v>835628</v>
      </c>
      <c r="C84" s="170">
        <v>44446.565972222219</v>
      </c>
      <c r="D84" t="s">
        <v>872</v>
      </c>
      <c r="F84">
        <v>0</v>
      </c>
      <c r="G84">
        <v>0</v>
      </c>
      <c r="H84">
        <v>500</v>
      </c>
      <c r="I84" s="165"/>
      <c r="J84" t="s">
        <v>1108</v>
      </c>
      <c r="K84" s="165"/>
      <c r="L84" s="165"/>
    </row>
    <row r="85" spans="1:12" ht="14.35" x14ac:dyDescent="0.5">
      <c r="A85" t="s">
        <v>497</v>
      </c>
      <c r="B85">
        <v>835628</v>
      </c>
      <c r="C85" s="170">
        <v>44446.565972222219</v>
      </c>
      <c r="D85" t="s">
        <v>718</v>
      </c>
      <c r="E85" t="s">
        <v>687</v>
      </c>
      <c r="F85">
        <v>317935</v>
      </c>
      <c r="G85">
        <v>42</v>
      </c>
      <c r="H85">
        <v>0</v>
      </c>
      <c r="I85" s="165"/>
      <c r="J85" t="s">
        <v>1109</v>
      </c>
      <c r="K85" s="165"/>
      <c r="L85" s="165"/>
    </row>
    <row r="86" spans="1:12" ht="14.35" x14ac:dyDescent="0.5">
      <c r="A86" t="s">
        <v>497</v>
      </c>
      <c r="B86">
        <v>835645</v>
      </c>
      <c r="C86" s="170">
        <v>44446.569444444445</v>
      </c>
      <c r="D86" t="s">
        <v>719</v>
      </c>
      <c r="E86" t="s">
        <v>689</v>
      </c>
      <c r="F86">
        <v>241705</v>
      </c>
      <c r="G86">
        <v>452</v>
      </c>
      <c r="H86">
        <v>0</v>
      </c>
      <c r="I86" s="165"/>
      <c r="J86" t="s">
        <v>1110</v>
      </c>
      <c r="K86" s="165"/>
      <c r="L86" s="165"/>
    </row>
    <row r="87" spans="1:12" ht="14.35" x14ac:dyDescent="0.5">
      <c r="A87" t="s">
        <v>497</v>
      </c>
      <c r="B87">
        <v>839312</v>
      </c>
      <c r="C87" s="170">
        <v>44467.023611111108</v>
      </c>
      <c r="D87" t="s">
        <v>639</v>
      </c>
      <c r="E87" t="s">
        <v>687</v>
      </c>
      <c r="F87">
        <v>320449</v>
      </c>
      <c r="G87">
        <v>6</v>
      </c>
      <c r="H87">
        <v>0</v>
      </c>
      <c r="I87" s="165"/>
      <c r="J87" t="s">
        <v>1111</v>
      </c>
      <c r="K87" s="165"/>
      <c r="L87" s="165"/>
    </row>
    <row r="88" spans="1:12" ht="14.35" x14ac:dyDescent="0.5">
      <c r="A88" t="s">
        <v>498</v>
      </c>
      <c r="B88">
        <v>838269</v>
      </c>
      <c r="C88" s="170">
        <v>44460.54791666667</v>
      </c>
      <c r="D88" t="s">
        <v>721</v>
      </c>
      <c r="F88">
        <v>0</v>
      </c>
      <c r="G88">
        <v>0</v>
      </c>
      <c r="H88">
        <v>232.32</v>
      </c>
      <c r="I88" s="165"/>
      <c r="J88" t="s">
        <v>1108</v>
      </c>
      <c r="K88" s="165"/>
      <c r="L88" s="165"/>
    </row>
    <row r="89" spans="1:12" ht="14.35" x14ac:dyDescent="0.5">
      <c r="A89" t="s">
        <v>498</v>
      </c>
      <c r="B89">
        <v>838269</v>
      </c>
      <c r="C89" s="170">
        <v>44460.54791666667</v>
      </c>
      <c r="D89" t="s">
        <v>720</v>
      </c>
      <c r="E89" t="s">
        <v>687</v>
      </c>
      <c r="F89">
        <v>319302</v>
      </c>
      <c r="G89">
        <v>16.73</v>
      </c>
      <c r="H89">
        <v>0</v>
      </c>
      <c r="I89" s="165"/>
      <c r="J89" t="s">
        <v>1109</v>
      </c>
      <c r="K89" s="165"/>
      <c r="L89" s="165"/>
    </row>
    <row r="90" spans="1:12" ht="14.35" x14ac:dyDescent="0.5">
      <c r="A90" t="s">
        <v>498</v>
      </c>
      <c r="B90">
        <v>838269</v>
      </c>
      <c r="C90" s="170">
        <v>44460.54791666667</v>
      </c>
      <c r="D90" t="s">
        <v>873</v>
      </c>
      <c r="F90">
        <v>0</v>
      </c>
      <c r="G90">
        <v>0</v>
      </c>
      <c r="H90">
        <v>229.2</v>
      </c>
      <c r="I90" s="165"/>
      <c r="J90" t="s">
        <v>1108</v>
      </c>
      <c r="K90" s="165"/>
      <c r="L90" s="165"/>
    </row>
    <row r="91" spans="1:12" ht="14.35" x14ac:dyDescent="0.5">
      <c r="A91" t="s">
        <v>498</v>
      </c>
      <c r="B91">
        <v>838269</v>
      </c>
      <c r="C91" s="170">
        <v>44460.54791666667</v>
      </c>
      <c r="D91" t="s">
        <v>720</v>
      </c>
      <c r="E91" t="s">
        <v>687</v>
      </c>
      <c r="F91">
        <v>319302</v>
      </c>
      <c r="G91">
        <v>16.5</v>
      </c>
      <c r="H91">
        <v>0</v>
      </c>
      <c r="I91" s="165"/>
      <c r="J91" t="s">
        <v>1109</v>
      </c>
      <c r="K91" s="165"/>
      <c r="L91" s="165"/>
    </row>
    <row r="92" spans="1:12" ht="14.35" x14ac:dyDescent="0.5">
      <c r="A92" t="s">
        <v>498</v>
      </c>
      <c r="B92">
        <v>838289</v>
      </c>
      <c r="C92" s="170">
        <v>44460.550694444442</v>
      </c>
      <c r="D92" t="s">
        <v>722</v>
      </c>
      <c r="E92" t="s">
        <v>689</v>
      </c>
      <c r="F92">
        <v>242941</v>
      </c>
      <c r="G92">
        <v>422.29</v>
      </c>
      <c r="H92">
        <v>0</v>
      </c>
      <c r="I92" s="165"/>
      <c r="J92" t="s">
        <v>1110</v>
      </c>
      <c r="K92" s="165"/>
      <c r="L92" s="165"/>
    </row>
    <row r="93" spans="1:12" ht="14.35" x14ac:dyDescent="0.5">
      <c r="A93" t="s">
        <v>498</v>
      </c>
      <c r="B93">
        <v>839312</v>
      </c>
      <c r="C93" s="170">
        <v>44467.023611111108</v>
      </c>
      <c r="D93" t="s">
        <v>648</v>
      </c>
      <c r="E93" t="s">
        <v>687</v>
      </c>
      <c r="F93">
        <v>320452</v>
      </c>
      <c r="G93">
        <v>6</v>
      </c>
      <c r="H93">
        <v>0</v>
      </c>
      <c r="I93" s="165"/>
      <c r="J93" t="s">
        <v>1111</v>
      </c>
      <c r="K93" s="165"/>
      <c r="L93" s="165"/>
    </row>
    <row r="94" spans="1:12" ht="14.35" x14ac:dyDescent="0.5">
      <c r="A94" t="s">
        <v>501</v>
      </c>
      <c r="B94">
        <v>836804</v>
      </c>
      <c r="C94" s="170">
        <v>44453.531944444447</v>
      </c>
      <c r="D94" t="s">
        <v>874</v>
      </c>
      <c r="F94">
        <v>0</v>
      </c>
      <c r="G94">
        <v>0</v>
      </c>
      <c r="H94">
        <v>227.8</v>
      </c>
      <c r="I94" s="165"/>
      <c r="J94" t="s">
        <v>1108</v>
      </c>
      <c r="K94" s="165"/>
      <c r="L94" s="165"/>
    </row>
    <row r="95" spans="1:12" ht="14.35" x14ac:dyDescent="0.5">
      <c r="A95" t="s">
        <v>501</v>
      </c>
      <c r="B95">
        <v>836804</v>
      </c>
      <c r="C95" s="170">
        <v>44453.531944444447</v>
      </c>
      <c r="D95" t="s">
        <v>723</v>
      </c>
      <c r="E95" t="s">
        <v>687</v>
      </c>
      <c r="F95">
        <v>318611</v>
      </c>
      <c r="G95">
        <v>19.14</v>
      </c>
      <c r="H95">
        <v>0</v>
      </c>
      <c r="I95" s="165"/>
      <c r="J95" t="s">
        <v>1109</v>
      </c>
      <c r="K95" s="165"/>
      <c r="L95" s="165"/>
    </row>
    <row r="96" spans="1:12" ht="14.35" x14ac:dyDescent="0.5">
      <c r="A96" t="s">
        <v>501</v>
      </c>
      <c r="B96">
        <v>836821</v>
      </c>
      <c r="C96" s="170">
        <v>44453.535416666666</v>
      </c>
      <c r="D96" t="s">
        <v>724</v>
      </c>
      <c r="E96" t="s">
        <v>689</v>
      </c>
      <c r="F96">
        <v>242214</v>
      </c>
      <c r="G96">
        <v>202.66</v>
      </c>
      <c r="H96">
        <v>0</v>
      </c>
      <c r="I96" s="165"/>
      <c r="J96" t="s">
        <v>1110</v>
      </c>
      <c r="K96" s="165"/>
      <c r="L96" s="165"/>
    </row>
    <row r="97" spans="1:12" ht="14.35" x14ac:dyDescent="0.5">
      <c r="A97" t="s">
        <v>501</v>
      </c>
      <c r="B97">
        <v>838279</v>
      </c>
      <c r="C97" s="170">
        <v>44460.54791666667</v>
      </c>
      <c r="D97" t="s">
        <v>874</v>
      </c>
      <c r="F97">
        <v>0</v>
      </c>
      <c r="G97">
        <v>0</v>
      </c>
      <c r="H97">
        <v>272.2</v>
      </c>
      <c r="I97" s="165"/>
      <c r="J97" t="s">
        <v>1108</v>
      </c>
      <c r="K97" s="165"/>
      <c r="L97" s="165"/>
    </row>
    <row r="98" spans="1:12" ht="14.35" x14ac:dyDescent="0.5">
      <c r="A98" t="s">
        <v>501</v>
      </c>
      <c r="B98">
        <v>838279</v>
      </c>
      <c r="C98" s="170">
        <v>44460.54791666667</v>
      </c>
      <c r="D98" t="s">
        <v>723</v>
      </c>
      <c r="E98" t="s">
        <v>687</v>
      </c>
      <c r="F98">
        <v>319310</v>
      </c>
      <c r="G98">
        <v>22.86</v>
      </c>
      <c r="H98">
        <v>0</v>
      </c>
      <c r="I98" s="165"/>
      <c r="J98" t="s">
        <v>1109</v>
      </c>
      <c r="K98" s="165"/>
      <c r="L98" s="165"/>
    </row>
    <row r="99" spans="1:12" ht="14.35" x14ac:dyDescent="0.5">
      <c r="A99" t="s">
        <v>501</v>
      </c>
      <c r="B99">
        <v>838289</v>
      </c>
      <c r="C99" s="170">
        <v>44460.550694444442</v>
      </c>
      <c r="D99" t="s">
        <v>724</v>
      </c>
      <c r="E99" t="s">
        <v>689</v>
      </c>
      <c r="F99">
        <v>242951</v>
      </c>
      <c r="G99">
        <v>249.34</v>
      </c>
      <c r="H99">
        <v>0</v>
      </c>
      <c r="I99" s="165"/>
      <c r="J99" t="s">
        <v>1110</v>
      </c>
      <c r="K99" s="165"/>
      <c r="L99" s="165"/>
    </row>
    <row r="100" spans="1:12" ht="14.35" x14ac:dyDescent="0.5">
      <c r="A100" t="s">
        <v>501</v>
      </c>
      <c r="B100">
        <v>839312</v>
      </c>
      <c r="C100" s="170">
        <v>44467.023611111108</v>
      </c>
      <c r="D100" t="s">
        <v>640</v>
      </c>
      <c r="E100" t="s">
        <v>687</v>
      </c>
      <c r="F100">
        <v>320506</v>
      </c>
      <c r="G100">
        <v>6</v>
      </c>
      <c r="H100">
        <v>0</v>
      </c>
      <c r="I100" s="165"/>
      <c r="J100" t="s">
        <v>1111</v>
      </c>
      <c r="K100" s="165"/>
      <c r="L100" s="165"/>
    </row>
    <row r="101" spans="1:12" ht="14.35" x14ac:dyDescent="0.5">
      <c r="A101" t="s">
        <v>503</v>
      </c>
      <c r="B101">
        <v>836797</v>
      </c>
      <c r="C101" s="170">
        <v>44453.531944444447</v>
      </c>
      <c r="D101" t="s">
        <v>875</v>
      </c>
      <c r="F101">
        <v>0</v>
      </c>
      <c r="G101">
        <v>0</v>
      </c>
      <c r="H101">
        <v>550</v>
      </c>
      <c r="I101" s="165"/>
      <c r="J101" t="s">
        <v>1108</v>
      </c>
      <c r="K101" s="165"/>
      <c r="L101" s="165"/>
    </row>
    <row r="102" spans="1:12" ht="14.35" x14ac:dyDescent="0.5">
      <c r="A102" t="s">
        <v>503</v>
      </c>
      <c r="B102">
        <v>836797</v>
      </c>
      <c r="C102" s="170">
        <v>44453.531944444447</v>
      </c>
      <c r="D102" t="s">
        <v>725</v>
      </c>
      <c r="E102" t="s">
        <v>687</v>
      </c>
      <c r="F102">
        <v>318604</v>
      </c>
      <c r="G102">
        <v>46.2</v>
      </c>
      <c r="H102">
        <v>0</v>
      </c>
      <c r="I102" s="165"/>
      <c r="J102" t="s">
        <v>1109</v>
      </c>
      <c r="K102" s="165"/>
      <c r="L102" s="165"/>
    </row>
    <row r="103" spans="1:12" ht="14.35" x14ac:dyDescent="0.5">
      <c r="A103" t="s">
        <v>503</v>
      </c>
      <c r="B103">
        <v>836821</v>
      </c>
      <c r="C103" s="170">
        <v>44453.535416666666</v>
      </c>
      <c r="D103" t="s">
        <v>726</v>
      </c>
      <c r="E103" t="s">
        <v>689</v>
      </c>
      <c r="F103">
        <v>242207</v>
      </c>
      <c r="G103">
        <v>497.8</v>
      </c>
      <c r="H103">
        <v>0</v>
      </c>
      <c r="I103" s="165"/>
      <c r="J103" t="s">
        <v>1110</v>
      </c>
      <c r="K103" s="165"/>
      <c r="L103" s="165"/>
    </row>
    <row r="104" spans="1:12" ht="14.35" x14ac:dyDescent="0.5">
      <c r="A104" t="s">
        <v>503</v>
      </c>
      <c r="B104">
        <v>839312</v>
      </c>
      <c r="C104" s="170">
        <v>44467.023611111108</v>
      </c>
      <c r="D104" t="s">
        <v>641</v>
      </c>
      <c r="E104" t="s">
        <v>687</v>
      </c>
      <c r="F104">
        <v>320495</v>
      </c>
      <c r="G104">
        <v>6</v>
      </c>
      <c r="H104">
        <v>0</v>
      </c>
      <c r="I104" s="165"/>
      <c r="J104" t="s">
        <v>1111</v>
      </c>
      <c r="K104" s="165"/>
      <c r="L104" s="165"/>
    </row>
    <row r="105" spans="1:12" ht="14.35" x14ac:dyDescent="0.5">
      <c r="A105" t="s">
        <v>504</v>
      </c>
      <c r="B105">
        <v>837692</v>
      </c>
      <c r="C105" s="170">
        <v>44459.479861111111</v>
      </c>
      <c r="D105" t="s">
        <v>876</v>
      </c>
      <c r="F105">
        <v>0</v>
      </c>
      <c r="G105">
        <v>0</v>
      </c>
      <c r="H105">
        <v>116.57</v>
      </c>
      <c r="I105" s="165"/>
      <c r="J105" t="s">
        <v>1108</v>
      </c>
      <c r="K105" s="165"/>
      <c r="L105" s="165"/>
    </row>
    <row r="106" spans="1:12" ht="14.35" x14ac:dyDescent="0.5">
      <c r="A106" t="s">
        <v>504</v>
      </c>
      <c r="B106">
        <v>837692</v>
      </c>
      <c r="C106" s="170">
        <v>44459.479861111111</v>
      </c>
      <c r="D106" t="s">
        <v>727</v>
      </c>
      <c r="E106" t="s">
        <v>687</v>
      </c>
      <c r="F106">
        <v>319147</v>
      </c>
      <c r="G106">
        <v>9.7899999999999991</v>
      </c>
      <c r="H106">
        <v>0</v>
      </c>
      <c r="I106" s="165"/>
      <c r="J106" t="s">
        <v>1109</v>
      </c>
      <c r="K106" s="165"/>
      <c r="L106" s="165"/>
    </row>
    <row r="107" spans="1:12" ht="14.35" x14ac:dyDescent="0.5">
      <c r="A107" t="s">
        <v>504</v>
      </c>
      <c r="B107">
        <v>837704</v>
      </c>
      <c r="C107" s="170">
        <v>44459.481944444444</v>
      </c>
      <c r="D107" t="s">
        <v>728</v>
      </c>
      <c r="E107" t="s">
        <v>689</v>
      </c>
      <c r="F107">
        <v>242636</v>
      </c>
      <c r="G107">
        <v>100.78</v>
      </c>
      <c r="H107">
        <v>0</v>
      </c>
      <c r="I107" s="165"/>
      <c r="J107" t="s">
        <v>1110</v>
      </c>
      <c r="K107" s="165"/>
      <c r="L107" s="165"/>
    </row>
    <row r="108" spans="1:12" ht="14.35" x14ac:dyDescent="0.5">
      <c r="A108" t="s">
        <v>504</v>
      </c>
      <c r="B108">
        <v>838268</v>
      </c>
      <c r="C108" s="170">
        <v>44460.54791666667</v>
      </c>
      <c r="D108" t="s">
        <v>876</v>
      </c>
      <c r="F108">
        <v>0</v>
      </c>
      <c r="G108">
        <v>0</v>
      </c>
      <c r="H108">
        <v>388.43</v>
      </c>
      <c r="I108" s="165"/>
      <c r="J108" t="s">
        <v>1108</v>
      </c>
      <c r="K108" s="165"/>
      <c r="L108" s="165"/>
    </row>
    <row r="109" spans="1:12" ht="14.35" x14ac:dyDescent="0.5">
      <c r="A109" t="s">
        <v>504</v>
      </c>
      <c r="B109">
        <v>838268</v>
      </c>
      <c r="C109" s="170">
        <v>44460.54791666667</v>
      </c>
      <c r="D109" t="s">
        <v>727</v>
      </c>
      <c r="E109" t="s">
        <v>687</v>
      </c>
      <c r="F109">
        <v>319301</v>
      </c>
      <c r="G109">
        <v>32.630000000000003</v>
      </c>
      <c r="H109">
        <v>0</v>
      </c>
      <c r="I109" s="165"/>
      <c r="J109" t="s">
        <v>1109</v>
      </c>
      <c r="K109" s="165"/>
      <c r="L109" s="165"/>
    </row>
    <row r="110" spans="1:12" ht="14.35" x14ac:dyDescent="0.5">
      <c r="A110" t="s">
        <v>504</v>
      </c>
      <c r="B110">
        <v>838289</v>
      </c>
      <c r="C110" s="170">
        <v>44460.550694444442</v>
      </c>
      <c r="D110" t="s">
        <v>728</v>
      </c>
      <c r="E110" t="s">
        <v>689</v>
      </c>
      <c r="F110">
        <v>242940</v>
      </c>
      <c r="G110">
        <v>355.8</v>
      </c>
      <c r="H110">
        <v>0</v>
      </c>
      <c r="I110" s="165"/>
      <c r="J110" t="s">
        <v>1110</v>
      </c>
      <c r="K110" s="165"/>
      <c r="L110" s="165"/>
    </row>
    <row r="111" spans="1:12" ht="14.35" x14ac:dyDescent="0.5">
      <c r="A111" t="s">
        <v>504</v>
      </c>
      <c r="B111">
        <v>839312</v>
      </c>
      <c r="C111" s="170">
        <v>44467.023611111108</v>
      </c>
      <c r="D111" t="s">
        <v>649</v>
      </c>
      <c r="E111" t="s">
        <v>687</v>
      </c>
      <c r="F111">
        <v>320496</v>
      </c>
      <c r="G111">
        <v>6</v>
      </c>
      <c r="H111">
        <v>0</v>
      </c>
      <c r="I111" s="165"/>
      <c r="J111" t="s">
        <v>1111</v>
      </c>
      <c r="K111" s="165"/>
      <c r="L111" s="165"/>
    </row>
    <row r="112" spans="1:12" ht="14.35" x14ac:dyDescent="0.5">
      <c r="A112" t="s">
        <v>505</v>
      </c>
      <c r="B112">
        <v>839312</v>
      </c>
      <c r="C112" s="170">
        <v>44467.023611111108</v>
      </c>
      <c r="D112" t="s">
        <v>642</v>
      </c>
      <c r="E112" t="s">
        <v>687</v>
      </c>
      <c r="F112">
        <v>320497</v>
      </c>
      <c r="G112">
        <v>6</v>
      </c>
      <c r="H112">
        <v>0</v>
      </c>
      <c r="I112" s="165"/>
      <c r="J112" t="s">
        <v>1111</v>
      </c>
      <c r="K112" s="165"/>
      <c r="L112" s="165"/>
    </row>
    <row r="113" spans="1:12" ht="14.35" x14ac:dyDescent="0.5">
      <c r="A113" t="s">
        <v>505</v>
      </c>
      <c r="B113">
        <v>839545</v>
      </c>
      <c r="C113" s="170">
        <v>44467.536805555559</v>
      </c>
      <c r="D113" t="s">
        <v>877</v>
      </c>
      <c r="F113">
        <v>0</v>
      </c>
      <c r="G113">
        <v>0</v>
      </c>
      <c r="H113">
        <v>550</v>
      </c>
      <c r="I113" s="165"/>
      <c r="J113" t="s">
        <v>1108</v>
      </c>
      <c r="K113" s="165"/>
      <c r="L113" s="165"/>
    </row>
    <row r="114" spans="1:12" ht="14.35" x14ac:dyDescent="0.5">
      <c r="A114" t="s">
        <v>505</v>
      </c>
      <c r="B114">
        <v>839545</v>
      </c>
      <c r="C114" s="170">
        <v>44467.536805555559</v>
      </c>
      <c r="D114" t="s">
        <v>729</v>
      </c>
      <c r="E114" t="s">
        <v>687</v>
      </c>
      <c r="F114">
        <v>320853</v>
      </c>
      <c r="G114">
        <v>46.2</v>
      </c>
      <c r="H114">
        <v>0</v>
      </c>
      <c r="I114" s="165"/>
      <c r="J114" t="s">
        <v>1109</v>
      </c>
      <c r="K114" s="165"/>
      <c r="L114" s="165"/>
    </row>
    <row r="115" spans="1:12" ht="14.35" x14ac:dyDescent="0.5">
      <c r="A115" t="s">
        <v>505</v>
      </c>
      <c r="B115">
        <v>839561</v>
      </c>
      <c r="C115" s="65">
        <v>44467.544444444444</v>
      </c>
      <c r="D115" t="s">
        <v>730</v>
      </c>
      <c r="E115" t="s">
        <v>689</v>
      </c>
      <c r="F115">
        <v>243502</v>
      </c>
      <c r="G115">
        <v>491.8</v>
      </c>
      <c r="H115">
        <v>0</v>
      </c>
      <c r="I115" s="165"/>
      <c r="J115" t="s">
        <v>1110</v>
      </c>
      <c r="K115" s="165"/>
      <c r="L115" s="165"/>
    </row>
    <row r="116" spans="1:12" ht="14.35" x14ac:dyDescent="0.5">
      <c r="A116" t="s">
        <v>506</v>
      </c>
      <c r="B116">
        <v>839312</v>
      </c>
      <c r="C116" s="65">
        <v>44467.023611111108</v>
      </c>
      <c r="D116" t="s">
        <v>650</v>
      </c>
      <c r="E116" t="s">
        <v>687</v>
      </c>
      <c r="F116">
        <v>320498</v>
      </c>
      <c r="G116">
        <v>6</v>
      </c>
      <c r="H116">
        <v>0</v>
      </c>
      <c r="I116" s="165"/>
      <c r="J116" t="s">
        <v>1111</v>
      </c>
      <c r="K116" s="165"/>
      <c r="L116" s="165"/>
    </row>
    <row r="117" spans="1:12" ht="14.35" x14ac:dyDescent="0.5">
      <c r="C117" s="65"/>
      <c r="I117" s="165"/>
      <c r="K117" s="165"/>
      <c r="L117" s="165"/>
    </row>
    <row r="118" spans="1:12" ht="14.35" x14ac:dyDescent="0.5">
      <c r="C118" s="65"/>
      <c r="I118" s="165"/>
      <c r="K118" s="165"/>
      <c r="L118" s="165"/>
    </row>
    <row r="119" spans="1:12" ht="14.35" x14ac:dyDescent="0.5">
      <c r="C119" s="65"/>
      <c r="I119" s="165"/>
      <c r="K119" s="165"/>
      <c r="L119" s="165"/>
    </row>
    <row r="120" spans="1:12" ht="14.35" x14ac:dyDescent="0.5">
      <c r="C120" s="65"/>
      <c r="I120" s="165"/>
      <c r="K120" s="165"/>
      <c r="L120" s="165"/>
    </row>
    <row r="121" spans="1:12" ht="14.35" x14ac:dyDescent="0.5">
      <c r="C121" s="65"/>
      <c r="I121" s="165"/>
      <c r="K121" s="165"/>
      <c r="L121" s="165"/>
    </row>
    <row r="122" spans="1:12" ht="14.35" x14ac:dyDescent="0.5">
      <c r="C122" s="65"/>
      <c r="I122" s="165"/>
      <c r="K122" s="165"/>
      <c r="L122" s="165"/>
    </row>
    <row r="123" spans="1:12" ht="14.35" x14ac:dyDescent="0.5">
      <c r="C123" s="65"/>
      <c r="I123" s="165"/>
      <c r="K123" s="165"/>
      <c r="L123" s="165"/>
    </row>
    <row r="124" spans="1:12" ht="14.35" x14ac:dyDescent="0.5">
      <c r="C124" s="65"/>
      <c r="I124" s="165"/>
      <c r="K124" s="165"/>
      <c r="L124" s="165"/>
    </row>
    <row r="125" spans="1:12" ht="14.35" x14ac:dyDescent="0.5">
      <c r="C125" s="65"/>
      <c r="I125" s="165"/>
      <c r="K125" s="165"/>
      <c r="L125" s="165"/>
    </row>
    <row r="126" spans="1:12" ht="14.35" x14ac:dyDescent="0.5">
      <c r="C126" s="65"/>
      <c r="I126" s="165"/>
      <c r="K126" s="165"/>
      <c r="L126" s="165"/>
    </row>
    <row r="127" spans="1:12" x14ac:dyDescent="0.4">
      <c r="C127" s="65"/>
    </row>
    <row r="128" spans="1:12" x14ac:dyDescent="0.4">
      <c r="C128" s="65"/>
    </row>
    <row r="129" spans="3:3" x14ac:dyDescent="0.4">
      <c r="C129" s="65"/>
    </row>
    <row r="130" spans="3:3" x14ac:dyDescent="0.4">
      <c r="C130" s="65"/>
    </row>
    <row r="131" spans="3:3" x14ac:dyDescent="0.4">
      <c r="C131" s="65"/>
    </row>
    <row r="132" spans="3:3" x14ac:dyDescent="0.4">
      <c r="C132" s="65"/>
    </row>
    <row r="133" spans="3:3" x14ac:dyDescent="0.4">
      <c r="C133" s="65"/>
    </row>
    <row r="134" spans="3:3" x14ac:dyDescent="0.4">
      <c r="C134" s="65"/>
    </row>
    <row r="135" spans="3:3" x14ac:dyDescent="0.4">
      <c r="C135" s="65"/>
    </row>
    <row r="136" spans="3:3" x14ac:dyDescent="0.4">
      <c r="C136" s="65"/>
    </row>
    <row r="137" spans="3:3" x14ac:dyDescent="0.4">
      <c r="C137" s="65"/>
    </row>
    <row r="138" spans="3:3" x14ac:dyDescent="0.4">
      <c r="C138" s="65"/>
    </row>
    <row r="139" spans="3:3" x14ac:dyDescent="0.4">
      <c r="C139" s="65"/>
    </row>
    <row r="140" spans="3:3" x14ac:dyDescent="0.4">
      <c r="C140" s="65"/>
    </row>
    <row r="141" spans="3:3" x14ac:dyDescent="0.4">
      <c r="C141" s="65"/>
    </row>
    <row r="142" spans="3:3" x14ac:dyDescent="0.4">
      <c r="C142" s="65"/>
    </row>
    <row r="143" spans="3:3" x14ac:dyDescent="0.4">
      <c r="C143" s="65"/>
    </row>
    <row r="144" spans="3:3" x14ac:dyDescent="0.4">
      <c r="C144" s="65"/>
    </row>
    <row r="145" spans="3:3" x14ac:dyDescent="0.4">
      <c r="C145" s="65"/>
    </row>
    <row r="146" spans="3:3" x14ac:dyDescent="0.4">
      <c r="C146" s="65"/>
    </row>
    <row r="147" spans="3:3" x14ac:dyDescent="0.4">
      <c r="C147" s="65"/>
    </row>
    <row r="148" spans="3:3" x14ac:dyDescent="0.4">
      <c r="C148" s="65"/>
    </row>
    <row r="149" spans="3:3" x14ac:dyDescent="0.4">
      <c r="C149" s="65"/>
    </row>
    <row r="150" spans="3:3" x14ac:dyDescent="0.4">
      <c r="C150" s="65"/>
    </row>
    <row r="151" spans="3:3" x14ac:dyDescent="0.4">
      <c r="C151" s="65"/>
    </row>
    <row r="152" spans="3:3" x14ac:dyDescent="0.4">
      <c r="C152" s="65"/>
    </row>
    <row r="153" spans="3:3" x14ac:dyDescent="0.4">
      <c r="C153" s="65"/>
    </row>
    <row r="154" spans="3:3" x14ac:dyDescent="0.4">
      <c r="C154" s="65"/>
    </row>
    <row r="155" spans="3:3" x14ac:dyDescent="0.4">
      <c r="C155" s="65"/>
    </row>
    <row r="156" spans="3:3" x14ac:dyDescent="0.4">
      <c r="C156" s="65"/>
    </row>
    <row r="157" spans="3:3" x14ac:dyDescent="0.4">
      <c r="C157" s="65"/>
    </row>
    <row r="158" spans="3:3" x14ac:dyDescent="0.4">
      <c r="C158" s="65"/>
    </row>
    <row r="159" spans="3:3" x14ac:dyDescent="0.4">
      <c r="C159" s="65"/>
    </row>
    <row r="160" spans="3:3" x14ac:dyDescent="0.4">
      <c r="C160" s="65"/>
    </row>
    <row r="161" spans="3:3" x14ac:dyDescent="0.4">
      <c r="C161" s="65"/>
    </row>
    <row r="162" spans="3:3" x14ac:dyDescent="0.4">
      <c r="C162" s="65"/>
    </row>
    <row r="163" spans="3:3" x14ac:dyDescent="0.4">
      <c r="C163" s="65"/>
    </row>
    <row r="164" spans="3:3" x14ac:dyDescent="0.4">
      <c r="C164" s="65"/>
    </row>
    <row r="165" spans="3:3" x14ac:dyDescent="0.4">
      <c r="C165" s="65"/>
    </row>
    <row r="166" spans="3:3" x14ac:dyDescent="0.4">
      <c r="C166" s="65"/>
    </row>
    <row r="167" spans="3:3" x14ac:dyDescent="0.4">
      <c r="C167" s="65"/>
    </row>
    <row r="168" spans="3:3" x14ac:dyDescent="0.4">
      <c r="C168" s="65"/>
    </row>
    <row r="169" spans="3:3" x14ac:dyDescent="0.4">
      <c r="C169" s="65"/>
    </row>
    <row r="170" spans="3:3" x14ac:dyDescent="0.4">
      <c r="C170" s="65"/>
    </row>
    <row r="171" spans="3:3" x14ac:dyDescent="0.4">
      <c r="C171" s="65"/>
    </row>
    <row r="172" spans="3:3" x14ac:dyDescent="0.4">
      <c r="C172" s="65"/>
    </row>
    <row r="173" spans="3:3" x14ac:dyDescent="0.4">
      <c r="C173" s="65"/>
    </row>
    <row r="174" spans="3:3" x14ac:dyDescent="0.4">
      <c r="C174" s="65"/>
    </row>
    <row r="175" spans="3:3" x14ac:dyDescent="0.4">
      <c r="C175" s="65"/>
    </row>
    <row r="176" spans="3:3" x14ac:dyDescent="0.4">
      <c r="C176" s="65"/>
    </row>
    <row r="177" spans="3:3" x14ac:dyDescent="0.4">
      <c r="C177" s="65"/>
    </row>
    <row r="178" spans="3:3" x14ac:dyDescent="0.4">
      <c r="C178" s="65"/>
    </row>
    <row r="179" spans="3:3" x14ac:dyDescent="0.4">
      <c r="C179" s="65"/>
    </row>
    <row r="180" spans="3:3" x14ac:dyDescent="0.4">
      <c r="C180" s="65"/>
    </row>
    <row r="181" spans="3:3" x14ac:dyDescent="0.4">
      <c r="C181" s="65"/>
    </row>
    <row r="182" spans="3:3" x14ac:dyDescent="0.4">
      <c r="C182" s="65"/>
    </row>
    <row r="183" spans="3:3" x14ac:dyDescent="0.4">
      <c r="C183" s="65"/>
    </row>
    <row r="184" spans="3:3" x14ac:dyDescent="0.4">
      <c r="C184" s="65"/>
    </row>
    <row r="185" spans="3:3" x14ac:dyDescent="0.4">
      <c r="C185" s="65"/>
    </row>
    <row r="186" spans="3:3" x14ac:dyDescent="0.4">
      <c r="C186" s="65"/>
    </row>
    <row r="187" spans="3:3" x14ac:dyDescent="0.4">
      <c r="C187" s="65"/>
    </row>
    <row r="188" spans="3:3" x14ac:dyDescent="0.4">
      <c r="C188" s="65"/>
    </row>
    <row r="189" spans="3:3" x14ac:dyDescent="0.4">
      <c r="C189" s="65"/>
    </row>
    <row r="190" spans="3:3" x14ac:dyDescent="0.4">
      <c r="C190" s="65"/>
    </row>
    <row r="191" spans="3:3" x14ac:dyDescent="0.4">
      <c r="C191" s="65"/>
    </row>
    <row r="192" spans="3:3" x14ac:dyDescent="0.4">
      <c r="C192" s="65"/>
    </row>
    <row r="193" spans="3:3" x14ac:dyDescent="0.4">
      <c r="C193" s="65"/>
    </row>
    <row r="194" spans="3:3" x14ac:dyDescent="0.4">
      <c r="C194" s="65"/>
    </row>
    <row r="195" spans="3:3" x14ac:dyDescent="0.4">
      <c r="C195" s="65"/>
    </row>
    <row r="196" spans="3:3" x14ac:dyDescent="0.4">
      <c r="C196" s="65"/>
    </row>
    <row r="197" spans="3:3" x14ac:dyDescent="0.4">
      <c r="C197" s="65"/>
    </row>
    <row r="198" spans="3:3" x14ac:dyDescent="0.4">
      <c r="C198" s="65"/>
    </row>
    <row r="199" spans="3:3" x14ac:dyDescent="0.4">
      <c r="C199" s="65"/>
    </row>
    <row r="200" spans="3:3" x14ac:dyDescent="0.4">
      <c r="C200" s="65"/>
    </row>
    <row r="201" spans="3:3" x14ac:dyDescent="0.4">
      <c r="C201" s="65"/>
    </row>
    <row r="202" spans="3:3" x14ac:dyDescent="0.4">
      <c r="C202" s="65"/>
    </row>
    <row r="203" spans="3:3" x14ac:dyDescent="0.4">
      <c r="C203" s="65"/>
    </row>
    <row r="204" spans="3:3" x14ac:dyDescent="0.4">
      <c r="C204" s="65"/>
    </row>
    <row r="205" spans="3:3" x14ac:dyDescent="0.4">
      <c r="C205" s="65"/>
    </row>
    <row r="206" spans="3:3" x14ac:dyDescent="0.4">
      <c r="C206" s="65"/>
    </row>
    <row r="207" spans="3:3" x14ac:dyDescent="0.4">
      <c r="C207" s="65"/>
    </row>
    <row r="208" spans="3:3" x14ac:dyDescent="0.4">
      <c r="C208" s="65"/>
    </row>
    <row r="209" spans="3:3" x14ac:dyDescent="0.4">
      <c r="C209" s="65"/>
    </row>
    <row r="210" spans="3:3" x14ac:dyDescent="0.4">
      <c r="C210" s="65"/>
    </row>
    <row r="211" spans="3:3" x14ac:dyDescent="0.4">
      <c r="C211" s="65"/>
    </row>
    <row r="212" spans="3:3" x14ac:dyDescent="0.4">
      <c r="C212" s="65"/>
    </row>
    <row r="213" spans="3:3" x14ac:dyDescent="0.4">
      <c r="C213" s="65"/>
    </row>
    <row r="214" spans="3:3" x14ac:dyDescent="0.4">
      <c r="C214" s="65"/>
    </row>
    <row r="215" spans="3:3" x14ac:dyDescent="0.4">
      <c r="C215" s="65"/>
    </row>
    <row r="216" spans="3:3" x14ac:dyDescent="0.4">
      <c r="C216" s="65"/>
    </row>
    <row r="217" spans="3:3" x14ac:dyDescent="0.4">
      <c r="C217" s="65"/>
    </row>
    <row r="218" spans="3:3" x14ac:dyDescent="0.4">
      <c r="C218" s="65"/>
    </row>
    <row r="219" spans="3:3" x14ac:dyDescent="0.4">
      <c r="C219" s="65"/>
    </row>
    <row r="220" spans="3:3" x14ac:dyDescent="0.4">
      <c r="C220" s="65"/>
    </row>
    <row r="221" spans="3:3" x14ac:dyDescent="0.4">
      <c r="C221" s="65"/>
    </row>
    <row r="222" spans="3:3" x14ac:dyDescent="0.4">
      <c r="C222" s="65"/>
    </row>
    <row r="223" spans="3:3" x14ac:dyDescent="0.4">
      <c r="C223" s="65"/>
    </row>
    <row r="224" spans="3:3" x14ac:dyDescent="0.4">
      <c r="C224" s="65"/>
    </row>
    <row r="225" spans="3:3" x14ac:dyDescent="0.4">
      <c r="C225" s="65"/>
    </row>
    <row r="226" spans="3:3" x14ac:dyDescent="0.4">
      <c r="C226" s="65"/>
    </row>
    <row r="227" spans="3:3" x14ac:dyDescent="0.4">
      <c r="C227" s="65"/>
    </row>
    <row r="228" spans="3:3" x14ac:dyDescent="0.4">
      <c r="C228" s="65"/>
    </row>
    <row r="229" spans="3:3" x14ac:dyDescent="0.4">
      <c r="C229" s="65"/>
    </row>
    <row r="230" spans="3:3" x14ac:dyDescent="0.4">
      <c r="C230" s="65"/>
    </row>
    <row r="231" spans="3:3" x14ac:dyDescent="0.4">
      <c r="C231" s="65"/>
    </row>
    <row r="232" spans="3:3" x14ac:dyDescent="0.4">
      <c r="C232" s="65"/>
    </row>
    <row r="233" spans="3:3" x14ac:dyDescent="0.4">
      <c r="C233" s="65"/>
    </row>
    <row r="234" spans="3:3" x14ac:dyDescent="0.4">
      <c r="C234" s="65"/>
    </row>
    <row r="235" spans="3:3" x14ac:dyDescent="0.4">
      <c r="C235" s="65"/>
    </row>
    <row r="236" spans="3:3" x14ac:dyDescent="0.4">
      <c r="C236" s="65"/>
    </row>
    <row r="237" spans="3:3" x14ac:dyDescent="0.4">
      <c r="C237" s="65"/>
    </row>
    <row r="238" spans="3:3" x14ac:dyDescent="0.4">
      <c r="C238" s="65"/>
    </row>
    <row r="239" spans="3:3" x14ac:dyDescent="0.4">
      <c r="C239" s="65"/>
    </row>
    <row r="240" spans="3:3" x14ac:dyDescent="0.4">
      <c r="C240" s="65"/>
    </row>
    <row r="241" spans="3:3" x14ac:dyDescent="0.4">
      <c r="C241" s="65"/>
    </row>
    <row r="242" spans="3:3" x14ac:dyDescent="0.4">
      <c r="C242" s="65"/>
    </row>
    <row r="243" spans="3:3" x14ac:dyDescent="0.4">
      <c r="C243" s="65"/>
    </row>
    <row r="244" spans="3:3" x14ac:dyDescent="0.4">
      <c r="C244" s="65"/>
    </row>
    <row r="245" spans="3:3" x14ac:dyDescent="0.4">
      <c r="C245" s="65"/>
    </row>
    <row r="246" spans="3:3" x14ac:dyDescent="0.4">
      <c r="C246" s="65"/>
    </row>
    <row r="247" spans="3:3" x14ac:dyDescent="0.4">
      <c r="C247" s="65"/>
    </row>
    <row r="248" spans="3:3" x14ac:dyDescent="0.4">
      <c r="C248" s="65"/>
    </row>
    <row r="249" spans="3:3" x14ac:dyDescent="0.4">
      <c r="C249" s="65"/>
    </row>
    <row r="250" spans="3:3" x14ac:dyDescent="0.4">
      <c r="C250" s="65"/>
    </row>
    <row r="251" spans="3:3" x14ac:dyDescent="0.4">
      <c r="C251" s="65"/>
    </row>
    <row r="252" spans="3:3" x14ac:dyDescent="0.4">
      <c r="C252" s="65"/>
    </row>
    <row r="253" spans="3:3" x14ac:dyDescent="0.4">
      <c r="C253" s="65"/>
    </row>
    <row r="254" spans="3:3" x14ac:dyDescent="0.4">
      <c r="C254" s="65"/>
    </row>
    <row r="255" spans="3:3" x14ac:dyDescent="0.4">
      <c r="C255" s="65"/>
    </row>
    <row r="256" spans="3:3" x14ac:dyDescent="0.4">
      <c r="C256" s="65"/>
    </row>
    <row r="257" spans="3:3" x14ac:dyDescent="0.4">
      <c r="C257" s="65"/>
    </row>
    <row r="258" spans="3:3" x14ac:dyDescent="0.4">
      <c r="C258" s="65"/>
    </row>
    <row r="259" spans="3:3" x14ac:dyDescent="0.4">
      <c r="C259" s="65"/>
    </row>
    <row r="260" spans="3:3" x14ac:dyDescent="0.4">
      <c r="C260" s="65"/>
    </row>
    <row r="261" spans="3:3" x14ac:dyDescent="0.4">
      <c r="C261" s="65"/>
    </row>
    <row r="262" spans="3:3" x14ac:dyDescent="0.4">
      <c r="C262" s="65"/>
    </row>
    <row r="263" spans="3:3" x14ac:dyDescent="0.4">
      <c r="C263" s="65"/>
    </row>
    <row r="264" spans="3:3" x14ac:dyDescent="0.4">
      <c r="C264" s="65"/>
    </row>
    <row r="265" spans="3:3" x14ac:dyDescent="0.4">
      <c r="C265" s="65"/>
    </row>
    <row r="266" spans="3:3" x14ac:dyDescent="0.4">
      <c r="C266" s="65"/>
    </row>
    <row r="267" spans="3:3" x14ac:dyDescent="0.4">
      <c r="C267" s="65"/>
    </row>
    <row r="268" spans="3:3" x14ac:dyDescent="0.4">
      <c r="C268" s="65"/>
    </row>
    <row r="269" spans="3:3" x14ac:dyDescent="0.4">
      <c r="C269" s="65"/>
    </row>
    <row r="270" spans="3:3" x14ac:dyDescent="0.4">
      <c r="C270" s="65"/>
    </row>
    <row r="271" spans="3:3" x14ac:dyDescent="0.4">
      <c r="C271" s="65"/>
    </row>
    <row r="272" spans="3:3" x14ac:dyDescent="0.4">
      <c r="C272" s="65"/>
    </row>
    <row r="273" spans="3:3" x14ac:dyDescent="0.4">
      <c r="C273" s="65"/>
    </row>
    <row r="274" spans="3:3" x14ac:dyDescent="0.4">
      <c r="C274" s="65"/>
    </row>
    <row r="275" spans="3:3" x14ac:dyDescent="0.4">
      <c r="C275" s="65"/>
    </row>
    <row r="276" spans="3:3" x14ac:dyDescent="0.4">
      <c r="C276" s="65"/>
    </row>
    <row r="277" spans="3:3" x14ac:dyDescent="0.4">
      <c r="C277" s="65"/>
    </row>
    <row r="278" spans="3:3" x14ac:dyDescent="0.4">
      <c r="C278" s="65"/>
    </row>
    <row r="279" spans="3:3" x14ac:dyDescent="0.4">
      <c r="C279" s="65"/>
    </row>
    <row r="280" spans="3:3" x14ac:dyDescent="0.4">
      <c r="C280" s="65"/>
    </row>
    <row r="281" spans="3:3" x14ac:dyDescent="0.4">
      <c r="C281" s="65"/>
    </row>
    <row r="282" spans="3:3" x14ac:dyDescent="0.4">
      <c r="C282" s="65"/>
    </row>
    <row r="283" spans="3:3" x14ac:dyDescent="0.4">
      <c r="C283" s="65"/>
    </row>
    <row r="284" spans="3:3" x14ac:dyDescent="0.4">
      <c r="C284" s="65"/>
    </row>
    <row r="285" spans="3:3" x14ac:dyDescent="0.4">
      <c r="C285" s="65"/>
    </row>
    <row r="286" spans="3:3" x14ac:dyDescent="0.4">
      <c r="C286" s="65"/>
    </row>
    <row r="287" spans="3:3" x14ac:dyDescent="0.4">
      <c r="C287" s="65"/>
    </row>
    <row r="288" spans="3:3" x14ac:dyDescent="0.4">
      <c r="C288" s="65"/>
    </row>
    <row r="289" spans="3:3" x14ac:dyDescent="0.4">
      <c r="C289" s="65"/>
    </row>
    <row r="290" spans="3:3" x14ac:dyDescent="0.4">
      <c r="C290" s="65"/>
    </row>
    <row r="291" spans="3:3" x14ac:dyDescent="0.4">
      <c r="C291" s="65"/>
    </row>
    <row r="292" spans="3:3" x14ac:dyDescent="0.4">
      <c r="C292" s="65"/>
    </row>
    <row r="293" spans="3:3" x14ac:dyDescent="0.4">
      <c r="C293" s="65"/>
    </row>
    <row r="294" spans="3:3" x14ac:dyDescent="0.4">
      <c r="C294" s="65"/>
    </row>
    <row r="295" spans="3:3" x14ac:dyDescent="0.4">
      <c r="C295" s="65"/>
    </row>
    <row r="296" spans="3:3" x14ac:dyDescent="0.4">
      <c r="C296" s="65"/>
    </row>
    <row r="297" spans="3:3" x14ac:dyDescent="0.4">
      <c r="C297" s="65"/>
    </row>
    <row r="298" spans="3:3" x14ac:dyDescent="0.4">
      <c r="C298" s="65"/>
    </row>
    <row r="299" spans="3:3" x14ac:dyDescent="0.4">
      <c r="C299" s="65"/>
    </row>
    <row r="300" spans="3:3" x14ac:dyDescent="0.4">
      <c r="C300" s="65"/>
    </row>
    <row r="301" spans="3:3" x14ac:dyDescent="0.4">
      <c r="C301" s="65"/>
    </row>
    <row r="302" spans="3:3" x14ac:dyDescent="0.4">
      <c r="C302" s="65"/>
    </row>
    <row r="303" spans="3:3" x14ac:dyDescent="0.4">
      <c r="C303" s="65"/>
    </row>
    <row r="304" spans="3:3" x14ac:dyDescent="0.4">
      <c r="C304" s="65"/>
    </row>
    <row r="305" spans="3:3" x14ac:dyDescent="0.4">
      <c r="C305" s="65"/>
    </row>
    <row r="306" spans="3:3" x14ac:dyDescent="0.4">
      <c r="C306" s="65"/>
    </row>
    <row r="307" spans="3:3" x14ac:dyDescent="0.4">
      <c r="C307" s="65"/>
    </row>
    <row r="308" spans="3:3" x14ac:dyDescent="0.4">
      <c r="C308" s="65"/>
    </row>
    <row r="309" spans="3:3" x14ac:dyDescent="0.4">
      <c r="C309" s="65"/>
    </row>
    <row r="310" spans="3:3" x14ac:dyDescent="0.4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" x14ac:dyDescent="0.4"/>
  <cols>
    <col min="1" max="1" width="11" style="18" bestFit="1" customWidth="1"/>
    <col min="2" max="2" width="32.703125" bestFit="1" customWidth="1"/>
    <col min="3" max="3" width="9.5859375" style="18" bestFit="1" customWidth="1"/>
    <col min="4" max="4" width="22.5859375" bestFit="1" customWidth="1"/>
    <col min="5" max="6" width="10.29296875" bestFit="1" customWidth="1"/>
    <col min="7" max="7" width="6.5859375" style="5" bestFit="1" customWidth="1"/>
    <col min="8" max="8" width="11.5859375" bestFit="1" customWidth="1"/>
    <col min="9" max="9" width="19" customWidth="1"/>
    <col min="27" max="27" width="10.1171875" bestFit="1" customWidth="1"/>
    <col min="28" max="28" width="40.1171875" bestFit="1" customWidth="1"/>
  </cols>
  <sheetData>
    <row r="1" spans="1:29" x14ac:dyDescent="0.4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4">
      <c r="A2" s="3">
        <v>1</v>
      </c>
      <c r="B2" s="2" t="s">
        <v>53</v>
      </c>
      <c r="C2" s="3">
        <v>781</v>
      </c>
      <c r="D2" s="2" t="s">
        <v>575</v>
      </c>
      <c r="E2" s="162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4">
      <c r="A3" s="3">
        <v>1</v>
      </c>
      <c r="B3" s="2" t="s">
        <v>53</v>
      </c>
      <c r="C3" s="3">
        <v>235</v>
      </c>
      <c r="D3" s="2" t="s">
        <v>576</v>
      </c>
      <c r="E3" s="162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4">
      <c r="A4" s="3">
        <v>1</v>
      </c>
      <c r="B4" s="2" t="s">
        <v>53</v>
      </c>
      <c r="C4" s="3">
        <v>226</v>
      </c>
      <c r="D4" s="2" t="s">
        <v>345</v>
      </c>
      <c r="E4" s="162">
        <v>41386</v>
      </c>
      <c r="F4" s="16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4">
      <c r="A5" s="3">
        <v>1</v>
      </c>
      <c r="B5" s="2" t="s">
        <v>53</v>
      </c>
      <c r="C5" s="3">
        <v>215</v>
      </c>
      <c r="D5" s="2" t="s">
        <v>333</v>
      </c>
      <c r="E5" s="162">
        <v>41030</v>
      </c>
      <c r="F5" s="162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4">
      <c r="A6" s="3">
        <v>1</v>
      </c>
      <c r="B6" s="2" t="s">
        <v>53</v>
      </c>
      <c r="C6" s="3">
        <v>191</v>
      </c>
      <c r="D6" s="2" t="s">
        <v>310</v>
      </c>
      <c r="E6" s="162">
        <v>40487</v>
      </c>
      <c r="F6" s="162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4">
      <c r="A7" s="3">
        <v>1</v>
      </c>
      <c r="B7" s="2" t="s">
        <v>53</v>
      </c>
      <c r="C7" s="3">
        <v>92</v>
      </c>
      <c r="D7" s="2" t="s">
        <v>37</v>
      </c>
      <c r="E7" s="162">
        <v>39104</v>
      </c>
      <c r="F7" s="162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4">
      <c r="A8" s="3">
        <v>1</v>
      </c>
      <c r="B8" s="2" t="s">
        <v>53</v>
      </c>
      <c r="C8" s="3">
        <v>20</v>
      </c>
      <c r="D8" s="2" t="s">
        <v>40</v>
      </c>
      <c r="E8" s="162">
        <v>38345</v>
      </c>
      <c r="F8" s="162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4">
      <c r="A9" s="3">
        <v>1</v>
      </c>
      <c r="B9" s="2" t="s">
        <v>53</v>
      </c>
      <c r="C9" s="3">
        <v>2</v>
      </c>
      <c r="D9" s="2" t="s">
        <v>41</v>
      </c>
      <c r="E9" s="162">
        <v>38019</v>
      </c>
      <c r="F9" s="162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4">
      <c r="A10" s="3">
        <v>1</v>
      </c>
      <c r="B10" s="2" t="s">
        <v>53</v>
      </c>
      <c r="C10" s="3">
        <v>1</v>
      </c>
      <c r="D10" s="2" t="s">
        <v>42</v>
      </c>
      <c r="E10" s="162">
        <v>37683</v>
      </c>
      <c r="F10" s="162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4">
      <c r="A11" s="3">
        <v>14</v>
      </c>
      <c r="B11" s="2" t="s">
        <v>54</v>
      </c>
      <c r="C11" s="3">
        <v>808</v>
      </c>
      <c r="D11" s="2" t="s">
        <v>577</v>
      </c>
      <c r="E11" s="162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4">
      <c r="A12" s="3">
        <v>14</v>
      </c>
      <c r="B12" s="2" t="s">
        <v>54</v>
      </c>
      <c r="C12" s="3">
        <v>743</v>
      </c>
      <c r="D12" s="2" t="s">
        <v>575</v>
      </c>
      <c r="E12" s="162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4">
      <c r="A13" s="3">
        <v>14</v>
      </c>
      <c r="B13" s="2" t="s">
        <v>54</v>
      </c>
      <c r="C13" s="3">
        <v>192</v>
      </c>
      <c r="D13" s="2" t="s">
        <v>311</v>
      </c>
      <c r="E13" s="162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4">
      <c r="A14" s="3">
        <v>14</v>
      </c>
      <c r="B14" s="2" t="s">
        <v>54</v>
      </c>
      <c r="C14" s="3">
        <v>190</v>
      </c>
      <c r="D14" s="2" t="s">
        <v>299</v>
      </c>
      <c r="E14" s="162">
        <v>40452</v>
      </c>
      <c r="F14" s="162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4">
      <c r="A15" s="3">
        <v>14</v>
      </c>
      <c r="B15" s="2" t="s">
        <v>54</v>
      </c>
      <c r="C15" s="3">
        <v>27</v>
      </c>
      <c r="D15" s="2" t="s">
        <v>38</v>
      </c>
      <c r="E15" s="162">
        <v>38561</v>
      </c>
      <c r="F15" s="162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4">
      <c r="A16" s="3">
        <v>14</v>
      </c>
      <c r="B16" s="2" t="s">
        <v>54</v>
      </c>
      <c r="C16" s="3">
        <v>22</v>
      </c>
      <c r="D16" s="2" t="s">
        <v>43</v>
      </c>
      <c r="E16" s="162">
        <v>38310</v>
      </c>
      <c r="F16" s="162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4">
      <c r="A17" s="3">
        <v>3</v>
      </c>
      <c r="B17" s="2" t="s">
        <v>55</v>
      </c>
      <c r="C17" s="3">
        <v>772</v>
      </c>
      <c r="D17" s="2" t="s">
        <v>578</v>
      </c>
      <c r="E17" s="162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4">
      <c r="A18" s="3">
        <v>3</v>
      </c>
      <c r="B18" s="2" t="s">
        <v>55</v>
      </c>
      <c r="C18" s="3">
        <v>269</v>
      </c>
      <c r="D18" s="2" t="s">
        <v>386</v>
      </c>
      <c r="E18" s="162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4">
      <c r="A19" s="3">
        <v>3</v>
      </c>
      <c r="B19" s="2" t="s">
        <v>55</v>
      </c>
      <c r="C19" s="3">
        <v>242</v>
      </c>
      <c r="D19" s="2" t="s">
        <v>358</v>
      </c>
      <c r="E19" s="162">
        <v>41655</v>
      </c>
      <c r="F19" s="162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4">
      <c r="A20" s="3">
        <v>3</v>
      </c>
      <c r="B20" s="2" t="s">
        <v>55</v>
      </c>
      <c r="C20" s="3">
        <v>207</v>
      </c>
      <c r="D20" s="2" t="s">
        <v>326</v>
      </c>
      <c r="E20" s="162">
        <v>40839</v>
      </c>
      <c r="F20" s="162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4">
      <c r="A21" s="3">
        <v>3</v>
      </c>
      <c r="B21" s="2" t="s">
        <v>55</v>
      </c>
      <c r="C21" s="3">
        <v>188</v>
      </c>
      <c r="D21" s="2" t="s">
        <v>300</v>
      </c>
      <c r="E21" s="162">
        <v>40448</v>
      </c>
      <c r="F21" s="162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4">
      <c r="A22" s="3">
        <v>3</v>
      </c>
      <c r="B22" s="2" t="s">
        <v>55</v>
      </c>
      <c r="C22" s="3">
        <v>160</v>
      </c>
      <c r="D22" s="2" t="s">
        <v>278</v>
      </c>
      <c r="E22" s="162">
        <v>40120</v>
      </c>
      <c r="F22" s="162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4">
      <c r="A23" s="3">
        <v>3</v>
      </c>
      <c r="B23" s="2" t="s">
        <v>55</v>
      </c>
      <c r="C23" s="3">
        <v>152</v>
      </c>
      <c r="D23" s="2" t="s">
        <v>268</v>
      </c>
      <c r="E23" s="162">
        <v>39879</v>
      </c>
      <c r="F23" s="162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4">
      <c r="A24" s="3">
        <v>3</v>
      </c>
      <c r="B24" s="2" t="s">
        <v>55</v>
      </c>
      <c r="C24" s="3">
        <v>130</v>
      </c>
      <c r="D24" s="2" t="s">
        <v>236</v>
      </c>
      <c r="E24" s="162">
        <v>39535</v>
      </c>
      <c r="F24" s="162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4">
      <c r="A25" s="3">
        <v>3</v>
      </c>
      <c r="B25" s="2" t="s">
        <v>55</v>
      </c>
      <c r="C25" s="3">
        <v>93</v>
      </c>
      <c r="D25" s="2" t="s">
        <v>151</v>
      </c>
      <c r="E25" s="162">
        <v>39013</v>
      </c>
      <c r="F25" s="162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4">
      <c r="A26" s="3">
        <v>3</v>
      </c>
      <c r="B26" s="2" t="s">
        <v>55</v>
      </c>
      <c r="C26" s="3">
        <v>56</v>
      </c>
      <c r="D26" s="2" t="s">
        <v>152</v>
      </c>
      <c r="E26" s="162">
        <v>38961</v>
      </c>
      <c r="F26" s="162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4">
      <c r="A27" s="3">
        <v>3</v>
      </c>
      <c r="B27" s="2" t="s">
        <v>55</v>
      </c>
      <c r="C27" s="3">
        <v>15</v>
      </c>
      <c r="D27" s="2" t="s">
        <v>153</v>
      </c>
      <c r="E27" s="162">
        <v>38229</v>
      </c>
      <c r="F27" s="16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4">
      <c r="A28" s="3">
        <v>3</v>
      </c>
      <c r="B28" s="2" t="s">
        <v>55</v>
      </c>
      <c r="C28" s="3">
        <v>10</v>
      </c>
      <c r="D28" s="2" t="s">
        <v>42</v>
      </c>
      <c r="E28" s="162">
        <v>38002</v>
      </c>
      <c r="F28" s="162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4">
      <c r="A29" s="3">
        <v>3</v>
      </c>
      <c r="B29" s="2" t="s">
        <v>55</v>
      </c>
      <c r="C29" s="3">
        <v>8</v>
      </c>
      <c r="D29" s="2" t="s">
        <v>154</v>
      </c>
      <c r="E29" s="162">
        <v>37802</v>
      </c>
      <c r="F29" s="162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4">
      <c r="A30" s="3">
        <v>3</v>
      </c>
      <c r="B30" s="2" t="s">
        <v>55</v>
      </c>
      <c r="C30" s="3">
        <v>7</v>
      </c>
      <c r="D30" s="2" t="s">
        <v>155</v>
      </c>
      <c r="E30" s="162">
        <v>37670</v>
      </c>
      <c r="F30" s="162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4">
      <c r="A31" s="3">
        <v>4</v>
      </c>
      <c r="B31" s="2" t="s">
        <v>56</v>
      </c>
      <c r="C31" s="3">
        <v>801</v>
      </c>
      <c r="D31" s="2" t="s">
        <v>578</v>
      </c>
      <c r="E31" s="162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4">
      <c r="A32" s="3">
        <v>4</v>
      </c>
      <c r="B32" s="2" t="s">
        <v>56</v>
      </c>
      <c r="C32" s="3">
        <v>193</v>
      </c>
      <c r="D32" s="2" t="s">
        <v>312</v>
      </c>
      <c r="E32" s="162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4">
      <c r="A33" s="3">
        <v>4</v>
      </c>
      <c r="B33" s="2" t="s">
        <v>56</v>
      </c>
      <c r="C33" s="3">
        <v>120</v>
      </c>
      <c r="D33" s="2" t="s">
        <v>237</v>
      </c>
      <c r="E33" s="162">
        <v>39535</v>
      </c>
      <c r="F33" s="162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4">
      <c r="A34" s="3">
        <v>4</v>
      </c>
      <c r="B34" s="2" t="s">
        <v>56</v>
      </c>
      <c r="C34" s="3">
        <v>101</v>
      </c>
      <c r="D34" s="2" t="s">
        <v>159</v>
      </c>
      <c r="E34" s="162">
        <v>39153</v>
      </c>
      <c r="F34" s="16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4">
      <c r="A35" s="3">
        <v>4</v>
      </c>
      <c r="B35" s="2" t="s">
        <v>56</v>
      </c>
      <c r="C35" s="3">
        <v>55</v>
      </c>
      <c r="D35" s="2" t="s">
        <v>160</v>
      </c>
      <c r="E35" s="162">
        <v>38950</v>
      </c>
      <c r="F35" s="162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4">
      <c r="A36" s="3">
        <v>4</v>
      </c>
      <c r="B36" s="2" t="s">
        <v>56</v>
      </c>
      <c r="C36" s="3">
        <v>45</v>
      </c>
      <c r="D36" s="2" t="s">
        <v>161</v>
      </c>
      <c r="E36" s="162">
        <v>38705</v>
      </c>
      <c r="F36" s="162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4">
      <c r="A37" s="3">
        <v>4</v>
      </c>
      <c r="B37" s="2" t="s">
        <v>56</v>
      </c>
      <c r="C37" s="3">
        <v>26</v>
      </c>
      <c r="D37" s="2" t="s">
        <v>162</v>
      </c>
      <c r="E37" s="162">
        <v>38389</v>
      </c>
      <c r="F37" s="162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4">
      <c r="A38" s="3">
        <v>4</v>
      </c>
      <c r="B38" s="2" t="s">
        <v>56</v>
      </c>
      <c r="C38" s="3">
        <v>6</v>
      </c>
      <c r="D38" s="2" t="s">
        <v>10</v>
      </c>
      <c r="E38" s="162">
        <v>37958</v>
      </c>
      <c r="F38" s="162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4">
      <c r="A39" s="3">
        <v>4</v>
      </c>
      <c r="B39" s="2" t="s">
        <v>56</v>
      </c>
      <c r="C39" s="3">
        <v>5</v>
      </c>
      <c r="D39" s="2" t="s">
        <v>163</v>
      </c>
      <c r="E39" s="162">
        <v>37778</v>
      </c>
      <c r="F39" s="16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4">
      <c r="A40" s="3">
        <v>4</v>
      </c>
      <c r="B40" s="2" t="s">
        <v>56</v>
      </c>
      <c r="C40" s="3">
        <v>4</v>
      </c>
      <c r="D40" s="2" t="s">
        <v>164</v>
      </c>
      <c r="E40" s="162">
        <v>37603</v>
      </c>
      <c r="F40" s="162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4">
      <c r="A41" s="3">
        <v>5</v>
      </c>
      <c r="B41" s="2" t="s">
        <v>57</v>
      </c>
      <c r="C41" s="3">
        <v>744</v>
      </c>
      <c r="D41" s="2" t="s">
        <v>579</v>
      </c>
      <c r="E41" s="162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4">
      <c r="A42" s="3">
        <v>5</v>
      </c>
      <c r="B42" s="2" t="s">
        <v>57</v>
      </c>
      <c r="C42" s="3">
        <v>270</v>
      </c>
      <c r="D42" s="2" t="s">
        <v>387</v>
      </c>
      <c r="E42" s="162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4">
      <c r="A43" s="3">
        <v>5</v>
      </c>
      <c r="B43" s="2" t="s">
        <v>57</v>
      </c>
      <c r="C43" s="3">
        <v>247</v>
      </c>
      <c r="D43" s="2" t="s">
        <v>365</v>
      </c>
      <c r="E43" s="162">
        <v>41941</v>
      </c>
      <c r="F43" s="162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4">
      <c r="A44" s="3">
        <v>5</v>
      </c>
      <c r="B44" s="2" t="s">
        <v>57</v>
      </c>
      <c r="C44" s="3">
        <v>208</v>
      </c>
      <c r="D44" s="2" t="s">
        <v>335</v>
      </c>
      <c r="E44" s="162">
        <v>40896</v>
      </c>
      <c r="F44" s="162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4">
      <c r="A45" s="3">
        <v>5</v>
      </c>
      <c r="B45" s="2" t="s">
        <v>57</v>
      </c>
      <c r="C45" s="3">
        <v>194</v>
      </c>
      <c r="D45" s="2" t="s">
        <v>313</v>
      </c>
      <c r="E45" s="162">
        <v>40508</v>
      </c>
      <c r="F45" s="162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4">
      <c r="A46" s="3">
        <v>5</v>
      </c>
      <c r="B46" s="2" t="s">
        <v>57</v>
      </c>
      <c r="C46" s="3">
        <v>140</v>
      </c>
      <c r="D46" s="2" t="s">
        <v>257</v>
      </c>
      <c r="E46" s="162">
        <v>39711</v>
      </c>
      <c r="F46" s="16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4">
      <c r="A47" s="3">
        <v>5</v>
      </c>
      <c r="B47" s="2" t="s">
        <v>57</v>
      </c>
      <c r="C47" s="3">
        <v>12</v>
      </c>
      <c r="D47" s="2" t="s">
        <v>30</v>
      </c>
      <c r="E47" s="162">
        <v>38687</v>
      </c>
      <c r="F47" s="162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4">
      <c r="A48" s="3">
        <v>5</v>
      </c>
      <c r="B48" s="2" t="s">
        <v>57</v>
      </c>
      <c r="C48" s="3">
        <v>11</v>
      </c>
      <c r="D48" s="2" t="s">
        <v>44</v>
      </c>
      <c r="E48" s="162">
        <v>37830</v>
      </c>
      <c r="F48" s="162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4">
      <c r="A49" s="3">
        <v>6</v>
      </c>
      <c r="B49" s="2" t="s">
        <v>58</v>
      </c>
      <c r="C49" s="3">
        <v>789</v>
      </c>
      <c r="D49" s="2" t="s">
        <v>580</v>
      </c>
      <c r="E49" s="162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4">
      <c r="A50" s="3">
        <v>6</v>
      </c>
      <c r="B50" s="2" t="s">
        <v>58</v>
      </c>
      <c r="C50" s="3">
        <v>244</v>
      </c>
      <c r="D50" s="2" t="s">
        <v>373</v>
      </c>
      <c r="E50" s="162">
        <v>41740</v>
      </c>
      <c r="F50" s="162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4">
      <c r="A51" s="3">
        <v>6</v>
      </c>
      <c r="B51" s="2" t="s">
        <v>58</v>
      </c>
      <c r="C51" s="3">
        <v>200</v>
      </c>
      <c r="D51" s="2" t="s">
        <v>319</v>
      </c>
      <c r="E51" s="162">
        <v>40674</v>
      </c>
      <c r="F51" s="16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4">
      <c r="A52" s="3">
        <v>6</v>
      </c>
      <c r="B52" s="2" t="s">
        <v>58</v>
      </c>
      <c r="C52" s="3">
        <v>112</v>
      </c>
      <c r="D52" s="2" t="s">
        <v>194</v>
      </c>
      <c r="E52" s="162">
        <v>39349</v>
      </c>
      <c r="F52" s="162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4">
      <c r="A53" s="3">
        <v>6</v>
      </c>
      <c r="B53" s="2" t="s">
        <v>58</v>
      </c>
      <c r="C53" s="3">
        <v>21</v>
      </c>
      <c r="D53" s="2" t="s">
        <v>11</v>
      </c>
      <c r="E53" s="162">
        <v>38285</v>
      </c>
      <c r="F53" s="162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4">
      <c r="A54" s="3">
        <v>6</v>
      </c>
      <c r="B54" s="2" t="s">
        <v>58</v>
      </c>
      <c r="C54" s="3">
        <v>13</v>
      </c>
      <c r="D54" s="2" t="s">
        <v>45</v>
      </c>
      <c r="E54" s="162">
        <v>37829</v>
      </c>
      <c r="F54" s="162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4">
      <c r="A55" s="3">
        <v>8</v>
      </c>
      <c r="B55" s="2" t="s">
        <v>59</v>
      </c>
      <c r="C55" s="3">
        <v>234</v>
      </c>
      <c r="D55" s="2" t="s">
        <v>346</v>
      </c>
      <c r="E55" s="162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4">
      <c r="A56" s="3">
        <v>8</v>
      </c>
      <c r="B56" s="2" t="s">
        <v>59</v>
      </c>
      <c r="C56" s="3">
        <v>168</v>
      </c>
      <c r="D56" s="2" t="s">
        <v>283</v>
      </c>
      <c r="E56" s="162">
        <v>40235</v>
      </c>
      <c r="F56" s="162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4">
      <c r="A57" s="3">
        <v>8</v>
      </c>
      <c r="B57" s="2" t="s">
        <v>59</v>
      </c>
      <c r="C57" s="3">
        <v>14</v>
      </c>
      <c r="D57" s="2" t="s">
        <v>12</v>
      </c>
      <c r="E57" s="162">
        <v>37829</v>
      </c>
      <c r="F57" s="162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4">
      <c r="A58" s="3">
        <v>73</v>
      </c>
      <c r="B58" s="2" t="s">
        <v>186</v>
      </c>
      <c r="C58" s="3">
        <v>209</v>
      </c>
      <c r="D58" s="2" t="s">
        <v>327</v>
      </c>
      <c r="E58" s="162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4">
      <c r="A59" s="3">
        <v>73</v>
      </c>
      <c r="B59" s="2" t="s">
        <v>186</v>
      </c>
      <c r="C59" s="3">
        <v>206</v>
      </c>
      <c r="D59" s="2" t="s">
        <v>323</v>
      </c>
      <c r="E59" s="162">
        <v>40773</v>
      </c>
      <c r="F59" s="16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4">
      <c r="A60" s="3">
        <v>73</v>
      </c>
      <c r="B60" s="2" t="s">
        <v>186</v>
      </c>
      <c r="C60" s="3">
        <v>174</v>
      </c>
      <c r="D60" s="2" t="s">
        <v>289</v>
      </c>
      <c r="E60" s="162">
        <v>40326</v>
      </c>
      <c r="F60" s="162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4">
      <c r="A61" s="3">
        <v>73</v>
      </c>
      <c r="B61" s="2" t="s">
        <v>186</v>
      </c>
      <c r="C61" s="3">
        <v>145</v>
      </c>
      <c r="D61" s="2" t="s">
        <v>290</v>
      </c>
      <c r="E61" s="162">
        <v>39731</v>
      </c>
      <c r="F61" s="162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4">
      <c r="A62" s="3">
        <v>73</v>
      </c>
      <c r="B62" s="2" t="s">
        <v>186</v>
      </c>
      <c r="C62" s="3">
        <v>105</v>
      </c>
      <c r="D62" s="2" t="s">
        <v>189</v>
      </c>
      <c r="E62" s="162">
        <v>39248</v>
      </c>
      <c r="F62" s="162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4">
      <c r="A63" s="3">
        <v>74</v>
      </c>
      <c r="B63" s="2" t="s">
        <v>187</v>
      </c>
      <c r="C63" s="3">
        <v>252</v>
      </c>
      <c r="D63" s="2" t="s">
        <v>370</v>
      </c>
      <c r="E63" s="162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4">
      <c r="A64" s="3">
        <v>74</v>
      </c>
      <c r="B64" s="2" t="s">
        <v>187</v>
      </c>
      <c r="C64" s="3">
        <v>251</v>
      </c>
      <c r="D64" s="2" t="s">
        <v>366</v>
      </c>
      <c r="E64" s="162">
        <v>41901</v>
      </c>
      <c r="F64" s="162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4">
      <c r="A65" s="3">
        <v>74</v>
      </c>
      <c r="B65" s="2" t="s">
        <v>187</v>
      </c>
      <c r="C65" s="3">
        <v>219</v>
      </c>
      <c r="D65" s="2" t="s">
        <v>338</v>
      </c>
      <c r="E65" s="162">
        <v>41227</v>
      </c>
      <c r="F65" s="162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4">
      <c r="A66" s="3">
        <v>74</v>
      </c>
      <c r="B66" s="2" t="s">
        <v>187</v>
      </c>
      <c r="C66" s="3">
        <v>106</v>
      </c>
      <c r="D66" s="2" t="s">
        <v>291</v>
      </c>
      <c r="E66" s="162">
        <v>39248</v>
      </c>
      <c r="F66" s="162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4">
      <c r="A67" s="3">
        <v>75</v>
      </c>
      <c r="B67" s="2" t="s">
        <v>188</v>
      </c>
      <c r="C67" s="3">
        <v>817</v>
      </c>
      <c r="D67" s="2" t="s">
        <v>581</v>
      </c>
      <c r="E67" s="162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4">
      <c r="A68" s="3">
        <v>75</v>
      </c>
      <c r="B68" s="2" t="s">
        <v>188</v>
      </c>
      <c r="C68" s="3">
        <v>799</v>
      </c>
      <c r="D68" s="2" t="s">
        <v>582</v>
      </c>
      <c r="E68" s="162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4">
      <c r="A69" s="3">
        <v>75</v>
      </c>
      <c r="B69" s="2" t="s">
        <v>188</v>
      </c>
      <c r="C69" s="3">
        <v>255</v>
      </c>
      <c r="D69" s="2" t="s">
        <v>361</v>
      </c>
      <c r="E69" s="162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4">
      <c r="A70" s="3">
        <v>75</v>
      </c>
      <c r="B70" s="2" t="s">
        <v>188</v>
      </c>
      <c r="C70" s="3">
        <v>227</v>
      </c>
      <c r="D70" s="2" t="s">
        <v>346</v>
      </c>
      <c r="E70" s="162">
        <v>41409</v>
      </c>
      <c r="F70" s="162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4">
      <c r="A71" s="3">
        <v>75</v>
      </c>
      <c r="B71" s="2" t="s">
        <v>188</v>
      </c>
      <c r="C71" s="3">
        <v>241</v>
      </c>
      <c r="D71" s="2" t="s">
        <v>359</v>
      </c>
      <c r="E71" s="162">
        <v>41390</v>
      </c>
      <c r="F71" s="162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4">
      <c r="A72" s="3">
        <v>75</v>
      </c>
      <c r="B72" s="2" t="s">
        <v>188</v>
      </c>
      <c r="C72" s="3">
        <v>108</v>
      </c>
      <c r="D72" s="2" t="s">
        <v>191</v>
      </c>
      <c r="E72" s="162">
        <v>39288</v>
      </c>
      <c r="F72" s="162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4">
      <c r="A73" s="3">
        <v>9</v>
      </c>
      <c r="B73" s="2" t="s">
        <v>60</v>
      </c>
      <c r="C73" s="3">
        <v>276</v>
      </c>
      <c r="D73" s="2" t="s">
        <v>402</v>
      </c>
      <c r="E73" s="162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4">
      <c r="A74" s="3">
        <v>9</v>
      </c>
      <c r="B74" s="2" t="s">
        <v>60</v>
      </c>
      <c r="C74" s="3">
        <v>201</v>
      </c>
      <c r="D74" s="2" t="s">
        <v>320</v>
      </c>
      <c r="E74" s="162">
        <v>40695</v>
      </c>
      <c r="F74" s="162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4">
      <c r="A75" s="3">
        <v>9</v>
      </c>
      <c r="B75" s="2" t="s">
        <v>60</v>
      </c>
      <c r="C75" s="3">
        <v>100</v>
      </c>
      <c r="D75" s="2" t="s">
        <v>98</v>
      </c>
      <c r="E75" s="162">
        <v>39162</v>
      </c>
      <c r="F75" s="162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4">
      <c r="A76" s="3">
        <v>9</v>
      </c>
      <c r="B76" s="2" t="s">
        <v>60</v>
      </c>
      <c r="C76" s="3">
        <v>54</v>
      </c>
      <c r="D76" s="2" t="s">
        <v>9</v>
      </c>
      <c r="E76" s="162">
        <v>38887</v>
      </c>
      <c r="F76" s="162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4">
      <c r="A77" s="3">
        <v>9</v>
      </c>
      <c r="B77" s="2" t="s">
        <v>60</v>
      </c>
      <c r="C77" s="3">
        <v>25</v>
      </c>
      <c r="D77" s="2" t="s">
        <v>46</v>
      </c>
      <c r="E77" s="162">
        <v>38467</v>
      </c>
      <c r="F77" s="162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4">
      <c r="A78" s="3">
        <v>9</v>
      </c>
      <c r="B78" s="2" t="s">
        <v>60</v>
      </c>
      <c r="C78" s="3">
        <v>17</v>
      </c>
      <c r="D78" s="2" t="s">
        <v>47</v>
      </c>
      <c r="E78" s="162">
        <v>38191</v>
      </c>
      <c r="F78" s="162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4">
      <c r="A79" s="3">
        <v>10</v>
      </c>
      <c r="B79" s="2" t="s">
        <v>61</v>
      </c>
      <c r="C79" s="3">
        <v>176</v>
      </c>
      <c r="D79" s="2" t="s">
        <v>292</v>
      </c>
      <c r="E79" s="162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4">
      <c r="A80" s="3">
        <v>10</v>
      </c>
      <c r="B80" s="2" t="s">
        <v>61</v>
      </c>
      <c r="C80" s="3">
        <v>170</v>
      </c>
      <c r="D80" s="2" t="s">
        <v>260</v>
      </c>
      <c r="E80" s="162">
        <v>40148</v>
      </c>
      <c r="F80" s="162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4">
      <c r="A81" s="3">
        <v>10</v>
      </c>
      <c r="B81" s="2" t="s">
        <v>61</v>
      </c>
      <c r="C81" s="3">
        <v>111</v>
      </c>
      <c r="D81" s="2" t="s">
        <v>193</v>
      </c>
      <c r="E81" s="162">
        <v>39325</v>
      </c>
      <c r="F81" s="162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4">
      <c r="A82" s="3">
        <v>10</v>
      </c>
      <c r="B82" s="2" t="s">
        <v>61</v>
      </c>
      <c r="C82" s="3">
        <v>43</v>
      </c>
      <c r="D82" s="2" t="s">
        <v>10</v>
      </c>
      <c r="E82" s="162">
        <v>38394</v>
      </c>
      <c r="F82" s="162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4">
      <c r="A83" s="3">
        <v>10</v>
      </c>
      <c r="B83" s="2" t="s">
        <v>61</v>
      </c>
      <c r="C83" s="3">
        <v>18</v>
      </c>
      <c r="D83" s="2" t="s">
        <v>48</v>
      </c>
      <c r="E83" s="162">
        <v>38205</v>
      </c>
      <c r="F83" s="162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4">
      <c r="A84" s="3">
        <v>11</v>
      </c>
      <c r="B84" s="2" t="s">
        <v>62</v>
      </c>
      <c r="C84" s="3">
        <v>806</v>
      </c>
      <c r="D84" s="2" t="s">
        <v>583</v>
      </c>
      <c r="E84" s="162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4">
      <c r="A85" s="3">
        <v>11</v>
      </c>
      <c r="B85" s="2" t="s">
        <v>62</v>
      </c>
      <c r="C85" s="3">
        <v>225</v>
      </c>
      <c r="D85" s="2" t="s">
        <v>340</v>
      </c>
      <c r="E85" s="162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4">
      <c r="A86" s="3">
        <v>11</v>
      </c>
      <c r="B86" s="2" t="s">
        <v>62</v>
      </c>
      <c r="C86" s="3">
        <v>195</v>
      </c>
      <c r="D86" s="2" t="s">
        <v>314</v>
      </c>
      <c r="E86" s="162">
        <v>40525</v>
      </c>
      <c r="F86" s="162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4">
      <c r="A87" s="3">
        <v>11</v>
      </c>
      <c r="B87" s="2" t="s">
        <v>62</v>
      </c>
      <c r="C87" s="3">
        <v>181</v>
      </c>
      <c r="D87" s="2" t="s">
        <v>301</v>
      </c>
      <c r="E87" s="162">
        <v>40408</v>
      </c>
      <c r="F87" s="162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4">
      <c r="A88" s="3">
        <v>11</v>
      </c>
      <c r="B88" s="2" t="s">
        <v>62</v>
      </c>
      <c r="C88" s="3">
        <v>166</v>
      </c>
      <c r="D88" s="2" t="s">
        <v>284</v>
      </c>
      <c r="E88" s="162">
        <v>40151</v>
      </c>
      <c r="F88" s="162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4">
      <c r="A89" s="3">
        <v>11</v>
      </c>
      <c r="B89" s="2" t="s">
        <v>62</v>
      </c>
      <c r="C89" s="3">
        <v>144</v>
      </c>
      <c r="D89" s="2" t="s">
        <v>260</v>
      </c>
      <c r="E89" s="162">
        <v>39709</v>
      </c>
      <c r="F89" s="162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4">
      <c r="A90" s="3">
        <v>11</v>
      </c>
      <c r="B90" s="2" t="s">
        <v>62</v>
      </c>
      <c r="C90" s="3">
        <v>23</v>
      </c>
      <c r="D90" s="2" t="s">
        <v>158</v>
      </c>
      <c r="E90" s="162">
        <v>38324</v>
      </c>
      <c r="F90" s="162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4">
      <c r="A91" s="3">
        <v>17</v>
      </c>
      <c r="B91" s="2" t="s">
        <v>63</v>
      </c>
      <c r="C91" s="3">
        <v>745</v>
      </c>
      <c r="D91" s="2" t="s">
        <v>584</v>
      </c>
      <c r="E91" s="162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4">
      <c r="A92" s="3">
        <v>17</v>
      </c>
      <c r="B92" s="2" t="s">
        <v>63</v>
      </c>
      <c r="C92" s="3">
        <v>198</v>
      </c>
      <c r="D92" s="2" t="s">
        <v>317</v>
      </c>
      <c r="E92" s="162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4">
      <c r="A93" s="3">
        <v>17</v>
      </c>
      <c r="B93" s="2" t="s">
        <v>63</v>
      </c>
      <c r="C93" s="3">
        <v>187</v>
      </c>
      <c r="D93" s="2" t="s">
        <v>302</v>
      </c>
      <c r="E93" s="162">
        <v>40438</v>
      </c>
      <c r="F93" s="162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4">
      <c r="A94" s="3">
        <v>17</v>
      </c>
      <c r="B94" s="2" t="s">
        <v>63</v>
      </c>
      <c r="C94" s="3">
        <v>171</v>
      </c>
      <c r="D94" s="2" t="s">
        <v>293</v>
      </c>
      <c r="E94" s="162">
        <v>40179</v>
      </c>
      <c r="F94" s="162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4">
      <c r="A95" s="3">
        <v>17</v>
      </c>
      <c r="B95" s="2" t="s">
        <v>63</v>
      </c>
      <c r="C95" s="3">
        <v>117</v>
      </c>
      <c r="D95" s="2" t="s">
        <v>204</v>
      </c>
      <c r="E95" s="162">
        <v>39479</v>
      </c>
      <c r="F95" s="162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4">
      <c r="A96" s="3">
        <v>17</v>
      </c>
      <c r="B96" s="2" t="s">
        <v>63</v>
      </c>
      <c r="C96" s="3">
        <v>60</v>
      </c>
      <c r="D96" s="2" t="s">
        <v>181</v>
      </c>
      <c r="E96" s="162">
        <v>38909</v>
      </c>
      <c r="F96" s="162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4">
      <c r="A97" s="3">
        <v>44</v>
      </c>
      <c r="B97" s="2" t="s">
        <v>64</v>
      </c>
      <c r="C97" s="3">
        <v>268</v>
      </c>
      <c r="D97" s="2" t="s">
        <v>384</v>
      </c>
      <c r="E97" s="162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4">
      <c r="A98" s="3">
        <v>44</v>
      </c>
      <c r="B98" s="2" t="s">
        <v>64</v>
      </c>
      <c r="C98" s="3">
        <v>57</v>
      </c>
      <c r="D98" s="2" t="s">
        <v>207</v>
      </c>
      <c r="E98" s="162">
        <v>38999</v>
      </c>
      <c r="F98" s="162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4">
      <c r="A99" s="3">
        <v>44</v>
      </c>
      <c r="B99" s="2" t="s">
        <v>64</v>
      </c>
      <c r="C99" s="3">
        <v>61</v>
      </c>
      <c r="D99" s="2" t="s">
        <v>180</v>
      </c>
      <c r="E99" s="162">
        <v>38849</v>
      </c>
      <c r="F99" s="162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4">
      <c r="A100" s="3">
        <v>16</v>
      </c>
      <c r="B100" s="2" t="s">
        <v>65</v>
      </c>
      <c r="C100" s="3">
        <v>798</v>
      </c>
      <c r="D100" s="2" t="s">
        <v>585</v>
      </c>
      <c r="E100" s="162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4">
      <c r="A101" s="3">
        <v>16</v>
      </c>
      <c r="B101" s="2" t="s">
        <v>65</v>
      </c>
      <c r="C101" s="3">
        <v>265</v>
      </c>
      <c r="D101" s="2" t="s">
        <v>379</v>
      </c>
      <c r="E101" s="162">
        <v>42291</v>
      </c>
      <c r="F101" s="162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4">
      <c r="A102" s="3">
        <v>16</v>
      </c>
      <c r="B102" s="2" t="s">
        <v>65</v>
      </c>
      <c r="C102" s="3">
        <v>245</v>
      </c>
      <c r="D102" s="2" t="s">
        <v>362</v>
      </c>
      <c r="E102" s="162">
        <v>41803</v>
      </c>
      <c r="F102" s="162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4">
      <c r="A103" s="3">
        <v>16</v>
      </c>
      <c r="B103" s="2" t="s">
        <v>65</v>
      </c>
      <c r="C103" s="3">
        <v>232</v>
      </c>
      <c r="D103" s="2" t="s">
        <v>347</v>
      </c>
      <c r="E103" s="162">
        <v>41456</v>
      </c>
      <c r="F103" s="162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4">
      <c r="A104" s="3">
        <v>16</v>
      </c>
      <c r="B104" s="2" t="s">
        <v>65</v>
      </c>
      <c r="C104" s="3">
        <v>118</v>
      </c>
      <c r="D104" s="2" t="s">
        <v>205</v>
      </c>
      <c r="E104" s="162">
        <v>39367</v>
      </c>
      <c r="F104" s="162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4">
      <c r="A105" s="3">
        <v>16</v>
      </c>
      <c r="B105" s="2" t="s">
        <v>65</v>
      </c>
      <c r="C105" s="3">
        <v>58</v>
      </c>
      <c r="D105" s="2" t="s">
        <v>208</v>
      </c>
      <c r="E105" s="162">
        <v>38999</v>
      </c>
      <c r="F105" s="162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4">
      <c r="A106" s="3">
        <v>16</v>
      </c>
      <c r="B106" s="2" t="s">
        <v>65</v>
      </c>
      <c r="C106" s="3">
        <v>62</v>
      </c>
      <c r="D106" s="2" t="s">
        <v>49</v>
      </c>
      <c r="E106" s="162">
        <v>38849</v>
      </c>
      <c r="F106" s="162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4">
      <c r="A107" s="3">
        <v>16</v>
      </c>
      <c r="B107" s="2" t="s">
        <v>65</v>
      </c>
      <c r="C107" s="3">
        <v>24</v>
      </c>
      <c r="D107" s="2" t="s">
        <v>50</v>
      </c>
      <c r="E107" s="162">
        <v>36977</v>
      </c>
      <c r="F107" s="162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4">
      <c r="A108" s="3">
        <v>19</v>
      </c>
      <c r="B108" s="2" t="s">
        <v>99</v>
      </c>
      <c r="C108" s="3">
        <v>812</v>
      </c>
      <c r="D108" s="2" t="s">
        <v>586</v>
      </c>
      <c r="E108" s="162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4">
      <c r="A109" s="3">
        <v>19</v>
      </c>
      <c r="B109" s="2" t="s">
        <v>99</v>
      </c>
      <c r="C109" s="3">
        <v>794</v>
      </c>
      <c r="D109" s="2" t="s">
        <v>587</v>
      </c>
      <c r="E109" s="162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4">
      <c r="A110" s="3">
        <v>19</v>
      </c>
      <c r="B110" s="2" t="s">
        <v>99</v>
      </c>
      <c r="C110" s="3">
        <v>774</v>
      </c>
      <c r="D110" s="2" t="s">
        <v>588</v>
      </c>
      <c r="E110" s="162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4">
      <c r="A111" s="3">
        <v>19</v>
      </c>
      <c r="B111" s="2" t="s">
        <v>99</v>
      </c>
      <c r="C111" s="3">
        <v>773</v>
      </c>
      <c r="D111" s="2" t="s">
        <v>589</v>
      </c>
      <c r="E111" s="162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4">
      <c r="A112" s="3">
        <v>19</v>
      </c>
      <c r="B112" s="2" t="s">
        <v>99</v>
      </c>
      <c r="C112" s="3">
        <v>761</v>
      </c>
      <c r="D112" s="2" t="s">
        <v>590</v>
      </c>
      <c r="E112" s="162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4">
      <c r="A113" s="3">
        <v>19</v>
      </c>
      <c r="B113" s="2" t="s">
        <v>99</v>
      </c>
      <c r="C113" s="3">
        <v>746</v>
      </c>
      <c r="D113" s="2" t="s">
        <v>591</v>
      </c>
      <c r="E113" s="162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4">
      <c r="A114" s="3">
        <v>19</v>
      </c>
      <c r="B114" s="2" t="s">
        <v>99</v>
      </c>
      <c r="C114" s="3">
        <v>262</v>
      </c>
      <c r="D114" s="2" t="s">
        <v>381</v>
      </c>
      <c r="E114" s="162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4">
      <c r="A115" s="3">
        <v>19</v>
      </c>
      <c r="B115" s="2" t="s">
        <v>99</v>
      </c>
      <c r="C115" s="3">
        <v>258</v>
      </c>
      <c r="D115" s="2" t="s">
        <v>367</v>
      </c>
      <c r="E115" s="162">
        <v>41883</v>
      </c>
      <c r="F115" s="162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4">
      <c r="A116" s="3">
        <v>19</v>
      </c>
      <c r="B116" s="2" t="s">
        <v>99</v>
      </c>
      <c r="C116" s="3">
        <v>257</v>
      </c>
      <c r="D116" s="2" t="s">
        <v>367</v>
      </c>
      <c r="E116" s="162">
        <v>41821</v>
      </c>
      <c r="F116" s="162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4">
      <c r="A117" s="3">
        <v>19</v>
      </c>
      <c r="B117" s="2" t="s">
        <v>99</v>
      </c>
      <c r="C117" s="3">
        <v>233</v>
      </c>
      <c r="D117" s="2" t="s">
        <v>351</v>
      </c>
      <c r="E117" s="162">
        <v>41518</v>
      </c>
      <c r="F117" s="162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4">
      <c r="A118" s="3">
        <v>19</v>
      </c>
      <c r="B118" s="2" t="s">
        <v>99</v>
      </c>
      <c r="C118" s="3">
        <v>236</v>
      </c>
      <c r="D118" s="2" t="s">
        <v>352</v>
      </c>
      <c r="E118" s="162">
        <v>41153</v>
      </c>
      <c r="F118" s="162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4">
      <c r="A119" s="3">
        <v>19</v>
      </c>
      <c r="B119" s="2" t="s">
        <v>99</v>
      </c>
      <c r="C119" s="3">
        <v>186</v>
      </c>
      <c r="D119" s="2" t="s">
        <v>303</v>
      </c>
      <c r="E119" s="162">
        <v>40432</v>
      </c>
      <c r="F119" s="162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4">
      <c r="A120" s="3">
        <v>19</v>
      </c>
      <c r="B120" s="2" t="s">
        <v>99</v>
      </c>
      <c r="C120" s="3">
        <v>154</v>
      </c>
      <c r="D120" s="2" t="s">
        <v>272</v>
      </c>
      <c r="E120" s="162">
        <v>39927</v>
      </c>
      <c r="F120" s="162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4">
      <c r="A121" s="3">
        <v>19</v>
      </c>
      <c r="B121" s="2" t="s">
        <v>99</v>
      </c>
      <c r="C121" s="3">
        <v>121</v>
      </c>
      <c r="D121" s="2" t="s">
        <v>220</v>
      </c>
      <c r="E121" s="162">
        <v>39507</v>
      </c>
      <c r="F121" s="162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4">
      <c r="A122" s="3">
        <v>19</v>
      </c>
      <c r="B122" s="2" t="s">
        <v>99</v>
      </c>
      <c r="C122" s="3">
        <v>32</v>
      </c>
      <c r="D122" s="2" t="s">
        <v>174</v>
      </c>
      <c r="E122" s="162">
        <v>38638</v>
      </c>
      <c r="F122" s="162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4">
      <c r="A123" s="3">
        <v>19</v>
      </c>
      <c r="B123" s="2" t="s">
        <v>99</v>
      </c>
      <c r="C123" s="3">
        <v>28</v>
      </c>
      <c r="D123" s="2" t="s">
        <v>176</v>
      </c>
      <c r="E123" s="162">
        <v>38423</v>
      </c>
      <c r="F123" s="162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4">
      <c r="A124" s="3">
        <v>34</v>
      </c>
      <c r="B124" s="2" t="s">
        <v>102</v>
      </c>
      <c r="C124" s="3">
        <v>797</v>
      </c>
      <c r="D124" s="2" t="s">
        <v>592</v>
      </c>
      <c r="E124" s="162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4">
      <c r="A125" s="3">
        <v>34</v>
      </c>
      <c r="B125" s="2" t="s">
        <v>102</v>
      </c>
      <c r="C125" s="3">
        <v>790</v>
      </c>
      <c r="D125" s="2" t="s">
        <v>593</v>
      </c>
      <c r="E125" s="162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4">
      <c r="A126" s="3">
        <v>34</v>
      </c>
      <c r="B126" s="2" t="s">
        <v>102</v>
      </c>
      <c r="C126" s="3">
        <v>770</v>
      </c>
      <c r="D126" s="2" t="s">
        <v>594</v>
      </c>
      <c r="E126" s="162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4">
      <c r="A127" s="3">
        <v>34</v>
      </c>
      <c r="B127" s="2" t="s">
        <v>102</v>
      </c>
      <c r="C127" s="3">
        <v>762</v>
      </c>
      <c r="D127" s="2" t="s">
        <v>595</v>
      </c>
      <c r="E127" s="162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4">
      <c r="A128" s="3">
        <v>34</v>
      </c>
      <c r="B128" s="2" t="s">
        <v>102</v>
      </c>
      <c r="C128" s="3">
        <v>760</v>
      </c>
      <c r="D128" s="2" t="s">
        <v>596</v>
      </c>
      <c r="E128" s="162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4">
      <c r="A129" s="3">
        <v>34</v>
      </c>
      <c r="B129" s="2" t="s">
        <v>102</v>
      </c>
      <c r="C129" s="3">
        <v>263</v>
      </c>
      <c r="D129" s="2" t="s">
        <v>382</v>
      </c>
      <c r="E129" s="162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4">
      <c r="A130" s="3">
        <v>34</v>
      </c>
      <c r="B130" s="2" t="s">
        <v>102</v>
      </c>
      <c r="C130" s="3">
        <v>259</v>
      </c>
      <c r="D130" s="2" t="s">
        <v>368</v>
      </c>
      <c r="E130" s="162">
        <v>41890</v>
      </c>
      <c r="F130" s="162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4">
      <c r="A131" s="3">
        <v>34</v>
      </c>
      <c r="B131" s="2" t="s">
        <v>102</v>
      </c>
      <c r="C131" s="3">
        <v>237</v>
      </c>
      <c r="D131" s="2" t="s">
        <v>353</v>
      </c>
      <c r="E131" s="162">
        <v>41487</v>
      </c>
      <c r="F131" s="162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4">
      <c r="A132" s="3">
        <v>34</v>
      </c>
      <c r="B132" s="2" t="s">
        <v>102</v>
      </c>
      <c r="C132" s="3">
        <v>218</v>
      </c>
      <c r="D132" s="2" t="s">
        <v>337</v>
      </c>
      <c r="E132" s="162">
        <v>41122</v>
      </c>
      <c r="F132" s="162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4">
      <c r="A133" s="3">
        <v>34</v>
      </c>
      <c r="B133" s="2" t="s">
        <v>102</v>
      </c>
      <c r="C133" s="3">
        <v>204</v>
      </c>
      <c r="D133" s="2" t="s">
        <v>324</v>
      </c>
      <c r="E133" s="162">
        <v>40770</v>
      </c>
      <c r="F133" s="162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4">
      <c r="A134" s="3">
        <v>34</v>
      </c>
      <c r="B134" s="2" t="s">
        <v>102</v>
      </c>
      <c r="C134" s="3">
        <v>184</v>
      </c>
      <c r="D134" s="2" t="s">
        <v>304</v>
      </c>
      <c r="E134" s="162">
        <v>40458</v>
      </c>
      <c r="F134" s="162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4">
      <c r="A135" s="3">
        <v>34</v>
      </c>
      <c r="B135" s="2" t="s">
        <v>102</v>
      </c>
      <c r="C135" s="3">
        <v>164</v>
      </c>
      <c r="D135" s="2" t="s">
        <v>282</v>
      </c>
      <c r="E135" s="162">
        <v>40151</v>
      </c>
      <c r="F135" s="162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4">
      <c r="A136" s="3">
        <v>34</v>
      </c>
      <c r="B136" s="2" t="s">
        <v>102</v>
      </c>
      <c r="C136" s="3">
        <v>146</v>
      </c>
      <c r="D136" s="2" t="s">
        <v>264</v>
      </c>
      <c r="E136" s="162">
        <v>39816</v>
      </c>
      <c r="F136" s="162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4">
      <c r="A137" s="3">
        <v>34</v>
      </c>
      <c r="B137" s="2" t="s">
        <v>102</v>
      </c>
      <c r="C137" s="3">
        <v>132</v>
      </c>
      <c r="D137" s="2" t="s">
        <v>250</v>
      </c>
      <c r="E137" s="162">
        <v>39602</v>
      </c>
      <c r="F137" s="162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4">
      <c r="A138" s="3">
        <v>34</v>
      </c>
      <c r="B138" s="2" t="s">
        <v>102</v>
      </c>
      <c r="C138" s="3">
        <v>127</v>
      </c>
      <c r="D138" s="2" t="s">
        <v>39</v>
      </c>
      <c r="E138" s="162">
        <v>39517</v>
      </c>
      <c r="F138" s="162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4">
      <c r="A139" s="3">
        <v>34</v>
      </c>
      <c r="B139" s="2" t="s">
        <v>102</v>
      </c>
      <c r="C139" s="3">
        <v>80</v>
      </c>
      <c r="D139" s="2" t="s">
        <v>177</v>
      </c>
      <c r="E139" s="162">
        <v>38932</v>
      </c>
      <c r="F139" s="162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4">
      <c r="A140" s="3">
        <v>34</v>
      </c>
      <c r="B140" s="2" t="s">
        <v>102</v>
      </c>
      <c r="C140" s="3">
        <v>44</v>
      </c>
      <c r="D140" s="2" t="s">
        <v>178</v>
      </c>
      <c r="E140" s="162">
        <v>38636</v>
      </c>
      <c r="F140" s="162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4">
      <c r="A141" s="3">
        <v>34</v>
      </c>
      <c r="B141" s="2" t="s">
        <v>102</v>
      </c>
      <c r="C141" s="3">
        <v>35</v>
      </c>
      <c r="D141" s="2" t="s">
        <v>179</v>
      </c>
      <c r="E141" s="162">
        <v>38507</v>
      </c>
      <c r="F141" s="162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4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4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4">
      <c r="A144" s="3">
        <v>31</v>
      </c>
      <c r="B144" s="2" t="s">
        <v>103</v>
      </c>
      <c r="C144" s="3">
        <v>813</v>
      </c>
      <c r="D144" s="2" t="s">
        <v>597</v>
      </c>
      <c r="E144" s="162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4">
      <c r="A145" s="3">
        <v>31</v>
      </c>
      <c r="B145" s="2" t="s">
        <v>103</v>
      </c>
      <c r="C145" s="3">
        <v>278</v>
      </c>
      <c r="D145" s="2" t="s">
        <v>403</v>
      </c>
      <c r="E145" s="162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4">
      <c r="A146" s="3">
        <v>31</v>
      </c>
      <c r="B146" s="2" t="s">
        <v>103</v>
      </c>
      <c r="C146" s="3">
        <v>273</v>
      </c>
      <c r="D146" s="2" t="s">
        <v>388</v>
      </c>
      <c r="E146" s="162">
        <v>42474</v>
      </c>
      <c r="F146" s="162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4">
      <c r="A147" s="3">
        <v>31</v>
      </c>
      <c r="B147" s="2" t="s">
        <v>103</v>
      </c>
      <c r="C147" s="3">
        <v>126</v>
      </c>
      <c r="D147" s="2" t="s">
        <v>221</v>
      </c>
      <c r="E147" s="162">
        <v>39524</v>
      </c>
      <c r="F147" s="162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4">
      <c r="A148" s="3">
        <v>31</v>
      </c>
      <c r="B148" s="2" t="s">
        <v>103</v>
      </c>
      <c r="C148" s="3">
        <v>34</v>
      </c>
      <c r="D148" s="2" t="s">
        <v>167</v>
      </c>
      <c r="E148" s="162">
        <v>38668</v>
      </c>
      <c r="F148" s="162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4">
      <c r="A149" s="3">
        <v>30</v>
      </c>
      <c r="B149" s="2" t="s">
        <v>66</v>
      </c>
      <c r="C149" s="3">
        <v>240</v>
      </c>
      <c r="D149" s="2" t="s">
        <v>356</v>
      </c>
      <c r="E149" s="162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4">
      <c r="A150" s="3">
        <v>30</v>
      </c>
      <c r="B150" s="2" t="s">
        <v>66</v>
      </c>
      <c r="C150" s="3">
        <v>221</v>
      </c>
      <c r="D150" s="2" t="s">
        <v>341</v>
      </c>
      <c r="E150" s="162">
        <v>41331</v>
      </c>
      <c r="F150" s="162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4">
      <c r="A151" s="3">
        <v>30</v>
      </c>
      <c r="B151" s="2" t="s">
        <v>66</v>
      </c>
      <c r="C151" s="3">
        <v>173</v>
      </c>
      <c r="D151" s="2" t="s">
        <v>294</v>
      </c>
      <c r="E151" s="162">
        <v>40268</v>
      </c>
      <c r="F151" s="162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4">
      <c r="A152" s="3">
        <v>30</v>
      </c>
      <c r="B152" s="2" t="s">
        <v>66</v>
      </c>
      <c r="C152" s="3">
        <v>163</v>
      </c>
      <c r="D152" s="2" t="s">
        <v>279</v>
      </c>
      <c r="E152" s="162">
        <v>40046</v>
      </c>
      <c r="F152" s="162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4">
      <c r="A153" s="3">
        <v>30</v>
      </c>
      <c r="B153" s="2" t="s">
        <v>66</v>
      </c>
      <c r="C153" s="3">
        <v>134</v>
      </c>
      <c r="D153" s="2" t="s">
        <v>251</v>
      </c>
      <c r="E153" s="162">
        <v>39556</v>
      </c>
      <c r="F153" s="162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4">
      <c r="A154" s="3">
        <v>30</v>
      </c>
      <c r="B154" s="2" t="s">
        <v>66</v>
      </c>
      <c r="C154" s="3">
        <v>90</v>
      </c>
      <c r="D154" s="2" t="s">
        <v>151</v>
      </c>
      <c r="E154" s="162">
        <v>39054</v>
      </c>
      <c r="F154" s="162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4">
      <c r="A155" s="3">
        <v>30</v>
      </c>
      <c r="B155" s="2" t="s">
        <v>66</v>
      </c>
      <c r="C155" s="3">
        <v>63</v>
      </c>
      <c r="D155" s="2" t="s">
        <v>168</v>
      </c>
      <c r="E155" s="162">
        <v>38863</v>
      </c>
      <c r="F155" s="162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4">
      <c r="A156" s="3">
        <v>30</v>
      </c>
      <c r="B156" s="2" t="s">
        <v>66</v>
      </c>
      <c r="C156" s="3">
        <v>41</v>
      </c>
      <c r="D156" s="2" t="s">
        <v>169</v>
      </c>
      <c r="E156" s="162">
        <v>38506</v>
      </c>
      <c r="F156" s="162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4">
      <c r="A157" s="3">
        <v>33</v>
      </c>
      <c r="B157" s="2" t="s">
        <v>105</v>
      </c>
      <c r="C157" s="3">
        <v>769</v>
      </c>
      <c r="D157" s="2" t="s">
        <v>598</v>
      </c>
      <c r="E157" s="162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4">
      <c r="A158" s="3">
        <v>33</v>
      </c>
      <c r="B158" s="2" t="s">
        <v>105</v>
      </c>
      <c r="C158" s="3">
        <v>747</v>
      </c>
      <c r="D158" s="2" t="s">
        <v>599</v>
      </c>
      <c r="E158" s="162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4">
      <c r="A159" s="3">
        <v>33</v>
      </c>
      <c r="B159" s="2" t="s">
        <v>105</v>
      </c>
      <c r="C159" s="3">
        <v>274</v>
      </c>
      <c r="D159" s="2" t="s">
        <v>392</v>
      </c>
      <c r="E159" s="162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4">
      <c r="A160" s="3">
        <v>33</v>
      </c>
      <c r="B160" s="2" t="s">
        <v>105</v>
      </c>
      <c r="C160" s="3">
        <v>178</v>
      </c>
      <c r="D160" s="2" t="s">
        <v>296</v>
      </c>
      <c r="E160" s="162">
        <v>40334</v>
      </c>
      <c r="F160" s="162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4">
      <c r="A161" s="3">
        <v>33</v>
      </c>
      <c r="B161" s="2" t="s">
        <v>105</v>
      </c>
      <c r="C161" s="3">
        <v>149</v>
      </c>
      <c r="D161" s="2" t="s">
        <v>266</v>
      </c>
      <c r="E161" s="162">
        <v>39843</v>
      </c>
      <c r="F161" s="162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4">
      <c r="A162" s="3">
        <v>33</v>
      </c>
      <c r="B162" s="2" t="s">
        <v>105</v>
      </c>
      <c r="C162" s="3">
        <v>107</v>
      </c>
      <c r="D162" s="2" t="s">
        <v>222</v>
      </c>
      <c r="E162" s="162">
        <v>39286</v>
      </c>
      <c r="F162" s="162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4">
      <c r="A163" s="3">
        <v>33</v>
      </c>
      <c r="B163" s="2" t="s">
        <v>105</v>
      </c>
      <c r="C163" s="3">
        <v>50</v>
      </c>
      <c r="D163" s="2" t="s">
        <v>172</v>
      </c>
      <c r="E163" s="162">
        <v>38631</v>
      </c>
      <c r="F163" s="162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4">
      <c r="A164" s="3">
        <v>32</v>
      </c>
      <c r="B164" s="2" t="s">
        <v>106</v>
      </c>
      <c r="C164" s="3">
        <v>807</v>
      </c>
      <c r="D164" s="2" t="s">
        <v>600</v>
      </c>
      <c r="E164" s="162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4">
      <c r="A165" s="3">
        <v>32</v>
      </c>
      <c r="B165" s="2" t="s">
        <v>106</v>
      </c>
      <c r="C165" s="3">
        <v>261</v>
      </c>
      <c r="D165" s="2" t="s">
        <v>377</v>
      </c>
      <c r="E165" s="162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4">
      <c r="A166" s="3">
        <v>32</v>
      </c>
      <c r="B166" s="2" t="s">
        <v>106</v>
      </c>
      <c r="C166" s="3">
        <v>260</v>
      </c>
      <c r="D166" s="2" t="s">
        <v>378</v>
      </c>
      <c r="E166" s="162">
        <v>42205</v>
      </c>
      <c r="F166" s="162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4">
      <c r="A167" s="3">
        <v>32</v>
      </c>
      <c r="B167" s="2" t="s">
        <v>106</v>
      </c>
      <c r="C167" s="3">
        <v>222</v>
      </c>
      <c r="D167" s="2" t="s">
        <v>342</v>
      </c>
      <c r="E167" s="162">
        <v>41311</v>
      </c>
      <c r="F167" s="162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4">
      <c r="A168" s="3">
        <v>32</v>
      </c>
      <c r="B168" s="2" t="s">
        <v>106</v>
      </c>
      <c r="C168" s="3">
        <v>169</v>
      </c>
      <c r="D168" s="2" t="s">
        <v>287</v>
      </c>
      <c r="E168" s="162">
        <v>40240</v>
      </c>
      <c r="F168" s="162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4">
      <c r="A169" s="3">
        <v>32</v>
      </c>
      <c r="B169" s="2" t="s">
        <v>106</v>
      </c>
      <c r="C169" s="3">
        <v>133</v>
      </c>
      <c r="D169" s="2" t="s">
        <v>252</v>
      </c>
      <c r="E169" s="162">
        <v>39592</v>
      </c>
      <c r="F169" s="162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4">
      <c r="A170" s="3">
        <v>32</v>
      </c>
      <c r="B170" s="2" t="s">
        <v>106</v>
      </c>
      <c r="C170" s="3">
        <v>42</v>
      </c>
      <c r="D170" s="2" t="s">
        <v>223</v>
      </c>
      <c r="E170" s="162">
        <v>38534</v>
      </c>
      <c r="F170" s="162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4">
      <c r="A171" s="3">
        <v>26</v>
      </c>
      <c r="B171" s="2" t="s">
        <v>224</v>
      </c>
      <c r="C171" s="3">
        <v>816</v>
      </c>
      <c r="D171" s="2" t="s">
        <v>601</v>
      </c>
      <c r="E171" s="162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4">
      <c r="A172" s="3">
        <v>26</v>
      </c>
      <c r="B172" s="2" t="s">
        <v>224</v>
      </c>
      <c r="C172" s="3">
        <v>802</v>
      </c>
      <c r="D172" s="2" t="s">
        <v>602</v>
      </c>
      <c r="E172" s="162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4">
      <c r="A173" s="3">
        <v>26</v>
      </c>
      <c r="B173" s="2" t="s">
        <v>224</v>
      </c>
      <c r="C173" s="3">
        <v>782</v>
      </c>
      <c r="D173" s="2" t="s">
        <v>568</v>
      </c>
      <c r="E173" s="162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4">
      <c r="A174" s="3">
        <v>26</v>
      </c>
      <c r="B174" s="2" t="s">
        <v>224</v>
      </c>
      <c r="C174" s="3">
        <v>250</v>
      </c>
      <c r="D174" s="2" t="s">
        <v>371</v>
      </c>
      <c r="E174" s="162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4">
      <c r="A175" s="3">
        <v>26</v>
      </c>
      <c r="B175" s="2" t="s">
        <v>224</v>
      </c>
      <c r="C175" s="3">
        <v>217</v>
      </c>
      <c r="D175" s="2" t="s">
        <v>336</v>
      </c>
      <c r="E175" s="162">
        <v>41103</v>
      </c>
      <c r="F175" s="162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4">
      <c r="A176" s="3">
        <v>26</v>
      </c>
      <c r="B176" s="2" t="s">
        <v>224</v>
      </c>
      <c r="C176" s="3">
        <v>205</v>
      </c>
      <c r="D176" s="2" t="s">
        <v>325</v>
      </c>
      <c r="E176" s="162">
        <v>40763</v>
      </c>
      <c r="F176" s="162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4">
      <c r="A177" s="3">
        <v>26</v>
      </c>
      <c r="B177" s="2" t="s">
        <v>224</v>
      </c>
      <c r="C177" s="3">
        <v>183</v>
      </c>
      <c r="D177" s="2" t="s">
        <v>305</v>
      </c>
      <c r="E177" s="162">
        <v>40439</v>
      </c>
      <c r="F177" s="162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4">
      <c r="A178" s="3">
        <v>26</v>
      </c>
      <c r="B178" s="2" t="s">
        <v>224</v>
      </c>
      <c r="C178" s="3">
        <v>147</v>
      </c>
      <c r="D178" s="2" t="s">
        <v>263</v>
      </c>
      <c r="E178" s="162">
        <v>39779</v>
      </c>
      <c r="F178" s="162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4">
      <c r="A179" s="3">
        <v>26</v>
      </c>
      <c r="B179" s="2" t="s">
        <v>224</v>
      </c>
      <c r="C179" s="3">
        <v>125</v>
      </c>
      <c r="D179" s="2" t="s">
        <v>225</v>
      </c>
      <c r="E179" s="162">
        <v>39193</v>
      </c>
      <c r="F179" s="162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4">
      <c r="A180" s="3">
        <v>22</v>
      </c>
      <c r="B180" s="2" t="s">
        <v>226</v>
      </c>
      <c r="C180" s="3">
        <v>814</v>
      </c>
      <c r="D180" s="2" t="s">
        <v>603</v>
      </c>
      <c r="E180" s="162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4">
      <c r="A181" s="3">
        <v>22</v>
      </c>
      <c r="B181" s="2" t="s">
        <v>226</v>
      </c>
      <c r="C181" s="3">
        <v>155</v>
      </c>
      <c r="D181" s="2" t="s">
        <v>273</v>
      </c>
      <c r="E181" s="162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4">
      <c r="A182" s="3">
        <v>22</v>
      </c>
      <c r="B182" s="2" t="s">
        <v>226</v>
      </c>
      <c r="C182" s="3">
        <v>131</v>
      </c>
      <c r="D182" s="2" t="s">
        <v>253</v>
      </c>
      <c r="E182" s="162">
        <v>39626</v>
      </c>
      <c r="F182" s="162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4">
      <c r="A183" s="3">
        <v>22</v>
      </c>
      <c r="B183" s="2" t="s">
        <v>226</v>
      </c>
      <c r="C183" s="3">
        <v>122</v>
      </c>
      <c r="D183" s="2" t="s">
        <v>199</v>
      </c>
      <c r="E183" s="162">
        <v>39508</v>
      </c>
      <c r="F183" s="162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4">
      <c r="A184" s="3">
        <v>21</v>
      </c>
      <c r="B184" s="2" t="s">
        <v>227</v>
      </c>
      <c r="C184" s="3">
        <v>787</v>
      </c>
      <c r="D184" s="2" t="s">
        <v>604</v>
      </c>
      <c r="E184" s="162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4">
      <c r="A185" s="3">
        <v>21</v>
      </c>
      <c r="B185" s="2" t="s">
        <v>227</v>
      </c>
      <c r="C185" s="3">
        <v>748</v>
      </c>
      <c r="D185" s="2" t="s">
        <v>605</v>
      </c>
      <c r="E185" s="162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4">
      <c r="A186" s="3">
        <v>21</v>
      </c>
      <c r="B186" s="2" t="s">
        <v>227</v>
      </c>
      <c r="C186" s="3">
        <v>272</v>
      </c>
      <c r="D186" s="2" t="s">
        <v>389</v>
      </c>
      <c r="E186" s="162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4">
      <c r="A187" s="3">
        <v>21</v>
      </c>
      <c r="B187" s="2" t="s">
        <v>227</v>
      </c>
      <c r="C187" s="3">
        <v>123</v>
      </c>
      <c r="D187" s="2" t="s">
        <v>390</v>
      </c>
      <c r="E187" s="162">
        <v>39508</v>
      </c>
      <c r="F187" s="162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4">
      <c r="A188" s="3">
        <v>25</v>
      </c>
      <c r="B188" s="2" t="s">
        <v>228</v>
      </c>
      <c r="C188" s="3">
        <v>818</v>
      </c>
      <c r="D188" s="2" t="s">
        <v>630</v>
      </c>
      <c r="E188" s="162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4">
      <c r="A189" s="3">
        <v>25</v>
      </c>
      <c r="B189" s="2" t="s">
        <v>228</v>
      </c>
      <c r="C189" s="3">
        <v>796</v>
      </c>
      <c r="D189" s="2" t="s">
        <v>606</v>
      </c>
      <c r="E189" s="162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4">
      <c r="A190" s="3">
        <v>25</v>
      </c>
      <c r="B190" s="2" t="s">
        <v>228</v>
      </c>
      <c r="C190" s="3">
        <v>264</v>
      </c>
      <c r="D190" s="2" t="s">
        <v>380</v>
      </c>
      <c r="E190" s="162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4">
      <c r="A191" s="3">
        <v>25</v>
      </c>
      <c r="B191" s="2" t="s">
        <v>228</v>
      </c>
      <c r="C191" s="3">
        <v>220</v>
      </c>
      <c r="D191" s="2" t="s">
        <v>339</v>
      </c>
      <c r="E191" s="162">
        <v>41264</v>
      </c>
      <c r="F191" s="162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4">
      <c r="A192" s="3">
        <v>25</v>
      </c>
      <c r="B192" s="2" t="s">
        <v>228</v>
      </c>
      <c r="C192" s="3">
        <v>210</v>
      </c>
      <c r="D192" s="2" t="s">
        <v>328</v>
      </c>
      <c r="E192" s="162">
        <v>40914</v>
      </c>
      <c r="F192" s="162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4">
      <c r="A193" s="3">
        <v>25</v>
      </c>
      <c r="B193" s="2" t="s">
        <v>228</v>
      </c>
      <c r="C193" s="3">
        <v>196</v>
      </c>
      <c r="D193" s="2" t="s">
        <v>315</v>
      </c>
      <c r="E193" s="162">
        <v>40490</v>
      </c>
      <c r="F193" s="162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4">
      <c r="A194" s="3">
        <v>25</v>
      </c>
      <c r="B194" s="2" t="s">
        <v>228</v>
      </c>
      <c r="C194" s="3">
        <v>157</v>
      </c>
      <c r="D194" s="2" t="s">
        <v>274</v>
      </c>
      <c r="E194" s="162">
        <v>40058</v>
      </c>
      <c r="F194" s="162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4">
      <c r="A195" s="3">
        <v>25</v>
      </c>
      <c r="B195" s="2" t="s">
        <v>228</v>
      </c>
      <c r="C195" s="3">
        <v>142</v>
      </c>
      <c r="D195" s="2" t="s">
        <v>261</v>
      </c>
      <c r="E195" s="162">
        <v>39724</v>
      </c>
      <c r="F195" s="162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4">
      <c r="A196" s="3">
        <v>25</v>
      </c>
      <c r="B196" s="2" t="s">
        <v>228</v>
      </c>
      <c r="C196" s="3">
        <v>124</v>
      </c>
      <c r="D196" s="2" t="s">
        <v>238</v>
      </c>
      <c r="E196" s="162">
        <v>39539</v>
      </c>
      <c r="F196" s="162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4">
      <c r="A197" s="3">
        <v>28</v>
      </c>
      <c r="B197" s="2" t="s">
        <v>107</v>
      </c>
      <c r="C197" s="3">
        <v>811</v>
      </c>
      <c r="D197" s="2" t="s">
        <v>607</v>
      </c>
      <c r="E197" s="162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4">
      <c r="A198" s="3">
        <v>28</v>
      </c>
      <c r="B198" s="2" t="s">
        <v>107</v>
      </c>
      <c r="C198" s="3">
        <v>778</v>
      </c>
      <c r="D198" s="2" t="s">
        <v>608</v>
      </c>
      <c r="E198" s="162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4">
      <c r="A199" s="3">
        <v>28</v>
      </c>
      <c r="B199" s="2" t="s">
        <v>107</v>
      </c>
      <c r="C199" s="3">
        <v>271</v>
      </c>
      <c r="D199" s="2" t="s">
        <v>391</v>
      </c>
      <c r="E199" s="162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4">
      <c r="A200" s="3">
        <v>28</v>
      </c>
      <c r="B200" s="2" t="s">
        <v>107</v>
      </c>
      <c r="C200" s="3">
        <v>266</v>
      </c>
      <c r="D200" s="2" t="s">
        <v>383</v>
      </c>
      <c r="E200" s="162">
        <v>42360</v>
      </c>
      <c r="F200" s="162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4">
      <c r="A201" s="3">
        <v>28</v>
      </c>
      <c r="B201" s="2" t="s">
        <v>107</v>
      </c>
      <c r="C201" s="3">
        <v>253</v>
      </c>
      <c r="D201" s="2" t="s">
        <v>369</v>
      </c>
      <c r="E201" s="162">
        <v>41969</v>
      </c>
      <c r="F201" s="162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4">
      <c r="A202" s="3">
        <v>28</v>
      </c>
      <c r="B202" s="2" t="s">
        <v>107</v>
      </c>
      <c r="C202" s="3">
        <v>223</v>
      </c>
      <c r="D202" s="2" t="s">
        <v>343</v>
      </c>
      <c r="E202" s="162">
        <v>41365</v>
      </c>
      <c r="F202" s="162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4">
      <c r="A203" s="3">
        <v>28</v>
      </c>
      <c r="B203" s="2" t="s">
        <v>107</v>
      </c>
      <c r="C203" s="3">
        <v>212</v>
      </c>
      <c r="D203" s="2" t="s">
        <v>329</v>
      </c>
      <c r="E203" s="162">
        <v>40855</v>
      </c>
      <c r="F203" s="162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4">
      <c r="A204" s="3">
        <v>28</v>
      </c>
      <c r="B204" s="2" t="s">
        <v>107</v>
      </c>
      <c r="C204" s="3">
        <v>65</v>
      </c>
      <c r="D204" s="2" t="s">
        <v>229</v>
      </c>
      <c r="E204" s="162">
        <v>38863</v>
      </c>
      <c r="F204" s="162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4">
      <c r="A205" s="3">
        <v>28</v>
      </c>
      <c r="B205" s="2" t="s">
        <v>107</v>
      </c>
      <c r="C205" s="3">
        <v>30</v>
      </c>
      <c r="D205" s="2" t="s">
        <v>108</v>
      </c>
      <c r="E205" s="162">
        <v>38583</v>
      </c>
      <c r="F205" s="162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4">
      <c r="A206" s="3">
        <v>23</v>
      </c>
      <c r="B206" s="2" t="s">
        <v>67</v>
      </c>
      <c r="C206" s="3">
        <v>785</v>
      </c>
      <c r="D206" s="2" t="s">
        <v>609</v>
      </c>
      <c r="E206" s="162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4">
      <c r="A207" s="3">
        <v>23</v>
      </c>
      <c r="B207" s="2" t="s">
        <v>67</v>
      </c>
      <c r="C207" s="3">
        <v>765</v>
      </c>
      <c r="D207" s="2" t="s">
        <v>610</v>
      </c>
      <c r="E207" s="162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4">
      <c r="A208" s="3">
        <v>23</v>
      </c>
      <c r="B208" s="2" t="s">
        <v>67</v>
      </c>
      <c r="C208" s="3">
        <v>254</v>
      </c>
      <c r="D208" s="2" t="s">
        <v>363</v>
      </c>
      <c r="E208" s="162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4">
      <c r="A209" s="3">
        <v>23</v>
      </c>
      <c r="B209" s="2" t="s">
        <v>67</v>
      </c>
      <c r="C209" s="3">
        <v>228</v>
      </c>
      <c r="D209" s="2" t="s">
        <v>348</v>
      </c>
      <c r="E209" s="162">
        <v>41376</v>
      </c>
      <c r="F209" s="162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4">
      <c r="A210" s="3">
        <v>23</v>
      </c>
      <c r="B210" s="2" t="s">
        <v>67</v>
      </c>
      <c r="C210" s="3">
        <v>213</v>
      </c>
      <c r="D210" s="2" t="s">
        <v>331</v>
      </c>
      <c r="E210" s="162">
        <v>40975</v>
      </c>
      <c r="F210" s="162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4">
      <c r="A211" s="3">
        <v>23</v>
      </c>
      <c r="B211" s="2" t="s">
        <v>67</v>
      </c>
      <c r="C211" s="3">
        <v>161</v>
      </c>
      <c r="D211" s="2" t="s">
        <v>280</v>
      </c>
      <c r="E211" s="162">
        <v>40114</v>
      </c>
      <c r="F211" s="162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4">
      <c r="A212" s="3">
        <v>23</v>
      </c>
      <c r="B212" s="2" t="s">
        <v>67</v>
      </c>
      <c r="C212" s="3">
        <v>95</v>
      </c>
      <c r="D212" s="2" t="s">
        <v>87</v>
      </c>
      <c r="E212" s="162">
        <v>39132</v>
      </c>
      <c r="F212" s="162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4">
      <c r="A213" s="3">
        <v>23</v>
      </c>
      <c r="B213" s="2" t="s">
        <v>67</v>
      </c>
      <c r="C213" s="3">
        <v>48</v>
      </c>
      <c r="D213" s="2" t="s">
        <v>51</v>
      </c>
      <c r="E213" s="162">
        <v>38638</v>
      </c>
      <c r="F213" s="162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4">
      <c r="A214" s="3">
        <v>27</v>
      </c>
      <c r="B214" s="2" t="s">
        <v>109</v>
      </c>
      <c r="C214" s="3">
        <v>809</v>
      </c>
      <c r="D214" s="2" t="s">
        <v>611</v>
      </c>
      <c r="E214" s="162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4">
      <c r="A215" s="3">
        <v>27</v>
      </c>
      <c r="B215" s="2" t="s">
        <v>109</v>
      </c>
      <c r="C215" s="3">
        <v>786</v>
      </c>
      <c r="D215" s="2" t="s">
        <v>612</v>
      </c>
      <c r="E215" s="162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4">
      <c r="A216" s="3">
        <v>27</v>
      </c>
      <c r="B216" s="2" t="s">
        <v>109</v>
      </c>
      <c r="C216" s="3">
        <v>766</v>
      </c>
      <c r="D216" s="2" t="s">
        <v>613</v>
      </c>
      <c r="E216" s="162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4">
      <c r="A217" s="3">
        <v>27</v>
      </c>
      <c r="B217" s="2" t="s">
        <v>109</v>
      </c>
      <c r="C217" s="3">
        <v>238</v>
      </c>
      <c r="D217" s="2" t="s">
        <v>354</v>
      </c>
      <c r="E217" s="162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4">
      <c r="A218" s="3">
        <v>27</v>
      </c>
      <c r="B218" s="2" t="s">
        <v>109</v>
      </c>
      <c r="C218" s="3">
        <v>197</v>
      </c>
      <c r="D218" s="2" t="s">
        <v>316</v>
      </c>
      <c r="E218" s="162">
        <v>40525</v>
      </c>
      <c r="F218" s="162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4">
      <c r="A219" s="3">
        <v>27</v>
      </c>
      <c r="B219" s="2" t="s">
        <v>109</v>
      </c>
      <c r="C219" s="3">
        <v>162</v>
      </c>
      <c r="D219" s="2" t="s">
        <v>281</v>
      </c>
      <c r="E219" s="162">
        <v>40107</v>
      </c>
      <c r="F219" s="162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4">
      <c r="A220" s="3">
        <v>27</v>
      </c>
      <c r="B220" s="2" t="s">
        <v>109</v>
      </c>
      <c r="C220" s="3">
        <v>158</v>
      </c>
      <c r="D220" s="2" t="s">
        <v>275</v>
      </c>
      <c r="E220" s="162">
        <v>40050</v>
      </c>
      <c r="F220" s="162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4">
      <c r="A221" s="3">
        <v>27</v>
      </c>
      <c r="B221" s="2" t="s">
        <v>109</v>
      </c>
      <c r="C221" s="3">
        <v>116</v>
      </c>
      <c r="D221" s="2" t="s">
        <v>200</v>
      </c>
      <c r="E221" s="162">
        <v>39423</v>
      </c>
      <c r="F221" s="162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4">
      <c r="A222" s="3">
        <v>27</v>
      </c>
      <c r="B222" s="2" t="s">
        <v>109</v>
      </c>
      <c r="C222" s="3">
        <v>37</v>
      </c>
      <c r="D222" s="2" t="s">
        <v>110</v>
      </c>
      <c r="E222" s="162">
        <v>38540</v>
      </c>
      <c r="F222" s="162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4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4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4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4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4">
      <c r="A227" s="3">
        <v>46</v>
      </c>
      <c r="B227" s="2" t="s">
        <v>68</v>
      </c>
      <c r="C227" s="3">
        <v>791</v>
      </c>
      <c r="D227" s="2" t="s">
        <v>614</v>
      </c>
      <c r="E227" s="162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4">
      <c r="A228" s="3">
        <v>46</v>
      </c>
      <c r="B228" s="2" t="s">
        <v>68</v>
      </c>
      <c r="C228" s="3">
        <v>758</v>
      </c>
      <c r="D228" s="2" t="s">
        <v>615</v>
      </c>
      <c r="E228" s="162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4">
      <c r="A229" s="3">
        <v>46</v>
      </c>
      <c r="B229" s="2" t="s">
        <v>68</v>
      </c>
      <c r="C229" s="3">
        <v>275</v>
      </c>
      <c r="D229" s="2" t="s">
        <v>393</v>
      </c>
      <c r="E229" s="162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4">
      <c r="A230" s="3">
        <v>46</v>
      </c>
      <c r="B230" s="2" t="s">
        <v>68</v>
      </c>
      <c r="C230" s="3">
        <v>138</v>
      </c>
      <c r="D230" s="2" t="s">
        <v>159</v>
      </c>
      <c r="E230" s="162">
        <v>39654</v>
      </c>
      <c r="F230" s="162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4">
      <c r="A231" s="3">
        <v>46</v>
      </c>
      <c r="B231" s="2" t="s">
        <v>68</v>
      </c>
      <c r="C231" s="3">
        <v>137</v>
      </c>
      <c r="D231" s="2" t="s">
        <v>256</v>
      </c>
      <c r="E231" s="162">
        <v>39588</v>
      </c>
      <c r="F231" s="162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4">
      <c r="A232" s="3">
        <v>46</v>
      </c>
      <c r="B232" s="2" t="s">
        <v>68</v>
      </c>
      <c r="C232" s="3">
        <v>87</v>
      </c>
      <c r="D232" s="2" t="s">
        <v>16</v>
      </c>
      <c r="E232" s="162">
        <v>38971</v>
      </c>
      <c r="F232" s="162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4">
      <c r="A233" s="3">
        <v>46</v>
      </c>
      <c r="B233" s="2" t="s">
        <v>68</v>
      </c>
      <c r="C233" s="3">
        <v>69</v>
      </c>
      <c r="D233" s="2" t="s">
        <v>52</v>
      </c>
      <c r="E233" s="162">
        <v>38839</v>
      </c>
      <c r="F233" s="162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4">
      <c r="A234" s="3">
        <v>52</v>
      </c>
      <c r="B234" s="2" t="s">
        <v>69</v>
      </c>
      <c r="C234" s="3">
        <v>756</v>
      </c>
      <c r="D234" s="2" t="s">
        <v>616</v>
      </c>
      <c r="E234" s="162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4">
      <c r="A235" s="3">
        <v>52</v>
      </c>
      <c r="B235" s="2" t="s">
        <v>69</v>
      </c>
      <c r="C235" s="3">
        <v>267</v>
      </c>
      <c r="D235" s="2" t="s">
        <v>385</v>
      </c>
      <c r="E235" s="162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4">
      <c r="A236" s="3">
        <v>52</v>
      </c>
      <c r="B236" s="2" t="s">
        <v>69</v>
      </c>
      <c r="C236" s="3">
        <v>256</v>
      </c>
      <c r="D236" s="2" t="s">
        <v>364</v>
      </c>
      <c r="E236" s="162">
        <v>41824</v>
      </c>
      <c r="F236" s="162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4">
      <c r="A237" s="3">
        <v>52</v>
      </c>
      <c r="B237" s="2" t="s">
        <v>69</v>
      </c>
      <c r="C237" s="3">
        <v>211</v>
      </c>
      <c r="D237" s="2" t="s">
        <v>330</v>
      </c>
      <c r="E237" s="162">
        <v>40871</v>
      </c>
      <c r="F237" s="162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4">
      <c r="A238" s="3">
        <v>52</v>
      </c>
      <c r="B238" s="2" t="s">
        <v>69</v>
      </c>
      <c r="C238" s="3">
        <v>89</v>
      </c>
      <c r="D238" s="2" t="s">
        <v>156</v>
      </c>
      <c r="E238" s="162">
        <v>39101</v>
      </c>
      <c r="F238" s="162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4">
      <c r="A239" s="3">
        <v>52</v>
      </c>
      <c r="B239" s="2" t="s">
        <v>69</v>
      </c>
      <c r="C239" s="3">
        <v>74</v>
      </c>
      <c r="D239" s="2" t="s">
        <v>157</v>
      </c>
      <c r="E239" s="162">
        <v>38880</v>
      </c>
      <c r="F239" s="162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4">
      <c r="A240" s="3">
        <v>47</v>
      </c>
      <c r="B240" s="2" t="s">
        <v>86</v>
      </c>
      <c r="C240" s="3">
        <v>96</v>
      </c>
      <c r="D240" s="2" t="s">
        <v>165</v>
      </c>
      <c r="E240" s="162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4">
      <c r="A241" s="3">
        <v>47</v>
      </c>
      <c r="B241" s="2" t="s">
        <v>86</v>
      </c>
      <c r="C241" s="3">
        <v>73</v>
      </c>
      <c r="D241" s="2" t="s">
        <v>166</v>
      </c>
      <c r="E241" s="162">
        <v>38208</v>
      </c>
      <c r="F241" s="162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4">
      <c r="A242" s="3">
        <v>48</v>
      </c>
      <c r="B242" s="2" t="s">
        <v>111</v>
      </c>
      <c r="C242" s="3">
        <v>749</v>
      </c>
      <c r="D242" s="2" t="s">
        <v>617</v>
      </c>
      <c r="E242" s="162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4">
      <c r="A243" s="3">
        <v>48</v>
      </c>
      <c r="B243" s="2" t="s">
        <v>111</v>
      </c>
      <c r="C243" s="3">
        <v>239</v>
      </c>
      <c r="D243" s="2" t="s">
        <v>357</v>
      </c>
      <c r="E243" s="162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4">
      <c r="A244" s="3">
        <v>48</v>
      </c>
      <c r="B244" s="2" t="s">
        <v>111</v>
      </c>
      <c r="C244" s="3">
        <v>177</v>
      </c>
      <c r="D244" s="2" t="s">
        <v>297</v>
      </c>
      <c r="E244" s="162">
        <v>40338</v>
      </c>
      <c r="F244" s="162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4">
      <c r="A245" s="3">
        <v>48</v>
      </c>
      <c r="B245" s="2" t="s">
        <v>111</v>
      </c>
      <c r="C245" s="3">
        <v>153</v>
      </c>
      <c r="D245" s="2" t="s">
        <v>270</v>
      </c>
      <c r="E245" s="162">
        <v>39940</v>
      </c>
      <c r="F245" s="162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4">
      <c r="A246" s="3">
        <v>48</v>
      </c>
      <c r="B246" s="2" t="s">
        <v>111</v>
      </c>
      <c r="C246" s="3">
        <v>139</v>
      </c>
      <c r="D246" s="2" t="s">
        <v>271</v>
      </c>
      <c r="E246" s="162">
        <v>39701</v>
      </c>
      <c r="F246" s="162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4">
      <c r="A247" s="3">
        <v>48</v>
      </c>
      <c r="B247" s="2" t="s">
        <v>111</v>
      </c>
      <c r="C247" s="3">
        <v>66</v>
      </c>
      <c r="D247" s="2" t="s">
        <v>230</v>
      </c>
      <c r="E247" s="162">
        <v>37639</v>
      </c>
      <c r="F247" s="162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4">
      <c r="A248" s="3">
        <v>49</v>
      </c>
      <c r="B248" s="2" t="s">
        <v>231</v>
      </c>
      <c r="C248" s="3">
        <v>792</v>
      </c>
      <c r="D248" s="2" t="s">
        <v>618</v>
      </c>
      <c r="E248" s="162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4">
      <c r="A249" s="3">
        <v>49</v>
      </c>
      <c r="B249" s="2" t="s">
        <v>231</v>
      </c>
      <c r="C249" s="3">
        <v>775</v>
      </c>
      <c r="D249" s="2" t="s">
        <v>619</v>
      </c>
      <c r="E249" s="162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4">
      <c r="A250" s="3">
        <v>49</v>
      </c>
      <c r="B250" s="2" t="s">
        <v>231</v>
      </c>
      <c r="C250" s="3">
        <v>248</v>
      </c>
      <c r="D250" s="2" t="s">
        <v>374</v>
      </c>
      <c r="E250" s="162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4">
      <c r="A251" s="3">
        <v>49</v>
      </c>
      <c r="B251" s="2" t="s">
        <v>231</v>
      </c>
      <c r="C251" s="3">
        <v>199</v>
      </c>
      <c r="D251" s="2" t="s">
        <v>318</v>
      </c>
      <c r="E251" s="162">
        <v>40609</v>
      </c>
      <c r="F251" s="162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4">
      <c r="A252" s="3">
        <v>49</v>
      </c>
      <c r="B252" s="2" t="s">
        <v>231</v>
      </c>
      <c r="C252" s="3">
        <v>182</v>
      </c>
      <c r="D252" s="2" t="s">
        <v>306</v>
      </c>
      <c r="E252" s="162">
        <v>40387</v>
      </c>
      <c r="F252" s="162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4">
      <c r="A253" s="3">
        <v>49</v>
      </c>
      <c r="B253" s="2" t="s">
        <v>231</v>
      </c>
      <c r="C253" s="3">
        <v>129</v>
      </c>
      <c r="D253" s="2" t="s">
        <v>232</v>
      </c>
      <c r="E253" s="162">
        <v>39508</v>
      </c>
      <c r="F253" s="162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4">
      <c r="A254" s="3">
        <v>53</v>
      </c>
      <c r="B254" s="2" t="s">
        <v>70</v>
      </c>
      <c r="C254" s="3">
        <v>803</v>
      </c>
      <c r="D254" s="2" t="s">
        <v>620</v>
      </c>
      <c r="E254" s="162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4">
      <c r="A255" s="3">
        <v>53</v>
      </c>
      <c r="B255" s="2" t="s">
        <v>70</v>
      </c>
      <c r="C255" s="3">
        <v>165</v>
      </c>
      <c r="D255" s="2" t="s">
        <v>285</v>
      </c>
      <c r="E255" s="162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4">
      <c r="A256" s="3">
        <v>53</v>
      </c>
      <c r="B256" s="2" t="s">
        <v>70</v>
      </c>
      <c r="C256" s="3">
        <v>151</v>
      </c>
      <c r="D256" s="2" t="s">
        <v>269</v>
      </c>
      <c r="E256" s="162">
        <v>39895</v>
      </c>
      <c r="F256" s="162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4">
      <c r="A257" s="3">
        <v>53</v>
      </c>
      <c r="B257" s="2" t="s">
        <v>70</v>
      </c>
      <c r="C257" s="3">
        <v>113</v>
      </c>
      <c r="D257" s="2" t="s">
        <v>195</v>
      </c>
      <c r="E257" s="162">
        <v>39384</v>
      </c>
      <c r="F257" s="162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4">
      <c r="A258" s="3">
        <v>53</v>
      </c>
      <c r="B258" s="2" t="s">
        <v>70</v>
      </c>
      <c r="C258" s="3">
        <v>86</v>
      </c>
      <c r="D258" s="2" t="s">
        <v>13</v>
      </c>
      <c r="E258" s="162">
        <v>39032</v>
      </c>
      <c r="F258" s="162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4">
      <c r="A259" s="3">
        <v>54</v>
      </c>
      <c r="B259" s="2" t="s">
        <v>71</v>
      </c>
      <c r="C259" s="3">
        <v>750</v>
      </c>
      <c r="D259" s="2" t="s">
        <v>620</v>
      </c>
      <c r="E259" s="162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4">
      <c r="A260" s="3">
        <v>54</v>
      </c>
      <c r="B260" s="2" t="s">
        <v>71</v>
      </c>
      <c r="C260" s="3">
        <v>224</v>
      </c>
      <c r="D260" s="2" t="s">
        <v>344</v>
      </c>
      <c r="E260" s="162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4">
      <c r="A261" s="3">
        <v>54</v>
      </c>
      <c r="B261" s="2" t="s">
        <v>71</v>
      </c>
      <c r="C261" s="3">
        <v>216</v>
      </c>
      <c r="D261" s="2" t="s">
        <v>334</v>
      </c>
      <c r="E261" s="162">
        <v>41033</v>
      </c>
      <c r="F261" s="162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4">
      <c r="A262" s="3">
        <v>54</v>
      </c>
      <c r="B262" s="2" t="s">
        <v>71</v>
      </c>
      <c r="C262" s="3">
        <v>185</v>
      </c>
      <c r="D262" s="2" t="s">
        <v>307</v>
      </c>
      <c r="E262" s="162">
        <v>40449</v>
      </c>
      <c r="F262" s="162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4">
      <c r="A263" s="3">
        <v>54</v>
      </c>
      <c r="B263" s="2" t="s">
        <v>71</v>
      </c>
      <c r="C263" s="3">
        <v>175</v>
      </c>
      <c r="D263" s="2" t="s">
        <v>295</v>
      </c>
      <c r="E263" s="162">
        <v>40319</v>
      </c>
      <c r="F263" s="162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4">
      <c r="A264" s="3">
        <v>54</v>
      </c>
      <c r="B264" s="2" t="s">
        <v>71</v>
      </c>
      <c r="C264" s="3">
        <v>77</v>
      </c>
      <c r="D264" s="2" t="s">
        <v>14</v>
      </c>
      <c r="E264" s="162">
        <v>39015</v>
      </c>
      <c r="F264" s="162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4">
      <c r="A265" s="3">
        <v>55</v>
      </c>
      <c r="B265" s="2" t="s">
        <v>72</v>
      </c>
      <c r="C265" s="3">
        <v>249</v>
      </c>
      <c r="D265" s="2" t="s">
        <v>366</v>
      </c>
      <c r="E265" s="162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4">
      <c r="A266" s="3">
        <v>55</v>
      </c>
      <c r="B266" s="2" t="s">
        <v>72</v>
      </c>
      <c r="C266" s="3">
        <v>243</v>
      </c>
      <c r="D266" s="2" t="s">
        <v>360</v>
      </c>
      <c r="E266" s="162">
        <v>41675</v>
      </c>
      <c r="F266" s="162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4">
      <c r="A267" s="3">
        <v>55</v>
      </c>
      <c r="B267" s="2" t="s">
        <v>72</v>
      </c>
      <c r="C267" s="3">
        <v>231</v>
      </c>
      <c r="D267" s="2" t="s">
        <v>355</v>
      </c>
      <c r="E267" s="162">
        <v>41372</v>
      </c>
      <c r="F267" s="162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4">
      <c r="A268" s="3">
        <v>55</v>
      </c>
      <c r="B268" s="2" t="s">
        <v>72</v>
      </c>
      <c r="C268" s="3">
        <v>70</v>
      </c>
      <c r="D268" s="2" t="s">
        <v>15</v>
      </c>
      <c r="E268" s="162">
        <v>38926</v>
      </c>
      <c r="F268" s="162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4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4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4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4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4">
      <c r="A273" s="3">
        <v>66</v>
      </c>
      <c r="B273" s="2" t="s">
        <v>73</v>
      </c>
      <c r="C273" s="3">
        <v>795</v>
      </c>
      <c r="D273" s="2" t="s">
        <v>621</v>
      </c>
      <c r="E273" s="162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4">
      <c r="A274" s="3">
        <v>66</v>
      </c>
      <c r="B274" s="2" t="s">
        <v>73</v>
      </c>
      <c r="C274" s="3">
        <v>784</v>
      </c>
      <c r="D274" s="2" t="s">
        <v>622</v>
      </c>
      <c r="E274" s="162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4">
      <c r="A275" s="3">
        <v>66</v>
      </c>
      <c r="B275" s="2" t="s">
        <v>73</v>
      </c>
      <c r="C275" s="3">
        <v>246</v>
      </c>
      <c r="D275" s="2" t="s">
        <v>372</v>
      </c>
      <c r="E275" s="162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4">
      <c r="A276" s="3">
        <v>66</v>
      </c>
      <c r="B276" s="2" t="s">
        <v>73</v>
      </c>
      <c r="C276" s="3">
        <v>202</v>
      </c>
      <c r="D276" s="2" t="s">
        <v>321</v>
      </c>
      <c r="E276" s="162">
        <v>40718</v>
      </c>
      <c r="F276" s="162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4">
      <c r="A277" s="3">
        <v>66</v>
      </c>
      <c r="B277" s="2" t="s">
        <v>73</v>
      </c>
      <c r="C277" s="3">
        <v>189</v>
      </c>
      <c r="D277" s="2" t="s">
        <v>308</v>
      </c>
      <c r="E277" s="162">
        <v>40462</v>
      </c>
      <c r="F277" s="162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4">
      <c r="A278" s="3">
        <v>66</v>
      </c>
      <c r="B278" s="2" t="s">
        <v>73</v>
      </c>
      <c r="C278" s="3">
        <v>172</v>
      </c>
      <c r="D278" s="2" t="s">
        <v>288</v>
      </c>
      <c r="E278" s="162">
        <v>40186</v>
      </c>
      <c r="F278" s="162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4">
      <c r="A279" s="3">
        <v>66</v>
      </c>
      <c r="B279" s="2" t="s">
        <v>73</v>
      </c>
      <c r="C279" s="3">
        <v>78</v>
      </c>
      <c r="D279" s="2" t="s">
        <v>18</v>
      </c>
      <c r="E279" s="162">
        <v>38985</v>
      </c>
      <c r="F279" s="162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4">
      <c r="A280" s="3">
        <v>67</v>
      </c>
      <c r="B280" s="2" t="s">
        <v>112</v>
      </c>
      <c r="C280" s="3">
        <v>810</v>
      </c>
      <c r="D280" s="2" t="s">
        <v>623</v>
      </c>
      <c r="E280" s="162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4">
      <c r="A281" s="3">
        <v>67</v>
      </c>
      <c r="B281" s="2" t="s">
        <v>112</v>
      </c>
      <c r="C281" s="3">
        <v>793</v>
      </c>
      <c r="D281" s="2" t="s">
        <v>624</v>
      </c>
      <c r="E281" s="162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4">
      <c r="A282" s="3">
        <v>67</v>
      </c>
      <c r="B282" s="2" t="s">
        <v>112</v>
      </c>
      <c r="C282" s="3">
        <v>767</v>
      </c>
      <c r="D282" s="2" t="s">
        <v>625</v>
      </c>
      <c r="E282" s="162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4">
      <c r="A283" s="3">
        <v>67</v>
      </c>
      <c r="B283" s="2" t="s">
        <v>112</v>
      </c>
      <c r="C283" s="3">
        <v>179</v>
      </c>
      <c r="D283" s="2" t="s">
        <v>298</v>
      </c>
      <c r="E283" s="162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4">
      <c r="A284" s="3">
        <v>67</v>
      </c>
      <c r="B284" s="2" t="s">
        <v>112</v>
      </c>
      <c r="C284" s="3">
        <v>114</v>
      </c>
      <c r="D284" s="2" t="s">
        <v>198</v>
      </c>
      <c r="E284" s="162">
        <v>39396</v>
      </c>
      <c r="F284" s="162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4">
      <c r="A285" s="3">
        <v>67</v>
      </c>
      <c r="B285" s="2" t="s">
        <v>112</v>
      </c>
      <c r="C285" s="3">
        <v>81</v>
      </c>
      <c r="D285" s="2" t="s">
        <v>113</v>
      </c>
      <c r="E285" s="162">
        <v>38485</v>
      </c>
      <c r="F285" s="162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4">
      <c r="A286" s="3">
        <v>63</v>
      </c>
      <c r="B286" s="2" t="s">
        <v>115</v>
      </c>
      <c r="C286" s="3">
        <v>167</v>
      </c>
      <c r="D286" s="2" t="s">
        <v>286</v>
      </c>
      <c r="E286" s="162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4">
      <c r="A287" s="3">
        <v>63</v>
      </c>
      <c r="B287" s="2" t="s">
        <v>115</v>
      </c>
      <c r="C287" s="3">
        <v>148</v>
      </c>
      <c r="D287" s="2" t="s">
        <v>265</v>
      </c>
      <c r="E287" s="162">
        <v>39787</v>
      </c>
      <c r="F287" s="162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4">
      <c r="A288" s="3">
        <v>63</v>
      </c>
      <c r="B288" s="2" t="s">
        <v>115</v>
      </c>
      <c r="C288" s="3">
        <v>109</v>
      </c>
      <c r="D288" s="2" t="s">
        <v>192</v>
      </c>
      <c r="E288" s="162">
        <v>39304</v>
      </c>
      <c r="F288" s="162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4">
      <c r="A289" s="3">
        <v>63</v>
      </c>
      <c r="B289" s="2" t="s">
        <v>115</v>
      </c>
      <c r="C289" s="3">
        <v>83</v>
      </c>
      <c r="D289" s="2" t="s">
        <v>182</v>
      </c>
      <c r="E289" s="162">
        <v>38848</v>
      </c>
      <c r="F289" s="162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4">
      <c r="A290" s="3">
        <v>68</v>
      </c>
      <c r="B290" s="2" t="s">
        <v>117</v>
      </c>
      <c r="C290" s="3">
        <v>135</v>
      </c>
      <c r="D290" s="2" t="s">
        <v>254</v>
      </c>
      <c r="E290" s="162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4">
      <c r="A291" s="3">
        <v>68</v>
      </c>
      <c r="B291" s="2" t="s">
        <v>117</v>
      </c>
      <c r="C291" s="3">
        <v>99</v>
      </c>
      <c r="D291" s="2" t="s">
        <v>170</v>
      </c>
      <c r="E291" s="162">
        <v>39177</v>
      </c>
      <c r="F291" s="162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4">
      <c r="A292" s="3">
        <v>68</v>
      </c>
      <c r="B292" s="2" t="s">
        <v>117</v>
      </c>
      <c r="C292" s="3">
        <v>82</v>
      </c>
      <c r="D292" s="2" t="s">
        <v>171</v>
      </c>
      <c r="E292" s="162">
        <v>38490</v>
      </c>
      <c r="F292" s="162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4">
      <c r="A293" s="3">
        <v>64</v>
      </c>
      <c r="B293" s="2" t="s">
        <v>74</v>
      </c>
      <c r="C293" s="3">
        <v>800</v>
      </c>
      <c r="D293" s="2" t="s">
        <v>624</v>
      </c>
      <c r="E293" s="162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4">
      <c r="A294" s="3">
        <v>64</v>
      </c>
      <c r="B294" s="2" t="s">
        <v>74</v>
      </c>
      <c r="C294" s="3">
        <v>771</v>
      </c>
      <c r="D294" s="2" t="s">
        <v>626</v>
      </c>
      <c r="E294" s="162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4">
      <c r="A295" s="3">
        <v>64</v>
      </c>
      <c r="B295" s="2" t="s">
        <v>74</v>
      </c>
      <c r="C295" s="3">
        <v>757</v>
      </c>
      <c r="D295" s="2" t="s">
        <v>622</v>
      </c>
      <c r="E295" s="162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4">
      <c r="A296" s="3">
        <v>64</v>
      </c>
      <c r="B296" s="2" t="s">
        <v>74</v>
      </c>
      <c r="C296" s="3">
        <v>229</v>
      </c>
      <c r="D296" s="2" t="s">
        <v>349</v>
      </c>
      <c r="E296" s="162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4">
      <c r="A297" s="3">
        <v>64</v>
      </c>
      <c r="B297" s="2" t="s">
        <v>74</v>
      </c>
      <c r="C297" s="3">
        <v>150</v>
      </c>
      <c r="D297" s="2" t="s">
        <v>267</v>
      </c>
      <c r="E297" s="162">
        <v>39834</v>
      </c>
      <c r="F297" s="162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4">
      <c r="A298" s="3">
        <v>64</v>
      </c>
      <c r="B298" s="2" t="s">
        <v>74</v>
      </c>
      <c r="C298" s="3">
        <v>75</v>
      </c>
      <c r="D298" s="2" t="s">
        <v>88</v>
      </c>
      <c r="E298" s="162">
        <v>38855</v>
      </c>
      <c r="F298" s="162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4">
      <c r="A299" s="3">
        <v>71</v>
      </c>
      <c r="B299" s="2" t="s">
        <v>118</v>
      </c>
      <c r="C299" s="3">
        <v>277</v>
      </c>
      <c r="D299" s="2" t="s">
        <v>404</v>
      </c>
      <c r="E299" s="162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4">
      <c r="A300" s="3">
        <v>71</v>
      </c>
      <c r="B300" s="2" t="s">
        <v>118</v>
      </c>
      <c r="C300" s="3">
        <v>214</v>
      </c>
      <c r="D300" s="2" t="s">
        <v>332</v>
      </c>
      <c r="E300" s="162">
        <v>40988</v>
      </c>
      <c r="F300" s="162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4">
      <c r="A301" s="3">
        <v>71</v>
      </c>
      <c r="B301" s="2" t="s">
        <v>118</v>
      </c>
      <c r="C301" s="3">
        <v>128</v>
      </c>
      <c r="D301" s="2" t="s">
        <v>173</v>
      </c>
      <c r="E301" s="162">
        <v>39517</v>
      </c>
      <c r="F301" s="162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4">
      <c r="A302" s="3">
        <v>71</v>
      </c>
      <c r="B302" s="2" t="s">
        <v>118</v>
      </c>
      <c r="C302" s="3">
        <v>84</v>
      </c>
      <c r="D302" s="2" t="s">
        <v>183</v>
      </c>
      <c r="E302" s="162">
        <v>38862</v>
      </c>
      <c r="F302" s="162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4">
      <c r="A303" s="3">
        <v>70</v>
      </c>
      <c r="B303" s="2" t="s">
        <v>119</v>
      </c>
      <c r="C303" s="3">
        <v>780</v>
      </c>
      <c r="D303" s="2" t="s">
        <v>624</v>
      </c>
      <c r="E303" s="162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4">
      <c r="A304" s="3">
        <v>70</v>
      </c>
      <c r="B304" s="2" t="s">
        <v>119</v>
      </c>
      <c r="C304" s="3">
        <v>779</v>
      </c>
      <c r="D304" s="2" t="s">
        <v>627</v>
      </c>
      <c r="E304" s="162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4">
      <c r="A305" s="3">
        <v>70</v>
      </c>
      <c r="B305" s="2" t="s">
        <v>119</v>
      </c>
      <c r="C305" s="3">
        <v>230</v>
      </c>
      <c r="D305" s="2" t="s">
        <v>350</v>
      </c>
      <c r="E305" s="162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4">
      <c r="A306" s="3">
        <v>70</v>
      </c>
      <c r="B306" s="2" t="s">
        <v>119</v>
      </c>
      <c r="C306" s="3">
        <v>203</v>
      </c>
      <c r="D306" s="2" t="s">
        <v>322</v>
      </c>
      <c r="E306" s="162">
        <v>40683</v>
      </c>
      <c r="F306" s="162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4">
      <c r="A307" s="3">
        <v>70</v>
      </c>
      <c r="B307" s="2" t="s">
        <v>119</v>
      </c>
      <c r="C307" s="3">
        <v>180</v>
      </c>
      <c r="D307" s="2" t="s">
        <v>309</v>
      </c>
      <c r="E307" s="162">
        <v>40476</v>
      </c>
      <c r="F307" s="162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4">
      <c r="A308" s="3">
        <v>70</v>
      </c>
      <c r="B308" s="2" t="s">
        <v>119</v>
      </c>
      <c r="C308" s="3">
        <v>159</v>
      </c>
      <c r="D308" s="2" t="s">
        <v>277</v>
      </c>
      <c r="E308" s="162">
        <v>40087</v>
      </c>
      <c r="F308" s="162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4">
      <c r="A309" s="3">
        <v>70</v>
      </c>
      <c r="B309" s="2" t="s">
        <v>119</v>
      </c>
      <c r="C309" s="3">
        <v>119</v>
      </c>
      <c r="D309" s="2" t="s">
        <v>209</v>
      </c>
      <c r="E309" s="162">
        <v>39472</v>
      </c>
      <c r="F309" s="162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4">
      <c r="A310" s="3">
        <v>70</v>
      </c>
      <c r="B310" s="2" t="s">
        <v>119</v>
      </c>
      <c r="C310" s="3">
        <v>104</v>
      </c>
      <c r="D310" s="2" t="s">
        <v>190</v>
      </c>
      <c r="E310" s="162">
        <v>39251</v>
      </c>
      <c r="F310" s="162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4">
      <c r="A311" s="3">
        <v>70</v>
      </c>
      <c r="B311" s="2" t="s">
        <v>119</v>
      </c>
      <c r="C311" s="3">
        <v>85</v>
      </c>
      <c r="D311" s="2" t="s">
        <v>120</v>
      </c>
      <c r="E311" s="162">
        <v>39023</v>
      </c>
      <c r="F311" s="162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4">
      <c r="A312" s="3">
        <v>70</v>
      </c>
      <c r="B312" s="2" t="s">
        <v>119</v>
      </c>
      <c r="C312" s="3">
        <v>76</v>
      </c>
      <c r="D312" s="2" t="s">
        <v>121</v>
      </c>
      <c r="E312" s="162">
        <v>38754</v>
      </c>
      <c r="F312" s="162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4">
      <c r="A313" s="3">
        <v>65</v>
      </c>
      <c r="B313" s="2" t="s">
        <v>75</v>
      </c>
      <c r="C313" s="3">
        <v>768</v>
      </c>
      <c r="D313" s="2" t="s">
        <v>628</v>
      </c>
      <c r="E313" s="162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4">
      <c r="A314" s="3">
        <v>65</v>
      </c>
      <c r="B314" s="2" t="s">
        <v>75</v>
      </c>
      <c r="C314" s="3">
        <v>751</v>
      </c>
      <c r="D314" s="2" t="s">
        <v>629</v>
      </c>
      <c r="E314" s="162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4">
      <c r="A315" s="3">
        <v>65</v>
      </c>
      <c r="B315" s="2" t="s">
        <v>75</v>
      </c>
      <c r="C315" s="3">
        <v>97</v>
      </c>
      <c r="D315" s="2" t="s">
        <v>89</v>
      </c>
      <c r="E315" s="162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4">
      <c r="A316" s="3">
        <v>65</v>
      </c>
      <c r="B316" s="2" t="s">
        <v>75</v>
      </c>
      <c r="C316" s="3">
        <v>71</v>
      </c>
      <c r="D316" s="2" t="s">
        <v>17</v>
      </c>
      <c r="E316" s="162">
        <v>38925</v>
      </c>
      <c r="F316" s="162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4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4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4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4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4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4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4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4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4">
      <c r="A325" s="3">
        <v>43</v>
      </c>
      <c r="B325" s="2" t="s">
        <v>128</v>
      </c>
      <c r="C325" s="3">
        <v>141</v>
      </c>
      <c r="D325" s="2" t="s">
        <v>262</v>
      </c>
      <c r="E325" s="162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4">
      <c r="A326" s="3">
        <v>42</v>
      </c>
      <c r="B326" s="2" t="s">
        <v>129</v>
      </c>
      <c r="C326" s="3">
        <v>156</v>
      </c>
      <c r="D326" s="2" t="s">
        <v>276</v>
      </c>
      <c r="E326" s="162">
        <v>40032</v>
      </c>
      <c r="F326" s="162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4">
      <c r="A327" s="3">
        <v>42</v>
      </c>
      <c r="B327" s="2" t="s">
        <v>129</v>
      </c>
      <c r="C327" s="3">
        <v>136</v>
      </c>
      <c r="D327" s="2" t="s">
        <v>255</v>
      </c>
      <c r="E327" s="162">
        <v>39604</v>
      </c>
      <c r="F327" s="162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4">
      <c r="AB328" t="str">
        <f t="shared" si="5"/>
        <v/>
      </c>
    </row>
    <row r="329" spans="1:28" x14ac:dyDescent="0.4">
      <c r="AB329" t="str">
        <f t="shared" si="5"/>
        <v/>
      </c>
    </row>
    <row r="330" spans="1:28" x14ac:dyDescent="0.4">
      <c r="AB330" t="str">
        <f t="shared" si="5"/>
        <v/>
      </c>
    </row>
    <row r="331" spans="1:28" x14ac:dyDescent="0.4">
      <c r="AB331" t="str">
        <f t="shared" si="5"/>
        <v/>
      </c>
    </row>
    <row r="332" spans="1:28" x14ac:dyDescent="0.4">
      <c r="AB332" t="str">
        <f t="shared" si="5"/>
        <v/>
      </c>
    </row>
    <row r="333" spans="1:28" x14ac:dyDescent="0.4">
      <c r="AB333" t="str">
        <f t="shared" si="5"/>
        <v/>
      </c>
    </row>
    <row r="334" spans="1:28" x14ac:dyDescent="0.4">
      <c r="AB334" t="str">
        <f t="shared" si="5"/>
        <v/>
      </c>
    </row>
    <row r="335" spans="1:28" x14ac:dyDescent="0.4">
      <c r="AB335" t="str">
        <f t="shared" si="5"/>
        <v/>
      </c>
    </row>
    <row r="336" spans="1:28" x14ac:dyDescent="0.4">
      <c r="AB336" t="str">
        <f t="shared" si="5"/>
        <v/>
      </c>
    </row>
    <row r="337" spans="28:28" x14ac:dyDescent="0.4">
      <c r="AB337" t="str">
        <f t="shared" si="5"/>
        <v/>
      </c>
    </row>
    <row r="338" spans="28:28" x14ac:dyDescent="0.4">
      <c r="AB338" t="str">
        <f t="shared" si="5"/>
        <v/>
      </c>
    </row>
    <row r="339" spans="28:28" x14ac:dyDescent="0.4">
      <c r="AB339" t="str">
        <f t="shared" si="5"/>
        <v/>
      </c>
    </row>
    <row r="340" spans="28:28" x14ac:dyDescent="0.4">
      <c r="AB340" t="str">
        <f t="shared" si="5"/>
        <v/>
      </c>
    </row>
    <row r="341" spans="28:28" x14ac:dyDescent="0.4">
      <c r="AB341" t="str">
        <f t="shared" si="5"/>
        <v/>
      </c>
    </row>
    <row r="342" spans="28:28" x14ac:dyDescent="0.4">
      <c r="AB342" t="str">
        <f t="shared" si="5"/>
        <v/>
      </c>
    </row>
    <row r="343" spans="28:28" x14ac:dyDescent="0.4">
      <c r="AB343" t="str">
        <f t="shared" si="5"/>
        <v/>
      </c>
    </row>
    <row r="344" spans="28:28" x14ac:dyDescent="0.4">
      <c r="AB344" t="str">
        <f t="shared" si="5"/>
        <v/>
      </c>
    </row>
    <row r="345" spans="28:28" x14ac:dyDescent="0.4">
      <c r="AB345" t="str">
        <f t="shared" si="5"/>
        <v/>
      </c>
    </row>
    <row r="346" spans="28:28" x14ac:dyDescent="0.4">
      <c r="AB346" t="str">
        <f t="shared" si="5"/>
        <v/>
      </c>
    </row>
    <row r="347" spans="28:28" x14ac:dyDescent="0.4">
      <c r="AB347" t="str">
        <f t="shared" si="5"/>
        <v/>
      </c>
    </row>
    <row r="348" spans="28:28" x14ac:dyDescent="0.4">
      <c r="AB348" t="str">
        <f t="shared" si="5"/>
        <v/>
      </c>
    </row>
    <row r="349" spans="28:28" x14ac:dyDescent="0.4">
      <c r="AB349" t="str">
        <f t="shared" si="5"/>
        <v/>
      </c>
    </row>
    <row r="350" spans="28:28" x14ac:dyDescent="0.4">
      <c r="AB350" t="str">
        <f t="shared" si="5"/>
        <v/>
      </c>
    </row>
    <row r="351" spans="28:28" x14ac:dyDescent="0.4">
      <c r="AB351" t="str">
        <f t="shared" si="5"/>
        <v/>
      </c>
    </row>
    <row r="352" spans="28:28" x14ac:dyDescent="0.4">
      <c r="AB352" t="str">
        <f t="shared" si="5"/>
        <v/>
      </c>
    </row>
    <row r="353" spans="28:28" x14ac:dyDescent="0.4">
      <c r="AB353" t="str">
        <f t="shared" si="5"/>
        <v/>
      </c>
    </row>
    <row r="354" spans="28:28" x14ac:dyDescent="0.4">
      <c r="AB354" t="str">
        <f t="shared" si="5"/>
        <v/>
      </c>
    </row>
    <row r="355" spans="28:28" x14ac:dyDescent="0.4">
      <c r="AB355" t="str">
        <f t="shared" si="5"/>
        <v/>
      </c>
    </row>
    <row r="356" spans="28:28" x14ac:dyDescent="0.4">
      <c r="AB356" t="str">
        <f t="shared" si="5"/>
        <v/>
      </c>
    </row>
    <row r="357" spans="28:28" x14ac:dyDescent="0.4">
      <c r="AB357" t="str">
        <f t="shared" si="5"/>
        <v/>
      </c>
    </row>
    <row r="358" spans="28:28" x14ac:dyDescent="0.4">
      <c r="AB358" t="str">
        <f t="shared" si="5"/>
        <v/>
      </c>
    </row>
    <row r="359" spans="28:28" x14ac:dyDescent="0.4">
      <c r="AB359" t="str">
        <f t="shared" si="5"/>
        <v/>
      </c>
    </row>
    <row r="360" spans="28:28" x14ac:dyDescent="0.4">
      <c r="AB360" t="str">
        <f t="shared" si="5"/>
        <v/>
      </c>
    </row>
    <row r="361" spans="28:28" x14ac:dyDescent="0.4">
      <c r="AB361" t="str">
        <f t="shared" si="5"/>
        <v/>
      </c>
    </row>
    <row r="362" spans="28:28" x14ac:dyDescent="0.4">
      <c r="AB362" t="str">
        <f t="shared" si="5"/>
        <v/>
      </c>
    </row>
    <row r="363" spans="28:28" x14ac:dyDescent="0.4">
      <c r="AB363" t="str">
        <f t="shared" si="5"/>
        <v/>
      </c>
    </row>
    <row r="364" spans="28:28" x14ac:dyDescent="0.4">
      <c r="AB364" t="str">
        <f t="shared" si="5"/>
        <v/>
      </c>
    </row>
    <row r="365" spans="28:28" x14ac:dyDescent="0.4">
      <c r="AB365" t="str">
        <f t="shared" si="5"/>
        <v/>
      </c>
    </row>
    <row r="366" spans="28:28" x14ac:dyDescent="0.4">
      <c r="AB366" t="str">
        <f t="shared" si="5"/>
        <v/>
      </c>
    </row>
    <row r="367" spans="28:28" x14ac:dyDescent="0.4">
      <c r="AB367" t="str">
        <f t="shared" si="5"/>
        <v/>
      </c>
    </row>
    <row r="368" spans="28:28" x14ac:dyDescent="0.4">
      <c r="AB368" t="str">
        <f t="shared" si="5"/>
        <v/>
      </c>
    </row>
    <row r="369" spans="28:28" x14ac:dyDescent="0.4">
      <c r="AB369" t="str">
        <f t="shared" si="5"/>
        <v/>
      </c>
    </row>
    <row r="370" spans="28:28" x14ac:dyDescent="0.4">
      <c r="AB370" t="str">
        <f t="shared" si="5"/>
        <v/>
      </c>
    </row>
    <row r="371" spans="28:28" x14ac:dyDescent="0.4">
      <c r="AB371" t="str">
        <f t="shared" si="5"/>
        <v/>
      </c>
    </row>
    <row r="372" spans="28:28" x14ac:dyDescent="0.4">
      <c r="AB372" t="str">
        <f t="shared" si="5"/>
        <v/>
      </c>
    </row>
    <row r="373" spans="28:28" x14ac:dyDescent="0.4">
      <c r="AB373" t="str">
        <f t="shared" si="5"/>
        <v/>
      </c>
    </row>
    <row r="374" spans="28:28" x14ac:dyDescent="0.4">
      <c r="AB374" t="str">
        <f t="shared" si="5"/>
        <v/>
      </c>
    </row>
    <row r="375" spans="28:28" x14ac:dyDescent="0.4">
      <c r="AB375" t="str">
        <f t="shared" si="5"/>
        <v/>
      </c>
    </row>
    <row r="376" spans="28:28" x14ac:dyDescent="0.4">
      <c r="AB376" t="str">
        <f t="shared" si="5"/>
        <v/>
      </c>
    </row>
    <row r="377" spans="28:28" x14ac:dyDescent="0.4">
      <c r="AB377" t="str">
        <f t="shared" si="5"/>
        <v/>
      </c>
    </row>
    <row r="378" spans="28:28" x14ac:dyDescent="0.4">
      <c r="AB378" t="str">
        <f t="shared" si="5"/>
        <v/>
      </c>
    </row>
    <row r="379" spans="28:28" x14ac:dyDescent="0.4">
      <c r="AB379" t="str">
        <f t="shared" si="5"/>
        <v/>
      </c>
    </row>
    <row r="380" spans="28:28" x14ac:dyDescent="0.4">
      <c r="AB380" t="str">
        <f t="shared" si="5"/>
        <v/>
      </c>
    </row>
    <row r="381" spans="28:28" x14ac:dyDescent="0.4">
      <c r="AB381" t="str">
        <f t="shared" si="5"/>
        <v/>
      </c>
    </row>
    <row r="382" spans="28:28" x14ac:dyDescent="0.4">
      <c r="AB382" t="str">
        <f t="shared" si="5"/>
        <v/>
      </c>
    </row>
    <row r="383" spans="28:28" x14ac:dyDescent="0.4">
      <c r="AB383" t="str">
        <f t="shared" si="5"/>
        <v/>
      </c>
    </row>
    <row r="384" spans="28:28" x14ac:dyDescent="0.4">
      <c r="AB384" t="str">
        <f t="shared" si="5"/>
        <v/>
      </c>
    </row>
    <row r="385" spans="28:28" x14ac:dyDescent="0.4">
      <c r="AB385" t="str">
        <f t="shared" si="5"/>
        <v/>
      </c>
    </row>
    <row r="386" spans="28:28" x14ac:dyDescent="0.4">
      <c r="AB386" t="str">
        <f t="shared" si="5"/>
        <v/>
      </c>
    </row>
    <row r="387" spans="28:28" x14ac:dyDescent="0.4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4">
      <c r="AB388" t="str">
        <f t="shared" si="6"/>
        <v/>
      </c>
    </row>
    <row r="389" spans="28:28" x14ac:dyDescent="0.4">
      <c r="AB389" t="str">
        <f t="shared" si="6"/>
        <v/>
      </c>
    </row>
    <row r="390" spans="28:28" x14ac:dyDescent="0.4">
      <c r="AB390" t="str">
        <f t="shared" si="6"/>
        <v/>
      </c>
    </row>
    <row r="391" spans="28:28" x14ac:dyDescent="0.4">
      <c r="AB391" t="str">
        <f t="shared" si="6"/>
        <v/>
      </c>
    </row>
    <row r="392" spans="28:28" x14ac:dyDescent="0.4">
      <c r="AB392" t="str">
        <f t="shared" si="6"/>
        <v/>
      </c>
    </row>
    <row r="393" spans="28:28" x14ac:dyDescent="0.4">
      <c r="AB393" t="str">
        <f t="shared" si="6"/>
        <v/>
      </c>
    </row>
    <row r="394" spans="28:28" x14ac:dyDescent="0.4">
      <c r="AB394" t="str">
        <f t="shared" si="6"/>
        <v/>
      </c>
    </row>
    <row r="395" spans="28:28" x14ac:dyDescent="0.4">
      <c r="AB395" t="str">
        <f t="shared" si="6"/>
        <v/>
      </c>
    </row>
    <row r="396" spans="28:28" x14ac:dyDescent="0.4">
      <c r="AB396" t="str">
        <f t="shared" si="6"/>
        <v/>
      </c>
    </row>
    <row r="397" spans="28:28" x14ac:dyDescent="0.4">
      <c r="AB397" t="str">
        <f t="shared" si="6"/>
        <v/>
      </c>
    </row>
    <row r="398" spans="28:28" x14ac:dyDescent="0.4">
      <c r="AB398" t="str">
        <f t="shared" si="6"/>
        <v/>
      </c>
    </row>
    <row r="399" spans="28:28" x14ac:dyDescent="0.4">
      <c r="AB399" t="str">
        <f t="shared" si="6"/>
        <v/>
      </c>
    </row>
    <row r="400" spans="28:28" x14ac:dyDescent="0.4">
      <c r="AB400" t="str">
        <f t="shared" si="6"/>
        <v/>
      </c>
    </row>
    <row r="401" spans="28:28" x14ac:dyDescent="0.4">
      <c r="AB401" t="str">
        <f t="shared" si="6"/>
        <v/>
      </c>
    </row>
    <row r="402" spans="28:28" x14ac:dyDescent="0.4">
      <c r="AB402" t="str">
        <f t="shared" si="6"/>
        <v/>
      </c>
    </row>
    <row r="403" spans="28:28" x14ac:dyDescent="0.4">
      <c r="AB403" t="str">
        <f t="shared" si="6"/>
        <v/>
      </c>
    </row>
    <row r="404" spans="28:28" x14ac:dyDescent="0.4">
      <c r="AB404" t="str">
        <f t="shared" si="6"/>
        <v/>
      </c>
    </row>
    <row r="405" spans="28:28" x14ac:dyDescent="0.4">
      <c r="AB405" t="str">
        <f t="shared" si="6"/>
        <v/>
      </c>
    </row>
    <row r="406" spans="28:28" x14ac:dyDescent="0.4">
      <c r="AB406" t="str">
        <f t="shared" si="6"/>
        <v/>
      </c>
    </row>
    <row r="407" spans="28:28" x14ac:dyDescent="0.4">
      <c r="AB407" t="str">
        <f t="shared" si="6"/>
        <v/>
      </c>
    </row>
    <row r="408" spans="28:28" x14ac:dyDescent="0.4">
      <c r="AB408" t="str">
        <f t="shared" si="6"/>
        <v/>
      </c>
    </row>
    <row r="409" spans="28:28" x14ac:dyDescent="0.4">
      <c r="AB409" t="str">
        <f t="shared" si="6"/>
        <v/>
      </c>
    </row>
    <row r="410" spans="28:28" x14ac:dyDescent="0.4">
      <c r="AB410" t="str">
        <f t="shared" si="6"/>
        <v/>
      </c>
    </row>
    <row r="411" spans="28:28" x14ac:dyDescent="0.4">
      <c r="AB411" t="str">
        <f t="shared" si="6"/>
        <v/>
      </c>
    </row>
    <row r="412" spans="28:28" x14ac:dyDescent="0.4">
      <c r="AB412" t="str">
        <f t="shared" si="6"/>
        <v/>
      </c>
    </row>
    <row r="413" spans="28:28" x14ac:dyDescent="0.4">
      <c r="AB413" t="str">
        <f t="shared" si="6"/>
        <v/>
      </c>
    </row>
    <row r="414" spans="28:28" x14ac:dyDescent="0.4">
      <c r="AB414" t="str">
        <f t="shared" si="6"/>
        <v/>
      </c>
    </row>
    <row r="415" spans="28:28" x14ac:dyDescent="0.4">
      <c r="AB415" t="str">
        <f t="shared" si="6"/>
        <v/>
      </c>
    </row>
    <row r="416" spans="28:28" x14ac:dyDescent="0.4">
      <c r="AB416" t="str">
        <f t="shared" si="6"/>
        <v/>
      </c>
    </row>
    <row r="417" spans="28:28" x14ac:dyDescent="0.4">
      <c r="AB417" t="str">
        <f t="shared" si="6"/>
        <v/>
      </c>
    </row>
    <row r="418" spans="28:28" x14ac:dyDescent="0.4">
      <c r="AB418" t="str">
        <f t="shared" si="6"/>
        <v/>
      </c>
    </row>
    <row r="419" spans="28:28" x14ac:dyDescent="0.4">
      <c r="AB419" t="str">
        <f t="shared" si="6"/>
        <v/>
      </c>
    </row>
    <row r="420" spans="28:28" x14ac:dyDescent="0.4">
      <c r="AB420" t="str">
        <f t="shared" si="6"/>
        <v/>
      </c>
    </row>
    <row r="421" spans="28:28" x14ac:dyDescent="0.4">
      <c r="AB421" t="str">
        <f t="shared" si="6"/>
        <v/>
      </c>
    </row>
    <row r="422" spans="28:28" x14ac:dyDescent="0.4">
      <c r="AB422" t="str">
        <f t="shared" si="6"/>
        <v/>
      </c>
    </row>
    <row r="423" spans="28:28" x14ac:dyDescent="0.4">
      <c r="AB423" t="str">
        <f t="shared" si="6"/>
        <v/>
      </c>
    </row>
    <row r="424" spans="28:28" x14ac:dyDescent="0.4">
      <c r="AB424" t="str">
        <f t="shared" si="6"/>
        <v/>
      </c>
    </row>
    <row r="425" spans="28:28" x14ac:dyDescent="0.4">
      <c r="AB425" t="str">
        <f t="shared" si="6"/>
        <v/>
      </c>
    </row>
    <row r="426" spans="28:28" x14ac:dyDescent="0.4">
      <c r="AB426" t="str">
        <f t="shared" si="6"/>
        <v/>
      </c>
    </row>
    <row r="427" spans="28:28" x14ac:dyDescent="0.4">
      <c r="AB427" t="str">
        <f t="shared" si="6"/>
        <v/>
      </c>
    </row>
    <row r="428" spans="28:28" x14ac:dyDescent="0.4">
      <c r="AB428" t="str">
        <f t="shared" si="6"/>
        <v/>
      </c>
    </row>
    <row r="429" spans="28:28" x14ac:dyDescent="0.4">
      <c r="AB429" t="str">
        <f t="shared" si="6"/>
        <v/>
      </c>
    </row>
    <row r="430" spans="28:28" x14ac:dyDescent="0.4">
      <c r="AB430" t="str">
        <f t="shared" si="6"/>
        <v/>
      </c>
    </row>
    <row r="431" spans="28:28" x14ac:dyDescent="0.4">
      <c r="AB431" t="str">
        <f t="shared" si="6"/>
        <v/>
      </c>
    </row>
    <row r="432" spans="28:28" x14ac:dyDescent="0.4">
      <c r="AB432" t="str">
        <f t="shared" si="6"/>
        <v/>
      </c>
    </row>
    <row r="433" spans="28:28" x14ac:dyDescent="0.4">
      <c r="AB433" t="str">
        <f t="shared" si="6"/>
        <v/>
      </c>
    </row>
    <row r="434" spans="28:28" x14ac:dyDescent="0.4">
      <c r="AB434" t="str">
        <f t="shared" si="6"/>
        <v/>
      </c>
    </row>
    <row r="435" spans="28:28" x14ac:dyDescent="0.4">
      <c r="AB435" t="str">
        <f t="shared" si="6"/>
        <v/>
      </c>
    </row>
    <row r="436" spans="28:28" x14ac:dyDescent="0.4">
      <c r="AB436" t="str">
        <f t="shared" si="6"/>
        <v/>
      </c>
    </row>
    <row r="437" spans="28:28" x14ac:dyDescent="0.4">
      <c r="AB437" t="str">
        <f t="shared" si="6"/>
        <v/>
      </c>
    </row>
    <row r="438" spans="28:28" x14ac:dyDescent="0.4">
      <c r="AB438" t="str">
        <f t="shared" si="6"/>
        <v/>
      </c>
    </row>
    <row r="439" spans="28:28" x14ac:dyDescent="0.4">
      <c r="AB439" t="str">
        <f t="shared" si="6"/>
        <v/>
      </c>
    </row>
    <row r="440" spans="28:28" x14ac:dyDescent="0.4">
      <c r="AB440" t="str">
        <f t="shared" si="6"/>
        <v/>
      </c>
    </row>
    <row r="441" spans="28:28" x14ac:dyDescent="0.4">
      <c r="AB441" t="str">
        <f t="shared" si="6"/>
        <v/>
      </c>
    </row>
    <row r="442" spans="28:28" x14ac:dyDescent="0.4">
      <c r="AB442" t="str">
        <f t="shared" si="6"/>
        <v/>
      </c>
    </row>
    <row r="443" spans="28:28" x14ac:dyDescent="0.4">
      <c r="AB443" t="str">
        <f t="shared" si="6"/>
        <v/>
      </c>
    </row>
    <row r="444" spans="28:28" x14ac:dyDescent="0.4">
      <c r="AB444" t="str">
        <f t="shared" si="6"/>
        <v/>
      </c>
    </row>
    <row r="445" spans="28:28" x14ac:dyDescent="0.4">
      <c r="AB445" t="str">
        <f t="shared" si="6"/>
        <v/>
      </c>
    </row>
    <row r="446" spans="28:28" x14ac:dyDescent="0.4">
      <c r="AB446" t="str">
        <f t="shared" si="6"/>
        <v/>
      </c>
    </row>
    <row r="447" spans="28:28" x14ac:dyDescent="0.4">
      <c r="AB447" t="str">
        <f t="shared" si="6"/>
        <v/>
      </c>
    </row>
    <row r="448" spans="28:28" x14ac:dyDescent="0.4">
      <c r="AB448" t="str">
        <f t="shared" si="6"/>
        <v/>
      </c>
    </row>
    <row r="449" spans="28:28" x14ac:dyDescent="0.4">
      <c r="AB449" t="str">
        <f t="shared" si="6"/>
        <v/>
      </c>
    </row>
    <row r="450" spans="28:28" x14ac:dyDescent="0.4">
      <c r="AB450" t="str">
        <f t="shared" si="6"/>
        <v/>
      </c>
    </row>
    <row r="451" spans="28:28" x14ac:dyDescent="0.4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4">
      <c r="AB452" t="str">
        <f t="shared" si="7"/>
        <v/>
      </c>
    </row>
    <row r="453" spans="28:28" x14ac:dyDescent="0.4">
      <c r="AB453" t="str">
        <f t="shared" si="7"/>
        <v/>
      </c>
    </row>
    <row r="454" spans="28:28" x14ac:dyDescent="0.4">
      <c r="AB454" t="str">
        <f t="shared" si="7"/>
        <v/>
      </c>
    </row>
    <row r="455" spans="28:28" x14ac:dyDescent="0.4">
      <c r="AB455" t="str">
        <f t="shared" si="7"/>
        <v/>
      </c>
    </row>
    <row r="456" spans="28:28" x14ac:dyDescent="0.4">
      <c r="AB456" t="str">
        <f t="shared" si="7"/>
        <v/>
      </c>
    </row>
    <row r="457" spans="28:28" x14ac:dyDescent="0.4">
      <c r="AB457" t="str">
        <f t="shared" si="7"/>
        <v/>
      </c>
    </row>
    <row r="458" spans="28:28" x14ac:dyDescent="0.4">
      <c r="AB458" t="str">
        <f t="shared" si="7"/>
        <v/>
      </c>
    </row>
    <row r="459" spans="28:28" x14ac:dyDescent="0.4">
      <c r="AB459" t="str">
        <f t="shared" si="7"/>
        <v/>
      </c>
    </row>
    <row r="460" spans="28:28" x14ac:dyDescent="0.4">
      <c r="AB460" t="str">
        <f t="shared" si="7"/>
        <v/>
      </c>
    </row>
    <row r="461" spans="28:28" x14ac:dyDescent="0.4">
      <c r="AB461" t="str">
        <f t="shared" si="7"/>
        <v/>
      </c>
    </row>
    <row r="462" spans="28:28" x14ac:dyDescent="0.4">
      <c r="AB462" t="str">
        <f t="shared" si="7"/>
        <v/>
      </c>
    </row>
    <row r="463" spans="28:28" x14ac:dyDescent="0.4">
      <c r="AB463" t="str">
        <f t="shared" si="7"/>
        <v/>
      </c>
    </row>
    <row r="464" spans="28:28" x14ac:dyDescent="0.4">
      <c r="AB464" t="str">
        <f t="shared" si="7"/>
        <v/>
      </c>
    </row>
    <row r="465" spans="28:28" x14ac:dyDescent="0.4">
      <c r="AB465" t="str">
        <f t="shared" si="7"/>
        <v/>
      </c>
    </row>
    <row r="466" spans="28:28" x14ac:dyDescent="0.4">
      <c r="AB466" t="str">
        <f t="shared" si="7"/>
        <v/>
      </c>
    </row>
    <row r="467" spans="28:28" x14ac:dyDescent="0.4">
      <c r="AB467" t="str">
        <f t="shared" si="7"/>
        <v/>
      </c>
    </row>
    <row r="468" spans="28:28" x14ac:dyDescent="0.4">
      <c r="AB468" t="str">
        <f t="shared" si="7"/>
        <v/>
      </c>
    </row>
    <row r="469" spans="28:28" x14ac:dyDescent="0.4">
      <c r="AB469" t="str">
        <f t="shared" si="7"/>
        <v/>
      </c>
    </row>
    <row r="470" spans="28:28" x14ac:dyDescent="0.4">
      <c r="AB470" t="str">
        <f t="shared" si="7"/>
        <v/>
      </c>
    </row>
    <row r="471" spans="28:28" x14ac:dyDescent="0.4">
      <c r="AB471" t="str">
        <f t="shared" si="7"/>
        <v/>
      </c>
    </row>
    <row r="472" spans="28:28" x14ac:dyDescent="0.4">
      <c r="AB472" t="str">
        <f t="shared" si="7"/>
        <v/>
      </c>
    </row>
    <row r="473" spans="28:28" x14ac:dyDescent="0.4">
      <c r="AB473" t="str">
        <f t="shared" si="7"/>
        <v/>
      </c>
    </row>
    <row r="474" spans="28:28" x14ac:dyDescent="0.4">
      <c r="AB474" t="str">
        <f t="shared" si="7"/>
        <v/>
      </c>
    </row>
    <row r="475" spans="28:28" x14ac:dyDescent="0.4">
      <c r="AB475" t="str">
        <f t="shared" si="7"/>
        <v/>
      </c>
    </row>
    <row r="476" spans="28:28" x14ac:dyDescent="0.4">
      <c r="AB476" t="str">
        <f t="shared" si="7"/>
        <v/>
      </c>
    </row>
    <row r="477" spans="28:28" x14ac:dyDescent="0.4">
      <c r="AB477" t="str">
        <f t="shared" si="7"/>
        <v/>
      </c>
    </row>
    <row r="478" spans="28:28" x14ac:dyDescent="0.4">
      <c r="AB478" t="str">
        <f t="shared" si="7"/>
        <v/>
      </c>
    </row>
    <row r="479" spans="28:28" x14ac:dyDescent="0.4">
      <c r="AB479" t="str">
        <f t="shared" si="7"/>
        <v/>
      </c>
    </row>
    <row r="480" spans="28:28" x14ac:dyDescent="0.4">
      <c r="AB480" t="str">
        <f t="shared" si="7"/>
        <v/>
      </c>
    </row>
    <row r="481" spans="28:28" x14ac:dyDescent="0.4">
      <c r="AB481" t="str">
        <f t="shared" si="7"/>
        <v/>
      </c>
    </row>
    <row r="482" spans="28:28" x14ac:dyDescent="0.4">
      <c r="AB482" t="str">
        <f t="shared" si="7"/>
        <v/>
      </c>
    </row>
    <row r="483" spans="28:28" x14ac:dyDescent="0.4">
      <c r="AB483" t="str">
        <f t="shared" si="7"/>
        <v/>
      </c>
    </row>
    <row r="484" spans="28:28" x14ac:dyDescent="0.4">
      <c r="AB484" t="str">
        <f t="shared" si="7"/>
        <v/>
      </c>
    </row>
    <row r="485" spans="28:28" x14ac:dyDescent="0.4">
      <c r="AB485" t="str">
        <f t="shared" si="7"/>
        <v/>
      </c>
    </row>
    <row r="486" spans="28:28" x14ac:dyDescent="0.4">
      <c r="AB486" t="str">
        <f t="shared" si="7"/>
        <v/>
      </c>
    </row>
    <row r="487" spans="28:28" x14ac:dyDescent="0.4">
      <c r="AB487" t="str">
        <f t="shared" si="7"/>
        <v/>
      </c>
    </row>
    <row r="488" spans="28:28" x14ac:dyDescent="0.4">
      <c r="AB488" t="str">
        <f t="shared" si="7"/>
        <v/>
      </c>
    </row>
    <row r="489" spans="28:28" x14ac:dyDescent="0.4">
      <c r="AB489" t="str">
        <f t="shared" si="7"/>
        <v/>
      </c>
    </row>
    <row r="490" spans="28:28" x14ac:dyDescent="0.4">
      <c r="AB490" t="str">
        <f t="shared" si="7"/>
        <v/>
      </c>
    </row>
    <row r="491" spans="28:28" x14ac:dyDescent="0.4">
      <c r="AB491" t="str">
        <f t="shared" si="7"/>
        <v/>
      </c>
    </row>
    <row r="492" spans="28:28" x14ac:dyDescent="0.4">
      <c r="AB492" t="str">
        <f t="shared" si="7"/>
        <v/>
      </c>
    </row>
    <row r="493" spans="28:28" x14ac:dyDescent="0.4">
      <c r="AB493" t="str">
        <f t="shared" si="7"/>
        <v/>
      </c>
    </row>
    <row r="494" spans="28:28" x14ac:dyDescent="0.4">
      <c r="AB494" t="str">
        <f t="shared" si="7"/>
        <v/>
      </c>
    </row>
    <row r="495" spans="28:28" x14ac:dyDescent="0.4">
      <c r="AB495" t="str">
        <f t="shared" si="7"/>
        <v/>
      </c>
    </row>
    <row r="496" spans="28:28" x14ac:dyDescent="0.4">
      <c r="AB496" t="str">
        <f t="shared" si="7"/>
        <v/>
      </c>
    </row>
    <row r="497" spans="28:28" x14ac:dyDescent="0.4">
      <c r="AB497" t="str">
        <f t="shared" si="7"/>
        <v/>
      </c>
    </row>
    <row r="498" spans="28:28" x14ac:dyDescent="0.4">
      <c r="AB498" t="str">
        <f t="shared" si="7"/>
        <v/>
      </c>
    </row>
    <row r="499" spans="28:28" x14ac:dyDescent="0.4">
      <c r="AB499" t="str">
        <f t="shared" si="7"/>
        <v/>
      </c>
    </row>
    <row r="500" spans="28:28" x14ac:dyDescent="0.4">
      <c r="AB500" t="str">
        <f t="shared" si="7"/>
        <v/>
      </c>
    </row>
    <row r="501" spans="28:28" x14ac:dyDescent="0.4">
      <c r="AB501" t="str">
        <f t="shared" si="7"/>
        <v/>
      </c>
    </row>
    <row r="502" spans="28:28" x14ac:dyDescent="0.4">
      <c r="AB502" t="str">
        <f t="shared" si="7"/>
        <v/>
      </c>
    </row>
    <row r="503" spans="28:28" x14ac:dyDescent="0.4">
      <c r="AB503" t="str">
        <f t="shared" si="7"/>
        <v/>
      </c>
    </row>
    <row r="504" spans="28:28" x14ac:dyDescent="0.4">
      <c r="AB504" t="str">
        <f t="shared" si="7"/>
        <v/>
      </c>
    </row>
    <row r="505" spans="28:28" x14ac:dyDescent="0.4">
      <c r="AB505" t="str">
        <f t="shared" si="7"/>
        <v/>
      </c>
    </row>
    <row r="506" spans="28:28" x14ac:dyDescent="0.4">
      <c r="AB506" t="str">
        <f t="shared" si="7"/>
        <v/>
      </c>
    </row>
    <row r="507" spans="28:28" x14ac:dyDescent="0.4">
      <c r="AB507" t="str">
        <f t="shared" si="7"/>
        <v/>
      </c>
    </row>
    <row r="508" spans="28:28" x14ac:dyDescent="0.4">
      <c r="AB508" t="str">
        <f t="shared" si="7"/>
        <v/>
      </c>
    </row>
    <row r="509" spans="28:28" x14ac:dyDescent="0.4">
      <c r="AB509" t="str">
        <f t="shared" si="7"/>
        <v/>
      </c>
    </row>
    <row r="510" spans="28:28" x14ac:dyDescent="0.4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8467</xdr:colOff>
                    <xdr:row>1</xdr:row>
                    <xdr:rowOff>8467</xdr:rowOff>
                  </from>
                  <to>
                    <xdr:col>16</xdr:col>
                    <xdr:colOff>84667</xdr:colOff>
                    <xdr:row>2</xdr:row>
                    <xdr:rowOff>84667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8467</xdr:colOff>
                    <xdr:row>1</xdr:row>
                    <xdr:rowOff>8467</xdr:rowOff>
                  </from>
                  <to>
                    <xdr:col>16</xdr:col>
                    <xdr:colOff>84667</xdr:colOff>
                    <xdr:row>2</xdr:row>
                    <xdr:rowOff>84667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8467</xdr:colOff>
                    <xdr:row>1</xdr:row>
                    <xdr:rowOff>8467</xdr:rowOff>
                  </from>
                  <to>
                    <xdr:col>16</xdr:col>
                    <xdr:colOff>84667</xdr:colOff>
                    <xdr:row>2</xdr:row>
                    <xdr:rowOff>84667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8467</xdr:colOff>
                    <xdr:row>1</xdr:row>
                    <xdr:rowOff>8467</xdr:rowOff>
                  </from>
                  <to>
                    <xdr:col>16</xdr:col>
                    <xdr:colOff>84667</xdr:colOff>
                    <xdr:row>2</xdr:row>
                    <xdr:rowOff>84667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22" zoomScale="85" zoomScaleNormal="85" workbookViewId="0">
      <selection activeCell="E34" sqref="E34"/>
    </sheetView>
  </sheetViews>
  <sheetFormatPr defaultRowHeight="12.7" x14ac:dyDescent="0.4"/>
  <cols>
    <col min="1" max="1" width="11" bestFit="1" customWidth="1"/>
    <col min="2" max="2" width="39.29296875" bestFit="1" customWidth="1"/>
    <col min="3" max="3" width="24.29296875" bestFit="1" customWidth="1"/>
    <col min="4" max="4" width="24.29296875" customWidth="1"/>
    <col min="5" max="5" width="17" customWidth="1"/>
  </cols>
  <sheetData>
    <row r="1" spans="1:7" x14ac:dyDescent="0.4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4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4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4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4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4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4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4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4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4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4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4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4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4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4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4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4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4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4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4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4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4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4">
      <c r="A23" s="56">
        <v>18</v>
      </c>
      <c r="B23" s="57" t="s">
        <v>219</v>
      </c>
      <c r="C23" s="57" t="s">
        <v>95</v>
      </c>
      <c r="D23" s="57"/>
    </row>
    <row r="24" spans="1:5" x14ac:dyDescent="0.4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4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4">
      <c r="A26" s="56">
        <v>20</v>
      </c>
      <c r="B26" s="57" t="s">
        <v>140</v>
      </c>
      <c r="C26" s="57" t="s">
        <v>95</v>
      </c>
      <c r="D26" s="57"/>
    </row>
    <row r="27" spans="1:5" x14ac:dyDescent="0.4">
      <c r="A27" s="56">
        <v>20</v>
      </c>
      <c r="B27" s="57" t="s">
        <v>234</v>
      </c>
      <c r="C27" s="57" t="s">
        <v>197</v>
      </c>
      <c r="D27" s="57"/>
    </row>
    <row r="28" spans="1:5" x14ac:dyDescent="0.4">
      <c r="A28" s="56">
        <v>20</v>
      </c>
      <c r="B28" s="57" t="s">
        <v>139</v>
      </c>
      <c r="C28" s="57" t="s">
        <v>104</v>
      </c>
      <c r="D28" s="57"/>
    </row>
    <row r="29" spans="1:5" x14ac:dyDescent="0.4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4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4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4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4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4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4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4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4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4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4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4">
      <c r="A40" s="56">
        <v>24</v>
      </c>
      <c r="B40" s="57" t="s">
        <v>141</v>
      </c>
      <c r="C40" s="57"/>
      <c r="D40" s="57"/>
      <c r="E40" s="2"/>
    </row>
    <row r="41" spans="1:5" x14ac:dyDescent="0.4">
      <c r="A41" s="56">
        <v>29</v>
      </c>
      <c r="B41" s="57" t="s">
        <v>142</v>
      </c>
      <c r="C41" s="57"/>
      <c r="D41" s="57"/>
      <c r="E41" s="2"/>
    </row>
    <row r="42" spans="1:5" x14ac:dyDescent="0.4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4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4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4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4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4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4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4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4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4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4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4">
      <c r="A53" s="56">
        <v>45</v>
      </c>
      <c r="B53" s="57" t="s">
        <v>145</v>
      </c>
      <c r="C53" s="57"/>
      <c r="D53" s="57"/>
      <c r="E53" s="2"/>
    </row>
    <row r="54" spans="1:5" x14ac:dyDescent="0.4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4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4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4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4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4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4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4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4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4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4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4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4">
      <c r="A66" s="56">
        <v>62</v>
      </c>
      <c r="B66" s="57" t="s">
        <v>149</v>
      </c>
      <c r="C66" s="57"/>
      <c r="D66" s="57"/>
      <c r="E66" s="2"/>
    </row>
    <row r="67" spans="1:5" x14ac:dyDescent="0.4">
      <c r="A67" s="56">
        <v>36</v>
      </c>
      <c r="B67" s="57" t="s">
        <v>150</v>
      </c>
      <c r="C67" s="57"/>
      <c r="D67" s="57"/>
      <c r="E67" s="2"/>
    </row>
    <row r="68" spans="1:5" x14ac:dyDescent="0.4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4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4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4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4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4">
      <c r="A73" s="56">
        <v>35</v>
      </c>
      <c r="B73" s="57" t="s">
        <v>127</v>
      </c>
      <c r="C73" s="57"/>
      <c r="D73" s="57"/>
      <c r="E73" s="2"/>
    </row>
    <row r="74" spans="1:5" x14ac:dyDescent="0.4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4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4">
      <c r="A76" s="3"/>
      <c r="B76" s="2"/>
      <c r="C76" s="2"/>
      <c r="D76" s="2"/>
    </row>
    <row r="77" spans="1:5" x14ac:dyDescent="0.4">
      <c r="A77" s="3"/>
      <c r="B77" s="2"/>
      <c r="C77" s="2"/>
      <c r="D77" s="2"/>
    </row>
    <row r="78" spans="1:5" x14ac:dyDescent="0.4">
      <c r="A78" s="3"/>
      <c r="B78" s="2"/>
      <c r="C78" s="2"/>
      <c r="D78" s="2"/>
    </row>
    <row r="79" spans="1:5" x14ac:dyDescent="0.4">
      <c r="A79" s="3"/>
      <c r="B79" s="2"/>
      <c r="C79" s="2"/>
      <c r="D79" s="2"/>
    </row>
    <row r="80" spans="1:5" x14ac:dyDescent="0.4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135467</xdr:rowOff>
                  </from>
                  <to>
                    <xdr:col>6</xdr:col>
                    <xdr:colOff>287867</xdr:colOff>
                    <xdr:row>3</xdr:row>
                    <xdr:rowOff>105833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" x14ac:dyDescent="0.4"/>
  <sheetData>
    <row r="1" spans="1:3" x14ac:dyDescent="0.4">
      <c r="C1" t="s">
        <v>34</v>
      </c>
    </row>
    <row r="2" spans="1:3" x14ac:dyDescent="0.4">
      <c r="A2" s="3">
        <v>28</v>
      </c>
      <c r="B2" s="3">
        <v>53</v>
      </c>
      <c r="C2" s="2" t="s">
        <v>239</v>
      </c>
    </row>
    <row r="3" spans="1:3" x14ac:dyDescent="0.4">
      <c r="A3" s="3">
        <v>28</v>
      </c>
      <c r="B3" s="3">
        <v>52</v>
      </c>
      <c r="C3" s="2" t="s">
        <v>240</v>
      </c>
    </row>
    <row r="4" spans="1:3" x14ac:dyDescent="0.4">
      <c r="A4" s="3">
        <v>28</v>
      </c>
      <c r="B4" s="3">
        <v>62</v>
      </c>
      <c r="C4" s="2" t="s">
        <v>196</v>
      </c>
    </row>
    <row r="5" spans="1:3" x14ac:dyDescent="0.4">
      <c r="A5" s="3">
        <v>28</v>
      </c>
      <c r="B5" s="3">
        <v>54</v>
      </c>
      <c r="C5" s="2" t="s">
        <v>241</v>
      </c>
    </row>
    <row r="6" spans="1:3" x14ac:dyDescent="0.4">
      <c r="A6" s="3">
        <v>28</v>
      </c>
      <c r="B6" s="3">
        <v>55</v>
      </c>
      <c r="C6" s="2" t="s">
        <v>242</v>
      </c>
    </row>
    <row r="7" spans="1:3" x14ac:dyDescent="0.4">
      <c r="A7" s="3">
        <v>30</v>
      </c>
      <c r="B7" s="3">
        <v>75</v>
      </c>
      <c r="C7" s="2" t="s">
        <v>243</v>
      </c>
    </row>
    <row r="8" spans="1:3" x14ac:dyDescent="0.4">
      <c r="A8" s="3">
        <v>30</v>
      </c>
      <c r="B8" s="3">
        <v>86</v>
      </c>
      <c r="C8" s="2" t="s">
        <v>244</v>
      </c>
    </row>
    <row r="9" spans="1:3" x14ac:dyDescent="0.4">
      <c r="A9" s="3">
        <v>30</v>
      </c>
      <c r="B9" s="3">
        <v>87</v>
      </c>
      <c r="C9" s="2" t="s">
        <v>245</v>
      </c>
    </row>
    <row r="10" spans="1:3" x14ac:dyDescent="0.4">
      <c r="A10" s="3">
        <v>30</v>
      </c>
      <c r="B10" s="3">
        <v>58</v>
      </c>
      <c r="C10" s="2" t="s">
        <v>246</v>
      </c>
    </row>
    <row r="11" spans="1:3" x14ac:dyDescent="0.4">
      <c r="A11" s="3">
        <v>3</v>
      </c>
      <c r="B11" s="3">
        <v>8</v>
      </c>
      <c r="C11" s="2" t="s">
        <v>76</v>
      </c>
    </row>
    <row r="12" spans="1:3" x14ac:dyDescent="0.4">
      <c r="A12" s="3">
        <v>3</v>
      </c>
      <c r="B12" s="3">
        <v>9</v>
      </c>
      <c r="C12" s="2" t="s">
        <v>77</v>
      </c>
    </row>
    <row r="13" spans="1:3" x14ac:dyDescent="0.4">
      <c r="A13" s="3">
        <v>3</v>
      </c>
      <c r="B13" s="3">
        <v>63</v>
      </c>
      <c r="C13" s="2" t="s">
        <v>78</v>
      </c>
    </row>
    <row r="14" spans="1:3" x14ac:dyDescent="0.4">
      <c r="A14" s="3">
        <v>3</v>
      </c>
      <c r="B14" s="3">
        <v>7</v>
      </c>
      <c r="C14" s="2" t="s">
        <v>79</v>
      </c>
    </row>
    <row r="15" spans="1:3" x14ac:dyDescent="0.4">
      <c r="A15" s="3">
        <v>3</v>
      </c>
      <c r="B15" s="3">
        <v>12</v>
      </c>
      <c r="C15" s="2" t="s">
        <v>80</v>
      </c>
    </row>
    <row r="16" spans="1:3" x14ac:dyDescent="0.4">
      <c r="A16" s="3">
        <v>3</v>
      </c>
      <c r="B16" s="3">
        <v>71</v>
      </c>
      <c r="C16" s="2" t="s">
        <v>81</v>
      </c>
    </row>
    <row r="17" spans="1:3" x14ac:dyDescent="0.4">
      <c r="A17" s="3">
        <v>3</v>
      </c>
      <c r="B17" s="3">
        <v>11</v>
      </c>
      <c r="C17" s="2" t="s">
        <v>82</v>
      </c>
    </row>
    <row r="18" spans="1:3" x14ac:dyDescent="0.4">
      <c r="A18" s="3">
        <v>4</v>
      </c>
      <c r="B18" s="3">
        <v>15</v>
      </c>
      <c r="C18" s="2" t="s">
        <v>247</v>
      </c>
    </row>
    <row r="19" spans="1:3" x14ac:dyDescent="0.4">
      <c r="A19" s="3">
        <v>4</v>
      </c>
      <c r="B19" s="3">
        <v>14</v>
      </c>
      <c r="C19" s="2" t="s">
        <v>248</v>
      </c>
    </row>
    <row r="20" spans="1:3" x14ac:dyDescent="0.4">
      <c r="A20" s="3">
        <v>4</v>
      </c>
      <c r="B20" s="3">
        <v>13</v>
      </c>
      <c r="C20" s="2" t="s">
        <v>249</v>
      </c>
    </row>
    <row r="21" spans="1:3" x14ac:dyDescent="0.4">
      <c r="A21" s="3">
        <v>31</v>
      </c>
      <c r="B21" s="3">
        <v>59</v>
      </c>
      <c r="C21" s="2" t="s">
        <v>83</v>
      </c>
    </row>
    <row r="22" spans="1:3" x14ac:dyDescent="0.4">
      <c r="A22" s="3">
        <v>31</v>
      </c>
      <c r="B22" s="3">
        <v>61</v>
      </c>
      <c r="C22" s="2" t="s">
        <v>84</v>
      </c>
    </row>
    <row r="23" spans="1:3" x14ac:dyDescent="0.4">
      <c r="A23" s="3">
        <v>31</v>
      </c>
      <c r="B23" s="3">
        <v>60</v>
      </c>
      <c r="C23" s="2" t="s">
        <v>85</v>
      </c>
    </row>
    <row r="24" spans="1:3" x14ac:dyDescent="0.4">
      <c r="A24" s="3">
        <v>34</v>
      </c>
      <c r="B24" s="3">
        <v>72</v>
      </c>
      <c r="C24" s="2" t="s">
        <v>375</v>
      </c>
    </row>
    <row r="25" spans="1:3" x14ac:dyDescent="0.4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" x14ac:dyDescent="0.4"/>
  <sheetData>
    <row r="2" spans="1:1" x14ac:dyDescent="0.4">
      <c r="A2" t="s">
        <v>6</v>
      </c>
    </row>
    <row r="3" spans="1:1" x14ac:dyDescent="0.4">
      <c r="A3" t="s">
        <v>258</v>
      </c>
    </row>
    <row r="4" spans="1:1" x14ac:dyDescent="0.4">
      <c r="A4" t="s">
        <v>203</v>
      </c>
    </row>
    <row r="5" spans="1:1" x14ac:dyDescent="0.4">
      <c r="A5" t="s">
        <v>259</v>
      </c>
    </row>
    <row r="6" spans="1:1" x14ac:dyDescent="0.4">
      <c r="A6" t="s">
        <v>206</v>
      </c>
    </row>
    <row r="7" spans="1:1" x14ac:dyDescent="0.4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2022-06-23T07:35:57Z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